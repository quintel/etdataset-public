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source_analyses/nl/2023/11_area/"/>
    </mc:Choice>
  </mc:AlternateContent>
  <xr:revisionPtr revIDLastSave="0" documentId="13_ncr:1_{ADC66ED2-9298-8440-A49E-112288DCA5D9}" xr6:coauthVersionLast="47" xr6:coauthVersionMax="47" xr10:uidLastSave="{00000000-0000-0000-0000-000000000000}"/>
  <bookViews>
    <workbookView xWindow="15220" yWindow="-28300" windowWidth="25600" windowHeight="27320" tabRatio="500" xr2:uid="{00000000-000D-0000-FFFF-FFFF00000000}"/>
  </bookViews>
  <sheets>
    <sheet name="Overview" sheetId="10" r:id="rId1"/>
    <sheet name="Free allocation" sheetId="21" r:id="rId2"/>
    <sheet name="Emissions" sheetId="12" r:id="rId3"/>
    <sheet name="Building stock" sheetId="19" r:id="rId4"/>
    <sheet name="CO2 price" sheetId="14" r:id="rId5"/>
    <sheet name="BSO" sheetId="20" r:id="rId6"/>
    <sheet name="municipal_data_etlocal_export" sheetId="18" r:id="rId7"/>
    <sheet name="Eurostat Cars" sheetId="15" r:id="rId8"/>
    <sheet name="Eurostat Buses" sheetId="16" r:id="rId9"/>
    <sheet name="Eurostat Vans and trucks" sheetId="17" r:id="rId10"/>
    <sheet name="CBS" sheetId="13" r:id="rId11"/>
    <sheet name="UNFCCC" sheetId="11" r:id="rId12"/>
  </sheets>
  <externalReferences>
    <externalReference r:id="rId13"/>
    <externalReference r:id="rId14"/>
    <externalReference r:id="rId15"/>
  </externalReferences>
  <definedNames>
    <definedName name="_xlnm._FilterDatabase" localSheetId="11" hidden="1">UNFCCC!$A$1:$M$593</definedName>
    <definedName name="ap_subfuel_allo">'[1]CEB allocation factors'!$F$12:$BC$12</definedName>
    <definedName name="base_year">[1]Dashboard!$E$13</definedName>
    <definedName name="country">[1]Dashboard!$E$12</definedName>
    <definedName name="Eff_cooking_biomass">[2]technical_specs!$M$50</definedName>
    <definedName name="Eff_cooking_electric">[2]technical_specs!$M$47</definedName>
    <definedName name="Eff_cooking_gas">[2]technical_specs!$M$46</definedName>
    <definedName name="Eff_cooking_halogen">[2]technical_specs!$M$48</definedName>
    <definedName name="Eff_cooking_induction">[2]technical_specs!$M$49</definedName>
    <definedName name="Eff_cooling_airco">[2]technical_specs!$M$43</definedName>
    <definedName name="Eff_cooling_pump_air">[2]technical_specs!$M$42</definedName>
    <definedName name="Eff_cooling_pump_ground">[2]technical_specs!$M$41</definedName>
    <definedName name="Eff_hot_water_coal">[2]technical_specs!$M$36</definedName>
    <definedName name="Eff_hot_water_combi_boiler">[2]technical_specs!$M$26</definedName>
    <definedName name="Eff_hot_water_district">[2]technical_specs!$M$30</definedName>
    <definedName name="Eff_hot_water_electric">[2]technical_specs!$M$33</definedName>
    <definedName name="Eff_hot_water_fuel_cell">[2]technical_specs!$M$37</definedName>
    <definedName name="Eff_hot_water_gas">[2]technical_specs!$M$34</definedName>
    <definedName name="Eff_hot_water_micro_CHP">[2]technical_specs!$M$29</definedName>
    <definedName name="Eff_hot_water_oil">[2]technical_specs!$M$35</definedName>
    <definedName name="Eff_hot_water_pump_air">[2]technical_specs!$M$31</definedName>
    <definedName name="Eff_hot_water_pump_ground">[2]technical_specs!$M$28</definedName>
    <definedName name="Eff_hot_water_solar_thermal_panel">[2]technical_specs!$M$27</definedName>
    <definedName name="Eff_hot_water_woodpellets">[2]technical_specs!$M$32</definedName>
    <definedName name="Eff_lighting_fluorescent">[2]technical_specs!$M$54</definedName>
    <definedName name="Eff_lighting_incandescent">[2]technical_specs!$M$53</definedName>
    <definedName name="Eff_lighting_led">[2]technical_specs!$M$55</definedName>
    <definedName name="Eff_space_heating_coal">[2]technical_specs!$M$21</definedName>
    <definedName name="Eff_space_heating_combi_boiler">[2]technical_specs!$M$11</definedName>
    <definedName name="Eff_space_heating_district">[2]technical_specs!$M$15</definedName>
    <definedName name="Eff_space_heating_electric">[2]technical_specs!$M$18</definedName>
    <definedName name="Eff_space_heating_gas">[2]technical_specs!$M$19</definedName>
    <definedName name="Eff_space_heating_micro_CHP">[2]technical_specs!$M$14</definedName>
    <definedName name="Eff_space_heating_oil">[2]technical_specs!$M$20</definedName>
    <definedName name="Eff_space_heating_pump_add_on">[2]technical_specs!$M$22</definedName>
    <definedName name="Eff_space_heating_pump_air">[2]technical_specs!$M$16</definedName>
    <definedName name="Eff_space_heating_pump_ground">[2]technical_specs!$M$13</definedName>
    <definedName name="Eff_space_heating_solar_thermal">[2]technical_specs!$M$12</definedName>
    <definedName name="Eff_space_heating_woodpellets">[2]technical_specs!$M$17</definedName>
    <definedName name="ei_subsector_allo">'[1]CEB allocation factors'!$D$17:$D$33</definedName>
    <definedName name="Final_demand_appliances">[2]Dashboard!$E$25</definedName>
    <definedName name="Final_demand_coal">'[2]Fuel aggregation'!$C$11</definedName>
    <definedName name="Final_demand_cooking">[2]Dashboard!$E$24</definedName>
    <definedName name="Final_demand_cooling">[2]Dashboard!$E$22</definedName>
    <definedName name="Final_demand_electricity">'[2]Fuel aggregation'!$I$11</definedName>
    <definedName name="Final_demand_gas">'[2]Fuel aggregation'!$D$11</definedName>
    <definedName name="Final_demand_heat">'[2]Fuel aggregation'!$J$11</definedName>
    <definedName name="Final_demand_hot_water">[2]Dashboard!$E$21</definedName>
    <definedName name="Final_demand_lighting">[2]Dashboard!$E$23</definedName>
    <definedName name="Final_demand_oil">'[2]Fuel aggregation'!$E$11</definedName>
    <definedName name="Final_demand_residences">'[2]Fuel aggregation'!$L$11</definedName>
    <definedName name="Final_demand_solar_thermal">'[2]Fuel aggregation'!$G$11</definedName>
    <definedName name="Final_demand_space_heating">[3]Dashboard!$E$23</definedName>
    <definedName name="Final_demand_woodpellets">'[2]Fuel aggregation'!$F$11</definedName>
    <definedName name="i_subsector_allo">'[1]CEB allocation factors'!$D$37:$D$49</definedName>
    <definedName name="kWh_MJ_conversion">[1]Assumptions!$C$174</definedName>
    <definedName name="net_gross_conv">'[1]AP net-gross conversion'!$D$12</definedName>
    <definedName name="switch_decc">'[1]Fuel allocation'!$C$130</definedName>
    <definedName name="switch_iea">'[1]Fuel allocation'!$C$89</definedName>
    <definedName name="switch_protermo">'[1]Fuel allocation'!$C$48</definedName>
    <definedName name="TWh_to_TJ">#REF!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25" i="10" l="1"/>
  <c r="C42" i="21" l="1"/>
  <c r="C40" i="21"/>
  <c r="C39" i="21"/>
  <c r="C44" i="21" l="1"/>
  <c r="C41" i="21"/>
  <c r="B23" i="10" l="1"/>
  <c r="B32" i="19" l="1"/>
  <c r="B7" i="19"/>
  <c r="B3" i="19"/>
  <c r="B4" i="19" s="1"/>
  <c r="B8" i="19" l="1"/>
  <c r="B31" i="19"/>
  <c r="B33" i="19" s="1"/>
  <c r="B22" i="10"/>
  <c r="B2" i="14"/>
  <c r="B24" i="10" s="1"/>
  <c r="B29" i="10"/>
  <c r="B28" i="10"/>
  <c r="B27" i="10"/>
  <c r="B26" i="10"/>
  <c r="B2" i="10" l="1"/>
  <c r="B5" i="10" l="1"/>
  <c r="B6" i="10"/>
  <c r="B7" i="10"/>
  <c r="B8" i="10"/>
  <c r="B9" i="10"/>
  <c r="B10" i="10"/>
  <c r="B11" i="10"/>
  <c r="B12" i="10"/>
  <c r="B13" i="10"/>
  <c r="B14" i="10"/>
  <c r="B15" i="10"/>
  <c r="B16" i="10"/>
  <c r="B17" i="10"/>
  <c r="B18" i="10"/>
  <c r="B19" i="10"/>
  <c r="B20" i="10"/>
  <c r="B21" i="10"/>
  <c r="B3" i="10"/>
  <c r="D2" i="12" l="1"/>
  <c r="B8" i="12" l="1"/>
  <c r="B11" i="12" s="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2" i="11"/>
  <c r="B10" i="12" l="1"/>
  <c r="B15" i="12" s="1"/>
  <c r="B17" i="12" s="1"/>
  <c r="B25" i="12" s="1"/>
  <c r="B4" i="10" s="1"/>
</calcChain>
</file>

<file path=xl/sharedStrings.xml><?xml version="1.0" encoding="utf-8"?>
<sst xmlns="http://schemas.openxmlformats.org/spreadsheetml/2006/main" count="6570" uniqueCount="1021">
  <si>
    <t>value</t>
  </si>
  <si>
    <t>unit</t>
  </si>
  <si>
    <t>comment</t>
  </si>
  <si>
    <t>Category</t>
  </si>
  <si>
    <t>non_energetic_emissions_co2_chemical_industry</t>
  </si>
  <si>
    <t>non_energetic_emissions_co2_other_industry</t>
  </si>
  <si>
    <t>non_energetic_emissions_co2_agriculture_manure</t>
  </si>
  <si>
    <t>non_energetic_emissions_co2_agriculture_soil_cultivation</t>
  </si>
  <si>
    <t>non_energetic_emissions_co2_waste_management</t>
  </si>
  <si>
    <t>indirect_emissions_co2</t>
  </si>
  <si>
    <t>energetic_emissions_other_ghg_industry</t>
  </si>
  <si>
    <t>energetic_emissions_other_ghg_energy</t>
  </si>
  <si>
    <t>energetic_emissions_other_ghg_transport</t>
  </si>
  <si>
    <t>energetic_emissions_other_ghg_buildings</t>
  </si>
  <si>
    <t>energetic_emissions_other_ghg_households</t>
  </si>
  <si>
    <t>energetic_emissions_other_ghg_agriculture</t>
  </si>
  <si>
    <t>non_energetic_emissions_other_ghg_chemical_industry</t>
  </si>
  <si>
    <t>non_energetic_emissions_other_ghg_other_industry</t>
  </si>
  <si>
    <t>non_energetic_emissions_other_ghg_agriculture_fermentation</t>
  </si>
  <si>
    <t>non_energetic_emissions_other_ghg_agriculture_manure</t>
  </si>
  <si>
    <t>non_energetic_emissions_other_ghg_agriculture_soil_cultivation</t>
  </si>
  <si>
    <t>non_energetic_emissions_other_ghg_agriculture_other</t>
  </si>
  <si>
    <t>non_energetic_emissions_other_ghg_waste_management</t>
  </si>
  <si>
    <t>Country_code</t>
  </si>
  <si>
    <t>Country</t>
  </si>
  <si>
    <t>Format_name</t>
  </si>
  <si>
    <t>Pollutant_name</t>
  </si>
  <si>
    <t>Sector_code</t>
  </si>
  <si>
    <t>Sector_name</t>
  </si>
  <si>
    <t>Parent_sector_code</t>
  </si>
  <si>
    <t>Unit</t>
  </si>
  <si>
    <t>Year</t>
  </si>
  <si>
    <t>emissions</t>
  </si>
  <si>
    <t>Notation</t>
  </si>
  <si>
    <t>PublicationDate</t>
  </si>
  <si>
    <t>DataSource</t>
  </si>
  <si>
    <t>NLD</t>
  </si>
  <si>
    <t>Netherlands</t>
  </si>
  <si>
    <t>IPCC Common Reporting Format</t>
  </si>
  <si>
    <t>CH₄</t>
  </si>
  <si>
    <t>1 - Energy</t>
  </si>
  <si>
    <t>Sectors/Totals_incl_incl</t>
  </si>
  <si>
    <t>Gg</t>
  </si>
  <si>
    <t>EEA</t>
  </si>
  <si>
    <t>CO₂</t>
  </si>
  <si>
    <t>All greenhouse gases - (CO2 equivalent)</t>
  </si>
  <si>
    <t>Gg CO2 equivalent</t>
  </si>
  <si>
    <t>N₂O</t>
  </si>
  <si>
    <t>NF3 - (CO2 equivalent)</t>
  </si>
  <si>
    <t>2 - Industrial Processes and Product Use</t>
  </si>
  <si>
    <t>IE,NA,NO</t>
  </si>
  <si>
    <t>SF6 - (CO2 equivalent)</t>
  </si>
  <si>
    <t>HFCs - (CO2 equivalent)</t>
  </si>
  <si>
    <t>Unspecified mix of HFCs and PFCs - (CO2 equivalent)</t>
  </si>
  <si>
    <t>NO</t>
  </si>
  <si>
    <t>PFCs - (CO2 equivalent)</t>
  </si>
  <si>
    <t>3 - Agriculture</t>
  </si>
  <si>
    <t>4 - Land Use, Land-Use Change and Forestry</t>
  </si>
  <si>
    <t>5 - Waste management</t>
  </si>
  <si>
    <t>6 - Other Sector</t>
  </si>
  <si>
    <t>1.A</t>
  </si>
  <si>
    <t>1.A - Fuel combustion activities (sectoral approach)</t>
  </si>
  <si>
    <t>1.A.1</t>
  </si>
  <si>
    <t>1.A.1 - Energy Industries</t>
  </si>
  <si>
    <t>1.AA</t>
  </si>
  <si>
    <t>1.A.1.a</t>
  </si>
  <si>
    <t>1.A.1.a - Public Electricity and Heat Production</t>
  </si>
  <si>
    <t>1.A.1.b</t>
  </si>
  <si>
    <t>1.A.1.b - Petroleum Refining</t>
  </si>
  <si>
    <t>1.A.1.c</t>
  </si>
  <si>
    <t>1.A.1.c - Manufacture of Solid Fuels and Other Energy Industries</t>
  </si>
  <si>
    <t>1.A.2</t>
  </si>
  <si>
    <t>1.A.2 - Manufacturing Industries and Construction</t>
  </si>
  <si>
    <t>1.A.2.a</t>
  </si>
  <si>
    <t>1.A.2.a - Iron and Steel</t>
  </si>
  <si>
    <t>1.A.2.b</t>
  </si>
  <si>
    <t>1.A.2.b - Non-Ferrous Metals</t>
  </si>
  <si>
    <t>1.A.2.c</t>
  </si>
  <si>
    <t>1.A.2.c - Chemicals</t>
  </si>
  <si>
    <t>1.A.2.d</t>
  </si>
  <si>
    <t>1.A.2.d - Pulp, Paper and Print</t>
  </si>
  <si>
    <t>1.A.2.e</t>
  </si>
  <si>
    <t>1.A.2.e - Food Processing, Beverages and Tobacco</t>
  </si>
  <si>
    <t>1.A.2.f</t>
  </si>
  <si>
    <t>1.A.2.f - Non-metallic minerals</t>
  </si>
  <si>
    <t>1.A.2.g</t>
  </si>
  <si>
    <t>1.A.2.g - Other Manufacturing Industries and Constructions</t>
  </si>
  <si>
    <t>1.A.3</t>
  </si>
  <si>
    <t>1.A.3 - Transport</t>
  </si>
  <si>
    <t>1.A.3.a</t>
  </si>
  <si>
    <t>1.A.3.a - Domestic Aviation</t>
  </si>
  <si>
    <t>1.A.3.b</t>
  </si>
  <si>
    <t>1.A.3.b - Road Transportation</t>
  </si>
  <si>
    <t>1.A.3.b.i</t>
  </si>
  <si>
    <t>1.A.3.b.i - Cars</t>
  </si>
  <si>
    <t>1.A.3.b.ii</t>
  </si>
  <si>
    <t>1.A.3.b.ii - Light duty trucks</t>
  </si>
  <si>
    <t>1.A.3.b.iii</t>
  </si>
  <si>
    <t>1.A.3.b.iii - Heavy duty trucks and buses</t>
  </si>
  <si>
    <t>1.A.3.b.iv</t>
  </si>
  <si>
    <t>1.A.3.b.iv - Motorcycles</t>
  </si>
  <si>
    <t>1.A.3.b.v</t>
  </si>
  <si>
    <t>1.A.3.b.v - Other Road Transportation</t>
  </si>
  <si>
    <t>—</t>
  </si>
  <si>
    <t>NA</t>
  </si>
  <si>
    <t>1.A.3.c</t>
  </si>
  <si>
    <t>1.A.3.c - Railways</t>
  </si>
  <si>
    <t>1.A.3.d</t>
  </si>
  <si>
    <t>1.A.3.d - Domestic Navigation</t>
  </si>
  <si>
    <t>1.A.3.e</t>
  </si>
  <si>
    <t>1.A.3.e - Other Transportation</t>
  </si>
  <si>
    <t>IE,NO</t>
  </si>
  <si>
    <t>1.A.4</t>
  </si>
  <si>
    <t>1.A.4 - Other Sectors</t>
  </si>
  <si>
    <t>1.A.4.a</t>
  </si>
  <si>
    <t>1.A.4.a - Commercial/Institutional</t>
  </si>
  <si>
    <t>1.A.4.b</t>
  </si>
  <si>
    <t>1.A.4.b - Residential</t>
  </si>
  <si>
    <t>1.A.4.c</t>
  </si>
  <si>
    <t>1.A.4.c - Agriculture/Forestry/Fishing</t>
  </si>
  <si>
    <t>1.A.5</t>
  </si>
  <si>
    <t>1.A.5 - Other Other Sectors</t>
  </si>
  <si>
    <t>1.A.5.a</t>
  </si>
  <si>
    <t>1.A.5.a - Stationary</t>
  </si>
  <si>
    <t>1.A.5.b</t>
  </si>
  <si>
    <t>1.A.5.b - Mobile</t>
  </si>
  <si>
    <t>1.B</t>
  </si>
  <si>
    <t>1.B - Fugitive Emissions from Fuels</t>
  </si>
  <si>
    <t>1.B.1</t>
  </si>
  <si>
    <t>1.B.1 - Solid Fuels</t>
  </si>
  <si>
    <t>1.B.2</t>
  </si>
  <si>
    <t>1.B.2 - Oil and Natural Gas and Other Emissions from Energy Production</t>
  </si>
  <si>
    <t>1.C</t>
  </si>
  <si>
    <t>1.C - CO2 Transport and Storage</t>
  </si>
  <si>
    <t>1.D.1</t>
  </si>
  <si>
    <t>1.D.1 - International Bunkers</t>
  </si>
  <si>
    <t>1.D</t>
  </si>
  <si>
    <t>1.D.1.a</t>
  </si>
  <si>
    <t>1.D.1.a - International Aviation</t>
  </si>
  <si>
    <t>1.D.1.b</t>
  </si>
  <si>
    <t>1.D.1.b - International Navigation</t>
  </si>
  <si>
    <t>1.D.2</t>
  </si>
  <si>
    <t>1.D.2 - Multilateral Operations</t>
  </si>
  <si>
    <t>IE</t>
  </si>
  <si>
    <t>1.D.3</t>
  </si>
  <si>
    <t>1.D.3 - CO2 emissions from biomass</t>
  </si>
  <si>
    <t>2.A</t>
  </si>
  <si>
    <t>2.A - Mineral Industry</t>
  </si>
  <si>
    <t>2.A.1</t>
  </si>
  <si>
    <t>2.A.1 - Cement Production</t>
  </si>
  <si>
    <t>2.A.2</t>
  </si>
  <si>
    <t>2.A.2 - Lime Production</t>
  </si>
  <si>
    <t>2.A.3</t>
  </si>
  <si>
    <t>2.A.3 - Glass production</t>
  </si>
  <si>
    <t>2.A.4</t>
  </si>
  <si>
    <t>2.A.4 - Other Process Uses of Carbonates</t>
  </si>
  <si>
    <t>2.B</t>
  </si>
  <si>
    <t>2.B - Chemical Industry</t>
  </si>
  <si>
    <t>2.B.1</t>
  </si>
  <si>
    <t>2.B.1 - Ammonia Production</t>
  </si>
  <si>
    <t>2.B.10</t>
  </si>
  <si>
    <t>2.B.10 - Other chemical industry</t>
  </si>
  <si>
    <t>2.B.2</t>
  </si>
  <si>
    <t>2.B.2 - Nitric Acid Production</t>
  </si>
  <si>
    <t>2.B.3</t>
  </si>
  <si>
    <t>2.B.3 - Adipic Acid Production</t>
  </si>
  <si>
    <t>2.B.4</t>
  </si>
  <si>
    <t>2.B.4 - Caprolactam, Glyoxal and Glyoxylic Acid Production</t>
  </si>
  <si>
    <t>2.B.5</t>
  </si>
  <si>
    <t>2.B.5 - Carbide Production</t>
  </si>
  <si>
    <t>2.B.6</t>
  </si>
  <si>
    <t>2.B.6 - Titanium Dioxide Production</t>
  </si>
  <si>
    <t>2.B.7</t>
  </si>
  <si>
    <t>2.B.7 - Soda Ash Production</t>
  </si>
  <si>
    <t>2.B.8</t>
  </si>
  <si>
    <t>2.B.8 - Petrochemical and Carbon Black Production</t>
  </si>
  <si>
    <t>2.B.9</t>
  </si>
  <si>
    <t>2.B.9 - Fluorochemical Production</t>
  </si>
  <si>
    <t>C,NO</t>
  </si>
  <si>
    <t>2.C</t>
  </si>
  <si>
    <t>2.C - Metal Industry</t>
  </si>
  <si>
    <t>2.C.1</t>
  </si>
  <si>
    <t>2.C.1 - Iron and Steel Production</t>
  </si>
  <si>
    <t>2.C.2</t>
  </si>
  <si>
    <t>2.C.2 - Ferroalloys Production</t>
  </si>
  <si>
    <t>2.C.3</t>
  </si>
  <si>
    <t>2.C.3 - Aluminium Production</t>
  </si>
  <si>
    <t>2.C.4</t>
  </si>
  <si>
    <t>2.C.4 - Magnesium Production</t>
  </si>
  <si>
    <t>2.C.5</t>
  </si>
  <si>
    <t>2.C.5 - Lead Production</t>
  </si>
  <si>
    <t>2.C.6</t>
  </si>
  <si>
    <t>2.C.6 - Zinc Production</t>
  </si>
  <si>
    <t>2.C.7</t>
  </si>
  <si>
    <t>2.C.7 - Other Metal Industry</t>
  </si>
  <si>
    <t>2.D</t>
  </si>
  <si>
    <t>2.D - Non-energy Products from Fuels and Solvent Use</t>
  </si>
  <si>
    <t>2.D.1</t>
  </si>
  <si>
    <t>2.D.1 - Lubricant Use</t>
  </si>
  <si>
    <t>2.D.2</t>
  </si>
  <si>
    <t>2.D.2 - Paraffin Wax Use</t>
  </si>
  <si>
    <t>2.D.3</t>
  </si>
  <si>
    <t>2.D.3 - Other non energy products</t>
  </si>
  <si>
    <t>2.E</t>
  </si>
  <si>
    <t>2.E - Electronics Industry</t>
  </si>
  <si>
    <t>2.E.1</t>
  </si>
  <si>
    <t>2.E.1 - Integrated Circuit or Semiconductor</t>
  </si>
  <si>
    <t>2.E.2</t>
  </si>
  <si>
    <t>2.E.2 - TFT Flat Panel Display</t>
  </si>
  <si>
    <t>2.E.3</t>
  </si>
  <si>
    <t>2.E.3 - Photovoltaics</t>
  </si>
  <si>
    <t>2.E.4</t>
  </si>
  <si>
    <t>2.E.4 - Heat Transfer Fluid</t>
  </si>
  <si>
    <t>2.E.5</t>
  </si>
  <si>
    <t>2.E.5 - Other electronics industry</t>
  </si>
  <si>
    <t>2.F</t>
  </si>
  <si>
    <t>2.F - Product Uses as Substitutes for ODS</t>
  </si>
  <si>
    <t>2.F.1</t>
  </si>
  <si>
    <t>2.F.1 - Refrigeration and Air conditioning</t>
  </si>
  <si>
    <t>2.F.2</t>
  </si>
  <si>
    <t>2.F.2 - Foam Blowing Agents</t>
  </si>
  <si>
    <t>2.F.3</t>
  </si>
  <si>
    <t>2.F.3 - Fire Protection</t>
  </si>
  <si>
    <t>2.F.4</t>
  </si>
  <si>
    <t>2.F.4 - Aerosols</t>
  </si>
  <si>
    <t>2.F.5</t>
  </si>
  <si>
    <t>2.F.5 - Solvents</t>
  </si>
  <si>
    <t>2.F.6</t>
  </si>
  <si>
    <t>2.F.6 - Other Applications</t>
  </si>
  <si>
    <t>2.G</t>
  </si>
  <si>
    <t>2.G - Other Product Manufacture and Use</t>
  </si>
  <si>
    <t>IE,NA</t>
  </si>
  <si>
    <t>2.H</t>
  </si>
  <si>
    <t>2.H - Other Industrial Process and Product Use</t>
  </si>
  <si>
    <t>3.A</t>
  </si>
  <si>
    <t>3.A - Enteric Fermentation</t>
  </si>
  <si>
    <t>3.A.1</t>
  </si>
  <si>
    <t>3.A.1 - Enteric Fermentation - Cattle</t>
  </si>
  <si>
    <t>3.A.2</t>
  </si>
  <si>
    <t>3.A.2 - Enteric Fermentation - Sheep</t>
  </si>
  <si>
    <t>3.A.3</t>
  </si>
  <si>
    <t>3.A.3 - Enteric Fermentation - Swine</t>
  </si>
  <si>
    <t>3.A.4</t>
  </si>
  <si>
    <t>3.A.4 - Enteric Fermentation - Other livestock</t>
  </si>
  <si>
    <t>3.B</t>
  </si>
  <si>
    <t>3.B - Manure Management</t>
  </si>
  <si>
    <t>3.B.1</t>
  </si>
  <si>
    <t>3.B.1 - Manure Management - Cattle</t>
  </si>
  <si>
    <t>3.B.2</t>
  </si>
  <si>
    <t>3.B.2 - Manure Management - Sheep</t>
  </si>
  <si>
    <t>3.B.3</t>
  </si>
  <si>
    <t>3.B.3 - Manure Management - Swine</t>
  </si>
  <si>
    <t>3.B.4</t>
  </si>
  <si>
    <t>3.B.4 - Manure Management - Other livestock</t>
  </si>
  <si>
    <t>3.B.5</t>
  </si>
  <si>
    <t>3.B.5 - Manure Management - Indirect N2O Emissions</t>
  </si>
  <si>
    <t>3.C</t>
  </si>
  <si>
    <t>3.C - Rice Cultivation</t>
  </si>
  <si>
    <t>NA,NO</t>
  </si>
  <si>
    <t>3.C.1</t>
  </si>
  <si>
    <t>3.C.1 - Irrigated</t>
  </si>
  <si>
    <t>3.C.2</t>
  </si>
  <si>
    <t>3.C.2 - Rainfed</t>
  </si>
  <si>
    <t>3.C.3</t>
  </si>
  <si>
    <t>3.C.3 - Deep Water</t>
  </si>
  <si>
    <t>3.C.4</t>
  </si>
  <si>
    <t>3.C.4 - Other Rice Cultivation</t>
  </si>
  <si>
    <t>3.D</t>
  </si>
  <si>
    <t>3.D - Agricultural Soils</t>
  </si>
  <si>
    <t>3.D.1</t>
  </si>
  <si>
    <t>3.D.1 - Direct N2O emissions from managed soils</t>
  </si>
  <si>
    <t>3.D.2</t>
  </si>
  <si>
    <t>3.D.2 - Indirect N2O emissions from managed soils</t>
  </si>
  <si>
    <t>3.E</t>
  </si>
  <si>
    <t>3.E - Prescribed Burning of Savannas</t>
  </si>
  <si>
    <t>3.F</t>
  </si>
  <si>
    <t>3.F - Field Burning of Agricultural Residues</t>
  </si>
  <si>
    <t>3.F.1</t>
  </si>
  <si>
    <t>3.F.1 - Cereals</t>
  </si>
  <si>
    <t>3.F.4</t>
  </si>
  <si>
    <t>3.F.4 - Sugar cane</t>
  </si>
  <si>
    <t>3.G</t>
  </si>
  <si>
    <t>3.G - Liming</t>
  </si>
  <si>
    <t>3.H</t>
  </si>
  <si>
    <t>3.H - Urea Application</t>
  </si>
  <si>
    <t>3.I</t>
  </si>
  <si>
    <t>3.I - Other Carbon-containing Fertilizers</t>
  </si>
  <si>
    <t>3.J</t>
  </si>
  <si>
    <t>3.J - Other agriculture emissions</t>
  </si>
  <si>
    <t>4.A</t>
  </si>
  <si>
    <t>4.A - Forest Land</t>
  </si>
  <si>
    <t>4.A.1</t>
  </si>
  <si>
    <t>4.A.1 - Forest Land remaining forest land</t>
  </si>
  <si>
    <t>4.A.2</t>
  </si>
  <si>
    <t>4.A.2 - Land converted to forest land</t>
  </si>
  <si>
    <t>4.B</t>
  </si>
  <si>
    <t>4.B - Cropland</t>
  </si>
  <si>
    <t>4.B.1</t>
  </si>
  <si>
    <t>4.B.1 - Cropland remaining cropland</t>
  </si>
  <si>
    <t>4.B.2</t>
  </si>
  <si>
    <t>4.B.2 - Land converted to cropland</t>
  </si>
  <si>
    <t>IE,NE,NO</t>
  </si>
  <si>
    <t>4.C</t>
  </si>
  <si>
    <t>4.C - Grassland</t>
  </si>
  <si>
    <t>4.C.1</t>
  </si>
  <si>
    <t>4.C.1 - Grassland remaining grassland</t>
  </si>
  <si>
    <t>4.C.2</t>
  </si>
  <si>
    <t>4.C.2 - Land converted to grassland</t>
  </si>
  <si>
    <t>4.D</t>
  </si>
  <si>
    <t>4.D - Wetlands</t>
  </si>
  <si>
    <t>4.D.1</t>
  </si>
  <si>
    <t>4.D.1 - Wetlands remaining wetlands</t>
  </si>
  <si>
    <t>4.D.2</t>
  </si>
  <si>
    <t>4.D.2 - Land converted to wetlands</t>
  </si>
  <si>
    <t>4.E</t>
  </si>
  <si>
    <t>4.E - Settlements</t>
  </si>
  <si>
    <t>4.E.1</t>
  </si>
  <si>
    <t>4.E.1 - Settlements remaining settlements</t>
  </si>
  <si>
    <t>4.E.2</t>
  </si>
  <si>
    <t>4.E.2 - Land converted to settlements</t>
  </si>
  <si>
    <t>4.F</t>
  </si>
  <si>
    <t>4.F - Other Land</t>
  </si>
  <si>
    <t>4.F.2</t>
  </si>
  <si>
    <t>4.F.2 - Land converted to other land</t>
  </si>
  <si>
    <t>4.G</t>
  </si>
  <si>
    <t>4.G - Harvested Wood Products</t>
  </si>
  <si>
    <t>4.H</t>
  </si>
  <si>
    <t>4.H - Other LULUCF</t>
  </si>
  <si>
    <t>4(II).A</t>
  </si>
  <si>
    <t>4(II).A 4(II) Emissions and removals from drainage and rewetting and other management of organic and mineral soils</t>
  </si>
  <si>
    <t>4(II).B</t>
  </si>
  <si>
    <t>4(II).B 4(II) Emissions and removals from drainage and rewetting and other management of organic and mineral soils</t>
  </si>
  <si>
    <t>IE,NE</t>
  </si>
  <si>
    <t>NE</t>
  </si>
  <si>
    <t>4(II).C</t>
  </si>
  <si>
    <t>4(II).C 4(II) Emissions and removals from drainage and rewetting and other management of organic and mineral soils</t>
  </si>
  <si>
    <t>4(II).D</t>
  </si>
  <si>
    <t>4(II).D 4(II)  Emissions and removals from drainage and rewetting and other management of organic and mineral soils</t>
  </si>
  <si>
    <t>4(III).F.2</t>
  </si>
  <si>
    <t>4(III).F.2 4(III).F Land converted to other land</t>
  </si>
  <si>
    <t>4(III).F</t>
  </si>
  <si>
    <t>4(IV).E</t>
  </si>
  <si>
    <t>4(IV).E 4(IV)  Biomass Burning</t>
  </si>
  <si>
    <t>4(IV).F</t>
  </si>
  <si>
    <t>4(IV).F 4.F Biomass Burning</t>
  </si>
  <si>
    <t>5.A</t>
  </si>
  <si>
    <t>5.A - Solid Waste Disposal</t>
  </si>
  <si>
    <t>5.A.1</t>
  </si>
  <si>
    <t>5.A.1 - Managed Waste Disposal Sites</t>
  </si>
  <si>
    <t>5.A.2</t>
  </si>
  <si>
    <t>5.A.2 - Unmanaged Waste Disposal Sites</t>
  </si>
  <si>
    <t>5.A.3</t>
  </si>
  <si>
    <t>5.A.3 - Uncategorized Waste Disposal Sites</t>
  </si>
  <si>
    <t>5.B</t>
  </si>
  <si>
    <t>5.B - Biological Treatment of Solid Waste</t>
  </si>
  <si>
    <t>5.B.1</t>
  </si>
  <si>
    <t>5.B.1 - Waste Composting</t>
  </si>
  <si>
    <t>5.B.2</t>
  </si>
  <si>
    <t>5.B.2 - Anaerobic Digestion at Biogas Facilities</t>
  </si>
  <si>
    <t>5.C</t>
  </si>
  <si>
    <t>5.C - Incineration and Open Burning of Waste</t>
  </si>
  <si>
    <t>5.C.1</t>
  </si>
  <si>
    <t>5.C.1 - Waste Incineration</t>
  </si>
  <si>
    <t>5.C.2</t>
  </si>
  <si>
    <t>5.C.2 - Open Burning of Waste</t>
  </si>
  <si>
    <t>5.D</t>
  </si>
  <si>
    <t>5.D - Wastewater Treatment and Discharge</t>
  </si>
  <si>
    <t>5.D.1</t>
  </si>
  <si>
    <t>5.D.1 - Domestic wastewater</t>
  </si>
  <si>
    <t>5.D.2</t>
  </si>
  <si>
    <t>5.D.2 - Industrial wastewater</t>
  </si>
  <si>
    <t>5.D.3</t>
  </si>
  <si>
    <t>5.D.3 - Other Wastewater</t>
  </si>
  <si>
    <t>5.E</t>
  </si>
  <si>
    <t>5.E - Other Disposal</t>
  </si>
  <si>
    <t>5.F.1</t>
  </si>
  <si>
    <t>5.F.1 - Long-term Storage of C in Waste Disposal Sites</t>
  </si>
  <si>
    <t>5.F</t>
  </si>
  <si>
    <t>5.F.2</t>
  </si>
  <si>
    <t>5.F.2 - Annual Change in Total Long-term C Storage</t>
  </si>
  <si>
    <t>5.F.3</t>
  </si>
  <si>
    <t>5.F.3 - Annual Change in Total Long-term C Storage in HWP Waste</t>
  </si>
  <si>
    <t>ind_CO2</t>
  </si>
  <si>
    <t>ind_CO2 - Indirect CO2</t>
  </si>
  <si>
    <t>Sectors/Totals_excl</t>
  </si>
  <si>
    <t>Total emissions (UNFCCC)</t>
  </si>
  <si>
    <t>Sectors/Totals_incl</t>
  </si>
  <si>
    <t>Total net emissions (UNFCCC)</t>
  </si>
  <si>
    <t>IE,NA,NE,NO</t>
  </si>
  <si>
    <t>C,IE,NA,NO</t>
  </si>
  <si>
    <t>Source: UNFCCC; National emissions reported to the UNFCCC and to the EU under the Governance Regulation, 2025 ver 2.0</t>
  </si>
  <si>
    <t>https://www.eea.europa.eu/en/datahub/datahubitem-view/3b7fe76c-524a-439a-bfd2-a6e4046302a2?activeAccordion=1095700%2C1095998</t>
  </si>
  <si>
    <t>Key (ETDataset)</t>
  </si>
  <si>
    <t>Mton (COPY to ETDataset)</t>
  </si>
  <si>
    <t>Source</t>
  </si>
  <si>
    <t>Mton</t>
  </si>
  <si>
    <t>UNFCCC</t>
  </si>
  <si>
    <t>UNFCCC - adjusted value</t>
  </si>
  <si>
    <t>Emissions as given by UNFCCC</t>
  </si>
  <si>
    <t>Value</t>
  </si>
  <si>
    <t>Comment</t>
  </si>
  <si>
    <t>Fertiliser industry non-energetic CO2 emissions</t>
  </si>
  <si>
    <t>Datadump CO2 emissions: Sector_code 2.B.1</t>
  </si>
  <si>
    <t>Emissions as expected from ETM calculations</t>
  </si>
  <si>
    <t>Fertiliser industry non-energetic natural gas demand</t>
  </si>
  <si>
    <t>PJ</t>
  </si>
  <si>
    <t>Natural gas specific CO2 emissions</t>
  </si>
  <si>
    <t>kg/MJ</t>
  </si>
  <si>
    <t>nl2019 carriers.csv</t>
  </si>
  <si>
    <t>Fertiliser industry capture rate</t>
  </si>
  <si>
    <t>%</t>
  </si>
  <si>
    <t>ETM</t>
  </si>
  <si>
    <t>Fertiliser industry non-energetic CO2 emissions on-the-spot</t>
  </si>
  <si>
    <t>Fertiliser industry non-energetic CO2 emissions delayed</t>
  </si>
  <si>
    <t>Emissions redestribution</t>
  </si>
  <si>
    <t>Difference fertiliser industry on-the-spot non-energetic CO2 emissions</t>
  </si>
  <si>
    <t>This is the amount of delayed emissions that the UNFCCC apparently still attributes to the fertiliser industry's non energetic CO2 emissions, instead of to the delayed emissions as the ETM does. Because the delayed emissions calculations cannot be changed, this amount needs to be subtracted from another sector that has non energetic CO2 emissions.</t>
  </si>
  <si>
    <t>UNFCCC original value. Other industry is chosen because it is likely that the delayed emissions occur in the food sector.</t>
  </si>
  <si>
    <t>Value adjusted for delayed emissions.</t>
  </si>
  <si>
    <t>Value new</t>
  </si>
  <si>
    <t>https://opendata.cbs.nl/#/CBS/en/dataset/83989ENG/table?dl=C21B2</t>
  </si>
  <si>
    <t>Helper: total non-energetic emissions</t>
  </si>
  <si>
    <t>Helper: other GHG</t>
  </si>
  <si>
    <t>Adjusted value based on expected non-energetic emissions from ETM</t>
  </si>
  <si>
    <t>Regionale kerncijfers Nederland</t>
  </si>
  <si>
    <t>Onderwerp</t>
  </si>
  <si>
    <t>Bevolking|Bevolkingssamenstelling op 1 januari|Totale bevolking</t>
  </si>
  <si>
    <t>Landbouw|Oppervlakte cultuurgrond|Totale oppervlakte</t>
  </si>
  <si>
    <t>Landbouw|Oppervlakte cultuurgrond|Akkerbouw</t>
  </si>
  <si>
    <t>Landbouw|Oppervlakte cultuurgrond|Tuinbouw open grond</t>
  </si>
  <si>
    <t>Landbouw|Oppervlakte cultuurgrond|Tuinbouw onder glas</t>
  </si>
  <si>
    <t>Landbouw|Oppervlakte cultuurgrond|Blijvend grasland</t>
  </si>
  <si>
    <t>Landbouw|Oppervlakte cultuurgrond|Natuurlijk grasland</t>
  </si>
  <si>
    <t>Landbouw|Oppervlakte cultuurgrond|Tijdelijk grasland</t>
  </si>
  <si>
    <t>Landbouw|Oppervlakte cultuurgrond|Groenvoedergewassen</t>
  </si>
  <si>
    <t>Milieu en bodemgebruik|Bodemgebruik|Oppervlakte|Totale oppervlakte</t>
  </si>
  <si>
    <t>Milieu en bodemgebruik|Bodemgebruik|Oppervlakte|Land</t>
  </si>
  <si>
    <t>Milieu en bodemgebruik|Bodemgebruik|Oppervlakte|Water|Water totaal</t>
  </si>
  <si>
    <t>Milieu en bodemgebruik|Bodemgebruik|Oppervlakte|Water|Binnenwater</t>
  </si>
  <si>
    <t>Milieu en bodemgebruik|Bodemgebruik|Oppervlakte|Water|Buitenwater</t>
  </si>
  <si>
    <t>Regio's</t>
  </si>
  <si>
    <t>Perioden</t>
  </si>
  <si>
    <t>aantal</t>
  </si>
  <si>
    <t>are</t>
  </si>
  <si>
    <t>km²</t>
  </si>
  <si>
    <t>Nederland</t>
  </si>
  <si>
    <t>Bron: CBS</t>
  </si>
  <si>
    <t>https://opendata.cbs.nl/statline/#/CBS/nl/dataset/70072ned/table?dl=C2207</t>
  </si>
  <si>
    <t>number_of_inhabitants</t>
  </si>
  <si>
    <t>-</t>
  </si>
  <si>
    <t>Bevolking; kerncijfers CBS; https://opendata.cbs.nl/statline/#/CBS/nl/dataset/70072ned/table?dl=C2207</t>
  </si>
  <si>
    <t>number_of_busses</t>
  </si>
  <si>
    <t>Retrieved from Eurostat table 'Motor coaches, buses and trolley buses, by type of vehicle', https://doi.org/10.2908/ROAD_EQS_BUSVEH</t>
  </si>
  <si>
    <t>number_of_cars</t>
  </si>
  <si>
    <t>Retrieved from Eurostat table 'Passenger cars by age', https://doi.org/10.2908/ROAD_EQS_CARAGE</t>
  </si>
  <si>
    <t>number_of_trucks</t>
  </si>
  <si>
    <t>Retrieved from Eurostat table 'Lorries, by type of motor energy', https://doi.org/10.2908/ROAD_EQS_LORMOT</t>
  </si>
  <si>
    <t>number_of_vans</t>
  </si>
  <si>
    <t>Data extracted on 04/04/2025 13:38:19 from [ESTAT]</t>
  </si>
  <si>
    <t xml:space="preserve">Dataset: </t>
  </si>
  <si>
    <t>Passenger cars by age [road_eqs_carage__custom_16126065]</t>
  </si>
  <si>
    <t xml:space="preserve">Last updated: </t>
  </si>
  <si>
    <t>11/03/2025 23:00</t>
  </si>
  <si>
    <t>https://doi.org/10.2908/ROAD_EQS_CARAGE</t>
  </si>
  <si>
    <t>Time frequency</t>
  </si>
  <si>
    <t>Annual</t>
  </si>
  <si>
    <t>Unit of measure</t>
  </si>
  <si>
    <t>Number</t>
  </si>
  <si>
    <t>Age class</t>
  </si>
  <si>
    <t>Total</t>
  </si>
  <si>
    <t>TIME</t>
  </si>
  <si>
    <t>2023</t>
  </si>
  <si>
    <t/>
  </si>
  <si>
    <t>GEO (Labels)</t>
  </si>
  <si>
    <t>Special value</t>
  </si>
  <si>
    <t>:</t>
  </si>
  <si>
    <t>not available</t>
  </si>
  <si>
    <t>Data extracted on 04/04/2025 13:50:34 from [ESTAT]</t>
  </si>
  <si>
    <t>Motor coaches, buses and trolley buses, by type of vehicle [road_eqs_busveh__custom_16126268]</t>
  </si>
  <si>
    <t>https://doi.org/10.2908/ROAD_EQS_BUSVEH</t>
  </si>
  <si>
    <t>Geopolitical entity (reporting)</t>
  </si>
  <si>
    <t>VEHICLE (Labels)</t>
  </si>
  <si>
    <t>Mini-buses and mini-coaches</t>
  </si>
  <si>
    <t>Buses</t>
  </si>
  <si>
    <t>Trolley buses</t>
  </si>
  <si>
    <t>Motor coaches</t>
  </si>
  <si>
    <t>Data extracted on 04/04/2025 13:47:07 from [ESTAT]</t>
  </si>
  <si>
    <t>Lorries, by type of motor energy [road_eqs_lormot__custom_16126205]</t>
  </si>
  <si>
    <t>https://doi.org/10.2908/ROAD_EQS_LORMOT</t>
  </si>
  <si>
    <t>Motor energy</t>
  </si>
  <si>
    <t>Lorries &gt; 3.5 tonnes</t>
  </si>
  <si>
    <t>Goods road motor vehicles &lt;= 3.5 tonnes</t>
  </si>
  <si>
    <t>co2_price</t>
  </si>
  <si>
    <t>euro/kg</t>
  </si>
  <si>
    <t>CO2 price</t>
  </si>
  <si>
    <t>€/tonne</t>
  </si>
  <si>
    <t>PBL KEV (2024) https://www.pbl.nl/publicaties/klimaat-en-energieverkenning-2024</t>
  </si>
  <si>
    <t>€/kg</t>
  </si>
  <si>
    <t>PBL KEV 2024; https://www.pbl.nl/publicaties/klimaat-en-energieverkenning-2024</t>
  </si>
  <si>
    <t>GEO_ID</t>
  </si>
  <si>
    <t>present_number_of_apartments_before_1945</t>
  </si>
  <si>
    <t>present_number_of_apartments_1945_1964</t>
  </si>
  <si>
    <t>present_number_of_apartments_1965_1984</t>
  </si>
  <si>
    <t>present_number_of_apartments_1985_2004</t>
  </si>
  <si>
    <t>present_number_of_apartments_2005_present</t>
  </si>
  <si>
    <t>present_number_of_detached_houses_before_1945</t>
  </si>
  <si>
    <t>present_number_of_detached_houses_1945_1964</t>
  </si>
  <si>
    <t>present_number_of_detached_houses_1965_1984</t>
  </si>
  <si>
    <t>present_number_of_detached_houses_1985_2004</t>
  </si>
  <si>
    <t>present_number_of_detached_houses_2005_present</t>
  </si>
  <si>
    <t>present_number_of_semi_detached_houses_before_1945</t>
  </si>
  <si>
    <t>present_number_of_semi_detached_houses_1945_1964</t>
  </si>
  <si>
    <t>present_number_of_semi_detached_houses_1965_1984</t>
  </si>
  <si>
    <t>present_number_of_semi_detached_houses_1985_2004</t>
  </si>
  <si>
    <t>present_number_of_semi_detached_houses_2005_present</t>
  </si>
  <si>
    <t>present_number_of_terraced_houses_before_1945</t>
  </si>
  <si>
    <t>present_number_of_terraced_houses_1945_1964</t>
  </si>
  <si>
    <t>present_number_of_terraced_houses_1965_1984</t>
  </si>
  <si>
    <t>present_number_of_terraced_houses_1985_2004</t>
  </si>
  <si>
    <t>present_number_of_terraced_houses_2005_present</t>
  </si>
  <si>
    <t>typical_useful_demand_for_space_heating_apartments_before_1945</t>
  </si>
  <si>
    <t>typical_useful_demand_for_space_heating_apartments_1945_1964</t>
  </si>
  <si>
    <t>typical_useful_demand_for_space_heating_apartments_1965_1984</t>
  </si>
  <si>
    <t>typical_useful_demand_for_space_heating_apartments_1985_2004</t>
  </si>
  <si>
    <t>typical_useful_demand_for_space_heating_apartments_2005_present</t>
  </si>
  <si>
    <t>typical_useful_demand_for_space_heating_apartments_future</t>
  </si>
  <si>
    <t>typical_useful_demand_for_space_heating_detached_houses_before_1945</t>
  </si>
  <si>
    <t>typical_useful_demand_for_space_heating_detached_houses_1945_1964</t>
  </si>
  <si>
    <t>typical_useful_demand_for_space_heating_detached_houses_1965_1984</t>
  </si>
  <si>
    <t>typical_useful_demand_for_space_heating_detached_houses_1985_2004</t>
  </si>
  <si>
    <t>typical_useful_demand_for_space_heating_detached_houses_2005_present</t>
  </si>
  <si>
    <t>typical_useful_demand_for_space_heating_detached_houses_future</t>
  </si>
  <si>
    <t>typical_useful_demand_for_space_heating_semi_detached_houses_before_1945</t>
  </si>
  <si>
    <t>typical_useful_demand_for_space_heating_semi_detached_houses_1945_1964</t>
  </si>
  <si>
    <t>typical_useful_demand_for_space_heating_semi_detached_houses_1965_1984</t>
  </si>
  <si>
    <t>typical_useful_demand_for_space_heating_semi_detached_houses_1985_2004</t>
  </si>
  <si>
    <t>typical_useful_demand_for_space_heating_semi_detached_houses_2005_present</t>
  </si>
  <si>
    <t>typical_useful_demand_for_space_heating_semi_detached_houses_future</t>
  </si>
  <si>
    <t>typical_useful_demand_for_space_heating_terraced_houses_before_1945</t>
  </si>
  <si>
    <t>typical_useful_demand_for_space_heating_terraced_houses_1945_1964</t>
  </si>
  <si>
    <t>typical_useful_demand_for_space_heating_terraced_houses_1965_1984</t>
  </si>
  <si>
    <t>typical_useful_demand_for_space_heating_terraced_houses_1985_2004</t>
  </si>
  <si>
    <t>typical_useful_demand_for_space_heating_terraced_houses_2005_present</t>
  </si>
  <si>
    <t>typical_useful_demand_for_space_heating_terraced_houses_future</t>
  </si>
  <si>
    <t>present_share_of_apartments_before_1945_in_useful_demand_for_space_heating</t>
  </si>
  <si>
    <t>present_share_of_apartments_1945_1964_in_useful_demand_for_space_heating</t>
  </si>
  <si>
    <t>present_share_of_apartments_1965_1984_in_useful_demand_for_space_heating</t>
  </si>
  <si>
    <t>present_share_of_apartments_1985_2004_in_useful_demand_for_space_heating</t>
  </si>
  <si>
    <t>present_share_of_apartments_2005_present_in_useful_demand_for_space_heating</t>
  </si>
  <si>
    <t>present_share_of_detached_houses_before_1945_in_useful_demand_for_space_heating</t>
  </si>
  <si>
    <t>present_share_of_detached_houses_1945_1964_in_useful_demand_for_space_heating</t>
  </si>
  <si>
    <t>present_share_of_detached_houses_1965_1984_in_useful_demand_for_space_heating</t>
  </si>
  <si>
    <t>present_share_of_detached_houses_1985_2004_in_useful_demand_for_space_heating</t>
  </si>
  <si>
    <t>present_share_of_detached_houses_2005_present_in_useful_demand_for_space_heating</t>
  </si>
  <si>
    <t>present_share_of_semi_detached_houses_before_1945_in_useful_demand_for_space_heating</t>
  </si>
  <si>
    <t>present_share_of_semi_detached_houses_1945_1964_in_useful_demand_for_space_heating</t>
  </si>
  <si>
    <t>present_share_of_semi_detached_houses_1965_1984_in_useful_demand_for_space_heating</t>
  </si>
  <si>
    <t>present_share_of_semi_detached_houses_1985_2004_in_useful_demand_for_space_heating</t>
  </si>
  <si>
    <t>present_share_of_semi_detached_houses_2005_present_in_useful_demand_for_space_heating</t>
  </si>
  <si>
    <t>present_share_of_terraced_houses_before_1945_in_useful_demand_for_space_heating</t>
  </si>
  <si>
    <t>present_share_of_terraced_houses_1945_1964_in_useful_demand_for_space_heating</t>
  </si>
  <si>
    <t>present_share_of_terraced_houses_1965_1984_in_useful_demand_for_space_heating</t>
  </si>
  <si>
    <t>present_share_of_terraced_houses_1985_2004_in_useful_demand_for_space_heating</t>
  </si>
  <si>
    <t>present_share_of_terraced_houses_2005_present_in_useful_demand_for_space_heating</t>
  </si>
  <si>
    <t>present_number_of_buildings</t>
  </si>
  <si>
    <t>typical_useful_demand_for_space_heating_buildings_present</t>
  </si>
  <si>
    <t>typical_useful_demand_for_space_heating_buildings_future</t>
  </si>
  <si>
    <t>GM1680</t>
  </si>
  <si>
    <t>GM0358</t>
  </si>
  <si>
    <t>GM0197</t>
  </si>
  <si>
    <t>GM0059</t>
  </si>
  <si>
    <t>GM0482</t>
  </si>
  <si>
    <t>GM0613</t>
  </si>
  <si>
    <t>GM0361</t>
  </si>
  <si>
    <t>GM0141</t>
  </si>
  <si>
    <t>GM0034</t>
  </si>
  <si>
    <t>GM0484</t>
  </si>
  <si>
    <t>GM1723</t>
  </si>
  <si>
    <t>GM0060</t>
  </si>
  <si>
    <t>GM0307</t>
  </si>
  <si>
    <t>GM0362</t>
  </si>
  <si>
    <t>GM0363</t>
  </si>
  <si>
    <t>GM0200</t>
  </si>
  <si>
    <t>GM0202</t>
  </si>
  <si>
    <t>GM0744</t>
  </si>
  <si>
    <t>GM0308</t>
  </si>
  <si>
    <t>GM0489</t>
  </si>
  <si>
    <t>GM0203</t>
  </si>
  <si>
    <t>GM0370</t>
  </si>
  <si>
    <t>GM1945</t>
  </si>
  <si>
    <t>GM1724</t>
  </si>
  <si>
    <t>GM0373</t>
  </si>
  <si>
    <t>GM0748</t>
  </si>
  <si>
    <t>GM1859</t>
  </si>
  <si>
    <t>GM0209</t>
  </si>
  <si>
    <t>GM0375</t>
  </si>
  <si>
    <t>GM1728</t>
  </si>
  <si>
    <t>GM0376</t>
  </si>
  <si>
    <t>GM0377</t>
  </si>
  <si>
    <t>GM1901</t>
  </si>
  <si>
    <t>GM0755</t>
  </si>
  <si>
    <t>GM1681</t>
  </si>
  <si>
    <t>GM0147</t>
  </si>
  <si>
    <t>GM0654</t>
  </si>
  <si>
    <t>GM0758</t>
  </si>
  <si>
    <t>GM0501</t>
  </si>
  <si>
    <t>GM1876</t>
  </si>
  <si>
    <t>GM0213</t>
  </si>
  <si>
    <t>GM0312</t>
  </si>
  <si>
    <t>GM0313</t>
  </si>
  <si>
    <t>GM0214</t>
  </si>
  <si>
    <t>GM0502</t>
  </si>
  <si>
    <t>GM0383</t>
  </si>
  <si>
    <t>GM0216</t>
  </si>
  <si>
    <t>GM0148</t>
  </si>
  <si>
    <t>GM1891</t>
  </si>
  <si>
    <t>GM0310</t>
  </si>
  <si>
    <t>GM1940</t>
  </si>
  <si>
    <t>GM0736</t>
  </si>
  <si>
    <t>GM1690</t>
  </si>
  <si>
    <t>GM0503</t>
  </si>
  <si>
    <t>GM0518</t>
  </si>
  <si>
    <t>GM0400</t>
  </si>
  <si>
    <t>GM0762</t>
  </si>
  <si>
    <t>GM0150</t>
  </si>
  <si>
    <t>GM0384</t>
  </si>
  <si>
    <t>GM1774</t>
  </si>
  <si>
    <t>GM0221</t>
  </si>
  <si>
    <t>GM0222</t>
  </si>
  <si>
    <t>GM0766</t>
  </si>
  <si>
    <t>GM0505</t>
  </si>
  <si>
    <t>GM0498</t>
  </si>
  <si>
    <t>GM1719</t>
  </si>
  <si>
    <t>GM0303</t>
  </si>
  <si>
    <t>GM0225</t>
  </si>
  <si>
    <t>GM0226</t>
  </si>
  <si>
    <t>GM0385</t>
  </si>
  <si>
    <t>GM0228</t>
  </si>
  <si>
    <t>GM0317</t>
  </si>
  <si>
    <t>GM0230</t>
  </si>
  <si>
    <t>GM0388</t>
  </si>
  <si>
    <t>GM0153</t>
  </si>
  <si>
    <t>GM0232</t>
  </si>
  <si>
    <t>GM0233</t>
  </si>
  <si>
    <t>GM0777</t>
  </si>
  <si>
    <t>GM0779</t>
  </si>
  <si>
    <t>GM0784</t>
  </si>
  <si>
    <t>GM1924</t>
  </si>
  <si>
    <t>GM0664</t>
  </si>
  <si>
    <t>GM0785</t>
  </si>
  <si>
    <t>GM1942</t>
  </si>
  <si>
    <t>GM0512</t>
  </si>
  <si>
    <t>GM0513</t>
  </si>
  <si>
    <t>GM0014</t>
  </si>
  <si>
    <t>GM0158</t>
  </si>
  <si>
    <t>GM0392</t>
  </si>
  <si>
    <t>GM0394</t>
  </si>
  <si>
    <t>GM1655</t>
  </si>
  <si>
    <t>GM0160</t>
  </si>
  <si>
    <t>GM0243</t>
  </si>
  <si>
    <t>GM0523</t>
  </si>
  <si>
    <t>GM0072</t>
  </si>
  <si>
    <t>GM0244</t>
  </si>
  <si>
    <t>GM0396</t>
  </si>
  <si>
    <t>GM0397</t>
  </si>
  <si>
    <t>GM0246</t>
  </si>
  <si>
    <t>GM0074</t>
  </si>
  <si>
    <t>GM0398</t>
  </si>
  <si>
    <t>GM0399</t>
  </si>
  <si>
    <t>GM0163</t>
  </si>
  <si>
    <t>GM0530</t>
  </si>
  <si>
    <t>GM0531</t>
  </si>
  <si>
    <t>GM0164</t>
  </si>
  <si>
    <t>GM0252</t>
  </si>
  <si>
    <t>GM0797</t>
  </si>
  <si>
    <t>GM0534</t>
  </si>
  <si>
    <t>GM0798</t>
  </si>
  <si>
    <t>GM0402</t>
  </si>
  <si>
    <t>GM1735</t>
  </si>
  <si>
    <t>GM1911</t>
  </si>
  <si>
    <t>GM0405</t>
  </si>
  <si>
    <t>GM0321</t>
  </si>
  <si>
    <t>GM0406</t>
  </si>
  <si>
    <t>GM0677</t>
  </si>
  <si>
    <t>GM0353</t>
  </si>
  <si>
    <t>GM1884</t>
  </si>
  <si>
    <t>GM0166</t>
  </si>
  <si>
    <t>GM0678</t>
  </si>
  <si>
    <t>GM0537</t>
  </si>
  <si>
    <t>GM1598</t>
  </si>
  <si>
    <t>GM0542</t>
  </si>
  <si>
    <t>GM1931</t>
  </si>
  <si>
    <t>GM0415</t>
  </si>
  <si>
    <t>GM0416</t>
  </si>
  <si>
    <t>GM1621</t>
  </si>
  <si>
    <t>GM0417</t>
  </si>
  <si>
    <t>GM0080</t>
  </si>
  <si>
    <t>GM0546</t>
  </si>
  <si>
    <t>GM0547</t>
  </si>
  <si>
    <t>GM1916</t>
  </si>
  <si>
    <t>GM0995</t>
  </si>
  <si>
    <t>GM0327</t>
  </si>
  <si>
    <t>GM1705</t>
  </si>
  <si>
    <t>GM0553</t>
  </si>
  <si>
    <t>GM0262</t>
  </si>
  <si>
    <t>GM0809</t>
  </si>
  <si>
    <t>GM0331</t>
  </si>
  <si>
    <t>GM0168</t>
  </si>
  <si>
    <t>GM0263</t>
  </si>
  <si>
    <t>GM0556</t>
  </si>
  <si>
    <t>GM0420</t>
  </si>
  <si>
    <t>GM0687</t>
  </si>
  <si>
    <t>GM1842</t>
  </si>
  <si>
    <t>GM1731</t>
  </si>
  <si>
    <t>GM1709</t>
  </si>
  <si>
    <t>GM1955</t>
  </si>
  <si>
    <t>GM0335</t>
  </si>
  <si>
    <t>GM1740</t>
  </si>
  <si>
    <t>GM0356</t>
  </si>
  <si>
    <t>GM0569</t>
  </si>
  <si>
    <t>GM0267</t>
  </si>
  <si>
    <t>GM0268</t>
  </si>
  <si>
    <t>GM1930</t>
  </si>
  <si>
    <t>GM1695</t>
  </si>
  <si>
    <t>GM1699</t>
  </si>
  <si>
    <t>GM0171</t>
  </si>
  <si>
    <t>GM0575</t>
  </si>
  <si>
    <t>GM0302</t>
  </si>
  <si>
    <t>GM0579</t>
  </si>
  <si>
    <t>GM0824</t>
  </si>
  <si>
    <t>GM1895</t>
  </si>
  <si>
    <t>GM0269</t>
  </si>
  <si>
    <t>GM0173</t>
  </si>
  <si>
    <t>GM1773</t>
  </si>
  <si>
    <t>GM0175</t>
  </si>
  <si>
    <t>GM1586</t>
  </si>
  <si>
    <t>GM0826</t>
  </si>
  <si>
    <t>GM0085</t>
  </si>
  <si>
    <t>GM0431</t>
  </si>
  <si>
    <t>GM0432</t>
  </si>
  <si>
    <t>GM1509</t>
  </si>
  <si>
    <t>GM0437</t>
  </si>
  <si>
    <t>GM0589</t>
  </si>
  <si>
    <t>GM1734</t>
  </si>
  <si>
    <t>GM0590</t>
  </si>
  <si>
    <t>GM0765</t>
  </si>
  <si>
    <t>GM1926</t>
  </si>
  <si>
    <t>GM0439</t>
  </si>
  <si>
    <t>GM0273</t>
  </si>
  <si>
    <t>GM0177</t>
  </si>
  <si>
    <t>GM0703</t>
  </si>
  <si>
    <t>GM0274</t>
  </si>
  <si>
    <t>GM0339</t>
  </si>
  <si>
    <t>GM0275</t>
  </si>
  <si>
    <t>GM0340</t>
  </si>
  <si>
    <t>GM0597</t>
  </si>
  <si>
    <t>GM1742</t>
  </si>
  <si>
    <t>GM0603</t>
  </si>
  <si>
    <t>GM1674</t>
  </si>
  <si>
    <t>GM0599</t>
  </si>
  <si>
    <t>GM0277</t>
  </si>
  <si>
    <t>GM0840</t>
  </si>
  <si>
    <t>GM0441</t>
  </si>
  <si>
    <t>GM0279</t>
  </si>
  <si>
    <t>GM0606</t>
  </si>
  <si>
    <t>GM0088</t>
  </si>
  <si>
    <t>GM1676</t>
  </si>
  <si>
    <t>GM0796</t>
  </si>
  <si>
    <t>GM0610</t>
  </si>
  <si>
    <t>GM1714</t>
  </si>
  <si>
    <t>GM0090</t>
  </si>
  <si>
    <t>GM0342</t>
  </si>
  <si>
    <t>GM0180</t>
  </si>
  <si>
    <t>GM0532</t>
  </si>
  <si>
    <t>GM0851</t>
  </si>
  <si>
    <t>GM1708</t>
  </si>
  <si>
    <t>GM1904</t>
  </si>
  <si>
    <t>GM0715</t>
  </si>
  <si>
    <t>GM0093</t>
  </si>
  <si>
    <t>GM0448</t>
  </si>
  <si>
    <t>GM1525</t>
  </si>
  <si>
    <t>GM0716</t>
  </si>
  <si>
    <t>GM0281</t>
  </si>
  <si>
    <t>GM0855</t>
  </si>
  <si>
    <t>GM0183</t>
  </si>
  <si>
    <t>GM1700</t>
  </si>
  <si>
    <t>GM1730</t>
  </si>
  <si>
    <t>GM0737</t>
  </si>
  <si>
    <t>GM0450</t>
  </si>
  <si>
    <t>GM0451</t>
  </si>
  <si>
    <t>GM0184</t>
  </si>
  <si>
    <t>GM0344</t>
  </si>
  <si>
    <t>GM1581</t>
  </si>
  <si>
    <t>GM0858</t>
  </si>
  <si>
    <t>GM0345</t>
  </si>
  <si>
    <t>GM0717</t>
  </si>
  <si>
    <t>GM0861</t>
  </si>
  <si>
    <t>GM0453</t>
  </si>
  <si>
    <t>GM0622</t>
  </si>
  <si>
    <t>GM0096</t>
  </si>
  <si>
    <t>GM0718</t>
  </si>
  <si>
    <t>GM0626</t>
  </si>
  <si>
    <t>GM0285</t>
  </si>
  <si>
    <t>GM0867</t>
  </si>
  <si>
    <t>GM0627</t>
  </si>
  <si>
    <t>GM0289</t>
  </si>
  <si>
    <t>GM0629</t>
  </si>
  <si>
    <t>GM0852</t>
  </si>
  <si>
    <t>GM0457</t>
  </si>
  <si>
    <t>GM0668</t>
  </si>
  <si>
    <t>GM1701</t>
  </si>
  <si>
    <t>GM0293</t>
  </si>
  <si>
    <t>GM1783</t>
  </si>
  <si>
    <t>GM0098</t>
  </si>
  <si>
    <t>GM0614</t>
  </si>
  <si>
    <t>GM0189</t>
  </si>
  <si>
    <t>GM0296</t>
  </si>
  <si>
    <t>GM1696</t>
  </si>
  <si>
    <t>GM0352</t>
  </si>
  <si>
    <t>GM0294</t>
  </si>
  <si>
    <t>GM0632</t>
  </si>
  <si>
    <t>GM0880</t>
  </si>
  <si>
    <t>GM0351</t>
  </si>
  <si>
    <t>GM0479</t>
  </si>
  <si>
    <t>GM0297</t>
  </si>
  <si>
    <t>GM0473</t>
  </si>
  <si>
    <t>GM0050</t>
  </si>
  <si>
    <t>GM0355</t>
  </si>
  <si>
    <t>GM0299</t>
  </si>
  <si>
    <t>GM0637</t>
  </si>
  <si>
    <t>GM0638</t>
  </si>
  <si>
    <t>GM1892</t>
  </si>
  <si>
    <t>GM0301</t>
  </si>
  <si>
    <t>GM1896</t>
  </si>
  <si>
    <t>GM0642</t>
  </si>
  <si>
    <t>GM0193</t>
  </si>
  <si>
    <t>GM1948</t>
  </si>
  <si>
    <t>GM1950</t>
  </si>
  <si>
    <t>GM1952</t>
  </si>
  <si>
    <t>GM1961</t>
  </si>
  <si>
    <t>GM1960</t>
  </si>
  <si>
    <t>GM1966</t>
  </si>
  <si>
    <t>GM1959</t>
  </si>
  <si>
    <t>GM1963</t>
  </si>
  <si>
    <t>GM1978</t>
  </si>
  <si>
    <t>GM1970</t>
  </si>
  <si>
    <t>GM0037</t>
  </si>
  <si>
    <t>GM0047</t>
  </si>
  <si>
    <t>GM0086</t>
  </si>
  <si>
    <t>GM0106</t>
  </si>
  <si>
    <t>GM0109</t>
  </si>
  <si>
    <t>GM0114</t>
  </si>
  <si>
    <t>GM0118</t>
  </si>
  <si>
    <t>GM0119</t>
  </si>
  <si>
    <t>GM0743</t>
  </si>
  <si>
    <t>GM0753</t>
  </si>
  <si>
    <t>GM0756</t>
  </si>
  <si>
    <t>GM0757</t>
  </si>
  <si>
    <t>GM0770</t>
  </si>
  <si>
    <t>GM0772</t>
  </si>
  <si>
    <t>GM0786</t>
  </si>
  <si>
    <t>GM0794</t>
  </si>
  <si>
    <t>GM0815</t>
  </si>
  <si>
    <t>GM0820</t>
  </si>
  <si>
    <t>GM0823</t>
  </si>
  <si>
    <t>GM0828</t>
  </si>
  <si>
    <t>GM0845</t>
  </si>
  <si>
    <t>GM0847</t>
  </si>
  <si>
    <t>GM0848</t>
  </si>
  <si>
    <t>GM0856</t>
  </si>
  <si>
    <t>GM0865</t>
  </si>
  <si>
    <t>GM0866</t>
  </si>
  <si>
    <t>GM0873</t>
  </si>
  <si>
    <t>GM0879</t>
  </si>
  <si>
    <t>GM0882</t>
  </si>
  <si>
    <t>GM0888</t>
  </si>
  <si>
    <t>GM0889</t>
  </si>
  <si>
    <t>GM0893</t>
  </si>
  <si>
    <t>GM0899</t>
  </si>
  <si>
    <t>GM0907</t>
  </si>
  <si>
    <t>GM0917</t>
  </si>
  <si>
    <t>GM0928</t>
  </si>
  <si>
    <t>GM0935</t>
  </si>
  <si>
    <t>GM0938</t>
  </si>
  <si>
    <t>GM0944</t>
  </si>
  <si>
    <t>GM0946</t>
  </si>
  <si>
    <t>GM0957</t>
  </si>
  <si>
    <t>GM0965</t>
  </si>
  <si>
    <t>GM0971</t>
  </si>
  <si>
    <t>GM0981</t>
  </si>
  <si>
    <t>GM0983</t>
  </si>
  <si>
    <t>GM0984</t>
  </si>
  <si>
    <t>GM0986</t>
  </si>
  <si>
    <t>GM0988</t>
  </si>
  <si>
    <t>GM0994</t>
  </si>
  <si>
    <t>GM1507</t>
  </si>
  <si>
    <t>GM1640</t>
  </si>
  <si>
    <t>GM1641</t>
  </si>
  <si>
    <t>GM1652</t>
  </si>
  <si>
    <t>GM1658</t>
  </si>
  <si>
    <t>GM1659</t>
  </si>
  <si>
    <t>GM1667</t>
  </si>
  <si>
    <t>GM1669</t>
  </si>
  <si>
    <t>GM1684</t>
  </si>
  <si>
    <t>GM1685</t>
  </si>
  <si>
    <t>GM1702</t>
  </si>
  <si>
    <t>GM1706</t>
  </si>
  <si>
    <t>GM1711</t>
  </si>
  <si>
    <t>GM1721</t>
  </si>
  <si>
    <t>GM1729</t>
  </si>
  <si>
    <t>GM1771</t>
  </si>
  <si>
    <t>GM1883</t>
  </si>
  <si>
    <t>GM1894</t>
  </si>
  <si>
    <t>GM1900</t>
  </si>
  <si>
    <t>GM1903</t>
  </si>
  <si>
    <t>GM1949</t>
  </si>
  <si>
    <t>GM1954</t>
  </si>
  <si>
    <t>GM1969</t>
  </si>
  <si>
    <t>GM1979</t>
  </si>
  <si>
    <t>Domain</t>
  </si>
  <si>
    <t>Subject</t>
  </si>
  <si>
    <t>Measurement</t>
  </si>
  <si>
    <t>Construction period</t>
  </si>
  <si>
    <t>Sector</t>
  </si>
  <si>
    <t>Building use</t>
  </si>
  <si>
    <t>Publication date</t>
  </si>
  <si>
    <t>Reference year</t>
  </si>
  <si>
    <t>Building stock</t>
  </si>
  <si>
    <t>Useful floor area</t>
  </si>
  <si>
    <t>0-1945</t>
  </si>
  <si>
    <t>Service</t>
  </si>
  <si>
    <t>Educational buildings</t>
  </si>
  <si>
    <t>m2</t>
  </si>
  <si>
    <t>Health buildings</t>
  </si>
  <si>
    <t>Hotels and Restaurants</t>
  </si>
  <si>
    <t>Offices</t>
  </si>
  <si>
    <t>Other non-residential buildings</t>
  </si>
  <si>
    <t>Trade buildings</t>
  </si>
  <si>
    <t>1946-1969</t>
  </si>
  <si>
    <t>1970-1979</t>
  </si>
  <si>
    <t>1980-1989</t>
  </si>
  <si>
    <t>1990-1999</t>
  </si>
  <si>
    <t>2000-2010</t>
  </si>
  <si>
    <t>2011-now</t>
  </si>
  <si>
    <t>Woning equivalent</t>
  </si>
  <si>
    <t>Building stock expressed in WEQ</t>
  </si>
  <si>
    <t>Total non-residential buildings surface</t>
  </si>
  <si>
    <t>Nr of WEQ</t>
  </si>
  <si>
    <t>Comparison</t>
  </si>
  <si>
    <t>number of buildings</t>
  </si>
  <si>
    <t>factor difference</t>
  </si>
  <si>
    <t>Copied from source_analyses/EU27_european_union/2019/eu_datasets/additional_data/Sources/Input_EU_building_stock_observatory.xlsx</t>
  </si>
  <si>
    <t>Building Stock Observatory, https://energy.ec.europa.eu/topics/energy-efficiency/energy-efficient-buildings/eu-building-stock-observatory_en</t>
  </si>
  <si>
    <t>present_number_of_buildings_present</t>
  </si>
  <si>
    <t>EU Building Stock Observatory; surface area covered by non-residential buildings and expressed in 'woningequivalenten' (WEQ)</t>
  </si>
  <si>
    <t>Emissions</t>
  </si>
  <si>
    <t>Values below are copied from source_analyses/general/11_area/greenhouse_gas_emissions.xlsx</t>
  </si>
  <si>
    <t>EEA 2023; see source_analyses/general/11_area/greenhouse_gas_emissions.xlsx</t>
  </si>
  <si>
    <t>https://www.nplw.nl/uploads/files/Warmteprogramma/Handreiking-Warmteprogramma-NPLW.pdf</t>
  </si>
  <si>
    <t>Results of Jupyter notebook</t>
  </si>
  <si>
    <t>The Jupyter notebook is used for the regional datasets and does an aggregation for national values</t>
  </si>
  <si>
    <t>nl2023</t>
  </si>
  <si>
    <t>vbo_opp_m2</t>
  </si>
  <si>
    <t>Functionele vraag ruimteverwarming (kWh)</t>
  </si>
  <si>
    <t>Gemiddelde netto warmtevraag (kWh/m2)</t>
  </si>
  <si>
    <t>Aantal gebouwen (weq)</t>
  </si>
  <si>
    <t>Comparison BSO with Jupyter notebook</t>
  </si>
  <si>
    <t>Nr of WEQ BSO</t>
  </si>
  <si>
    <t>Nr of WEQ Jupyter</t>
  </si>
  <si>
    <t>difference is accceptable, the WBSO value is now assumed</t>
  </si>
  <si>
    <t>kWh/m2</t>
  </si>
  <si>
    <t>etdataset/pipelines/Built environment stock Dutch municipalities.ipynb</t>
  </si>
  <si>
    <t>Aggregated result of built environment analysis for Dutch municipalities; see pipelines/Built environment stock Dutch municipalities.ipynb</t>
  </si>
  <si>
    <t>co2_percentage_free</t>
  </si>
  <si>
    <t>Unit type</t>
  </si>
  <si>
    <t>Total electricity production (TJ)</t>
  </si>
  <si>
    <t>Coal/Wood pellets Ultra supercritical co-firing</t>
  </si>
  <si>
    <t>Coal Supercritical</t>
  </si>
  <si>
    <t>Coal Ultra supercritical</t>
  </si>
  <si>
    <t>Coal Ultra supercritical ccs</t>
  </si>
  <si>
    <t>Coal Combined cycle</t>
  </si>
  <si>
    <t>Coal Combined cycle ccs</t>
  </si>
  <si>
    <t>Coal gas Combined cycle</t>
  </si>
  <si>
    <t>Lignite Ultra supercritical</t>
  </si>
  <si>
    <t>Lignite Ultra supercritical oxyfuel ccs</t>
  </si>
  <si>
    <t>Gas Engine</t>
  </si>
  <si>
    <t>Gas Turbine</t>
  </si>
  <si>
    <t>Gas Combined cycle</t>
  </si>
  <si>
    <t>Gas Combined cycle ccs</t>
  </si>
  <si>
    <t>Gas Ultra supercritical</t>
  </si>
  <si>
    <t>Oil Ultra supercritical</t>
  </si>
  <si>
    <t>Diesel Engine</t>
  </si>
  <si>
    <t>Waste Supercritical</t>
  </si>
  <si>
    <t>Nuclear 2nd gen</t>
  </si>
  <si>
    <t>Nuclear 3rd gen</t>
  </si>
  <si>
    <t>Hydro river</t>
  </si>
  <si>
    <t>Hydro mountain</t>
  </si>
  <si>
    <t>Geothermal</t>
  </si>
  <si>
    <t>Large scale solar PV</t>
  </si>
  <si>
    <t>Large scale solar CSP</t>
  </si>
  <si>
    <t>Wind turbine coastal</t>
  </si>
  <si>
    <t>Wind turbine offshore</t>
  </si>
  <si>
    <t>Wind turbine inland</t>
  </si>
  <si>
    <t>Solar PV in household sector</t>
  </si>
  <si>
    <t>Solar PV in services sector</t>
  </si>
  <si>
    <t>Energy CHP CC network_gas</t>
  </si>
  <si>
    <t>Industry CHP CC fuelmix</t>
  </si>
  <si>
    <t>Energy CHP engine network_gas</t>
  </si>
  <si>
    <t>Industry CHP engine fuelmix</t>
  </si>
  <si>
    <t>Total electricity production</t>
  </si>
  <si>
    <t>Industry electricity production</t>
  </si>
  <si>
    <t>Share of industry in total</t>
  </si>
  <si>
    <t>Calculations</t>
  </si>
  <si>
    <t>"Results by machine" taken from 2_power_and_heat_plant_analysis</t>
  </si>
  <si>
    <t>TJ</t>
  </si>
  <si>
    <t>Only industry sector are assigned free allowances</t>
  </si>
  <si>
    <t>Share of free allowances in industry</t>
  </si>
  <si>
    <t>See Sandbag (2024)</t>
  </si>
  <si>
    <t>Sandbag (2024), see https://sandbag.be/2024/10/07/a-closer-look-at-2023-emissions/</t>
  </si>
  <si>
    <t>Free allocation in the ETM is assigned to all electricity production instead of being excluded from the power sector. Therefore the average free allocation to electricity generation is defined here as the share of industry electricity production multiplied by the share of emissions covered by free allowances in the industry sector.</t>
  </si>
  <si>
    <t>Share of free allowances in industry assigned to the share of industry in total electricity production; see sheet "Free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</si>
</sst>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6"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Calibri"/>
      <family val="2"/>
      <scheme val="minor"/>
    </font>
    <font>
      <sz val="11"/>
      <color indexed="8"/>
      <name val="Calibri"/>
      <family val="2"/>
      <scheme val="minor"/>
    </font>
    <font>
      <b/>
      <sz val="12"/>
      <color theme="1"/>
      <name val="Calibri"/>
      <family val="2"/>
      <scheme val="minor"/>
    </font>
    <font>
      <sz val="9"/>
      <name val="Arial"/>
      <family val="2"/>
    </font>
    <font>
      <b/>
      <sz val="9"/>
      <name val="Arial"/>
      <family val="2"/>
    </font>
    <font>
      <b/>
      <sz val="9"/>
      <color indexed="9"/>
      <name val="Arial"/>
      <family val="2"/>
    </font>
    <font>
      <sz val="12"/>
      <color theme="1"/>
      <name val="Calibri"/>
      <family val="2"/>
    </font>
    <font>
      <sz val="11"/>
      <color theme="1"/>
      <name val="Satoshi"/>
      <family val="2"/>
    </font>
    <font>
      <b/>
      <sz val="12"/>
      <color theme="1"/>
      <name val="Calibri"/>
      <family val="2"/>
    </font>
    <font>
      <sz val="12"/>
      <color rgb="FF000000"/>
      <name val="Calibri"/>
      <family val="2"/>
    </font>
    <font>
      <u/>
      <sz val="12"/>
      <color theme="10"/>
      <name val="Calibri"/>
      <family val="2"/>
    </font>
    <font>
      <u/>
      <sz val="12"/>
      <color theme="1"/>
      <name val="Calibri"/>
      <family val="2"/>
    </font>
    <font>
      <sz val="12"/>
      <color rgb="FF000000"/>
      <name val="Calibri"/>
      <family val="2"/>
      <scheme val="minor"/>
    </font>
  </fonts>
  <fills count="7">
    <fill>
      <patternFill patternType="none"/>
    </fill>
    <fill>
      <patternFill patternType="gray125"/>
    </fill>
    <fill>
      <patternFill patternType="solid">
        <fgColor rgb="FF4669AF"/>
      </patternFill>
    </fill>
    <fill>
      <patternFill patternType="solid">
        <fgColor rgb="FF0096DC"/>
      </patternFill>
    </fill>
    <fill>
      <patternFill patternType="mediumGray">
        <bgColor indexed="22"/>
      </patternFill>
    </fill>
    <fill>
      <patternFill patternType="solid">
        <fgColor rgb="FFDCE6F1"/>
      </patternFill>
    </fill>
    <fill>
      <patternFill patternType="solid">
        <fgColor rgb="FFF6F6F6"/>
      </patternFill>
    </fill>
  </fills>
  <borders count="4">
    <border>
      <left/>
      <right/>
      <top/>
      <bottom/>
      <diagonal/>
    </border>
    <border>
      <left style="thin">
        <color rgb="FFB0B0B0"/>
      </left>
      <right style="thin">
        <color rgb="FFB0B0B0"/>
      </right>
      <top style="thin">
        <color rgb="FFB0B0B0"/>
      </top>
      <bottom style="thin">
        <color rgb="FFB0B0B0"/>
      </bottom>
      <diagonal/>
    </border>
    <border>
      <left/>
      <right/>
      <top/>
      <bottom style="thin">
        <color indexed="64"/>
      </bottom>
      <diagonal/>
    </border>
    <border>
      <left/>
      <right/>
      <top style="thin">
        <color indexed="64"/>
      </top>
      <bottom/>
      <diagonal/>
    </border>
  </borders>
  <cellStyleXfs count="9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9" fontId="3" fillId="0" borderId="0" applyFont="0" applyFill="0" applyBorder="0" applyAlignment="0" applyProtection="0"/>
    <xf numFmtId="0" fontId="4" fillId="0" borderId="0"/>
    <xf numFmtId="9" fontId="3" fillId="0" borderId="0" applyFont="0" applyFill="0" applyBorder="0" applyAlignment="0" applyProtection="0"/>
    <xf numFmtId="0" fontId="1" fillId="0" borderId="0" applyNumberFormat="0" applyFill="0" applyBorder="0" applyAlignment="0" applyProtection="0"/>
    <xf numFmtId="0" fontId="10" fillId="0" borderId="0"/>
  </cellStyleXfs>
  <cellXfs count="42">
    <xf numFmtId="0" fontId="0" fillId="0" borderId="0" xfId="0"/>
    <xf numFmtId="0" fontId="1" fillId="0" borderId="0" xfId="88"/>
    <xf numFmtId="0" fontId="5" fillId="0" borderId="0" xfId="0" applyFont="1"/>
    <xf numFmtId="2" fontId="0" fillId="0" borderId="0" xfId="0" applyNumberFormat="1"/>
    <xf numFmtId="9" fontId="0" fillId="0" borderId="0" xfId="87" applyFont="1"/>
    <xf numFmtId="2" fontId="0" fillId="0" borderId="0" xfId="87" applyNumberFormat="1" applyFont="1"/>
    <xf numFmtId="164" fontId="0" fillId="0" borderId="0" xfId="0" applyNumberFormat="1"/>
    <xf numFmtId="0" fontId="0" fillId="0" borderId="0" xfId="0" applyAlignment="1">
      <alignment wrapText="1"/>
    </xf>
    <xf numFmtId="3" fontId="0" fillId="0" borderId="0" xfId="0" applyNumberFormat="1"/>
    <xf numFmtId="0" fontId="6" fillId="0" borderId="0" xfId="86" applyFont="1" applyAlignment="1">
      <alignment horizontal="left" vertical="center"/>
    </xf>
    <xf numFmtId="0" fontId="4" fillId="0" borderId="0" xfId="86"/>
    <xf numFmtId="0" fontId="7" fillId="0" borderId="0" xfId="86" applyFont="1" applyAlignment="1">
      <alignment horizontal="left" vertical="center"/>
    </xf>
    <xf numFmtId="0" fontId="8" fillId="2" borderId="1" xfId="86" applyFont="1" applyFill="1" applyBorder="1" applyAlignment="1">
      <alignment horizontal="right" vertical="center"/>
    </xf>
    <xf numFmtId="0" fontId="7" fillId="3" borderId="1" xfId="86" applyFont="1" applyFill="1" applyBorder="1" applyAlignment="1">
      <alignment horizontal="left" vertical="center"/>
    </xf>
    <xf numFmtId="0" fontId="4" fillId="4" borderId="0" xfId="86" applyFill="1"/>
    <xf numFmtId="0" fontId="7" fillId="5" borderId="1" xfId="86" applyFont="1" applyFill="1" applyBorder="1" applyAlignment="1">
      <alignment horizontal="left" vertical="center"/>
    </xf>
    <xf numFmtId="3" fontId="6" fillId="0" borderId="0" xfId="86" applyNumberFormat="1" applyFont="1" applyAlignment="1">
      <alignment horizontal="right" vertical="center" shrinkToFit="1"/>
    </xf>
    <xf numFmtId="0" fontId="1" fillId="0" borderId="0" xfId="88" applyAlignment="1">
      <alignment horizontal="left" vertical="center"/>
    </xf>
    <xf numFmtId="3" fontId="6" fillId="6" borderId="0" xfId="86" applyNumberFormat="1" applyFont="1" applyFill="1" applyAlignment="1">
      <alignment horizontal="right" vertical="center" shrinkToFit="1"/>
    </xf>
    <xf numFmtId="0" fontId="10" fillId="0" borderId="0" xfId="89"/>
    <xf numFmtId="0" fontId="12" fillId="0" borderId="0" xfId="89" applyFont="1"/>
    <xf numFmtId="0" fontId="9" fillId="0" borderId="0" xfId="89" applyFont="1"/>
    <xf numFmtId="0" fontId="11" fillId="0" borderId="0" xfId="0" applyFont="1"/>
    <xf numFmtId="0" fontId="9" fillId="0" borderId="0" xfId="0" applyFont="1"/>
    <xf numFmtId="0" fontId="13" fillId="0" borderId="0" xfId="88" applyFont="1"/>
    <xf numFmtId="1" fontId="9" fillId="0" borderId="0" xfId="89" applyNumberFormat="1" applyFont="1"/>
    <xf numFmtId="0" fontId="14" fillId="0" borderId="0" xfId="89" applyFont="1"/>
    <xf numFmtId="165" fontId="9" fillId="0" borderId="0" xfId="89" applyNumberFormat="1" applyFont="1"/>
    <xf numFmtId="1" fontId="0" fillId="0" borderId="0" xfId="0" applyNumberFormat="1"/>
    <xf numFmtId="0" fontId="14" fillId="0" borderId="0" xfId="0" applyFont="1"/>
    <xf numFmtId="1" fontId="9" fillId="0" borderId="0" xfId="0" applyNumberFormat="1" applyFont="1"/>
    <xf numFmtId="2" fontId="9" fillId="0" borderId="0" xfId="0" applyNumberFormat="1" applyFont="1"/>
    <xf numFmtId="165" fontId="9" fillId="0" borderId="0" xfId="0" applyNumberFormat="1" applyFont="1"/>
    <xf numFmtId="0" fontId="15" fillId="0" borderId="0" xfId="0" applyFont="1"/>
    <xf numFmtId="0" fontId="8" fillId="2" borderId="1" xfId="86" applyFont="1" applyFill="1" applyBorder="1" applyAlignment="1">
      <alignment horizontal="left" vertical="center"/>
    </xf>
    <xf numFmtId="0" fontId="5" fillId="0" borderId="2" xfId="0" applyFont="1" applyBorder="1"/>
    <xf numFmtId="0" fontId="0" fillId="0" borderId="2" xfId="0" applyBorder="1"/>
    <xf numFmtId="0" fontId="0" fillId="0" borderId="3" xfId="0" applyBorder="1" applyAlignment="1">
      <alignment horizontal="left" vertical="center"/>
    </xf>
    <xf numFmtId="0" fontId="0" fillId="0" borderId="0" xfId="0" applyAlignment="1">
      <alignment horizontal="left" vertical="center"/>
    </xf>
    <xf numFmtId="0" fontId="0" fillId="0" borderId="2" xfId="0" applyBorder="1" applyAlignment="1">
      <alignment horizontal="left" vertical="center"/>
    </xf>
    <xf numFmtId="9" fontId="0" fillId="0" borderId="0" xfId="0" applyNumberFormat="1"/>
    <xf numFmtId="0" fontId="0" fillId="0" borderId="0" xfId="0" applyNumberFormat="1"/>
  </cellXfs>
  <cellStyles count="9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8" builtinId="8"/>
    <cellStyle name="Normal" xfId="0" builtinId="0"/>
    <cellStyle name="Normal 2" xfId="86" xr:uid="{1EA803E7-E6C2-0E47-B789-D022251BE372}"/>
    <cellStyle name="Normal 3" xfId="89" xr:uid="{ED7FAF0D-DB3E-0942-90BB-76EF6251E330}"/>
    <cellStyle name="Per cent" xfId="87" builtinId="5"/>
    <cellStyle name="Percent 2" xfId="85" xr:uid="{00000000-0005-0000-0000-000056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127000</xdr:colOff>
      <xdr:row>45</xdr:row>
      <xdr:rowOff>190500</xdr:rowOff>
    </xdr:from>
    <xdr:to>
      <xdr:col>3</xdr:col>
      <xdr:colOff>3797300</xdr:colOff>
      <xdr:row>53</xdr:row>
      <xdr:rowOff>89573</xdr:rowOff>
    </xdr:to>
    <xdr:pic>
      <xdr:nvPicPr>
        <xdr:cNvPr id="2" name="Picture 1">
          <a:extLst>
            <a:ext uri="{FF2B5EF4-FFF2-40B4-BE49-F238E27FC236}">
              <a16:creationId xmlns:a16="http://schemas.microsoft.com/office/drawing/2014/main" id="{23E50985-2EDA-D2FC-5DE8-DEB629190E02}"/>
            </a:ext>
          </a:extLst>
        </xdr:cNvPr>
        <xdr:cNvPicPr>
          <a:picLocks noChangeAspect="1"/>
        </xdr:cNvPicPr>
      </xdr:nvPicPr>
      <xdr:blipFill>
        <a:blip xmlns:r="http://schemas.openxmlformats.org/officeDocument/2006/relationships" r:embed="rId1"/>
        <a:stretch>
          <a:fillRect/>
        </a:stretch>
      </xdr:blipFill>
      <xdr:spPr>
        <a:xfrm>
          <a:off x="952500" y="10210800"/>
          <a:ext cx="8750300" cy="1524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660400</xdr:colOff>
      <xdr:row>3</xdr:row>
      <xdr:rowOff>139701</xdr:rowOff>
    </xdr:from>
    <xdr:to>
      <xdr:col>12</xdr:col>
      <xdr:colOff>8904</xdr:colOff>
      <xdr:row>15</xdr:row>
      <xdr:rowOff>25401</xdr:rowOff>
    </xdr:to>
    <xdr:pic>
      <xdr:nvPicPr>
        <xdr:cNvPr id="2" name="Picture 1">
          <a:extLst>
            <a:ext uri="{FF2B5EF4-FFF2-40B4-BE49-F238E27FC236}">
              <a16:creationId xmlns:a16="http://schemas.microsoft.com/office/drawing/2014/main" id="{AA014871-AD14-9AFF-5D53-8E45CF833434}"/>
            </a:ext>
          </a:extLst>
        </xdr:cNvPr>
        <xdr:cNvPicPr>
          <a:picLocks noChangeAspect="1"/>
        </xdr:cNvPicPr>
      </xdr:nvPicPr>
      <xdr:blipFill>
        <a:blip xmlns:r="http://schemas.openxmlformats.org/officeDocument/2006/relationships" r:embed="rId1"/>
        <a:stretch>
          <a:fillRect/>
        </a:stretch>
      </xdr:blipFill>
      <xdr:spPr>
        <a:xfrm>
          <a:off x="4826000" y="749301"/>
          <a:ext cx="6778004" cy="2324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647700</xdr:colOff>
      <xdr:row>1</xdr:row>
      <xdr:rowOff>0</xdr:rowOff>
    </xdr:from>
    <xdr:to>
      <xdr:col>17</xdr:col>
      <xdr:colOff>165100</xdr:colOff>
      <xdr:row>21</xdr:row>
      <xdr:rowOff>57080</xdr:rowOff>
    </xdr:to>
    <xdr:pic>
      <xdr:nvPicPr>
        <xdr:cNvPr id="2" name="Picture 1">
          <a:extLst>
            <a:ext uri="{FF2B5EF4-FFF2-40B4-BE49-F238E27FC236}">
              <a16:creationId xmlns:a16="http://schemas.microsoft.com/office/drawing/2014/main" id="{1119ED0B-8040-D62A-BAAB-6EFB09292A8F}"/>
            </a:ext>
          </a:extLst>
        </xdr:cNvPr>
        <xdr:cNvPicPr>
          <a:picLocks noChangeAspect="1"/>
        </xdr:cNvPicPr>
      </xdr:nvPicPr>
      <xdr:blipFill>
        <a:blip xmlns:r="http://schemas.openxmlformats.org/officeDocument/2006/relationships" r:embed="rId1"/>
        <a:stretch>
          <a:fillRect/>
        </a:stretch>
      </xdr:blipFill>
      <xdr:spPr>
        <a:xfrm>
          <a:off x="7010400" y="203200"/>
          <a:ext cx="7772400" cy="41210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Dropbox%20(Quintel)/DropDocuments/Energietransitie/Projecten/Git/rdr/analyses/1_chp/20130913_CHP_analysis_v2.2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orisberkhout/Projects/etdataset/analyses/6_residences_analys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artlubben/Projects/etdataset/analyses/7_servi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IEA energy balance"/>
      <sheetName val="IEA autoproducer prod."/>
      <sheetName val="technical_specs"/>
      <sheetName val="Results by fuel"/>
      <sheetName val="Results by machine"/>
      <sheetName val="Delta energy balance"/>
      <sheetName val="Corrected energy balance step 1"/>
      <sheetName val="AP net-gross conversion"/>
      <sheetName val="CEB allocation factors"/>
      <sheetName val="Co-fueling shares"/>
      <sheetName val="Fuel allocation"/>
      <sheetName val="Agriculture"/>
      <sheetName val="Households"/>
      <sheetName val="C&amp;P services"/>
      <sheetName val="Energy industry"/>
      <sheetName val="Industry"/>
      <sheetName val="Main activity"/>
      <sheetName val="Waste incineration"/>
      <sheetName val="Fuel mixes"/>
      <sheetName val="Fuel aggregation"/>
      <sheetName val="match carriers IEA to ETM"/>
      <sheetName val="csv_sold_heat_deficit"/>
      <sheetName val="csv_corrected energy balance 1"/>
      <sheetName val="csv_ce_production_table_1"/>
      <sheetName val="csv_energy_mixer_for_gas_cs"/>
    </sheetNames>
    <sheetDataSet>
      <sheetData sheetId="0" refreshError="1"/>
      <sheetData sheetId="1" refreshError="1"/>
      <sheetData sheetId="2" refreshError="1"/>
      <sheetData sheetId="3" refreshError="1"/>
      <sheetData sheetId="4" refreshError="1"/>
      <sheetData sheetId="5" refreshError="1">
        <row r="174">
          <cell r="C174">
            <v>3.6</v>
          </cell>
        </row>
      </sheetData>
      <sheetData sheetId="6" refreshError="1">
        <row r="12">
          <cell r="E12" t="str">
            <v>nl</v>
          </cell>
        </row>
        <row r="13">
          <cell r="E13">
            <v>2011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row r="12">
          <cell r="D12">
            <v>1.0440998889049897</v>
          </cell>
        </row>
      </sheetData>
      <sheetData sheetId="15" refreshError="1">
        <row r="12">
          <cell r="F12">
            <v>0</v>
          </cell>
          <cell r="G12">
            <v>0</v>
          </cell>
          <cell r="H12">
            <v>0</v>
          </cell>
          <cell r="I12">
            <v>0</v>
          </cell>
          <cell r="J12">
            <v>0</v>
          </cell>
          <cell r="K12">
            <v>0</v>
          </cell>
          <cell r="L12">
            <v>1</v>
          </cell>
          <cell r="M12">
            <v>0</v>
          </cell>
          <cell r="N12">
            <v>0</v>
          </cell>
          <cell r="O12">
            <v>0</v>
          </cell>
          <cell r="P12">
            <v>0</v>
          </cell>
          <cell r="Q12">
            <v>0</v>
          </cell>
          <cell r="R12">
            <v>0</v>
          </cell>
          <cell r="S12">
            <v>2.7586206896551724E-2</v>
          </cell>
          <cell r="T12">
            <v>0.97241379310344822</v>
          </cell>
          <cell r="U12">
            <v>0</v>
          </cell>
          <cell r="V12">
            <v>0</v>
          </cell>
          <cell r="W12">
            <v>1</v>
          </cell>
          <cell r="X12">
            <v>0</v>
          </cell>
          <cell r="Y12">
            <v>0</v>
          </cell>
          <cell r="Z12">
            <v>0</v>
          </cell>
          <cell r="AA12">
            <v>0</v>
          </cell>
          <cell r="AB12">
            <v>0</v>
          </cell>
          <cell r="AC12">
            <v>0</v>
          </cell>
          <cell r="AD12">
            <v>0.93466299862448421</v>
          </cell>
          <cell r="AE12">
            <v>0</v>
          </cell>
          <cell r="AF12">
            <v>0</v>
          </cell>
          <cell r="AG12">
            <v>0</v>
          </cell>
          <cell r="AH12">
            <v>0</v>
          </cell>
          <cell r="AI12">
            <v>0</v>
          </cell>
          <cell r="AJ12">
            <v>0</v>
          </cell>
          <cell r="AK12">
            <v>0</v>
          </cell>
          <cell r="AL12">
            <v>3.0949105914718018E-2</v>
          </cell>
          <cell r="AM12">
            <v>0</v>
          </cell>
          <cell r="AN12">
            <v>0</v>
          </cell>
          <cell r="AO12">
            <v>0</v>
          </cell>
          <cell r="AP12">
            <v>0</v>
          </cell>
          <cell r="AQ12">
            <v>0</v>
          </cell>
          <cell r="AR12">
            <v>0</v>
          </cell>
          <cell r="AS12">
            <v>0</v>
          </cell>
          <cell r="AT12">
            <v>3.4387895460797797E-2</v>
          </cell>
          <cell r="AU12">
            <v>0</v>
          </cell>
          <cell r="AV12">
            <v>1</v>
          </cell>
          <cell r="AW12">
            <v>0</v>
          </cell>
          <cell r="AX12">
            <v>0</v>
          </cell>
          <cell r="AY12">
            <v>1</v>
          </cell>
          <cell r="AZ12">
            <v>0</v>
          </cell>
          <cell r="BA12">
            <v>0</v>
          </cell>
          <cell r="BB12">
            <v>0</v>
          </cell>
          <cell r="BC12">
            <v>0</v>
          </cell>
        </row>
        <row r="17">
          <cell r="D17">
            <v>0</v>
          </cell>
        </row>
        <row r="18">
          <cell r="D18">
            <v>1.7515051997810619E-2</v>
          </cell>
        </row>
        <row r="19">
          <cell r="D19">
            <v>0</v>
          </cell>
        </row>
        <row r="20">
          <cell r="D20">
            <v>0</v>
          </cell>
        </row>
        <row r="21">
          <cell r="D21">
            <v>0</v>
          </cell>
        </row>
        <row r="22">
          <cell r="D22">
            <v>0</v>
          </cell>
        </row>
        <row r="23">
          <cell r="D23">
            <v>0</v>
          </cell>
        </row>
        <row r="24">
          <cell r="D24">
            <v>0</v>
          </cell>
        </row>
        <row r="25">
          <cell r="D25">
            <v>0.98248494800218933</v>
          </cell>
        </row>
        <row r="26">
          <cell r="D26">
            <v>0</v>
          </cell>
        </row>
        <row r="27">
          <cell r="D27">
            <v>0</v>
          </cell>
        </row>
        <row r="28">
          <cell r="D28">
            <v>0</v>
          </cell>
        </row>
        <row r="29">
          <cell r="D29">
            <v>0</v>
          </cell>
        </row>
        <row r="30">
          <cell r="D30">
            <v>0</v>
          </cell>
        </row>
        <row r="31">
          <cell r="D31">
            <v>0</v>
          </cell>
        </row>
        <row r="32">
          <cell r="D32">
            <v>0</v>
          </cell>
        </row>
        <row r="33">
          <cell r="D33">
            <v>0</v>
          </cell>
        </row>
        <row r="37">
          <cell r="D37">
            <v>4.1176470588235294E-2</v>
          </cell>
        </row>
        <row r="38">
          <cell r="D38">
            <v>0.37549019607843137</v>
          </cell>
        </row>
        <row r="39">
          <cell r="D39">
            <v>0</v>
          </cell>
        </row>
        <row r="40">
          <cell r="D40">
            <v>6.1274509803921568E-3</v>
          </cell>
        </row>
        <row r="41">
          <cell r="D41">
            <v>0</v>
          </cell>
        </row>
        <row r="42">
          <cell r="D42">
            <v>0</v>
          </cell>
        </row>
        <row r="43">
          <cell r="D43">
            <v>2.2058823529411766E-2</v>
          </cell>
        </row>
        <row r="44">
          <cell r="D44">
            <v>0.32965686274509803</v>
          </cell>
        </row>
        <row r="45">
          <cell r="D45">
            <v>0.2196078431372549</v>
          </cell>
        </row>
        <row r="46">
          <cell r="D46">
            <v>7.3529411764705881E-4</v>
          </cell>
        </row>
        <row r="47">
          <cell r="D47">
            <v>0</v>
          </cell>
        </row>
        <row r="48">
          <cell r="D48">
            <v>5.1470588235294117E-3</v>
          </cell>
        </row>
        <row r="49">
          <cell r="D49">
            <v>0</v>
          </cell>
        </row>
      </sheetData>
      <sheetData sheetId="16" refreshError="1"/>
      <sheetData sheetId="17" refreshError="1">
        <row r="48">
          <cell r="C48">
            <v>0</v>
          </cell>
        </row>
        <row r="89">
          <cell r="C89">
            <v>1</v>
          </cell>
        </row>
        <row r="130">
          <cell r="C130">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solar_heater_and_p2h_parent"/>
      <sheetName val="csv_hot_water_p2h_child"/>
      <sheetName val="csv_export_to_area_analysis"/>
    </sheetNames>
    <sheetDataSet>
      <sheetData sheetId="0"/>
      <sheetData sheetId="1"/>
      <sheetData sheetId="2"/>
      <sheetData sheetId="3"/>
      <sheetData sheetId="4"/>
      <sheetData sheetId="5"/>
      <sheetData sheetId="6"/>
      <sheetData sheetId="7"/>
      <sheetData sheetId="8">
        <row r="14">
          <cell r="M14">
            <v>0</v>
          </cell>
        </row>
        <row r="29">
          <cell r="M29">
            <v>0</v>
          </cell>
        </row>
        <row r="37">
          <cell r="M37">
            <v>0</v>
          </cell>
        </row>
      </sheetData>
      <sheetData sheetId="9"/>
      <sheetData sheetId="10"/>
      <sheetData sheetId="11"/>
      <sheetData sheetId="12"/>
      <sheetData sheetId="13"/>
      <sheetData sheetId="14"/>
      <sheetData sheetId="15">
        <row r="11">
          <cell r="C11">
            <v>0</v>
          </cell>
          <cell r="D11">
            <v>0</v>
          </cell>
          <cell r="E11">
            <v>0</v>
          </cell>
          <cell r="F11">
            <v>0</v>
          </cell>
          <cell r="G11">
            <v>0</v>
          </cell>
          <cell r="I11">
            <v>0</v>
          </cell>
          <cell r="J11">
            <v>0</v>
          </cell>
          <cell r="L11">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Final demand per energy carrier"/>
      <sheetName val="Technology split final demand"/>
      <sheetName val="Final demand extracted from EB"/>
      <sheetName val="Fuel aggregation"/>
      <sheetName val="Tech split of useful demand"/>
      <sheetName val="csv_ps_final_demand_lighting"/>
      <sheetName val="csv_ps_space_heating_electricit"/>
      <sheetName val="csv_ps_cooling_electricity"/>
      <sheetName val="csv_ps_space_heating_gas"/>
      <sheetName val="csv_ps_final_demand_coal"/>
      <sheetName val="csv_ps_final_demand_gas"/>
      <sheetName val="csv_ps_final_demand_oil"/>
      <sheetName val="csv_ps_final_demand_electricity"/>
      <sheetName val="csv_ps_final_demand_wood_p"/>
      <sheetName val="csv_heating_useful_insulation"/>
      <sheetName val="csv_cooling_useful_insulation"/>
      <sheetName val="csv_light_saving_detection"/>
      <sheetName val="csv_light_saving_control"/>
      <sheetName val="csv_ps_sector_electric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2908/ROAD_EQS_BUSVEH"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opendata.cbs.nl/statlin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eea.europa.eu/en/datahub/datahubitem-view/3b7fe76c-524a-439a-bfd2-a6e4046302a2?activeAccordion=1095700%2C10959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0F049-9CF7-F84F-A9F0-416E926A5E40}">
  <sheetPr codeName="Sheet1"/>
  <dimension ref="A1:D30"/>
  <sheetViews>
    <sheetView tabSelected="1" zoomScale="115" workbookViewId="0">
      <selection activeCell="A30" sqref="A30"/>
    </sheetView>
  </sheetViews>
  <sheetFormatPr baseColWidth="10" defaultRowHeight="16" x14ac:dyDescent="0.2"/>
  <cols>
    <col min="1" max="1" width="61.5" customWidth="1"/>
    <col min="2" max="2" width="11.83203125" bestFit="1" customWidth="1"/>
  </cols>
  <sheetData>
    <row r="1" spans="1:4" x14ac:dyDescent="0.2">
      <c r="A1" t="s">
        <v>3</v>
      </c>
      <c r="B1" t="s">
        <v>0</v>
      </c>
      <c r="C1" t="s">
        <v>1</v>
      </c>
      <c r="D1" t="s">
        <v>2</v>
      </c>
    </row>
    <row r="2" spans="1:4" x14ac:dyDescent="0.2">
      <c r="A2" t="s">
        <v>448</v>
      </c>
      <c r="B2">
        <f>CBS!C10</f>
        <v>17811291</v>
      </c>
      <c r="C2" t="s">
        <v>449</v>
      </c>
      <c r="D2" t="s">
        <v>450</v>
      </c>
    </row>
    <row r="3" spans="1:4" x14ac:dyDescent="0.2">
      <c r="A3" t="s">
        <v>4</v>
      </c>
      <c r="B3" s="6">
        <f>Emissions!B24</f>
        <v>7.9916496799999992</v>
      </c>
      <c r="C3" t="s">
        <v>395</v>
      </c>
      <c r="D3" t="s">
        <v>957</v>
      </c>
    </row>
    <row r="4" spans="1:4" x14ac:dyDescent="0.2">
      <c r="A4" t="s">
        <v>5</v>
      </c>
      <c r="B4" s="6">
        <f>Emissions!B25</f>
        <v>0.38933335999999985</v>
      </c>
      <c r="C4" t="s">
        <v>395</v>
      </c>
      <c r="D4" t="s">
        <v>423</v>
      </c>
    </row>
    <row r="5" spans="1:4" x14ac:dyDescent="0.2">
      <c r="A5" t="s">
        <v>6</v>
      </c>
      <c r="B5" s="6">
        <f>Emissions!B26</f>
        <v>6.8069270000000001E-2</v>
      </c>
      <c r="C5" t="s">
        <v>395</v>
      </c>
      <c r="D5" t="s">
        <v>957</v>
      </c>
    </row>
    <row r="6" spans="1:4" x14ac:dyDescent="0.2">
      <c r="A6" t="s">
        <v>7</v>
      </c>
      <c r="B6" s="6">
        <f>Emissions!B27</f>
        <v>2.514402E-2</v>
      </c>
      <c r="C6" t="s">
        <v>395</v>
      </c>
      <c r="D6" t="s">
        <v>957</v>
      </c>
    </row>
    <row r="7" spans="1:4" x14ac:dyDescent="0.2">
      <c r="A7" t="s">
        <v>8</v>
      </c>
      <c r="B7" s="6">
        <f>Emissions!B28</f>
        <v>0</v>
      </c>
      <c r="C7" t="s">
        <v>395</v>
      </c>
      <c r="D7" t="s">
        <v>957</v>
      </c>
    </row>
    <row r="8" spans="1:4" x14ac:dyDescent="0.2">
      <c r="A8" t="s">
        <v>9</v>
      </c>
      <c r="B8" s="6">
        <f>Emissions!B29</f>
        <v>0.43273137</v>
      </c>
      <c r="C8" t="s">
        <v>395</v>
      </c>
      <c r="D8" t="s">
        <v>957</v>
      </c>
    </row>
    <row r="9" spans="1:4" x14ac:dyDescent="0.2">
      <c r="A9" t="s">
        <v>10</v>
      </c>
      <c r="B9" s="6">
        <f>Emissions!B30</f>
        <v>9.8166139999999999E-2</v>
      </c>
      <c r="C9" t="s">
        <v>395</v>
      </c>
      <c r="D9" t="s">
        <v>957</v>
      </c>
    </row>
    <row r="10" spans="1:4" x14ac:dyDescent="0.2">
      <c r="A10" t="s">
        <v>11</v>
      </c>
      <c r="B10" s="6">
        <f>Emissions!B31</f>
        <v>0.76029800999999997</v>
      </c>
      <c r="C10" t="s">
        <v>395</v>
      </c>
      <c r="D10" t="s">
        <v>957</v>
      </c>
    </row>
    <row r="11" spans="1:4" x14ac:dyDescent="0.2">
      <c r="A11" t="s">
        <v>12</v>
      </c>
      <c r="B11" s="6">
        <f>Emissions!B32</f>
        <v>0.39751161000000002</v>
      </c>
      <c r="C11" t="s">
        <v>395</v>
      </c>
      <c r="D11" t="s">
        <v>957</v>
      </c>
    </row>
    <row r="12" spans="1:4" x14ac:dyDescent="0.2">
      <c r="A12" t="s">
        <v>13</v>
      </c>
      <c r="B12" s="6">
        <f>Emissions!B33</f>
        <v>6.5995459999999992E-2</v>
      </c>
      <c r="C12" t="s">
        <v>395</v>
      </c>
      <c r="D12" t="s">
        <v>957</v>
      </c>
    </row>
    <row r="13" spans="1:4" x14ac:dyDescent="0.2">
      <c r="A13" t="s">
        <v>14</v>
      </c>
      <c r="B13" s="6">
        <f>Emissions!B34</f>
        <v>0.29499943000000001</v>
      </c>
      <c r="C13" t="s">
        <v>395</v>
      </c>
      <c r="D13" t="s">
        <v>957</v>
      </c>
    </row>
    <row r="14" spans="1:4" x14ac:dyDescent="0.2">
      <c r="A14" t="s">
        <v>15</v>
      </c>
      <c r="B14" s="6">
        <f>Emissions!B35</f>
        <v>0.96057986000000006</v>
      </c>
      <c r="C14" t="s">
        <v>395</v>
      </c>
      <c r="D14" t="s">
        <v>957</v>
      </c>
    </row>
    <row r="15" spans="1:4" x14ac:dyDescent="0.2">
      <c r="A15" t="s">
        <v>16</v>
      </c>
      <c r="B15" s="6">
        <f>Emissions!B36</f>
        <v>0.87984438999999992</v>
      </c>
      <c r="C15" t="s">
        <v>395</v>
      </c>
      <c r="D15" t="s">
        <v>957</v>
      </c>
    </row>
    <row r="16" spans="1:4" x14ac:dyDescent="0.2">
      <c r="A16" t="s">
        <v>17</v>
      </c>
      <c r="B16" s="6">
        <f>Emissions!B37</f>
        <v>0.85699798999999999</v>
      </c>
      <c r="C16" t="s">
        <v>395</v>
      </c>
      <c r="D16" t="s">
        <v>957</v>
      </c>
    </row>
    <row r="17" spans="1:4" x14ac:dyDescent="0.2">
      <c r="A17" t="s">
        <v>18</v>
      </c>
      <c r="B17" s="6">
        <f>Emissions!B38</f>
        <v>8.2478177499999994</v>
      </c>
      <c r="C17" t="s">
        <v>395</v>
      </c>
      <c r="D17" t="s">
        <v>957</v>
      </c>
    </row>
    <row r="18" spans="1:4" x14ac:dyDescent="0.2">
      <c r="A18" t="s">
        <v>19</v>
      </c>
      <c r="B18" s="6">
        <f>Emissions!B39</f>
        <v>4.1168784299999999</v>
      </c>
      <c r="C18" t="s">
        <v>395</v>
      </c>
      <c r="D18" t="s">
        <v>957</v>
      </c>
    </row>
    <row r="19" spans="1:4" x14ac:dyDescent="0.2">
      <c r="A19" t="s">
        <v>20</v>
      </c>
      <c r="B19" s="6">
        <f>Emissions!B40</f>
        <v>4.7305741799999996</v>
      </c>
      <c r="C19" t="s">
        <v>395</v>
      </c>
      <c r="D19" t="s">
        <v>957</v>
      </c>
    </row>
    <row r="20" spans="1:4" x14ac:dyDescent="0.2">
      <c r="A20" t="s">
        <v>21</v>
      </c>
      <c r="B20" s="6">
        <f>Emissions!B41</f>
        <v>0</v>
      </c>
      <c r="C20" t="s">
        <v>395</v>
      </c>
      <c r="D20" t="s">
        <v>957</v>
      </c>
    </row>
    <row r="21" spans="1:4" x14ac:dyDescent="0.2">
      <c r="A21" t="s">
        <v>22</v>
      </c>
      <c r="B21" s="6">
        <f>Emissions!B42</f>
        <v>2.6747815499999996</v>
      </c>
      <c r="C21" t="s">
        <v>395</v>
      </c>
      <c r="D21" t="s">
        <v>957</v>
      </c>
    </row>
    <row r="22" spans="1:4" x14ac:dyDescent="0.2">
      <c r="A22" t="s">
        <v>953</v>
      </c>
      <c r="B22" s="28">
        <f>'Building stock'!B4</f>
        <v>2791335.2153846156</v>
      </c>
      <c r="D22" t="s">
        <v>954</v>
      </c>
    </row>
    <row r="23" spans="1:4" x14ac:dyDescent="0.2">
      <c r="A23" s="33" t="s">
        <v>565</v>
      </c>
      <c r="B23" s="6">
        <f>ROUND('Building stock'!B26,3)</f>
        <v>242.357</v>
      </c>
      <c r="C23" t="s">
        <v>970</v>
      </c>
      <c r="D23" t="s">
        <v>972</v>
      </c>
    </row>
    <row r="24" spans="1:4" x14ac:dyDescent="0.2">
      <c r="A24" t="s">
        <v>492</v>
      </c>
      <c r="B24" s="6">
        <f>'CO2 price'!B2</f>
        <v>8.5000000000000006E-2</v>
      </c>
      <c r="C24" t="s">
        <v>493</v>
      </c>
      <c r="D24" t="s">
        <v>498</v>
      </c>
    </row>
    <row r="25" spans="1:4" x14ac:dyDescent="0.2">
      <c r="A25" t="s">
        <v>973</v>
      </c>
      <c r="B25" s="3">
        <f>'Free allocation'!$C$44</f>
        <v>0.13</v>
      </c>
      <c r="C25" t="s">
        <v>410</v>
      </c>
      <c r="D25" t="s">
        <v>1020</v>
      </c>
    </row>
    <row r="26" spans="1:4" x14ac:dyDescent="0.2">
      <c r="A26" t="s">
        <v>453</v>
      </c>
      <c r="B26" s="8">
        <f>'Eurostat Cars'!B13</f>
        <v>9067393</v>
      </c>
      <c r="C26" t="s">
        <v>449</v>
      </c>
      <c r="D26" t="s">
        <v>454</v>
      </c>
    </row>
    <row r="27" spans="1:4" x14ac:dyDescent="0.2">
      <c r="A27" t="s">
        <v>451</v>
      </c>
      <c r="B27" s="8">
        <f>'Eurostat Buses'!B13</f>
        <v>8675</v>
      </c>
      <c r="C27" t="s">
        <v>449</v>
      </c>
      <c r="D27" t="s">
        <v>452</v>
      </c>
    </row>
    <row r="28" spans="1:4" x14ac:dyDescent="0.2">
      <c r="A28" t="s">
        <v>455</v>
      </c>
      <c r="B28" s="8">
        <f>'Eurostat Vans and trucks'!B14</f>
        <v>61521</v>
      </c>
      <c r="C28" t="s">
        <v>449</v>
      </c>
      <c r="D28" t="s">
        <v>456</v>
      </c>
    </row>
    <row r="29" spans="1:4" x14ac:dyDescent="0.2">
      <c r="A29" t="s">
        <v>457</v>
      </c>
      <c r="B29" s="8">
        <f>'Eurostat Vans and trucks'!B15</f>
        <v>1006477</v>
      </c>
      <c r="C29" t="s">
        <v>449</v>
      </c>
      <c r="D29" t="s">
        <v>456</v>
      </c>
    </row>
    <row r="30" spans="1:4" x14ac:dyDescent="0.2">
      <c r="B30" s="4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F0E30-CDE0-1841-A8DF-825E97FF02D5}">
  <dimension ref="B2:D56"/>
  <sheetViews>
    <sheetView workbookViewId="0">
      <selection activeCell="B44" sqref="B44"/>
    </sheetView>
  </sheetViews>
  <sheetFormatPr baseColWidth="10" defaultRowHeight="16" x14ac:dyDescent="0.2"/>
  <cols>
    <col min="2" max="2" width="39.6640625" bestFit="1" customWidth="1"/>
    <col min="3" max="3" width="27" bestFit="1" customWidth="1"/>
    <col min="4" max="4" width="56.83203125" bestFit="1" customWidth="1"/>
  </cols>
  <sheetData>
    <row r="2" spans="2:4" x14ac:dyDescent="0.2">
      <c r="B2" s="35" t="s">
        <v>974</v>
      </c>
      <c r="C2" s="35" t="s">
        <v>975</v>
      </c>
      <c r="D2" s="35" t="s">
        <v>400</v>
      </c>
    </row>
    <row r="3" spans="2:4" x14ac:dyDescent="0.2">
      <c r="B3" t="s">
        <v>976</v>
      </c>
      <c r="C3">
        <v>9969.3640008000002</v>
      </c>
      <c r="D3" s="37" t="s">
        <v>1013</v>
      </c>
    </row>
    <row r="4" spans="2:4" x14ac:dyDescent="0.2">
      <c r="B4" t="s">
        <v>977</v>
      </c>
      <c r="C4">
        <v>1.3336236900026175</v>
      </c>
      <c r="D4" s="38"/>
    </row>
    <row r="5" spans="2:4" x14ac:dyDescent="0.2">
      <c r="B5" t="s">
        <v>978</v>
      </c>
      <c r="C5">
        <v>13489.76737431</v>
      </c>
      <c r="D5" s="38"/>
    </row>
    <row r="6" spans="2:4" x14ac:dyDescent="0.2">
      <c r="B6" t="s">
        <v>979</v>
      </c>
      <c r="C6">
        <v>0</v>
      </c>
      <c r="D6" s="38"/>
    </row>
    <row r="7" spans="2:4" x14ac:dyDescent="0.2">
      <c r="B7" t="s">
        <v>980</v>
      </c>
      <c r="C7">
        <v>0</v>
      </c>
      <c r="D7" s="38"/>
    </row>
    <row r="8" spans="2:4" x14ac:dyDescent="0.2">
      <c r="B8" t="s">
        <v>981</v>
      </c>
      <c r="C8">
        <v>0</v>
      </c>
      <c r="D8" s="38"/>
    </row>
    <row r="9" spans="2:4" x14ac:dyDescent="0.2">
      <c r="B9" t="s">
        <v>982</v>
      </c>
      <c r="C9">
        <v>6210.2879985600002</v>
      </c>
      <c r="D9" s="38"/>
    </row>
    <row r="10" spans="2:4" x14ac:dyDescent="0.2">
      <c r="B10" t="s">
        <v>983</v>
      </c>
      <c r="C10">
        <v>0</v>
      </c>
      <c r="D10" s="38"/>
    </row>
    <row r="11" spans="2:4" x14ac:dyDescent="0.2">
      <c r="B11" t="s">
        <v>984</v>
      </c>
      <c r="C11">
        <v>0</v>
      </c>
      <c r="D11" s="38"/>
    </row>
    <row r="12" spans="2:4" x14ac:dyDescent="0.2">
      <c r="B12" t="s">
        <v>985</v>
      </c>
      <c r="C12">
        <v>58.306933846286086</v>
      </c>
      <c r="D12" s="38"/>
    </row>
    <row r="13" spans="2:4" x14ac:dyDescent="0.2">
      <c r="B13" t="s">
        <v>986</v>
      </c>
      <c r="C13">
        <v>0</v>
      </c>
      <c r="D13" s="38"/>
    </row>
    <row r="14" spans="2:4" x14ac:dyDescent="0.2">
      <c r="B14" t="s">
        <v>987</v>
      </c>
      <c r="C14">
        <v>75472.294112240168</v>
      </c>
      <c r="D14" s="38"/>
    </row>
    <row r="15" spans="2:4" x14ac:dyDescent="0.2">
      <c r="B15" t="s">
        <v>988</v>
      </c>
      <c r="C15">
        <v>0</v>
      </c>
      <c r="D15" s="38"/>
    </row>
    <row r="16" spans="2:4" x14ac:dyDescent="0.2">
      <c r="B16" t="s">
        <v>989</v>
      </c>
      <c r="C16">
        <v>1263.8329498771386</v>
      </c>
      <c r="D16" s="38"/>
    </row>
    <row r="17" spans="2:4" x14ac:dyDescent="0.2">
      <c r="B17" t="s">
        <v>990</v>
      </c>
      <c r="C17">
        <v>111.04599999599999</v>
      </c>
      <c r="D17" s="38"/>
    </row>
    <row r="18" spans="2:4" x14ac:dyDescent="0.2">
      <c r="B18" t="s">
        <v>991</v>
      </c>
      <c r="C18">
        <v>1.1480000004000002</v>
      </c>
      <c r="D18" s="38"/>
    </row>
    <row r="19" spans="2:4" x14ac:dyDescent="0.2">
      <c r="B19" t="s">
        <v>992</v>
      </c>
      <c r="C19">
        <v>0</v>
      </c>
      <c r="D19" s="38"/>
    </row>
    <row r="20" spans="2:4" x14ac:dyDescent="0.2">
      <c r="B20" t="s">
        <v>993</v>
      </c>
      <c r="C20">
        <v>14347.0550016</v>
      </c>
      <c r="D20" s="38"/>
    </row>
    <row r="21" spans="2:4" x14ac:dyDescent="0.2">
      <c r="B21" t="s">
        <v>994</v>
      </c>
      <c r="C21">
        <v>0</v>
      </c>
      <c r="D21" s="38"/>
    </row>
    <row r="22" spans="2:4" x14ac:dyDescent="0.2">
      <c r="B22" t="s">
        <v>995</v>
      </c>
      <c r="C22">
        <v>249.72800000399999</v>
      </c>
      <c r="D22" s="38"/>
    </row>
    <row r="23" spans="2:4" x14ac:dyDescent="0.2">
      <c r="B23" t="s">
        <v>996</v>
      </c>
      <c r="C23">
        <v>0</v>
      </c>
      <c r="D23" s="38"/>
    </row>
    <row r="24" spans="2:4" x14ac:dyDescent="0.2">
      <c r="B24" t="s">
        <v>997</v>
      </c>
      <c r="C24">
        <v>0</v>
      </c>
      <c r="D24" s="38"/>
    </row>
    <row r="25" spans="2:4" x14ac:dyDescent="0.2">
      <c r="B25" t="s">
        <v>998</v>
      </c>
      <c r="C25">
        <v>14464.667001600001</v>
      </c>
      <c r="D25" s="38"/>
    </row>
    <row r="26" spans="2:4" x14ac:dyDescent="0.2">
      <c r="B26" t="s">
        <v>999</v>
      </c>
      <c r="C26">
        <v>0</v>
      </c>
      <c r="D26" s="38"/>
    </row>
    <row r="27" spans="2:4" x14ac:dyDescent="0.2">
      <c r="B27" t="s">
        <v>1000</v>
      </c>
      <c r="C27">
        <v>0</v>
      </c>
      <c r="D27" s="38"/>
    </row>
    <row r="28" spans="2:4" x14ac:dyDescent="0.2">
      <c r="B28" t="s">
        <v>1001</v>
      </c>
      <c r="C28">
        <v>42161.887831407264</v>
      </c>
      <c r="D28" s="38"/>
    </row>
    <row r="29" spans="2:4" x14ac:dyDescent="0.2">
      <c r="B29" t="s">
        <v>1002</v>
      </c>
      <c r="C29">
        <v>64128.40418619274</v>
      </c>
      <c r="D29" s="38"/>
    </row>
    <row r="30" spans="2:4" x14ac:dyDescent="0.2">
      <c r="B30" t="s">
        <v>1003</v>
      </c>
      <c r="C30">
        <v>30474.273110065038</v>
      </c>
      <c r="D30" s="38"/>
    </row>
    <row r="31" spans="2:4" x14ac:dyDescent="0.2">
      <c r="B31" t="s">
        <v>1004</v>
      </c>
      <c r="C31">
        <v>25542.536889934967</v>
      </c>
      <c r="D31" s="38"/>
    </row>
    <row r="32" spans="2:4" x14ac:dyDescent="0.2">
      <c r="B32" t="s">
        <v>1005</v>
      </c>
      <c r="C32">
        <v>0</v>
      </c>
      <c r="D32" s="38"/>
    </row>
    <row r="33" spans="2:4" x14ac:dyDescent="0.2">
      <c r="B33" t="s">
        <v>1006</v>
      </c>
      <c r="C33">
        <v>47147.084306244891</v>
      </c>
      <c r="D33" s="38"/>
    </row>
    <row r="34" spans="2:4" x14ac:dyDescent="0.2">
      <c r="B34" t="s">
        <v>1007</v>
      </c>
      <c r="C34">
        <v>0</v>
      </c>
      <c r="D34" s="38"/>
    </row>
    <row r="35" spans="2:4" x14ac:dyDescent="0.2">
      <c r="B35" s="36" t="s">
        <v>1008</v>
      </c>
      <c r="C35" s="36">
        <v>7838.6033537289504</v>
      </c>
      <c r="D35" s="39"/>
    </row>
    <row r="38" spans="2:4" x14ac:dyDescent="0.2">
      <c r="B38" s="35" t="s">
        <v>1012</v>
      </c>
      <c r="C38" s="35" t="s">
        <v>399</v>
      </c>
      <c r="D38" s="35" t="s">
        <v>400</v>
      </c>
    </row>
    <row r="39" spans="2:4" x14ac:dyDescent="0.2">
      <c r="B39" t="s">
        <v>1009</v>
      </c>
      <c r="C39" s="28">
        <f>SUM(C3:C35)</f>
        <v>352931.62067409785</v>
      </c>
      <c r="D39" t="s">
        <v>1014</v>
      </c>
    </row>
    <row r="40" spans="2:4" x14ac:dyDescent="0.2">
      <c r="B40" t="s">
        <v>1010</v>
      </c>
      <c r="C40" s="28">
        <f>SUM(C33+C35)</f>
        <v>54985.687659973839</v>
      </c>
      <c r="D40" t="s">
        <v>1014</v>
      </c>
    </row>
    <row r="41" spans="2:4" x14ac:dyDescent="0.2">
      <c r="B41" t="s">
        <v>1011</v>
      </c>
      <c r="C41" s="4">
        <f>C40/C39</f>
        <v>0.15579699986912879</v>
      </c>
      <c r="D41" t="s">
        <v>1015</v>
      </c>
    </row>
    <row r="42" spans="2:4" x14ac:dyDescent="0.2">
      <c r="B42" t="s">
        <v>1016</v>
      </c>
      <c r="C42" s="4">
        <f>84%</f>
        <v>0.84</v>
      </c>
      <c r="D42" t="s">
        <v>1017</v>
      </c>
    </row>
    <row r="44" spans="2:4" ht="85" x14ac:dyDescent="0.2">
      <c r="B44" t="s">
        <v>973</v>
      </c>
      <c r="C44" s="40">
        <f>ROUND(C42*C41,2)</f>
        <v>0.13</v>
      </c>
      <c r="D44" s="7" t="s">
        <v>1019</v>
      </c>
    </row>
    <row r="56" spans="2:2" x14ac:dyDescent="0.2">
      <c r="B56" t="s">
        <v>1018</v>
      </c>
    </row>
  </sheetData>
  <mergeCells count="1">
    <mergeCell ref="D3:D3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B5D33-AE99-E143-B7A6-C4FA7FE85527}">
  <dimension ref="A1:F42"/>
  <sheetViews>
    <sheetView topLeftCell="A10" workbookViewId="0">
      <selection activeCell="A21" sqref="A21"/>
    </sheetView>
  </sheetViews>
  <sheetFormatPr baseColWidth="10" defaultRowHeight="16" x14ac:dyDescent="0.2"/>
  <cols>
    <col min="1" max="1" width="60" bestFit="1" customWidth="1"/>
    <col min="2" max="2" width="23.1640625" bestFit="1" customWidth="1"/>
    <col min="3" max="3" width="19" customWidth="1"/>
    <col min="4" max="4" width="86" customWidth="1"/>
    <col min="5" max="5" width="23" bestFit="1" customWidth="1"/>
    <col min="6" max="6" width="57.33203125" customWidth="1"/>
    <col min="7" max="7" width="51.6640625" bestFit="1" customWidth="1"/>
  </cols>
  <sheetData>
    <row r="1" spans="1:6" x14ac:dyDescent="0.2">
      <c r="A1" s="2" t="s">
        <v>398</v>
      </c>
      <c r="B1" s="2" t="s">
        <v>27</v>
      </c>
      <c r="C1" s="2" t="s">
        <v>26</v>
      </c>
      <c r="D1" s="2" t="s">
        <v>399</v>
      </c>
      <c r="E1" s="2" t="s">
        <v>30</v>
      </c>
      <c r="F1" s="2" t="s">
        <v>400</v>
      </c>
    </row>
    <row r="2" spans="1:6" x14ac:dyDescent="0.2">
      <c r="A2" t="s">
        <v>401</v>
      </c>
      <c r="B2" t="s">
        <v>158</v>
      </c>
      <c r="C2" t="s">
        <v>44</v>
      </c>
      <c r="D2">
        <f>SUMIFS(UNFCCC!$J:$J,UNFCCC!$E:$E,Emissions!$B2,UNFCCC!$D:$D,Emissions!$C2)*10^-3</f>
        <v>1.9790046100000001</v>
      </c>
      <c r="E2" t="s">
        <v>395</v>
      </c>
      <c r="F2" t="s">
        <v>402</v>
      </c>
    </row>
    <row r="5" spans="1:6" x14ac:dyDescent="0.2">
      <c r="A5" s="2" t="s">
        <v>403</v>
      </c>
      <c r="B5" s="2" t="s">
        <v>419</v>
      </c>
      <c r="C5" s="2" t="s">
        <v>30</v>
      </c>
      <c r="D5" s="2" t="s">
        <v>400</v>
      </c>
    </row>
    <row r="6" spans="1:6" x14ac:dyDescent="0.2">
      <c r="A6" t="s">
        <v>404</v>
      </c>
      <c r="B6">
        <v>50.3</v>
      </c>
      <c r="C6" t="s">
        <v>405</v>
      </c>
      <c r="D6" t="s">
        <v>420</v>
      </c>
    </row>
    <row r="7" spans="1:6" x14ac:dyDescent="0.2">
      <c r="A7" t="s">
        <v>406</v>
      </c>
      <c r="B7">
        <v>5.6500000000000002E-2</v>
      </c>
      <c r="C7" t="s">
        <v>407</v>
      </c>
      <c r="D7" t="s">
        <v>408</v>
      </c>
    </row>
    <row r="8" spans="1:6" x14ac:dyDescent="0.2">
      <c r="A8" t="s">
        <v>401</v>
      </c>
      <c r="B8" s="3">
        <f>B6*B7</f>
        <v>2.8419499999999998</v>
      </c>
      <c r="C8" t="s">
        <v>395</v>
      </c>
    </row>
    <row r="9" spans="1:6" x14ac:dyDescent="0.2">
      <c r="A9" t="s">
        <v>409</v>
      </c>
      <c r="B9" s="4">
        <v>0.65</v>
      </c>
      <c r="C9" t="s">
        <v>410</v>
      </c>
      <c r="D9" t="s">
        <v>411</v>
      </c>
    </row>
    <row r="10" spans="1:6" x14ac:dyDescent="0.2">
      <c r="A10" t="s">
        <v>412</v>
      </c>
      <c r="B10" s="5">
        <f>(1-B9)*B8</f>
        <v>0.9946824999999998</v>
      </c>
      <c r="C10" t="s">
        <v>395</v>
      </c>
    </row>
    <row r="11" spans="1:6" x14ac:dyDescent="0.2">
      <c r="A11" t="s">
        <v>413</v>
      </c>
      <c r="B11" s="6">
        <f>B9*B8</f>
        <v>1.8472674999999998</v>
      </c>
      <c r="C11" t="s">
        <v>395</v>
      </c>
    </row>
    <row r="12" spans="1:6" x14ac:dyDescent="0.2">
      <c r="B12" s="6"/>
    </row>
    <row r="14" spans="1:6" x14ac:dyDescent="0.2">
      <c r="A14" s="2" t="s">
        <v>414</v>
      </c>
      <c r="B14" s="2" t="s">
        <v>419</v>
      </c>
      <c r="C14" s="2" t="s">
        <v>30</v>
      </c>
      <c r="D14" s="2" t="s">
        <v>400</v>
      </c>
    </row>
    <row r="15" spans="1:6" ht="68" x14ac:dyDescent="0.2">
      <c r="A15" t="s">
        <v>415</v>
      </c>
      <c r="B15" s="3">
        <f>D2-B10</f>
        <v>0.98432211000000025</v>
      </c>
      <c r="C15" t="s">
        <v>395</v>
      </c>
      <c r="D15" s="7" t="s">
        <v>416</v>
      </c>
    </row>
    <row r="16" spans="1:6" ht="34" x14ac:dyDescent="0.2">
      <c r="A16" t="s">
        <v>5</v>
      </c>
      <c r="B16">
        <v>1.3736554700000001</v>
      </c>
      <c r="C16" t="s">
        <v>395</v>
      </c>
      <c r="D16" s="7" t="s">
        <v>417</v>
      </c>
    </row>
    <row r="17" spans="1:5" x14ac:dyDescent="0.2">
      <c r="A17" t="s">
        <v>5</v>
      </c>
      <c r="B17" s="3">
        <f>B16-B15</f>
        <v>0.38933335999999985</v>
      </c>
      <c r="C17" t="s">
        <v>395</v>
      </c>
      <c r="D17" t="s">
        <v>418</v>
      </c>
    </row>
    <row r="20" spans="1:5" x14ac:dyDescent="0.2">
      <c r="A20" s="2" t="s">
        <v>955</v>
      </c>
    </row>
    <row r="21" spans="1:5" x14ac:dyDescent="0.2">
      <c r="A21" t="s">
        <v>956</v>
      </c>
    </row>
    <row r="23" spans="1:5" x14ac:dyDescent="0.2">
      <c r="A23" t="s">
        <v>392</v>
      </c>
      <c r="B23" t="s">
        <v>393</v>
      </c>
      <c r="C23" t="s">
        <v>30</v>
      </c>
      <c r="D23" t="s">
        <v>394</v>
      </c>
    </row>
    <row r="24" spans="1:5" x14ac:dyDescent="0.2">
      <c r="A24" t="s">
        <v>4</v>
      </c>
      <c r="B24" s="6">
        <v>7.9916496799999992</v>
      </c>
      <c r="C24" t="s">
        <v>395</v>
      </c>
      <c r="D24" t="s">
        <v>396</v>
      </c>
      <c r="E24" s="6"/>
    </row>
    <row r="25" spans="1:5" x14ac:dyDescent="0.2">
      <c r="A25" t="s">
        <v>5</v>
      </c>
      <c r="B25" s="6">
        <f>B17</f>
        <v>0.38933335999999985</v>
      </c>
      <c r="C25" t="s">
        <v>395</v>
      </c>
      <c r="D25" t="s">
        <v>397</v>
      </c>
      <c r="E25" s="6"/>
    </row>
    <row r="26" spans="1:5" x14ac:dyDescent="0.2">
      <c r="A26" t="s">
        <v>6</v>
      </c>
      <c r="B26" s="6">
        <v>6.8069270000000001E-2</v>
      </c>
      <c r="C26" t="s">
        <v>395</v>
      </c>
      <c r="D26" t="s">
        <v>396</v>
      </c>
      <c r="E26" s="6"/>
    </row>
    <row r="27" spans="1:5" x14ac:dyDescent="0.2">
      <c r="A27" t="s">
        <v>7</v>
      </c>
      <c r="B27" s="6">
        <v>2.514402E-2</v>
      </c>
      <c r="C27" t="s">
        <v>395</v>
      </c>
      <c r="D27" t="s">
        <v>396</v>
      </c>
      <c r="E27" s="6"/>
    </row>
    <row r="28" spans="1:5" x14ac:dyDescent="0.2">
      <c r="A28" t="s">
        <v>8</v>
      </c>
      <c r="B28" s="6">
        <v>0</v>
      </c>
      <c r="C28" t="s">
        <v>395</v>
      </c>
      <c r="D28" t="s">
        <v>396</v>
      </c>
      <c r="E28" s="6"/>
    </row>
    <row r="29" spans="1:5" x14ac:dyDescent="0.2">
      <c r="A29" t="s">
        <v>9</v>
      </c>
      <c r="B29" s="6">
        <v>0.43273137</v>
      </c>
      <c r="C29" t="s">
        <v>395</v>
      </c>
      <c r="D29" t="s">
        <v>396</v>
      </c>
      <c r="E29" s="6"/>
    </row>
    <row r="30" spans="1:5" x14ac:dyDescent="0.2">
      <c r="A30" t="s">
        <v>10</v>
      </c>
      <c r="B30" s="6">
        <v>9.8166139999999999E-2</v>
      </c>
      <c r="C30" t="s">
        <v>395</v>
      </c>
      <c r="D30" t="s">
        <v>396</v>
      </c>
      <c r="E30" s="6"/>
    </row>
    <row r="31" spans="1:5" x14ac:dyDescent="0.2">
      <c r="A31" t="s">
        <v>11</v>
      </c>
      <c r="B31" s="6">
        <v>0.76029800999999997</v>
      </c>
      <c r="C31" t="s">
        <v>395</v>
      </c>
      <c r="D31" t="s">
        <v>396</v>
      </c>
      <c r="E31" s="6"/>
    </row>
    <row r="32" spans="1:5" x14ac:dyDescent="0.2">
      <c r="A32" t="s">
        <v>12</v>
      </c>
      <c r="B32" s="6">
        <v>0.39751161000000002</v>
      </c>
      <c r="C32" t="s">
        <v>395</v>
      </c>
      <c r="D32" t="s">
        <v>396</v>
      </c>
      <c r="E32" s="6"/>
    </row>
    <row r="33" spans="1:5" x14ac:dyDescent="0.2">
      <c r="A33" t="s">
        <v>13</v>
      </c>
      <c r="B33" s="6">
        <v>6.5995459999999992E-2</v>
      </c>
      <c r="C33" t="s">
        <v>395</v>
      </c>
      <c r="D33" t="s">
        <v>396</v>
      </c>
      <c r="E33" s="6"/>
    </row>
    <row r="34" spans="1:5" x14ac:dyDescent="0.2">
      <c r="A34" t="s">
        <v>14</v>
      </c>
      <c r="B34" s="6">
        <v>0.29499943000000001</v>
      </c>
      <c r="C34" t="s">
        <v>395</v>
      </c>
      <c r="D34" t="s">
        <v>396</v>
      </c>
      <c r="E34" s="6"/>
    </row>
    <row r="35" spans="1:5" x14ac:dyDescent="0.2">
      <c r="A35" t="s">
        <v>15</v>
      </c>
      <c r="B35" s="6">
        <v>0.96057986000000006</v>
      </c>
      <c r="C35" t="s">
        <v>395</v>
      </c>
      <c r="D35" t="s">
        <v>396</v>
      </c>
      <c r="E35" s="6"/>
    </row>
    <row r="36" spans="1:5" x14ac:dyDescent="0.2">
      <c r="A36" t="s">
        <v>16</v>
      </c>
      <c r="B36" s="6">
        <v>0.87984438999999992</v>
      </c>
      <c r="C36" t="s">
        <v>395</v>
      </c>
      <c r="D36" t="s">
        <v>396</v>
      </c>
      <c r="E36" s="6"/>
    </row>
    <row r="37" spans="1:5" x14ac:dyDescent="0.2">
      <c r="A37" t="s">
        <v>17</v>
      </c>
      <c r="B37" s="6">
        <v>0.85699798999999999</v>
      </c>
      <c r="C37" t="s">
        <v>395</v>
      </c>
      <c r="D37" t="s">
        <v>396</v>
      </c>
      <c r="E37" s="6"/>
    </row>
    <row r="38" spans="1:5" x14ac:dyDescent="0.2">
      <c r="A38" t="s">
        <v>18</v>
      </c>
      <c r="B38" s="6">
        <v>8.2478177499999994</v>
      </c>
      <c r="C38" t="s">
        <v>395</v>
      </c>
      <c r="D38" t="s">
        <v>396</v>
      </c>
      <c r="E38" s="6"/>
    </row>
    <row r="39" spans="1:5" x14ac:dyDescent="0.2">
      <c r="A39" t="s">
        <v>19</v>
      </c>
      <c r="B39" s="6">
        <v>4.1168784299999999</v>
      </c>
      <c r="C39" t="s">
        <v>395</v>
      </c>
      <c r="D39" t="s">
        <v>396</v>
      </c>
      <c r="E39" s="6"/>
    </row>
    <row r="40" spans="1:5" x14ac:dyDescent="0.2">
      <c r="A40" t="s">
        <v>20</v>
      </c>
      <c r="B40" s="6">
        <v>4.7305741799999996</v>
      </c>
      <c r="C40" t="s">
        <v>395</v>
      </c>
      <c r="D40" t="s">
        <v>396</v>
      </c>
      <c r="E40" s="6"/>
    </row>
    <row r="41" spans="1:5" x14ac:dyDescent="0.2">
      <c r="A41" t="s">
        <v>21</v>
      </c>
      <c r="B41" s="6">
        <v>0</v>
      </c>
      <c r="C41" t="s">
        <v>395</v>
      </c>
      <c r="D41" t="s">
        <v>396</v>
      </c>
      <c r="E41" s="6"/>
    </row>
    <row r="42" spans="1:5" x14ac:dyDescent="0.2">
      <c r="A42" t="s">
        <v>22</v>
      </c>
      <c r="B42" s="6">
        <v>2.6747815499999996</v>
      </c>
      <c r="C42" t="s">
        <v>395</v>
      </c>
      <c r="D42" t="s">
        <v>396</v>
      </c>
      <c r="E42"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C2EE1-ED09-5044-AC34-27CA6A6295C5}">
  <dimension ref="A1:F34"/>
  <sheetViews>
    <sheetView workbookViewId="0">
      <selection activeCell="B25" sqref="B25"/>
    </sheetView>
  </sheetViews>
  <sheetFormatPr baseColWidth="10" defaultRowHeight="16" x14ac:dyDescent="0.2"/>
  <cols>
    <col min="1" max="1" width="38.5" style="23" customWidth="1"/>
    <col min="2" max="16384" width="10.83203125" style="23"/>
  </cols>
  <sheetData>
    <row r="1" spans="1:6" x14ac:dyDescent="0.2">
      <c r="A1" s="22" t="s">
        <v>945</v>
      </c>
      <c r="B1" s="22" t="s">
        <v>399</v>
      </c>
      <c r="C1" s="22" t="s">
        <v>30</v>
      </c>
      <c r="D1" s="22" t="s">
        <v>2</v>
      </c>
    </row>
    <row r="2" spans="1:6" x14ac:dyDescent="0.2">
      <c r="A2" s="21" t="s">
        <v>944</v>
      </c>
      <c r="B2" s="21">
        <v>130</v>
      </c>
      <c r="C2" s="21" t="s">
        <v>932</v>
      </c>
      <c r="D2" s="24" t="s">
        <v>958</v>
      </c>
      <c r="E2" s="21"/>
      <c r="F2" s="21"/>
    </row>
    <row r="3" spans="1:6" x14ac:dyDescent="0.2">
      <c r="A3" s="21" t="s">
        <v>946</v>
      </c>
      <c r="B3" s="21">
        <f>SUM(BSO!K4:K45)</f>
        <v>362873578</v>
      </c>
      <c r="C3" s="21" t="s">
        <v>932</v>
      </c>
      <c r="D3" s="21" t="s">
        <v>952</v>
      </c>
      <c r="E3" s="21"/>
      <c r="F3" s="21"/>
    </row>
    <row r="4" spans="1:6" x14ac:dyDescent="0.2">
      <c r="A4" s="21" t="s">
        <v>947</v>
      </c>
      <c r="B4" s="25">
        <f>B3/B2</f>
        <v>2791335.2153846156</v>
      </c>
      <c r="C4" s="21"/>
      <c r="D4" s="21"/>
      <c r="E4" s="21"/>
      <c r="F4" s="21"/>
    </row>
    <row r="5" spans="1:6" x14ac:dyDescent="0.2">
      <c r="A5" s="21"/>
      <c r="B5" s="21"/>
      <c r="C5" s="21"/>
      <c r="D5" s="21"/>
      <c r="E5" s="21"/>
      <c r="F5" s="21"/>
    </row>
    <row r="6" spans="1:6" x14ac:dyDescent="0.2">
      <c r="A6" s="26" t="s">
        <v>948</v>
      </c>
      <c r="B6" s="21"/>
      <c r="C6" s="21"/>
      <c r="D6" s="21"/>
      <c r="E6" s="21"/>
      <c r="F6" s="21"/>
    </row>
    <row r="7" spans="1:6" x14ac:dyDescent="0.2">
      <c r="A7" s="21" t="s">
        <v>949</v>
      </c>
      <c r="B7" s="21">
        <f>SUM(municipal_data_etlocal_export!BN2:BN353)</f>
        <v>898616</v>
      </c>
      <c r="C7" s="21"/>
      <c r="D7" s="21"/>
      <c r="E7" s="21"/>
      <c r="F7" s="21"/>
    </row>
    <row r="8" spans="1:6" x14ac:dyDescent="0.2">
      <c r="A8" s="21" t="s">
        <v>950</v>
      </c>
      <c r="B8" s="27">
        <f>B4/B7</f>
        <v>3.1062603107274027</v>
      </c>
      <c r="C8" s="21"/>
      <c r="D8" s="21"/>
      <c r="E8" s="21"/>
      <c r="F8" s="21"/>
    </row>
    <row r="9" spans="1:6" x14ac:dyDescent="0.2">
      <c r="A9" s="21"/>
      <c r="B9" s="21"/>
      <c r="C9" s="21"/>
      <c r="D9" s="21"/>
      <c r="E9" s="21"/>
      <c r="F9" s="21"/>
    </row>
    <row r="10" spans="1:6" x14ac:dyDescent="0.2">
      <c r="A10"/>
      <c r="B10" s="21"/>
      <c r="C10" s="21"/>
      <c r="D10" s="21"/>
      <c r="E10" s="21"/>
      <c r="F10" s="21"/>
    </row>
    <row r="11" spans="1:6" x14ac:dyDescent="0.2">
      <c r="A11" s="21"/>
      <c r="B11" s="21"/>
      <c r="C11" s="21"/>
      <c r="D11" s="21"/>
      <c r="E11" s="21"/>
      <c r="F11" s="21"/>
    </row>
    <row r="12" spans="1:6" x14ac:dyDescent="0.2">
      <c r="A12" s="21"/>
      <c r="B12" s="21"/>
      <c r="C12" s="21"/>
      <c r="D12" s="21"/>
      <c r="E12" s="21"/>
      <c r="F12" s="21"/>
    </row>
    <row r="13" spans="1:6" x14ac:dyDescent="0.2">
      <c r="A13" s="21"/>
      <c r="B13" s="21"/>
      <c r="C13" s="21"/>
      <c r="D13" s="21"/>
      <c r="E13" s="21"/>
      <c r="F13" s="21"/>
    </row>
    <row r="19" spans="1:2" x14ac:dyDescent="0.2">
      <c r="A19" s="22" t="s">
        <v>959</v>
      </c>
    </row>
    <row r="20" spans="1:2" x14ac:dyDescent="0.2">
      <c r="A20" s="23" t="s">
        <v>960</v>
      </c>
    </row>
    <row r="21" spans="1:2" x14ac:dyDescent="0.2">
      <c r="A21" s="23" t="s">
        <v>971</v>
      </c>
    </row>
    <row r="23" spans="1:2" x14ac:dyDescent="0.2">
      <c r="A23"/>
      <c r="B23" t="s">
        <v>961</v>
      </c>
    </row>
    <row r="24" spans="1:2" x14ac:dyDescent="0.2">
      <c r="A24" t="s">
        <v>962</v>
      </c>
      <c r="B24">
        <v>270622049</v>
      </c>
    </row>
    <row r="25" spans="1:2" x14ac:dyDescent="0.2">
      <c r="A25" t="s">
        <v>963</v>
      </c>
      <c r="B25">
        <v>65587200607</v>
      </c>
    </row>
    <row r="26" spans="1:2" x14ac:dyDescent="0.2">
      <c r="A26" t="s">
        <v>964</v>
      </c>
      <c r="B26">
        <v>242.35719465341799</v>
      </c>
    </row>
    <row r="27" spans="1:2" x14ac:dyDescent="0.2">
      <c r="A27" t="s">
        <v>965</v>
      </c>
      <c r="B27">
        <v>2081704</v>
      </c>
    </row>
    <row r="30" spans="1:2" x14ac:dyDescent="0.2">
      <c r="A30" s="29" t="s">
        <v>966</v>
      </c>
    </row>
    <row r="31" spans="1:2" x14ac:dyDescent="0.2">
      <c r="A31" s="23" t="s">
        <v>967</v>
      </c>
      <c r="B31" s="30">
        <f>B4</f>
        <v>2791335.2153846156</v>
      </c>
    </row>
    <row r="32" spans="1:2" x14ac:dyDescent="0.2">
      <c r="A32" s="23" t="s">
        <v>968</v>
      </c>
      <c r="B32" s="23">
        <f>B27</f>
        <v>2081704</v>
      </c>
    </row>
    <row r="33" spans="1:3" x14ac:dyDescent="0.2">
      <c r="A33" s="23" t="s">
        <v>950</v>
      </c>
      <c r="B33" s="32">
        <f>B31/B32</f>
        <v>1.3408895863122785</v>
      </c>
      <c r="C33" s="23" t="s">
        <v>969</v>
      </c>
    </row>
    <row r="34" spans="1:3" x14ac:dyDescent="0.2">
      <c r="B34" s="3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64497-A0F5-4943-ADAE-3783978B468D}">
  <dimension ref="A1:C4"/>
  <sheetViews>
    <sheetView workbookViewId="0">
      <selection activeCell="B48" sqref="B48"/>
    </sheetView>
  </sheetViews>
  <sheetFormatPr baseColWidth="10" defaultRowHeight="16" x14ac:dyDescent="0.2"/>
  <cols>
    <col min="1" max="1" width="18.5" bestFit="1" customWidth="1"/>
  </cols>
  <sheetData>
    <row r="1" spans="1:3" x14ac:dyDescent="0.2">
      <c r="A1" t="s">
        <v>494</v>
      </c>
      <c r="B1">
        <v>85</v>
      </c>
      <c r="C1" t="s">
        <v>495</v>
      </c>
    </row>
    <row r="2" spans="1:3" x14ac:dyDescent="0.2">
      <c r="A2" t="s">
        <v>494</v>
      </c>
      <c r="B2">
        <f>B1*10^-3</f>
        <v>8.5000000000000006E-2</v>
      </c>
      <c r="C2" t="s">
        <v>497</v>
      </c>
    </row>
    <row r="4" spans="1:3" x14ac:dyDescent="0.2">
      <c r="A4" t="s">
        <v>394</v>
      </c>
      <c r="B4" t="s">
        <v>496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6972-E10D-FA4B-87BD-6DAA652F9C87}">
  <dimension ref="A1:K45"/>
  <sheetViews>
    <sheetView workbookViewId="0">
      <selection activeCell="A4" sqref="A4"/>
    </sheetView>
  </sheetViews>
  <sheetFormatPr baseColWidth="10" defaultRowHeight="15" x14ac:dyDescent="0.2"/>
  <cols>
    <col min="1" max="16384" width="10.83203125" style="19"/>
  </cols>
  <sheetData>
    <row r="1" spans="1:11" ht="16" x14ac:dyDescent="0.2">
      <c r="A1" s="20" t="s">
        <v>951</v>
      </c>
    </row>
    <row r="2" spans="1:11" ht="16" x14ac:dyDescent="0.2">
      <c r="A2" s="20"/>
    </row>
    <row r="3" spans="1:11" ht="16" x14ac:dyDescent="0.2">
      <c r="A3" s="20" t="s">
        <v>919</v>
      </c>
      <c r="B3" s="21" t="s">
        <v>920</v>
      </c>
      <c r="C3" s="21" t="s">
        <v>921</v>
      </c>
      <c r="D3" s="21" t="s">
        <v>24</v>
      </c>
      <c r="E3" s="21" t="s">
        <v>922</v>
      </c>
      <c r="F3" s="21" t="s">
        <v>923</v>
      </c>
      <c r="G3" s="21" t="s">
        <v>924</v>
      </c>
      <c r="H3" s="21" t="s">
        <v>30</v>
      </c>
      <c r="I3" s="21" t="s">
        <v>925</v>
      </c>
      <c r="J3" s="21" t="s">
        <v>926</v>
      </c>
      <c r="K3" s="21" t="s">
        <v>399</v>
      </c>
    </row>
    <row r="4" spans="1:11" ht="16" x14ac:dyDescent="0.2">
      <c r="A4" s="20" t="s">
        <v>927</v>
      </c>
      <c r="B4" s="21" t="s">
        <v>928</v>
      </c>
      <c r="C4" s="21" t="s">
        <v>469</v>
      </c>
      <c r="D4" s="21" t="s">
        <v>37</v>
      </c>
      <c r="E4" s="21" t="s">
        <v>929</v>
      </c>
      <c r="F4" s="21" t="s">
        <v>930</v>
      </c>
      <c r="G4" s="21" t="s">
        <v>931</v>
      </c>
      <c r="H4" s="21" t="s">
        <v>932</v>
      </c>
      <c r="I4" s="21">
        <v>2023</v>
      </c>
      <c r="J4" s="21">
        <v>2020</v>
      </c>
      <c r="K4" s="21">
        <v>7802695</v>
      </c>
    </row>
    <row r="5" spans="1:11" ht="16" x14ac:dyDescent="0.2">
      <c r="A5" s="20" t="s">
        <v>927</v>
      </c>
      <c r="B5" s="21" t="s">
        <v>928</v>
      </c>
      <c r="C5" s="21" t="s">
        <v>469</v>
      </c>
      <c r="D5" s="21" t="s">
        <v>37</v>
      </c>
      <c r="E5" s="21" t="s">
        <v>929</v>
      </c>
      <c r="F5" s="21" t="s">
        <v>930</v>
      </c>
      <c r="G5" s="21" t="s">
        <v>933</v>
      </c>
      <c r="H5" s="21" t="s">
        <v>932</v>
      </c>
      <c r="I5" s="21">
        <v>2023</v>
      </c>
      <c r="J5" s="21">
        <v>2020</v>
      </c>
      <c r="K5" s="21">
        <v>2193767</v>
      </c>
    </row>
    <row r="6" spans="1:11" ht="16" x14ac:dyDescent="0.2">
      <c r="A6" s="20" t="s">
        <v>927</v>
      </c>
      <c r="B6" s="21" t="s">
        <v>928</v>
      </c>
      <c r="C6" s="21" t="s">
        <v>469</v>
      </c>
      <c r="D6" s="21" t="s">
        <v>37</v>
      </c>
      <c r="E6" s="21" t="s">
        <v>929</v>
      </c>
      <c r="F6" s="21" t="s">
        <v>930</v>
      </c>
      <c r="G6" s="21" t="s">
        <v>934</v>
      </c>
      <c r="H6" s="21" t="s">
        <v>932</v>
      </c>
      <c r="I6" s="21">
        <v>2023</v>
      </c>
      <c r="J6" s="21">
        <v>2020</v>
      </c>
      <c r="K6" s="21">
        <v>5786801</v>
      </c>
    </row>
    <row r="7" spans="1:11" ht="16" x14ac:dyDescent="0.2">
      <c r="A7" s="20" t="s">
        <v>927</v>
      </c>
      <c r="B7" s="21" t="s">
        <v>928</v>
      </c>
      <c r="C7" s="21" t="s">
        <v>469</v>
      </c>
      <c r="D7" s="21" t="s">
        <v>37</v>
      </c>
      <c r="E7" s="21" t="s">
        <v>929</v>
      </c>
      <c r="F7" s="21" t="s">
        <v>930</v>
      </c>
      <c r="G7" s="21" t="s">
        <v>935</v>
      </c>
      <c r="H7" s="21" t="s">
        <v>932</v>
      </c>
      <c r="I7" s="21">
        <v>2023</v>
      </c>
      <c r="J7" s="21">
        <v>2020</v>
      </c>
      <c r="K7" s="21">
        <v>10324951</v>
      </c>
    </row>
    <row r="8" spans="1:11" ht="16" x14ac:dyDescent="0.2">
      <c r="A8" s="20" t="s">
        <v>927</v>
      </c>
      <c r="B8" s="21" t="s">
        <v>928</v>
      </c>
      <c r="C8" s="21" t="s">
        <v>469</v>
      </c>
      <c r="D8" s="21" t="s">
        <v>37</v>
      </c>
      <c r="E8" s="21" t="s">
        <v>929</v>
      </c>
      <c r="F8" s="21" t="s">
        <v>930</v>
      </c>
      <c r="G8" s="21" t="s">
        <v>936</v>
      </c>
      <c r="H8" s="21" t="s">
        <v>932</v>
      </c>
      <c r="I8" s="21">
        <v>2023</v>
      </c>
      <c r="J8" s="21">
        <v>2020</v>
      </c>
      <c r="K8" s="21">
        <v>58247472</v>
      </c>
    </row>
    <row r="9" spans="1:11" ht="16" x14ac:dyDescent="0.2">
      <c r="A9" s="20" t="s">
        <v>927</v>
      </c>
      <c r="B9" s="21" t="s">
        <v>928</v>
      </c>
      <c r="C9" s="21" t="s">
        <v>469</v>
      </c>
      <c r="D9" s="21" t="s">
        <v>37</v>
      </c>
      <c r="E9" s="21" t="s">
        <v>929</v>
      </c>
      <c r="F9" s="21" t="s">
        <v>930</v>
      </c>
      <c r="G9" s="21" t="s">
        <v>937</v>
      </c>
      <c r="H9" s="21" t="s">
        <v>932</v>
      </c>
      <c r="I9" s="21">
        <v>2023</v>
      </c>
      <c r="J9" s="21">
        <v>2020</v>
      </c>
      <c r="K9" s="21">
        <v>54331238</v>
      </c>
    </row>
    <row r="10" spans="1:11" ht="16" x14ac:dyDescent="0.2">
      <c r="A10" s="20" t="s">
        <v>927</v>
      </c>
      <c r="B10" s="21" t="s">
        <v>928</v>
      </c>
      <c r="C10" s="21" t="s">
        <v>469</v>
      </c>
      <c r="D10" s="21" t="s">
        <v>37</v>
      </c>
      <c r="E10" s="21" t="s">
        <v>938</v>
      </c>
      <c r="F10" s="21" t="s">
        <v>930</v>
      </c>
      <c r="G10" s="21" t="s">
        <v>931</v>
      </c>
      <c r="H10" s="21" t="s">
        <v>932</v>
      </c>
      <c r="I10" s="21">
        <v>2023</v>
      </c>
      <c r="J10" s="21">
        <v>2020</v>
      </c>
      <c r="K10" s="21">
        <v>1351835</v>
      </c>
    </row>
    <row r="11" spans="1:11" ht="16" x14ac:dyDescent="0.2">
      <c r="A11" s="20" t="s">
        <v>927</v>
      </c>
      <c r="B11" s="21" t="s">
        <v>928</v>
      </c>
      <c r="C11" s="21" t="s">
        <v>469</v>
      </c>
      <c r="D11" s="21" t="s">
        <v>37</v>
      </c>
      <c r="E11" s="21" t="s">
        <v>938</v>
      </c>
      <c r="F11" s="21" t="s">
        <v>930</v>
      </c>
      <c r="G11" s="21" t="s">
        <v>933</v>
      </c>
      <c r="H11" s="21" t="s">
        <v>932</v>
      </c>
      <c r="I11" s="21">
        <v>2023</v>
      </c>
      <c r="J11" s="21">
        <v>2020</v>
      </c>
      <c r="K11" s="21">
        <v>379462</v>
      </c>
    </row>
    <row r="12" spans="1:11" ht="16" x14ac:dyDescent="0.2">
      <c r="A12" s="20" t="s">
        <v>927</v>
      </c>
      <c r="B12" s="21" t="s">
        <v>928</v>
      </c>
      <c r="C12" s="21" t="s">
        <v>469</v>
      </c>
      <c r="D12" s="21" t="s">
        <v>37</v>
      </c>
      <c r="E12" s="21" t="s">
        <v>938</v>
      </c>
      <c r="F12" s="21" t="s">
        <v>930</v>
      </c>
      <c r="G12" s="21" t="s">
        <v>934</v>
      </c>
      <c r="H12" s="21" t="s">
        <v>932</v>
      </c>
      <c r="I12" s="21">
        <v>2023</v>
      </c>
      <c r="J12" s="21">
        <v>2020</v>
      </c>
      <c r="K12" s="21">
        <v>1494133</v>
      </c>
    </row>
    <row r="13" spans="1:11" ht="16" x14ac:dyDescent="0.2">
      <c r="A13" s="20" t="s">
        <v>927</v>
      </c>
      <c r="B13" s="21" t="s">
        <v>928</v>
      </c>
      <c r="C13" s="21" t="s">
        <v>469</v>
      </c>
      <c r="D13" s="21" t="s">
        <v>37</v>
      </c>
      <c r="E13" s="21" t="s">
        <v>938</v>
      </c>
      <c r="F13" s="21" t="s">
        <v>930</v>
      </c>
      <c r="G13" s="21" t="s">
        <v>935</v>
      </c>
      <c r="H13" s="21" t="s">
        <v>932</v>
      </c>
      <c r="I13" s="21">
        <v>2023</v>
      </c>
      <c r="J13" s="21">
        <v>2020</v>
      </c>
      <c r="K13" s="21">
        <v>2801409</v>
      </c>
    </row>
    <row r="14" spans="1:11" ht="16" x14ac:dyDescent="0.2">
      <c r="A14" s="20" t="s">
        <v>927</v>
      </c>
      <c r="B14" s="21" t="s">
        <v>928</v>
      </c>
      <c r="C14" s="21" t="s">
        <v>469</v>
      </c>
      <c r="D14" s="21" t="s">
        <v>37</v>
      </c>
      <c r="E14" s="21" t="s">
        <v>938</v>
      </c>
      <c r="F14" s="21" t="s">
        <v>930</v>
      </c>
      <c r="G14" s="21" t="s">
        <v>936</v>
      </c>
      <c r="H14" s="21" t="s">
        <v>932</v>
      </c>
      <c r="I14" s="21">
        <v>2023</v>
      </c>
      <c r="J14" s="21">
        <v>2020</v>
      </c>
      <c r="K14" s="21">
        <v>7612964</v>
      </c>
    </row>
    <row r="15" spans="1:11" ht="16" x14ac:dyDescent="0.2">
      <c r="A15" s="20" t="s">
        <v>927</v>
      </c>
      <c r="B15" s="21" t="s">
        <v>928</v>
      </c>
      <c r="C15" s="21" t="s">
        <v>469</v>
      </c>
      <c r="D15" s="21" t="s">
        <v>37</v>
      </c>
      <c r="E15" s="21" t="s">
        <v>938</v>
      </c>
      <c r="F15" s="21" t="s">
        <v>930</v>
      </c>
      <c r="G15" s="21" t="s">
        <v>937</v>
      </c>
      <c r="H15" s="21" t="s">
        <v>932</v>
      </c>
      <c r="I15" s="21">
        <v>2023</v>
      </c>
      <c r="J15" s="21">
        <v>2020</v>
      </c>
      <c r="K15" s="21">
        <v>6681257</v>
      </c>
    </row>
    <row r="16" spans="1:11" ht="16" x14ac:dyDescent="0.2">
      <c r="A16" s="20" t="s">
        <v>927</v>
      </c>
      <c r="B16" s="21" t="s">
        <v>928</v>
      </c>
      <c r="C16" s="21" t="s">
        <v>469</v>
      </c>
      <c r="D16" s="21" t="s">
        <v>37</v>
      </c>
      <c r="E16" s="21" t="s">
        <v>939</v>
      </c>
      <c r="F16" s="21" t="s">
        <v>930</v>
      </c>
      <c r="G16" s="21" t="s">
        <v>931</v>
      </c>
      <c r="H16" s="21" t="s">
        <v>932</v>
      </c>
      <c r="I16" s="21">
        <v>2023</v>
      </c>
      <c r="J16" s="21">
        <v>2020</v>
      </c>
      <c r="K16" s="21">
        <v>1612715</v>
      </c>
    </row>
    <row r="17" spans="1:11" ht="16" x14ac:dyDescent="0.2">
      <c r="A17" s="20" t="s">
        <v>927</v>
      </c>
      <c r="B17" s="21" t="s">
        <v>928</v>
      </c>
      <c r="C17" s="21" t="s">
        <v>469</v>
      </c>
      <c r="D17" s="21" t="s">
        <v>37</v>
      </c>
      <c r="E17" s="21" t="s">
        <v>939</v>
      </c>
      <c r="F17" s="21" t="s">
        <v>930</v>
      </c>
      <c r="G17" s="21" t="s">
        <v>933</v>
      </c>
      <c r="H17" s="21" t="s">
        <v>932</v>
      </c>
      <c r="I17" s="21">
        <v>2023</v>
      </c>
      <c r="J17" s="21">
        <v>2020</v>
      </c>
      <c r="K17" s="21">
        <v>557336</v>
      </c>
    </row>
    <row r="18" spans="1:11" ht="16" x14ac:dyDescent="0.2">
      <c r="A18" s="20" t="s">
        <v>927</v>
      </c>
      <c r="B18" s="21" t="s">
        <v>928</v>
      </c>
      <c r="C18" s="21" t="s">
        <v>469</v>
      </c>
      <c r="D18" s="21" t="s">
        <v>37</v>
      </c>
      <c r="E18" s="21" t="s">
        <v>939</v>
      </c>
      <c r="F18" s="21" t="s">
        <v>930</v>
      </c>
      <c r="G18" s="21" t="s">
        <v>934</v>
      </c>
      <c r="H18" s="21" t="s">
        <v>932</v>
      </c>
      <c r="I18" s="21">
        <v>2023</v>
      </c>
      <c r="J18" s="21">
        <v>2020</v>
      </c>
      <c r="K18" s="21">
        <v>1162103</v>
      </c>
    </row>
    <row r="19" spans="1:11" ht="16" x14ac:dyDescent="0.2">
      <c r="A19" s="20" t="s">
        <v>927</v>
      </c>
      <c r="B19" s="21" t="s">
        <v>928</v>
      </c>
      <c r="C19" s="21" t="s">
        <v>469</v>
      </c>
      <c r="D19" s="21" t="s">
        <v>37</v>
      </c>
      <c r="E19" s="21" t="s">
        <v>939</v>
      </c>
      <c r="F19" s="21" t="s">
        <v>930</v>
      </c>
      <c r="G19" s="21" t="s">
        <v>935</v>
      </c>
      <c r="H19" s="21" t="s">
        <v>932</v>
      </c>
      <c r="I19" s="21">
        <v>2023</v>
      </c>
      <c r="J19" s="21">
        <v>2020</v>
      </c>
      <c r="K19" s="21">
        <v>13345955</v>
      </c>
    </row>
    <row r="20" spans="1:11" ht="16" x14ac:dyDescent="0.2">
      <c r="A20" s="20" t="s">
        <v>927</v>
      </c>
      <c r="B20" s="21" t="s">
        <v>928</v>
      </c>
      <c r="C20" s="21" t="s">
        <v>469</v>
      </c>
      <c r="D20" s="21" t="s">
        <v>37</v>
      </c>
      <c r="E20" s="21" t="s">
        <v>939</v>
      </c>
      <c r="F20" s="21" t="s">
        <v>930</v>
      </c>
      <c r="G20" s="21" t="s">
        <v>936</v>
      </c>
      <c r="H20" s="21" t="s">
        <v>932</v>
      </c>
      <c r="I20" s="21">
        <v>2023</v>
      </c>
      <c r="J20" s="21">
        <v>2020</v>
      </c>
      <c r="K20" s="21">
        <v>9783014</v>
      </c>
    </row>
    <row r="21" spans="1:11" ht="16" x14ac:dyDescent="0.2">
      <c r="A21" s="20" t="s">
        <v>927</v>
      </c>
      <c r="B21" s="21" t="s">
        <v>928</v>
      </c>
      <c r="C21" s="21" t="s">
        <v>469</v>
      </c>
      <c r="D21" s="21" t="s">
        <v>37</v>
      </c>
      <c r="E21" s="21" t="s">
        <v>939</v>
      </c>
      <c r="F21" s="21" t="s">
        <v>930</v>
      </c>
      <c r="G21" s="21" t="s">
        <v>937</v>
      </c>
      <c r="H21" s="21" t="s">
        <v>932</v>
      </c>
      <c r="I21" s="21">
        <v>2023</v>
      </c>
      <c r="J21" s="21">
        <v>2020</v>
      </c>
      <c r="K21" s="21">
        <v>4853117</v>
      </c>
    </row>
    <row r="22" spans="1:11" ht="16" x14ac:dyDescent="0.2">
      <c r="A22" s="20" t="s">
        <v>927</v>
      </c>
      <c r="B22" s="21" t="s">
        <v>928</v>
      </c>
      <c r="C22" s="21" t="s">
        <v>469</v>
      </c>
      <c r="D22" s="21" t="s">
        <v>37</v>
      </c>
      <c r="E22" s="21" t="s">
        <v>940</v>
      </c>
      <c r="F22" s="21" t="s">
        <v>930</v>
      </c>
      <c r="G22" s="21" t="s">
        <v>931</v>
      </c>
      <c r="H22" s="21" t="s">
        <v>932</v>
      </c>
      <c r="I22" s="21">
        <v>2023</v>
      </c>
      <c r="J22" s="21">
        <v>2020</v>
      </c>
      <c r="K22" s="21">
        <v>2691811</v>
      </c>
    </row>
    <row r="23" spans="1:11" ht="16" x14ac:dyDescent="0.2">
      <c r="A23" s="20" t="s">
        <v>927</v>
      </c>
      <c r="B23" s="21" t="s">
        <v>928</v>
      </c>
      <c r="C23" s="21" t="s">
        <v>469</v>
      </c>
      <c r="D23" s="21" t="s">
        <v>37</v>
      </c>
      <c r="E23" s="21" t="s">
        <v>940</v>
      </c>
      <c r="F23" s="21" t="s">
        <v>930</v>
      </c>
      <c r="G23" s="21" t="s">
        <v>933</v>
      </c>
      <c r="H23" s="21" t="s">
        <v>932</v>
      </c>
      <c r="I23" s="21">
        <v>2023</v>
      </c>
      <c r="J23" s="21">
        <v>2020</v>
      </c>
      <c r="K23" s="21">
        <v>972372</v>
      </c>
    </row>
    <row r="24" spans="1:11" ht="16" x14ac:dyDescent="0.2">
      <c r="A24" s="20" t="s">
        <v>927</v>
      </c>
      <c r="B24" s="21" t="s">
        <v>928</v>
      </c>
      <c r="C24" s="21" t="s">
        <v>469</v>
      </c>
      <c r="D24" s="21" t="s">
        <v>37</v>
      </c>
      <c r="E24" s="21" t="s">
        <v>940</v>
      </c>
      <c r="F24" s="21" t="s">
        <v>930</v>
      </c>
      <c r="G24" s="21" t="s">
        <v>934</v>
      </c>
      <c r="H24" s="21" t="s">
        <v>932</v>
      </c>
      <c r="I24" s="21">
        <v>2023</v>
      </c>
      <c r="J24" s="21">
        <v>2020</v>
      </c>
      <c r="K24" s="21">
        <v>1707581</v>
      </c>
    </row>
    <row r="25" spans="1:11" ht="16" x14ac:dyDescent="0.2">
      <c r="A25" s="20" t="s">
        <v>927</v>
      </c>
      <c r="B25" s="21" t="s">
        <v>928</v>
      </c>
      <c r="C25" s="21" t="s">
        <v>469</v>
      </c>
      <c r="D25" s="21" t="s">
        <v>37</v>
      </c>
      <c r="E25" s="21" t="s">
        <v>940</v>
      </c>
      <c r="F25" s="21" t="s">
        <v>930</v>
      </c>
      <c r="G25" s="21" t="s">
        <v>935</v>
      </c>
      <c r="H25" s="21" t="s">
        <v>932</v>
      </c>
      <c r="I25" s="21">
        <v>2023</v>
      </c>
      <c r="J25" s="21">
        <v>2020</v>
      </c>
      <c r="K25" s="21">
        <v>21605915</v>
      </c>
    </row>
    <row r="26" spans="1:11" ht="16" x14ac:dyDescent="0.2">
      <c r="A26" s="20" t="s">
        <v>927</v>
      </c>
      <c r="B26" s="21" t="s">
        <v>928</v>
      </c>
      <c r="C26" s="21" t="s">
        <v>469</v>
      </c>
      <c r="D26" s="21" t="s">
        <v>37</v>
      </c>
      <c r="E26" s="21" t="s">
        <v>940</v>
      </c>
      <c r="F26" s="21" t="s">
        <v>930</v>
      </c>
      <c r="G26" s="21" t="s">
        <v>936</v>
      </c>
      <c r="H26" s="21" t="s">
        <v>932</v>
      </c>
      <c r="I26" s="21">
        <v>2023</v>
      </c>
      <c r="J26" s="21">
        <v>2020</v>
      </c>
      <c r="K26" s="21">
        <v>18273485</v>
      </c>
    </row>
    <row r="27" spans="1:11" ht="16" x14ac:dyDescent="0.2">
      <c r="A27" s="20" t="s">
        <v>927</v>
      </c>
      <c r="B27" s="21" t="s">
        <v>928</v>
      </c>
      <c r="C27" s="21" t="s">
        <v>469</v>
      </c>
      <c r="D27" s="21" t="s">
        <v>37</v>
      </c>
      <c r="E27" s="21" t="s">
        <v>940</v>
      </c>
      <c r="F27" s="21" t="s">
        <v>930</v>
      </c>
      <c r="G27" s="21" t="s">
        <v>937</v>
      </c>
      <c r="H27" s="21" t="s">
        <v>932</v>
      </c>
      <c r="I27" s="21">
        <v>2023</v>
      </c>
      <c r="J27" s="21">
        <v>2020</v>
      </c>
      <c r="K27" s="21">
        <v>8996022</v>
      </c>
    </row>
    <row r="28" spans="1:11" ht="16" x14ac:dyDescent="0.2">
      <c r="A28" s="20" t="s">
        <v>927</v>
      </c>
      <c r="B28" s="21" t="s">
        <v>928</v>
      </c>
      <c r="C28" s="21" t="s">
        <v>469</v>
      </c>
      <c r="D28" s="21" t="s">
        <v>37</v>
      </c>
      <c r="E28" s="21" t="s">
        <v>941</v>
      </c>
      <c r="F28" s="21" t="s">
        <v>930</v>
      </c>
      <c r="G28" s="21" t="s">
        <v>931</v>
      </c>
      <c r="H28" s="21" t="s">
        <v>932</v>
      </c>
      <c r="I28" s="21">
        <v>2023</v>
      </c>
      <c r="J28" s="21">
        <v>2020</v>
      </c>
      <c r="K28" s="21">
        <v>1411125</v>
      </c>
    </row>
    <row r="29" spans="1:11" ht="16" x14ac:dyDescent="0.2">
      <c r="A29" s="20" t="s">
        <v>927</v>
      </c>
      <c r="B29" s="21" t="s">
        <v>928</v>
      </c>
      <c r="C29" s="21" t="s">
        <v>469</v>
      </c>
      <c r="D29" s="21" t="s">
        <v>37</v>
      </c>
      <c r="E29" s="21" t="s">
        <v>941</v>
      </c>
      <c r="F29" s="21" t="s">
        <v>930</v>
      </c>
      <c r="G29" s="21" t="s">
        <v>933</v>
      </c>
      <c r="H29" s="21" t="s">
        <v>932</v>
      </c>
      <c r="I29" s="21">
        <v>2023</v>
      </c>
      <c r="J29" s="21">
        <v>2020</v>
      </c>
      <c r="K29" s="21">
        <v>1055379</v>
      </c>
    </row>
    <row r="30" spans="1:11" ht="16" x14ac:dyDescent="0.2">
      <c r="A30" s="20" t="s">
        <v>927</v>
      </c>
      <c r="B30" s="21" t="s">
        <v>928</v>
      </c>
      <c r="C30" s="21" t="s">
        <v>469</v>
      </c>
      <c r="D30" s="21" t="s">
        <v>37</v>
      </c>
      <c r="E30" s="21" t="s">
        <v>941</v>
      </c>
      <c r="F30" s="21" t="s">
        <v>930</v>
      </c>
      <c r="G30" s="21" t="s">
        <v>934</v>
      </c>
      <c r="H30" s="21" t="s">
        <v>932</v>
      </c>
      <c r="I30" s="21">
        <v>2023</v>
      </c>
      <c r="J30" s="21">
        <v>2020</v>
      </c>
      <c r="K30" s="21">
        <v>1446701</v>
      </c>
    </row>
    <row r="31" spans="1:11" ht="16" x14ac:dyDescent="0.2">
      <c r="A31" s="20" t="s">
        <v>927</v>
      </c>
      <c r="B31" s="21" t="s">
        <v>928</v>
      </c>
      <c r="C31" s="21" t="s">
        <v>469</v>
      </c>
      <c r="D31" s="21" t="s">
        <v>37</v>
      </c>
      <c r="E31" s="21" t="s">
        <v>941</v>
      </c>
      <c r="F31" s="21" t="s">
        <v>930</v>
      </c>
      <c r="G31" s="21" t="s">
        <v>935</v>
      </c>
      <c r="H31" s="21" t="s">
        <v>932</v>
      </c>
      <c r="I31" s="21">
        <v>2023</v>
      </c>
      <c r="J31" s="21">
        <v>2020</v>
      </c>
      <c r="K31" s="21">
        <v>22230511</v>
      </c>
    </row>
    <row r="32" spans="1:11" ht="16" x14ac:dyDescent="0.2">
      <c r="A32" s="20" t="s">
        <v>927</v>
      </c>
      <c r="B32" s="21" t="s">
        <v>928</v>
      </c>
      <c r="C32" s="21" t="s">
        <v>469</v>
      </c>
      <c r="D32" s="21" t="s">
        <v>37</v>
      </c>
      <c r="E32" s="21" t="s">
        <v>941</v>
      </c>
      <c r="F32" s="21" t="s">
        <v>930</v>
      </c>
      <c r="G32" s="21" t="s">
        <v>936</v>
      </c>
      <c r="H32" s="21" t="s">
        <v>932</v>
      </c>
      <c r="I32" s="21">
        <v>2023</v>
      </c>
      <c r="J32" s="21">
        <v>2020</v>
      </c>
      <c r="K32" s="21">
        <v>23597816</v>
      </c>
    </row>
    <row r="33" spans="1:11" ht="16" x14ac:dyDescent="0.2">
      <c r="A33" s="20" t="s">
        <v>927</v>
      </c>
      <c r="B33" s="21" t="s">
        <v>928</v>
      </c>
      <c r="C33" s="21" t="s">
        <v>469</v>
      </c>
      <c r="D33" s="21" t="s">
        <v>37</v>
      </c>
      <c r="E33" s="21" t="s">
        <v>941</v>
      </c>
      <c r="F33" s="21" t="s">
        <v>930</v>
      </c>
      <c r="G33" s="21" t="s">
        <v>937</v>
      </c>
      <c r="H33" s="21" t="s">
        <v>932</v>
      </c>
      <c r="I33" s="21">
        <v>2023</v>
      </c>
      <c r="J33" s="21">
        <v>2020</v>
      </c>
      <c r="K33" s="21">
        <v>12007848</v>
      </c>
    </row>
    <row r="34" spans="1:11" ht="16" x14ac:dyDescent="0.2">
      <c r="A34" s="20" t="s">
        <v>927</v>
      </c>
      <c r="B34" s="21" t="s">
        <v>928</v>
      </c>
      <c r="C34" s="21" t="s">
        <v>469</v>
      </c>
      <c r="D34" s="21" t="s">
        <v>37</v>
      </c>
      <c r="E34" s="21" t="s">
        <v>942</v>
      </c>
      <c r="F34" s="21" t="s">
        <v>930</v>
      </c>
      <c r="G34" s="21" t="s">
        <v>931</v>
      </c>
      <c r="H34" s="21" t="s">
        <v>932</v>
      </c>
      <c r="I34" s="21">
        <v>2023</v>
      </c>
      <c r="J34" s="21">
        <v>2020</v>
      </c>
      <c r="K34" s="21">
        <v>1600857</v>
      </c>
    </row>
    <row r="35" spans="1:11" ht="16" x14ac:dyDescent="0.2">
      <c r="A35" s="20" t="s">
        <v>927</v>
      </c>
      <c r="B35" s="21" t="s">
        <v>928</v>
      </c>
      <c r="C35" s="21" t="s">
        <v>469</v>
      </c>
      <c r="D35" s="21" t="s">
        <v>37</v>
      </c>
      <c r="E35" s="21" t="s">
        <v>942</v>
      </c>
      <c r="F35" s="21" t="s">
        <v>930</v>
      </c>
      <c r="G35" s="21" t="s">
        <v>933</v>
      </c>
      <c r="H35" s="21" t="s">
        <v>932</v>
      </c>
      <c r="I35" s="21">
        <v>2023</v>
      </c>
      <c r="J35" s="21">
        <v>2020</v>
      </c>
      <c r="K35" s="21">
        <v>1256969</v>
      </c>
    </row>
    <row r="36" spans="1:11" ht="16" x14ac:dyDescent="0.2">
      <c r="A36" s="20" t="s">
        <v>927</v>
      </c>
      <c r="B36" s="21" t="s">
        <v>928</v>
      </c>
      <c r="C36" s="21" t="s">
        <v>469</v>
      </c>
      <c r="D36" s="21" t="s">
        <v>37</v>
      </c>
      <c r="E36" s="21" t="s">
        <v>942</v>
      </c>
      <c r="F36" s="21" t="s">
        <v>930</v>
      </c>
      <c r="G36" s="21" t="s">
        <v>934</v>
      </c>
      <c r="H36" s="21" t="s">
        <v>932</v>
      </c>
      <c r="I36" s="21">
        <v>2023</v>
      </c>
      <c r="J36" s="21">
        <v>2020</v>
      </c>
      <c r="K36" s="21">
        <v>2039610</v>
      </c>
    </row>
    <row r="37" spans="1:11" ht="16" x14ac:dyDescent="0.2">
      <c r="A37" s="20" t="s">
        <v>927</v>
      </c>
      <c r="B37" s="21" t="s">
        <v>928</v>
      </c>
      <c r="C37" s="21" t="s">
        <v>469</v>
      </c>
      <c r="D37" s="21" t="s">
        <v>37</v>
      </c>
      <c r="E37" s="21" t="s">
        <v>942</v>
      </c>
      <c r="F37" s="21" t="s">
        <v>930</v>
      </c>
      <c r="G37" s="21" t="s">
        <v>935</v>
      </c>
      <c r="H37" s="21" t="s">
        <v>932</v>
      </c>
      <c r="I37" s="21">
        <v>2023</v>
      </c>
      <c r="J37" s="21">
        <v>2020</v>
      </c>
      <c r="K37" s="21">
        <v>11586890</v>
      </c>
    </row>
    <row r="38" spans="1:11" ht="16" x14ac:dyDescent="0.2">
      <c r="A38" s="20" t="s">
        <v>927</v>
      </c>
      <c r="B38" s="21" t="s">
        <v>928</v>
      </c>
      <c r="C38" s="21" t="s">
        <v>469</v>
      </c>
      <c r="D38" s="21" t="s">
        <v>37</v>
      </c>
      <c r="E38" s="21" t="s">
        <v>942</v>
      </c>
      <c r="F38" s="21" t="s">
        <v>930</v>
      </c>
      <c r="G38" s="21" t="s">
        <v>936</v>
      </c>
      <c r="H38" s="21" t="s">
        <v>932</v>
      </c>
      <c r="I38" s="21">
        <v>2023</v>
      </c>
      <c r="J38" s="21">
        <v>2020</v>
      </c>
      <c r="K38" s="21">
        <v>25210531</v>
      </c>
    </row>
    <row r="39" spans="1:11" ht="16" x14ac:dyDescent="0.2">
      <c r="A39" s="20" t="s">
        <v>927</v>
      </c>
      <c r="B39" s="21" t="s">
        <v>928</v>
      </c>
      <c r="C39" s="21" t="s">
        <v>469</v>
      </c>
      <c r="D39" s="21" t="s">
        <v>37</v>
      </c>
      <c r="E39" s="21" t="s">
        <v>942</v>
      </c>
      <c r="F39" s="21" t="s">
        <v>930</v>
      </c>
      <c r="G39" s="21" t="s">
        <v>937</v>
      </c>
      <c r="H39" s="21" t="s">
        <v>932</v>
      </c>
      <c r="I39" s="21">
        <v>2023</v>
      </c>
      <c r="J39" s="21">
        <v>2020</v>
      </c>
      <c r="K39" s="21">
        <v>8351571</v>
      </c>
    </row>
    <row r="40" spans="1:11" ht="16" x14ac:dyDescent="0.2">
      <c r="A40" s="20" t="s">
        <v>927</v>
      </c>
      <c r="B40" s="21" t="s">
        <v>928</v>
      </c>
      <c r="C40" s="21" t="s">
        <v>469</v>
      </c>
      <c r="D40" s="21" t="s">
        <v>37</v>
      </c>
      <c r="E40" s="21" t="s">
        <v>943</v>
      </c>
      <c r="F40" s="21" t="s">
        <v>930</v>
      </c>
      <c r="G40" s="21" t="s">
        <v>931</v>
      </c>
      <c r="H40" s="21" t="s">
        <v>932</v>
      </c>
      <c r="I40" s="21">
        <v>2023</v>
      </c>
      <c r="J40" s="21">
        <v>2020</v>
      </c>
      <c r="K40" s="21">
        <v>320172</v>
      </c>
    </row>
    <row r="41" spans="1:11" ht="16" x14ac:dyDescent="0.2">
      <c r="A41" s="20" t="s">
        <v>927</v>
      </c>
      <c r="B41" s="21" t="s">
        <v>928</v>
      </c>
      <c r="C41" s="21" t="s">
        <v>469</v>
      </c>
      <c r="D41" s="21" t="s">
        <v>37</v>
      </c>
      <c r="E41" s="21" t="s">
        <v>943</v>
      </c>
      <c r="F41" s="21" t="s">
        <v>930</v>
      </c>
      <c r="G41" s="21" t="s">
        <v>933</v>
      </c>
      <c r="H41" s="21" t="s">
        <v>932</v>
      </c>
      <c r="I41" s="21">
        <v>2023</v>
      </c>
      <c r="J41" s="21">
        <v>2020</v>
      </c>
      <c r="K41" s="21">
        <v>189731</v>
      </c>
    </row>
    <row r="42" spans="1:11" ht="16" x14ac:dyDescent="0.2">
      <c r="A42" s="20" t="s">
        <v>927</v>
      </c>
      <c r="B42" s="21" t="s">
        <v>928</v>
      </c>
      <c r="C42" s="21" t="s">
        <v>469</v>
      </c>
      <c r="D42" s="21" t="s">
        <v>37</v>
      </c>
      <c r="E42" s="21" t="s">
        <v>943</v>
      </c>
      <c r="F42" s="21" t="s">
        <v>930</v>
      </c>
      <c r="G42" s="21" t="s">
        <v>934</v>
      </c>
      <c r="H42" s="21" t="s">
        <v>932</v>
      </c>
      <c r="I42" s="21">
        <v>2023</v>
      </c>
      <c r="J42" s="21">
        <v>2020</v>
      </c>
      <c r="K42" s="21">
        <v>379462</v>
      </c>
    </row>
    <row r="43" spans="1:11" ht="16" x14ac:dyDescent="0.2">
      <c r="A43" s="20" t="s">
        <v>927</v>
      </c>
      <c r="B43" s="21" t="s">
        <v>928</v>
      </c>
      <c r="C43" s="21" t="s">
        <v>469</v>
      </c>
      <c r="D43" s="21" t="s">
        <v>37</v>
      </c>
      <c r="E43" s="21" t="s">
        <v>943</v>
      </c>
      <c r="F43" s="21" t="s">
        <v>930</v>
      </c>
      <c r="G43" s="21" t="s">
        <v>935</v>
      </c>
      <c r="H43" s="21" t="s">
        <v>932</v>
      </c>
      <c r="I43" s="21">
        <v>2023</v>
      </c>
      <c r="J43" s="21">
        <v>2020</v>
      </c>
      <c r="K43" s="21">
        <v>382406</v>
      </c>
    </row>
    <row r="44" spans="1:11" ht="16" x14ac:dyDescent="0.2">
      <c r="A44" s="20" t="s">
        <v>927</v>
      </c>
      <c r="B44" s="21" t="s">
        <v>928</v>
      </c>
      <c r="C44" s="21" t="s">
        <v>469</v>
      </c>
      <c r="D44" s="21" t="s">
        <v>37</v>
      </c>
      <c r="E44" s="21" t="s">
        <v>943</v>
      </c>
      <c r="F44" s="21" t="s">
        <v>930</v>
      </c>
      <c r="G44" s="21" t="s">
        <v>936</v>
      </c>
      <c r="H44" s="21" t="s">
        <v>932</v>
      </c>
      <c r="I44" s="21">
        <v>2023</v>
      </c>
      <c r="J44" s="21">
        <v>2020</v>
      </c>
      <c r="K44" s="21">
        <v>4802571</v>
      </c>
    </row>
    <row r="45" spans="1:11" ht="16" x14ac:dyDescent="0.2">
      <c r="A45" s="20" t="s">
        <v>927</v>
      </c>
      <c r="B45" s="21" t="s">
        <v>928</v>
      </c>
      <c r="C45" s="21" t="s">
        <v>469</v>
      </c>
      <c r="D45" s="21" t="s">
        <v>37</v>
      </c>
      <c r="E45" s="21" t="s">
        <v>943</v>
      </c>
      <c r="F45" s="21" t="s">
        <v>930</v>
      </c>
      <c r="G45" s="21" t="s">
        <v>937</v>
      </c>
      <c r="H45" s="21" t="s">
        <v>932</v>
      </c>
      <c r="I45" s="21">
        <v>2023</v>
      </c>
      <c r="J45" s="21">
        <v>2020</v>
      </c>
      <c r="K45" s="21">
        <v>434018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A17AC-6460-B144-B887-C824BC86CDCE}">
  <dimension ref="A1:BP353"/>
  <sheetViews>
    <sheetView workbookViewId="0"/>
  </sheetViews>
  <sheetFormatPr baseColWidth="10" defaultRowHeight="16" x14ac:dyDescent="0.2"/>
  <sheetData>
    <row r="1" spans="1:68" x14ac:dyDescent="0.2">
      <c r="A1" t="s">
        <v>499</v>
      </c>
      <c r="B1" t="s">
        <v>500</v>
      </c>
      <c r="C1" t="s">
        <v>501</v>
      </c>
      <c r="D1" t="s">
        <v>502</v>
      </c>
      <c r="E1" t="s">
        <v>503</v>
      </c>
      <c r="F1" t="s">
        <v>504</v>
      </c>
      <c r="G1" t="s">
        <v>505</v>
      </c>
      <c r="H1" t="s">
        <v>506</v>
      </c>
      <c r="I1" t="s">
        <v>507</v>
      </c>
      <c r="J1" t="s">
        <v>508</v>
      </c>
      <c r="K1" t="s">
        <v>509</v>
      </c>
      <c r="L1" t="s">
        <v>510</v>
      </c>
      <c r="M1" t="s">
        <v>511</v>
      </c>
      <c r="N1" t="s">
        <v>512</v>
      </c>
      <c r="O1" t="s">
        <v>513</v>
      </c>
      <c r="P1" t="s">
        <v>514</v>
      </c>
      <c r="Q1" t="s">
        <v>515</v>
      </c>
      <c r="R1" t="s">
        <v>516</v>
      </c>
      <c r="S1" t="s">
        <v>517</v>
      </c>
      <c r="T1" t="s">
        <v>518</v>
      </c>
      <c r="U1" t="s">
        <v>519</v>
      </c>
      <c r="V1" t="s">
        <v>520</v>
      </c>
      <c r="W1" t="s">
        <v>521</v>
      </c>
      <c r="X1" t="s">
        <v>522</v>
      </c>
      <c r="Y1" t="s">
        <v>523</v>
      </c>
      <c r="Z1" t="s">
        <v>524</v>
      </c>
      <c r="AA1" t="s">
        <v>525</v>
      </c>
      <c r="AB1" t="s">
        <v>526</v>
      </c>
      <c r="AC1" t="s">
        <v>527</v>
      </c>
      <c r="AD1" t="s">
        <v>528</v>
      </c>
      <c r="AE1" t="s">
        <v>529</v>
      </c>
      <c r="AF1" t="s">
        <v>530</v>
      </c>
      <c r="AG1" t="s">
        <v>531</v>
      </c>
      <c r="AH1" t="s">
        <v>532</v>
      </c>
      <c r="AI1" t="s">
        <v>533</v>
      </c>
      <c r="AJ1" t="s">
        <v>534</v>
      </c>
      <c r="AK1" t="s">
        <v>535</v>
      </c>
      <c r="AL1" t="s">
        <v>536</v>
      </c>
      <c r="AM1" t="s">
        <v>537</v>
      </c>
      <c r="AN1" t="s">
        <v>538</v>
      </c>
      <c r="AO1" t="s">
        <v>539</v>
      </c>
      <c r="AP1" t="s">
        <v>540</v>
      </c>
      <c r="AQ1" t="s">
        <v>541</v>
      </c>
      <c r="AR1" t="s">
        <v>542</v>
      </c>
      <c r="AS1" t="s">
        <v>543</v>
      </c>
      <c r="AT1" t="s">
        <v>544</v>
      </c>
      <c r="AU1" t="s">
        <v>545</v>
      </c>
      <c r="AV1" t="s">
        <v>546</v>
      </c>
      <c r="AW1" t="s">
        <v>547</v>
      </c>
      <c r="AX1" t="s">
        <v>548</v>
      </c>
      <c r="AY1" t="s">
        <v>549</v>
      </c>
      <c r="AZ1" t="s">
        <v>550</v>
      </c>
      <c r="BA1" t="s">
        <v>551</v>
      </c>
      <c r="BB1" t="s">
        <v>552</v>
      </c>
      <c r="BC1" t="s">
        <v>553</v>
      </c>
      <c r="BD1" t="s">
        <v>554</v>
      </c>
      <c r="BE1" t="s">
        <v>555</v>
      </c>
      <c r="BF1" t="s">
        <v>556</v>
      </c>
      <c r="BG1" t="s">
        <v>557</v>
      </c>
      <c r="BH1" t="s">
        <v>558</v>
      </c>
      <c r="BI1" t="s">
        <v>559</v>
      </c>
      <c r="BJ1" t="s">
        <v>560</v>
      </c>
      <c r="BK1" t="s">
        <v>561</v>
      </c>
      <c r="BL1" t="s">
        <v>562</v>
      </c>
      <c r="BM1" t="s">
        <v>563</v>
      </c>
      <c r="BN1" t="s">
        <v>564</v>
      </c>
      <c r="BO1" t="s">
        <v>565</v>
      </c>
      <c r="BP1" t="s">
        <v>566</v>
      </c>
    </row>
    <row r="2" spans="1:68" x14ac:dyDescent="0.2">
      <c r="A2" t="s">
        <v>567</v>
      </c>
      <c r="B2">
        <v>43</v>
      </c>
      <c r="C2">
        <v>124</v>
      </c>
      <c r="D2">
        <v>275</v>
      </c>
      <c r="E2">
        <v>310</v>
      </c>
      <c r="F2">
        <v>163</v>
      </c>
      <c r="G2">
        <v>2007</v>
      </c>
      <c r="H2">
        <v>830</v>
      </c>
      <c r="I2">
        <v>1200</v>
      </c>
      <c r="J2">
        <v>1075</v>
      </c>
      <c r="K2">
        <v>300</v>
      </c>
      <c r="L2">
        <v>237</v>
      </c>
      <c r="M2">
        <v>695</v>
      </c>
      <c r="N2">
        <v>1332</v>
      </c>
      <c r="O2">
        <v>1067</v>
      </c>
      <c r="P2">
        <v>225</v>
      </c>
      <c r="Q2">
        <v>13</v>
      </c>
      <c r="R2">
        <v>131</v>
      </c>
      <c r="S2">
        <v>753</v>
      </c>
      <c r="T2">
        <v>224</v>
      </c>
      <c r="U2">
        <v>30</v>
      </c>
      <c r="V2">
        <v>255.0414414</v>
      </c>
      <c r="W2">
        <v>179.4838341</v>
      </c>
      <c r="X2">
        <v>212.73316829999999</v>
      </c>
      <c r="Y2">
        <v>159.25393360000001</v>
      </c>
      <c r="Z2">
        <v>116.83235929999999</v>
      </c>
      <c r="AA2">
        <v>65</v>
      </c>
      <c r="AB2">
        <v>287.97954859999999</v>
      </c>
      <c r="AC2">
        <v>271.06736810000001</v>
      </c>
      <c r="AD2">
        <v>213.46743129999999</v>
      </c>
      <c r="AE2">
        <v>155.1478602</v>
      </c>
      <c r="AF2">
        <v>113.40621419999999</v>
      </c>
      <c r="AG2">
        <v>55</v>
      </c>
      <c r="AH2">
        <v>289.51773839999998</v>
      </c>
      <c r="AI2">
        <v>244.86061760000001</v>
      </c>
      <c r="AJ2">
        <v>196.2464655</v>
      </c>
      <c r="AK2">
        <v>169.84942849999999</v>
      </c>
      <c r="AL2">
        <v>119.5515046</v>
      </c>
      <c r="AM2">
        <v>55</v>
      </c>
      <c r="AN2">
        <v>206</v>
      </c>
      <c r="AO2">
        <v>226.43958649999999</v>
      </c>
      <c r="AP2">
        <v>181.81113730000001</v>
      </c>
      <c r="AQ2">
        <v>167.56308060000001</v>
      </c>
      <c r="AR2">
        <v>106.563</v>
      </c>
      <c r="AS2">
        <v>55</v>
      </c>
      <c r="AT2">
        <v>4.1909199999999999E-3</v>
      </c>
      <c r="AU2">
        <v>1.0869419999999999E-2</v>
      </c>
      <c r="AV2">
        <v>2.8511359999999999E-2</v>
      </c>
      <c r="AW2">
        <v>2.8614250000000001E-2</v>
      </c>
      <c r="AX2">
        <v>1.543449E-2</v>
      </c>
      <c r="AY2">
        <v>0.1804191</v>
      </c>
      <c r="AZ2">
        <v>7.6481729999999998E-2</v>
      </c>
      <c r="BA2">
        <v>0.10677521</v>
      </c>
      <c r="BB2">
        <v>9.6797590000000003E-2</v>
      </c>
      <c r="BC2">
        <v>2.802251E-2</v>
      </c>
      <c r="BD2">
        <v>2.1294779999999999E-2</v>
      </c>
      <c r="BE2">
        <v>6.1449209999999997E-2</v>
      </c>
      <c r="BF2">
        <v>0.12208785</v>
      </c>
      <c r="BG2">
        <v>9.6967670000000006E-2</v>
      </c>
      <c r="BH2">
        <v>1.9770389999999999E-2</v>
      </c>
      <c r="BI2">
        <v>1.1219400000000001E-3</v>
      </c>
      <c r="BJ2">
        <v>1.197339E-2</v>
      </c>
      <c r="BK2">
        <v>6.8279580000000006E-2</v>
      </c>
      <c r="BL2">
        <v>1.9125969999999999E-2</v>
      </c>
      <c r="BM2">
        <v>1.8126399999999999E-3</v>
      </c>
      <c r="BN2">
        <v>2299</v>
      </c>
      <c r="BO2">
        <v>249.8002358</v>
      </c>
      <c r="BP2">
        <v>190</v>
      </c>
    </row>
    <row r="3" spans="1:68" x14ac:dyDescent="0.2">
      <c r="A3" t="s">
        <v>568</v>
      </c>
      <c r="B3">
        <v>81</v>
      </c>
      <c r="C3">
        <v>211</v>
      </c>
      <c r="D3">
        <v>451</v>
      </c>
      <c r="E3">
        <v>932</v>
      </c>
      <c r="F3">
        <v>1093</v>
      </c>
      <c r="G3">
        <v>522</v>
      </c>
      <c r="H3">
        <v>356</v>
      </c>
      <c r="I3">
        <v>376</v>
      </c>
      <c r="J3">
        <v>378</v>
      </c>
      <c r="K3">
        <v>355</v>
      </c>
      <c r="L3">
        <v>530</v>
      </c>
      <c r="M3">
        <v>553</v>
      </c>
      <c r="N3">
        <v>990</v>
      </c>
      <c r="O3">
        <v>585</v>
      </c>
      <c r="P3">
        <v>831</v>
      </c>
      <c r="Q3">
        <v>204</v>
      </c>
      <c r="R3">
        <v>543</v>
      </c>
      <c r="S3">
        <v>1765</v>
      </c>
      <c r="T3">
        <v>1065</v>
      </c>
      <c r="U3">
        <v>1392</v>
      </c>
      <c r="V3">
        <v>278.85886699999998</v>
      </c>
      <c r="W3">
        <v>232.7759121</v>
      </c>
      <c r="X3">
        <v>172.5730863</v>
      </c>
      <c r="Y3">
        <v>169.39835410000001</v>
      </c>
      <c r="Z3">
        <v>118.65359840000001</v>
      </c>
      <c r="AA3">
        <v>65</v>
      </c>
      <c r="AB3">
        <v>300.90508519999997</v>
      </c>
      <c r="AC3">
        <v>284.83163969999998</v>
      </c>
      <c r="AD3">
        <v>221.89674199999999</v>
      </c>
      <c r="AE3">
        <v>157.0476128</v>
      </c>
      <c r="AF3">
        <v>115.8088157</v>
      </c>
      <c r="AG3">
        <v>55</v>
      </c>
      <c r="AH3">
        <v>302.87257870000002</v>
      </c>
      <c r="AI3">
        <v>248.72677630000001</v>
      </c>
      <c r="AJ3">
        <v>191.6685928</v>
      </c>
      <c r="AK3">
        <v>160.65478569999999</v>
      </c>
      <c r="AL3">
        <v>116.8422274</v>
      </c>
      <c r="AM3">
        <v>55</v>
      </c>
      <c r="AN3">
        <v>301.3611861</v>
      </c>
      <c r="AO3">
        <v>226.09659199999999</v>
      </c>
      <c r="AP3">
        <v>171.91144729999999</v>
      </c>
      <c r="AQ3">
        <v>158.98165349999999</v>
      </c>
      <c r="AR3">
        <v>114.53056719999999</v>
      </c>
      <c r="AS3">
        <v>55</v>
      </c>
      <c r="AT3">
        <v>6.8955400000000003E-3</v>
      </c>
      <c r="AU3">
        <v>1.7042410000000001E-2</v>
      </c>
      <c r="AV3">
        <v>3.5964530000000001E-2</v>
      </c>
      <c r="AW3">
        <v>7.1162400000000001E-2</v>
      </c>
      <c r="AX3">
        <v>9.0665720000000005E-2</v>
      </c>
      <c r="AY3">
        <v>3.3702999999999997E-2</v>
      </c>
      <c r="AZ3">
        <v>2.2839620000000001E-2</v>
      </c>
      <c r="BA3">
        <v>2.6648970000000001E-2</v>
      </c>
      <c r="BB3">
        <v>2.6950439999999999E-2</v>
      </c>
      <c r="BC3">
        <v>2.819781E-2</v>
      </c>
      <c r="BD3">
        <v>3.7998900000000002E-2</v>
      </c>
      <c r="BE3">
        <v>4.3225590000000001E-2</v>
      </c>
      <c r="BF3">
        <v>7.3547169999999995E-2</v>
      </c>
      <c r="BG3">
        <v>4.2042459999999997E-2</v>
      </c>
      <c r="BH3">
        <v>6.5913159999999998E-2</v>
      </c>
      <c r="BI3">
        <v>1.6944540000000001E-2</v>
      </c>
      <c r="BJ3">
        <v>4.5251899999999998E-2</v>
      </c>
      <c r="BK3">
        <v>0.13074087000000001</v>
      </c>
      <c r="BL3">
        <v>7.4870060000000002E-2</v>
      </c>
      <c r="BM3">
        <v>0.10939491</v>
      </c>
      <c r="BN3">
        <v>1146</v>
      </c>
      <c r="BO3">
        <v>226.7603757</v>
      </c>
      <c r="BP3">
        <v>190</v>
      </c>
    </row>
    <row r="4" spans="1:68" x14ac:dyDescent="0.2">
      <c r="A4" t="s">
        <v>569</v>
      </c>
      <c r="B4">
        <v>455</v>
      </c>
      <c r="C4">
        <v>96</v>
      </c>
      <c r="D4">
        <v>237</v>
      </c>
      <c r="E4">
        <v>681</v>
      </c>
      <c r="F4">
        <v>560</v>
      </c>
      <c r="G4">
        <v>1154</v>
      </c>
      <c r="H4">
        <v>487</v>
      </c>
      <c r="I4">
        <v>580</v>
      </c>
      <c r="J4">
        <v>603</v>
      </c>
      <c r="K4">
        <v>270</v>
      </c>
      <c r="L4">
        <v>797</v>
      </c>
      <c r="M4">
        <v>905</v>
      </c>
      <c r="N4">
        <v>1454</v>
      </c>
      <c r="O4">
        <v>820</v>
      </c>
      <c r="P4">
        <v>260</v>
      </c>
      <c r="Q4">
        <v>102</v>
      </c>
      <c r="R4">
        <v>500</v>
      </c>
      <c r="S4">
        <v>1516</v>
      </c>
      <c r="T4">
        <v>402</v>
      </c>
      <c r="U4">
        <v>96</v>
      </c>
      <c r="V4">
        <v>268.78303319999998</v>
      </c>
      <c r="W4">
        <v>237.51759139999999</v>
      </c>
      <c r="X4">
        <v>198.10363090000001</v>
      </c>
      <c r="Y4">
        <v>159.03381859999999</v>
      </c>
      <c r="Z4">
        <v>123.3661551</v>
      </c>
      <c r="AA4">
        <v>65</v>
      </c>
      <c r="AB4">
        <v>314.49102440000001</v>
      </c>
      <c r="AC4">
        <v>287.92359770000002</v>
      </c>
      <c r="AD4">
        <v>223.7918434</v>
      </c>
      <c r="AE4">
        <v>154.36375609999999</v>
      </c>
      <c r="AF4">
        <v>114.4650985</v>
      </c>
      <c r="AG4">
        <v>55</v>
      </c>
      <c r="AH4">
        <v>307.82344560000001</v>
      </c>
      <c r="AI4">
        <v>264.34765809999999</v>
      </c>
      <c r="AJ4">
        <v>213.60408369999999</v>
      </c>
      <c r="AK4">
        <v>176.3238322</v>
      </c>
      <c r="AL4">
        <v>119.3484799</v>
      </c>
      <c r="AM4">
        <v>55</v>
      </c>
      <c r="AN4">
        <v>322.14691809999999</v>
      </c>
      <c r="AO4">
        <v>246.22117170000001</v>
      </c>
      <c r="AP4">
        <v>200.8263862</v>
      </c>
      <c r="AQ4">
        <v>175.33664379999999</v>
      </c>
      <c r="AR4">
        <v>114.11574570000001</v>
      </c>
      <c r="AS4">
        <v>55</v>
      </c>
      <c r="AT4">
        <v>4.04529E-2</v>
      </c>
      <c r="AU4">
        <v>8.8342999999999998E-3</v>
      </c>
      <c r="AV4">
        <v>2.0250339999999999E-2</v>
      </c>
      <c r="AW4">
        <v>5.7593249999999999E-2</v>
      </c>
      <c r="AX4">
        <v>4.419418E-2</v>
      </c>
      <c r="AY4">
        <v>0.10114233</v>
      </c>
      <c r="AZ4">
        <v>4.3614960000000001E-2</v>
      </c>
      <c r="BA4">
        <v>4.860453E-2</v>
      </c>
      <c r="BB4">
        <v>5.0638299999999997E-2</v>
      </c>
      <c r="BC4">
        <v>2.5199369999999999E-2</v>
      </c>
      <c r="BD4">
        <v>7.3015700000000003E-2</v>
      </c>
      <c r="BE4">
        <v>8.1559950000000006E-2</v>
      </c>
      <c r="BF4">
        <v>0.11779314</v>
      </c>
      <c r="BG4">
        <v>5.61894E-2</v>
      </c>
      <c r="BH4">
        <v>2.2041829999999998E-2</v>
      </c>
      <c r="BI4">
        <v>8.6022200000000007E-3</v>
      </c>
      <c r="BJ4">
        <v>4.318317E-2</v>
      </c>
      <c r="BK4">
        <v>0.12190507</v>
      </c>
      <c r="BL4">
        <v>2.6595520000000001E-2</v>
      </c>
      <c r="BM4">
        <v>8.5895399999999997E-3</v>
      </c>
      <c r="BN4">
        <v>1073</v>
      </c>
      <c r="BO4">
        <v>267.73287850000003</v>
      </c>
      <c r="BP4">
        <v>190</v>
      </c>
    </row>
    <row r="5" spans="1:68" x14ac:dyDescent="0.2">
      <c r="A5" t="s">
        <v>570</v>
      </c>
      <c r="B5">
        <v>62</v>
      </c>
      <c r="C5">
        <v>72</v>
      </c>
      <c r="D5">
        <v>560</v>
      </c>
      <c r="E5">
        <v>456</v>
      </c>
      <c r="F5">
        <v>208</v>
      </c>
      <c r="G5">
        <v>1690</v>
      </c>
      <c r="H5">
        <v>724</v>
      </c>
      <c r="I5">
        <v>1243</v>
      </c>
      <c r="J5">
        <v>1258</v>
      </c>
      <c r="K5">
        <v>359</v>
      </c>
      <c r="L5">
        <v>155</v>
      </c>
      <c r="M5">
        <v>667</v>
      </c>
      <c r="N5">
        <v>1696</v>
      </c>
      <c r="O5">
        <v>731</v>
      </c>
      <c r="P5">
        <v>249</v>
      </c>
      <c r="Q5">
        <v>16</v>
      </c>
      <c r="R5">
        <v>324</v>
      </c>
      <c r="S5">
        <v>1436</v>
      </c>
      <c r="T5">
        <v>156</v>
      </c>
      <c r="U5">
        <v>23</v>
      </c>
      <c r="V5">
        <v>175.53456410000001</v>
      </c>
      <c r="W5">
        <v>224.4282426</v>
      </c>
      <c r="X5">
        <v>183.23990599999999</v>
      </c>
      <c r="Y5">
        <v>144.56750489999999</v>
      </c>
      <c r="Z5">
        <v>113.3506175</v>
      </c>
      <c r="AA5">
        <v>65</v>
      </c>
      <c r="AB5">
        <v>312.65932199999997</v>
      </c>
      <c r="AC5">
        <v>289.9056387</v>
      </c>
      <c r="AD5">
        <v>222.02187939999999</v>
      </c>
      <c r="AE5">
        <v>145.76607749999999</v>
      </c>
      <c r="AF5">
        <v>113.36332520000001</v>
      </c>
      <c r="AG5">
        <v>55</v>
      </c>
      <c r="AH5">
        <v>278.77310599999998</v>
      </c>
      <c r="AI5">
        <v>251.70733060000001</v>
      </c>
      <c r="AJ5">
        <v>219.3138969</v>
      </c>
      <c r="AK5">
        <v>160.53323019999999</v>
      </c>
      <c r="AL5">
        <v>101.4891727</v>
      </c>
      <c r="AM5">
        <v>55</v>
      </c>
      <c r="AN5">
        <v>301.55660130000001</v>
      </c>
      <c r="AO5">
        <v>220.13662360000001</v>
      </c>
      <c r="AP5">
        <v>211.97697969999999</v>
      </c>
      <c r="AQ5">
        <v>179.74218999999999</v>
      </c>
      <c r="AR5">
        <v>111.68522</v>
      </c>
      <c r="AS5">
        <v>55</v>
      </c>
      <c r="AT5">
        <v>6.1026300000000004E-3</v>
      </c>
      <c r="AU5">
        <v>6.5308299999999996E-3</v>
      </c>
      <c r="AV5">
        <v>4.5075749999999998E-2</v>
      </c>
      <c r="AW5">
        <v>3.6701909999999997E-2</v>
      </c>
      <c r="AX5">
        <v>1.9007679999999999E-2</v>
      </c>
      <c r="AY5">
        <v>0.15231765</v>
      </c>
      <c r="AZ5">
        <v>5.8672099999999998E-2</v>
      </c>
      <c r="BA5">
        <v>9.7871840000000002E-2</v>
      </c>
      <c r="BB5">
        <v>0.10371652000000001</v>
      </c>
      <c r="BC5">
        <v>3.2297760000000002E-2</v>
      </c>
      <c r="BD5">
        <v>1.368025E-2</v>
      </c>
      <c r="BE5">
        <v>5.6809409999999998E-2</v>
      </c>
      <c r="BF5">
        <v>0.13179314</v>
      </c>
      <c r="BG5">
        <v>5.9535879999999999E-2</v>
      </c>
      <c r="BH5">
        <v>2.1988980000000002E-2</v>
      </c>
      <c r="BI5">
        <v>1.4443399999999999E-3</v>
      </c>
      <c r="BJ5">
        <v>2.8333669999999998E-2</v>
      </c>
      <c r="BK5">
        <v>0.11311276000000001</v>
      </c>
      <c r="BL5">
        <v>1.25565E-2</v>
      </c>
      <c r="BM5">
        <v>2.4504000000000001E-3</v>
      </c>
      <c r="BN5">
        <v>929</v>
      </c>
      <c r="BO5">
        <v>269.96535249999999</v>
      </c>
      <c r="BP5">
        <v>190</v>
      </c>
    </row>
    <row r="6" spans="1:68" x14ac:dyDescent="0.2">
      <c r="A6" t="s">
        <v>571</v>
      </c>
      <c r="B6">
        <v>42</v>
      </c>
      <c r="C6">
        <v>323</v>
      </c>
      <c r="D6">
        <v>1131</v>
      </c>
      <c r="E6">
        <v>683</v>
      </c>
      <c r="F6">
        <v>438</v>
      </c>
      <c r="G6">
        <v>154</v>
      </c>
      <c r="H6">
        <v>52</v>
      </c>
      <c r="I6">
        <v>51</v>
      </c>
      <c r="J6">
        <v>145</v>
      </c>
      <c r="K6">
        <v>89</v>
      </c>
      <c r="L6">
        <v>332</v>
      </c>
      <c r="M6">
        <v>567</v>
      </c>
      <c r="N6">
        <v>357</v>
      </c>
      <c r="O6">
        <v>411</v>
      </c>
      <c r="P6">
        <v>194</v>
      </c>
      <c r="Q6">
        <v>245</v>
      </c>
      <c r="R6">
        <v>1050</v>
      </c>
      <c r="S6">
        <v>986</v>
      </c>
      <c r="T6">
        <v>792</v>
      </c>
      <c r="U6">
        <v>314</v>
      </c>
      <c r="V6">
        <v>276.01950319999997</v>
      </c>
      <c r="W6">
        <v>248.61293950000001</v>
      </c>
      <c r="X6">
        <v>180.8901319</v>
      </c>
      <c r="Y6">
        <v>145.9811861</v>
      </c>
      <c r="Z6">
        <v>119.79149270000001</v>
      </c>
      <c r="AA6">
        <v>65</v>
      </c>
      <c r="AB6">
        <v>320.4330357</v>
      </c>
      <c r="AC6">
        <v>278.93172190000001</v>
      </c>
      <c r="AD6">
        <v>234.44185300000001</v>
      </c>
      <c r="AE6">
        <v>163.1637235</v>
      </c>
      <c r="AF6">
        <v>120.8308411</v>
      </c>
      <c r="AG6">
        <v>55</v>
      </c>
      <c r="AH6">
        <v>303.19224229999998</v>
      </c>
      <c r="AI6">
        <v>281.2239141</v>
      </c>
      <c r="AJ6">
        <v>214.6528241</v>
      </c>
      <c r="AK6">
        <v>167.2690178</v>
      </c>
      <c r="AL6">
        <v>117.12602939999999</v>
      </c>
      <c r="AM6">
        <v>55</v>
      </c>
      <c r="AN6">
        <v>272.72146240000001</v>
      </c>
      <c r="AO6">
        <v>249.91110649999999</v>
      </c>
      <c r="AP6">
        <v>203.19843320000001</v>
      </c>
      <c r="AQ6">
        <v>157.52159599999999</v>
      </c>
      <c r="AR6">
        <v>114.85187670000001</v>
      </c>
      <c r="AS6">
        <v>55</v>
      </c>
      <c r="AT6">
        <v>5.02966E-3</v>
      </c>
      <c r="AU6">
        <v>3.5922429999999998E-2</v>
      </c>
      <c r="AV6">
        <v>0.1392709</v>
      </c>
      <c r="AW6">
        <v>8.5374290000000005E-2</v>
      </c>
      <c r="AX6">
        <v>4.1971000000000001E-2</v>
      </c>
      <c r="AY6">
        <v>1.7904300000000001E-2</v>
      </c>
      <c r="AZ6">
        <v>6.70895E-3</v>
      </c>
      <c r="BA6">
        <v>6.1781600000000002E-3</v>
      </c>
      <c r="BB6">
        <v>1.6460550000000001E-2</v>
      </c>
      <c r="BC6">
        <v>9.7197900000000007E-3</v>
      </c>
      <c r="BD6">
        <v>4.0143449999999997E-2</v>
      </c>
      <c r="BE6">
        <v>6.9810300000000006E-2</v>
      </c>
      <c r="BF6">
        <v>4.2942370000000001E-2</v>
      </c>
      <c r="BG6">
        <v>5.1563850000000001E-2</v>
      </c>
      <c r="BH6">
        <v>2.3188529999999999E-2</v>
      </c>
      <c r="BI6">
        <v>2.9953899999999999E-2</v>
      </c>
      <c r="BJ6">
        <v>0.12748867</v>
      </c>
      <c r="BK6">
        <v>0.12081778</v>
      </c>
      <c r="BL6">
        <v>9.5291570000000006E-2</v>
      </c>
      <c r="BM6">
        <v>3.425955E-2</v>
      </c>
      <c r="BN6">
        <v>836</v>
      </c>
      <c r="BO6">
        <v>231.79810850000001</v>
      </c>
      <c r="BP6">
        <v>190</v>
      </c>
    </row>
    <row r="7" spans="1:68" x14ac:dyDescent="0.2">
      <c r="A7" t="s">
        <v>572</v>
      </c>
      <c r="B7">
        <v>21</v>
      </c>
      <c r="C7">
        <v>2</v>
      </c>
      <c r="D7">
        <v>453</v>
      </c>
      <c r="E7">
        <v>845</v>
      </c>
      <c r="F7">
        <v>624</v>
      </c>
      <c r="G7">
        <v>249</v>
      </c>
      <c r="H7">
        <v>137</v>
      </c>
      <c r="I7">
        <v>110</v>
      </c>
      <c r="J7">
        <v>315</v>
      </c>
      <c r="K7">
        <v>223</v>
      </c>
      <c r="L7">
        <v>424</v>
      </c>
      <c r="M7">
        <v>505</v>
      </c>
      <c r="N7">
        <v>608</v>
      </c>
      <c r="O7">
        <v>962</v>
      </c>
      <c r="P7">
        <v>526</v>
      </c>
      <c r="Q7">
        <v>55</v>
      </c>
      <c r="R7">
        <v>660</v>
      </c>
      <c r="S7">
        <v>1137</v>
      </c>
      <c r="T7">
        <v>1744</v>
      </c>
      <c r="U7">
        <v>901</v>
      </c>
      <c r="V7">
        <v>163.25964669999999</v>
      </c>
      <c r="W7">
        <v>0</v>
      </c>
      <c r="X7">
        <v>198.7162075</v>
      </c>
      <c r="Y7">
        <v>153.47085440000001</v>
      </c>
      <c r="Z7">
        <v>114.01173350000001</v>
      </c>
      <c r="AA7">
        <v>65</v>
      </c>
      <c r="AB7">
        <v>276.1048601</v>
      </c>
      <c r="AC7">
        <v>263.44984779999999</v>
      </c>
      <c r="AD7">
        <v>210.45562989999999</v>
      </c>
      <c r="AE7">
        <v>146.88839400000001</v>
      </c>
      <c r="AF7">
        <v>116.929089</v>
      </c>
      <c r="AG7">
        <v>55</v>
      </c>
      <c r="AH7">
        <v>286.28966100000002</v>
      </c>
      <c r="AI7">
        <v>243.6689318</v>
      </c>
      <c r="AJ7">
        <v>208.36888780000001</v>
      </c>
      <c r="AK7">
        <v>151.54299499999999</v>
      </c>
      <c r="AL7">
        <v>119.125136</v>
      </c>
      <c r="AM7">
        <v>55</v>
      </c>
      <c r="AN7">
        <v>238.95688229999999</v>
      </c>
      <c r="AO7">
        <v>228.0088102</v>
      </c>
      <c r="AP7">
        <v>201.30003629999999</v>
      </c>
      <c r="AQ7">
        <v>146.1211854</v>
      </c>
      <c r="AR7">
        <v>115.7775109</v>
      </c>
      <c r="AS7">
        <v>55</v>
      </c>
      <c r="AT7">
        <v>2.0701500000000002E-3</v>
      </c>
      <c r="AU7">
        <v>1.5681000000000001E-4</v>
      </c>
      <c r="AV7">
        <v>4.194697E-2</v>
      </c>
      <c r="AW7">
        <v>8.3928349999999999E-2</v>
      </c>
      <c r="AX7">
        <v>5.6001509999999997E-2</v>
      </c>
      <c r="AY7">
        <v>2.194697E-2</v>
      </c>
      <c r="AZ7">
        <v>1.242971E-2</v>
      </c>
      <c r="BA7">
        <v>1.0410529999999999E-2</v>
      </c>
      <c r="BB7">
        <v>3.0552849999999999E-2</v>
      </c>
      <c r="BC7">
        <v>2.2819539999999999E-2</v>
      </c>
      <c r="BD7">
        <v>4.0009820000000001E-2</v>
      </c>
      <c r="BE7">
        <v>4.7921940000000003E-2</v>
      </c>
      <c r="BF7">
        <v>5.7155850000000001E-2</v>
      </c>
      <c r="BG7">
        <v>9.3551709999999996E-2</v>
      </c>
      <c r="BH7">
        <v>5.0316590000000001E-2</v>
      </c>
      <c r="BI7">
        <v>5.2299800000000004E-3</v>
      </c>
      <c r="BJ7">
        <v>6.11955E-2</v>
      </c>
      <c r="BK7">
        <v>0.10676368</v>
      </c>
      <c r="BL7">
        <v>0.17173020999999999</v>
      </c>
      <c r="BM7">
        <v>8.3861329999999998E-2</v>
      </c>
      <c r="BN7">
        <v>772</v>
      </c>
      <c r="BO7">
        <v>219.48928720000001</v>
      </c>
      <c r="BP7">
        <v>190</v>
      </c>
    </row>
    <row r="8" spans="1:68" x14ac:dyDescent="0.2">
      <c r="A8" t="s">
        <v>573</v>
      </c>
      <c r="B8">
        <v>1875</v>
      </c>
      <c r="C8">
        <v>2376</v>
      </c>
      <c r="D8">
        <v>7565</v>
      </c>
      <c r="E8">
        <v>4116</v>
      </c>
      <c r="F8">
        <v>2366</v>
      </c>
      <c r="G8">
        <v>1161</v>
      </c>
      <c r="H8">
        <v>347</v>
      </c>
      <c r="I8">
        <v>623</v>
      </c>
      <c r="J8">
        <v>743</v>
      </c>
      <c r="K8">
        <v>305</v>
      </c>
      <c r="L8">
        <v>2039</v>
      </c>
      <c r="M8">
        <v>876</v>
      </c>
      <c r="N8">
        <v>4167</v>
      </c>
      <c r="O8">
        <v>1828</v>
      </c>
      <c r="P8">
        <v>504</v>
      </c>
      <c r="Q8">
        <v>4511</v>
      </c>
      <c r="R8">
        <v>1653</v>
      </c>
      <c r="S8">
        <v>9766</v>
      </c>
      <c r="T8">
        <v>3805</v>
      </c>
      <c r="U8">
        <v>862</v>
      </c>
      <c r="V8">
        <v>248.84301350000001</v>
      </c>
      <c r="W8">
        <v>230.05885050000001</v>
      </c>
      <c r="X8">
        <v>192.61028540000001</v>
      </c>
      <c r="Y8">
        <v>141.41550649999999</v>
      </c>
      <c r="Z8">
        <v>118.505765</v>
      </c>
      <c r="AA8">
        <v>65</v>
      </c>
      <c r="AB8">
        <v>293.90619349999997</v>
      </c>
      <c r="AC8">
        <v>274.68695939999998</v>
      </c>
      <c r="AD8">
        <v>214.76568739999999</v>
      </c>
      <c r="AE8">
        <v>149.02908909999999</v>
      </c>
      <c r="AF8">
        <v>118.7860012</v>
      </c>
      <c r="AG8">
        <v>55</v>
      </c>
      <c r="AH8">
        <v>300.62253629999998</v>
      </c>
      <c r="AI8">
        <v>251.18039590000001</v>
      </c>
      <c r="AJ8">
        <v>203.96394509999999</v>
      </c>
      <c r="AK8">
        <v>163.7630016</v>
      </c>
      <c r="AL8">
        <v>118.3135319</v>
      </c>
      <c r="AM8">
        <v>55</v>
      </c>
      <c r="AN8">
        <v>275.65084839999997</v>
      </c>
      <c r="AO8">
        <v>239.40584949999999</v>
      </c>
      <c r="AP8">
        <v>189.31164290000001</v>
      </c>
      <c r="AQ8">
        <v>154.85747799999999</v>
      </c>
      <c r="AR8">
        <v>115.0740246</v>
      </c>
      <c r="AS8">
        <v>55</v>
      </c>
      <c r="AT8">
        <v>3.6226229999999998E-2</v>
      </c>
      <c r="AU8">
        <v>4.6488210000000002E-2</v>
      </c>
      <c r="AV8">
        <v>0.15184591</v>
      </c>
      <c r="AW8">
        <v>7.6518790000000003E-2</v>
      </c>
      <c r="AX8">
        <v>4.3185250000000001E-2</v>
      </c>
      <c r="AY8">
        <v>2.1356110000000001E-2</v>
      </c>
      <c r="AZ8">
        <v>6.7572400000000003E-3</v>
      </c>
      <c r="BA8">
        <v>1.145497E-2</v>
      </c>
      <c r="BB8">
        <v>1.376863E-2</v>
      </c>
      <c r="BC8">
        <v>5.6397499999999998E-3</v>
      </c>
      <c r="BD8">
        <v>4.0868580000000002E-2</v>
      </c>
      <c r="BE8">
        <v>1.710706E-2</v>
      </c>
      <c r="BF8">
        <v>8.1161830000000004E-2</v>
      </c>
      <c r="BG8">
        <v>3.4519800000000003E-2</v>
      </c>
      <c r="BH8">
        <v>9.0649600000000004E-3</v>
      </c>
      <c r="BI8">
        <v>9.0635820000000006E-2</v>
      </c>
      <c r="BJ8">
        <v>3.2136249999999998E-2</v>
      </c>
      <c r="BK8">
        <v>0.19438195999999999</v>
      </c>
      <c r="BL8">
        <v>7.1537249999999997E-2</v>
      </c>
      <c r="BM8">
        <v>1.53454E-2</v>
      </c>
      <c r="BN8">
        <v>6349</v>
      </c>
      <c r="BO8">
        <v>248.46623199999999</v>
      </c>
      <c r="BP8">
        <v>190</v>
      </c>
    </row>
    <row r="9" spans="1:68" x14ac:dyDescent="0.2">
      <c r="A9" t="s">
        <v>574</v>
      </c>
      <c r="B9">
        <v>442</v>
      </c>
      <c r="C9">
        <v>2325</v>
      </c>
      <c r="D9">
        <v>2715</v>
      </c>
      <c r="E9">
        <v>2711</v>
      </c>
      <c r="F9">
        <v>1278</v>
      </c>
      <c r="G9">
        <v>861</v>
      </c>
      <c r="H9">
        <v>437</v>
      </c>
      <c r="I9">
        <v>729</v>
      </c>
      <c r="J9">
        <v>1368</v>
      </c>
      <c r="K9">
        <v>573</v>
      </c>
      <c r="L9">
        <v>2855</v>
      </c>
      <c r="M9">
        <v>1440</v>
      </c>
      <c r="N9">
        <v>2483</v>
      </c>
      <c r="O9">
        <v>1999</v>
      </c>
      <c r="P9">
        <v>645</v>
      </c>
      <c r="Q9">
        <v>1760</v>
      </c>
      <c r="R9">
        <v>1917</v>
      </c>
      <c r="S9">
        <v>4107</v>
      </c>
      <c r="T9">
        <v>2345</v>
      </c>
      <c r="U9">
        <v>639</v>
      </c>
      <c r="V9">
        <v>246.2476977</v>
      </c>
      <c r="W9">
        <v>240.5474658</v>
      </c>
      <c r="X9">
        <v>198.34550680000001</v>
      </c>
      <c r="Y9">
        <v>153.46314419999999</v>
      </c>
      <c r="Z9">
        <v>120.6364367</v>
      </c>
      <c r="AA9">
        <v>65</v>
      </c>
      <c r="AB9">
        <v>310.24172229999999</v>
      </c>
      <c r="AC9">
        <v>303.3601602</v>
      </c>
      <c r="AD9">
        <v>212.82904869999999</v>
      </c>
      <c r="AE9">
        <v>144.3427245</v>
      </c>
      <c r="AF9">
        <v>116.4612333</v>
      </c>
      <c r="AG9">
        <v>55</v>
      </c>
      <c r="AH9">
        <v>291.52546610000002</v>
      </c>
      <c r="AI9">
        <v>258.50153879999999</v>
      </c>
      <c r="AJ9">
        <v>220.66220079999999</v>
      </c>
      <c r="AK9">
        <v>165.080139</v>
      </c>
      <c r="AL9">
        <v>117.66725649999999</v>
      </c>
      <c r="AM9">
        <v>55</v>
      </c>
      <c r="AN9">
        <v>261.68199720000001</v>
      </c>
      <c r="AO9">
        <v>236.66414359999999</v>
      </c>
      <c r="AP9">
        <v>213.41239250000001</v>
      </c>
      <c r="AQ9">
        <v>159.1461999</v>
      </c>
      <c r="AR9">
        <v>117.3000541</v>
      </c>
      <c r="AS9">
        <v>55</v>
      </c>
      <c r="AT9">
        <v>1.2925239999999999E-2</v>
      </c>
      <c r="AU9">
        <v>7.1223330000000001E-2</v>
      </c>
      <c r="AV9">
        <v>8.5006189999999995E-2</v>
      </c>
      <c r="AW9">
        <v>7.2865369999999999E-2</v>
      </c>
      <c r="AX9">
        <v>3.4468819999999997E-2</v>
      </c>
      <c r="AY9">
        <v>2.6119130000000001E-2</v>
      </c>
      <c r="AZ9">
        <v>1.3667729999999999E-2</v>
      </c>
      <c r="BA9">
        <v>2.2188099999999999E-2</v>
      </c>
      <c r="BB9">
        <v>3.8419990000000001E-2</v>
      </c>
      <c r="BC9">
        <v>1.548069E-2</v>
      </c>
      <c r="BD9">
        <v>8.962908E-2</v>
      </c>
      <c r="BE9">
        <v>4.5108509999999997E-2</v>
      </c>
      <c r="BF9">
        <v>7.5818720000000006E-2</v>
      </c>
      <c r="BG9">
        <v>5.6003070000000002E-2</v>
      </c>
      <c r="BH9">
        <v>1.7085659999999999E-2</v>
      </c>
      <c r="BI9">
        <v>5.4104369999999999E-2</v>
      </c>
      <c r="BJ9">
        <v>6.04863E-2</v>
      </c>
      <c r="BK9">
        <v>0.12601830999999999</v>
      </c>
      <c r="BL9">
        <v>6.6259369999999998E-2</v>
      </c>
      <c r="BM9">
        <v>1.7122020000000002E-2</v>
      </c>
      <c r="BN9">
        <v>3541</v>
      </c>
      <c r="BO9">
        <v>250.0738408</v>
      </c>
      <c r="BP9">
        <v>190</v>
      </c>
    </row>
    <row r="10" spans="1:68" x14ac:dyDescent="0.2">
      <c r="A10" t="s">
        <v>575</v>
      </c>
      <c r="B10">
        <v>0</v>
      </c>
      <c r="C10">
        <v>0</v>
      </c>
      <c r="D10">
        <v>3881</v>
      </c>
      <c r="E10">
        <v>13048</v>
      </c>
      <c r="F10">
        <v>6938</v>
      </c>
      <c r="G10">
        <v>0</v>
      </c>
      <c r="H10">
        <v>0</v>
      </c>
      <c r="I10">
        <v>111</v>
      </c>
      <c r="J10">
        <v>2827</v>
      </c>
      <c r="K10">
        <v>2139</v>
      </c>
      <c r="L10">
        <v>0</v>
      </c>
      <c r="M10">
        <v>0</v>
      </c>
      <c r="N10">
        <v>2598</v>
      </c>
      <c r="O10">
        <v>9518</v>
      </c>
      <c r="P10">
        <v>2372</v>
      </c>
      <c r="Q10">
        <v>0</v>
      </c>
      <c r="R10">
        <v>0</v>
      </c>
      <c r="S10">
        <v>7913</v>
      </c>
      <c r="T10">
        <v>29660</v>
      </c>
      <c r="U10">
        <v>5078</v>
      </c>
      <c r="V10">
        <v>0</v>
      </c>
      <c r="W10">
        <v>0</v>
      </c>
      <c r="X10">
        <v>152.70113570000001</v>
      </c>
      <c r="Y10">
        <v>139.62842860000001</v>
      </c>
      <c r="Z10">
        <v>118.6746261</v>
      </c>
      <c r="AA10">
        <v>65</v>
      </c>
      <c r="AB10">
        <v>0</v>
      </c>
      <c r="AC10">
        <v>0</v>
      </c>
      <c r="AD10">
        <v>173.75259080000001</v>
      </c>
      <c r="AE10">
        <v>142.10400680000001</v>
      </c>
      <c r="AF10">
        <v>115.03156389999999</v>
      </c>
      <c r="AG10">
        <v>55</v>
      </c>
      <c r="AH10">
        <v>0</v>
      </c>
      <c r="AI10">
        <v>0</v>
      </c>
      <c r="AJ10">
        <v>172.24176800000001</v>
      </c>
      <c r="AK10">
        <v>149.4520454</v>
      </c>
      <c r="AL10">
        <v>115.06700379999999</v>
      </c>
      <c r="AM10">
        <v>55</v>
      </c>
      <c r="AN10">
        <v>0</v>
      </c>
      <c r="AO10">
        <v>0</v>
      </c>
      <c r="AP10">
        <v>155.28235549999999</v>
      </c>
      <c r="AQ10">
        <v>136.24815620000001</v>
      </c>
      <c r="AR10">
        <v>114.019875</v>
      </c>
      <c r="AS10">
        <v>55</v>
      </c>
      <c r="AT10">
        <v>0</v>
      </c>
      <c r="AU10">
        <v>0</v>
      </c>
      <c r="AV10">
        <v>4.5216699999999999E-2</v>
      </c>
      <c r="AW10">
        <v>0.15387287999999999</v>
      </c>
      <c r="AX10">
        <v>7.5837290000000002E-2</v>
      </c>
      <c r="AY10">
        <v>0</v>
      </c>
      <c r="AZ10">
        <v>0</v>
      </c>
      <c r="BA10">
        <v>1.39551E-3</v>
      </c>
      <c r="BB10">
        <v>3.2697030000000002E-2</v>
      </c>
      <c r="BC10">
        <v>2.3173260000000001E-2</v>
      </c>
      <c r="BD10">
        <v>0</v>
      </c>
      <c r="BE10">
        <v>0</v>
      </c>
      <c r="BF10">
        <v>3.0231930000000001E-2</v>
      </c>
      <c r="BG10">
        <v>0.11179789</v>
      </c>
      <c r="BH10">
        <v>2.63696E-2</v>
      </c>
      <c r="BI10">
        <v>0</v>
      </c>
      <c r="BJ10">
        <v>0</v>
      </c>
      <c r="BK10">
        <v>9.2434939999999993E-2</v>
      </c>
      <c r="BL10">
        <v>0.34977806</v>
      </c>
      <c r="BM10">
        <v>5.7194910000000002E-2</v>
      </c>
      <c r="BN10">
        <v>4305</v>
      </c>
      <c r="BO10">
        <v>162.7791235</v>
      </c>
      <c r="BP10">
        <v>190</v>
      </c>
    </row>
    <row r="11" spans="1:68" x14ac:dyDescent="0.2">
      <c r="A11" t="s">
        <v>576</v>
      </c>
      <c r="B11">
        <v>351</v>
      </c>
      <c r="C11">
        <v>2380</v>
      </c>
      <c r="D11">
        <v>6835</v>
      </c>
      <c r="E11">
        <v>4132</v>
      </c>
      <c r="F11">
        <v>2879</v>
      </c>
      <c r="G11">
        <v>1065</v>
      </c>
      <c r="H11">
        <v>298</v>
      </c>
      <c r="I11">
        <v>882</v>
      </c>
      <c r="J11">
        <v>941</v>
      </c>
      <c r="K11">
        <v>548</v>
      </c>
      <c r="L11">
        <v>1784</v>
      </c>
      <c r="M11">
        <v>1275</v>
      </c>
      <c r="N11">
        <v>3128</v>
      </c>
      <c r="O11">
        <v>2259</v>
      </c>
      <c r="P11">
        <v>1126</v>
      </c>
      <c r="Q11">
        <v>1649</v>
      </c>
      <c r="R11">
        <v>2078</v>
      </c>
      <c r="S11">
        <v>8138</v>
      </c>
      <c r="T11">
        <v>5186</v>
      </c>
      <c r="U11">
        <v>1429</v>
      </c>
      <c r="V11">
        <v>224.39988099999999</v>
      </c>
      <c r="W11">
        <v>246.22954759999999</v>
      </c>
      <c r="X11">
        <v>179.51771210000001</v>
      </c>
      <c r="Y11">
        <v>159.72573980000001</v>
      </c>
      <c r="Z11">
        <v>113.96343090000001</v>
      </c>
      <c r="AA11">
        <v>65</v>
      </c>
      <c r="AB11">
        <v>307.07700740000001</v>
      </c>
      <c r="AC11">
        <v>298.43994909999998</v>
      </c>
      <c r="AD11">
        <v>220.1993975</v>
      </c>
      <c r="AE11">
        <v>156.37558759999999</v>
      </c>
      <c r="AF11">
        <v>113.4505073</v>
      </c>
      <c r="AG11">
        <v>55</v>
      </c>
      <c r="AH11">
        <v>302.93507510000001</v>
      </c>
      <c r="AI11">
        <v>239.44533519999999</v>
      </c>
      <c r="AJ11">
        <v>199.4600528</v>
      </c>
      <c r="AK11">
        <v>165.41854000000001</v>
      </c>
      <c r="AL11">
        <v>115.9453706</v>
      </c>
      <c r="AM11">
        <v>55</v>
      </c>
      <c r="AN11">
        <v>286.42872419999998</v>
      </c>
      <c r="AO11">
        <v>222.45212369999999</v>
      </c>
      <c r="AP11">
        <v>182.80711059999999</v>
      </c>
      <c r="AQ11">
        <v>164.93394839999999</v>
      </c>
      <c r="AR11">
        <v>111.6071555</v>
      </c>
      <c r="AS11">
        <v>55</v>
      </c>
      <c r="AT11">
        <v>6.9916800000000001E-3</v>
      </c>
      <c r="AU11">
        <v>4.9949830000000001E-2</v>
      </c>
      <c r="AV11">
        <v>0.14988641</v>
      </c>
      <c r="AW11">
        <v>8.4950059999999994E-2</v>
      </c>
      <c r="AX11">
        <v>5.5576019999999997E-2</v>
      </c>
      <c r="AY11">
        <v>2.109022E-2</v>
      </c>
      <c r="AZ11">
        <v>6.0611500000000004E-3</v>
      </c>
      <c r="BA11">
        <v>1.688626E-2</v>
      </c>
      <c r="BB11">
        <v>1.8621889999999999E-2</v>
      </c>
      <c r="BC11">
        <v>1.084475E-2</v>
      </c>
      <c r="BD11">
        <v>3.6326780000000003E-2</v>
      </c>
      <c r="BE11">
        <v>2.7036259999999999E-2</v>
      </c>
      <c r="BF11">
        <v>6.3663800000000006E-2</v>
      </c>
      <c r="BG11">
        <v>4.6682069999999999E-2</v>
      </c>
      <c r="BH11">
        <v>2.1819999999999999E-2</v>
      </c>
      <c r="BI11">
        <v>3.4711869999999999E-2</v>
      </c>
      <c r="BJ11">
        <v>4.6827210000000001E-2</v>
      </c>
      <c r="BK11">
        <v>0.16700413</v>
      </c>
      <c r="BL11">
        <v>0.10733354000000001</v>
      </c>
      <c r="BM11">
        <v>2.7736070000000002E-2</v>
      </c>
      <c r="BN11">
        <v>4632</v>
      </c>
      <c r="BO11">
        <v>246.15697539999999</v>
      </c>
      <c r="BP11">
        <v>190</v>
      </c>
    </row>
    <row r="12" spans="1:68" x14ac:dyDescent="0.2">
      <c r="A12" t="s">
        <v>577</v>
      </c>
      <c r="B12">
        <v>27</v>
      </c>
      <c r="C12">
        <v>18</v>
      </c>
      <c r="D12">
        <v>55</v>
      </c>
      <c r="E12">
        <v>72</v>
      </c>
      <c r="F12">
        <v>274</v>
      </c>
      <c r="G12">
        <v>398</v>
      </c>
      <c r="H12">
        <v>333</v>
      </c>
      <c r="I12">
        <v>664</v>
      </c>
      <c r="J12">
        <v>411</v>
      </c>
      <c r="K12">
        <v>220</v>
      </c>
      <c r="L12">
        <v>149</v>
      </c>
      <c r="M12">
        <v>158</v>
      </c>
      <c r="N12">
        <v>589</v>
      </c>
      <c r="O12">
        <v>271</v>
      </c>
      <c r="P12">
        <v>156</v>
      </c>
      <c r="Q12">
        <v>16</v>
      </c>
      <c r="R12">
        <v>16</v>
      </c>
      <c r="S12">
        <v>221</v>
      </c>
      <c r="T12">
        <v>186</v>
      </c>
      <c r="U12">
        <v>160</v>
      </c>
      <c r="V12">
        <v>281.9161972</v>
      </c>
      <c r="W12">
        <v>249.55333329999999</v>
      </c>
      <c r="X12">
        <v>168.92495510000001</v>
      </c>
      <c r="Y12">
        <v>142.0538784</v>
      </c>
      <c r="Z12">
        <v>101.7356666</v>
      </c>
      <c r="AA12">
        <v>65</v>
      </c>
      <c r="AB12">
        <v>309.5861137</v>
      </c>
      <c r="AC12">
        <v>288.46752600000002</v>
      </c>
      <c r="AD12">
        <v>225.70943339999999</v>
      </c>
      <c r="AE12">
        <v>151.55708670000001</v>
      </c>
      <c r="AF12">
        <v>114.6343088</v>
      </c>
      <c r="AG12">
        <v>55</v>
      </c>
      <c r="AH12">
        <v>276.25279230000001</v>
      </c>
      <c r="AI12">
        <v>260.01640759999998</v>
      </c>
      <c r="AJ12">
        <v>212.79690669999999</v>
      </c>
      <c r="AK12">
        <v>157.07528160000001</v>
      </c>
      <c r="AL12">
        <v>115.04131080000001</v>
      </c>
      <c r="AM12">
        <v>55</v>
      </c>
      <c r="AN12">
        <v>248.51605760000001</v>
      </c>
      <c r="AO12">
        <v>280.8683241</v>
      </c>
      <c r="AP12">
        <v>194.08739919999999</v>
      </c>
      <c r="AQ12">
        <v>152.75146770000001</v>
      </c>
      <c r="AR12">
        <v>114.2480821</v>
      </c>
      <c r="AS12">
        <v>55</v>
      </c>
      <c r="AT12">
        <v>6.4979599999999997E-3</v>
      </c>
      <c r="AU12">
        <v>3.7339999999999999E-3</v>
      </c>
      <c r="AV12">
        <v>1.24323E-2</v>
      </c>
      <c r="AW12">
        <v>1.644054E-2</v>
      </c>
      <c r="AX12">
        <v>6.3638650000000005E-2</v>
      </c>
      <c r="AY12">
        <v>8.7562929999999997E-2</v>
      </c>
      <c r="AZ12">
        <v>7.6901259999999999E-2</v>
      </c>
      <c r="BA12">
        <v>0.15240512000000001</v>
      </c>
      <c r="BB12">
        <v>9.2501609999999998E-2</v>
      </c>
      <c r="BC12">
        <v>5.1379300000000003E-2</v>
      </c>
      <c r="BD12">
        <v>3.2749489999999999E-2</v>
      </c>
      <c r="BE12">
        <v>3.1491239999999997E-2</v>
      </c>
      <c r="BF12">
        <v>0.13200466999999999</v>
      </c>
      <c r="BG12">
        <v>6.4240140000000001E-2</v>
      </c>
      <c r="BH12">
        <v>3.674666E-2</v>
      </c>
      <c r="BI12">
        <v>3.4521899999999999E-3</v>
      </c>
      <c r="BJ12">
        <v>4.0128999999999998E-3</v>
      </c>
      <c r="BK12">
        <v>5.1081189999999999E-2</v>
      </c>
      <c r="BL12">
        <v>4.4678139999999998E-2</v>
      </c>
      <c r="BM12">
        <v>3.6049709999999999E-2</v>
      </c>
      <c r="BN12">
        <v>547</v>
      </c>
      <c r="BO12">
        <v>302.63723499999998</v>
      </c>
      <c r="BP12">
        <v>190</v>
      </c>
    </row>
    <row r="13" spans="1:68" x14ac:dyDescent="0.2">
      <c r="A13" t="s">
        <v>578</v>
      </c>
      <c r="B13">
        <v>84</v>
      </c>
      <c r="C13">
        <v>16</v>
      </c>
      <c r="D13">
        <v>26</v>
      </c>
      <c r="E13">
        <v>135</v>
      </c>
      <c r="F13">
        <v>16</v>
      </c>
      <c r="G13">
        <v>178</v>
      </c>
      <c r="H13">
        <v>159</v>
      </c>
      <c r="I13">
        <v>244</v>
      </c>
      <c r="J13">
        <v>220</v>
      </c>
      <c r="K13">
        <v>84</v>
      </c>
      <c r="L13">
        <v>124</v>
      </c>
      <c r="M13">
        <v>66</v>
      </c>
      <c r="N13">
        <v>178</v>
      </c>
      <c r="O13">
        <v>125</v>
      </c>
      <c r="P13">
        <v>18</v>
      </c>
      <c r="Q13">
        <v>13</v>
      </c>
      <c r="R13">
        <v>8</v>
      </c>
      <c r="S13">
        <v>31</v>
      </c>
      <c r="T13">
        <v>11</v>
      </c>
      <c r="U13">
        <v>4</v>
      </c>
      <c r="V13">
        <v>302.0507111</v>
      </c>
      <c r="W13">
        <v>307.94018929999999</v>
      </c>
      <c r="X13">
        <v>266.94352070000002</v>
      </c>
      <c r="Y13">
        <v>157.85653679999999</v>
      </c>
      <c r="Z13">
        <v>137.4871795</v>
      </c>
      <c r="AA13">
        <v>65</v>
      </c>
      <c r="AB13">
        <v>321.39680329999999</v>
      </c>
      <c r="AC13">
        <v>268.02131600000001</v>
      </c>
      <c r="AD13">
        <v>235.3530748</v>
      </c>
      <c r="AE13">
        <v>157.119812</v>
      </c>
      <c r="AF13">
        <v>115.7228597</v>
      </c>
      <c r="AG13">
        <v>55</v>
      </c>
      <c r="AH13">
        <v>275.06508659999997</v>
      </c>
      <c r="AI13">
        <v>202.8145696</v>
      </c>
      <c r="AJ13">
        <v>171.4713366</v>
      </c>
      <c r="AK13">
        <v>148.53457839999999</v>
      </c>
      <c r="AL13">
        <v>111.0709238</v>
      </c>
      <c r="AM13">
        <v>55</v>
      </c>
      <c r="AN13">
        <v>201.61713470000001</v>
      </c>
      <c r="AO13">
        <v>237.1876173</v>
      </c>
      <c r="AP13">
        <v>151.4395912</v>
      </c>
      <c r="AQ13">
        <v>133.78104619999999</v>
      </c>
      <c r="AR13">
        <v>0</v>
      </c>
      <c r="AS13">
        <v>55</v>
      </c>
      <c r="AT13">
        <v>4.7960549999999998E-2</v>
      </c>
      <c r="AU13">
        <v>9.2838599999999997E-3</v>
      </c>
      <c r="AV13">
        <v>1.4561660000000001E-2</v>
      </c>
      <c r="AW13">
        <v>8.240538E-2</v>
      </c>
      <c r="AX13">
        <v>9.2387300000000006E-3</v>
      </c>
      <c r="AY13">
        <v>0.10168255</v>
      </c>
      <c r="AZ13">
        <v>9.362964E-2</v>
      </c>
      <c r="BA13">
        <v>0.12827841000000001</v>
      </c>
      <c r="BB13">
        <v>0.12710863999999999</v>
      </c>
      <c r="BC13">
        <v>4.6372690000000001E-2</v>
      </c>
      <c r="BD13">
        <v>8.0470819999999998E-2</v>
      </c>
      <c r="BE13">
        <v>3.9424000000000001E-2</v>
      </c>
      <c r="BF13">
        <v>0.10174373</v>
      </c>
      <c r="BG13">
        <v>7.0496459999999997E-2</v>
      </c>
      <c r="BH13">
        <v>1.1404890000000001E-2</v>
      </c>
      <c r="BI13">
        <v>7.1322399999999998E-3</v>
      </c>
      <c r="BJ13">
        <v>4.13862E-3</v>
      </c>
      <c r="BK13">
        <v>1.6606940000000001E-2</v>
      </c>
      <c r="BL13">
        <v>6.1372800000000002E-3</v>
      </c>
      <c r="BM13">
        <v>1.9229099999999999E-3</v>
      </c>
      <c r="BN13">
        <v>2141</v>
      </c>
      <c r="BO13">
        <v>293.30204650000002</v>
      </c>
      <c r="BP13">
        <v>190</v>
      </c>
    </row>
    <row r="14" spans="1:68" x14ac:dyDescent="0.2">
      <c r="A14" t="s">
        <v>579</v>
      </c>
      <c r="B14">
        <v>1195</v>
      </c>
      <c r="C14">
        <v>3875</v>
      </c>
      <c r="D14">
        <v>7389</v>
      </c>
      <c r="E14">
        <v>7322</v>
      </c>
      <c r="F14">
        <v>4536</v>
      </c>
      <c r="G14">
        <v>632</v>
      </c>
      <c r="H14">
        <v>343</v>
      </c>
      <c r="I14">
        <v>319</v>
      </c>
      <c r="J14">
        <v>669</v>
      </c>
      <c r="K14">
        <v>626</v>
      </c>
      <c r="L14">
        <v>4183</v>
      </c>
      <c r="M14">
        <v>1318</v>
      </c>
      <c r="N14">
        <v>2010</v>
      </c>
      <c r="O14">
        <v>4256</v>
      </c>
      <c r="P14">
        <v>2227</v>
      </c>
      <c r="Q14">
        <v>4822</v>
      </c>
      <c r="R14">
        <v>2125</v>
      </c>
      <c r="S14">
        <v>4727</v>
      </c>
      <c r="T14">
        <v>11684</v>
      </c>
      <c r="U14">
        <v>3749</v>
      </c>
      <c r="V14">
        <v>241.69749010000001</v>
      </c>
      <c r="W14">
        <v>202.38121870000001</v>
      </c>
      <c r="X14">
        <v>189.79965680000001</v>
      </c>
      <c r="Y14">
        <v>161.16697629999999</v>
      </c>
      <c r="Z14">
        <v>119.0081138</v>
      </c>
      <c r="AA14">
        <v>65</v>
      </c>
      <c r="AB14">
        <v>308.81858119999998</v>
      </c>
      <c r="AC14">
        <v>259.62180360000002</v>
      </c>
      <c r="AD14">
        <v>205.26611009999999</v>
      </c>
      <c r="AE14">
        <v>151.51578180000001</v>
      </c>
      <c r="AF14">
        <v>116.489604</v>
      </c>
      <c r="AG14">
        <v>55</v>
      </c>
      <c r="AH14">
        <v>274.92195900000002</v>
      </c>
      <c r="AI14">
        <v>223.25687809999999</v>
      </c>
      <c r="AJ14">
        <v>193.44206639999999</v>
      </c>
      <c r="AK14">
        <v>161.21824369999999</v>
      </c>
      <c r="AL14">
        <v>116.5760787</v>
      </c>
      <c r="AM14">
        <v>55</v>
      </c>
      <c r="AN14">
        <v>237.51984250000001</v>
      </c>
      <c r="AO14">
        <v>179.12494269999999</v>
      </c>
      <c r="AP14">
        <v>174.95438770000001</v>
      </c>
      <c r="AQ14">
        <v>158.2144284</v>
      </c>
      <c r="AR14">
        <v>114.490808</v>
      </c>
      <c r="AS14">
        <v>55</v>
      </c>
      <c r="AT14">
        <v>1.7241989999999999E-2</v>
      </c>
      <c r="AU14">
        <v>5.7702429999999999E-2</v>
      </c>
      <c r="AV14">
        <v>0.10754778</v>
      </c>
      <c r="AW14">
        <v>0.10807181</v>
      </c>
      <c r="AX14">
        <v>6.451548E-2</v>
      </c>
      <c r="AY14">
        <v>9.3436000000000005E-3</v>
      </c>
      <c r="AZ14">
        <v>5.1808499999999999E-3</v>
      </c>
      <c r="BA14">
        <v>4.9031200000000004E-3</v>
      </c>
      <c r="BB14">
        <v>1.0012E-2</v>
      </c>
      <c r="BC14">
        <v>8.8182199999999999E-3</v>
      </c>
      <c r="BD14">
        <v>6.171302E-2</v>
      </c>
      <c r="BE14">
        <v>1.969595E-2</v>
      </c>
      <c r="BF14">
        <v>3.03041E-2</v>
      </c>
      <c r="BG14">
        <v>6.3022579999999995E-2</v>
      </c>
      <c r="BH14">
        <v>3.1616529999999997E-2</v>
      </c>
      <c r="BI14">
        <v>7.1702569999999993E-2</v>
      </c>
      <c r="BJ14">
        <v>3.162214E-2</v>
      </c>
      <c r="BK14">
        <v>6.968531E-2</v>
      </c>
      <c r="BL14">
        <v>0.17369522000000001</v>
      </c>
      <c r="BM14">
        <v>5.3605300000000002E-2</v>
      </c>
      <c r="BN14">
        <v>8525</v>
      </c>
      <c r="BO14">
        <v>228.06504860000001</v>
      </c>
      <c r="BP14">
        <v>190</v>
      </c>
    </row>
    <row r="15" spans="1:68" x14ac:dyDescent="0.2">
      <c r="A15" t="s">
        <v>580</v>
      </c>
      <c r="B15">
        <v>106</v>
      </c>
      <c r="C15">
        <v>4899</v>
      </c>
      <c r="D15">
        <v>8387</v>
      </c>
      <c r="E15">
        <v>4589</v>
      </c>
      <c r="F15">
        <v>3418</v>
      </c>
      <c r="G15">
        <v>259</v>
      </c>
      <c r="H15">
        <v>110</v>
      </c>
      <c r="I15">
        <v>463</v>
      </c>
      <c r="J15">
        <v>201</v>
      </c>
      <c r="K15">
        <v>211</v>
      </c>
      <c r="L15">
        <v>1128</v>
      </c>
      <c r="M15">
        <v>1321</v>
      </c>
      <c r="N15">
        <v>1114</v>
      </c>
      <c r="O15">
        <v>1423</v>
      </c>
      <c r="P15">
        <v>660</v>
      </c>
      <c r="Q15">
        <v>1997</v>
      </c>
      <c r="R15">
        <v>3458</v>
      </c>
      <c r="S15">
        <v>3214</v>
      </c>
      <c r="T15">
        <v>3874</v>
      </c>
      <c r="U15">
        <v>1348</v>
      </c>
      <c r="V15">
        <v>218.75665989999999</v>
      </c>
      <c r="W15">
        <v>244.34251309999999</v>
      </c>
      <c r="X15">
        <v>203.3484564</v>
      </c>
      <c r="Y15">
        <v>133.04203999999999</v>
      </c>
      <c r="Z15">
        <v>107.8032975</v>
      </c>
      <c r="AA15">
        <v>65</v>
      </c>
      <c r="AB15">
        <v>276.84036589999999</v>
      </c>
      <c r="AC15">
        <v>235.2422407</v>
      </c>
      <c r="AD15">
        <v>211.6426419</v>
      </c>
      <c r="AE15">
        <v>151.2927459</v>
      </c>
      <c r="AF15">
        <v>111.8011659</v>
      </c>
      <c r="AG15">
        <v>55</v>
      </c>
      <c r="AH15">
        <v>281.99048379999999</v>
      </c>
      <c r="AI15">
        <v>242.36539780000001</v>
      </c>
      <c r="AJ15">
        <v>196.76634279999999</v>
      </c>
      <c r="AK15">
        <v>163.45766190000001</v>
      </c>
      <c r="AL15">
        <v>115.8865332</v>
      </c>
      <c r="AM15">
        <v>55</v>
      </c>
      <c r="AN15">
        <v>269.06810300000001</v>
      </c>
      <c r="AO15">
        <v>233.87111659999999</v>
      </c>
      <c r="AP15">
        <v>188.89042470000001</v>
      </c>
      <c r="AQ15">
        <v>166.8504504</v>
      </c>
      <c r="AR15">
        <v>112.7833614</v>
      </c>
      <c r="AS15">
        <v>55</v>
      </c>
      <c r="AT15">
        <v>2.7997999999999999E-3</v>
      </c>
      <c r="AU15">
        <v>0.11426918</v>
      </c>
      <c r="AV15">
        <v>0.20612463</v>
      </c>
      <c r="AW15">
        <v>0.10313382</v>
      </c>
      <c r="AX15">
        <v>7.5230720000000001E-2</v>
      </c>
      <c r="AY15">
        <v>6.1380100000000002E-3</v>
      </c>
      <c r="AZ15">
        <v>2.7322700000000002E-3</v>
      </c>
      <c r="BA15">
        <v>1.098727E-2</v>
      </c>
      <c r="BB15">
        <v>4.6255599999999999E-3</v>
      </c>
      <c r="BC15">
        <v>4.6755800000000004E-3</v>
      </c>
      <c r="BD15">
        <v>2.892105E-2</v>
      </c>
      <c r="BE15">
        <v>3.183623E-2</v>
      </c>
      <c r="BF15">
        <v>2.736481E-2</v>
      </c>
      <c r="BG15">
        <v>3.2523240000000002E-2</v>
      </c>
      <c r="BH15">
        <v>1.472731E-2</v>
      </c>
      <c r="BI15">
        <v>5.0393889999999997E-2</v>
      </c>
      <c r="BJ15">
        <v>8.7068939999999997E-2</v>
      </c>
      <c r="BK15">
        <v>7.9110079999999999E-2</v>
      </c>
      <c r="BL15">
        <v>8.7248160000000005E-2</v>
      </c>
      <c r="BM15">
        <v>3.008945E-2</v>
      </c>
      <c r="BN15">
        <v>6294</v>
      </c>
      <c r="BO15">
        <v>211.66600339999999</v>
      </c>
      <c r="BP15">
        <v>190</v>
      </c>
    </row>
    <row r="16" spans="1:68" x14ac:dyDescent="0.2">
      <c r="A16" t="s">
        <v>581</v>
      </c>
      <c r="B16">
        <v>173375</v>
      </c>
      <c r="C16">
        <v>38155</v>
      </c>
      <c r="D16">
        <v>62538</v>
      </c>
      <c r="E16">
        <v>59539</v>
      </c>
      <c r="F16">
        <v>56557</v>
      </c>
      <c r="G16">
        <v>651</v>
      </c>
      <c r="H16">
        <v>354</v>
      </c>
      <c r="I16">
        <v>347</v>
      </c>
      <c r="J16">
        <v>484</v>
      </c>
      <c r="K16">
        <v>638</v>
      </c>
      <c r="L16">
        <v>3342</v>
      </c>
      <c r="M16">
        <v>2042</v>
      </c>
      <c r="N16">
        <v>1348</v>
      </c>
      <c r="O16">
        <v>3527</v>
      </c>
      <c r="P16">
        <v>1879</v>
      </c>
      <c r="Q16">
        <v>9497</v>
      </c>
      <c r="R16">
        <v>7282</v>
      </c>
      <c r="S16">
        <v>4335</v>
      </c>
      <c r="T16">
        <v>13735</v>
      </c>
      <c r="U16">
        <v>6591</v>
      </c>
      <c r="V16">
        <v>463.03219130000002</v>
      </c>
      <c r="W16">
        <v>210.45424299999999</v>
      </c>
      <c r="X16">
        <v>192.77022249999999</v>
      </c>
      <c r="Y16">
        <v>153.78517339999999</v>
      </c>
      <c r="Z16">
        <v>116.5481252</v>
      </c>
      <c r="AA16">
        <v>65</v>
      </c>
      <c r="AB16">
        <v>286.1295513</v>
      </c>
      <c r="AC16">
        <v>260.9210496</v>
      </c>
      <c r="AD16">
        <v>214.7911646</v>
      </c>
      <c r="AE16">
        <v>170.04871750000001</v>
      </c>
      <c r="AF16">
        <v>115.9468676</v>
      </c>
      <c r="AG16">
        <v>55</v>
      </c>
      <c r="AH16">
        <v>258.88149249999998</v>
      </c>
      <c r="AI16">
        <v>241.16687479999999</v>
      </c>
      <c r="AJ16">
        <v>201.9161881</v>
      </c>
      <c r="AK16">
        <v>157.1485553</v>
      </c>
      <c r="AL16">
        <v>117.00652479999999</v>
      </c>
      <c r="AM16">
        <v>55</v>
      </c>
      <c r="AN16">
        <v>252.3954785</v>
      </c>
      <c r="AO16">
        <v>216.89517799999999</v>
      </c>
      <c r="AP16">
        <v>186.95495410000001</v>
      </c>
      <c r="AQ16">
        <v>144.02606069999999</v>
      </c>
      <c r="AR16">
        <v>115.9917459</v>
      </c>
      <c r="AS16">
        <v>55</v>
      </c>
      <c r="AT16">
        <v>0.37203596999999999</v>
      </c>
      <c r="AU16">
        <v>8.1893469999999996E-2</v>
      </c>
      <c r="AV16">
        <v>0.14275568999999999</v>
      </c>
      <c r="AW16">
        <v>0.13686625999999999</v>
      </c>
      <c r="AX16">
        <v>0.13718509000000001</v>
      </c>
      <c r="AY16">
        <v>1.4414899999999999E-3</v>
      </c>
      <c r="AZ16">
        <v>7.7559000000000005E-4</v>
      </c>
      <c r="BA16">
        <v>7.1288999999999999E-4</v>
      </c>
      <c r="BB16">
        <v>1.09884E-3</v>
      </c>
      <c r="BC16">
        <v>1.58577E-3</v>
      </c>
      <c r="BD16">
        <v>6.9667699999999997E-3</v>
      </c>
      <c r="BE16">
        <v>4.4056099999999999E-3</v>
      </c>
      <c r="BF16">
        <v>3.4898500000000001E-3</v>
      </c>
      <c r="BG16">
        <v>8.5675400000000002E-3</v>
      </c>
      <c r="BH16">
        <v>4.56216E-3</v>
      </c>
      <c r="BI16">
        <v>1.9515950000000001E-2</v>
      </c>
      <c r="BJ16">
        <v>1.547781E-2</v>
      </c>
      <c r="BK16">
        <v>1.151859E-2</v>
      </c>
      <c r="BL16">
        <v>3.3290479999999997E-2</v>
      </c>
      <c r="BM16">
        <v>1.5854179999999999E-2</v>
      </c>
      <c r="BN16">
        <v>41037</v>
      </c>
      <c r="BO16">
        <v>235.73776140000001</v>
      </c>
      <c r="BP16">
        <v>190</v>
      </c>
    </row>
    <row r="17" spans="1:68" x14ac:dyDescent="0.2">
      <c r="A17" t="s">
        <v>582</v>
      </c>
      <c r="B17">
        <v>696</v>
      </c>
      <c r="C17">
        <v>3680</v>
      </c>
      <c r="D17">
        <v>7884</v>
      </c>
      <c r="E17">
        <v>5563</v>
      </c>
      <c r="F17">
        <v>3315</v>
      </c>
      <c r="G17">
        <v>6567</v>
      </c>
      <c r="H17">
        <v>1361</v>
      </c>
      <c r="I17">
        <v>1729</v>
      </c>
      <c r="J17">
        <v>1757</v>
      </c>
      <c r="K17">
        <v>1224</v>
      </c>
      <c r="L17">
        <v>4108</v>
      </c>
      <c r="M17">
        <v>2418</v>
      </c>
      <c r="N17">
        <v>6068</v>
      </c>
      <c r="O17">
        <v>3378</v>
      </c>
      <c r="P17">
        <v>1788</v>
      </c>
      <c r="Q17">
        <v>532</v>
      </c>
      <c r="R17">
        <v>2515</v>
      </c>
      <c r="S17">
        <v>10990</v>
      </c>
      <c r="T17">
        <v>5295</v>
      </c>
      <c r="U17">
        <v>2482</v>
      </c>
      <c r="V17">
        <v>244.50064449999999</v>
      </c>
      <c r="W17">
        <v>209.6614567</v>
      </c>
      <c r="X17">
        <v>155.99934500000001</v>
      </c>
      <c r="Y17">
        <v>147.74295810000001</v>
      </c>
      <c r="Z17">
        <v>102.2698087</v>
      </c>
      <c r="AA17">
        <v>65</v>
      </c>
      <c r="AB17">
        <v>308.93304719999998</v>
      </c>
      <c r="AC17">
        <v>276.62039190000002</v>
      </c>
      <c r="AD17">
        <v>217.67900829999999</v>
      </c>
      <c r="AE17">
        <v>153.02098939999999</v>
      </c>
      <c r="AF17">
        <v>116.51985860000001</v>
      </c>
      <c r="AG17">
        <v>55</v>
      </c>
      <c r="AH17">
        <v>286.3766081</v>
      </c>
      <c r="AI17">
        <v>219.22195669999999</v>
      </c>
      <c r="AJ17">
        <v>191.26682489999999</v>
      </c>
      <c r="AK17">
        <v>155.7401064</v>
      </c>
      <c r="AL17">
        <v>114.605766</v>
      </c>
      <c r="AM17">
        <v>55</v>
      </c>
      <c r="AN17">
        <v>194.2579777</v>
      </c>
      <c r="AO17">
        <v>180.5571798</v>
      </c>
      <c r="AP17">
        <v>172.60285959999999</v>
      </c>
      <c r="AQ17">
        <v>142.6184447</v>
      </c>
      <c r="AR17">
        <v>110.075378</v>
      </c>
      <c r="AS17">
        <v>55</v>
      </c>
      <c r="AT17">
        <v>9.2942900000000002E-3</v>
      </c>
      <c r="AU17">
        <v>5.3519919999999999E-2</v>
      </c>
      <c r="AV17">
        <v>0.10949739999999999</v>
      </c>
      <c r="AW17">
        <v>7.326502E-2</v>
      </c>
      <c r="AX17">
        <v>4.4997639999999998E-2</v>
      </c>
      <c r="AY17">
        <v>9.0484670000000003E-2</v>
      </c>
      <c r="AZ17">
        <v>1.9178270000000001E-2</v>
      </c>
      <c r="BA17">
        <v>2.353357E-2</v>
      </c>
      <c r="BB17">
        <v>2.3564829999999998E-2</v>
      </c>
      <c r="BC17">
        <v>1.6374739999999999E-2</v>
      </c>
      <c r="BD17">
        <v>5.6727569999999998E-2</v>
      </c>
      <c r="BE17">
        <v>3.2785410000000001E-2</v>
      </c>
      <c r="BF17">
        <v>8.1957589999999997E-2</v>
      </c>
      <c r="BG17">
        <v>4.622602E-2</v>
      </c>
      <c r="BH17">
        <v>2.3357449999999998E-2</v>
      </c>
      <c r="BI17">
        <v>6.8041100000000004E-3</v>
      </c>
      <c r="BJ17">
        <v>3.451709E-2</v>
      </c>
      <c r="BK17">
        <v>0.14848431000000001</v>
      </c>
      <c r="BL17">
        <v>7.3114890000000002E-2</v>
      </c>
      <c r="BM17">
        <v>3.2315209999999997E-2</v>
      </c>
      <c r="BN17">
        <v>8958</v>
      </c>
      <c r="BO17">
        <v>238.17937979999999</v>
      </c>
      <c r="BP17">
        <v>190</v>
      </c>
    </row>
    <row r="18" spans="1:68" x14ac:dyDescent="0.2">
      <c r="A18" t="s">
        <v>583</v>
      </c>
      <c r="B18">
        <v>9546</v>
      </c>
      <c r="C18">
        <v>6305</v>
      </c>
      <c r="D18">
        <v>10195</v>
      </c>
      <c r="E18">
        <v>6235</v>
      </c>
      <c r="F18">
        <v>4411</v>
      </c>
      <c r="G18">
        <v>536</v>
      </c>
      <c r="H18">
        <v>434</v>
      </c>
      <c r="I18">
        <v>372</v>
      </c>
      <c r="J18">
        <v>295</v>
      </c>
      <c r="K18">
        <v>551</v>
      </c>
      <c r="L18">
        <v>3572</v>
      </c>
      <c r="M18">
        <v>1935</v>
      </c>
      <c r="N18">
        <v>2917</v>
      </c>
      <c r="O18">
        <v>2331</v>
      </c>
      <c r="P18">
        <v>2236</v>
      </c>
      <c r="Q18">
        <v>5347</v>
      </c>
      <c r="R18">
        <v>3691</v>
      </c>
      <c r="S18">
        <v>7297</v>
      </c>
      <c r="T18">
        <v>5096</v>
      </c>
      <c r="U18">
        <v>3596</v>
      </c>
      <c r="V18">
        <v>246.71561199999999</v>
      </c>
      <c r="W18">
        <v>220.9367359</v>
      </c>
      <c r="X18">
        <v>184.18328790000001</v>
      </c>
      <c r="Y18">
        <v>147.5594285</v>
      </c>
      <c r="Z18">
        <v>113.4655391</v>
      </c>
      <c r="AA18">
        <v>65</v>
      </c>
      <c r="AB18">
        <v>286.43716760000001</v>
      </c>
      <c r="AC18">
        <v>248.2502394</v>
      </c>
      <c r="AD18">
        <v>208.3394821</v>
      </c>
      <c r="AE18">
        <v>151.99588320000001</v>
      </c>
      <c r="AF18">
        <v>117.1600332</v>
      </c>
      <c r="AG18">
        <v>55</v>
      </c>
      <c r="AH18">
        <v>281.72702370000002</v>
      </c>
      <c r="AI18">
        <v>215.07201889999999</v>
      </c>
      <c r="AJ18">
        <v>201.4907163</v>
      </c>
      <c r="AK18">
        <v>160.0785784</v>
      </c>
      <c r="AL18">
        <v>116.8382101</v>
      </c>
      <c r="AM18">
        <v>55</v>
      </c>
      <c r="AN18">
        <v>246.3832037</v>
      </c>
      <c r="AO18">
        <v>189.052785</v>
      </c>
      <c r="AP18">
        <v>185.50264540000001</v>
      </c>
      <c r="AQ18">
        <v>152.73875419999999</v>
      </c>
      <c r="AR18">
        <v>114.87303249999999</v>
      </c>
      <c r="AS18">
        <v>55</v>
      </c>
      <c r="AT18">
        <v>0.12377558</v>
      </c>
      <c r="AU18">
        <v>8.1576560000000006E-2</v>
      </c>
      <c r="AV18">
        <v>0.13255828</v>
      </c>
      <c r="AW18">
        <v>8.1262130000000002E-2</v>
      </c>
      <c r="AX18">
        <v>5.5588650000000003E-2</v>
      </c>
      <c r="AY18">
        <v>7.2917199999999998E-3</v>
      </c>
      <c r="AZ18">
        <v>5.7353999999999999E-3</v>
      </c>
      <c r="BA18">
        <v>4.7852399999999996E-3</v>
      </c>
      <c r="BB18">
        <v>3.7994299999999999E-3</v>
      </c>
      <c r="BC18">
        <v>6.93824E-3</v>
      </c>
      <c r="BD18">
        <v>4.6188430000000003E-2</v>
      </c>
      <c r="BE18">
        <v>2.5805270000000002E-2</v>
      </c>
      <c r="BF18">
        <v>3.787389E-2</v>
      </c>
      <c r="BG18">
        <v>3.0787109999999999E-2</v>
      </c>
      <c r="BH18">
        <v>2.8248639999999998E-2</v>
      </c>
      <c r="BI18">
        <v>7.0830470000000006E-2</v>
      </c>
      <c r="BJ18">
        <v>4.7972130000000002E-2</v>
      </c>
      <c r="BK18">
        <v>9.6683249999999998E-2</v>
      </c>
      <c r="BL18">
        <v>6.7481559999999996E-2</v>
      </c>
      <c r="BM18">
        <v>4.481802E-2</v>
      </c>
      <c r="BN18">
        <v>7227</v>
      </c>
      <c r="BO18">
        <v>262.40375340000003</v>
      </c>
      <c r="BP18">
        <v>190</v>
      </c>
    </row>
    <row r="19" spans="1:68" x14ac:dyDescent="0.2">
      <c r="A19" t="s">
        <v>584</v>
      </c>
      <c r="B19">
        <v>62</v>
      </c>
      <c r="C19">
        <v>15</v>
      </c>
      <c r="D19">
        <v>63</v>
      </c>
      <c r="E19">
        <v>107</v>
      </c>
      <c r="F19">
        <v>86</v>
      </c>
      <c r="G19">
        <v>272</v>
      </c>
      <c r="H19">
        <v>209</v>
      </c>
      <c r="I19">
        <v>365</v>
      </c>
      <c r="J19">
        <v>234</v>
      </c>
      <c r="K19">
        <v>110</v>
      </c>
      <c r="L19">
        <v>105</v>
      </c>
      <c r="M19">
        <v>125</v>
      </c>
      <c r="N19">
        <v>283</v>
      </c>
      <c r="O19">
        <v>145</v>
      </c>
      <c r="P19">
        <v>104</v>
      </c>
      <c r="Q19">
        <v>37</v>
      </c>
      <c r="R19">
        <v>47</v>
      </c>
      <c r="S19">
        <v>261</v>
      </c>
      <c r="T19">
        <v>163</v>
      </c>
      <c r="U19">
        <v>101</v>
      </c>
      <c r="V19">
        <v>289.54479789999999</v>
      </c>
      <c r="W19">
        <v>214.35860940000001</v>
      </c>
      <c r="X19">
        <v>204.69607479999999</v>
      </c>
      <c r="Y19">
        <v>95.927357209999997</v>
      </c>
      <c r="Z19">
        <v>97.423470870000003</v>
      </c>
      <c r="AA19">
        <v>65</v>
      </c>
      <c r="AB19">
        <v>311.52193620000003</v>
      </c>
      <c r="AC19">
        <v>296.04210419999998</v>
      </c>
      <c r="AD19">
        <v>236.07871170000001</v>
      </c>
      <c r="AE19">
        <v>161.88446959999999</v>
      </c>
      <c r="AF19">
        <v>114.7179395</v>
      </c>
      <c r="AG19">
        <v>55</v>
      </c>
      <c r="AH19">
        <v>315.54632770000001</v>
      </c>
      <c r="AI19">
        <v>249.08625670000001</v>
      </c>
      <c r="AJ19">
        <v>220.770971</v>
      </c>
      <c r="AK19">
        <v>156.01505940000001</v>
      </c>
      <c r="AL19">
        <v>118.42757779999999</v>
      </c>
      <c r="AM19">
        <v>55</v>
      </c>
      <c r="AN19">
        <v>254.16907309999999</v>
      </c>
      <c r="AO19">
        <v>250.27158499999999</v>
      </c>
      <c r="AP19">
        <v>187.89960099999999</v>
      </c>
      <c r="AQ19">
        <v>118.22006039999999</v>
      </c>
      <c r="AR19">
        <v>115.8967909</v>
      </c>
      <c r="AS19">
        <v>55</v>
      </c>
      <c r="AT19">
        <v>2.2330630000000001E-2</v>
      </c>
      <c r="AU19">
        <v>5.87515E-3</v>
      </c>
      <c r="AV19">
        <v>2.232715E-2</v>
      </c>
      <c r="AW19">
        <v>3.5496590000000001E-2</v>
      </c>
      <c r="AX19">
        <v>2.865357E-2</v>
      </c>
      <c r="AY19">
        <v>9.3760259999999998E-2</v>
      </c>
      <c r="AZ19">
        <v>7.2281629999999999E-2</v>
      </c>
      <c r="BA19">
        <v>0.12880907</v>
      </c>
      <c r="BB19">
        <v>8.3191260000000003E-2</v>
      </c>
      <c r="BC19">
        <v>3.4906810000000003E-2</v>
      </c>
      <c r="BD19">
        <v>3.8063050000000001E-2</v>
      </c>
      <c r="BE19">
        <v>4.1132170000000003E-2</v>
      </c>
      <c r="BF19">
        <v>9.9584889999999995E-2</v>
      </c>
      <c r="BG19">
        <v>4.973495E-2</v>
      </c>
      <c r="BH19">
        <v>3.4573149999999997E-2</v>
      </c>
      <c r="BI19">
        <v>1.2465530000000001E-2</v>
      </c>
      <c r="BJ19">
        <v>1.5965010000000002E-2</v>
      </c>
      <c r="BK19">
        <v>9.0597929999999993E-2</v>
      </c>
      <c r="BL19">
        <v>5.6851510000000001E-2</v>
      </c>
      <c r="BM19">
        <v>3.3399690000000003E-2</v>
      </c>
      <c r="BN19">
        <v>1400</v>
      </c>
      <c r="BO19">
        <v>291.04008169999997</v>
      </c>
      <c r="BP19">
        <v>190</v>
      </c>
    </row>
    <row r="20" spans="1:68" x14ac:dyDescent="0.2">
      <c r="A20" t="s">
        <v>585</v>
      </c>
      <c r="B20">
        <v>292</v>
      </c>
      <c r="C20">
        <v>582</v>
      </c>
      <c r="D20">
        <v>1512</v>
      </c>
      <c r="E20">
        <v>739</v>
      </c>
      <c r="F20">
        <v>642</v>
      </c>
      <c r="G20">
        <v>708</v>
      </c>
      <c r="H20">
        <v>178</v>
      </c>
      <c r="I20">
        <v>151</v>
      </c>
      <c r="J20">
        <v>97</v>
      </c>
      <c r="K20">
        <v>65</v>
      </c>
      <c r="L20">
        <v>1499</v>
      </c>
      <c r="M20">
        <v>784</v>
      </c>
      <c r="N20">
        <v>798</v>
      </c>
      <c r="O20">
        <v>331</v>
      </c>
      <c r="P20">
        <v>107</v>
      </c>
      <c r="Q20">
        <v>547</v>
      </c>
      <c r="R20">
        <v>851</v>
      </c>
      <c r="S20">
        <v>1156</v>
      </c>
      <c r="T20">
        <v>497</v>
      </c>
      <c r="U20">
        <v>151</v>
      </c>
      <c r="V20">
        <v>245.89290510000001</v>
      </c>
      <c r="W20">
        <v>212.97893619999999</v>
      </c>
      <c r="X20">
        <v>180.23528540000001</v>
      </c>
      <c r="Y20">
        <v>162.61603769999999</v>
      </c>
      <c r="Z20">
        <v>115.62654209999999</v>
      </c>
      <c r="AA20">
        <v>65</v>
      </c>
      <c r="AB20">
        <v>306.66741510000003</v>
      </c>
      <c r="AC20">
        <v>274.59145660000001</v>
      </c>
      <c r="AD20">
        <v>227.5900283</v>
      </c>
      <c r="AE20">
        <v>153.0055978</v>
      </c>
      <c r="AF20">
        <v>123.9344715</v>
      </c>
      <c r="AG20">
        <v>55</v>
      </c>
      <c r="AH20">
        <v>298.23163190000002</v>
      </c>
      <c r="AI20">
        <v>254.46889809999999</v>
      </c>
      <c r="AJ20">
        <v>209.40288200000001</v>
      </c>
      <c r="AK20">
        <v>151.33283059999999</v>
      </c>
      <c r="AL20">
        <v>114.0131763</v>
      </c>
      <c r="AM20">
        <v>55</v>
      </c>
      <c r="AN20">
        <v>276.0301781</v>
      </c>
      <c r="AO20">
        <v>235.31231779999999</v>
      </c>
      <c r="AP20">
        <v>203.34014160000001</v>
      </c>
      <c r="AQ20">
        <v>143.87051550000001</v>
      </c>
      <c r="AR20">
        <v>105.5735178</v>
      </c>
      <c r="AS20">
        <v>55</v>
      </c>
      <c r="AT20">
        <v>2.5231139999999999E-2</v>
      </c>
      <c r="AU20">
        <v>4.9639620000000002E-2</v>
      </c>
      <c r="AV20">
        <v>0.11883924999999999</v>
      </c>
      <c r="AW20">
        <v>6.8755990000000003E-2</v>
      </c>
      <c r="AX20">
        <v>5.6217169999999997E-2</v>
      </c>
      <c r="AY20">
        <v>6.0797169999999998E-2</v>
      </c>
      <c r="AZ20">
        <v>1.535924E-2</v>
      </c>
      <c r="BA20">
        <v>1.2404480000000001E-2</v>
      </c>
      <c r="BB20">
        <v>8.3033199999999995E-3</v>
      </c>
      <c r="BC20">
        <v>5.9510400000000003E-3</v>
      </c>
      <c r="BD20">
        <v>0.12229105</v>
      </c>
      <c r="BE20">
        <v>6.7447709999999994E-2</v>
      </c>
      <c r="BF20">
        <v>7.1729409999999993E-2</v>
      </c>
      <c r="BG20">
        <v>2.9129849999999999E-2</v>
      </c>
      <c r="BH20">
        <v>9.5385899999999996E-3</v>
      </c>
      <c r="BI20">
        <v>4.4744489999999998E-2</v>
      </c>
      <c r="BJ20">
        <v>7.3937550000000005E-2</v>
      </c>
      <c r="BK20">
        <v>0.10389845</v>
      </c>
      <c r="BL20">
        <v>4.246801E-2</v>
      </c>
      <c r="BM20">
        <v>1.331647E-2</v>
      </c>
      <c r="BN20">
        <v>1820</v>
      </c>
      <c r="BO20">
        <v>273.43641000000002</v>
      </c>
      <c r="BP20">
        <v>190</v>
      </c>
    </row>
    <row r="21" spans="1:68" x14ac:dyDescent="0.2">
      <c r="A21" t="s">
        <v>586</v>
      </c>
      <c r="B21">
        <v>25</v>
      </c>
      <c r="C21">
        <v>134</v>
      </c>
      <c r="D21">
        <v>852</v>
      </c>
      <c r="E21">
        <v>2601</v>
      </c>
      <c r="F21">
        <v>1369</v>
      </c>
      <c r="G21">
        <v>231</v>
      </c>
      <c r="H21">
        <v>66</v>
      </c>
      <c r="I21">
        <v>147</v>
      </c>
      <c r="J21">
        <v>393</v>
      </c>
      <c r="K21">
        <v>202</v>
      </c>
      <c r="L21">
        <v>406</v>
      </c>
      <c r="M21">
        <v>483</v>
      </c>
      <c r="N21">
        <v>1042</v>
      </c>
      <c r="O21">
        <v>1878</v>
      </c>
      <c r="P21">
        <v>887</v>
      </c>
      <c r="Q21">
        <v>151</v>
      </c>
      <c r="R21">
        <v>579</v>
      </c>
      <c r="S21">
        <v>1865</v>
      </c>
      <c r="T21">
        <v>4492</v>
      </c>
      <c r="U21">
        <v>1582</v>
      </c>
      <c r="V21">
        <v>294.92843329999999</v>
      </c>
      <c r="W21">
        <v>284.07194099999998</v>
      </c>
      <c r="X21">
        <v>159.10337079999999</v>
      </c>
      <c r="Y21">
        <v>129.19558599999999</v>
      </c>
      <c r="Z21">
        <v>116.4317417</v>
      </c>
      <c r="AA21">
        <v>65</v>
      </c>
      <c r="AB21">
        <v>260.58251610000002</v>
      </c>
      <c r="AC21">
        <v>268.80947620000001</v>
      </c>
      <c r="AD21">
        <v>223.46380970000001</v>
      </c>
      <c r="AE21">
        <v>142.58179459999999</v>
      </c>
      <c r="AF21">
        <v>123.0624289</v>
      </c>
      <c r="AG21">
        <v>55</v>
      </c>
      <c r="AH21">
        <v>282.11942759999999</v>
      </c>
      <c r="AI21">
        <v>219.58059030000001</v>
      </c>
      <c r="AJ21">
        <v>193.22256329999999</v>
      </c>
      <c r="AK21">
        <v>147.90731160000001</v>
      </c>
      <c r="AL21">
        <v>119.00097940000001</v>
      </c>
      <c r="AM21">
        <v>55</v>
      </c>
      <c r="AN21">
        <v>277.92819750000001</v>
      </c>
      <c r="AO21">
        <v>166.5888836</v>
      </c>
      <c r="AP21">
        <v>176.97396929999999</v>
      </c>
      <c r="AQ21">
        <v>138.23162730000001</v>
      </c>
      <c r="AR21">
        <v>112.76373700000001</v>
      </c>
      <c r="AS21">
        <v>55</v>
      </c>
      <c r="AT21">
        <v>1.5214099999999999E-3</v>
      </c>
      <c r="AU21">
        <v>6.7631799999999997E-3</v>
      </c>
      <c r="AV21">
        <v>4.3771810000000001E-2</v>
      </c>
      <c r="AW21">
        <v>0.13384556</v>
      </c>
      <c r="AX21">
        <v>6.8532480000000007E-2</v>
      </c>
      <c r="AY21">
        <v>1.248722E-2</v>
      </c>
      <c r="AZ21">
        <v>3.3701E-3</v>
      </c>
      <c r="BA21">
        <v>7.9895799999999996E-3</v>
      </c>
      <c r="BB21">
        <v>2.1796840000000001E-2</v>
      </c>
      <c r="BC21">
        <v>1.0084559999999999E-2</v>
      </c>
      <c r="BD21">
        <v>2.158854E-2</v>
      </c>
      <c r="BE21">
        <v>2.5873710000000001E-2</v>
      </c>
      <c r="BF21">
        <v>5.5234529999999997E-2</v>
      </c>
      <c r="BG21">
        <v>9.7945660000000004E-2</v>
      </c>
      <c r="BH21">
        <v>4.3284049999999998E-2</v>
      </c>
      <c r="BI21">
        <v>8.1357100000000009E-3</v>
      </c>
      <c r="BJ21">
        <v>2.953124E-2</v>
      </c>
      <c r="BK21">
        <v>9.6694310000000006E-2</v>
      </c>
      <c r="BL21">
        <v>0.23322957</v>
      </c>
      <c r="BM21">
        <v>7.8319940000000005E-2</v>
      </c>
      <c r="BN21">
        <v>2083</v>
      </c>
      <c r="BO21">
        <v>182.45838209999999</v>
      </c>
      <c r="BP21">
        <v>190</v>
      </c>
    </row>
    <row r="22" spans="1:68" x14ac:dyDescent="0.2">
      <c r="A22" t="s">
        <v>587</v>
      </c>
      <c r="B22">
        <v>355</v>
      </c>
      <c r="C22">
        <v>219</v>
      </c>
      <c r="D22">
        <v>635</v>
      </c>
      <c r="E22">
        <v>1963</v>
      </c>
      <c r="F22">
        <v>1554</v>
      </c>
      <c r="G22">
        <v>1074</v>
      </c>
      <c r="H22">
        <v>870</v>
      </c>
      <c r="I22">
        <v>1230</v>
      </c>
      <c r="J22">
        <v>1012</v>
      </c>
      <c r="K22">
        <v>585</v>
      </c>
      <c r="L22">
        <v>471</v>
      </c>
      <c r="M22">
        <v>862</v>
      </c>
      <c r="N22">
        <v>1856</v>
      </c>
      <c r="O22">
        <v>1679</v>
      </c>
      <c r="P22">
        <v>1237</v>
      </c>
      <c r="Q22">
        <v>64</v>
      </c>
      <c r="R22">
        <v>608</v>
      </c>
      <c r="S22">
        <v>2261</v>
      </c>
      <c r="T22">
        <v>2214</v>
      </c>
      <c r="U22">
        <v>2086</v>
      </c>
      <c r="V22">
        <v>256.13506100000001</v>
      </c>
      <c r="W22">
        <v>216.19738079999999</v>
      </c>
      <c r="X22">
        <v>182.543789</v>
      </c>
      <c r="Y22">
        <v>158.53346680000001</v>
      </c>
      <c r="Z22">
        <v>112.7206505</v>
      </c>
      <c r="AA22">
        <v>65</v>
      </c>
      <c r="AB22">
        <v>294.56150350000001</v>
      </c>
      <c r="AC22">
        <v>276.40344440000001</v>
      </c>
      <c r="AD22">
        <v>224.85330099999999</v>
      </c>
      <c r="AE22">
        <v>160.85610800000001</v>
      </c>
      <c r="AF22">
        <v>122.0596642</v>
      </c>
      <c r="AG22">
        <v>55</v>
      </c>
      <c r="AH22">
        <v>299.36212080000001</v>
      </c>
      <c r="AI22">
        <v>208.18017359999999</v>
      </c>
      <c r="AJ22">
        <v>191.84147390000001</v>
      </c>
      <c r="AK22">
        <v>164.840169</v>
      </c>
      <c r="AL22">
        <v>118.0084916</v>
      </c>
      <c r="AM22">
        <v>55</v>
      </c>
      <c r="AN22">
        <v>284.77685320000001</v>
      </c>
      <c r="AO22">
        <v>165.9151875</v>
      </c>
      <c r="AP22">
        <v>164.88754030000001</v>
      </c>
      <c r="AQ22">
        <v>163.33880909999999</v>
      </c>
      <c r="AR22">
        <v>115.49772539999999</v>
      </c>
      <c r="AS22">
        <v>55</v>
      </c>
      <c r="AT22">
        <v>1.6419719999999999E-2</v>
      </c>
      <c r="AU22">
        <v>1.000524E-2</v>
      </c>
      <c r="AV22">
        <v>2.8384139999999999E-2</v>
      </c>
      <c r="AW22">
        <v>8.7074200000000004E-2</v>
      </c>
      <c r="AX22">
        <v>6.8619299999999994E-2</v>
      </c>
      <c r="AY22">
        <v>4.7202130000000002E-2</v>
      </c>
      <c r="AZ22">
        <v>3.7619350000000003E-2</v>
      </c>
      <c r="BA22">
        <v>5.2691599999999998E-2</v>
      </c>
      <c r="BB22">
        <v>4.4476469999999997E-2</v>
      </c>
      <c r="BC22">
        <v>2.5602679999999999E-2</v>
      </c>
      <c r="BD22">
        <v>2.097065E-2</v>
      </c>
      <c r="BE22">
        <v>3.8291409999999998E-2</v>
      </c>
      <c r="BF22">
        <v>7.9709970000000005E-2</v>
      </c>
      <c r="BG22">
        <v>7.4172349999999998E-2</v>
      </c>
      <c r="BH22">
        <v>5.3733429999999999E-2</v>
      </c>
      <c r="BI22">
        <v>2.8561200000000002E-3</v>
      </c>
      <c r="BJ22">
        <v>2.6552760000000002E-2</v>
      </c>
      <c r="BK22">
        <v>9.8072560000000003E-2</v>
      </c>
      <c r="BL22">
        <v>9.6055249999999995E-2</v>
      </c>
      <c r="BM22">
        <v>9.1490669999999996E-2</v>
      </c>
      <c r="BN22">
        <v>5413</v>
      </c>
      <c r="BO22">
        <v>228.0973798</v>
      </c>
      <c r="BP22">
        <v>190</v>
      </c>
    </row>
    <row r="23" spans="1:68" x14ac:dyDescent="0.2">
      <c r="A23" t="s">
        <v>588</v>
      </c>
      <c r="B23">
        <v>36</v>
      </c>
      <c r="C23">
        <v>2</v>
      </c>
      <c r="D23">
        <v>148</v>
      </c>
      <c r="E23">
        <v>118</v>
      </c>
      <c r="F23">
        <v>101</v>
      </c>
      <c r="G23">
        <v>766</v>
      </c>
      <c r="H23">
        <v>148</v>
      </c>
      <c r="I23">
        <v>187</v>
      </c>
      <c r="J23">
        <v>166</v>
      </c>
      <c r="K23">
        <v>174</v>
      </c>
      <c r="L23">
        <v>212</v>
      </c>
      <c r="M23">
        <v>223</v>
      </c>
      <c r="N23">
        <v>261</v>
      </c>
      <c r="O23">
        <v>175</v>
      </c>
      <c r="P23">
        <v>286</v>
      </c>
      <c r="Q23">
        <v>33</v>
      </c>
      <c r="R23">
        <v>172</v>
      </c>
      <c r="S23">
        <v>316</v>
      </c>
      <c r="T23">
        <v>297</v>
      </c>
      <c r="U23">
        <v>195</v>
      </c>
      <c r="V23">
        <v>252.89961070000001</v>
      </c>
      <c r="W23">
        <v>118</v>
      </c>
      <c r="X23">
        <v>208.32707980000001</v>
      </c>
      <c r="Y23">
        <v>112.5706686</v>
      </c>
      <c r="Z23">
        <v>118.48558269999999</v>
      </c>
      <c r="AA23">
        <v>65</v>
      </c>
      <c r="AB23">
        <v>296.3082789</v>
      </c>
      <c r="AC23">
        <v>278.62996399999997</v>
      </c>
      <c r="AD23">
        <v>216.7020947</v>
      </c>
      <c r="AE23">
        <v>148.47586609999999</v>
      </c>
      <c r="AF23">
        <v>115.2747227</v>
      </c>
      <c r="AG23">
        <v>55</v>
      </c>
      <c r="AH23">
        <v>310.67713300000003</v>
      </c>
      <c r="AI23">
        <v>223.73020650000001</v>
      </c>
      <c r="AJ23">
        <v>194.51639059999999</v>
      </c>
      <c r="AK23">
        <v>169.03421069999999</v>
      </c>
      <c r="AL23">
        <v>117.2552894</v>
      </c>
      <c r="AM23">
        <v>55</v>
      </c>
      <c r="AN23">
        <v>278.84012439999998</v>
      </c>
      <c r="AO23">
        <v>198.87593899999999</v>
      </c>
      <c r="AP23">
        <v>178.95447590000001</v>
      </c>
      <c r="AQ23">
        <v>166.9001777</v>
      </c>
      <c r="AR23">
        <v>117.0087513</v>
      </c>
      <c r="AS23">
        <v>55</v>
      </c>
      <c r="AT23">
        <v>9.3239900000000007E-3</v>
      </c>
      <c r="AU23">
        <v>5.7258000000000005E-4</v>
      </c>
      <c r="AV23">
        <v>3.994408E-2</v>
      </c>
      <c r="AW23">
        <v>2.800629E-2</v>
      </c>
      <c r="AX23">
        <v>2.7370789999999999E-2</v>
      </c>
      <c r="AY23">
        <v>0.19078086999999999</v>
      </c>
      <c r="AZ23">
        <v>3.6911489999999998E-2</v>
      </c>
      <c r="BA23">
        <v>4.7078790000000002E-2</v>
      </c>
      <c r="BB23">
        <v>4.044358E-2</v>
      </c>
      <c r="BC23">
        <v>4.4043020000000002E-2</v>
      </c>
      <c r="BD23">
        <v>5.483946E-2</v>
      </c>
      <c r="BE23">
        <v>5.3228480000000002E-2</v>
      </c>
      <c r="BF23">
        <v>6.1487380000000001E-2</v>
      </c>
      <c r="BG23">
        <v>4.3697310000000003E-2</v>
      </c>
      <c r="BH23">
        <v>7.4463559999999998E-2</v>
      </c>
      <c r="BI23">
        <v>8.4794199999999997E-3</v>
      </c>
      <c r="BJ23">
        <v>4.0657739999999998E-2</v>
      </c>
      <c r="BK23">
        <v>7.5824790000000003E-2</v>
      </c>
      <c r="BL23">
        <v>7.251958E-2</v>
      </c>
      <c r="BM23">
        <v>5.0326799999999998E-2</v>
      </c>
      <c r="BN23">
        <v>0</v>
      </c>
      <c r="BO23">
        <v>215.17332239999999</v>
      </c>
      <c r="BP23">
        <v>190</v>
      </c>
    </row>
    <row r="24" spans="1:68" x14ac:dyDescent="0.2">
      <c r="A24" t="s">
        <v>589</v>
      </c>
      <c r="B24">
        <v>372</v>
      </c>
      <c r="C24">
        <v>209</v>
      </c>
      <c r="D24">
        <v>496</v>
      </c>
      <c r="E24">
        <v>828</v>
      </c>
      <c r="F24">
        <v>1110</v>
      </c>
      <c r="G24">
        <v>836</v>
      </c>
      <c r="H24">
        <v>874</v>
      </c>
      <c r="I24">
        <v>775</v>
      </c>
      <c r="J24">
        <v>683</v>
      </c>
      <c r="K24">
        <v>202</v>
      </c>
      <c r="L24">
        <v>647</v>
      </c>
      <c r="M24">
        <v>1542</v>
      </c>
      <c r="N24">
        <v>1665</v>
      </c>
      <c r="O24">
        <v>1122</v>
      </c>
      <c r="P24">
        <v>409</v>
      </c>
      <c r="Q24">
        <v>88</v>
      </c>
      <c r="R24">
        <v>804</v>
      </c>
      <c r="S24">
        <v>1665</v>
      </c>
      <c r="T24">
        <v>911</v>
      </c>
      <c r="U24">
        <v>544</v>
      </c>
      <c r="V24">
        <v>273.71365589999999</v>
      </c>
      <c r="W24">
        <v>257.66348049999999</v>
      </c>
      <c r="X24">
        <v>219.81409909999999</v>
      </c>
      <c r="Y24">
        <v>132.05455269999999</v>
      </c>
      <c r="Z24">
        <v>103.0526528</v>
      </c>
      <c r="AA24">
        <v>65</v>
      </c>
      <c r="AB24">
        <v>305.6818978</v>
      </c>
      <c r="AC24">
        <v>284.62013919999998</v>
      </c>
      <c r="AD24">
        <v>217.9820541</v>
      </c>
      <c r="AE24">
        <v>145.6682481</v>
      </c>
      <c r="AF24">
        <v>117.9387747</v>
      </c>
      <c r="AG24">
        <v>55</v>
      </c>
      <c r="AH24">
        <v>291.07465450000001</v>
      </c>
      <c r="AI24">
        <v>216.87684609999999</v>
      </c>
      <c r="AJ24">
        <v>185.70051620000001</v>
      </c>
      <c r="AK24">
        <v>153.63872610000001</v>
      </c>
      <c r="AL24">
        <v>110.6135154</v>
      </c>
      <c r="AM24">
        <v>55</v>
      </c>
      <c r="AN24">
        <v>293.42108990000003</v>
      </c>
      <c r="AO24">
        <v>181.74444370000001</v>
      </c>
      <c r="AP24">
        <v>165.13747319999999</v>
      </c>
      <c r="AQ24">
        <v>151.64663590000001</v>
      </c>
      <c r="AR24">
        <v>107.7101701</v>
      </c>
      <c r="AS24">
        <v>55</v>
      </c>
      <c r="AT24">
        <v>2.7355629999999999E-2</v>
      </c>
      <c r="AU24">
        <v>1.530807E-2</v>
      </c>
      <c r="AV24">
        <v>3.3783319999999999E-2</v>
      </c>
      <c r="AW24">
        <v>5.1110429999999998E-2</v>
      </c>
      <c r="AX24">
        <v>6.4179219999999995E-2</v>
      </c>
      <c r="AY24">
        <v>5.3551540000000002E-2</v>
      </c>
      <c r="AZ24">
        <v>5.5308620000000003E-2</v>
      </c>
      <c r="BA24">
        <v>5.0110519999999999E-2</v>
      </c>
      <c r="BB24">
        <v>4.150073E-2</v>
      </c>
      <c r="BC24">
        <v>1.4439799999999999E-2</v>
      </c>
      <c r="BD24">
        <v>4.2383339999999999E-2</v>
      </c>
      <c r="BE24">
        <v>9.815575E-2</v>
      </c>
      <c r="BF24">
        <v>0.10681278</v>
      </c>
      <c r="BG24">
        <v>6.8905880000000003E-2</v>
      </c>
      <c r="BH24">
        <v>2.6473010000000002E-2</v>
      </c>
      <c r="BI24">
        <v>5.0220000000000004E-3</v>
      </c>
      <c r="BJ24">
        <v>5.0429000000000002E-2</v>
      </c>
      <c r="BK24">
        <v>0.10586338000000001</v>
      </c>
      <c r="BL24">
        <v>5.7407149999999997E-2</v>
      </c>
      <c r="BM24">
        <v>3.1899829999999997E-2</v>
      </c>
      <c r="BN24">
        <v>1353</v>
      </c>
      <c r="BO24">
        <v>291.43746670000002</v>
      </c>
      <c r="BP24">
        <v>190</v>
      </c>
    </row>
    <row r="25" spans="1:68" x14ac:dyDescent="0.2">
      <c r="A25" t="s">
        <v>590</v>
      </c>
      <c r="B25">
        <v>293</v>
      </c>
      <c r="C25">
        <v>76</v>
      </c>
      <c r="D25">
        <v>177</v>
      </c>
      <c r="E25">
        <v>232</v>
      </c>
      <c r="F25">
        <v>205</v>
      </c>
      <c r="G25">
        <v>391</v>
      </c>
      <c r="H25">
        <v>715</v>
      </c>
      <c r="I25">
        <v>965</v>
      </c>
      <c r="J25">
        <v>812</v>
      </c>
      <c r="K25">
        <v>317</v>
      </c>
      <c r="L25">
        <v>92</v>
      </c>
      <c r="M25">
        <v>415</v>
      </c>
      <c r="N25">
        <v>1091</v>
      </c>
      <c r="O25">
        <v>579</v>
      </c>
      <c r="P25">
        <v>238</v>
      </c>
      <c r="Q25">
        <v>15</v>
      </c>
      <c r="R25">
        <v>104</v>
      </c>
      <c r="S25">
        <v>633</v>
      </c>
      <c r="T25">
        <v>347</v>
      </c>
      <c r="U25">
        <v>274</v>
      </c>
      <c r="V25">
        <v>272.57437800000002</v>
      </c>
      <c r="W25">
        <v>235.4271803</v>
      </c>
      <c r="X25">
        <v>134.9193501</v>
      </c>
      <c r="Y25">
        <v>143.2735366</v>
      </c>
      <c r="Z25">
        <v>97.545075879999999</v>
      </c>
      <c r="AA25">
        <v>65</v>
      </c>
      <c r="AB25">
        <v>297.14505860000003</v>
      </c>
      <c r="AC25">
        <v>281.02209970000001</v>
      </c>
      <c r="AD25">
        <v>222.29527160000001</v>
      </c>
      <c r="AE25">
        <v>155.03499020000001</v>
      </c>
      <c r="AF25">
        <v>112.56527629999999</v>
      </c>
      <c r="AG25">
        <v>55</v>
      </c>
      <c r="AH25">
        <v>287.09685819999999</v>
      </c>
      <c r="AI25">
        <v>257.4030401</v>
      </c>
      <c r="AJ25">
        <v>204.822405</v>
      </c>
      <c r="AK25">
        <v>156.4072194</v>
      </c>
      <c r="AL25">
        <v>113.530907</v>
      </c>
      <c r="AM25">
        <v>55</v>
      </c>
      <c r="AN25">
        <v>255.7055618</v>
      </c>
      <c r="AO25">
        <v>236.27931179999999</v>
      </c>
      <c r="AP25">
        <v>181.7848917</v>
      </c>
      <c r="AQ25">
        <v>143.33163039999999</v>
      </c>
      <c r="AR25">
        <v>109.82755899999999</v>
      </c>
      <c r="AS25">
        <v>55</v>
      </c>
      <c r="AT25">
        <v>3.5498309999999998E-2</v>
      </c>
      <c r="AU25">
        <v>9.6492000000000001E-3</v>
      </c>
      <c r="AV25">
        <v>2.0616160000000001E-2</v>
      </c>
      <c r="AW25">
        <v>2.899765E-2</v>
      </c>
      <c r="AX25">
        <v>2.494091E-2</v>
      </c>
      <c r="AY25">
        <v>5.0122399999999998E-2</v>
      </c>
      <c r="AZ25">
        <v>9.1845490000000002E-2</v>
      </c>
      <c r="BA25">
        <v>0.12866291999999999</v>
      </c>
      <c r="BB25">
        <v>0.10184701</v>
      </c>
      <c r="BC25">
        <v>3.2396380000000002E-2</v>
      </c>
      <c r="BD25">
        <v>1.0712660000000001E-2</v>
      </c>
      <c r="BE25">
        <v>4.8366659999999999E-2</v>
      </c>
      <c r="BF25">
        <v>0.14534090999999999</v>
      </c>
      <c r="BG25">
        <v>7.2010729999999995E-2</v>
      </c>
      <c r="BH25">
        <v>2.4948789999999998E-2</v>
      </c>
      <c r="BI25">
        <v>1.86575E-3</v>
      </c>
      <c r="BJ25">
        <v>1.051559E-2</v>
      </c>
      <c r="BK25">
        <v>8.727501E-2</v>
      </c>
      <c r="BL25">
        <v>4.3927099999999997E-2</v>
      </c>
      <c r="BM25">
        <v>3.0460370000000001E-2</v>
      </c>
      <c r="BN25">
        <v>1431</v>
      </c>
      <c r="BO25">
        <v>284.75818820000001</v>
      </c>
      <c r="BP25">
        <v>190</v>
      </c>
    </row>
    <row r="26" spans="1:68" x14ac:dyDescent="0.2">
      <c r="A26" t="s">
        <v>591</v>
      </c>
      <c r="B26">
        <v>461</v>
      </c>
      <c r="C26">
        <v>438</v>
      </c>
      <c r="D26">
        <v>1680</v>
      </c>
      <c r="E26">
        <v>878</v>
      </c>
      <c r="F26">
        <v>546</v>
      </c>
      <c r="G26">
        <v>1586</v>
      </c>
      <c r="H26">
        <v>773</v>
      </c>
      <c r="I26">
        <v>728</v>
      </c>
      <c r="J26">
        <v>586</v>
      </c>
      <c r="K26">
        <v>294</v>
      </c>
      <c r="L26">
        <v>680</v>
      </c>
      <c r="M26">
        <v>731</v>
      </c>
      <c r="N26">
        <v>1364</v>
      </c>
      <c r="O26">
        <v>683</v>
      </c>
      <c r="P26">
        <v>83</v>
      </c>
      <c r="Q26">
        <v>274</v>
      </c>
      <c r="R26">
        <v>665</v>
      </c>
      <c r="S26">
        <v>1893</v>
      </c>
      <c r="T26">
        <v>935</v>
      </c>
      <c r="U26">
        <v>44</v>
      </c>
      <c r="V26">
        <v>241.53387760000001</v>
      </c>
      <c r="W26">
        <v>184.26938559999999</v>
      </c>
      <c r="X26">
        <v>210.16539370000001</v>
      </c>
      <c r="Y26">
        <v>138.99758639999999</v>
      </c>
      <c r="Z26">
        <v>116.40566440000001</v>
      </c>
      <c r="AA26">
        <v>65</v>
      </c>
      <c r="AB26">
        <v>317.97075369999999</v>
      </c>
      <c r="AC26">
        <v>275.71431100000001</v>
      </c>
      <c r="AD26">
        <v>216.63998290000001</v>
      </c>
      <c r="AE26">
        <v>152.52408460000001</v>
      </c>
      <c r="AF26">
        <v>115.8147537</v>
      </c>
      <c r="AG26">
        <v>55</v>
      </c>
      <c r="AH26">
        <v>297.28037669999998</v>
      </c>
      <c r="AI26">
        <v>226.7854189</v>
      </c>
      <c r="AJ26">
        <v>192.37131339999999</v>
      </c>
      <c r="AK26">
        <v>159.67484880000001</v>
      </c>
      <c r="AL26">
        <v>121.1470266</v>
      </c>
      <c r="AM26">
        <v>55</v>
      </c>
      <c r="AN26">
        <v>256.36986139999999</v>
      </c>
      <c r="AO26">
        <v>201.2159843</v>
      </c>
      <c r="AP26">
        <v>169.11280379999999</v>
      </c>
      <c r="AQ26">
        <v>156.50923539999999</v>
      </c>
      <c r="AR26">
        <v>116.27343399999999</v>
      </c>
      <c r="AS26">
        <v>55</v>
      </c>
      <c r="AT26">
        <v>3.0275880000000002E-2</v>
      </c>
      <c r="AU26">
        <v>2.7963700000000001E-2</v>
      </c>
      <c r="AV26">
        <v>0.11046768</v>
      </c>
      <c r="AW26">
        <v>5.8013229999999999E-2</v>
      </c>
      <c r="AX26">
        <v>3.4321049999999999E-2</v>
      </c>
      <c r="AY26">
        <v>0.10158029</v>
      </c>
      <c r="AZ26">
        <v>5.0022900000000002E-2</v>
      </c>
      <c r="BA26">
        <v>4.7875929999999997E-2</v>
      </c>
      <c r="BB26">
        <v>3.8590359999999997E-2</v>
      </c>
      <c r="BC26">
        <v>2.1570849999999999E-2</v>
      </c>
      <c r="BD26">
        <v>4.3997840000000003E-2</v>
      </c>
      <c r="BE26">
        <v>4.653264E-2</v>
      </c>
      <c r="BF26">
        <v>8.9159849999999999E-2</v>
      </c>
      <c r="BG26">
        <v>4.4741570000000001E-2</v>
      </c>
      <c r="BH26">
        <v>6.0223400000000002E-3</v>
      </c>
      <c r="BI26">
        <v>1.692577E-2</v>
      </c>
      <c r="BJ26">
        <v>4.4691990000000001E-2</v>
      </c>
      <c r="BK26">
        <v>0.12271577</v>
      </c>
      <c r="BL26">
        <v>6.142334E-2</v>
      </c>
      <c r="BM26">
        <v>3.1070199999999998E-3</v>
      </c>
      <c r="BN26">
        <v>5024</v>
      </c>
      <c r="BO26">
        <v>288.57075700000001</v>
      </c>
      <c r="BP26">
        <v>190</v>
      </c>
    </row>
    <row r="27" spans="1:68" x14ac:dyDescent="0.2">
      <c r="A27" t="s">
        <v>592</v>
      </c>
      <c r="B27">
        <v>703</v>
      </c>
      <c r="C27">
        <v>886</v>
      </c>
      <c r="D27">
        <v>3549</v>
      </c>
      <c r="E27">
        <v>2044</v>
      </c>
      <c r="F27">
        <v>1743</v>
      </c>
      <c r="G27">
        <v>589</v>
      </c>
      <c r="H27">
        <v>374</v>
      </c>
      <c r="I27">
        <v>948</v>
      </c>
      <c r="J27">
        <v>874</v>
      </c>
      <c r="K27">
        <v>405</v>
      </c>
      <c r="L27">
        <v>1269</v>
      </c>
      <c r="M27">
        <v>1158</v>
      </c>
      <c r="N27">
        <v>2455</v>
      </c>
      <c r="O27">
        <v>1339</v>
      </c>
      <c r="P27">
        <v>431</v>
      </c>
      <c r="Q27">
        <v>2763</v>
      </c>
      <c r="R27">
        <v>1539</v>
      </c>
      <c r="S27">
        <v>4195</v>
      </c>
      <c r="T27">
        <v>2578</v>
      </c>
      <c r="U27">
        <v>934</v>
      </c>
      <c r="V27">
        <v>231.30624539999999</v>
      </c>
      <c r="W27">
        <v>176.22293740000001</v>
      </c>
      <c r="X27">
        <v>204.6993229</v>
      </c>
      <c r="Y27">
        <v>151.87199670000001</v>
      </c>
      <c r="Z27">
        <v>108.7585516</v>
      </c>
      <c r="AA27">
        <v>65</v>
      </c>
      <c r="AB27">
        <v>294.15760069999999</v>
      </c>
      <c r="AC27">
        <v>264.62703970000001</v>
      </c>
      <c r="AD27">
        <v>213.51780539999999</v>
      </c>
      <c r="AE27">
        <v>153.41353230000001</v>
      </c>
      <c r="AF27">
        <v>114.4987624</v>
      </c>
      <c r="AG27">
        <v>55</v>
      </c>
      <c r="AH27">
        <v>288.90192209999998</v>
      </c>
      <c r="AI27">
        <v>236.07285719999999</v>
      </c>
      <c r="AJ27">
        <v>198.43538799999999</v>
      </c>
      <c r="AK27">
        <v>163.05008240000001</v>
      </c>
      <c r="AL27">
        <v>114.74414520000001</v>
      </c>
      <c r="AM27">
        <v>55</v>
      </c>
      <c r="AN27">
        <v>276.5378561</v>
      </c>
      <c r="AO27">
        <v>202.62103629999999</v>
      </c>
      <c r="AP27">
        <v>177.0263118</v>
      </c>
      <c r="AQ27">
        <v>160.75527450000001</v>
      </c>
      <c r="AR27">
        <v>112.62252530000001</v>
      </c>
      <c r="AS27">
        <v>55</v>
      </c>
      <c r="AT27">
        <v>2.1974960000000002E-2</v>
      </c>
      <c r="AU27">
        <v>3.0712449999999999E-2</v>
      </c>
      <c r="AV27">
        <v>0.12337109</v>
      </c>
      <c r="AW27">
        <v>6.2090350000000002E-2</v>
      </c>
      <c r="AX27">
        <v>5.1505130000000003E-2</v>
      </c>
      <c r="AY27">
        <v>1.8869529999999999E-2</v>
      </c>
      <c r="AZ27">
        <v>1.1726169999999999E-2</v>
      </c>
      <c r="BA27">
        <v>2.9506080000000001E-2</v>
      </c>
      <c r="BB27">
        <v>2.912553E-2</v>
      </c>
      <c r="BC27">
        <v>1.237857E-2</v>
      </c>
      <c r="BD27">
        <v>4.2144870000000001E-2</v>
      </c>
      <c r="BE27">
        <v>3.5846179999999998E-2</v>
      </c>
      <c r="BF27">
        <v>8.1805810000000007E-2</v>
      </c>
      <c r="BG27">
        <v>4.4147539999999999E-2</v>
      </c>
      <c r="BH27">
        <v>1.2125210000000001E-2</v>
      </c>
      <c r="BI27">
        <v>9.0286119999999997E-2</v>
      </c>
      <c r="BJ27">
        <v>4.6890929999999997E-2</v>
      </c>
      <c r="BK27">
        <v>0.14076221999999999</v>
      </c>
      <c r="BL27">
        <v>8.7007929999999997E-2</v>
      </c>
      <c r="BM27">
        <v>2.7723330000000001E-2</v>
      </c>
      <c r="BN27">
        <v>5683</v>
      </c>
      <c r="BO27">
        <v>253.89351020000001</v>
      </c>
      <c r="BP27">
        <v>190</v>
      </c>
    </row>
    <row r="28" spans="1:68" x14ac:dyDescent="0.2">
      <c r="A28" t="s">
        <v>593</v>
      </c>
      <c r="B28">
        <v>730</v>
      </c>
      <c r="C28">
        <v>160</v>
      </c>
      <c r="D28">
        <v>523</v>
      </c>
      <c r="E28">
        <v>1152</v>
      </c>
      <c r="F28">
        <v>849</v>
      </c>
      <c r="G28">
        <v>1857</v>
      </c>
      <c r="H28">
        <v>750</v>
      </c>
      <c r="I28">
        <v>1241</v>
      </c>
      <c r="J28">
        <v>1579</v>
      </c>
      <c r="K28">
        <v>398</v>
      </c>
      <c r="L28">
        <v>829</v>
      </c>
      <c r="M28">
        <v>1043</v>
      </c>
      <c r="N28">
        <v>2545</v>
      </c>
      <c r="O28">
        <v>1433</v>
      </c>
      <c r="P28">
        <v>554</v>
      </c>
      <c r="Q28">
        <v>86</v>
      </c>
      <c r="R28">
        <v>387</v>
      </c>
      <c r="S28">
        <v>2252</v>
      </c>
      <c r="T28">
        <v>776</v>
      </c>
      <c r="U28">
        <v>320</v>
      </c>
      <c r="V28">
        <v>265.9118368</v>
      </c>
      <c r="W28">
        <v>215.39904920000001</v>
      </c>
      <c r="X28">
        <v>183.90568949999999</v>
      </c>
      <c r="Y28">
        <v>137.554744</v>
      </c>
      <c r="Z28">
        <v>106.8610953</v>
      </c>
      <c r="AA28">
        <v>65</v>
      </c>
      <c r="AB28">
        <v>306.55722750000001</v>
      </c>
      <c r="AC28">
        <v>297.47750129999997</v>
      </c>
      <c r="AD28">
        <v>225.3618567</v>
      </c>
      <c r="AE28">
        <v>150.3675547</v>
      </c>
      <c r="AF28">
        <v>117.1654724</v>
      </c>
      <c r="AG28">
        <v>55</v>
      </c>
      <c r="AH28">
        <v>273.04057419999998</v>
      </c>
      <c r="AI28">
        <v>207.99726820000001</v>
      </c>
      <c r="AJ28">
        <v>190.85649319999999</v>
      </c>
      <c r="AK28">
        <v>161.96559819999999</v>
      </c>
      <c r="AL28">
        <v>108.4241373</v>
      </c>
      <c r="AM28">
        <v>55</v>
      </c>
      <c r="AN28">
        <v>281.96255939999998</v>
      </c>
      <c r="AO28">
        <v>177.05994100000001</v>
      </c>
      <c r="AP28">
        <v>170.84602380000001</v>
      </c>
      <c r="AQ28">
        <v>162.90739790000001</v>
      </c>
      <c r="AR28">
        <v>104.47235070000001</v>
      </c>
      <c r="AS28">
        <v>55</v>
      </c>
      <c r="AT28">
        <v>3.6336960000000001E-2</v>
      </c>
      <c r="AU28">
        <v>8.0598500000000003E-3</v>
      </c>
      <c r="AV28">
        <v>2.60424E-2</v>
      </c>
      <c r="AW28">
        <v>6.0148029999999998E-2</v>
      </c>
      <c r="AX28">
        <v>4.1004909999999999E-2</v>
      </c>
      <c r="AY28">
        <v>9.5708619999999994E-2</v>
      </c>
      <c r="AZ28">
        <v>3.8735489999999997E-2</v>
      </c>
      <c r="BA28">
        <v>6.3520699999999999E-2</v>
      </c>
      <c r="BB28">
        <v>8.0029299999999998E-2</v>
      </c>
      <c r="BC28">
        <v>1.8364809999999999E-2</v>
      </c>
      <c r="BD28">
        <v>4.3271200000000003E-2</v>
      </c>
      <c r="BE28">
        <v>5.3857919999999997E-2</v>
      </c>
      <c r="BF28">
        <v>0.13430811000000001</v>
      </c>
      <c r="BG28">
        <v>7.5560810000000006E-2</v>
      </c>
      <c r="BH28">
        <v>2.6444039999999999E-2</v>
      </c>
      <c r="BI28">
        <v>4.3573199999999996E-3</v>
      </c>
      <c r="BJ28">
        <v>2.0598990000000001E-2</v>
      </c>
      <c r="BK28">
        <v>0.11824444000000001</v>
      </c>
      <c r="BL28">
        <v>4.0767999999999999E-2</v>
      </c>
      <c r="BM28">
        <v>1.4638099999999999E-2</v>
      </c>
      <c r="BN28">
        <v>2109</v>
      </c>
      <c r="BO28">
        <v>277.72687980000001</v>
      </c>
      <c r="BP28">
        <v>190</v>
      </c>
    </row>
    <row r="29" spans="1:68" x14ac:dyDescent="0.2">
      <c r="A29" t="s">
        <v>594</v>
      </c>
      <c r="B29">
        <v>55</v>
      </c>
      <c r="C29">
        <v>14</v>
      </c>
      <c r="D29">
        <v>341</v>
      </c>
      <c r="E29">
        <v>766</v>
      </c>
      <c r="F29">
        <v>486</v>
      </c>
      <c r="G29">
        <v>444</v>
      </c>
      <c r="H29">
        <v>249</v>
      </c>
      <c r="I29">
        <v>438</v>
      </c>
      <c r="J29">
        <v>687</v>
      </c>
      <c r="K29">
        <v>315</v>
      </c>
      <c r="L29">
        <v>153</v>
      </c>
      <c r="M29">
        <v>290</v>
      </c>
      <c r="N29">
        <v>1600</v>
      </c>
      <c r="O29">
        <v>1222</v>
      </c>
      <c r="P29">
        <v>398</v>
      </c>
      <c r="Q29">
        <v>13</v>
      </c>
      <c r="R29">
        <v>189</v>
      </c>
      <c r="S29">
        <v>2150</v>
      </c>
      <c r="T29">
        <v>897</v>
      </c>
      <c r="U29">
        <v>426</v>
      </c>
      <c r="V29">
        <v>326.18337459999998</v>
      </c>
      <c r="W29">
        <v>207.53125</v>
      </c>
      <c r="X29">
        <v>153.32353689999999</v>
      </c>
      <c r="Y29">
        <v>150.1631381</v>
      </c>
      <c r="Z29">
        <v>114.9408981</v>
      </c>
      <c r="AA29">
        <v>65</v>
      </c>
      <c r="AB29">
        <v>309.10050310000003</v>
      </c>
      <c r="AC29">
        <v>282.69639749999999</v>
      </c>
      <c r="AD29">
        <v>220.6490119</v>
      </c>
      <c r="AE29">
        <v>149.64211649999999</v>
      </c>
      <c r="AF29">
        <v>117.5824908</v>
      </c>
      <c r="AG29">
        <v>55</v>
      </c>
      <c r="AH29">
        <v>306.34275009999999</v>
      </c>
      <c r="AI29">
        <v>243.26849870000001</v>
      </c>
      <c r="AJ29">
        <v>198.51509859999999</v>
      </c>
      <c r="AK29">
        <v>175.4068006</v>
      </c>
      <c r="AL29">
        <v>117.6930401</v>
      </c>
      <c r="AM29">
        <v>55</v>
      </c>
      <c r="AN29">
        <v>315.82927319999999</v>
      </c>
      <c r="AO29">
        <v>256.23843290000002</v>
      </c>
      <c r="AP29">
        <v>180.01137420000001</v>
      </c>
      <c r="AQ29">
        <v>177.95670290000001</v>
      </c>
      <c r="AR29">
        <v>111.4960559</v>
      </c>
      <c r="AS29">
        <v>55</v>
      </c>
      <c r="AT29">
        <v>4.8886399999999997E-3</v>
      </c>
      <c r="AU29">
        <v>1.16618E-3</v>
      </c>
      <c r="AV29">
        <v>2.8566790000000002E-2</v>
      </c>
      <c r="AW29">
        <v>6.7701369999999997E-2</v>
      </c>
      <c r="AX29">
        <v>4.6411620000000001E-2</v>
      </c>
      <c r="AY29">
        <v>3.8684259999999998E-2</v>
      </c>
      <c r="AZ29">
        <v>2.126871E-2</v>
      </c>
      <c r="BA29">
        <v>3.7053570000000001E-2</v>
      </c>
      <c r="BB29">
        <v>6.4313220000000004E-2</v>
      </c>
      <c r="BC29">
        <v>3.0102029999999998E-2</v>
      </c>
      <c r="BD29">
        <v>1.4747659999999999E-2</v>
      </c>
      <c r="BE29">
        <v>2.4839429999999999E-2</v>
      </c>
      <c r="BF29">
        <v>0.14424806000000001</v>
      </c>
      <c r="BG29">
        <v>0.10998842</v>
      </c>
      <c r="BH29">
        <v>3.6498750000000003E-2</v>
      </c>
      <c r="BI29">
        <v>1.59545E-3</v>
      </c>
      <c r="BJ29">
        <v>1.5695529999999999E-2</v>
      </c>
      <c r="BK29">
        <v>0.19516602999999999</v>
      </c>
      <c r="BL29">
        <v>8.0628920000000007E-2</v>
      </c>
      <c r="BM29">
        <v>3.643536E-2</v>
      </c>
      <c r="BN29">
        <v>1053</v>
      </c>
      <c r="BO29">
        <v>241.27803900000001</v>
      </c>
      <c r="BP29">
        <v>190</v>
      </c>
    </row>
    <row r="30" spans="1:68" x14ac:dyDescent="0.2">
      <c r="A30" t="s">
        <v>595</v>
      </c>
      <c r="B30">
        <v>500</v>
      </c>
      <c r="C30">
        <v>2543</v>
      </c>
      <c r="D30">
        <v>2007</v>
      </c>
      <c r="E30">
        <v>2139</v>
      </c>
      <c r="F30">
        <v>1328</v>
      </c>
      <c r="G30">
        <v>447</v>
      </c>
      <c r="H30">
        <v>103</v>
      </c>
      <c r="I30">
        <v>106</v>
      </c>
      <c r="J30">
        <v>172</v>
      </c>
      <c r="K30">
        <v>92</v>
      </c>
      <c r="L30">
        <v>1807</v>
      </c>
      <c r="M30">
        <v>530</v>
      </c>
      <c r="N30">
        <v>517</v>
      </c>
      <c r="O30">
        <v>567</v>
      </c>
      <c r="P30">
        <v>405</v>
      </c>
      <c r="Q30">
        <v>1514</v>
      </c>
      <c r="R30">
        <v>1033</v>
      </c>
      <c r="S30">
        <v>1160</v>
      </c>
      <c r="T30">
        <v>1277</v>
      </c>
      <c r="U30">
        <v>1175</v>
      </c>
      <c r="V30">
        <v>212.5619863</v>
      </c>
      <c r="W30">
        <v>234.6949572</v>
      </c>
      <c r="X30">
        <v>197.54989860000001</v>
      </c>
      <c r="Y30">
        <v>165.12798470000001</v>
      </c>
      <c r="Z30">
        <v>110.87943780000001</v>
      </c>
      <c r="AA30">
        <v>65</v>
      </c>
      <c r="AB30">
        <v>308.5543328</v>
      </c>
      <c r="AC30">
        <v>288.36104899999998</v>
      </c>
      <c r="AD30">
        <v>223.66481060000001</v>
      </c>
      <c r="AE30">
        <v>136.23426739999999</v>
      </c>
      <c r="AF30">
        <v>118.4760069</v>
      </c>
      <c r="AG30">
        <v>55</v>
      </c>
      <c r="AH30">
        <v>300.26846769999997</v>
      </c>
      <c r="AI30">
        <v>235.82374949999999</v>
      </c>
      <c r="AJ30">
        <v>195.5041368</v>
      </c>
      <c r="AK30">
        <v>153.47356830000001</v>
      </c>
      <c r="AL30">
        <v>113.9353845</v>
      </c>
      <c r="AM30">
        <v>55</v>
      </c>
      <c r="AN30">
        <v>277.0723165</v>
      </c>
      <c r="AO30">
        <v>184.35401390000001</v>
      </c>
      <c r="AP30">
        <v>181.34319930000001</v>
      </c>
      <c r="AQ30">
        <v>151.27759449999999</v>
      </c>
      <c r="AR30">
        <v>108.5498793</v>
      </c>
      <c r="AS30">
        <v>55</v>
      </c>
      <c r="AT30">
        <v>2.490212E-2</v>
      </c>
      <c r="AU30">
        <v>0.13639821999999999</v>
      </c>
      <c r="AV30">
        <v>0.10243182000000001</v>
      </c>
      <c r="AW30">
        <v>0.11100804</v>
      </c>
      <c r="AX30">
        <v>6.3924469999999997E-2</v>
      </c>
      <c r="AY30">
        <v>2.2831190000000001E-2</v>
      </c>
      <c r="AZ30">
        <v>5.7842800000000002E-3</v>
      </c>
      <c r="BA30">
        <v>5.5277399999999997E-3</v>
      </c>
      <c r="BB30">
        <v>8.2785099999999993E-3</v>
      </c>
      <c r="BC30">
        <v>4.6884199999999996E-3</v>
      </c>
      <c r="BD30">
        <v>9.181359E-2</v>
      </c>
      <c r="BE30">
        <v>2.781119E-2</v>
      </c>
      <c r="BF30">
        <v>2.6359779999999999E-2</v>
      </c>
      <c r="BG30">
        <v>2.8224989999999998E-2</v>
      </c>
      <c r="BH30">
        <v>2.272018E-2</v>
      </c>
      <c r="BI30">
        <v>7.7580120000000002E-2</v>
      </c>
      <c r="BJ30">
        <v>5.3298959999999999E-2</v>
      </c>
      <c r="BK30">
        <v>5.9238010000000001E-2</v>
      </c>
      <c r="BL30">
        <v>6.6547969999999998E-2</v>
      </c>
      <c r="BM30">
        <v>6.0630400000000001E-2</v>
      </c>
      <c r="BN30">
        <v>2585</v>
      </c>
      <c r="BO30">
        <v>272.95788859999999</v>
      </c>
      <c r="BP30">
        <v>190</v>
      </c>
    </row>
    <row r="31" spans="1:68" x14ac:dyDescent="0.2">
      <c r="A31" t="s">
        <v>596</v>
      </c>
      <c r="B31">
        <v>66</v>
      </c>
      <c r="C31">
        <v>141</v>
      </c>
      <c r="D31">
        <v>110</v>
      </c>
      <c r="E31">
        <v>290</v>
      </c>
      <c r="F31">
        <v>648</v>
      </c>
      <c r="G31">
        <v>284</v>
      </c>
      <c r="H31">
        <v>478</v>
      </c>
      <c r="I31">
        <v>894</v>
      </c>
      <c r="J31">
        <v>692</v>
      </c>
      <c r="K31">
        <v>304</v>
      </c>
      <c r="L31">
        <v>192</v>
      </c>
      <c r="M31">
        <v>555</v>
      </c>
      <c r="N31">
        <v>1321</v>
      </c>
      <c r="O31">
        <v>600</v>
      </c>
      <c r="P31">
        <v>403</v>
      </c>
      <c r="Q31">
        <v>24</v>
      </c>
      <c r="R31">
        <v>207</v>
      </c>
      <c r="S31">
        <v>889</v>
      </c>
      <c r="T31">
        <v>358</v>
      </c>
      <c r="U31">
        <v>295</v>
      </c>
      <c r="V31">
        <v>232.1404373</v>
      </c>
      <c r="W31">
        <v>242.98547859999999</v>
      </c>
      <c r="X31">
        <v>159.71051629999999</v>
      </c>
      <c r="Y31">
        <v>154.29770310000001</v>
      </c>
      <c r="Z31">
        <v>97.806593210000003</v>
      </c>
      <c r="AA31">
        <v>65</v>
      </c>
      <c r="AB31">
        <v>315.57371990000001</v>
      </c>
      <c r="AC31">
        <v>269.187793</v>
      </c>
      <c r="AD31">
        <v>211.86523099999999</v>
      </c>
      <c r="AE31">
        <v>148.9630535</v>
      </c>
      <c r="AF31">
        <v>115.4907431</v>
      </c>
      <c r="AG31">
        <v>55</v>
      </c>
      <c r="AH31">
        <v>283.34177940000001</v>
      </c>
      <c r="AI31">
        <v>270.59860300000003</v>
      </c>
      <c r="AJ31">
        <v>208.34147379999999</v>
      </c>
      <c r="AK31">
        <v>164.7999739</v>
      </c>
      <c r="AL31">
        <v>115.8700303</v>
      </c>
      <c r="AM31">
        <v>55</v>
      </c>
      <c r="AN31">
        <v>245.53032630000001</v>
      </c>
      <c r="AO31">
        <v>252.92234830000001</v>
      </c>
      <c r="AP31">
        <v>194.20894670000001</v>
      </c>
      <c r="AQ31">
        <v>150.88050129999999</v>
      </c>
      <c r="AR31">
        <v>110.5185487</v>
      </c>
      <c r="AS31">
        <v>55</v>
      </c>
      <c r="AT31">
        <v>7.1425400000000002E-3</v>
      </c>
      <c r="AU31">
        <v>1.8199130000000001E-2</v>
      </c>
      <c r="AV31">
        <v>1.2405859999999999E-2</v>
      </c>
      <c r="AW31">
        <v>3.103214E-2</v>
      </c>
      <c r="AX31">
        <v>6.5987359999999995E-2</v>
      </c>
      <c r="AY31">
        <v>3.2697940000000002E-2</v>
      </c>
      <c r="AZ31">
        <v>5.4113679999999997E-2</v>
      </c>
      <c r="BA31">
        <v>0.10569944000000001</v>
      </c>
      <c r="BB31">
        <v>8.3227220000000005E-2</v>
      </c>
      <c r="BC31">
        <v>3.2352970000000002E-2</v>
      </c>
      <c r="BD31">
        <v>2.1926950000000001E-2</v>
      </c>
      <c r="BE31">
        <v>6.4489389999999994E-2</v>
      </c>
      <c r="BF31">
        <v>0.15126976</v>
      </c>
      <c r="BG31">
        <v>6.9217749999999995E-2</v>
      </c>
      <c r="BH31">
        <v>4.6731469999999997E-2</v>
      </c>
      <c r="BI31">
        <v>2.4613600000000001E-3</v>
      </c>
      <c r="BJ31">
        <v>2.370305E-2</v>
      </c>
      <c r="BK31">
        <v>0.10325089</v>
      </c>
      <c r="BL31">
        <v>4.023326E-2</v>
      </c>
      <c r="BM31">
        <v>3.385784E-2</v>
      </c>
      <c r="BN31">
        <v>1457</v>
      </c>
      <c r="BO31">
        <v>270.59604710000002</v>
      </c>
      <c r="BP31">
        <v>190</v>
      </c>
    </row>
    <row r="32" spans="1:68" x14ac:dyDescent="0.2">
      <c r="A32" t="s">
        <v>597</v>
      </c>
      <c r="B32">
        <v>20</v>
      </c>
      <c r="C32">
        <v>0</v>
      </c>
      <c r="D32">
        <v>289</v>
      </c>
      <c r="E32">
        <v>44</v>
      </c>
      <c r="F32">
        <v>286</v>
      </c>
      <c r="G32">
        <v>487</v>
      </c>
      <c r="H32">
        <v>234</v>
      </c>
      <c r="I32">
        <v>132</v>
      </c>
      <c r="J32">
        <v>133</v>
      </c>
      <c r="K32">
        <v>212</v>
      </c>
      <c r="L32">
        <v>352</v>
      </c>
      <c r="M32">
        <v>295</v>
      </c>
      <c r="N32">
        <v>756</v>
      </c>
      <c r="O32">
        <v>25</v>
      </c>
      <c r="P32">
        <v>456</v>
      </c>
      <c r="Q32">
        <v>21</v>
      </c>
      <c r="R32">
        <v>19</v>
      </c>
      <c r="S32">
        <v>989</v>
      </c>
      <c r="T32">
        <v>16</v>
      </c>
      <c r="U32">
        <v>260</v>
      </c>
      <c r="V32">
        <v>270.62065790000003</v>
      </c>
      <c r="W32">
        <v>0</v>
      </c>
      <c r="X32">
        <v>155.35420490000001</v>
      </c>
      <c r="Y32">
        <v>152.46904069999999</v>
      </c>
      <c r="Z32">
        <v>112.3282061</v>
      </c>
      <c r="AA32">
        <v>65</v>
      </c>
      <c r="AB32">
        <v>288.58513909999999</v>
      </c>
      <c r="AC32">
        <v>274.87378319999999</v>
      </c>
      <c r="AD32">
        <v>215.83980940000001</v>
      </c>
      <c r="AE32">
        <v>160.6906908</v>
      </c>
      <c r="AF32">
        <v>111.41451600000001</v>
      </c>
      <c r="AG32">
        <v>55</v>
      </c>
      <c r="AH32">
        <v>289.10192929999999</v>
      </c>
      <c r="AI32">
        <v>221.18948549999999</v>
      </c>
      <c r="AJ32">
        <v>188.68541730000001</v>
      </c>
      <c r="AK32">
        <v>162.9494382</v>
      </c>
      <c r="AL32">
        <v>115.25721969999999</v>
      </c>
      <c r="AM32">
        <v>55</v>
      </c>
      <c r="AN32">
        <v>239.1940271</v>
      </c>
      <c r="AO32">
        <v>210.33030909999999</v>
      </c>
      <c r="AP32">
        <v>182.25005490000001</v>
      </c>
      <c r="AQ32">
        <v>136.82898969999999</v>
      </c>
      <c r="AR32">
        <v>112.53552000000001</v>
      </c>
      <c r="AS32">
        <v>55</v>
      </c>
      <c r="AT32">
        <v>4.4391400000000003E-3</v>
      </c>
      <c r="AU32">
        <v>0</v>
      </c>
      <c r="AV32">
        <v>5.6560020000000003E-2</v>
      </c>
      <c r="AW32">
        <v>9.8572499999999997E-3</v>
      </c>
      <c r="AX32">
        <v>5.3646630000000001E-2</v>
      </c>
      <c r="AY32">
        <v>0.10177438</v>
      </c>
      <c r="AZ32">
        <v>4.5352459999999997E-2</v>
      </c>
      <c r="BA32">
        <v>2.6661939999999999E-2</v>
      </c>
      <c r="BB32">
        <v>2.617297E-2</v>
      </c>
      <c r="BC32">
        <v>4.0937870000000001E-2</v>
      </c>
      <c r="BD32">
        <v>6.8743479999999996E-2</v>
      </c>
      <c r="BE32">
        <v>6.0414530000000001E-2</v>
      </c>
      <c r="BF32">
        <v>0.15430751000000001</v>
      </c>
      <c r="BG32">
        <v>4.9828399999999997E-3</v>
      </c>
      <c r="BH32">
        <v>8.7352669999999993E-2</v>
      </c>
      <c r="BI32">
        <v>4.3838999999999996E-3</v>
      </c>
      <c r="BJ32">
        <v>3.9460700000000003E-3</v>
      </c>
      <c r="BK32">
        <v>0.19651334000000001</v>
      </c>
      <c r="BL32">
        <v>3.4033900000000001E-3</v>
      </c>
      <c r="BM32">
        <v>5.0549610000000002E-2</v>
      </c>
      <c r="BN32">
        <v>322</v>
      </c>
      <c r="BO32">
        <v>286.35603329999998</v>
      </c>
      <c r="BP32">
        <v>190</v>
      </c>
    </row>
    <row r="33" spans="1:68" x14ac:dyDescent="0.2">
      <c r="A33" t="s">
        <v>598</v>
      </c>
      <c r="B33">
        <v>443</v>
      </c>
      <c r="C33">
        <v>415</v>
      </c>
      <c r="D33">
        <v>608</v>
      </c>
      <c r="E33">
        <v>499</v>
      </c>
      <c r="F33">
        <v>614</v>
      </c>
      <c r="G33">
        <v>846</v>
      </c>
      <c r="H33">
        <v>265</v>
      </c>
      <c r="I33">
        <v>191</v>
      </c>
      <c r="J33">
        <v>161</v>
      </c>
      <c r="K33">
        <v>147</v>
      </c>
      <c r="L33">
        <v>1743</v>
      </c>
      <c r="M33">
        <v>599</v>
      </c>
      <c r="N33">
        <v>443</v>
      </c>
      <c r="O33">
        <v>323</v>
      </c>
      <c r="P33">
        <v>114</v>
      </c>
      <c r="Q33">
        <v>1312</v>
      </c>
      <c r="R33">
        <v>411</v>
      </c>
      <c r="S33">
        <v>506</v>
      </c>
      <c r="T33">
        <v>330</v>
      </c>
      <c r="U33">
        <v>91</v>
      </c>
      <c r="V33">
        <v>247.2825938</v>
      </c>
      <c r="W33">
        <v>188.4721796</v>
      </c>
      <c r="X33">
        <v>167.53276840000001</v>
      </c>
      <c r="Y33">
        <v>141.25011240000001</v>
      </c>
      <c r="Z33">
        <v>115.7850704</v>
      </c>
      <c r="AA33">
        <v>65</v>
      </c>
      <c r="AB33">
        <v>317.83559270000001</v>
      </c>
      <c r="AC33">
        <v>270.85514710000001</v>
      </c>
      <c r="AD33">
        <v>205.07617529999999</v>
      </c>
      <c r="AE33">
        <v>171.50666860000001</v>
      </c>
      <c r="AF33">
        <v>107.8389572</v>
      </c>
      <c r="AG33">
        <v>55</v>
      </c>
      <c r="AH33">
        <v>301.61904320000002</v>
      </c>
      <c r="AI33">
        <v>256.85774679999997</v>
      </c>
      <c r="AJ33">
        <v>204.6877973</v>
      </c>
      <c r="AK33">
        <v>161.05671169999999</v>
      </c>
      <c r="AL33">
        <v>113.6859501</v>
      </c>
      <c r="AM33">
        <v>55</v>
      </c>
      <c r="AN33">
        <v>273.41063320000001</v>
      </c>
      <c r="AO33">
        <v>239.4602696</v>
      </c>
      <c r="AP33">
        <v>180.69651150000001</v>
      </c>
      <c r="AQ33">
        <v>158.078598</v>
      </c>
      <c r="AR33">
        <v>90.460317520000004</v>
      </c>
      <c r="AS33">
        <v>55</v>
      </c>
      <c r="AT33">
        <v>4.375333E-2</v>
      </c>
      <c r="AU33">
        <v>3.988071E-2</v>
      </c>
      <c r="AV33">
        <v>6.1839669999999999E-2</v>
      </c>
      <c r="AW33">
        <v>4.9242729999999998E-2</v>
      </c>
      <c r="AX33">
        <v>5.8583240000000002E-2</v>
      </c>
      <c r="AY33">
        <v>8.269493E-2</v>
      </c>
      <c r="AZ33">
        <v>2.6526660000000001E-2</v>
      </c>
      <c r="BA33">
        <v>1.869492E-2</v>
      </c>
      <c r="BB33">
        <v>1.643528E-2</v>
      </c>
      <c r="BC33">
        <v>1.424801E-2</v>
      </c>
      <c r="BD33">
        <v>0.17390579</v>
      </c>
      <c r="BE33">
        <v>5.9838750000000003E-2</v>
      </c>
      <c r="BF33">
        <v>4.4636670000000003E-2</v>
      </c>
      <c r="BG33">
        <v>3.2350400000000001E-2</v>
      </c>
      <c r="BH33">
        <v>1.2312109999999999E-2</v>
      </c>
      <c r="BI33">
        <v>0.12645424</v>
      </c>
      <c r="BJ33">
        <v>4.0582050000000001E-2</v>
      </c>
      <c r="BK33">
        <v>5.2267359999999999E-2</v>
      </c>
      <c r="BL33">
        <v>3.5457740000000001E-2</v>
      </c>
      <c r="BM33">
        <v>1.029541E-2</v>
      </c>
      <c r="BN33">
        <v>1057</v>
      </c>
      <c r="BO33">
        <v>317.6417874</v>
      </c>
      <c r="BP33">
        <v>190</v>
      </c>
    </row>
    <row r="34" spans="1:68" x14ac:dyDescent="0.2">
      <c r="A34" t="s">
        <v>599</v>
      </c>
      <c r="B34">
        <v>222</v>
      </c>
      <c r="C34">
        <v>360</v>
      </c>
      <c r="D34">
        <v>652</v>
      </c>
      <c r="E34">
        <v>727</v>
      </c>
      <c r="F34">
        <v>834</v>
      </c>
      <c r="G34">
        <v>704</v>
      </c>
      <c r="H34">
        <v>229</v>
      </c>
      <c r="I34">
        <v>533</v>
      </c>
      <c r="J34">
        <v>531</v>
      </c>
      <c r="K34">
        <v>264</v>
      </c>
      <c r="L34">
        <v>862</v>
      </c>
      <c r="M34">
        <v>537</v>
      </c>
      <c r="N34">
        <v>1366</v>
      </c>
      <c r="O34">
        <v>659</v>
      </c>
      <c r="P34">
        <v>487</v>
      </c>
      <c r="Q34">
        <v>367</v>
      </c>
      <c r="R34">
        <v>920</v>
      </c>
      <c r="S34">
        <v>2523</v>
      </c>
      <c r="T34">
        <v>1006</v>
      </c>
      <c r="U34">
        <v>729</v>
      </c>
      <c r="V34">
        <v>232.2870317</v>
      </c>
      <c r="W34">
        <v>215.9061049</v>
      </c>
      <c r="X34">
        <v>205.2006068</v>
      </c>
      <c r="Y34">
        <v>171.54979760000001</v>
      </c>
      <c r="Z34">
        <v>121.5206823</v>
      </c>
      <c r="AA34">
        <v>65</v>
      </c>
      <c r="AB34">
        <v>284.27762230000002</v>
      </c>
      <c r="AC34">
        <v>276.20967999999999</v>
      </c>
      <c r="AD34">
        <v>213.90140500000001</v>
      </c>
      <c r="AE34">
        <v>159.80318869999999</v>
      </c>
      <c r="AF34">
        <v>120.0343266</v>
      </c>
      <c r="AG34">
        <v>55</v>
      </c>
      <c r="AH34">
        <v>314.23259860000002</v>
      </c>
      <c r="AI34">
        <v>227.0493219</v>
      </c>
      <c r="AJ34">
        <v>210.8238772</v>
      </c>
      <c r="AK34">
        <v>171.07041469999999</v>
      </c>
      <c r="AL34">
        <v>117.07714060000001</v>
      </c>
      <c r="AM34">
        <v>55</v>
      </c>
      <c r="AN34">
        <v>279.37602879999997</v>
      </c>
      <c r="AO34">
        <v>196.95253070000001</v>
      </c>
      <c r="AP34">
        <v>193.047878</v>
      </c>
      <c r="AQ34">
        <v>165.79763199999999</v>
      </c>
      <c r="AR34">
        <v>115.9251963</v>
      </c>
      <c r="AS34">
        <v>55</v>
      </c>
      <c r="AT34">
        <v>1.6722790000000001E-2</v>
      </c>
      <c r="AU34">
        <v>2.2705599999999999E-2</v>
      </c>
      <c r="AV34">
        <v>4.600344E-2</v>
      </c>
      <c r="AW34">
        <v>5.0816640000000003E-2</v>
      </c>
      <c r="AX34">
        <v>6.3218720000000006E-2</v>
      </c>
      <c r="AY34">
        <v>4.4936820000000002E-2</v>
      </c>
      <c r="AZ34">
        <v>1.601721E-2</v>
      </c>
      <c r="BA34">
        <v>3.4929630000000003E-2</v>
      </c>
      <c r="BB34">
        <v>4.0246030000000002E-2</v>
      </c>
      <c r="BC34">
        <v>1.9662059999999999E-2</v>
      </c>
      <c r="BD34">
        <v>5.8327570000000002E-2</v>
      </c>
      <c r="BE34">
        <v>3.5045319999999998E-2</v>
      </c>
      <c r="BF34">
        <v>9.0859029999999993E-2</v>
      </c>
      <c r="BG34">
        <v>4.5634059999999997E-2</v>
      </c>
      <c r="BH34">
        <v>3.6339330000000003E-2</v>
      </c>
      <c r="BI34">
        <v>2.4948000000000001E-2</v>
      </c>
      <c r="BJ34">
        <v>6.3640699999999994E-2</v>
      </c>
      <c r="BK34">
        <v>0.16654405</v>
      </c>
      <c r="BL34">
        <v>6.9385970000000005E-2</v>
      </c>
      <c r="BM34">
        <v>5.4017030000000001E-2</v>
      </c>
      <c r="BN34">
        <v>2169</v>
      </c>
      <c r="BO34">
        <v>226.76619109999999</v>
      </c>
      <c r="BP34">
        <v>190</v>
      </c>
    </row>
    <row r="35" spans="1:68" x14ac:dyDescent="0.2">
      <c r="A35" t="s">
        <v>600</v>
      </c>
      <c r="B35">
        <v>29</v>
      </c>
      <c r="C35">
        <v>15</v>
      </c>
      <c r="D35">
        <v>96</v>
      </c>
      <c r="E35">
        <v>175</v>
      </c>
      <c r="F35">
        <v>217</v>
      </c>
      <c r="G35">
        <v>212</v>
      </c>
      <c r="H35">
        <v>307</v>
      </c>
      <c r="I35">
        <v>597</v>
      </c>
      <c r="J35">
        <v>365</v>
      </c>
      <c r="K35">
        <v>212</v>
      </c>
      <c r="L35">
        <v>115</v>
      </c>
      <c r="M35">
        <v>111</v>
      </c>
      <c r="N35">
        <v>624</v>
      </c>
      <c r="O35">
        <v>334</v>
      </c>
      <c r="P35">
        <v>281</v>
      </c>
      <c r="Q35">
        <v>11</v>
      </c>
      <c r="R35">
        <v>17</v>
      </c>
      <c r="S35">
        <v>113</v>
      </c>
      <c r="T35">
        <v>128</v>
      </c>
      <c r="U35">
        <v>282</v>
      </c>
      <c r="V35">
        <v>249.1716227</v>
      </c>
      <c r="W35">
        <v>234.90467290000001</v>
      </c>
      <c r="X35">
        <v>204.32779260000001</v>
      </c>
      <c r="Y35">
        <v>197.17309299999999</v>
      </c>
      <c r="Z35">
        <v>117.3648254</v>
      </c>
      <c r="AA35">
        <v>65</v>
      </c>
      <c r="AB35">
        <v>315.96045880000003</v>
      </c>
      <c r="AC35">
        <v>300.30120410000001</v>
      </c>
      <c r="AD35">
        <v>226.3930929</v>
      </c>
      <c r="AE35">
        <v>156.80151699999999</v>
      </c>
      <c r="AF35">
        <v>118.0156807</v>
      </c>
      <c r="AG35">
        <v>55</v>
      </c>
      <c r="AH35">
        <v>319.307389</v>
      </c>
      <c r="AI35">
        <v>263.46872719999999</v>
      </c>
      <c r="AJ35">
        <v>212.06926619999999</v>
      </c>
      <c r="AK35">
        <v>170.935622</v>
      </c>
      <c r="AL35">
        <v>113.8953511</v>
      </c>
      <c r="AM35">
        <v>55</v>
      </c>
      <c r="AN35">
        <v>225.67</v>
      </c>
      <c r="AO35">
        <v>254.7542503</v>
      </c>
      <c r="AP35">
        <v>214.50579400000001</v>
      </c>
      <c r="AQ35">
        <v>165.45609160000001</v>
      </c>
      <c r="AR35">
        <v>115.5787041</v>
      </c>
      <c r="AS35">
        <v>55</v>
      </c>
      <c r="AT35">
        <v>7.0489599999999999E-3</v>
      </c>
      <c r="AU35">
        <v>3.7142400000000002E-3</v>
      </c>
      <c r="AV35">
        <v>2.4427310000000001E-2</v>
      </c>
      <c r="AW35">
        <v>4.0934419999999999E-2</v>
      </c>
      <c r="AX35">
        <v>4.958166E-2</v>
      </c>
      <c r="AY35">
        <v>5.0180790000000003E-2</v>
      </c>
      <c r="AZ35">
        <v>7.6772939999999998E-2</v>
      </c>
      <c r="BA35">
        <v>0.14012189</v>
      </c>
      <c r="BB35">
        <v>8.3706660000000002E-2</v>
      </c>
      <c r="BC35">
        <v>5.0761819999999999E-2</v>
      </c>
      <c r="BD35">
        <v>2.862725E-2</v>
      </c>
      <c r="BE35">
        <v>2.505601E-2</v>
      </c>
      <c r="BF35">
        <v>0.14828283</v>
      </c>
      <c r="BG35">
        <v>7.4314279999999996E-2</v>
      </c>
      <c r="BH35">
        <v>6.5577739999999995E-2</v>
      </c>
      <c r="BI35">
        <v>3.34016E-3</v>
      </c>
      <c r="BJ35">
        <v>3.3184400000000002E-3</v>
      </c>
      <c r="BK35">
        <v>2.9418239999999998E-2</v>
      </c>
      <c r="BL35">
        <v>2.7581029999999999E-2</v>
      </c>
      <c r="BM35">
        <v>6.7233329999999994E-2</v>
      </c>
      <c r="BN35">
        <v>252</v>
      </c>
      <c r="BO35">
        <v>255.8369036</v>
      </c>
      <c r="BP35">
        <v>190</v>
      </c>
    </row>
    <row r="36" spans="1:68" x14ac:dyDescent="0.2">
      <c r="A36" t="s">
        <v>601</v>
      </c>
      <c r="B36">
        <v>64</v>
      </c>
      <c r="C36">
        <v>33</v>
      </c>
      <c r="D36">
        <v>147</v>
      </c>
      <c r="E36">
        <v>375</v>
      </c>
      <c r="F36">
        <v>162</v>
      </c>
      <c r="G36">
        <v>2521</v>
      </c>
      <c r="H36">
        <v>848</v>
      </c>
      <c r="I36">
        <v>1026</v>
      </c>
      <c r="J36">
        <v>1215</v>
      </c>
      <c r="K36">
        <v>378</v>
      </c>
      <c r="L36">
        <v>185</v>
      </c>
      <c r="M36">
        <v>911</v>
      </c>
      <c r="N36">
        <v>1238</v>
      </c>
      <c r="O36">
        <v>718</v>
      </c>
      <c r="P36">
        <v>309</v>
      </c>
      <c r="Q36">
        <v>0</v>
      </c>
      <c r="R36">
        <v>100</v>
      </c>
      <c r="S36">
        <v>729</v>
      </c>
      <c r="T36">
        <v>150</v>
      </c>
      <c r="U36">
        <v>87</v>
      </c>
      <c r="V36">
        <v>285.66655500000002</v>
      </c>
      <c r="W36">
        <v>216.00447120000001</v>
      </c>
      <c r="X36">
        <v>219.0868888</v>
      </c>
      <c r="Y36">
        <v>156.81467169999999</v>
      </c>
      <c r="Z36">
        <v>124.86386469999999</v>
      </c>
      <c r="AA36">
        <v>65</v>
      </c>
      <c r="AB36">
        <v>300.73512199999999</v>
      </c>
      <c r="AC36">
        <v>275.52994239999998</v>
      </c>
      <c r="AD36">
        <v>211.9264349</v>
      </c>
      <c r="AE36">
        <v>149.28066860000001</v>
      </c>
      <c r="AF36">
        <v>116.7720289</v>
      </c>
      <c r="AG36">
        <v>55</v>
      </c>
      <c r="AH36">
        <v>286.2678679</v>
      </c>
      <c r="AI36">
        <v>248.61697340000001</v>
      </c>
      <c r="AJ36">
        <v>203.53483979999999</v>
      </c>
      <c r="AK36">
        <v>173.53786539999999</v>
      </c>
      <c r="AL36">
        <v>117.5707839</v>
      </c>
      <c r="AM36">
        <v>55</v>
      </c>
      <c r="AN36">
        <v>0</v>
      </c>
      <c r="AO36">
        <v>229.9176836</v>
      </c>
      <c r="AP36">
        <v>204.24787319999999</v>
      </c>
      <c r="AQ36">
        <v>179.50246630000001</v>
      </c>
      <c r="AR36">
        <v>116.2408638</v>
      </c>
      <c r="AS36">
        <v>55</v>
      </c>
      <c r="AT36">
        <v>5.4689999999999999E-3</v>
      </c>
      <c r="AU36">
        <v>2.4258700000000001E-3</v>
      </c>
      <c r="AV36">
        <v>1.4621820000000001E-2</v>
      </c>
      <c r="AW36">
        <v>3.5174740000000003E-2</v>
      </c>
      <c r="AX36">
        <v>1.268586E-2</v>
      </c>
      <c r="AY36">
        <v>0.22175172000000001</v>
      </c>
      <c r="AZ36">
        <v>7.6480629999999994E-2</v>
      </c>
      <c r="BA36">
        <v>9.0309769999999998E-2</v>
      </c>
      <c r="BB36">
        <v>0.10741406000000001</v>
      </c>
      <c r="BC36">
        <v>3.5035910000000003E-2</v>
      </c>
      <c r="BD36">
        <v>1.671247E-2</v>
      </c>
      <c r="BE36">
        <v>7.8571520000000006E-2</v>
      </c>
      <c r="BF36">
        <v>0.11131405</v>
      </c>
      <c r="BG36">
        <v>6.6008629999999999E-2</v>
      </c>
      <c r="BH36">
        <v>2.7539950000000001E-2</v>
      </c>
      <c r="BI36">
        <v>0</v>
      </c>
      <c r="BJ36">
        <v>8.9595899999999999E-3</v>
      </c>
      <c r="BK36">
        <v>6.6612229999999995E-2</v>
      </c>
      <c r="BL36">
        <v>1.5524049999999999E-2</v>
      </c>
      <c r="BM36">
        <v>7.3881299999999997E-3</v>
      </c>
      <c r="BN36">
        <v>1459</v>
      </c>
      <c r="BO36">
        <v>261.13644420000003</v>
      </c>
      <c r="BP36">
        <v>190</v>
      </c>
    </row>
    <row r="37" spans="1:68" x14ac:dyDescent="0.2">
      <c r="A37" t="s">
        <v>602</v>
      </c>
      <c r="B37">
        <v>93</v>
      </c>
      <c r="C37">
        <v>13</v>
      </c>
      <c r="D37">
        <v>185</v>
      </c>
      <c r="E37">
        <v>709</v>
      </c>
      <c r="F37">
        <v>398</v>
      </c>
      <c r="G37">
        <v>283</v>
      </c>
      <c r="H37">
        <v>136</v>
      </c>
      <c r="I37">
        <v>381</v>
      </c>
      <c r="J37">
        <v>575</v>
      </c>
      <c r="K37">
        <v>371</v>
      </c>
      <c r="L37">
        <v>610</v>
      </c>
      <c r="M37">
        <v>406</v>
      </c>
      <c r="N37">
        <v>1578</v>
      </c>
      <c r="O37">
        <v>720</v>
      </c>
      <c r="P37">
        <v>586</v>
      </c>
      <c r="Q37">
        <v>172</v>
      </c>
      <c r="R37">
        <v>251</v>
      </c>
      <c r="S37">
        <v>1120</v>
      </c>
      <c r="T37">
        <v>720</v>
      </c>
      <c r="U37">
        <v>654</v>
      </c>
      <c r="V37">
        <v>295.66080199999999</v>
      </c>
      <c r="W37">
        <v>180.61220510000001</v>
      </c>
      <c r="X37">
        <v>160.0434717</v>
      </c>
      <c r="Y37">
        <v>147.6854926</v>
      </c>
      <c r="Z37">
        <v>68.615744570000004</v>
      </c>
      <c r="AA37">
        <v>65</v>
      </c>
      <c r="AB37">
        <v>307.56384730000002</v>
      </c>
      <c r="AC37">
        <v>297.87390429999999</v>
      </c>
      <c r="AD37">
        <v>219.92019930000001</v>
      </c>
      <c r="AE37">
        <v>160.76122040000001</v>
      </c>
      <c r="AF37">
        <v>115.7556458</v>
      </c>
      <c r="AG37">
        <v>55</v>
      </c>
      <c r="AH37">
        <v>309.3948259</v>
      </c>
      <c r="AI37">
        <v>216.09144069999999</v>
      </c>
      <c r="AJ37">
        <v>206.3445816</v>
      </c>
      <c r="AK37">
        <v>171.61344869999999</v>
      </c>
      <c r="AL37">
        <v>115.7731545</v>
      </c>
      <c r="AM37">
        <v>55</v>
      </c>
      <c r="AN37">
        <v>293.04534849999999</v>
      </c>
      <c r="AO37">
        <v>151.9958886</v>
      </c>
      <c r="AP37">
        <v>203.82475629999999</v>
      </c>
      <c r="AQ37">
        <v>172.1460414</v>
      </c>
      <c r="AR37">
        <v>114.602908</v>
      </c>
      <c r="AS37">
        <v>55</v>
      </c>
      <c r="AT37">
        <v>8.16302E-3</v>
      </c>
      <c r="AU37">
        <v>1.36692E-3</v>
      </c>
      <c r="AV37">
        <v>1.8463360000000002E-2</v>
      </c>
      <c r="AW37">
        <v>7.1280560000000007E-2</v>
      </c>
      <c r="AX37">
        <v>3.4478759999999997E-2</v>
      </c>
      <c r="AY37">
        <v>2.5080060000000001E-2</v>
      </c>
      <c r="AZ37">
        <v>1.2355680000000001E-2</v>
      </c>
      <c r="BA37">
        <v>3.9745589999999997E-2</v>
      </c>
      <c r="BB37">
        <v>5.7322709999999999E-2</v>
      </c>
      <c r="BC37">
        <v>3.7661090000000001E-2</v>
      </c>
      <c r="BD37">
        <v>6.1450169999999998E-2</v>
      </c>
      <c r="BE37">
        <v>4.170132E-2</v>
      </c>
      <c r="BF37">
        <v>0.15982540000000001</v>
      </c>
      <c r="BG37">
        <v>7.5865039999999995E-2</v>
      </c>
      <c r="BH37">
        <v>5.8860500000000003E-2</v>
      </c>
      <c r="BI37">
        <v>1.6708480000000001E-2</v>
      </c>
      <c r="BJ37">
        <v>2.553625E-2</v>
      </c>
      <c r="BK37">
        <v>0.11727938</v>
      </c>
      <c r="BL37">
        <v>7.1914220000000001E-2</v>
      </c>
      <c r="BM37">
        <v>6.4941490000000004E-2</v>
      </c>
      <c r="BN37">
        <v>832</v>
      </c>
      <c r="BO37">
        <v>263.7085161</v>
      </c>
      <c r="BP37">
        <v>190</v>
      </c>
    </row>
    <row r="38" spans="1:68" x14ac:dyDescent="0.2">
      <c r="A38" t="s">
        <v>603</v>
      </c>
      <c r="B38">
        <v>6</v>
      </c>
      <c r="C38">
        <v>9</v>
      </c>
      <c r="D38">
        <v>60</v>
      </c>
      <c r="E38">
        <v>223</v>
      </c>
      <c r="F38">
        <v>410</v>
      </c>
      <c r="G38">
        <v>1531</v>
      </c>
      <c r="H38">
        <v>471</v>
      </c>
      <c r="I38">
        <v>764</v>
      </c>
      <c r="J38">
        <v>627</v>
      </c>
      <c r="K38">
        <v>365</v>
      </c>
      <c r="L38">
        <v>629</v>
      </c>
      <c r="M38">
        <v>528</v>
      </c>
      <c r="N38">
        <v>1099</v>
      </c>
      <c r="O38">
        <v>707</v>
      </c>
      <c r="P38">
        <v>224</v>
      </c>
      <c r="Q38">
        <v>225</v>
      </c>
      <c r="R38">
        <v>194</v>
      </c>
      <c r="S38">
        <v>1092</v>
      </c>
      <c r="T38">
        <v>439</v>
      </c>
      <c r="U38">
        <v>144</v>
      </c>
      <c r="V38">
        <v>262.11307169999998</v>
      </c>
      <c r="W38">
        <v>240.84245540000001</v>
      </c>
      <c r="X38">
        <v>144.7008213</v>
      </c>
      <c r="Y38">
        <v>146.2275617</v>
      </c>
      <c r="Z38">
        <v>118.8020964</v>
      </c>
      <c r="AA38">
        <v>65</v>
      </c>
      <c r="AB38">
        <v>305.96705300000002</v>
      </c>
      <c r="AC38">
        <v>289.06509</v>
      </c>
      <c r="AD38">
        <v>218.74754809999999</v>
      </c>
      <c r="AE38">
        <v>154.0816312</v>
      </c>
      <c r="AF38">
        <v>119.5017307</v>
      </c>
      <c r="AG38">
        <v>55</v>
      </c>
      <c r="AH38">
        <v>300.89200520000003</v>
      </c>
      <c r="AI38">
        <v>268.47170640000002</v>
      </c>
      <c r="AJ38">
        <v>220.6111301</v>
      </c>
      <c r="AK38">
        <v>171.02368899999999</v>
      </c>
      <c r="AL38">
        <v>116.6162846</v>
      </c>
      <c r="AM38">
        <v>55</v>
      </c>
      <c r="AN38">
        <v>268.44523179999999</v>
      </c>
      <c r="AO38">
        <v>250.9600604</v>
      </c>
      <c r="AP38">
        <v>206.90659070000001</v>
      </c>
      <c r="AQ38">
        <v>177.49156260000001</v>
      </c>
      <c r="AR38">
        <v>115.61192389999999</v>
      </c>
      <c r="AS38">
        <v>55</v>
      </c>
      <c r="AT38">
        <v>7.0376E-4</v>
      </c>
      <c r="AU38">
        <v>8.7969000000000003E-4</v>
      </c>
      <c r="AV38">
        <v>5.4766600000000004E-3</v>
      </c>
      <c r="AW38">
        <v>2.3315289999999999E-2</v>
      </c>
      <c r="AX38">
        <v>4.0220930000000002E-2</v>
      </c>
      <c r="AY38">
        <v>0.17416709999999999</v>
      </c>
      <c r="AZ38">
        <v>4.9263170000000002E-2</v>
      </c>
      <c r="BA38">
        <v>7.435899E-2</v>
      </c>
      <c r="BB38">
        <v>5.9760859999999999E-2</v>
      </c>
      <c r="BC38">
        <v>3.6845379999999997E-2</v>
      </c>
      <c r="BD38">
        <v>6.7827830000000006E-2</v>
      </c>
      <c r="BE38">
        <v>5.5977609999999997E-2</v>
      </c>
      <c r="BF38">
        <v>0.10765909</v>
      </c>
      <c r="BG38">
        <v>6.8438250000000006E-2</v>
      </c>
      <c r="BH38">
        <v>2.2100069999999999E-2</v>
      </c>
      <c r="BI38">
        <v>2.4582380000000001E-2</v>
      </c>
      <c r="BJ38">
        <v>2.1642740000000001E-2</v>
      </c>
      <c r="BK38">
        <v>0.10705966</v>
      </c>
      <c r="BL38">
        <v>4.5304829999999997E-2</v>
      </c>
      <c r="BM38">
        <v>1.441571E-2</v>
      </c>
      <c r="BN38">
        <v>1392</v>
      </c>
      <c r="BO38">
        <v>244.165335</v>
      </c>
      <c r="BP38">
        <v>190</v>
      </c>
    </row>
    <row r="39" spans="1:68" x14ac:dyDescent="0.2">
      <c r="A39" t="s">
        <v>604</v>
      </c>
      <c r="B39">
        <v>3217</v>
      </c>
      <c r="C39">
        <v>3889</v>
      </c>
      <c r="D39">
        <v>9833</v>
      </c>
      <c r="E39">
        <v>8157</v>
      </c>
      <c r="F39">
        <v>7419</v>
      </c>
      <c r="G39">
        <v>1185</v>
      </c>
      <c r="H39">
        <v>817</v>
      </c>
      <c r="I39">
        <v>2011</v>
      </c>
      <c r="J39">
        <v>1584</v>
      </c>
      <c r="K39">
        <v>845</v>
      </c>
      <c r="L39">
        <v>3086</v>
      </c>
      <c r="M39">
        <v>2767</v>
      </c>
      <c r="N39">
        <v>4846</v>
      </c>
      <c r="O39">
        <v>3619</v>
      </c>
      <c r="P39">
        <v>846</v>
      </c>
      <c r="Q39">
        <v>6257</v>
      </c>
      <c r="R39">
        <v>5489</v>
      </c>
      <c r="S39">
        <v>9416</v>
      </c>
      <c r="T39">
        <v>7622</v>
      </c>
      <c r="U39">
        <v>1699</v>
      </c>
      <c r="V39">
        <v>253.67940999999999</v>
      </c>
      <c r="W39">
        <v>222.0150543</v>
      </c>
      <c r="X39">
        <v>198.2022997</v>
      </c>
      <c r="Y39">
        <v>160.99768549999999</v>
      </c>
      <c r="Z39">
        <v>118.2644971</v>
      </c>
      <c r="AA39">
        <v>65</v>
      </c>
      <c r="AB39">
        <v>296.24091909999999</v>
      </c>
      <c r="AC39">
        <v>281.51852939999998</v>
      </c>
      <c r="AD39">
        <v>218.84101799999999</v>
      </c>
      <c r="AE39">
        <v>153.39731190000001</v>
      </c>
      <c r="AF39">
        <v>113.2949194</v>
      </c>
      <c r="AG39">
        <v>55</v>
      </c>
      <c r="AH39">
        <v>301.363427</v>
      </c>
      <c r="AI39">
        <v>257.27761120000002</v>
      </c>
      <c r="AJ39">
        <v>211.59308709999999</v>
      </c>
      <c r="AK39">
        <v>164.10205439999999</v>
      </c>
      <c r="AL39">
        <v>115.4977748</v>
      </c>
      <c r="AM39">
        <v>55</v>
      </c>
      <c r="AN39">
        <v>273.00125389999999</v>
      </c>
      <c r="AO39">
        <v>229.43201049999999</v>
      </c>
      <c r="AP39">
        <v>189.95474490000001</v>
      </c>
      <c r="AQ39">
        <v>153.9777637</v>
      </c>
      <c r="AR39">
        <v>113.5429413</v>
      </c>
      <c r="AS39">
        <v>55</v>
      </c>
      <c r="AT39">
        <v>3.7822519999999998E-2</v>
      </c>
      <c r="AU39">
        <v>4.7129129999999998E-2</v>
      </c>
      <c r="AV39">
        <v>0.11794779</v>
      </c>
      <c r="AW39">
        <v>9.4730640000000005E-2</v>
      </c>
      <c r="AX39">
        <v>8.2208939999999994E-2</v>
      </c>
      <c r="AY39">
        <v>1.40362E-2</v>
      </c>
      <c r="AZ39">
        <v>9.6055600000000008E-3</v>
      </c>
      <c r="BA39">
        <v>2.384501E-2</v>
      </c>
      <c r="BB39">
        <v>1.7706800000000002E-2</v>
      </c>
      <c r="BC39">
        <v>9.3575099999999994E-3</v>
      </c>
      <c r="BD39">
        <v>3.7548539999999998E-2</v>
      </c>
      <c r="BE39">
        <v>3.2562050000000002E-2</v>
      </c>
      <c r="BF39">
        <v>5.6528109999999999E-2</v>
      </c>
      <c r="BG39">
        <v>4.2953209999999999E-2</v>
      </c>
      <c r="BH39">
        <v>9.5903199999999994E-3</v>
      </c>
      <c r="BI39">
        <v>7.6677049999999997E-2</v>
      </c>
      <c r="BJ39">
        <v>6.7683779999999999E-2</v>
      </c>
      <c r="BK39">
        <v>0.11213993</v>
      </c>
      <c r="BL39">
        <v>9.0680739999999996E-2</v>
      </c>
      <c r="BM39">
        <v>1.924617E-2</v>
      </c>
      <c r="BN39">
        <v>12414</v>
      </c>
      <c r="BO39">
        <v>228.4140007</v>
      </c>
      <c r="BP39">
        <v>190</v>
      </c>
    </row>
    <row r="40" spans="1:68" x14ac:dyDescent="0.2">
      <c r="A40" t="s">
        <v>605</v>
      </c>
      <c r="B40">
        <v>157</v>
      </c>
      <c r="C40">
        <v>57</v>
      </c>
      <c r="D40">
        <v>261</v>
      </c>
      <c r="E40">
        <v>371</v>
      </c>
      <c r="F40">
        <v>706</v>
      </c>
      <c r="G40">
        <v>270</v>
      </c>
      <c r="H40">
        <v>112</v>
      </c>
      <c r="I40">
        <v>144</v>
      </c>
      <c r="J40">
        <v>169</v>
      </c>
      <c r="K40">
        <v>89</v>
      </c>
      <c r="L40">
        <v>242</v>
      </c>
      <c r="M40">
        <v>265</v>
      </c>
      <c r="N40">
        <v>834</v>
      </c>
      <c r="O40">
        <v>339</v>
      </c>
      <c r="P40">
        <v>199</v>
      </c>
      <c r="Q40">
        <v>428</v>
      </c>
      <c r="R40">
        <v>344</v>
      </c>
      <c r="S40">
        <v>1928</v>
      </c>
      <c r="T40">
        <v>761</v>
      </c>
      <c r="U40">
        <v>357</v>
      </c>
      <c r="V40">
        <v>313.52012120000001</v>
      </c>
      <c r="W40">
        <v>243.43390450000001</v>
      </c>
      <c r="X40">
        <v>151.11198809999999</v>
      </c>
      <c r="Y40">
        <v>138.910529</v>
      </c>
      <c r="Z40">
        <v>105.1738388</v>
      </c>
      <c r="AA40">
        <v>65</v>
      </c>
      <c r="AB40">
        <v>308.18427639999999</v>
      </c>
      <c r="AC40">
        <v>314.39147000000003</v>
      </c>
      <c r="AD40">
        <v>202.97189879999999</v>
      </c>
      <c r="AE40">
        <v>146.43192759999999</v>
      </c>
      <c r="AF40">
        <v>119.1435274</v>
      </c>
      <c r="AG40">
        <v>55</v>
      </c>
      <c r="AH40">
        <v>310.45974260000003</v>
      </c>
      <c r="AI40">
        <v>267.53730719999999</v>
      </c>
      <c r="AJ40">
        <v>194.9106462</v>
      </c>
      <c r="AK40">
        <v>148.0881693</v>
      </c>
      <c r="AL40">
        <v>113.5541309</v>
      </c>
      <c r="AM40">
        <v>55</v>
      </c>
      <c r="AN40">
        <v>296.58099010000001</v>
      </c>
      <c r="AO40">
        <v>247.16511980000001</v>
      </c>
      <c r="AP40">
        <v>173.26843450000001</v>
      </c>
      <c r="AQ40">
        <v>158.36669560000001</v>
      </c>
      <c r="AR40">
        <v>115.34370699999999</v>
      </c>
      <c r="AS40">
        <v>55</v>
      </c>
      <c r="AT40">
        <v>1.7410200000000001E-2</v>
      </c>
      <c r="AU40">
        <v>6.4342000000000002E-3</v>
      </c>
      <c r="AV40">
        <v>3.1653229999999997E-2</v>
      </c>
      <c r="AW40">
        <v>4.4814079999999999E-2</v>
      </c>
      <c r="AX40">
        <v>9.0383809999999995E-2</v>
      </c>
      <c r="AY40">
        <v>3.3754909999999999E-2</v>
      </c>
      <c r="AZ40">
        <v>1.553383E-2</v>
      </c>
      <c r="BA40">
        <v>1.886869E-2</v>
      </c>
      <c r="BB40">
        <v>2.115817E-2</v>
      </c>
      <c r="BC40">
        <v>8.4111199999999994E-3</v>
      </c>
      <c r="BD40">
        <v>3.0092150000000002E-2</v>
      </c>
      <c r="BE40">
        <v>3.3145809999999998E-2</v>
      </c>
      <c r="BF40">
        <v>0.10707107</v>
      </c>
      <c r="BG40">
        <v>4.3127220000000001E-2</v>
      </c>
      <c r="BH40">
        <v>2.0520779999999999E-2</v>
      </c>
      <c r="BI40">
        <v>5.4900459999999998E-2</v>
      </c>
      <c r="BJ40">
        <v>4.3270370000000002E-2</v>
      </c>
      <c r="BK40">
        <v>0.24337091999999999</v>
      </c>
      <c r="BL40">
        <v>9.6159830000000002E-2</v>
      </c>
      <c r="BM40">
        <v>3.991915E-2</v>
      </c>
      <c r="BN40">
        <v>0</v>
      </c>
      <c r="BO40">
        <v>0</v>
      </c>
      <c r="BP40">
        <v>190</v>
      </c>
    </row>
    <row r="41" spans="1:68" x14ac:dyDescent="0.2">
      <c r="A41" t="s">
        <v>606</v>
      </c>
      <c r="B41">
        <v>690</v>
      </c>
      <c r="C41">
        <v>165</v>
      </c>
      <c r="D41">
        <v>274</v>
      </c>
      <c r="E41">
        <v>756</v>
      </c>
      <c r="F41">
        <v>478</v>
      </c>
      <c r="G41">
        <v>2141</v>
      </c>
      <c r="H41">
        <v>865</v>
      </c>
      <c r="I41">
        <v>1260</v>
      </c>
      <c r="J41">
        <v>1047</v>
      </c>
      <c r="K41">
        <v>373</v>
      </c>
      <c r="L41">
        <v>995</v>
      </c>
      <c r="M41">
        <v>992</v>
      </c>
      <c r="N41">
        <v>1945</v>
      </c>
      <c r="O41">
        <v>1222</v>
      </c>
      <c r="P41">
        <v>281</v>
      </c>
      <c r="Q41">
        <v>66</v>
      </c>
      <c r="R41">
        <v>288</v>
      </c>
      <c r="S41">
        <v>1421</v>
      </c>
      <c r="T41">
        <v>638</v>
      </c>
      <c r="U41">
        <v>176</v>
      </c>
      <c r="V41">
        <v>286.29732580000001</v>
      </c>
      <c r="W41">
        <v>261.32531829999999</v>
      </c>
      <c r="X41">
        <v>163.47864989999999</v>
      </c>
      <c r="Y41">
        <v>130.43659289999999</v>
      </c>
      <c r="Z41">
        <v>117.51261030000001</v>
      </c>
      <c r="AA41">
        <v>65</v>
      </c>
      <c r="AB41">
        <v>300.70468940000001</v>
      </c>
      <c r="AC41">
        <v>284.58177410000002</v>
      </c>
      <c r="AD41">
        <v>223.78510220000001</v>
      </c>
      <c r="AE41">
        <v>153.50511080000001</v>
      </c>
      <c r="AF41">
        <v>113.4672573</v>
      </c>
      <c r="AG41">
        <v>55</v>
      </c>
      <c r="AH41">
        <v>309.86616950000001</v>
      </c>
      <c r="AI41">
        <v>234.28396069999999</v>
      </c>
      <c r="AJ41">
        <v>186.7908022</v>
      </c>
      <c r="AK41">
        <v>165.6583278</v>
      </c>
      <c r="AL41">
        <v>114.67198019999999</v>
      </c>
      <c r="AM41">
        <v>55</v>
      </c>
      <c r="AN41">
        <v>304.54635339999999</v>
      </c>
      <c r="AO41">
        <v>182.4168579</v>
      </c>
      <c r="AP41">
        <v>145.04708600000001</v>
      </c>
      <c r="AQ41">
        <v>162.56233520000001</v>
      </c>
      <c r="AR41">
        <v>114.877039</v>
      </c>
      <c r="AS41">
        <v>55</v>
      </c>
      <c r="AT41">
        <v>4.8409979999999998E-2</v>
      </c>
      <c r="AU41">
        <v>1.133413E-2</v>
      </c>
      <c r="AV41">
        <v>1.8558459999999999E-2</v>
      </c>
      <c r="AW41">
        <v>4.7472649999999998E-2</v>
      </c>
      <c r="AX41">
        <v>3.3258059999999999E-2</v>
      </c>
      <c r="AY41">
        <v>0.12576296000000001</v>
      </c>
      <c r="AZ41">
        <v>5.3016140000000003E-2</v>
      </c>
      <c r="BA41">
        <v>7.5600360000000005E-2</v>
      </c>
      <c r="BB41">
        <v>6.5610500000000002E-2</v>
      </c>
      <c r="BC41">
        <v>2.6407409999999999E-2</v>
      </c>
      <c r="BD41">
        <v>5.8004550000000002E-2</v>
      </c>
      <c r="BE41">
        <v>6.0524370000000001E-2</v>
      </c>
      <c r="BF41">
        <v>0.1215903</v>
      </c>
      <c r="BG41">
        <v>7.5566789999999995E-2</v>
      </c>
      <c r="BH41">
        <v>1.9091420000000001E-2</v>
      </c>
      <c r="BI41">
        <v>3.6002299999999998E-3</v>
      </c>
      <c r="BJ41">
        <v>1.8321500000000001E-2</v>
      </c>
      <c r="BK41">
        <v>8.8749170000000002E-2</v>
      </c>
      <c r="BL41">
        <v>3.8118859999999997E-2</v>
      </c>
      <c r="BM41">
        <v>1.100216E-2</v>
      </c>
      <c r="BN41">
        <v>1648</v>
      </c>
      <c r="BO41">
        <v>290.5934527</v>
      </c>
      <c r="BP41">
        <v>190</v>
      </c>
    </row>
    <row r="42" spans="1:68" x14ac:dyDescent="0.2">
      <c r="A42" t="s">
        <v>607</v>
      </c>
      <c r="B42">
        <v>127</v>
      </c>
      <c r="C42">
        <v>155</v>
      </c>
      <c r="D42">
        <v>106</v>
      </c>
      <c r="E42">
        <v>333</v>
      </c>
      <c r="F42">
        <v>369</v>
      </c>
      <c r="G42">
        <v>989</v>
      </c>
      <c r="H42">
        <v>223</v>
      </c>
      <c r="I42">
        <v>479</v>
      </c>
      <c r="J42">
        <v>421</v>
      </c>
      <c r="K42">
        <v>153</v>
      </c>
      <c r="L42">
        <v>585</v>
      </c>
      <c r="M42">
        <v>790</v>
      </c>
      <c r="N42">
        <v>1028</v>
      </c>
      <c r="O42">
        <v>666</v>
      </c>
      <c r="P42">
        <v>249</v>
      </c>
      <c r="Q42">
        <v>34</v>
      </c>
      <c r="R42">
        <v>531</v>
      </c>
      <c r="S42">
        <v>1314</v>
      </c>
      <c r="T42">
        <v>554</v>
      </c>
      <c r="U42">
        <v>225</v>
      </c>
      <c r="V42">
        <v>303.44873990000002</v>
      </c>
      <c r="W42">
        <v>195.4067513</v>
      </c>
      <c r="X42">
        <v>188.885401</v>
      </c>
      <c r="Y42">
        <v>140.49182149999999</v>
      </c>
      <c r="Z42">
        <v>106.4350096</v>
      </c>
      <c r="AA42">
        <v>65</v>
      </c>
      <c r="AB42">
        <v>308.75508730000001</v>
      </c>
      <c r="AC42">
        <v>276.67172219999998</v>
      </c>
      <c r="AD42">
        <v>217.3438692</v>
      </c>
      <c r="AE42">
        <v>161.66314879999999</v>
      </c>
      <c r="AF42">
        <v>117.1887136</v>
      </c>
      <c r="AG42">
        <v>55</v>
      </c>
      <c r="AH42">
        <v>309.04117880000001</v>
      </c>
      <c r="AI42">
        <v>238.67400810000001</v>
      </c>
      <c r="AJ42">
        <v>183.12748350000001</v>
      </c>
      <c r="AK42">
        <v>165.06832829999999</v>
      </c>
      <c r="AL42">
        <v>113.8885315</v>
      </c>
      <c r="AM42">
        <v>55</v>
      </c>
      <c r="AN42">
        <v>298.76010259999998</v>
      </c>
      <c r="AO42">
        <v>218.7599055</v>
      </c>
      <c r="AP42">
        <v>162.4394235</v>
      </c>
      <c r="AQ42">
        <v>158.34940850000001</v>
      </c>
      <c r="AR42">
        <v>103.9319974</v>
      </c>
      <c r="AS42">
        <v>55</v>
      </c>
      <c r="AT42">
        <v>1.3790419999999999E-2</v>
      </c>
      <c r="AU42">
        <v>1.5348489999999999E-2</v>
      </c>
      <c r="AV42">
        <v>1.065811E-2</v>
      </c>
      <c r="AW42">
        <v>3.5960270000000003E-2</v>
      </c>
      <c r="AX42">
        <v>3.7847499999999999E-2</v>
      </c>
      <c r="AY42">
        <v>0.10552812</v>
      </c>
      <c r="AZ42">
        <v>2.3542339999999998E-2</v>
      </c>
      <c r="BA42">
        <v>5.1512549999999997E-2</v>
      </c>
      <c r="BB42">
        <v>4.5773559999999998E-2</v>
      </c>
      <c r="BC42">
        <v>1.64849E-2</v>
      </c>
      <c r="BD42">
        <v>6.6525989999999993E-2</v>
      </c>
      <c r="BE42">
        <v>8.4354020000000002E-2</v>
      </c>
      <c r="BF42">
        <v>0.10571488</v>
      </c>
      <c r="BG42">
        <v>7.4669630000000001E-2</v>
      </c>
      <c r="BH42">
        <v>2.665967E-2</v>
      </c>
      <c r="BI42">
        <v>4.0223400000000001E-3</v>
      </c>
      <c r="BJ42">
        <v>5.7571310000000001E-2</v>
      </c>
      <c r="BK42">
        <v>0.13588476999999999</v>
      </c>
      <c r="BL42">
        <v>6.4163330000000005E-2</v>
      </c>
      <c r="BM42">
        <v>2.39878E-2</v>
      </c>
      <c r="BN42">
        <v>1440</v>
      </c>
      <c r="BO42">
        <v>295.87007799999998</v>
      </c>
      <c r="BP42">
        <v>190</v>
      </c>
    </row>
    <row r="43" spans="1:68" x14ac:dyDescent="0.2">
      <c r="A43" t="s">
        <v>608</v>
      </c>
      <c r="B43">
        <v>45</v>
      </c>
      <c r="C43">
        <v>22</v>
      </c>
      <c r="D43">
        <v>251</v>
      </c>
      <c r="E43">
        <v>424</v>
      </c>
      <c r="F43">
        <v>261</v>
      </c>
      <c r="G43">
        <v>200</v>
      </c>
      <c r="H43">
        <v>118</v>
      </c>
      <c r="I43">
        <v>158</v>
      </c>
      <c r="J43">
        <v>91</v>
      </c>
      <c r="K43">
        <v>107</v>
      </c>
      <c r="L43">
        <v>241</v>
      </c>
      <c r="M43">
        <v>645</v>
      </c>
      <c r="N43">
        <v>791</v>
      </c>
      <c r="O43">
        <v>439</v>
      </c>
      <c r="P43">
        <v>137</v>
      </c>
      <c r="Q43">
        <v>69</v>
      </c>
      <c r="R43">
        <v>354</v>
      </c>
      <c r="S43">
        <v>1312</v>
      </c>
      <c r="T43">
        <v>567</v>
      </c>
      <c r="U43">
        <v>157</v>
      </c>
      <c r="V43">
        <v>217.4419474</v>
      </c>
      <c r="W43">
        <v>275.66920759999999</v>
      </c>
      <c r="X43">
        <v>163.32355229999999</v>
      </c>
      <c r="Y43">
        <v>153.3075102</v>
      </c>
      <c r="Z43">
        <v>117.51669459999999</v>
      </c>
      <c r="AA43">
        <v>65</v>
      </c>
      <c r="AB43">
        <v>238.3971526</v>
      </c>
      <c r="AC43">
        <v>241.90611620000001</v>
      </c>
      <c r="AD43">
        <v>206.77203650000001</v>
      </c>
      <c r="AE43">
        <v>145.76935889999999</v>
      </c>
      <c r="AF43">
        <v>117.8802845</v>
      </c>
      <c r="AG43">
        <v>55</v>
      </c>
      <c r="AH43">
        <v>315.6475848</v>
      </c>
      <c r="AI43">
        <v>237.62014830000001</v>
      </c>
      <c r="AJ43">
        <v>203.56408709999999</v>
      </c>
      <c r="AK43">
        <v>156.6275856</v>
      </c>
      <c r="AL43">
        <v>116.42184349999999</v>
      </c>
      <c r="AM43">
        <v>55</v>
      </c>
      <c r="AN43">
        <v>307.91886319999998</v>
      </c>
      <c r="AO43">
        <v>227.28827580000001</v>
      </c>
      <c r="AP43">
        <v>193.0585686</v>
      </c>
      <c r="AQ43">
        <v>163.63776469999999</v>
      </c>
      <c r="AR43">
        <v>114.2137401</v>
      </c>
      <c r="AS43">
        <v>55</v>
      </c>
      <c r="AT43">
        <v>7.8014699999999996E-3</v>
      </c>
      <c r="AU43">
        <v>3.1840499999999999E-3</v>
      </c>
      <c r="AV43">
        <v>4.1353510000000003E-2</v>
      </c>
      <c r="AW43">
        <v>7.4591229999999994E-2</v>
      </c>
      <c r="AX43">
        <v>3.4534580000000002E-2</v>
      </c>
      <c r="AY43">
        <v>3.1196120000000001E-2</v>
      </c>
      <c r="AZ43">
        <v>1.8614309999999998E-2</v>
      </c>
      <c r="BA43">
        <v>2.449455E-2</v>
      </c>
      <c r="BB43">
        <v>1.5054690000000001E-2</v>
      </c>
      <c r="BC43">
        <v>1.702186E-2</v>
      </c>
      <c r="BD43">
        <v>3.8801509999999997E-2</v>
      </c>
      <c r="BE43">
        <v>9.7261529999999999E-2</v>
      </c>
      <c r="BF43">
        <v>0.12398271</v>
      </c>
      <c r="BG43">
        <v>6.7089190000000007E-2</v>
      </c>
      <c r="BH43">
        <v>2.1791979999999999E-2</v>
      </c>
      <c r="BI43">
        <v>1.129602E-2</v>
      </c>
      <c r="BJ43">
        <v>5.6136419999999999E-2</v>
      </c>
      <c r="BK43">
        <v>0.20169249</v>
      </c>
      <c r="BL43">
        <v>9.0662900000000005E-2</v>
      </c>
      <c r="BM43">
        <v>2.3438879999999999E-2</v>
      </c>
      <c r="BN43">
        <v>686</v>
      </c>
      <c r="BO43">
        <v>230.5300756</v>
      </c>
      <c r="BP43">
        <v>190</v>
      </c>
    </row>
    <row r="44" spans="1:68" x14ac:dyDescent="0.2">
      <c r="A44" t="s">
        <v>609</v>
      </c>
      <c r="B44">
        <v>157</v>
      </c>
      <c r="C44">
        <v>35</v>
      </c>
      <c r="D44">
        <v>114</v>
      </c>
      <c r="E44">
        <v>477</v>
      </c>
      <c r="F44">
        <v>910</v>
      </c>
      <c r="G44">
        <v>120</v>
      </c>
      <c r="H44">
        <v>70</v>
      </c>
      <c r="I44">
        <v>156</v>
      </c>
      <c r="J44">
        <v>208</v>
      </c>
      <c r="K44">
        <v>105</v>
      </c>
      <c r="L44">
        <v>225</v>
      </c>
      <c r="M44">
        <v>432</v>
      </c>
      <c r="N44">
        <v>1157</v>
      </c>
      <c r="O44">
        <v>457</v>
      </c>
      <c r="P44">
        <v>227</v>
      </c>
      <c r="Q44">
        <v>218</v>
      </c>
      <c r="R44">
        <v>292</v>
      </c>
      <c r="S44">
        <v>1886</v>
      </c>
      <c r="T44">
        <v>711</v>
      </c>
      <c r="U44">
        <v>478</v>
      </c>
      <c r="V44">
        <v>298.4876256</v>
      </c>
      <c r="W44">
        <v>272.1593924</v>
      </c>
      <c r="X44">
        <v>176.02718960000001</v>
      </c>
      <c r="Y44">
        <v>142.72479319999999</v>
      </c>
      <c r="Z44">
        <v>115.3737228</v>
      </c>
      <c r="AA44">
        <v>65</v>
      </c>
      <c r="AB44">
        <v>278.34419780000002</v>
      </c>
      <c r="AC44">
        <v>283.03635159999999</v>
      </c>
      <c r="AD44">
        <v>215.95271629999999</v>
      </c>
      <c r="AE44">
        <v>164.8056881</v>
      </c>
      <c r="AF44">
        <v>111.3622257</v>
      </c>
      <c r="AG44">
        <v>55</v>
      </c>
      <c r="AH44">
        <v>311.688422</v>
      </c>
      <c r="AI44">
        <v>245.4496919</v>
      </c>
      <c r="AJ44">
        <v>203.5428124</v>
      </c>
      <c r="AK44">
        <v>162.98279629999999</v>
      </c>
      <c r="AL44">
        <v>118.4408942</v>
      </c>
      <c r="AM44">
        <v>55</v>
      </c>
      <c r="AN44">
        <v>280.13368359999998</v>
      </c>
      <c r="AO44">
        <v>222.4099812</v>
      </c>
      <c r="AP44">
        <v>186.98519229999999</v>
      </c>
      <c r="AQ44">
        <v>165.3359797</v>
      </c>
      <c r="AR44">
        <v>116.16615899999999</v>
      </c>
      <c r="AS44">
        <v>55</v>
      </c>
      <c r="AT44">
        <v>2.063311E-2</v>
      </c>
      <c r="AU44">
        <v>4.7108599999999999E-3</v>
      </c>
      <c r="AV44">
        <v>1.477446E-2</v>
      </c>
      <c r="AW44">
        <v>5.4591099999999997E-2</v>
      </c>
      <c r="AX44">
        <v>9.4908480000000003E-2</v>
      </c>
      <c r="AY44">
        <v>1.31357E-2</v>
      </c>
      <c r="AZ44">
        <v>7.7424E-3</v>
      </c>
      <c r="BA44">
        <v>1.6883430000000001E-2</v>
      </c>
      <c r="BB44">
        <v>2.2933209999999999E-2</v>
      </c>
      <c r="BC44">
        <v>1.235267E-2</v>
      </c>
      <c r="BD44">
        <v>2.7425680000000001E-2</v>
      </c>
      <c r="BE44">
        <v>5.6888290000000001E-2</v>
      </c>
      <c r="BF44">
        <v>0.14254019000000001</v>
      </c>
      <c r="BG44">
        <v>5.3181119999999998E-2</v>
      </c>
      <c r="BH44">
        <v>2.6343450000000001E-2</v>
      </c>
      <c r="BI44">
        <v>2.680782E-2</v>
      </c>
      <c r="BJ44">
        <v>3.8213249999999997E-2</v>
      </c>
      <c r="BK44">
        <v>0.22648519</v>
      </c>
      <c r="BL44">
        <v>8.4569030000000003E-2</v>
      </c>
      <c r="BM44">
        <v>5.4880560000000002E-2</v>
      </c>
      <c r="BN44">
        <v>859</v>
      </c>
      <c r="BO44">
        <v>240.01401379999999</v>
      </c>
      <c r="BP44">
        <v>190</v>
      </c>
    </row>
    <row r="45" spans="1:68" x14ac:dyDescent="0.2">
      <c r="A45" t="s">
        <v>610</v>
      </c>
      <c r="B45">
        <v>138</v>
      </c>
      <c r="C45">
        <v>35</v>
      </c>
      <c r="D45">
        <v>67</v>
      </c>
      <c r="E45">
        <v>200</v>
      </c>
      <c r="F45">
        <v>322</v>
      </c>
      <c r="G45">
        <v>1404</v>
      </c>
      <c r="H45">
        <v>475</v>
      </c>
      <c r="I45">
        <v>842</v>
      </c>
      <c r="J45">
        <v>1083</v>
      </c>
      <c r="K45">
        <v>350</v>
      </c>
      <c r="L45">
        <v>410</v>
      </c>
      <c r="M45">
        <v>538</v>
      </c>
      <c r="N45">
        <v>1310</v>
      </c>
      <c r="O45">
        <v>903</v>
      </c>
      <c r="P45">
        <v>415</v>
      </c>
      <c r="Q45">
        <v>99</v>
      </c>
      <c r="R45">
        <v>237</v>
      </c>
      <c r="S45">
        <v>936</v>
      </c>
      <c r="T45">
        <v>570</v>
      </c>
      <c r="U45">
        <v>466</v>
      </c>
      <c r="V45">
        <v>324.54677950000001</v>
      </c>
      <c r="W45">
        <v>274.60136390000002</v>
      </c>
      <c r="X45">
        <v>211.38582009999999</v>
      </c>
      <c r="Y45">
        <v>149.66119929999999</v>
      </c>
      <c r="Z45">
        <v>104.9463993</v>
      </c>
      <c r="AA45">
        <v>65</v>
      </c>
      <c r="AB45">
        <v>303.02977729999998</v>
      </c>
      <c r="AC45">
        <v>274.600616</v>
      </c>
      <c r="AD45">
        <v>222.56181509999999</v>
      </c>
      <c r="AE45">
        <v>161.6258416</v>
      </c>
      <c r="AF45">
        <v>121.3598726</v>
      </c>
      <c r="AG45">
        <v>55</v>
      </c>
      <c r="AH45">
        <v>294.23997500000002</v>
      </c>
      <c r="AI45">
        <v>268.83509600000002</v>
      </c>
      <c r="AJ45">
        <v>213.22637510000001</v>
      </c>
      <c r="AK45">
        <v>165.9904583</v>
      </c>
      <c r="AL45">
        <v>113.8981055</v>
      </c>
      <c r="AM45">
        <v>55</v>
      </c>
      <c r="AN45">
        <v>286.09196700000001</v>
      </c>
      <c r="AO45">
        <v>239.70445659999999</v>
      </c>
      <c r="AP45">
        <v>198.14207529999999</v>
      </c>
      <c r="AQ45">
        <v>169.32562089999999</v>
      </c>
      <c r="AR45">
        <v>111.3804659</v>
      </c>
      <c r="AS45">
        <v>55</v>
      </c>
      <c r="AT45">
        <v>1.123474E-2</v>
      </c>
      <c r="AU45">
        <v>3.1995999999999999E-3</v>
      </c>
      <c r="AV45">
        <v>5.8632199999999997E-3</v>
      </c>
      <c r="AW45">
        <v>1.916259E-2</v>
      </c>
      <c r="AX45">
        <v>2.8804670000000001E-2</v>
      </c>
      <c r="AY45">
        <v>0.13861024</v>
      </c>
      <c r="AZ45">
        <v>4.6494870000000001E-2</v>
      </c>
      <c r="BA45">
        <v>7.8633430000000004E-2</v>
      </c>
      <c r="BB45">
        <v>0.10488876</v>
      </c>
      <c r="BC45">
        <v>3.4199680000000003E-2</v>
      </c>
      <c r="BD45">
        <v>3.5971929999999999E-2</v>
      </c>
      <c r="BE45">
        <v>4.5171309999999999E-2</v>
      </c>
      <c r="BF45">
        <v>0.11475842999999999</v>
      </c>
      <c r="BG45">
        <v>7.9508049999999997E-2</v>
      </c>
      <c r="BH45">
        <v>4.2742790000000003E-2</v>
      </c>
      <c r="BI45">
        <v>7.7150099999999996E-3</v>
      </c>
      <c r="BJ45">
        <v>2.0372600000000001E-2</v>
      </c>
      <c r="BK45">
        <v>8.4627709999999995E-2</v>
      </c>
      <c r="BL45">
        <v>4.9814520000000001E-2</v>
      </c>
      <c r="BM45">
        <v>4.8225850000000001E-2</v>
      </c>
      <c r="BN45">
        <v>1011</v>
      </c>
      <c r="BO45">
        <v>279.20367499999998</v>
      </c>
      <c r="BP45">
        <v>190</v>
      </c>
    </row>
    <row r="46" spans="1:68" x14ac:dyDescent="0.2">
      <c r="A46" t="s">
        <v>611</v>
      </c>
      <c r="B46">
        <v>14</v>
      </c>
      <c r="C46">
        <v>935</v>
      </c>
      <c r="D46">
        <v>12082</v>
      </c>
      <c r="E46">
        <v>3024</v>
      </c>
      <c r="F46">
        <v>1383</v>
      </c>
      <c r="G46">
        <v>146</v>
      </c>
      <c r="H46">
        <v>39</v>
      </c>
      <c r="I46">
        <v>93</v>
      </c>
      <c r="J46">
        <v>216</v>
      </c>
      <c r="K46">
        <v>70</v>
      </c>
      <c r="L46">
        <v>379</v>
      </c>
      <c r="M46">
        <v>465</v>
      </c>
      <c r="N46">
        <v>1821</v>
      </c>
      <c r="O46">
        <v>959</v>
      </c>
      <c r="P46">
        <v>263</v>
      </c>
      <c r="Q46">
        <v>271</v>
      </c>
      <c r="R46">
        <v>975</v>
      </c>
      <c r="S46">
        <v>4862</v>
      </c>
      <c r="T46">
        <v>3029</v>
      </c>
      <c r="U46">
        <v>424</v>
      </c>
      <c r="V46">
        <v>302.27911360000002</v>
      </c>
      <c r="W46">
        <v>168.60352800000001</v>
      </c>
      <c r="X46">
        <v>206.94422689999999</v>
      </c>
      <c r="Y46">
        <v>168.67765729999999</v>
      </c>
      <c r="Z46">
        <v>112.1445568</v>
      </c>
      <c r="AA46">
        <v>65</v>
      </c>
      <c r="AB46">
        <v>252.5060479</v>
      </c>
      <c r="AC46">
        <v>237.93293980000001</v>
      </c>
      <c r="AD46">
        <v>215.8912947</v>
      </c>
      <c r="AE46">
        <v>151.01958429999999</v>
      </c>
      <c r="AF46">
        <v>115.7925448</v>
      </c>
      <c r="AG46">
        <v>55</v>
      </c>
      <c r="AH46">
        <v>305.02379100000002</v>
      </c>
      <c r="AI46">
        <v>251.33813960000001</v>
      </c>
      <c r="AJ46">
        <v>212.00520639999999</v>
      </c>
      <c r="AK46">
        <v>161.08148220000001</v>
      </c>
      <c r="AL46">
        <v>116.6655056</v>
      </c>
      <c r="AM46">
        <v>55</v>
      </c>
      <c r="AN46">
        <v>284.16549049999998</v>
      </c>
      <c r="AO46">
        <v>227.81742890000001</v>
      </c>
      <c r="AP46">
        <v>200.77119680000001</v>
      </c>
      <c r="AQ46">
        <v>160.71438739999999</v>
      </c>
      <c r="AR46">
        <v>115.09467650000001</v>
      </c>
      <c r="AS46">
        <v>55</v>
      </c>
      <c r="AT46">
        <v>4.6310999999999998E-4</v>
      </c>
      <c r="AU46">
        <v>3.219636E-2</v>
      </c>
      <c r="AV46">
        <v>0.38005949</v>
      </c>
      <c r="AW46">
        <v>9.7388929999999999E-2</v>
      </c>
      <c r="AX46">
        <v>4.4237230000000002E-2</v>
      </c>
      <c r="AY46">
        <v>5.1011700000000004E-3</v>
      </c>
      <c r="AZ46">
        <v>1.3178899999999999E-3</v>
      </c>
      <c r="BA46">
        <v>2.6797399999999999E-3</v>
      </c>
      <c r="BB46">
        <v>5.9005100000000003E-3</v>
      </c>
      <c r="BC46">
        <v>2.1181500000000001E-3</v>
      </c>
      <c r="BD46">
        <v>1.162528E-2</v>
      </c>
      <c r="BE46">
        <v>1.516464E-2</v>
      </c>
      <c r="BF46">
        <v>6.06738E-2</v>
      </c>
      <c r="BG46">
        <v>2.8603139999999999E-2</v>
      </c>
      <c r="BH46">
        <v>7.8167900000000005E-3</v>
      </c>
      <c r="BI46">
        <v>8.3208499999999994E-3</v>
      </c>
      <c r="BJ46">
        <v>3.2075149999999997E-2</v>
      </c>
      <c r="BK46">
        <v>0.15973601000000001</v>
      </c>
      <c r="BL46">
        <v>9.1699619999999996E-2</v>
      </c>
      <c r="BM46">
        <v>1.2822139999999999E-2</v>
      </c>
      <c r="BN46">
        <v>3086</v>
      </c>
      <c r="BO46">
        <v>210.14573429999999</v>
      </c>
      <c r="BP46">
        <v>190</v>
      </c>
    </row>
    <row r="47" spans="1:68" x14ac:dyDescent="0.2">
      <c r="A47" t="s">
        <v>612</v>
      </c>
      <c r="B47">
        <v>144</v>
      </c>
      <c r="C47">
        <v>193</v>
      </c>
      <c r="D47">
        <v>1226</v>
      </c>
      <c r="E47">
        <v>1155</v>
      </c>
      <c r="F47">
        <v>787</v>
      </c>
      <c r="G47">
        <v>584</v>
      </c>
      <c r="H47">
        <v>374</v>
      </c>
      <c r="I47">
        <v>624</v>
      </c>
      <c r="J47">
        <v>609</v>
      </c>
      <c r="K47">
        <v>281</v>
      </c>
      <c r="L47">
        <v>722</v>
      </c>
      <c r="M47">
        <v>858</v>
      </c>
      <c r="N47">
        <v>1716</v>
      </c>
      <c r="O47">
        <v>900</v>
      </c>
      <c r="P47">
        <v>311</v>
      </c>
      <c r="Q47">
        <v>363</v>
      </c>
      <c r="R47">
        <v>1149</v>
      </c>
      <c r="S47">
        <v>2445</v>
      </c>
      <c r="T47">
        <v>1368</v>
      </c>
      <c r="U47">
        <v>271</v>
      </c>
      <c r="V47">
        <v>182.6869466</v>
      </c>
      <c r="W47">
        <v>120.26859640000001</v>
      </c>
      <c r="X47">
        <v>194.6977942</v>
      </c>
      <c r="Y47">
        <v>130.86978149999999</v>
      </c>
      <c r="Z47">
        <v>110.3332083</v>
      </c>
      <c r="AA47">
        <v>65</v>
      </c>
      <c r="AB47">
        <v>297.16183469999999</v>
      </c>
      <c r="AC47">
        <v>256.17750389999998</v>
      </c>
      <c r="AD47">
        <v>211.2325467</v>
      </c>
      <c r="AE47">
        <v>148.56823890000001</v>
      </c>
      <c r="AF47">
        <v>118.9792612</v>
      </c>
      <c r="AG47">
        <v>55</v>
      </c>
      <c r="AH47">
        <v>279.60839679999998</v>
      </c>
      <c r="AI47">
        <v>234.1215747</v>
      </c>
      <c r="AJ47">
        <v>199.2044415</v>
      </c>
      <c r="AK47">
        <v>150.0929404</v>
      </c>
      <c r="AL47">
        <v>116.50960259999999</v>
      </c>
      <c r="AM47">
        <v>55</v>
      </c>
      <c r="AN47">
        <v>269.51602430000003</v>
      </c>
      <c r="AO47">
        <v>224.44811730000001</v>
      </c>
      <c r="AP47">
        <v>180.60782639999999</v>
      </c>
      <c r="AQ47">
        <v>140.22153019999999</v>
      </c>
      <c r="AR47">
        <v>115.8864203</v>
      </c>
      <c r="AS47">
        <v>55</v>
      </c>
      <c r="AT47">
        <v>1.013057E-2</v>
      </c>
      <c r="AU47">
        <v>1.229654E-2</v>
      </c>
      <c r="AV47">
        <v>7.2349629999999998E-2</v>
      </c>
      <c r="AW47">
        <v>6.9973419999999995E-2</v>
      </c>
      <c r="AX47">
        <v>5.4721220000000001E-2</v>
      </c>
      <c r="AY47">
        <v>3.772847E-2</v>
      </c>
      <c r="AZ47">
        <v>2.3259439999999999E-2</v>
      </c>
      <c r="BA47">
        <v>3.797801E-2</v>
      </c>
      <c r="BB47">
        <v>3.8470570000000003E-2</v>
      </c>
      <c r="BC47">
        <v>2.1411920000000001E-2</v>
      </c>
      <c r="BD47">
        <v>4.5166459999999999E-2</v>
      </c>
      <c r="BE47">
        <v>5.4477739999999997E-2</v>
      </c>
      <c r="BF47">
        <v>0.10241222</v>
      </c>
      <c r="BG47">
        <v>5.5081699999999997E-2</v>
      </c>
      <c r="BH47">
        <v>2.5257669999999999E-2</v>
      </c>
      <c r="BI47">
        <v>2.1368149999999999E-2</v>
      </c>
      <c r="BJ47">
        <v>7.142308E-2</v>
      </c>
      <c r="BK47">
        <v>0.14290918</v>
      </c>
      <c r="BL47">
        <v>8.2639820000000003E-2</v>
      </c>
      <c r="BM47">
        <v>2.0944190000000001E-2</v>
      </c>
      <c r="BN47">
        <v>2184</v>
      </c>
      <c r="BO47">
        <v>265.68772860000001</v>
      </c>
      <c r="BP47">
        <v>190</v>
      </c>
    </row>
    <row r="48" spans="1:68" x14ac:dyDescent="0.2">
      <c r="A48" t="s">
        <v>613</v>
      </c>
      <c r="B48">
        <v>369</v>
      </c>
      <c r="C48">
        <v>116</v>
      </c>
      <c r="D48">
        <v>861</v>
      </c>
      <c r="E48">
        <v>800</v>
      </c>
      <c r="F48">
        <v>893</v>
      </c>
      <c r="G48">
        <v>159</v>
      </c>
      <c r="H48">
        <v>114</v>
      </c>
      <c r="I48">
        <v>178</v>
      </c>
      <c r="J48">
        <v>414</v>
      </c>
      <c r="K48">
        <v>135</v>
      </c>
      <c r="L48">
        <v>330</v>
      </c>
      <c r="M48">
        <v>325</v>
      </c>
      <c r="N48">
        <v>1149</v>
      </c>
      <c r="O48">
        <v>1101</v>
      </c>
      <c r="P48">
        <v>476</v>
      </c>
      <c r="Q48">
        <v>713</v>
      </c>
      <c r="R48">
        <v>422</v>
      </c>
      <c r="S48">
        <v>1811</v>
      </c>
      <c r="T48">
        <v>1535</v>
      </c>
      <c r="U48">
        <v>644</v>
      </c>
      <c r="V48">
        <v>247.56151449999999</v>
      </c>
      <c r="W48">
        <v>235.4864437</v>
      </c>
      <c r="X48">
        <v>195.64307880000001</v>
      </c>
      <c r="Y48">
        <v>168.85147449999999</v>
      </c>
      <c r="Z48">
        <v>120.34161020000001</v>
      </c>
      <c r="AA48">
        <v>65</v>
      </c>
      <c r="AB48">
        <v>330.8361587</v>
      </c>
      <c r="AC48">
        <v>266.85191479999997</v>
      </c>
      <c r="AD48">
        <v>206.33257929999999</v>
      </c>
      <c r="AE48">
        <v>145.18520849999999</v>
      </c>
      <c r="AF48">
        <v>116.4092943</v>
      </c>
      <c r="AG48">
        <v>55</v>
      </c>
      <c r="AH48">
        <v>291.16925140000001</v>
      </c>
      <c r="AI48">
        <v>239.97503130000001</v>
      </c>
      <c r="AJ48">
        <v>192.1550397</v>
      </c>
      <c r="AK48">
        <v>156.20345660000001</v>
      </c>
      <c r="AL48">
        <v>116.4164091</v>
      </c>
      <c r="AM48">
        <v>55</v>
      </c>
      <c r="AN48">
        <v>279.74423610000002</v>
      </c>
      <c r="AO48">
        <v>232.11383649999999</v>
      </c>
      <c r="AP48">
        <v>182.79027199999999</v>
      </c>
      <c r="AQ48">
        <v>150.972734</v>
      </c>
      <c r="AR48">
        <v>113.8493465</v>
      </c>
      <c r="AS48">
        <v>55</v>
      </c>
      <c r="AT48">
        <v>3.0546070000000002E-2</v>
      </c>
      <c r="AU48">
        <v>8.7079600000000007E-3</v>
      </c>
      <c r="AV48">
        <v>7.1246900000000002E-2</v>
      </c>
      <c r="AW48">
        <v>6.0447710000000002E-2</v>
      </c>
      <c r="AX48">
        <v>7.3877100000000001E-2</v>
      </c>
      <c r="AY48">
        <v>1.206457E-2</v>
      </c>
      <c r="AZ48">
        <v>9.2063800000000001E-3</v>
      </c>
      <c r="BA48">
        <v>1.401876E-2</v>
      </c>
      <c r="BB48">
        <v>3.4160740000000002E-2</v>
      </c>
      <c r="BC48">
        <v>1.2209080000000001E-2</v>
      </c>
      <c r="BD48">
        <v>2.5786839999999998E-2</v>
      </c>
      <c r="BE48">
        <v>2.426383E-2</v>
      </c>
      <c r="BF48">
        <v>8.9974310000000002E-2</v>
      </c>
      <c r="BG48">
        <v>8.7464700000000006E-2</v>
      </c>
      <c r="BH48">
        <v>4.1199050000000001E-2</v>
      </c>
      <c r="BI48">
        <v>5.5718789999999997E-2</v>
      </c>
      <c r="BJ48">
        <v>3.0983440000000001E-2</v>
      </c>
      <c r="BK48">
        <v>0.14213179000000001</v>
      </c>
      <c r="BL48">
        <v>0.12094238</v>
      </c>
      <c r="BM48">
        <v>5.5049599999999997E-2</v>
      </c>
      <c r="BN48">
        <v>1279</v>
      </c>
      <c r="BO48">
        <v>225.2161998</v>
      </c>
      <c r="BP48">
        <v>190</v>
      </c>
    </row>
    <row r="49" spans="1:68" x14ac:dyDescent="0.2">
      <c r="A49" t="s">
        <v>614</v>
      </c>
      <c r="B49">
        <v>201</v>
      </c>
      <c r="C49">
        <v>85</v>
      </c>
      <c r="D49">
        <v>222</v>
      </c>
      <c r="E49">
        <v>364</v>
      </c>
      <c r="F49">
        <v>590</v>
      </c>
      <c r="G49">
        <v>1068</v>
      </c>
      <c r="H49">
        <v>592</v>
      </c>
      <c r="I49">
        <v>1266</v>
      </c>
      <c r="J49">
        <v>960</v>
      </c>
      <c r="K49">
        <v>433</v>
      </c>
      <c r="L49">
        <v>287</v>
      </c>
      <c r="M49">
        <v>532</v>
      </c>
      <c r="N49">
        <v>1396</v>
      </c>
      <c r="O49">
        <v>1053</v>
      </c>
      <c r="P49">
        <v>695</v>
      </c>
      <c r="Q49">
        <v>19</v>
      </c>
      <c r="R49">
        <v>163</v>
      </c>
      <c r="S49">
        <v>1064</v>
      </c>
      <c r="T49">
        <v>444</v>
      </c>
      <c r="U49">
        <v>447</v>
      </c>
      <c r="V49">
        <v>284.15218090000002</v>
      </c>
      <c r="W49">
        <v>260.5431605</v>
      </c>
      <c r="X49">
        <v>151.75821250000001</v>
      </c>
      <c r="Y49">
        <v>157.60982240000001</v>
      </c>
      <c r="Z49">
        <v>115.9412475</v>
      </c>
      <c r="AA49">
        <v>65</v>
      </c>
      <c r="AB49">
        <v>291.27650629999999</v>
      </c>
      <c r="AC49">
        <v>287.94570640000001</v>
      </c>
      <c r="AD49">
        <v>218.97415459999999</v>
      </c>
      <c r="AE49">
        <v>150.07855699999999</v>
      </c>
      <c r="AF49">
        <v>117.990886</v>
      </c>
      <c r="AG49">
        <v>55</v>
      </c>
      <c r="AH49">
        <v>272.56682799999999</v>
      </c>
      <c r="AI49">
        <v>229.93047730000001</v>
      </c>
      <c r="AJ49">
        <v>194.77974270000001</v>
      </c>
      <c r="AK49">
        <v>162.6561073</v>
      </c>
      <c r="AL49">
        <v>116.6761455</v>
      </c>
      <c r="AM49">
        <v>55</v>
      </c>
      <c r="AN49">
        <v>339.49630999999999</v>
      </c>
      <c r="AO49">
        <v>218.61367050000001</v>
      </c>
      <c r="AP49">
        <v>171.5439116</v>
      </c>
      <c r="AQ49">
        <v>163.47837749999999</v>
      </c>
      <c r="AR49">
        <v>115.68225099999999</v>
      </c>
      <c r="AS49">
        <v>55</v>
      </c>
      <c r="AT49">
        <v>1.6379620000000001E-2</v>
      </c>
      <c r="AU49">
        <v>7.0851999999999998E-3</v>
      </c>
      <c r="AV49">
        <v>2.0392919999999998E-2</v>
      </c>
      <c r="AW49">
        <v>3.058961E-2</v>
      </c>
      <c r="AX49">
        <v>5.1159000000000003E-2</v>
      </c>
      <c r="AY49">
        <v>8.6646799999999996E-2</v>
      </c>
      <c r="AZ49">
        <v>5.1090110000000001E-2</v>
      </c>
      <c r="BA49">
        <v>0.10471331</v>
      </c>
      <c r="BB49">
        <v>7.9528870000000002E-2</v>
      </c>
      <c r="BC49">
        <v>3.6818999999999998E-2</v>
      </c>
      <c r="BD49">
        <v>2.4765579999999999E-2</v>
      </c>
      <c r="BE49">
        <v>4.6953889999999998E-2</v>
      </c>
      <c r="BF49">
        <v>0.11788301</v>
      </c>
      <c r="BG49">
        <v>8.5444450000000005E-2</v>
      </c>
      <c r="BH49">
        <v>6.0542690000000003E-2</v>
      </c>
      <c r="BI49">
        <v>1.6045E-3</v>
      </c>
      <c r="BJ49">
        <v>1.50388E-2</v>
      </c>
      <c r="BK49">
        <v>8.8872950000000006E-2</v>
      </c>
      <c r="BL49">
        <v>3.5588050000000003E-2</v>
      </c>
      <c r="BM49">
        <v>3.8901640000000001E-2</v>
      </c>
      <c r="BN49">
        <v>1286</v>
      </c>
      <c r="BO49">
        <v>248.0252303</v>
      </c>
      <c r="BP49">
        <v>190</v>
      </c>
    </row>
    <row r="50" spans="1:68" x14ac:dyDescent="0.2">
      <c r="A50" t="s">
        <v>615</v>
      </c>
      <c r="B50">
        <v>40</v>
      </c>
      <c r="C50">
        <v>10</v>
      </c>
      <c r="D50">
        <v>332</v>
      </c>
      <c r="E50">
        <v>179</v>
      </c>
      <c r="F50">
        <v>166</v>
      </c>
      <c r="G50">
        <v>1396</v>
      </c>
      <c r="H50">
        <v>508</v>
      </c>
      <c r="I50">
        <v>926</v>
      </c>
      <c r="J50">
        <v>1046</v>
      </c>
      <c r="K50">
        <v>254</v>
      </c>
      <c r="L50">
        <v>111</v>
      </c>
      <c r="M50">
        <v>422</v>
      </c>
      <c r="N50">
        <v>1075</v>
      </c>
      <c r="O50">
        <v>389</v>
      </c>
      <c r="P50">
        <v>110</v>
      </c>
      <c r="Q50">
        <v>8</v>
      </c>
      <c r="R50">
        <v>166</v>
      </c>
      <c r="S50">
        <v>795</v>
      </c>
      <c r="T50">
        <v>132</v>
      </c>
      <c r="U50">
        <v>44</v>
      </c>
      <c r="V50">
        <v>195.10181689999999</v>
      </c>
      <c r="W50">
        <v>128.2727366</v>
      </c>
      <c r="X50">
        <v>198.322147</v>
      </c>
      <c r="Y50">
        <v>136.9309591</v>
      </c>
      <c r="Z50">
        <v>126.5408075</v>
      </c>
      <c r="AA50">
        <v>65</v>
      </c>
      <c r="AB50">
        <v>314.40180759999998</v>
      </c>
      <c r="AC50">
        <v>295.50461840000003</v>
      </c>
      <c r="AD50">
        <v>220.68379150000001</v>
      </c>
      <c r="AE50">
        <v>147.2900473</v>
      </c>
      <c r="AF50">
        <v>116.5410569</v>
      </c>
      <c r="AG50">
        <v>55</v>
      </c>
      <c r="AH50">
        <v>323.40084519999999</v>
      </c>
      <c r="AI50">
        <v>225.39921200000001</v>
      </c>
      <c r="AJ50">
        <v>208.6163995</v>
      </c>
      <c r="AK50">
        <v>176.34404129999999</v>
      </c>
      <c r="AL50">
        <v>118.6967044</v>
      </c>
      <c r="AM50">
        <v>55</v>
      </c>
      <c r="AN50">
        <v>358</v>
      </c>
      <c r="AO50">
        <v>202.2810671</v>
      </c>
      <c r="AP50">
        <v>192.83575200000001</v>
      </c>
      <c r="AQ50">
        <v>158.90948739999999</v>
      </c>
      <c r="AR50">
        <v>127.521406</v>
      </c>
      <c r="AS50">
        <v>55</v>
      </c>
      <c r="AT50">
        <v>4.8504999999999998E-3</v>
      </c>
      <c r="AU50">
        <v>1.2712299999999999E-3</v>
      </c>
      <c r="AV50">
        <v>2.9607379999999999E-2</v>
      </c>
      <c r="AW50">
        <v>1.848224E-2</v>
      </c>
      <c r="AX50">
        <v>1.833984E-2</v>
      </c>
      <c r="AY50">
        <v>0.18297409000000001</v>
      </c>
      <c r="AZ50">
        <v>6.7483840000000003E-2</v>
      </c>
      <c r="BA50">
        <v>0.1238253</v>
      </c>
      <c r="BB50">
        <v>0.13550350999999999</v>
      </c>
      <c r="BC50">
        <v>2.567461E-2</v>
      </c>
      <c r="BD50">
        <v>1.493037E-2</v>
      </c>
      <c r="BE50">
        <v>4.3724539999999999E-2</v>
      </c>
      <c r="BF50">
        <v>0.13345662</v>
      </c>
      <c r="BG50">
        <v>4.9498529999999999E-2</v>
      </c>
      <c r="BH50">
        <v>1.1607849999999999E-2</v>
      </c>
      <c r="BI50">
        <v>1.0053499999999999E-3</v>
      </c>
      <c r="BJ50">
        <v>1.625776E-2</v>
      </c>
      <c r="BK50">
        <v>9.9512240000000002E-2</v>
      </c>
      <c r="BL50">
        <v>1.7191729999999999E-2</v>
      </c>
      <c r="BM50">
        <v>4.8024699999999997E-3</v>
      </c>
      <c r="BN50">
        <v>563</v>
      </c>
      <c r="BO50">
        <v>281.02233819999998</v>
      </c>
      <c r="BP50">
        <v>190</v>
      </c>
    </row>
    <row r="51" spans="1:68" x14ac:dyDescent="0.2">
      <c r="A51" t="s">
        <v>616</v>
      </c>
      <c r="B51">
        <v>395</v>
      </c>
      <c r="C51">
        <v>1971</v>
      </c>
      <c r="D51">
        <v>2674</v>
      </c>
      <c r="E51">
        <v>1128</v>
      </c>
      <c r="F51">
        <v>593</v>
      </c>
      <c r="G51">
        <v>1333</v>
      </c>
      <c r="H51">
        <v>371</v>
      </c>
      <c r="I51">
        <v>389</v>
      </c>
      <c r="J51">
        <v>287</v>
      </c>
      <c r="K51">
        <v>174</v>
      </c>
      <c r="L51">
        <v>2084</v>
      </c>
      <c r="M51">
        <v>1197</v>
      </c>
      <c r="N51">
        <v>1078</v>
      </c>
      <c r="O51">
        <v>594</v>
      </c>
      <c r="P51">
        <v>153</v>
      </c>
      <c r="Q51">
        <v>927</v>
      </c>
      <c r="R51">
        <v>1014</v>
      </c>
      <c r="S51">
        <v>2266</v>
      </c>
      <c r="T51">
        <v>751</v>
      </c>
      <c r="U51">
        <v>193</v>
      </c>
      <c r="V51">
        <v>215.89811599999999</v>
      </c>
      <c r="W51">
        <v>226.98317470000001</v>
      </c>
      <c r="X51">
        <v>181.5002446</v>
      </c>
      <c r="Y51">
        <v>163.1395972</v>
      </c>
      <c r="Z51">
        <v>120.5289825</v>
      </c>
      <c r="AA51">
        <v>65</v>
      </c>
      <c r="AB51">
        <v>301.19478620000001</v>
      </c>
      <c r="AC51">
        <v>272.13694450000003</v>
      </c>
      <c r="AD51">
        <v>207.16197880000001</v>
      </c>
      <c r="AE51">
        <v>161.5336039</v>
      </c>
      <c r="AF51">
        <v>115.26791369999999</v>
      </c>
      <c r="AG51">
        <v>55</v>
      </c>
      <c r="AH51">
        <v>294.50705249999999</v>
      </c>
      <c r="AI51">
        <v>262.42332040000002</v>
      </c>
      <c r="AJ51">
        <v>207.90607349999999</v>
      </c>
      <c r="AK51">
        <v>168.7646125</v>
      </c>
      <c r="AL51">
        <v>122.39407780000001</v>
      </c>
      <c r="AM51">
        <v>55</v>
      </c>
      <c r="AN51">
        <v>277.45077550000002</v>
      </c>
      <c r="AO51">
        <v>245.3555629</v>
      </c>
      <c r="AP51">
        <v>183.84924000000001</v>
      </c>
      <c r="AQ51">
        <v>168.39578800000001</v>
      </c>
      <c r="AR51">
        <v>130.2444012</v>
      </c>
      <c r="AS51">
        <v>55</v>
      </c>
      <c r="AT51">
        <v>1.7845179999999999E-2</v>
      </c>
      <c r="AU51">
        <v>9.0259820000000004E-2</v>
      </c>
      <c r="AV51">
        <v>0.13653135</v>
      </c>
      <c r="AW51">
        <v>5.9063089999999999E-2</v>
      </c>
      <c r="AX51">
        <v>3.1335719999999997E-2</v>
      </c>
      <c r="AY51">
        <v>6.938366E-2</v>
      </c>
      <c r="AZ51">
        <v>1.9367260000000001E-2</v>
      </c>
      <c r="BA51">
        <v>2.005026E-2</v>
      </c>
      <c r="BB51">
        <v>1.5091480000000001E-2</v>
      </c>
      <c r="BC51">
        <v>8.99346E-3</v>
      </c>
      <c r="BD51">
        <v>0.11265069</v>
      </c>
      <c r="BE51">
        <v>6.2573699999999996E-2</v>
      </c>
      <c r="BF51">
        <v>5.4167359999999998E-2</v>
      </c>
      <c r="BG51">
        <v>3.0971129999999999E-2</v>
      </c>
      <c r="BH51">
        <v>7.6494299999999996E-3</v>
      </c>
      <c r="BI51">
        <v>4.8740980000000003E-2</v>
      </c>
      <c r="BJ51">
        <v>5.187042E-2</v>
      </c>
      <c r="BK51">
        <v>0.11401824000000001</v>
      </c>
      <c r="BL51">
        <v>4.034795E-2</v>
      </c>
      <c r="BM51">
        <v>9.0888199999999992E-3</v>
      </c>
      <c r="BN51">
        <v>2799</v>
      </c>
      <c r="BO51">
        <v>286.25832000000003</v>
      </c>
      <c r="BP51">
        <v>190</v>
      </c>
    </row>
    <row r="52" spans="1:68" x14ac:dyDescent="0.2">
      <c r="A52" t="s">
        <v>617</v>
      </c>
      <c r="B52">
        <v>145</v>
      </c>
      <c r="C52">
        <v>75</v>
      </c>
      <c r="D52">
        <v>305</v>
      </c>
      <c r="E52">
        <v>932</v>
      </c>
      <c r="F52">
        <v>554</v>
      </c>
      <c r="G52">
        <v>2513</v>
      </c>
      <c r="H52">
        <v>809</v>
      </c>
      <c r="I52">
        <v>1532</v>
      </c>
      <c r="J52">
        <v>2896</v>
      </c>
      <c r="K52">
        <v>789</v>
      </c>
      <c r="L52">
        <v>897</v>
      </c>
      <c r="M52">
        <v>1162</v>
      </c>
      <c r="N52">
        <v>3387</v>
      </c>
      <c r="O52">
        <v>2230</v>
      </c>
      <c r="P52">
        <v>725</v>
      </c>
      <c r="Q52">
        <v>364</v>
      </c>
      <c r="R52">
        <v>569</v>
      </c>
      <c r="S52">
        <v>2367</v>
      </c>
      <c r="T52">
        <v>635</v>
      </c>
      <c r="U52">
        <v>295</v>
      </c>
      <c r="V52">
        <v>207.79532320000001</v>
      </c>
      <c r="W52">
        <v>196.5690008</v>
      </c>
      <c r="X52">
        <v>179.53129970000001</v>
      </c>
      <c r="Y52">
        <v>152.30268520000001</v>
      </c>
      <c r="Z52">
        <v>107.5549642</v>
      </c>
      <c r="AA52">
        <v>65</v>
      </c>
      <c r="AB52">
        <v>294.22574589999999</v>
      </c>
      <c r="AC52">
        <v>288.36167899999998</v>
      </c>
      <c r="AD52">
        <v>217.92073859999999</v>
      </c>
      <c r="AE52">
        <v>152.5005395</v>
      </c>
      <c r="AF52">
        <v>116.1932668</v>
      </c>
      <c r="AG52">
        <v>55</v>
      </c>
      <c r="AH52">
        <v>301.76440839999998</v>
      </c>
      <c r="AI52">
        <v>207.76384010000001</v>
      </c>
      <c r="AJ52">
        <v>193.10884369999999</v>
      </c>
      <c r="AK52">
        <v>154.86058499999999</v>
      </c>
      <c r="AL52">
        <v>113.5120198</v>
      </c>
      <c r="AM52">
        <v>55</v>
      </c>
      <c r="AN52">
        <v>286.32101829999999</v>
      </c>
      <c r="AO52">
        <v>193.11130750000001</v>
      </c>
      <c r="AP52">
        <v>177.58087900000001</v>
      </c>
      <c r="AQ52">
        <v>160.92079810000001</v>
      </c>
      <c r="AR52">
        <v>109.6062517</v>
      </c>
      <c r="AS52">
        <v>55</v>
      </c>
      <c r="AT52">
        <v>6.2693000000000002E-3</v>
      </c>
      <c r="AU52">
        <v>2.7258999999999999E-3</v>
      </c>
      <c r="AV52">
        <v>1.354617E-2</v>
      </c>
      <c r="AW52">
        <v>4.0536599999999999E-2</v>
      </c>
      <c r="AX52">
        <v>2.1865760000000001E-2</v>
      </c>
      <c r="AY52">
        <v>0.10716246</v>
      </c>
      <c r="AZ52">
        <v>3.4845689999999999E-2</v>
      </c>
      <c r="BA52">
        <v>6.5929669999999996E-2</v>
      </c>
      <c r="BB52">
        <v>0.12630944</v>
      </c>
      <c r="BC52">
        <v>3.0792529999999999E-2</v>
      </c>
      <c r="BD52">
        <v>3.9032740000000003E-2</v>
      </c>
      <c r="BE52">
        <v>5.2143290000000002E-2</v>
      </c>
      <c r="BF52">
        <v>0.14564953999999999</v>
      </c>
      <c r="BG52">
        <v>9.9101700000000001E-2</v>
      </c>
      <c r="BH52">
        <v>2.903654E-2</v>
      </c>
      <c r="BI52">
        <v>1.6253130000000001E-2</v>
      </c>
      <c r="BJ52">
        <v>2.575535E-2</v>
      </c>
      <c r="BK52">
        <v>0.10247595</v>
      </c>
      <c r="BL52">
        <v>2.8983769999999999E-2</v>
      </c>
      <c r="BM52">
        <v>1.1584469999999999E-2</v>
      </c>
      <c r="BN52">
        <v>4206</v>
      </c>
      <c r="BO52">
        <v>261.16603020000002</v>
      </c>
      <c r="BP52">
        <v>190</v>
      </c>
    </row>
    <row r="53" spans="1:68" x14ac:dyDescent="0.2">
      <c r="A53" t="s">
        <v>618</v>
      </c>
      <c r="B53">
        <v>225</v>
      </c>
      <c r="C53">
        <v>152</v>
      </c>
      <c r="D53">
        <v>965</v>
      </c>
      <c r="E53">
        <v>1218</v>
      </c>
      <c r="F53">
        <v>995</v>
      </c>
      <c r="G53">
        <v>615</v>
      </c>
      <c r="H53">
        <v>352</v>
      </c>
      <c r="I53">
        <v>804</v>
      </c>
      <c r="J53">
        <v>681</v>
      </c>
      <c r="K53">
        <v>287</v>
      </c>
      <c r="L53">
        <v>568</v>
      </c>
      <c r="M53">
        <v>1068</v>
      </c>
      <c r="N53">
        <v>1934</v>
      </c>
      <c r="O53">
        <v>1009</v>
      </c>
      <c r="P53">
        <v>318</v>
      </c>
      <c r="Q53">
        <v>162</v>
      </c>
      <c r="R53">
        <v>1012</v>
      </c>
      <c r="S53">
        <v>3472</v>
      </c>
      <c r="T53">
        <v>2135</v>
      </c>
      <c r="U53">
        <v>455</v>
      </c>
      <c r="V53">
        <v>229.819425</v>
      </c>
      <c r="W53">
        <v>172.79400899999999</v>
      </c>
      <c r="X53">
        <v>165.47298900000001</v>
      </c>
      <c r="Y53">
        <v>157.26806819999999</v>
      </c>
      <c r="Z53">
        <v>121.4763743</v>
      </c>
      <c r="AA53">
        <v>65</v>
      </c>
      <c r="AB53">
        <v>292.63916039999998</v>
      </c>
      <c r="AC53">
        <v>269.20517360000002</v>
      </c>
      <c r="AD53">
        <v>213.7101778</v>
      </c>
      <c r="AE53">
        <v>157.91345079999999</v>
      </c>
      <c r="AF53">
        <v>114.06244959999999</v>
      </c>
      <c r="AG53">
        <v>55</v>
      </c>
      <c r="AH53">
        <v>288.85229429999998</v>
      </c>
      <c r="AI53">
        <v>239.37571270000001</v>
      </c>
      <c r="AJ53">
        <v>202.85595960000001</v>
      </c>
      <c r="AK53">
        <v>166.16539460000001</v>
      </c>
      <c r="AL53">
        <v>121.2059363</v>
      </c>
      <c r="AM53">
        <v>55</v>
      </c>
      <c r="AN53">
        <v>268.18344999999999</v>
      </c>
      <c r="AO53">
        <v>202.95689759999999</v>
      </c>
      <c r="AP53">
        <v>190.72135750000001</v>
      </c>
      <c r="AQ53">
        <v>167.45333310000001</v>
      </c>
      <c r="AR53">
        <v>118.0925519</v>
      </c>
      <c r="AS53">
        <v>55</v>
      </c>
      <c r="AT53">
        <v>1.231759E-2</v>
      </c>
      <c r="AU53">
        <v>8.3584200000000001E-3</v>
      </c>
      <c r="AV53">
        <v>5.3886160000000002E-2</v>
      </c>
      <c r="AW53">
        <v>6.8785059999999995E-2</v>
      </c>
      <c r="AX53">
        <v>5.9018830000000001E-2</v>
      </c>
      <c r="AY53">
        <v>3.2703379999999997E-2</v>
      </c>
      <c r="AZ53">
        <v>1.967969E-2</v>
      </c>
      <c r="BA53">
        <v>4.2268510000000002E-2</v>
      </c>
      <c r="BB53">
        <v>3.5979570000000002E-2</v>
      </c>
      <c r="BC53">
        <v>1.514443E-2</v>
      </c>
      <c r="BD53">
        <v>3.075694E-2</v>
      </c>
      <c r="BE53">
        <v>5.6288379999999999E-2</v>
      </c>
      <c r="BF53">
        <v>0.10516586999999999</v>
      </c>
      <c r="BG53">
        <v>5.5283859999999997E-2</v>
      </c>
      <c r="BH53">
        <v>1.7240289999999998E-2</v>
      </c>
      <c r="BI53">
        <v>8.6208900000000008E-3</v>
      </c>
      <c r="BJ53">
        <v>5.3936060000000001E-2</v>
      </c>
      <c r="BK53">
        <v>0.18358632999999999</v>
      </c>
      <c r="BL53">
        <v>0.11566662</v>
      </c>
      <c r="BM53">
        <v>2.5313120000000001E-2</v>
      </c>
      <c r="BN53">
        <v>3199</v>
      </c>
      <c r="BO53">
        <v>254.347522</v>
      </c>
      <c r="BP53">
        <v>190</v>
      </c>
    </row>
    <row r="54" spans="1:68" x14ac:dyDescent="0.2">
      <c r="A54" t="s">
        <v>619</v>
      </c>
      <c r="B54">
        <v>278</v>
      </c>
      <c r="C54">
        <v>64</v>
      </c>
      <c r="D54">
        <v>87</v>
      </c>
      <c r="E54">
        <v>500</v>
      </c>
      <c r="F54">
        <v>335</v>
      </c>
      <c r="G54">
        <v>1754</v>
      </c>
      <c r="H54">
        <v>669</v>
      </c>
      <c r="I54">
        <v>1193</v>
      </c>
      <c r="J54">
        <v>1083</v>
      </c>
      <c r="K54">
        <v>351</v>
      </c>
      <c r="L54">
        <v>185</v>
      </c>
      <c r="M54">
        <v>415</v>
      </c>
      <c r="N54">
        <v>1200</v>
      </c>
      <c r="O54">
        <v>917</v>
      </c>
      <c r="P54">
        <v>282</v>
      </c>
      <c r="Q54">
        <v>6</v>
      </c>
      <c r="R54">
        <v>54</v>
      </c>
      <c r="S54">
        <v>705</v>
      </c>
      <c r="T54">
        <v>147</v>
      </c>
      <c r="U54">
        <v>129</v>
      </c>
      <c r="V54">
        <v>252.9966493</v>
      </c>
      <c r="W54">
        <v>208.66919619999999</v>
      </c>
      <c r="X54">
        <v>147.037092</v>
      </c>
      <c r="Y54">
        <v>173.8717207</v>
      </c>
      <c r="Z54">
        <v>112.8398412</v>
      </c>
      <c r="AA54">
        <v>65</v>
      </c>
      <c r="AB54">
        <v>297.85343369999998</v>
      </c>
      <c r="AC54">
        <v>292.48376309999998</v>
      </c>
      <c r="AD54">
        <v>219.5396581</v>
      </c>
      <c r="AE54">
        <v>156.99818519999999</v>
      </c>
      <c r="AF54">
        <v>118.9633721</v>
      </c>
      <c r="AG54">
        <v>55</v>
      </c>
      <c r="AH54">
        <v>274.63299840000002</v>
      </c>
      <c r="AI54">
        <v>267.99500999999998</v>
      </c>
      <c r="AJ54">
        <v>199.21814939999999</v>
      </c>
      <c r="AK54">
        <v>166.47792910000001</v>
      </c>
      <c r="AL54">
        <v>115.97357049999999</v>
      </c>
      <c r="AM54">
        <v>55</v>
      </c>
      <c r="AN54">
        <v>267.02820509999998</v>
      </c>
      <c r="AO54">
        <v>267.21060130000001</v>
      </c>
      <c r="AP54">
        <v>177.51088039999999</v>
      </c>
      <c r="AQ54">
        <v>163.5529071</v>
      </c>
      <c r="AR54">
        <v>115.9376201</v>
      </c>
      <c r="AS54">
        <v>55</v>
      </c>
      <c r="AT54">
        <v>2.7217069999999999E-2</v>
      </c>
      <c r="AU54">
        <v>6.3390900000000003E-3</v>
      </c>
      <c r="AV54">
        <v>9.8745900000000008E-3</v>
      </c>
      <c r="AW54">
        <v>5.175838E-2</v>
      </c>
      <c r="AX54">
        <v>3.128856E-2</v>
      </c>
      <c r="AY54">
        <v>0.18047815</v>
      </c>
      <c r="AZ54">
        <v>6.1747379999999998E-2</v>
      </c>
      <c r="BA54">
        <v>0.10931985</v>
      </c>
      <c r="BB54">
        <v>0.10978010000000001</v>
      </c>
      <c r="BC54">
        <v>3.4831969999999997E-2</v>
      </c>
      <c r="BD54">
        <v>1.8332930000000001E-2</v>
      </c>
      <c r="BE54">
        <v>3.7919059999999997E-2</v>
      </c>
      <c r="BF54">
        <v>0.10832596999999999</v>
      </c>
      <c r="BG54">
        <v>8.8785340000000004E-2</v>
      </c>
      <c r="BH54">
        <v>2.7180510000000001E-2</v>
      </c>
      <c r="BI54">
        <v>5.3547000000000002E-4</v>
      </c>
      <c r="BJ54">
        <v>4.3944700000000001E-3</v>
      </c>
      <c r="BK54">
        <v>6.4205899999999996E-2</v>
      </c>
      <c r="BL54">
        <v>1.4486819999999999E-2</v>
      </c>
      <c r="BM54">
        <v>1.3198390000000001E-2</v>
      </c>
      <c r="BN54">
        <v>1395</v>
      </c>
      <c r="BO54">
        <v>270.30690729999998</v>
      </c>
      <c r="BP54">
        <v>190</v>
      </c>
    </row>
    <row r="55" spans="1:68" x14ac:dyDescent="0.2">
      <c r="A55" t="s">
        <v>620</v>
      </c>
      <c r="B55">
        <v>5134</v>
      </c>
      <c r="C55">
        <v>4961</v>
      </c>
      <c r="D55">
        <v>13738</v>
      </c>
      <c r="E55">
        <v>4912</v>
      </c>
      <c r="F55">
        <v>4525</v>
      </c>
      <c r="G55">
        <v>145</v>
      </c>
      <c r="H55">
        <v>47</v>
      </c>
      <c r="I55">
        <v>88</v>
      </c>
      <c r="J55">
        <v>39</v>
      </c>
      <c r="K55">
        <v>100</v>
      </c>
      <c r="L55">
        <v>1162</v>
      </c>
      <c r="M55">
        <v>422</v>
      </c>
      <c r="N55">
        <v>1138</v>
      </c>
      <c r="O55">
        <v>796</v>
      </c>
      <c r="P55">
        <v>559</v>
      </c>
      <c r="Q55">
        <v>5114</v>
      </c>
      <c r="R55">
        <v>730</v>
      </c>
      <c r="S55">
        <v>3217</v>
      </c>
      <c r="T55">
        <v>3029</v>
      </c>
      <c r="U55">
        <v>1281</v>
      </c>
      <c r="V55">
        <v>256.42855539999999</v>
      </c>
      <c r="W55">
        <v>221.04444000000001</v>
      </c>
      <c r="X55">
        <v>199.7856869</v>
      </c>
      <c r="Y55">
        <v>168.59978190000001</v>
      </c>
      <c r="Z55">
        <v>118.2585471</v>
      </c>
      <c r="AA55">
        <v>65</v>
      </c>
      <c r="AB55">
        <v>309.81053639999999</v>
      </c>
      <c r="AC55">
        <v>275.44898699999999</v>
      </c>
      <c r="AD55">
        <v>237.6786511</v>
      </c>
      <c r="AE55">
        <v>166.0993282</v>
      </c>
      <c r="AF55">
        <v>113.2065212</v>
      </c>
      <c r="AG55">
        <v>55</v>
      </c>
      <c r="AH55">
        <v>289.02681130000002</v>
      </c>
      <c r="AI55">
        <v>246.70865570000001</v>
      </c>
      <c r="AJ55">
        <v>208.38092739999999</v>
      </c>
      <c r="AK55">
        <v>162.06420750000001</v>
      </c>
      <c r="AL55">
        <v>116.3652649</v>
      </c>
      <c r="AM55">
        <v>55</v>
      </c>
      <c r="AN55">
        <v>259.79095280000001</v>
      </c>
      <c r="AO55">
        <v>224.8906284</v>
      </c>
      <c r="AP55">
        <v>191.41954899999999</v>
      </c>
      <c r="AQ55">
        <v>162.18405369999999</v>
      </c>
      <c r="AR55">
        <v>114.1114208</v>
      </c>
      <c r="AS55">
        <v>55</v>
      </c>
      <c r="AT55">
        <v>9.7298880000000004E-2</v>
      </c>
      <c r="AU55">
        <v>9.8453840000000001E-2</v>
      </c>
      <c r="AV55">
        <v>0.28259103000000002</v>
      </c>
      <c r="AW55">
        <v>9.2236680000000001E-2</v>
      </c>
      <c r="AX55">
        <v>8.2095619999999994E-2</v>
      </c>
      <c r="AY55">
        <v>2.8681599999999998E-3</v>
      </c>
      <c r="AZ55">
        <v>8.7012999999999999E-4</v>
      </c>
      <c r="BA55">
        <v>1.9481100000000001E-3</v>
      </c>
      <c r="BB55">
        <v>7.3970999999999998E-4</v>
      </c>
      <c r="BC55">
        <v>1.9384599999999999E-3</v>
      </c>
      <c r="BD55">
        <v>2.1552410000000001E-2</v>
      </c>
      <c r="BE55">
        <v>7.8467699999999994E-3</v>
      </c>
      <c r="BF55">
        <v>2.3883049999999999E-2</v>
      </c>
      <c r="BG55">
        <v>1.615871E-2</v>
      </c>
      <c r="BH55">
        <v>9.9667000000000002E-3</v>
      </c>
      <c r="BI55">
        <v>9.6440680000000001E-2</v>
      </c>
      <c r="BJ55">
        <v>1.372402E-2</v>
      </c>
      <c r="BK55">
        <v>6.7245559999999996E-2</v>
      </c>
      <c r="BL55">
        <v>5.8958770000000001E-2</v>
      </c>
      <c r="BM55">
        <v>2.3182709999999999E-2</v>
      </c>
      <c r="BN55">
        <v>4376</v>
      </c>
      <c r="BO55">
        <v>261.18136329999999</v>
      </c>
      <c r="BP55">
        <v>190</v>
      </c>
    </row>
    <row r="56" spans="1:68" x14ac:dyDescent="0.2">
      <c r="A56" t="s">
        <v>621</v>
      </c>
      <c r="B56">
        <v>84640</v>
      </c>
      <c r="C56">
        <v>37218</v>
      </c>
      <c r="D56">
        <v>31729</v>
      </c>
      <c r="E56">
        <v>34317</v>
      </c>
      <c r="F56">
        <v>16752</v>
      </c>
      <c r="G56">
        <v>486</v>
      </c>
      <c r="H56">
        <v>210</v>
      </c>
      <c r="I56">
        <v>270</v>
      </c>
      <c r="J56">
        <v>638</v>
      </c>
      <c r="K56">
        <v>682</v>
      </c>
      <c r="L56">
        <v>3339</v>
      </c>
      <c r="M56">
        <v>898</v>
      </c>
      <c r="N56">
        <v>1177</v>
      </c>
      <c r="O56">
        <v>4363</v>
      </c>
      <c r="P56">
        <v>2782</v>
      </c>
      <c r="Q56">
        <v>16816</v>
      </c>
      <c r="R56">
        <v>1983</v>
      </c>
      <c r="S56">
        <v>3641</v>
      </c>
      <c r="T56">
        <v>13675</v>
      </c>
      <c r="U56">
        <v>7562</v>
      </c>
      <c r="V56">
        <v>252.4164639</v>
      </c>
      <c r="W56">
        <v>229.9612917</v>
      </c>
      <c r="X56">
        <v>197.79564669999999</v>
      </c>
      <c r="Y56">
        <v>158.28521979999999</v>
      </c>
      <c r="Z56">
        <v>116.37515139999999</v>
      </c>
      <c r="AA56">
        <v>65</v>
      </c>
      <c r="AB56">
        <v>303.06619519999998</v>
      </c>
      <c r="AC56">
        <v>290.72446409999998</v>
      </c>
      <c r="AD56">
        <v>219.7074594</v>
      </c>
      <c r="AE56">
        <v>126.7061119</v>
      </c>
      <c r="AF56">
        <v>114.98806039999999</v>
      </c>
      <c r="AG56">
        <v>55</v>
      </c>
      <c r="AH56">
        <v>304.6303504</v>
      </c>
      <c r="AI56">
        <v>267.19705929999998</v>
      </c>
      <c r="AJ56">
        <v>207.20503679999999</v>
      </c>
      <c r="AK56">
        <v>130.5485448</v>
      </c>
      <c r="AL56">
        <v>115.31127650000001</v>
      </c>
      <c r="AM56">
        <v>55</v>
      </c>
      <c r="AN56">
        <v>271.23821600000002</v>
      </c>
      <c r="AO56">
        <v>240.7693812</v>
      </c>
      <c r="AP56">
        <v>185.2717711</v>
      </c>
      <c r="AQ56">
        <v>125.15246019999999</v>
      </c>
      <c r="AR56">
        <v>111.2854932</v>
      </c>
      <c r="AS56">
        <v>55</v>
      </c>
      <c r="AT56">
        <v>0.32509716999999999</v>
      </c>
      <c r="AU56">
        <v>0.13963107</v>
      </c>
      <c r="AV56">
        <v>0.12184378999999999</v>
      </c>
      <c r="AW56">
        <v>0.12646172</v>
      </c>
      <c r="AX56">
        <v>6.9927429999999999E-2</v>
      </c>
      <c r="AY56">
        <v>1.88857E-3</v>
      </c>
      <c r="AZ56">
        <v>7.8151000000000002E-4</v>
      </c>
      <c r="BA56">
        <v>1.1965700000000001E-3</v>
      </c>
      <c r="BB56">
        <v>2.24288E-3</v>
      </c>
      <c r="BC56">
        <v>2.6544099999999998E-3</v>
      </c>
      <c r="BD56">
        <v>1.2434779999999999E-2</v>
      </c>
      <c r="BE56">
        <v>3.3487199999999999E-3</v>
      </c>
      <c r="BF56">
        <v>4.3790299999999999E-3</v>
      </c>
      <c r="BG56">
        <v>1.533849E-2</v>
      </c>
      <c r="BH56">
        <v>1.0885799999999999E-2</v>
      </c>
      <c r="BI56">
        <v>6.2921900000000003E-2</v>
      </c>
      <c r="BJ56">
        <v>7.4100900000000003E-3</v>
      </c>
      <c r="BK56">
        <v>1.363023E-2</v>
      </c>
      <c r="BL56">
        <v>4.8739709999999999E-2</v>
      </c>
      <c r="BM56">
        <v>2.9186130000000001E-2</v>
      </c>
      <c r="BN56">
        <v>22389</v>
      </c>
      <c r="BO56">
        <v>235.74812779999999</v>
      </c>
      <c r="BP56">
        <v>190</v>
      </c>
    </row>
    <row r="57" spans="1:68" x14ac:dyDescent="0.2">
      <c r="A57" t="s">
        <v>622</v>
      </c>
      <c r="B57">
        <v>299</v>
      </c>
      <c r="C57">
        <v>1972</v>
      </c>
      <c r="D57">
        <v>2831</v>
      </c>
      <c r="E57">
        <v>1244</v>
      </c>
      <c r="F57">
        <v>1025</v>
      </c>
      <c r="G57">
        <v>186</v>
      </c>
      <c r="H57">
        <v>153</v>
      </c>
      <c r="I57">
        <v>362</v>
      </c>
      <c r="J57">
        <v>645</v>
      </c>
      <c r="K57">
        <v>139</v>
      </c>
      <c r="L57">
        <v>1353</v>
      </c>
      <c r="M57">
        <v>1241</v>
      </c>
      <c r="N57">
        <v>1754</v>
      </c>
      <c r="O57">
        <v>1030</v>
      </c>
      <c r="P57">
        <v>279</v>
      </c>
      <c r="Q57">
        <v>3822</v>
      </c>
      <c r="R57">
        <v>3248</v>
      </c>
      <c r="S57">
        <v>4966</v>
      </c>
      <c r="T57">
        <v>1379</v>
      </c>
      <c r="U57">
        <v>294</v>
      </c>
      <c r="V57">
        <v>223.6587763</v>
      </c>
      <c r="W57">
        <v>207.62506479999999</v>
      </c>
      <c r="X57">
        <v>161.4620448</v>
      </c>
      <c r="Y57">
        <v>164.7298591</v>
      </c>
      <c r="Z57">
        <v>123.4855924</v>
      </c>
      <c r="AA57">
        <v>65</v>
      </c>
      <c r="AB57">
        <v>327.01439349999998</v>
      </c>
      <c r="AC57">
        <v>269.20344210000002</v>
      </c>
      <c r="AD57">
        <v>225.90184260000001</v>
      </c>
      <c r="AE57">
        <v>139.4291029</v>
      </c>
      <c r="AF57">
        <v>106.7504173</v>
      </c>
      <c r="AG57">
        <v>55</v>
      </c>
      <c r="AH57">
        <v>286.63279440000002</v>
      </c>
      <c r="AI57">
        <v>202.20799700000001</v>
      </c>
      <c r="AJ57">
        <v>193.2044071</v>
      </c>
      <c r="AK57">
        <v>155.83935049999999</v>
      </c>
      <c r="AL57">
        <v>110.5745641</v>
      </c>
      <c r="AM57">
        <v>55</v>
      </c>
      <c r="AN57">
        <v>271.429393</v>
      </c>
      <c r="AO57">
        <v>180.8727896</v>
      </c>
      <c r="AP57">
        <v>174.76501730000001</v>
      </c>
      <c r="AQ57">
        <v>167.2398834</v>
      </c>
      <c r="AR57">
        <v>113.1425574</v>
      </c>
      <c r="AS57">
        <v>55</v>
      </c>
      <c r="AT57">
        <v>1.001557E-2</v>
      </c>
      <c r="AU57">
        <v>6.3755699999999998E-2</v>
      </c>
      <c r="AV57">
        <v>9.014134E-2</v>
      </c>
      <c r="AW57">
        <v>4.0313069999999999E-2</v>
      </c>
      <c r="AX57">
        <v>3.2739320000000002E-2</v>
      </c>
      <c r="AY57">
        <v>5.9269500000000003E-3</v>
      </c>
      <c r="AZ57">
        <v>5.4468399999999997E-3</v>
      </c>
      <c r="BA57">
        <v>1.3991089999999999E-2</v>
      </c>
      <c r="BB57">
        <v>2.5258389999999999E-2</v>
      </c>
      <c r="BC57">
        <v>4.8698700000000001E-3</v>
      </c>
      <c r="BD57">
        <v>4.7278939999999998E-2</v>
      </c>
      <c r="BE57">
        <v>4.5199360000000001E-2</v>
      </c>
      <c r="BF57">
        <v>6.6102759999999997E-2</v>
      </c>
      <c r="BG57">
        <v>3.7708350000000002E-2</v>
      </c>
      <c r="BH57">
        <v>8.8817099999999993E-3</v>
      </c>
      <c r="BI57">
        <v>0.12909820999999999</v>
      </c>
      <c r="BJ57">
        <v>0.11814829</v>
      </c>
      <c r="BK57">
        <v>0.19432128000000001</v>
      </c>
      <c r="BL57">
        <v>5.1328400000000003E-2</v>
      </c>
      <c r="BM57">
        <v>9.4745599999999999E-3</v>
      </c>
      <c r="BN57">
        <v>5588</v>
      </c>
      <c r="BO57">
        <v>272.72154749999999</v>
      </c>
      <c r="BP57">
        <v>190</v>
      </c>
    </row>
    <row r="58" spans="1:68" x14ac:dyDescent="0.2">
      <c r="A58" t="s">
        <v>623</v>
      </c>
      <c r="B58">
        <v>48</v>
      </c>
      <c r="C58">
        <v>103</v>
      </c>
      <c r="D58">
        <v>404</v>
      </c>
      <c r="E58">
        <v>594</v>
      </c>
      <c r="F58">
        <v>710</v>
      </c>
      <c r="G58">
        <v>502</v>
      </c>
      <c r="H58">
        <v>969</v>
      </c>
      <c r="I58">
        <v>1283</v>
      </c>
      <c r="J58">
        <v>925</v>
      </c>
      <c r="K58">
        <v>373</v>
      </c>
      <c r="L58">
        <v>315</v>
      </c>
      <c r="M58">
        <v>893</v>
      </c>
      <c r="N58">
        <v>1732</v>
      </c>
      <c r="O58">
        <v>1090</v>
      </c>
      <c r="P58">
        <v>340</v>
      </c>
      <c r="Q58">
        <v>37</v>
      </c>
      <c r="R58">
        <v>324</v>
      </c>
      <c r="S58">
        <v>1819</v>
      </c>
      <c r="T58">
        <v>1044</v>
      </c>
      <c r="U58">
        <v>384</v>
      </c>
      <c r="V58">
        <v>208.7209253</v>
      </c>
      <c r="W58">
        <v>174.2148923</v>
      </c>
      <c r="X58">
        <v>186.99471389999999</v>
      </c>
      <c r="Y58">
        <v>155.566599</v>
      </c>
      <c r="Z58">
        <v>83.553851260000002</v>
      </c>
      <c r="AA58">
        <v>65</v>
      </c>
      <c r="AB58">
        <v>287.66907409999999</v>
      </c>
      <c r="AC58">
        <v>291.57470319999999</v>
      </c>
      <c r="AD58">
        <v>223.2232218</v>
      </c>
      <c r="AE58">
        <v>149.76704899999999</v>
      </c>
      <c r="AF58">
        <v>121.882375</v>
      </c>
      <c r="AG58">
        <v>55</v>
      </c>
      <c r="AH58">
        <v>295.86694999999997</v>
      </c>
      <c r="AI58">
        <v>242.51500920000001</v>
      </c>
      <c r="AJ58">
        <v>197.01040889999999</v>
      </c>
      <c r="AK58">
        <v>160.573497</v>
      </c>
      <c r="AL58">
        <v>120.5490709</v>
      </c>
      <c r="AM58">
        <v>55</v>
      </c>
      <c r="AN58">
        <v>229.09419349999999</v>
      </c>
      <c r="AO58">
        <v>234.13539220000001</v>
      </c>
      <c r="AP58">
        <v>167.78943849999999</v>
      </c>
      <c r="AQ58">
        <v>158.8634926</v>
      </c>
      <c r="AR58">
        <v>108.77338140000001</v>
      </c>
      <c r="AS58">
        <v>55</v>
      </c>
      <c r="AT58">
        <v>3.6085000000000002E-3</v>
      </c>
      <c r="AU58">
        <v>7.4066499999999999E-3</v>
      </c>
      <c r="AV58">
        <v>2.808687E-2</v>
      </c>
      <c r="AW58">
        <v>4.216189E-2</v>
      </c>
      <c r="AX58">
        <v>6.2173440000000003E-2</v>
      </c>
      <c r="AY58">
        <v>3.5057890000000001E-2</v>
      </c>
      <c r="AZ58">
        <v>6.9419350000000005E-2</v>
      </c>
      <c r="BA58">
        <v>8.906414E-2</v>
      </c>
      <c r="BB58">
        <v>6.3807530000000001E-2</v>
      </c>
      <c r="BC58">
        <v>3.06179E-2</v>
      </c>
      <c r="BD58">
        <v>2.3121840000000001E-2</v>
      </c>
      <c r="BE58">
        <v>6.4195790000000003E-2</v>
      </c>
      <c r="BF58">
        <v>0.11971970999999999</v>
      </c>
      <c r="BG58">
        <v>7.4679430000000005E-2</v>
      </c>
      <c r="BH58">
        <v>2.7125059999999999E-2</v>
      </c>
      <c r="BI58">
        <v>2.4956399999999999E-3</v>
      </c>
      <c r="BJ58">
        <v>2.251063E-2</v>
      </c>
      <c r="BK58">
        <v>0.12808112999999999</v>
      </c>
      <c r="BL58">
        <v>7.4894580000000002E-2</v>
      </c>
      <c r="BM58">
        <v>3.177203E-2</v>
      </c>
      <c r="BN58">
        <v>905</v>
      </c>
      <c r="BO58">
        <v>259.3262709</v>
      </c>
      <c r="BP58">
        <v>190</v>
      </c>
    </row>
    <row r="59" spans="1:68" x14ac:dyDescent="0.2">
      <c r="A59" t="s">
        <v>624</v>
      </c>
      <c r="B59">
        <v>2274</v>
      </c>
      <c r="C59">
        <v>3395</v>
      </c>
      <c r="D59">
        <v>4123</v>
      </c>
      <c r="E59">
        <v>3378</v>
      </c>
      <c r="F59">
        <v>1672</v>
      </c>
      <c r="G59">
        <v>1142</v>
      </c>
      <c r="H59">
        <v>441</v>
      </c>
      <c r="I59">
        <v>768</v>
      </c>
      <c r="J59">
        <v>1269</v>
      </c>
      <c r="K59">
        <v>615</v>
      </c>
      <c r="L59">
        <v>2706</v>
      </c>
      <c r="M59">
        <v>1383</v>
      </c>
      <c r="N59">
        <v>2449</v>
      </c>
      <c r="O59">
        <v>2655</v>
      </c>
      <c r="P59">
        <v>1151</v>
      </c>
      <c r="Q59">
        <v>4301</v>
      </c>
      <c r="R59">
        <v>1999</v>
      </c>
      <c r="S59">
        <v>3733</v>
      </c>
      <c r="T59">
        <v>4914</v>
      </c>
      <c r="U59">
        <v>1681</v>
      </c>
      <c r="V59">
        <v>207.037397</v>
      </c>
      <c r="W59">
        <v>198.58625430000001</v>
      </c>
      <c r="X59">
        <v>236.04586860000001</v>
      </c>
      <c r="Y59">
        <v>146.1814904</v>
      </c>
      <c r="Z59">
        <v>116.5544388</v>
      </c>
      <c r="AA59">
        <v>65</v>
      </c>
      <c r="AB59">
        <v>299.3173577</v>
      </c>
      <c r="AC59">
        <v>283.3504332</v>
      </c>
      <c r="AD59">
        <v>217.47474729999999</v>
      </c>
      <c r="AE59">
        <v>147.9088563</v>
      </c>
      <c r="AF59">
        <v>115.100656</v>
      </c>
      <c r="AG59">
        <v>55</v>
      </c>
      <c r="AH59">
        <v>267.55584010000001</v>
      </c>
      <c r="AI59">
        <v>227.35853159999999</v>
      </c>
      <c r="AJ59">
        <v>208.0793769</v>
      </c>
      <c r="AK59">
        <v>160.83887630000001</v>
      </c>
      <c r="AL59">
        <v>116.4531065</v>
      </c>
      <c r="AM59">
        <v>55</v>
      </c>
      <c r="AN59">
        <v>241.831548</v>
      </c>
      <c r="AO59">
        <v>198.5549656</v>
      </c>
      <c r="AP59">
        <v>199.80251659999999</v>
      </c>
      <c r="AQ59">
        <v>155.32516480000001</v>
      </c>
      <c r="AR59">
        <v>119.6105604</v>
      </c>
      <c r="AS59">
        <v>55</v>
      </c>
      <c r="AT59">
        <v>4.9235950000000001E-2</v>
      </c>
      <c r="AU59">
        <v>8.5696300000000003E-2</v>
      </c>
      <c r="AV59">
        <v>9.4306929999999997E-2</v>
      </c>
      <c r="AW59">
        <v>6.8440520000000005E-2</v>
      </c>
      <c r="AX59">
        <v>3.520442E-2</v>
      </c>
      <c r="AY59">
        <v>2.4058590000000001E-2</v>
      </c>
      <c r="AZ59">
        <v>1.156182E-2</v>
      </c>
      <c r="BA59">
        <v>1.6405449999999999E-2</v>
      </c>
      <c r="BB59">
        <v>2.5971930000000001E-2</v>
      </c>
      <c r="BC59">
        <v>1.2762219999999999E-2</v>
      </c>
      <c r="BD59">
        <v>5.7006290000000001E-2</v>
      </c>
      <c r="BE59">
        <v>3.4227920000000002E-2</v>
      </c>
      <c r="BF59">
        <v>5.2584970000000002E-2</v>
      </c>
      <c r="BG59">
        <v>5.316017E-2</v>
      </c>
      <c r="BH59">
        <v>2.3603639999999999E-2</v>
      </c>
      <c r="BI59">
        <v>9.164696E-2</v>
      </c>
      <c r="BJ59">
        <v>4.8554050000000001E-2</v>
      </c>
      <c r="BK59">
        <v>8.1324919999999995E-2</v>
      </c>
      <c r="BL59">
        <v>9.9868200000000004E-2</v>
      </c>
      <c r="BM59">
        <v>3.437875E-2</v>
      </c>
      <c r="BN59">
        <v>4610</v>
      </c>
      <c r="BO59">
        <v>247.7936005</v>
      </c>
      <c r="BP59">
        <v>190</v>
      </c>
    </row>
    <row r="60" spans="1:68" x14ac:dyDescent="0.2">
      <c r="A60" t="s">
        <v>625</v>
      </c>
      <c r="B60">
        <v>104</v>
      </c>
      <c r="C60">
        <v>1065</v>
      </c>
      <c r="D60">
        <v>3617</v>
      </c>
      <c r="E60">
        <v>1692</v>
      </c>
      <c r="F60">
        <v>2794</v>
      </c>
      <c r="G60">
        <v>20</v>
      </c>
      <c r="H60">
        <v>20</v>
      </c>
      <c r="I60">
        <v>20</v>
      </c>
      <c r="J60">
        <v>36</v>
      </c>
      <c r="K60">
        <v>59</v>
      </c>
      <c r="L60">
        <v>79</v>
      </c>
      <c r="M60">
        <v>166</v>
      </c>
      <c r="N60">
        <v>492</v>
      </c>
      <c r="O60">
        <v>663</v>
      </c>
      <c r="P60">
        <v>185</v>
      </c>
      <c r="Q60">
        <v>185</v>
      </c>
      <c r="R60">
        <v>375</v>
      </c>
      <c r="S60">
        <v>1491</v>
      </c>
      <c r="T60">
        <v>1485</v>
      </c>
      <c r="U60">
        <v>471</v>
      </c>
      <c r="V60">
        <v>245.9777867</v>
      </c>
      <c r="W60">
        <v>257.84074329999999</v>
      </c>
      <c r="X60">
        <v>180.5427043</v>
      </c>
      <c r="Y60">
        <v>147.95705580000001</v>
      </c>
      <c r="Z60">
        <v>115.9723991</v>
      </c>
      <c r="AA60">
        <v>65</v>
      </c>
      <c r="AB60">
        <v>235.22575430000001</v>
      </c>
      <c r="AC60">
        <v>232.70209149999999</v>
      </c>
      <c r="AD60">
        <v>243.50253900000001</v>
      </c>
      <c r="AE60">
        <v>182.14559489999999</v>
      </c>
      <c r="AF60">
        <v>118</v>
      </c>
      <c r="AG60">
        <v>55</v>
      </c>
      <c r="AH60">
        <v>270.6847702</v>
      </c>
      <c r="AI60">
        <v>183.82689880000001</v>
      </c>
      <c r="AJ60">
        <v>196.09711709999999</v>
      </c>
      <c r="AK60">
        <v>159.81281870000001</v>
      </c>
      <c r="AL60">
        <v>118.1703243</v>
      </c>
      <c r="AM60">
        <v>55</v>
      </c>
      <c r="AN60">
        <v>240.09204460000001</v>
      </c>
      <c r="AO60">
        <v>172.4406607</v>
      </c>
      <c r="AP60">
        <v>194.87306140000001</v>
      </c>
      <c r="AQ60">
        <v>150.51103449999999</v>
      </c>
      <c r="AR60">
        <v>115.8202905</v>
      </c>
      <c r="AS60">
        <v>55</v>
      </c>
      <c r="AT60">
        <v>7.4223199999999996E-3</v>
      </c>
      <c r="AU60">
        <v>6.6698320000000005E-2</v>
      </c>
      <c r="AV60">
        <v>0.24038145999999999</v>
      </c>
      <c r="AW60">
        <v>0.10633264000000001</v>
      </c>
      <c r="AX60">
        <v>0.20016181999999999</v>
      </c>
      <c r="AY60">
        <v>1.5598000000000001E-3</v>
      </c>
      <c r="AZ60">
        <v>1.41351E-3</v>
      </c>
      <c r="BA60">
        <v>1.5920999999999999E-3</v>
      </c>
      <c r="BB60">
        <v>2.7232200000000002E-3</v>
      </c>
      <c r="BC60">
        <v>4.4966800000000003E-3</v>
      </c>
      <c r="BD60">
        <v>5.0422899999999996E-3</v>
      </c>
      <c r="BE60">
        <v>1.0473359999999999E-2</v>
      </c>
      <c r="BF60">
        <v>3.2716670000000003E-2</v>
      </c>
      <c r="BG60">
        <v>4.1736280000000001E-2</v>
      </c>
      <c r="BH60">
        <v>1.3740469999999999E-2</v>
      </c>
      <c r="BI60">
        <v>1.2106570000000001E-2</v>
      </c>
      <c r="BJ60">
        <v>2.4436289999999999E-2</v>
      </c>
      <c r="BK60">
        <v>9.9176639999999996E-2</v>
      </c>
      <c r="BL60">
        <v>9.4128649999999994E-2</v>
      </c>
      <c r="BM60">
        <v>3.3660910000000002E-2</v>
      </c>
      <c r="BN60">
        <v>1757</v>
      </c>
      <c r="BO60">
        <v>212.98694409999999</v>
      </c>
      <c r="BP60">
        <v>190</v>
      </c>
    </row>
    <row r="61" spans="1:68" x14ac:dyDescent="0.2">
      <c r="A61" t="s">
        <v>626</v>
      </c>
      <c r="B61">
        <v>193</v>
      </c>
      <c r="C61">
        <v>143</v>
      </c>
      <c r="D61">
        <v>354</v>
      </c>
      <c r="E61">
        <v>466</v>
      </c>
      <c r="F61">
        <v>375</v>
      </c>
      <c r="G61">
        <v>477</v>
      </c>
      <c r="H61">
        <v>605</v>
      </c>
      <c r="I61">
        <v>1730</v>
      </c>
      <c r="J61">
        <v>1352</v>
      </c>
      <c r="K61">
        <v>503</v>
      </c>
      <c r="L61">
        <v>237</v>
      </c>
      <c r="M61">
        <v>614</v>
      </c>
      <c r="N61">
        <v>1473</v>
      </c>
      <c r="O61">
        <v>872</v>
      </c>
      <c r="P61">
        <v>286</v>
      </c>
      <c r="Q61">
        <v>55</v>
      </c>
      <c r="R61">
        <v>180</v>
      </c>
      <c r="S61">
        <v>618</v>
      </c>
      <c r="T61">
        <v>295</v>
      </c>
      <c r="U61">
        <v>144</v>
      </c>
      <c r="V61">
        <v>262.16036500000001</v>
      </c>
      <c r="W61">
        <v>222.86400639999999</v>
      </c>
      <c r="X61">
        <v>147.06906179999999</v>
      </c>
      <c r="Y61">
        <v>121.943225</v>
      </c>
      <c r="Z61">
        <v>94.134941449999999</v>
      </c>
      <c r="AA61">
        <v>65</v>
      </c>
      <c r="AB61">
        <v>316.731088</v>
      </c>
      <c r="AC61">
        <v>296.4396711</v>
      </c>
      <c r="AD61">
        <v>221.71527029999999</v>
      </c>
      <c r="AE61">
        <v>150.89828019999999</v>
      </c>
      <c r="AF61">
        <v>117.8394869</v>
      </c>
      <c r="AG61">
        <v>55</v>
      </c>
      <c r="AH61">
        <v>296.37866380000003</v>
      </c>
      <c r="AI61">
        <v>235.62796839999999</v>
      </c>
      <c r="AJ61">
        <v>195.5747035</v>
      </c>
      <c r="AK61">
        <v>155.81913249999999</v>
      </c>
      <c r="AL61">
        <v>118.9074212</v>
      </c>
      <c r="AM61">
        <v>55</v>
      </c>
      <c r="AN61">
        <v>238.95026799999999</v>
      </c>
      <c r="AO61">
        <v>210.79800739999999</v>
      </c>
      <c r="AP61">
        <v>174.0857661</v>
      </c>
      <c r="AQ61">
        <v>142.5791299</v>
      </c>
      <c r="AR61">
        <v>104.2609188</v>
      </c>
      <c r="AS61">
        <v>55</v>
      </c>
      <c r="AT61">
        <v>1.7619449999999998E-2</v>
      </c>
      <c r="AU61">
        <v>1.27773E-2</v>
      </c>
      <c r="AV61">
        <v>3.3670140000000001E-2</v>
      </c>
      <c r="AW61">
        <v>4.2147909999999997E-2</v>
      </c>
      <c r="AX61">
        <v>3.5966060000000001E-2</v>
      </c>
      <c r="AY61">
        <v>4.1890690000000001E-2</v>
      </c>
      <c r="AZ61">
        <v>5.2037029999999998E-2</v>
      </c>
      <c r="BA61">
        <v>0.15673471999999999</v>
      </c>
      <c r="BB61">
        <v>0.12202583</v>
      </c>
      <c r="BC61">
        <v>4.8095020000000002E-2</v>
      </c>
      <c r="BD61">
        <v>2.1105579999999999E-2</v>
      </c>
      <c r="BE61">
        <v>5.14376E-2</v>
      </c>
      <c r="BF61">
        <v>0.13699897999999999</v>
      </c>
      <c r="BG61">
        <v>7.9774639999999994E-2</v>
      </c>
      <c r="BH61">
        <v>2.8042270000000001E-2</v>
      </c>
      <c r="BI61">
        <v>4.7783900000000004E-3</v>
      </c>
      <c r="BJ61">
        <v>1.4731259999999999E-2</v>
      </c>
      <c r="BK61">
        <v>5.773557E-2</v>
      </c>
      <c r="BL61">
        <v>2.823351E-2</v>
      </c>
      <c r="BM61">
        <v>1.419805E-2</v>
      </c>
      <c r="BN61">
        <v>889</v>
      </c>
      <c r="BO61">
        <v>246.208191</v>
      </c>
      <c r="BP61">
        <v>190</v>
      </c>
    </row>
    <row r="62" spans="1:68" x14ac:dyDescent="0.2">
      <c r="A62" t="s">
        <v>627</v>
      </c>
      <c r="B62">
        <v>124</v>
      </c>
      <c r="C62">
        <v>68</v>
      </c>
      <c r="D62">
        <v>236</v>
      </c>
      <c r="E62">
        <v>238</v>
      </c>
      <c r="F62">
        <v>443</v>
      </c>
      <c r="G62">
        <v>61</v>
      </c>
      <c r="H62">
        <v>46</v>
      </c>
      <c r="I62">
        <v>60</v>
      </c>
      <c r="J62">
        <v>239</v>
      </c>
      <c r="K62">
        <v>19</v>
      </c>
      <c r="L62">
        <v>242</v>
      </c>
      <c r="M62">
        <v>317</v>
      </c>
      <c r="N62">
        <v>617</v>
      </c>
      <c r="O62">
        <v>289</v>
      </c>
      <c r="P62">
        <v>94</v>
      </c>
      <c r="Q62">
        <v>363</v>
      </c>
      <c r="R62">
        <v>540</v>
      </c>
      <c r="S62">
        <v>797</v>
      </c>
      <c r="T62">
        <v>379</v>
      </c>
      <c r="U62">
        <v>84</v>
      </c>
      <c r="V62">
        <v>221.0159917</v>
      </c>
      <c r="W62">
        <v>178.19576670000001</v>
      </c>
      <c r="X62">
        <v>178.25288699999999</v>
      </c>
      <c r="Y62">
        <v>150.53681570000001</v>
      </c>
      <c r="Z62">
        <v>116.3363811</v>
      </c>
      <c r="AA62">
        <v>65</v>
      </c>
      <c r="AB62">
        <v>325.0502199</v>
      </c>
      <c r="AC62">
        <v>233.5332674</v>
      </c>
      <c r="AD62">
        <v>217.75014680000001</v>
      </c>
      <c r="AE62">
        <v>148.95950529999999</v>
      </c>
      <c r="AF62">
        <v>104.8237455</v>
      </c>
      <c r="AG62">
        <v>55</v>
      </c>
      <c r="AH62">
        <v>306.7236666</v>
      </c>
      <c r="AI62">
        <v>200.6501471</v>
      </c>
      <c r="AJ62">
        <v>178.6396336</v>
      </c>
      <c r="AK62">
        <v>152.979737</v>
      </c>
      <c r="AL62">
        <v>104.7781995</v>
      </c>
      <c r="AM62">
        <v>55</v>
      </c>
      <c r="AN62">
        <v>294.1715729</v>
      </c>
      <c r="AO62">
        <v>168.3061371</v>
      </c>
      <c r="AP62">
        <v>157.94807349999999</v>
      </c>
      <c r="AQ62">
        <v>143.27937990000001</v>
      </c>
      <c r="AR62">
        <v>97.351511610000003</v>
      </c>
      <c r="AS62">
        <v>55</v>
      </c>
      <c r="AT62">
        <v>2.3655030000000001E-2</v>
      </c>
      <c r="AU62">
        <v>1.273151E-2</v>
      </c>
      <c r="AV62">
        <v>4.8774119999999997E-2</v>
      </c>
      <c r="AW62">
        <v>4.2045430000000002E-2</v>
      </c>
      <c r="AX62">
        <v>9.1723540000000006E-2</v>
      </c>
      <c r="AY62">
        <v>1.126893E-2</v>
      </c>
      <c r="AZ62">
        <v>1.033187E-2</v>
      </c>
      <c r="BA62">
        <v>1.0906239999999999E-2</v>
      </c>
      <c r="BB62">
        <v>4.510285E-2</v>
      </c>
      <c r="BC62">
        <v>2.4707100000000001E-3</v>
      </c>
      <c r="BD62">
        <v>5.0111870000000003E-2</v>
      </c>
      <c r="BE62">
        <v>6.1325030000000003E-2</v>
      </c>
      <c r="BF62">
        <v>0.11129625999999999</v>
      </c>
      <c r="BG62">
        <v>5.3526049999999999E-2</v>
      </c>
      <c r="BH62">
        <v>1.6872060000000001E-2</v>
      </c>
      <c r="BI62">
        <v>7.3572970000000001E-2</v>
      </c>
      <c r="BJ62">
        <v>0.10301666</v>
      </c>
      <c r="BK62">
        <v>0.14557479000000001</v>
      </c>
      <c r="BL62">
        <v>7.1013930000000003E-2</v>
      </c>
      <c r="BM62">
        <v>1.4680149999999999E-2</v>
      </c>
      <c r="BN62">
        <v>492</v>
      </c>
      <c r="BO62">
        <v>287.5745561</v>
      </c>
      <c r="BP62">
        <v>190</v>
      </c>
    </row>
    <row r="63" spans="1:68" x14ac:dyDescent="0.2">
      <c r="A63" t="s">
        <v>628</v>
      </c>
      <c r="B63">
        <v>243</v>
      </c>
      <c r="C63">
        <v>820</v>
      </c>
      <c r="D63">
        <v>2099</v>
      </c>
      <c r="E63">
        <v>1954</v>
      </c>
      <c r="F63">
        <v>1134</v>
      </c>
      <c r="G63">
        <v>1204</v>
      </c>
      <c r="H63">
        <v>593</v>
      </c>
      <c r="I63">
        <v>929</v>
      </c>
      <c r="J63">
        <v>1027</v>
      </c>
      <c r="K63">
        <v>443</v>
      </c>
      <c r="L63">
        <v>1166</v>
      </c>
      <c r="M63">
        <v>1270</v>
      </c>
      <c r="N63">
        <v>2745</v>
      </c>
      <c r="O63">
        <v>1780</v>
      </c>
      <c r="P63">
        <v>663</v>
      </c>
      <c r="Q63">
        <v>156</v>
      </c>
      <c r="R63">
        <v>1106</v>
      </c>
      <c r="S63">
        <v>3649</v>
      </c>
      <c r="T63">
        <v>2500</v>
      </c>
      <c r="U63">
        <v>664</v>
      </c>
      <c r="V63">
        <v>276.53175119999997</v>
      </c>
      <c r="W63">
        <v>270.70961790000001</v>
      </c>
      <c r="X63">
        <v>197.18997110000001</v>
      </c>
      <c r="Y63">
        <v>150.13586179999999</v>
      </c>
      <c r="Z63">
        <v>118.81720850000001</v>
      </c>
      <c r="AA63">
        <v>65</v>
      </c>
      <c r="AB63">
        <v>311.1632348</v>
      </c>
      <c r="AC63">
        <v>289.24752690000003</v>
      </c>
      <c r="AD63">
        <v>215.5410665</v>
      </c>
      <c r="AE63">
        <v>145.85093979999999</v>
      </c>
      <c r="AF63">
        <v>116.0862729</v>
      </c>
      <c r="AG63">
        <v>55</v>
      </c>
      <c r="AH63">
        <v>286.24291319999998</v>
      </c>
      <c r="AI63">
        <v>228.57077770000001</v>
      </c>
      <c r="AJ63">
        <v>197.9371204</v>
      </c>
      <c r="AK63">
        <v>158.10073740000001</v>
      </c>
      <c r="AL63">
        <v>112.9826599</v>
      </c>
      <c r="AM63">
        <v>55</v>
      </c>
      <c r="AN63">
        <v>282.73304230000002</v>
      </c>
      <c r="AO63">
        <v>189.49583770000001</v>
      </c>
      <c r="AP63">
        <v>181.5871635</v>
      </c>
      <c r="AQ63">
        <v>148.0595189</v>
      </c>
      <c r="AR63">
        <v>110.04133179999999</v>
      </c>
      <c r="AS63">
        <v>55</v>
      </c>
      <c r="AT63">
        <v>9.3636899999999992E-3</v>
      </c>
      <c r="AU63">
        <v>3.1145140000000002E-2</v>
      </c>
      <c r="AV63">
        <v>8.0955949999999999E-2</v>
      </c>
      <c r="AW63">
        <v>7.5004760000000004E-2</v>
      </c>
      <c r="AX63">
        <v>4.3207629999999997E-2</v>
      </c>
      <c r="AY63">
        <v>4.5451859999999997E-2</v>
      </c>
      <c r="AZ63">
        <v>2.2744210000000001E-2</v>
      </c>
      <c r="BA63">
        <v>3.5562660000000003E-2</v>
      </c>
      <c r="BB63">
        <v>3.9342439999999999E-2</v>
      </c>
      <c r="BC63">
        <v>1.6269970000000002E-2</v>
      </c>
      <c r="BD63">
        <v>4.4949250000000003E-2</v>
      </c>
      <c r="BE63">
        <v>4.8222790000000001E-2</v>
      </c>
      <c r="BF63">
        <v>0.10503314</v>
      </c>
      <c r="BG63">
        <v>6.9050520000000004E-2</v>
      </c>
      <c r="BH63">
        <v>2.3865790000000001E-2</v>
      </c>
      <c r="BI63">
        <v>5.8008199999999999E-3</v>
      </c>
      <c r="BJ63">
        <v>4.1269920000000002E-2</v>
      </c>
      <c r="BK63">
        <v>0.14088485000000001</v>
      </c>
      <c r="BL63">
        <v>9.7934519999999997E-2</v>
      </c>
      <c r="BM63">
        <v>2.3940090000000001E-2</v>
      </c>
      <c r="BN63">
        <v>2649</v>
      </c>
      <c r="BO63">
        <v>245.6300612</v>
      </c>
      <c r="BP63">
        <v>190</v>
      </c>
    </row>
    <row r="64" spans="1:68" x14ac:dyDescent="0.2">
      <c r="A64" t="s">
        <v>629</v>
      </c>
      <c r="B64">
        <v>66</v>
      </c>
      <c r="C64">
        <v>11</v>
      </c>
      <c r="D64">
        <v>654</v>
      </c>
      <c r="E64">
        <v>572</v>
      </c>
      <c r="F64">
        <v>382</v>
      </c>
      <c r="G64">
        <v>547</v>
      </c>
      <c r="H64">
        <v>234</v>
      </c>
      <c r="I64">
        <v>558</v>
      </c>
      <c r="J64">
        <v>465</v>
      </c>
      <c r="K64">
        <v>179</v>
      </c>
      <c r="L64">
        <v>515</v>
      </c>
      <c r="M64">
        <v>732</v>
      </c>
      <c r="N64">
        <v>1104</v>
      </c>
      <c r="O64">
        <v>706</v>
      </c>
      <c r="P64">
        <v>401</v>
      </c>
      <c r="Q64">
        <v>152</v>
      </c>
      <c r="R64">
        <v>478</v>
      </c>
      <c r="S64">
        <v>1865</v>
      </c>
      <c r="T64">
        <v>1128</v>
      </c>
      <c r="U64">
        <v>563</v>
      </c>
      <c r="V64">
        <v>236.20931239999999</v>
      </c>
      <c r="W64">
        <v>166.15964099999999</v>
      </c>
      <c r="X64">
        <v>174.5340368</v>
      </c>
      <c r="Y64">
        <v>106.76460489999999</v>
      </c>
      <c r="Z64">
        <v>105.97020569999999</v>
      </c>
      <c r="AA64">
        <v>65</v>
      </c>
      <c r="AB64">
        <v>305.61325369999997</v>
      </c>
      <c r="AC64">
        <v>278.0470459</v>
      </c>
      <c r="AD64">
        <v>210.14060069999999</v>
      </c>
      <c r="AE64">
        <v>160.8089621</v>
      </c>
      <c r="AF64">
        <v>120.33920120000001</v>
      </c>
      <c r="AG64">
        <v>55</v>
      </c>
      <c r="AH64">
        <v>300.24949950000001</v>
      </c>
      <c r="AI64">
        <v>252.55802069999999</v>
      </c>
      <c r="AJ64">
        <v>203.46809709999999</v>
      </c>
      <c r="AK64">
        <v>162.141786</v>
      </c>
      <c r="AL64">
        <v>115.66395009999999</v>
      </c>
      <c r="AM64">
        <v>55</v>
      </c>
      <c r="AN64">
        <v>306.45251990000003</v>
      </c>
      <c r="AO64">
        <v>221.0199078</v>
      </c>
      <c r="AP64">
        <v>182.8828743</v>
      </c>
      <c r="AQ64">
        <v>148.97054499999999</v>
      </c>
      <c r="AR64">
        <v>110.60626980000001</v>
      </c>
      <c r="AS64">
        <v>55</v>
      </c>
      <c r="AT64">
        <v>5.6598799999999999E-3</v>
      </c>
      <c r="AU64">
        <v>1.0984899999999999E-3</v>
      </c>
      <c r="AV64">
        <v>5.8946070000000003E-2</v>
      </c>
      <c r="AW64">
        <v>4.7549969999999997E-2</v>
      </c>
      <c r="AX64">
        <v>3.4496079999999998E-2</v>
      </c>
      <c r="AY64">
        <v>4.8745089999999998E-2</v>
      </c>
      <c r="AZ64">
        <v>1.9839300000000001E-2</v>
      </c>
      <c r="BA64">
        <v>5.0758959999999999E-2</v>
      </c>
      <c r="BB64">
        <v>4.2680799999999998E-2</v>
      </c>
      <c r="BC64">
        <v>1.6404189999999999E-2</v>
      </c>
      <c r="BD64">
        <v>4.6515979999999998E-2</v>
      </c>
      <c r="BE64">
        <v>6.4341419999999996E-2</v>
      </c>
      <c r="BF64">
        <v>9.9686200000000003E-2</v>
      </c>
      <c r="BG64">
        <v>6.1317240000000002E-2</v>
      </c>
      <c r="BH64">
        <v>3.4603839999999997E-2</v>
      </c>
      <c r="BI64">
        <v>1.370712E-2</v>
      </c>
      <c r="BJ64">
        <v>4.3220500000000002E-2</v>
      </c>
      <c r="BK64">
        <v>0.16804109</v>
      </c>
      <c r="BL64">
        <v>9.2514479999999996E-2</v>
      </c>
      <c r="BM64">
        <v>4.9873300000000002E-2</v>
      </c>
      <c r="BN64">
        <v>1165</v>
      </c>
      <c r="BO64">
        <v>259.88335169999999</v>
      </c>
      <c r="BP64">
        <v>190</v>
      </c>
    </row>
    <row r="65" spans="1:68" x14ac:dyDescent="0.2">
      <c r="A65" t="s">
        <v>630</v>
      </c>
      <c r="B65">
        <v>3381</v>
      </c>
      <c r="C65">
        <v>5556</v>
      </c>
      <c r="D65">
        <v>8578</v>
      </c>
      <c r="E65">
        <v>4392</v>
      </c>
      <c r="F65">
        <v>2064</v>
      </c>
      <c r="G65">
        <v>463</v>
      </c>
      <c r="H65">
        <v>145</v>
      </c>
      <c r="I65">
        <v>160</v>
      </c>
      <c r="J65">
        <v>359</v>
      </c>
      <c r="K65">
        <v>375</v>
      </c>
      <c r="L65">
        <v>2213</v>
      </c>
      <c r="M65">
        <v>1462</v>
      </c>
      <c r="N65">
        <v>2621</v>
      </c>
      <c r="O65">
        <v>1908</v>
      </c>
      <c r="P65">
        <v>697</v>
      </c>
      <c r="Q65">
        <v>6233</v>
      </c>
      <c r="R65">
        <v>2275</v>
      </c>
      <c r="S65">
        <v>6448</v>
      </c>
      <c r="T65">
        <v>4962</v>
      </c>
      <c r="U65">
        <v>1178</v>
      </c>
      <c r="V65">
        <v>251.0599838</v>
      </c>
      <c r="W65">
        <v>234.0629673</v>
      </c>
      <c r="X65">
        <v>176.72520950000001</v>
      </c>
      <c r="Y65">
        <v>141.7660918</v>
      </c>
      <c r="Z65">
        <v>114.1619158</v>
      </c>
      <c r="AA65">
        <v>65</v>
      </c>
      <c r="AB65">
        <v>317.92893850000002</v>
      </c>
      <c r="AC65">
        <v>277.93047719999998</v>
      </c>
      <c r="AD65">
        <v>225.8015053</v>
      </c>
      <c r="AE65">
        <v>166.45725279999999</v>
      </c>
      <c r="AF65">
        <v>116.6449708</v>
      </c>
      <c r="AG65">
        <v>55</v>
      </c>
      <c r="AH65">
        <v>303.40009379999998</v>
      </c>
      <c r="AI65">
        <v>249.36072870000001</v>
      </c>
      <c r="AJ65">
        <v>209.95814440000001</v>
      </c>
      <c r="AK65">
        <v>162.49637039999999</v>
      </c>
      <c r="AL65">
        <v>117.11787889999999</v>
      </c>
      <c r="AM65">
        <v>55</v>
      </c>
      <c r="AN65">
        <v>285.5902165</v>
      </c>
      <c r="AO65">
        <v>228.65842889999999</v>
      </c>
      <c r="AP65">
        <v>194.23254159999999</v>
      </c>
      <c r="AQ65">
        <v>158.66521109999999</v>
      </c>
      <c r="AR65">
        <v>117.5274154</v>
      </c>
      <c r="AS65">
        <v>55</v>
      </c>
      <c r="AT65">
        <v>6.1568030000000003E-2</v>
      </c>
      <c r="AU65">
        <v>9.7245200000000004E-2</v>
      </c>
      <c r="AV65">
        <v>0.15400183000000001</v>
      </c>
      <c r="AW65">
        <v>7.8013449999999998E-2</v>
      </c>
      <c r="AX65">
        <v>3.5559849999999997E-2</v>
      </c>
      <c r="AY65">
        <v>8.5829900000000004E-3</v>
      </c>
      <c r="AZ65">
        <v>2.56851E-3</v>
      </c>
      <c r="BA65">
        <v>2.8262500000000002E-3</v>
      </c>
      <c r="BB65">
        <v>6.7738700000000004E-3</v>
      </c>
      <c r="BC65">
        <v>6.1786000000000002E-3</v>
      </c>
      <c r="BD65">
        <v>4.0529229999999999E-2</v>
      </c>
      <c r="BE65">
        <v>2.593517E-2</v>
      </c>
      <c r="BF65">
        <v>4.832902E-2</v>
      </c>
      <c r="BG65">
        <v>3.4920949999999999E-2</v>
      </c>
      <c r="BH65">
        <v>1.162637E-2</v>
      </c>
      <c r="BI65">
        <v>0.11712612</v>
      </c>
      <c r="BJ65">
        <v>4.0796260000000001E-2</v>
      </c>
      <c r="BK65">
        <v>0.11718501000000001</v>
      </c>
      <c r="BL65">
        <v>9.0141659999999998E-2</v>
      </c>
      <c r="BM65">
        <v>2.0091629999999999E-2</v>
      </c>
      <c r="BN65">
        <v>7262</v>
      </c>
      <c r="BO65">
        <v>257.66100449999999</v>
      </c>
      <c r="BP65">
        <v>190</v>
      </c>
    </row>
    <row r="66" spans="1:68" x14ac:dyDescent="0.2">
      <c r="A66" t="s">
        <v>631</v>
      </c>
      <c r="B66">
        <v>98</v>
      </c>
      <c r="C66">
        <v>4</v>
      </c>
      <c r="D66">
        <v>176</v>
      </c>
      <c r="E66">
        <v>370</v>
      </c>
      <c r="F66">
        <v>263</v>
      </c>
      <c r="G66">
        <v>1066</v>
      </c>
      <c r="H66">
        <v>309</v>
      </c>
      <c r="I66">
        <v>607</v>
      </c>
      <c r="J66">
        <v>714</v>
      </c>
      <c r="K66">
        <v>262</v>
      </c>
      <c r="L66">
        <v>192</v>
      </c>
      <c r="M66">
        <v>265</v>
      </c>
      <c r="N66">
        <v>830</v>
      </c>
      <c r="O66">
        <v>566</v>
      </c>
      <c r="P66">
        <v>428</v>
      </c>
      <c r="Q66">
        <v>11</v>
      </c>
      <c r="R66">
        <v>82</v>
      </c>
      <c r="S66">
        <v>1165</v>
      </c>
      <c r="T66">
        <v>596</v>
      </c>
      <c r="U66">
        <v>358</v>
      </c>
      <c r="V66">
        <v>217.8324351</v>
      </c>
      <c r="W66">
        <v>231.70265309999999</v>
      </c>
      <c r="X66">
        <v>185.36915830000001</v>
      </c>
      <c r="Y66">
        <v>126.8172675</v>
      </c>
      <c r="Z66">
        <v>104.582095</v>
      </c>
      <c r="AA66">
        <v>65</v>
      </c>
      <c r="AB66">
        <v>296.07756599999999</v>
      </c>
      <c r="AC66">
        <v>264.58724389999998</v>
      </c>
      <c r="AD66">
        <v>212.8079659</v>
      </c>
      <c r="AE66">
        <v>145.0119182</v>
      </c>
      <c r="AF66">
        <v>115.8027659</v>
      </c>
      <c r="AG66">
        <v>55</v>
      </c>
      <c r="AH66">
        <v>287.47048460000002</v>
      </c>
      <c r="AI66">
        <v>244.74777889999999</v>
      </c>
      <c r="AJ66">
        <v>208.10336380000001</v>
      </c>
      <c r="AK66">
        <v>150.76974150000001</v>
      </c>
      <c r="AL66">
        <v>115.3711553</v>
      </c>
      <c r="AM66">
        <v>55</v>
      </c>
      <c r="AN66">
        <v>284.29844900000001</v>
      </c>
      <c r="AO66">
        <v>220.83193739999999</v>
      </c>
      <c r="AP66">
        <v>191.3478977</v>
      </c>
      <c r="AQ66">
        <v>141.70825049999999</v>
      </c>
      <c r="AR66">
        <v>113.5793905</v>
      </c>
      <c r="AS66">
        <v>55</v>
      </c>
      <c r="AT66">
        <v>1.1907879999999999E-2</v>
      </c>
      <c r="AU66">
        <v>2.3034999999999999E-4</v>
      </c>
      <c r="AV66">
        <v>2.0561659999999999E-2</v>
      </c>
      <c r="AW66">
        <v>4.302578E-2</v>
      </c>
      <c r="AX66">
        <v>2.8305500000000001E-2</v>
      </c>
      <c r="AY66">
        <v>0.13708166999999999</v>
      </c>
      <c r="AZ66">
        <v>3.6351130000000002E-2</v>
      </c>
      <c r="BA66">
        <v>7.4966779999999997E-2</v>
      </c>
      <c r="BB66">
        <v>9.1267409999999993E-2</v>
      </c>
      <c r="BC66">
        <v>3.047271E-2</v>
      </c>
      <c r="BD66">
        <v>2.5265699999999999E-2</v>
      </c>
      <c r="BE66">
        <v>2.9433669999999999E-2</v>
      </c>
      <c r="BF66">
        <v>9.267541E-2</v>
      </c>
      <c r="BG66">
        <v>7.0768990000000004E-2</v>
      </c>
      <c r="BH66">
        <v>4.7449329999999998E-2</v>
      </c>
      <c r="BI66">
        <v>1.3215E-3</v>
      </c>
      <c r="BJ66">
        <v>7.91882E-3</v>
      </c>
      <c r="BK66">
        <v>0.13129599</v>
      </c>
      <c r="BL66">
        <v>7.9721940000000005E-2</v>
      </c>
      <c r="BM66">
        <v>3.9977779999999997E-2</v>
      </c>
      <c r="BN66">
        <v>653</v>
      </c>
      <c r="BO66">
        <v>264.60229880000003</v>
      </c>
      <c r="BP66">
        <v>190</v>
      </c>
    </row>
    <row r="67" spans="1:68" x14ac:dyDescent="0.2">
      <c r="A67" t="s">
        <v>632</v>
      </c>
      <c r="B67">
        <v>97</v>
      </c>
      <c r="C67">
        <v>73</v>
      </c>
      <c r="D67">
        <v>193</v>
      </c>
      <c r="E67">
        <v>645</v>
      </c>
      <c r="F67">
        <v>422</v>
      </c>
      <c r="G67">
        <v>806</v>
      </c>
      <c r="H67">
        <v>502</v>
      </c>
      <c r="I67">
        <v>836</v>
      </c>
      <c r="J67">
        <v>741</v>
      </c>
      <c r="K67">
        <v>256</v>
      </c>
      <c r="L67">
        <v>513</v>
      </c>
      <c r="M67">
        <v>845</v>
      </c>
      <c r="N67">
        <v>1571</v>
      </c>
      <c r="O67">
        <v>676</v>
      </c>
      <c r="P67">
        <v>240</v>
      </c>
      <c r="Q67">
        <v>131</v>
      </c>
      <c r="R67">
        <v>440</v>
      </c>
      <c r="S67">
        <v>1790</v>
      </c>
      <c r="T67">
        <v>656</v>
      </c>
      <c r="U67">
        <v>342</v>
      </c>
      <c r="V67">
        <v>293.56676110000001</v>
      </c>
      <c r="W67">
        <v>241.60736470000001</v>
      </c>
      <c r="X67">
        <v>159.16477219999999</v>
      </c>
      <c r="Y67">
        <v>139.47881459999999</v>
      </c>
      <c r="Z67">
        <v>112.2070291</v>
      </c>
      <c r="AA67">
        <v>65</v>
      </c>
      <c r="AB67">
        <v>301.93379110000001</v>
      </c>
      <c r="AC67">
        <v>282.58102459999998</v>
      </c>
      <c r="AD67">
        <v>222.1587992</v>
      </c>
      <c r="AE67">
        <v>158.14553699999999</v>
      </c>
      <c r="AF67">
        <v>119.15487899999999</v>
      </c>
      <c r="AG67">
        <v>55</v>
      </c>
      <c r="AH67">
        <v>300.15622000000002</v>
      </c>
      <c r="AI67">
        <v>279.21404269999999</v>
      </c>
      <c r="AJ67">
        <v>205.3435728</v>
      </c>
      <c r="AK67">
        <v>171.05397500000001</v>
      </c>
      <c r="AL67">
        <v>119.1205866</v>
      </c>
      <c r="AM67">
        <v>55</v>
      </c>
      <c r="AN67">
        <v>291.38452080000002</v>
      </c>
      <c r="AO67">
        <v>249.8045056</v>
      </c>
      <c r="AP67">
        <v>186.36020730000001</v>
      </c>
      <c r="AQ67">
        <v>158.23352439999999</v>
      </c>
      <c r="AR67">
        <v>114.7566788</v>
      </c>
      <c r="AS67">
        <v>55</v>
      </c>
      <c r="AT67">
        <v>8.33798E-3</v>
      </c>
      <c r="AU67">
        <v>5.7161499999999997E-3</v>
      </c>
      <c r="AV67">
        <v>1.439062E-2</v>
      </c>
      <c r="AW67">
        <v>5.1077600000000001E-2</v>
      </c>
      <c r="AX67">
        <v>3.5366920000000003E-2</v>
      </c>
      <c r="AY67">
        <v>7.0832839999999994E-2</v>
      </c>
      <c r="AZ67">
        <v>4.3841819999999997E-2</v>
      </c>
      <c r="BA67">
        <v>7.3940790000000006E-2</v>
      </c>
      <c r="BB67">
        <v>6.577972E-2</v>
      </c>
      <c r="BC67">
        <v>2.15739E-2</v>
      </c>
      <c r="BD67">
        <v>4.0578219999999998E-2</v>
      </c>
      <c r="BE67">
        <v>7.1362889999999998E-2</v>
      </c>
      <c r="BF67">
        <v>0.13384248000000001</v>
      </c>
      <c r="BG67">
        <v>5.7819160000000001E-2</v>
      </c>
      <c r="BH67">
        <v>2.0312819999999999E-2</v>
      </c>
      <c r="BI67">
        <v>1.024105E-2</v>
      </c>
      <c r="BJ67">
        <v>3.7661529999999999E-2</v>
      </c>
      <c r="BK67">
        <v>0.15065303999999999</v>
      </c>
      <c r="BL67">
        <v>5.7830729999999997E-2</v>
      </c>
      <c r="BM67">
        <v>2.8839739999999999E-2</v>
      </c>
      <c r="BN67">
        <v>1119</v>
      </c>
      <c r="BO67">
        <v>267.2505074</v>
      </c>
      <c r="BP67">
        <v>190</v>
      </c>
    </row>
    <row r="68" spans="1:68" x14ac:dyDescent="0.2">
      <c r="A68" t="s">
        <v>633</v>
      </c>
      <c r="B68">
        <v>0</v>
      </c>
      <c r="C68">
        <v>43</v>
      </c>
      <c r="D68">
        <v>308</v>
      </c>
      <c r="E68">
        <v>857</v>
      </c>
      <c r="F68">
        <v>995</v>
      </c>
      <c r="G68">
        <v>0</v>
      </c>
      <c r="H68">
        <v>220</v>
      </c>
      <c r="I68">
        <v>933</v>
      </c>
      <c r="J68">
        <v>1970</v>
      </c>
      <c r="K68">
        <v>653</v>
      </c>
      <c r="L68">
        <v>0</v>
      </c>
      <c r="M68">
        <v>265</v>
      </c>
      <c r="N68">
        <v>1520</v>
      </c>
      <c r="O68">
        <v>2084</v>
      </c>
      <c r="P68">
        <v>810</v>
      </c>
      <c r="Q68">
        <v>0</v>
      </c>
      <c r="R68">
        <v>527</v>
      </c>
      <c r="S68">
        <v>2971</v>
      </c>
      <c r="T68">
        <v>2281</v>
      </c>
      <c r="U68">
        <v>958</v>
      </c>
      <c r="V68">
        <v>0</v>
      </c>
      <c r="W68">
        <v>180.95542449999999</v>
      </c>
      <c r="X68">
        <v>199.88248400000001</v>
      </c>
      <c r="Y68">
        <v>174.7551168</v>
      </c>
      <c r="Z68">
        <v>126.5643213</v>
      </c>
      <c r="AA68">
        <v>65</v>
      </c>
      <c r="AB68">
        <v>0</v>
      </c>
      <c r="AC68">
        <v>283.88383820000001</v>
      </c>
      <c r="AD68">
        <v>215.5372745</v>
      </c>
      <c r="AE68">
        <v>153.95264230000001</v>
      </c>
      <c r="AF68">
        <v>116.89965789999999</v>
      </c>
      <c r="AG68">
        <v>55</v>
      </c>
      <c r="AH68">
        <v>0</v>
      </c>
      <c r="AI68">
        <v>201.17202520000001</v>
      </c>
      <c r="AJ68">
        <v>206.0893203</v>
      </c>
      <c r="AK68">
        <v>162.88558219999999</v>
      </c>
      <c r="AL68">
        <v>115.12615599999999</v>
      </c>
      <c r="AM68">
        <v>55</v>
      </c>
      <c r="AN68">
        <v>0</v>
      </c>
      <c r="AO68">
        <v>187.17492720000001</v>
      </c>
      <c r="AP68">
        <v>195.459442</v>
      </c>
      <c r="AQ68">
        <v>158.40071760000001</v>
      </c>
      <c r="AR68">
        <v>112.84150529999999</v>
      </c>
      <c r="AS68">
        <v>55</v>
      </c>
      <c r="AT68">
        <v>0</v>
      </c>
      <c r="AU68">
        <v>3.30336E-3</v>
      </c>
      <c r="AV68">
        <v>1.733784E-2</v>
      </c>
      <c r="AW68">
        <v>4.6279340000000002E-2</v>
      </c>
      <c r="AX68">
        <v>5.9143689999999999E-2</v>
      </c>
      <c r="AY68">
        <v>0</v>
      </c>
      <c r="AZ68">
        <v>1.185927E-2</v>
      </c>
      <c r="BA68">
        <v>5.0001200000000003E-2</v>
      </c>
      <c r="BB68">
        <v>0.10930260999999999</v>
      </c>
      <c r="BC68">
        <v>4.2145429999999998E-2</v>
      </c>
      <c r="BD68">
        <v>0</v>
      </c>
      <c r="BE68">
        <v>1.520591E-2</v>
      </c>
      <c r="BF68">
        <v>8.6031750000000004E-2</v>
      </c>
      <c r="BG68">
        <v>0.11608543</v>
      </c>
      <c r="BH68">
        <v>5.4414589999999999E-2</v>
      </c>
      <c r="BI68">
        <v>0</v>
      </c>
      <c r="BJ68">
        <v>3.1614000000000003E-2</v>
      </c>
      <c r="BK68">
        <v>0.16699581999999999</v>
      </c>
      <c r="BL68">
        <v>0.12843898000000001</v>
      </c>
      <c r="BM68">
        <v>6.1840779999999998E-2</v>
      </c>
      <c r="BN68">
        <v>2093</v>
      </c>
      <c r="BO68">
        <v>233.9734661</v>
      </c>
      <c r="BP68">
        <v>190</v>
      </c>
    </row>
    <row r="69" spans="1:68" x14ac:dyDescent="0.2">
      <c r="A69" t="s">
        <v>634</v>
      </c>
      <c r="B69">
        <v>180</v>
      </c>
      <c r="C69">
        <v>12</v>
      </c>
      <c r="D69">
        <v>306</v>
      </c>
      <c r="E69">
        <v>286</v>
      </c>
      <c r="F69">
        <v>620</v>
      </c>
      <c r="G69">
        <v>499</v>
      </c>
      <c r="H69">
        <v>201</v>
      </c>
      <c r="I69">
        <v>384</v>
      </c>
      <c r="J69">
        <v>463</v>
      </c>
      <c r="K69">
        <v>232</v>
      </c>
      <c r="L69">
        <v>148</v>
      </c>
      <c r="M69">
        <v>472</v>
      </c>
      <c r="N69">
        <v>949</v>
      </c>
      <c r="O69">
        <v>894</v>
      </c>
      <c r="P69">
        <v>256</v>
      </c>
      <c r="Q69">
        <v>21</v>
      </c>
      <c r="R69">
        <v>259</v>
      </c>
      <c r="S69">
        <v>985</v>
      </c>
      <c r="T69">
        <v>638</v>
      </c>
      <c r="U69">
        <v>317</v>
      </c>
      <c r="V69">
        <v>252.27419219999999</v>
      </c>
      <c r="W69">
        <v>0</v>
      </c>
      <c r="X69">
        <v>230.79910290000001</v>
      </c>
      <c r="Y69">
        <v>114.65519</v>
      </c>
      <c r="Z69">
        <v>118.0881681</v>
      </c>
      <c r="AA69">
        <v>65</v>
      </c>
      <c r="AB69">
        <v>302.91546820000002</v>
      </c>
      <c r="AC69">
        <v>300.75959280000001</v>
      </c>
      <c r="AD69">
        <v>217.04284709999999</v>
      </c>
      <c r="AE69">
        <v>152.60599239999999</v>
      </c>
      <c r="AF69">
        <v>116.93228910000001</v>
      </c>
      <c r="AG69">
        <v>55</v>
      </c>
      <c r="AH69">
        <v>288.81207519999998</v>
      </c>
      <c r="AI69">
        <v>233.74710350000001</v>
      </c>
      <c r="AJ69">
        <v>192.83789909999999</v>
      </c>
      <c r="AK69">
        <v>157.03852029999999</v>
      </c>
      <c r="AL69">
        <v>119.40642889999999</v>
      </c>
      <c r="AM69">
        <v>55</v>
      </c>
      <c r="AN69">
        <v>312.84118369999999</v>
      </c>
      <c r="AO69">
        <v>193.72623569999999</v>
      </c>
      <c r="AP69">
        <v>179.23952869999999</v>
      </c>
      <c r="AQ69">
        <v>153.9441167</v>
      </c>
      <c r="AR69">
        <v>113.7869413</v>
      </c>
      <c r="AS69">
        <v>55</v>
      </c>
      <c r="AT69">
        <v>2.3438460000000001E-2</v>
      </c>
      <c r="AU69">
        <v>1.50706E-3</v>
      </c>
      <c r="AV69">
        <v>3.9028979999999998E-2</v>
      </c>
      <c r="AW69">
        <v>3.8850389999999999E-2</v>
      </c>
      <c r="AX69">
        <v>7.2678950000000006E-2</v>
      </c>
      <c r="AY69">
        <v>6.0651139999999999E-2</v>
      </c>
      <c r="AZ69">
        <v>2.353535E-2</v>
      </c>
      <c r="BA69">
        <v>4.7548069999999998E-2</v>
      </c>
      <c r="BB69">
        <v>5.5480399999999999E-2</v>
      </c>
      <c r="BC69">
        <v>2.441683E-2</v>
      </c>
      <c r="BD69">
        <v>1.80314E-2</v>
      </c>
      <c r="BE69">
        <v>5.9194709999999998E-2</v>
      </c>
      <c r="BF69">
        <v>0.11930636</v>
      </c>
      <c r="BG69">
        <v>0.11514236</v>
      </c>
      <c r="BH69">
        <v>2.7628449999999999E-2</v>
      </c>
      <c r="BI69">
        <v>2.3655899999999999E-3</v>
      </c>
      <c r="BJ69">
        <v>3.1734720000000001E-2</v>
      </c>
      <c r="BK69">
        <v>0.12131814</v>
      </c>
      <c r="BL69">
        <v>8.3952529999999997E-2</v>
      </c>
      <c r="BM69">
        <v>3.4190110000000003E-2</v>
      </c>
      <c r="BN69">
        <v>542</v>
      </c>
      <c r="BO69">
        <v>271.84061320000001</v>
      </c>
      <c r="BP69">
        <v>190</v>
      </c>
    </row>
    <row r="70" spans="1:68" x14ac:dyDescent="0.2">
      <c r="A70" t="s">
        <v>635</v>
      </c>
      <c r="B70">
        <v>36</v>
      </c>
      <c r="C70">
        <v>8</v>
      </c>
      <c r="D70">
        <v>206</v>
      </c>
      <c r="E70">
        <v>921</v>
      </c>
      <c r="F70">
        <v>258</v>
      </c>
      <c r="G70">
        <v>234</v>
      </c>
      <c r="H70">
        <v>209</v>
      </c>
      <c r="I70">
        <v>249</v>
      </c>
      <c r="J70">
        <v>580</v>
      </c>
      <c r="K70">
        <v>154</v>
      </c>
      <c r="L70">
        <v>55</v>
      </c>
      <c r="M70">
        <v>203</v>
      </c>
      <c r="N70">
        <v>860</v>
      </c>
      <c r="O70">
        <v>1704</v>
      </c>
      <c r="P70">
        <v>325</v>
      </c>
      <c r="Q70">
        <v>2</v>
      </c>
      <c r="R70">
        <v>101</v>
      </c>
      <c r="S70">
        <v>1466</v>
      </c>
      <c r="T70">
        <v>2837</v>
      </c>
      <c r="U70">
        <v>329</v>
      </c>
      <c r="V70">
        <v>199.8701336</v>
      </c>
      <c r="W70">
        <v>249.68085110000001</v>
      </c>
      <c r="X70">
        <v>173.5039755</v>
      </c>
      <c r="Y70">
        <v>155.28716900000001</v>
      </c>
      <c r="Z70">
        <v>118.78069910000001</v>
      </c>
      <c r="AA70">
        <v>65</v>
      </c>
      <c r="AB70">
        <v>288.24161190000001</v>
      </c>
      <c r="AC70">
        <v>285.06106460000001</v>
      </c>
      <c r="AD70">
        <v>217.15049690000001</v>
      </c>
      <c r="AE70">
        <v>138.91601739999999</v>
      </c>
      <c r="AF70">
        <v>116.96505260000001</v>
      </c>
      <c r="AG70">
        <v>55</v>
      </c>
      <c r="AH70">
        <v>321.87457860000001</v>
      </c>
      <c r="AI70">
        <v>223.79886809999999</v>
      </c>
      <c r="AJ70">
        <v>205.63744879999999</v>
      </c>
      <c r="AK70">
        <v>155.70584590000001</v>
      </c>
      <c r="AL70">
        <v>120.4987108</v>
      </c>
      <c r="AM70">
        <v>55</v>
      </c>
      <c r="AN70">
        <v>235.81018689999999</v>
      </c>
      <c r="AO70">
        <v>263.24821309999999</v>
      </c>
      <c r="AP70">
        <v>200.8055923</v>
      </c>
      <c r="AQ70">
        <v>152.57365379999999</v>
      </c>
      <c r="AR70">
        <v>122.3683399</v>
      </c>
      <c r="AS70">
        <v>55</v>
      </c>
      <c r="AT70">
        <v>3.7734299999999999E-3</v>
      </c>
      <c r="AU70">
        <v>8.2249999999999999E-4</v>
      </c>
      <c r="AV70">
        <v>2.174038E-2</v>
      </c>
      <c r="AW70">
        <v>8.1079010000000007E-2</v>
      </c>
      <c r="AX70">
        <v>2.8107819999999999E-2</v>
      </c>
      <c r="AY70">
        <v>2.166945E-2</v>
      </c>
      <c r="AZ70">
        <v>1.9089519999999999E-2</v>
      </c>
      <c r="BA70">
        <v>2.298217E-2</v>
      </c>
      <c r="BB70">
        <v>5.7213720000000003E-2</v>
      </c>
      <c r="BC70">
        <v>1.489175E-2</v>
      </c>
      <c r="BD70">
        <v>4.72471E-3</v>
      </c>
      <c r="BE70">
        <v>1.829368E-2</v>
      </c>
      <c r="BF70">
        <v>8.0997009999999994E-2</v>
      </c>
      <c r="BG70">
        <v>0.15335552</v>
      </c>
      <c r="BH70">
        <v>3.2469329999999998E-2</v>
      </c>
      <c r="BI70">
        <v>2.9378999999999999E-4</v>
      </c>
      <c r="BJ70">
        <v>9.6332999999999992E-3</v>
      </c>
      <c r="BK70">
        <v>0.13888759000000001</v>
      </c>
      <c r="BL70">
        <v>0.25636581000000003</v>
      </c>
      <c r="BM70">
        <v>3.3609510000000002E-2</v>
      </c>
      <c r="BN70">
        <v>680</v>
      </c>
      <c r="BO70">
        <v>216.83263719999999</v>
      </c>
      <c r="BP70">
        <v>190</v>
      </c>
    </row>
    <row r="71" spans="1:68" x14ac:dyDescent="0.2">
      <c r="A71" t="s">
        <v>636</v>
      </c>
      <c r="B71">
        <v>87</v>
      </c>
      <c r="C71">
        <v>4</v>
      </c>
      <c r="D71">
        <v>543</v>
      </c>
      <c r="E71">
        <v>686</v>
      </c>
      <c r="F71">
        <v>485</v>
      </c>
      <c r="G71">
        <v>517</v>
      </c>
      <c r="H71">
        <v>148</v>
      </c>
      <c r="I71">
        <v>325</v>
      </c>
      <c r="J71">
        <v>394</v>
      </c>
      <c r="K71">
        <v>194</v>
      </c>
      <c r="L71">
        <v>542</v>
      </c>
      <c r="M71">
        <v>580</v>
      </c>
      <c r="N71">
        <v>1601</v>
      </c>
      <c r="O71">
        <v>976</v>
      </c>
      <c r="P71">
        <v>369</v>
      </c>
      <c r="Q71">
        <v>652</v>
      </c>
      <c r="R71">
        <v>1159</v>
      </c>
      <c r="S71">
        <v>3137</v>
      </c>
      <c r="T71">
        <v>2136</v>
      </c>
      <c r="U71">
        <v>575</v>
      </c>
      <c r="V71">
        <v>247.2661081</v>
      </c>
      <c r="W71">
        <v>118</v>
      </c>
      <c r="X71">
        <v>164.1501705</v>
      </c>
      <c r="Y71">
        <v>138.6112243</v>
      </c>
      <c r="Z71">
        <v>101.840656</v>
      </c>
      <c r="AA71">
        <v>65</v>
      </c>
      <c r="AB71">
        <v>300.32303949999999</v>
      </c>
      <c r="AC71">
        <v>270.00828139999999</v>
      </c>
      <c r="AD71">
        <v>212.7386411</v>
      </c>
      <c r="AE71">
        <v>146.71154319999999</v>
      </c>
      <c r="AF71">
        <v>117.22521709999999</v>
      </c>
      <c r="AG71">
        <v>55</v>
      </c>
      <c r="AH71">
        <v>290.32331490000001</v>
      </c>
      <c r="AI71">
        <v>236.7203403</v>
      </c>
      <c r="AJ71">
        <v>197.8876166</v>
      </c>
      <c r="AK71">
        <v>166.5441715</v>
      </c>
      <c r="AL71">
        <v>118.9855433</v>
      </c>
      <c r="AM71">
        <v>55</v>
      </c>
      <c r="AN71">
        <v>282.21398240000002</v>
      </c>
      <c r="AO71">
        <v>236.025914</v>
      </c>
      <c r="AP71">
        <v>185.44506670000001</v>
      </c>
      <c r="AQ71">
        <v>156.83184510000001</v>
      </c>
      <c r="AR71">
        <v>113.9684532</v>
      </c>
      <c r="AS71">
        <v>55</v>
      </c>
      <c r="AT71">
        <v>6.1892600000000002E-3</v>
      </c>
      <c r="AU71">
        <v>3.1368999999999999E-4</v>
      </c>
      <c r="AV71">
        <v>3.9706390000000001E-2</v>
      </c>
      <c r="AW71">
        <v>4.2154270000000001E-2</v>
      </c>
      <c r="AX71">
        <v>3.0102190000000001E-2</v>
      </c>
      <c r="AY71">
        <v>3.619675E-2</v>
      </c>
      <c r="AZ71">
        <v>1.084279E-2</v>
      </c>
      <c r="BA71">
        <v>2.4044280000000001E-2</v>
      </c>
      <c r="BB71">
        <v>2.784988E-2</v>
      </c>
      <c r="BC71">
        <v>1.4118800000000001E-2</v>
      </c>
      <c r="BD71">
        <v>3.6563810000000002E-2</v>
      </c>
      <c r="BE71">
        <v>3.7730590000000001E-2</v>
      </c>
      <c r="BF71">
        <v>0.10860282</v>
      </c>
      <c r="BG71">
        <v>6.4331739999999998E-2</v>
      </c>
      <c r="BH71">
        <v>2.4935760000000001E-2</v>
      </c>
      <c r="BI71">
        <v>4.1192890000000003E-2</v>
      </c>
      <c r="BJ71">
        <v>7.1839459999999994E-2</v>
      </c>
      <c r="BK71">
        <v>0.20971185000000001</v>
      </c>
      <c r="BL71">
        <v>0.13704943</v>
      </c>
      <c r="BM71">
        <v>3.6523350000000003E-2</v>
      </c>
      <c r="BN71">
        <v>1646</v>
      </c>
      <c r="BO71">
        <v>245.0964525</v>
      </c>
      <c r="BP71">
        <v>190</v>
      </c>
    </row>
    <row r="72" spans="1:68" x14ac:dyDescent="0.2">
      <c r="A72" t="s">
        <v>637</v>
      </c>
      <c r="B72">
        <v>1044</v>
      </c>
      <c r="C72">
        <v>1866</v>
      </c>
      <c r="D72">
        <v>4736</v>
      </c>
      <c r="E72">
        <v>3924</v>
      </c>
      <c r="F72">
        <v>3453</v>
      </c>
      <c r="G72">
        <v>2620</v>
      </c>
      <c r="H72">
        <v>1561</v>
      </c>
      <c r="I72">
        <v>1882</v>
      </c>
      <c r="J72">
        <v>1695</v>
      </c>
      <c r="K72">
        <v>941</v>
      </c>
      <c r="L72">
        <v>1371</v>
      </c>
      <c r="M72">
        <v>2503</v>
      </c>
      <c r="N72">
        <v>2859</v>
      </c>
      <c r="O72">
        <v>2738</v>
      </c>
      <c r="P72">
        <v>1511</v>
      </c>
      <c r="Q72">
        <v>203</v>
      </c>
      <c r="R72">
        <v>1521</v>
      </c>
      <c r="S72">
        <v>4706</v>
      </c>
      <c r="T72">
        <v>5625</v>
      </c>
      <c r="U72">
        <v>2321</v>
      </c>
      <c r="V72">
        <v>205.3351562</v>
      </c>
      <c r="W72">
        <v>258.55341729999998</v>
      </c>
      <c r="X72">
        <v>200.87543500000001</v>
      </c>
      <c r="Y72">
        <v>168.63960779999999</v>
      </c>
      <c r="Z72">
        <v>121.2210757</v>
      </c>
      <c r="AA72">
        <v>65</v>
      </c>
      <c r="AB72">
        <v>295.31096669999999</v>
      </c>
      <c r="AC72">
        <v>276.28832490000002</v>
      </c>
      <c r="AD72">
        <v>221.47377460000001</v>
      </c>
      <c r="AE72">
        <v>154.79764180000001</v>
      </c>
      <c r="AF72">
        <v>116.0732995</v>
      </c>
      <c r="AG72">
        <v>55</v>
      </c>
      <c r="AH72">
        <v>287.26254590000002</v>
      </c>
      <c r="AI72">
        <v>248.0543303</v>
      </c>
      <c r="AJ72">
        <v>208.53391020000001</v>
      </c>
      <c r="AK72">
        <v>164.7402481</v>
      </c>
      <c r="AL72">
        <v>116.7097109</v>
      </c>
      <c r="AM72">
        <v>55</v>
      </c>
      <c r="AN72">
        <v>234.49937320000001</v>
      </c>
      <c r="AO72">
        <v>239.6213066</v>
      </c>
      <c r="AP72">
        <v>196.3352342</v>
      </c>
      <c r="AQ72">
        <v>167.7936468</v>
      </c>
      <c r="AR72">
        <v>115.7095181</v>
      </c>
      <c r="AS72">
        <v>55</v>
      </c>
      <c r="AT72">
        <v>2.0534299999999998E-2</v>
      </c>
      <c r="AU72">
        <v>3.8924790000000001E-2</v>
      </c>
      <c r="AV72">
        <v>0.10065301</v>
      </c>
      <c r="AW72">
        <v>7.8877580000000003E-2</v>
      </c>
      <c r="AX72">
        <v>6.8265140000000002E-2</v>
      </c>
      <c r="AY72">
        <v>5.4931170000000001E-2</v>
      </c>
      <c r="AZ72">
        <v>3.2081980000000003E-2</v>
      </c>
      <c r="BA72">
        <v>3.7780149999999998E-2</v>
      </c>
      <c r="BB72">
        <v>3.4776580000000001E-2</v>
      </c>
      <c r="BC72">
        <v>1.7932389999999999E-2</v>
      </c>
      <c r="BD72">
        <v>2.984815E-2</v>
      </c>
      <c r="BE72">
        <v>5.3339600000000001E-2</v>
      </c>
      <c r="BF72">
        <v>5.8539550000000003E-2</v>
      </c>
      <c r="BG72">
        <v>5.4944340000000001E-2</v>
      </c>
      <c r="BH72">
        <v>2.8655320000000001E-2</v>
      </c>
      <c r="BI72">
        <v>4.6970199999999997E-3</v>
      </c>
      <c r="BJ72">
        <v>3.3517289999999998E-2</v>
      </c>
      <c r="BK72">
        <v>9.6957699999999994E-2</v>
      </c>
      <c r="BL72">
        <v>0.11063115</v>
      </c>
      <c r="BM72">
        <v>4.4112789999999999E-2</v>
      </c>
      <c r="BN72">
        <v>5856</v>
      </c>
      <c r="BO72">
        <v>230.01679780000001</v>
      </c>
      <c r="BP72">
        <v>190</v>
      </c>
    </row>
    <row r="73" spans="1:68" x14ac:dyDescent="0.2">
      <c r="A73" t="s">
        <v>638</v>
      </c>
      <c r="B73">
        <v>6</v>
      </c>
      <c r="C73">
        <v>0</v>
      </c>
      <c r="D73">
        <v>89</v>
      </c>
      <c r="E73">
        <v>96</v>
      </c>
      <c r="F73">
        <v>225</v>
      </c>
      <c r="G73">
        <v>29</v>
      </c>
      <c r="H73">
        <v>18</v>
      </c>
      <c r="I73">
        <v>95</v>
      </c>
      <c r="J73">
        <v>182</v>
      </c>
      <c r="K73">
        <v>76</v>
      </c>
      <c r="L73">
        <v>36</v>
      </c>
      <c r="M73">
        <v>53</v>
      </c>
      <c r="N73">
        <v>599</v>
      </c>
      <c r="O73">
        <v>414</v>
      </c>
      <c r="P73">
        <v>175</v>
      </c>
      <c r="Q73">
        <v>5</v>
      </c>
      <c r="R73">
        <v>37</v>
      </c>
      <c r="S73">
        <v>1025</v>
      </c>
      <c r="T73">
        <v>645</v>
      </c>
      <c r="U73">
        <v>197</v>
      </c>
      <c r="V73">
        <v>0</v>
      </c>
      <c r="W73">
        <v>0</v>
      </c>
      <c r="X73">
        <v>162.4561258</v>
      </c>
      <c r="Y73">
        <v>160.31195719999999</v>
      </c>
      <c r="Z73">
        <v>122.3098584</v>
      </c>
      <c r="AA73">
        <v>65</v>
      </c>
      <c r="AB73">
        <v>317.09996369999999</v>
      </c>
      <c r="AC73">
        <v>305.1964633</v>
      </c>
      <c r="AD73">
        <v>219.89727060000001</v>
      </c>
      <c r="AE73">
        <v>166.50586680000001</v>
      </c>
      <c r="AF73">
        <v>125.9064357</v>
      </c>
      <c r="AG73">
        <v>55</v>
      </c>
      <c r="AH73">
        <v>242.8501105</v>
      </c>
      <c r="AI73">
        <v>269.37012620000002</v>
      </c>
      <c r="AJ73">
        <v>214.93755390000001</v>
      </c>
      <c r="AK73">
        <v>173.74353199999999</v>
      </c>
      <c r="AL73">
        <v>123.0127064</v>
      </c>
      <c r="AM73">
        <v>55</v>
      </c>
      <c r="AN73">
        <v>370.75</v>
      </c>
      <c r="AO73">
        <v>237.72908580000001</v>
      </c>
      <c r="AP73">
        <v>194.85978180000001</v>
      </c>
      <c r="AQ73">
        <v>165.13633200000001</v>
      </c>
      <c r="AR73">
        <v>118.7095211</v>
      </c>
      <c r="AS73">
        <v>55</v>
      </c>
      <c r="AT73">
        <v>1.6752099999999999E-3</v>
      </c>
      <c r="AU73">
        <v>0</v>
      </c>
      <c r="AV73">
        <v>2.429185E-2</v>
      </c>
      <c r="AW73">
        <v>2.4485779999999999E-2</v>
      </c>
      <c r="AX73">
        <v>5.9047700000000002E-2</v>
      </c>
      <c r="AY73">
        <v>7.9110099999999996E-3</v>
      </c>
      <c r="AZ73">
        <v>4.5146500000000003E-3</v>
      </c>
      <c r="BA73">
        <v>2.2218559999999998E-2</v>
      </c>
      <c r="BB73">
        <v>4.3090450000000002E-2</v>
      </c>
      <c r="BC73">
        <v>1.866719E-2</v>
      </c>
      <c r="BD73">
        <v>8.0775099999999996E-3</v>
      </c>
      <c r="BE73">
        <v>1.107324E-2</v>
      </c>
      <c r="BF73">
        <v>0.15093556</v>
      </c>
      <c r="BG73">
        <v>0.10522448</v>
      </c>
      <c r="BH73">
        <v>4.2099110000000002E-2</v>
      </c>
      <c r="BI73">
        <v>1.3358300000000001E-3</v>
      </c>
      <c r="BJ73">
        <v>7.25649E-3</v>
      </c>
      <c r="BK73">
        <v>0.25599673000000001</v>
      </c>
      <c r="BL73">
        <v>0.16284577</v>
      </c>
      <c r="BM73">
        <v>4.9252879999999999E-2</v>
      </c>
      <c r="BN73">
        <v>310</v>
      </c>
      <c r="BO73">
        <v>186.1547242</v>
      </c>
      <c r="BP73">
        <v>190</v>
      </c>
    </row>
    <row r="74" spans="1:68" x14ac:dyDescent="0.2">
      <c r="A74" t="s">
        <v>639</v>
      </c>
      <c r="B74">
        <v>301</v>
      </c>
      <c r="C74">
        <v>74</v>
      </c>
      <c r="D74">
        <v>124</v>
      </c>
      <c r="E74">
        <v>455</v>
      </c>
      <c r="F74">
        <v>363</v>
      </c>
      <c r="G74">
        <v>370</v>
      </c>
      <c r="H74">
        <v>406</v>
      </c>
      <c r="I74">
        <v>506</v>
      </c>
      <c r="J74">
        <v>360</v>
      </c>
      <c r="K74">
        <v>200</v>
      </c>
      <c r="L74">
        <v>182</v>
      </c>
      <c r="M74">
        <v>768</v>
      </c>
      <c r="N74">
        <v>1159</v>
      </c>
      <c r="O74">
        <v>584</v>
      </c>
      <c r="P74">
        <v>276</v>
      </c>
      <c r="Q74">
        <v>304</v>
      </c>
      <c r="R74">
        <v>522</v>
      </c>
      <c r="S74">
        <v>1479</v>
      </c>
      <c r="T74">
        <v>615</v>
      </c>
      <c r="U74">
        <v>320</v>
      </c>
      <c r="V74">
        <v>299.79048160000002</v>
      </c>
      <c r="W74">
        <v>226.24049600000001</v>
      </c>
      <c r="X74">
        <v>160.60585660000001</v>
      </c>
      <c r="Y74">
        <v>151.43098309999999</v>
      </c>
      <c r="Z74">
        <v>104.74089240000001</v>
      </c>
      <c r="AA74">
        <v>65</v>
      </c>
      <c r="AB74">
        <v>299.07063099999999</v>
      </c>
      <c r="AC74">
        <v>287.88503559999998</v>
      </c>
      <c r="AD74">
        <v>216.1338969</v>
      </c>
      <c r="AE74">
        <v>154.7474234</v>
      </c>
      <c r="AF74">
        <v>117.74321430000001</v>
      </c>
      <c r="AG74">
        <v>55</v>
      </c>
      <c r="AH74">
        <v>294.13334270000001</v>
      </c>
      <c r="AI74">
        <v>234.31930399999999</v>
      </c>
      <c r="AJ74">
        <v>195.19539599999999</v>
      </c>
      <c r="AK74">
        <v>160.69088819999999</v>
      </c>
      <c r="AL74">
        <v>116.084768</v>
      </c>
      <c r="AM74">
        <v>55</v>
      </c>
      <c r="AN74">
        <v>283.37874390000002</v>
      </c>
      <c r="AO74">
        <v>240.39465250000001</v>
      </c>
      <c r="AP74">
        <v>177.75588999999999</v>
      </c>
      <c r="AQ74">
        <v>148.77017420000001</v>
      </c>
      <c r="AR74">
        <v>110.7440637</v>
      </c>
      <c r="AS74">
        <v>55</v>
      </c>
      <c r="AT74">
        <v>3.1559049999999998E-2</v>
      </c>
      <c r="AU74">
        <v>8.0420000000000005E-3</v>
      </c>
      <c r="AV74">
        <v>1.427761E-2</v>
      </c>
      <c r="AW74">
        <v>4.8465630000000003E-2</v>
      </c>
      <c r="AX74">
        <v>3.4391989999999997E-2</v>
      </c>
      <c r="AY74">
        <v>4.1061559999999997E-2</v>
      </c>
      <c r="AZ74">
        <v>4.6627929999999998E-2</v>
      </c>
      <c r="BA74">
        <v>5.2610419999999998E-2</v>
      </c>
      <c r="BB74">
        <v>3.83808E-2</v>
      </c>
      <c r="BC74">
        <v>2.0953039999999999E-2</v>
      </c>
      <c r="BD74">
        <v>2.1903209999999999E-2</v>
      </c>
      <c r="BE74">
        <v>7.9710699999999995E-2</v>
      </c>
      <c r="BF74">
        <v>0.12425364999999999</v>
      </c>
      <c r="BG74">
        <v>6.1659940000000003E-2</v>
      </c>
      <c r="BH74">
        <v>2.7966169999999999E-2</v>
      </c>
      <c r="BI74">
        <v>3.3919970000000001E-2</v>
      </c>
      <c r="BJ74">
        <v>5.3436209999999998E-2</v>
      </c>
      <c r="BK74">
        <v>0.16247671999999999</v>
      </c>
      <c r="BL74">
        <v>6.3718280000000002E-2</v>
      </c>
      <c r="BM74">
        <v>3.4585119999999997E-2</v>
      </c>
      <c r="BN74">
        <v>1361</v>
      </c>
      <c r="BO74">
        <v>256.73584049999999</v>
      </c>
      <c r="BP74">
        <v>190</v>
      </c>
    </row>
    <row r="75" spans="1:68" x14ac:dyDescent="0.2">
      <c r="A75" t="s">
        <v>640</v>
      </c>
      <c r="B75">
        <v>293</v>
      </c>
      <c r="C75">
        <v>165</v>
      </c>
      <c r="D75">
        <v>672</v>
      </c>
      <c r="E75">
        <v>610</v>
      </c>
      <c r="F75">
        <v>478</v>
      </c>
      <c r="G75">
        <v>255</v>
      </c>
      <c r="H75">
        <v>21</v>
      </c>
      <c r="I75">
        <v>86</v>
      </c>
      <c r="J75">
        <v>252</v>
      </c>
      <c r="K75">
        <v>108</v>
      </c>
      <c r="L75">
        <v>874</v>
      </c>
      <c r="M75">
        <v>184</v>
      </c>
      <c r="N75">
        <v>708</v>
      </c>
      <c r="O75">
        <v>395</v>
      </c>
      <c r="P75">
        <v>253</v>
      </c>
      <c r="Q75">
        <v>904</v>
      </c>
      <c r="R75">
        <v>247</v>
      </c>
      <c r="S75">
        <v>1572</v>
      </c>
      <c r="T75">
        <v>524</v>
      </c>
      <c r="U75">
        <v>246</v>
      </c>
      <c r="V75">
        <v>204.0272803</v>
      </c>
      <c r="W75">
        <v>183.74416629999999</v>
      </c>
      <c r="X75">
        <v>191.50311859999999</v>
      </c>
      <c r="Y75">
        <v>135.84532139999999</v>
      </c>
      <c r="Z75">
        <v>130.2062511</v>
      </c>
      <c r="AA75">
        <v>65</v>
      </c>
      <c r="AB75">
        <v>312.71454199999999</v>
      </c>
      <c r="AC75">
        <v>202.79922339999999</v>
      </c>
      <c r="AD75">
        <v>221.09878209999999</v>
      </c>
      <c r="AE75">
        <v>151.33384509999999</v>
      </c>
      <c r="AF75">
        <v>116.3928489</v>
      </c>
      <c r="AG75">
        <v>55</v>
      </c>
      <c r="AH75">
        <v>307.97630930000003</v>
      </c>
      <c r="AI75">
        <v>207.3276434</v>
      </c>
      <c r="AJ75">
        <v>202.8327864</v>
      </c>
      <c r="AK75">
        <v>155.61501920000001</v>
      </c>
      <c r="AL75">
        <v>119.99077509999999</v>
      </c>
      <c r="AM75">
        <v>55</v>
      </c>
      <c r="AN75">
        <v>304.78775130000002</v>
      </c>
      <c r="AO75">
        <v>216.6435907</v>
      </c>
      <c r="AP75">
        <v>190.4082516</v>
      </c>
      <c r="AQ75">
        <v>149.42935199999999</v>
      </c>
      <c r="AR75">
        <v>117.5896219</v>
      </c>
      <c r="AS75">
        <v>55</v>
      </c>
      <c r="AT75">
        <v>3.246769E-2</v>
      </c>
      <c r="AU75">
        <v>1.99908E-2</v>
      </c>
      <c r="AV75">
        <v>8.3705479999999999E-2</v>
      </c>
      <c r="AW75">
        <v>6.1909449999999998E-2</v>
      </c>
      <c r="AX75">
        <v>5.5189839999999997E-2</v>
      </c>
      <c r="AY75">
        <v>2.6584469999999999E-2</v>
      </c>
      <c r="AZ75">
        <v>2.1282699999999998E-3</v>
      </c>
      <c r="BA75">
        <v>9.1947499999999998E-3</v>
      </c>
      <c r="BB75">
        <v>2.8317599999999998E-2</v>
      </c>
      <c r="BC75">
        <v>1.262015E-2</v>
      </c>
      <c r="BD75">
        <v>9.5687579999999994E-2</v>
      </c>
      <c r="BE75">
        <v>1.7746189999999998E-2</v>
      </c>
      <c r="BF75">
        <v>7.9999109999999998E-2</v>
      </c>
      <c r="BG75">
        <v>4.8137600000000003E-2</v>
      </c>
      <c r="BH75">
        <v>2.9468680000000001E-2</v>
      </c>
      <c r="BI75">
        <v>9.9824990000000002E-2</v>
      </c>
      <c r="BJ75">
        <v>2.4957480000000001E-2</v>
      </c>
      <c r="BK75">
        <v>0.18266560000000001</v>
      </c>
      <c r="BL75">
        <v>6.2650849999999994E-2</v>
      </c>
      <c r="BM75">
        <v>2.675342E-2</v>
      </c>
      <c r="BN75">
        <v>801</v>
      </c>
      <c r="BO75">
        <v>300.1481301</v>
      </c>
      <c r="BP75">
        <v>190</v>
      </c>
    </row>
    <row r="76" spans="1:68" x14ac:dyDescent="0.2">
      <c r="A76" t="s">
        <v>641</v>
      </c>
      <c r="B76">
        <v>1408</v>
      </c>
      <c r="C76">
        <v>6121</v>
      </c>
      <c r="D76">
        <v>8641</v>
      </c>
      <c r="E76">
        <v>6798</v>
      </c>
      <c r="F76">
        <v>4148</v>
      </c>
      <c r="G76">
        <v>1553</v>
      </c>
      <c r="H76">
        <v>657</v>
      </c>
      <c r="I76">
        <v>1046</v>
      </c>
      <c r="J76">
        <v>1877</v>
      </c>
      <c r="K76">
        <v>1137</v>
      </c>
      <c r="L76">
        <v>8541</v>
      </c>
      <c r="M76">
        <v>3411</v>
      </c>
      <c r="N76">
        <v>4055</v>
      </c>
      <c r="O76">
        <v>3442</v>
      </c>
      <c r="P76">
        <v>1477</v>
      </c>
      <c r="Q76">
        <v>3122</v>
      </c>
      <c r="R76">
        <v>3017</v>
      </c>
      <c r="S76">
        <v>8112</v>
      </c>
      <c r="T76">
        <v>5135</v>
      </c>
      <c r="U76">
        <v>1720</v>
      </c>
      <c r="V76">
        <v>257.12292530000002</v>
      </c>
      <c r="W76">
        <v>233.75631319999999</v>
      </c>
      <c r="X76">
        <v>200.91211920000001</v>
      </c>
      <c r="Y76">
        <v>163.80247180000001</v>
      </c>
      <c r="Z76">
        <v>122.69248210000001</v>
      </c>
      <c r="AA76">
        <v>65</v>
      </c>
      <c r="AB76">
        <v>303.49726520000002</v>
      </c>
      <c r="AC76">
        <v>290.97119750000002</v>
      </c>
      <c r="AD76">
        <v>216.47384109999999</v>
      </c>
      <c r="AE76">
        <v>149.99243809999999</v>
      </c>
      <c r="AF76">
        <v>116.53561190000001</v>
      </c>
      <c r="AG76">
        <v>55</v>
      </c>
      <c r="AH76">
        <v>279.75265969999998</v>
      </c>
      <c r="AI76">
        <v>235.80614399999999</v>
      </c>
      <c r="AJ76">
        <v>197.86733939999999</v>
      </c>
      <c r="AK76">
        <v>150.72647119999999</v>
      </c>
      <c r="AL76">
        <v>114.2084869</v>
      </c>
      <c r="AM76">
        <v>55</v>
      </c>
      <c r="AN76">
        <v>232.25423699999999</v>
      </c>
      <c r="AO76">
        <v>219.9858395</v>
      </c>
      <c r="AP76">
        <v>180.50152850000001</v>
      </c>
      <c r="AQ76">
        <v>145.12572309999999</v>
      </c>
      <c r="AR76">
        <v>113.1737151</v>
      </c>
      <c r="AS76">
        <v>55</v>
      </c>
      <c r="AT76">
        <v>1.8190580000000001E-2</v>
      </c>
      <c r="AU76">
        <v>8.1153610000000001E-2</v>
      </c>
      <c r="AV76">
        <v>0.11365955</v>
      </c>
      <c r="AW76">
        <v>9.0444250000000004E-2</v>
      </c>
      <c r="AX76">
        <v>5.4410920000000002E-2</v>
      </c>
      <c r="AY76">
        <v>2.0931559999999998E-2</v>
      </c>
      <c r="AZ76">
        <v>8.8112299999999998E-3</v>
      </c>
      <c r="BA76">
        <v>1.3767160000000001E-2</v>
      </c>
      <c r="BB76">
        <v>2.4629100000000001E-2</v>
      </c>
      <c r="BC76">
        <v>1.490495E-2</v>
      </c>
      <c r="BD76">
        <v>0.11395658</v>
      </c>
      <c r="BE76">
        <v>4.5186249999999997E-2</v>
      </c>
      <c r="BF76">
        <v>5.3687100000000001E-2</v>
      </c>
      <c r="BG76">
        <v>4.6234419999999998E-2</v>
      </c>
      <c r="BH76">
        <v>1.920407E-2</v>
      </c>
      <c r="BI76">
        <v>4.1729960000000003E-2</v>
      </c>
      <c r="BJ76">
        <v>3.9978890000000003E-2</v>
      </c>
      <c r="BK76">
        <v>0.10857131</v>
      </c>
      <c r="BL76">
        <v>6.8442269999999999E-2</v>
      </c>
      <c r="BM76">
        <v>2.2106239999999999E-2</v>
      </c>
      <c r="BN76">
        <v>8867</v>
      </c>
      <c r="BO76">
        <v>198.48169559999999</v>
      </c>
      <c r="BP76">
        <v>190</v>
      </c>
    </row>
    <row r="77" spans="1:68" x14ac:dyDescent="0.2">
      <c r="A77" t="s">
        <v>642</v>
      </c>
      <c r="B77">
        <v>216</v>
      </c>
      <c r="C77">
        <v>286</v>
      </c>
      <c r="D77">
        <v>988</v>
      </c>
      <c r="E77">
        <v>882</v>
      </c>
      <c r="F77">
        <v>577</v>
      </c>
      <c r="G77">
        <v>1922</v>
      </c>
      <c r="H77">
        <v>740</v>
      </c>
      <c r="I77">
        <v>1001</v>
      </c>
      <c r="J77">
        <v>659</v>
      </c>
      <c r="K77">
        <v>353</v>
      </c>
      <c r="L77">
        <v>329</v>
      </c>
      <c r="M77">
        <v>629</v>
      </c>
      <c r="N77">
        <v>1570</v>
      </c>
      <c r="O77">
        <v>596</v>
      </c>
      <c r="P77">
        <v>282</v>
      </c>
      <c r="Q77">
        <v>26</v>
      </c>
      <c r="R77">
        <v>567</v>
      </c>
      <c r="S77">
        <v>2141</v>
      </c>
      <c r="T77">
        <v>533</v>
      </c>
      <c r="U77">
        <v>330</v>
      </c>
      <c r="V77">
        <v>272.41150970000001</v>
      </c>
      <c r="W77">
        <v>208.86490839999999</v>
      </c>
      <c r="X77">
        <v>166.36010089999999</v>
      </c>
      <c r="Y77">
        <v>145.4995174</v>
      </c>
      <c r="Z77">
        <v>115.2345629</v>
      </c>
      <c r="AA77">
        <v>65</v>
      </c>
      <c r="AB77">
        <v>307.30076500000001</v>
      </c>
      <c r="AC77">
        <v>275.80186170000002</v>
      </c>
      <c r="AD77">
        <v>221.46219719999999</v>
      </c>
      <c r="AE77">
        <v>160.7420438</v>
      </c>
      <c r="AF77">
        <v>118.4883028</v>
      </c>
      <c r="AG77">
        <v>55</v>
      </c>
      <c r="AH77">
        <v>302.25141009999999</v>
      </c>
      <c r="AI77">
        <v>216.23408800000001</v>
      </c>
      <c r="AJ77">
        <v>201.08793969999999</v>
      </c>
      <c r="AK77">
        <v>160.8328085</v>
      </c>
      <c r="AL77">
        <v>114.6856324</v>
      </c>
      <c r="AM77">
        <v>55</v>
      </c>
      <c r="AN77">
        <v>313.80461489999999</v>
      </c>
      <c r="AO77">
        <v>175.6907597</v>
      </c>
      <c r="AP77">
        <v>179.4564503</v>
      </c>
      <c r="AQ77">
        <v>158.20270959999999</v>
      </c>
      <c r="AR77">
        <v>107.69009339999999</v>
      </c>
      <c r="AS77">
        <v>55</v>
      </c>
      <c r="AT77">
        <v>1.428021E-2</v>
      </c>
      <c r="AU77">
        <v>1.8180539999999999E-2</v>
      </c>
      <c r="AV77">
        <v>6.6893679999999997E-2</v>
      </c>
      <c r="AW77">
        <v>6.5938490000000002E-2</v>
      </c>
      <c r="AX77">
        <v>3.9390670000000003E-2</v>
      </c>
      <c r="AY77">
        <v>0.13214772</v>
      </c>
      <c r="AZ77">
        <v>4.9634909999999997E-2</v>
      </c>
      <c r="BA77">
        <v>6.1873060000000001E-2</v>
      </c>
      <c r="BB77">
        <v>4.7773040000000003E-2</v>
      </c>
      <c r="BC77">
        <v>2.5380650000000001E-2</v>
      </c>
      <c r="BD77">
        <v>2.3863880000000001E-2</v>
      </c>
      <c r="BE77">
        <v>3.9860270000000003E-2</v>
      </c>
      <c r="BF77">
        <v>0.10217005999999999</v>
      </c>
      <c r="BG77">
        <v>4.6795219999999998E-2</v>
      </c>
      <c r="BH77">
        <v>1.9283040000000001E-2</v>
      </c>
      <c r="BI77">
        <v>1.6265299999999999E-3</v>
      </c>
      <c r="BJ77">
        <v>3.8214699999999997E-2</v>
      </c>
      <c r="BK77">
        <v>0.14017151</v>
      </c>
      <c r="BL77">
        <v>4.2474690000000002E-2</v>
      </c>
      <c r="BM77">
        <v>2.404713E-2</v>
      </c>
      <c r="BN77">
        <v>2134</v>
      </c>
      <c r="BO77">
        <v>282.9084694</v>
      </c>
      <c r="BP77">
        <v>190</v>
      </c>
    </row>
    <row r="78" spans="1:68" x14ac:dyDescent="0.2">
      <c r="A78" t="s">
        <v>643</v>
      </c>
      <c r="B78">
        <v>183</v>
      </c>
      <c r="C78">
        <v>212</v>
      </c>
      <c r="D78">
        <v>653</v>
      </c>
      <c r="E78">
        <v>607</v>
      </c>
      <c r="F78">
        <v>811</v>
      </c>
      <c r="G78">
        <v>671</v>
      </c>
      <c r="H78">
        <v>590</v>
      </c>
      <c r="I78">
        <v>674</v>
      </c>
      <c r="J78">
        <v>452</v>
      </c>
      <c r="K78">
        <v>237</v>
      </c>
      <c r="L78">
        <v>294</v>
      </c>
      <c r="M78">
        <v>586</v>
      </c>
      <c r="N78">
        <v>1336</v>
      </c>
      <c r="O78">
        <v>596</v>
      </c>
      <c r="P78">
        <v>272</v>
      </c>
      <c r="Q78">
        <v>27</v>
      </c>
      <c r="R78">
        <v>319</v>
      </c>
      <c r="S78">
        <v>1719</v>
      </c>
      <c r="T78">
        <v>623</v>
      </c>
      <c r="U78">
        <v>299</v>
      </c>
      <c r="V78">
        <v>231.52017860000001</v>
      </c>
      <c r="W78">
        <v>237.4238972</v>
      </c>
      <c r="X78">
        <v>167.88061909999999</v>
      </c>
      <c r="Y78">
        <v>152.1683276</v>
      </c>
      <c r="Z78">
        <v>113.91012310000001</v>
      </c>
      <c r="AA78">
        <v>65</v>
      </c>
      <c r="AB78">
        <v>294.46590250000003</v>
      </c>
      <c r="AC78">
        <v>268.4794996</v>
      </c>
      <c r="AD78">
        <v>210.42258129999999</v>
      </c>
      <c r="AE78">
        <v>159.65523189999999</v>
      </c>
      <c r="AF78">
        <v>124.77981800000001</v>
      </c>
      <c r="AG78">
        <v>55</v>
      </c>
      <c r="AH78">
        <v>288.77619629999998</v>
      </c>
      <c r="AI78">
        <v>218.5988021</v>
      </c>
      <c r="AJ78">
        <v>189.63788940000001</v>
      </c>
      <c r="AK78">
        <v>162.22315140000001</v>
      </c>
      <c r="AL78">
        <v>117.7472032</v>
      </c>
      <c r="AM78">
        <v>55</v>
      </c>
      <c r="AN78">
        <v>263.05331380000001</v>
      </c>
      <c r="AO78">
        <v>194.27181849999999</v>
      </c>
      <c r="AP78">
        <v>181.3636013</v>
      </c>
      <c r="AQ78">
        <v>161.81814299999999</v>
      </c>
      <c r="AR78">
        <v>113.89015999999999</v>
      </c>
      <c r="AS78">
        <v>55</v>
      </c>
      <c r="AT78">
        <v>1.516998E-2</v>
      </c>
      <c r="AU78">
        <v>2.0860179999999999E-2</v>
      </c>
      <c r="AV78">
        <v>5.7847250000000003E-2</v>
      </c>
      <c r="AW78">
        <v>5.3491249999999997E-2</v>
      </c>
      <c r="AX78">
        <v>7.7168029999999999E-2</v>
      </c>
      <c r="AY78">
        <v>6.0177170000000002E-2</v>
      </c>
      <c r="AZ78">
        <v>5.3373619999999997E-2</v>
      </c>
      <c r="BA78">
        <v>6.0098100000000002E-2</v>
      </c>
      <c r="BB78">
        <v>4.0203610000000001E-2</v>
      </c>
      <c r="BC78">
        <v>2.2625869999999999E-2</v>
      </c>
      <c r="BD78">
        <v>2.695819E-2</v>
      </c>
      <c r="BE78">
        <v>5.3614250000000002E-2</v>
      </c>
      <c r="BF78">
        <v>0.11740796000000001</v>
      </c>
      <c r="BG78">
        <v>5.2417930000000001E-2</v>
      </c>
      <c r="BH78">
        <v>2.432053E-2</v>
      </c>
      <c r="BI78">
        <v>2.6505999999999999E-3</v>
      </c>
      <c r="BJ78">
        <v>2.8178669999999999E-2</v>
      </c>
      <c r="BK78">
        <v>0.15221910999999999</v>
      </c>
      <c r="BL78">
        <v>5.3140310000000003E-2</v>
      </c>
      <c r="BM78">
        <v>2.8077390000000001E-2</v>
      </c>
      <c r="BN78">
        <v>3855</v>
      </c>
      <c r="BO78">
        <v>253.7446928</v>
      </c>
      <c r="BP78">
        <v>190</v>
      </c>
    </row>
    <row r="79" spans="1:68" x14ac:dyDescent="0.2">
      <c r="A79" t="s">
        <v>644</v>
      </c>
      <c r="B79">
        <v>102</v>
      </c>
      <c r="C79">
        <v>75</v>
      </c>
      <c r="D79">
        <v>611</v>
      </c>
      <c r="E79">
        <v>1396</v>
      </c>
      <c r="F79">
        <v>1241</v>
      </c>
      <c r="G79">
        <v>301</v>
      </c>
      <c r="H79">
        <v>376</v>
      </c>
      <c r="I79">
        <v>759</v>
      </c>
      <c r="J79">
        <v>809</v>
      </c>
      <c r="K79">
        <v>336</v>
      </c>
      <c r="L79">
        <v>124</v>
      </c>
      <c r="M79">
        <v>710</v>
      </c>
      <c r="N79">
        <v>1837</v>
      </c>
      <c r="O79">
        <v>1289</v>
      </c>
      <c r="P79">
        <v>531</v>
      </c>
      <c r="Q79">
        <v>56</v>
      </c>
      <c r="R79">
        <v>969</v>
      </c>
      <c r="S79">
        <v>3907</v>
      </c>
      <c r="T79">
        <v>2514</v>
      </c>
      <c r="U79">
        <v>1118</v>
      </c>
      <c r="V79">
        <v>278.0495464</v>
      </c>
      <c r="W79">
        <v>145.30901660000001</v>
      </c>
      <c r="X79">
        <v>157.37863680000001</v>
      </c>
      <c r="Y79">
        <v>133.59557710000001</v>
      </c>
      <c r="Z79">
        <v>93.710974539999995</v>
      </c>
      <c r="AA79">
        <v>65</v>
      </c>
      <c r="AB79">
        <v>309.73396810000003</v>
      </c>
      <c r="AC79">
        <v>272.67747159999999</v>
      </c>
      <c r="AD79">
        <v>215.6652349</v>
      </c>
      <c r="AE79">
        <v>149.13993110000001</v>
      </c>
      <c r="AF79">
        <v>113.79556150000001</v>
      </c>
      <c r="AG79">
        <v>55</v>
      </c>
      <c r="AH79">
        <v>319.13658779999997</v>
      </c>
      <c r="AI79">
        <v>251.08824999999999</v>
      </c>
      <c r="AJ79">
        <v>207.02191289999999</v>
      </c>
      <c r="AK79">
        <v>154.30634359999999</v>
      </c>
      <c r="AL79">
        <v>116.2024729</v>
      </c>
      <c r="AM79">
        <v>55</v>
      </c>
      <c r="AN79">
        <v>262.46218529999999</v>
      </c>
      <c r="AO79">
        <v>223.93649289999999</v>
      </c>
      <c r="AP79">
        <v>187.75373149999999</v>
      </c>
      <c r="AQ79">
        <v>144.48645809999999</v>
      </c>
      <c r="AR79">
        <v>111.9241584</v>
      </c>
      <c r="AS79">
        <v>55</v>
      </c>
      <c r="AT79">
        <v>4.3224099999999996E-3</v>
      </c>
      <c r="AU79">
        <v>3.3104100000000002E-3</v>
      </c>
      <c r="AV79">
        <v>3.2019239999999997E-2</v>
      </c>
      <c r="AW79">
        <v>7.3644959999999995E-2</v>
      </c>
      <c r="AX79">
        <v>6.4013169999999994E-2</v>
      </c>
      <c r="AY79">
        <v>1.619868E-2</v>
      </c>
      <c r="AZ79">
        <v>1.9772700000000001E-2</v>
      </c>
      <c r="BA79">
        <v>4.0120839999999998E-2</v>
      </c>
      <c r="BB79">
        <v>4.3578369999999998E-2</v>
      </c>
      <c r="BC79">
        <v>1.5352970000000001E-2</v>
      </c>
      <c r="BD79">
        <v>6.5752800000000002E-3</v>
      </c>
      <c r="BE79">
        <v>3.699177E-2</v>
      </c>
      <c r="BF79">
        <v>9.8074389999999997E-2</v>
      </c>
      <c r="BG79">
        <v>6.790554E-2</v>
      </c>
      <c r="BH79">
        <v>2.533585E-2</v>
      </c>
      <c r="BI79">
        <v>2.7561399999999998E-3</v>
      </c>
      <c r="BJ79">
        <v>5.1231279999999997E-2</v>
      </c>
      <c r="BK79">
        <v>0.20920267000000001</v>
      </c>
      <c r="BL79">
        <v>0.13449964</v>
      </c>
      <c r="BM79">
        <v>5.5093690000000001E-2</v>
      </c>
      <c r="BN79">
        <v>2104</v>
      </c>
      <c r="BO79">
        <v>193.98693130000001</v>
      </c>
      <c r="BP79">
        <v>190</v>
      </c>
    </row>
    <row r="80" spans="1:68" x14ac:dyDescent="0.2">
      <c r="A80" t="s">
        <v>645</v>
      </c>
      <c r="B80">
        <v>71</v>
      </c>
      <c r="C80">
        <v>55</v>
      </c>
      <c r="D80">
        <v>413</v>
      </c>
      <c r="E80">
        <v>725</v>
      </c>
      <c r="F80">
        <v>568</v>
      </c>
      <c r="G80">
        <v>310</v>
      </c>
      <c r="H80">
        <v>136</v>
      </c>
      <c r="I80">
        <v>351</v>
      </c>
      <c r="J80">
        <v>253</v>
      </c>
      <c r="K80">
        <v>69</v>
      </c>
      <c r="L80">
        <v>344</v>
      </c>
      <c r="M80">
        <v>542</v>
      </c>
      <c r="N80">
        <v>1347</v>
      </c>
      <c r="O80">
        <v>530</v>
      </c>
      <c r="P80">
        <v>166</v>
      </c>
      <c r="Q80">
        <v>275</v>
      </c>
      <c r="R80">
        <v>517</v>
      </c>
      <c r="S80">
        <v>1816</v>
      </c>
      <c r="T80">
        <v>777</v>
      </c>
      <c r="U80">
        <v>364</v>
      </c>
      <c r="V80">
        <v>265.30121450000001</v>
      </c>
      <c r="W80">
        <v>236.3186279</v>
      </c>
      <c r="X80">
        <v>229.79298309999999</v>
      </c>
      <c r="Y80">
        <v>167.9273742</v>
      </c>
      <c r="Z80">
        <v>133.8184799</v>
      </c>
      <c r="AA80">
        <v>65</v>
      </c>
      <c r="AB80">
        <v>316.7035606</v>
      </c>
      <c r="AC80">
        <v>255.0106093</v>
      </c>
      <c r="AD80">
        <v>211.9830067</v>
      </c>
      <c r="AE80">
        <v>158.5425395</v>
      </c>
      <c r="AF80">
        <v>117.3104709</v>
      </c>
      <c r="AG80">
        <v>55</v>
      </c>
      <c r="AH80">
        <v>293.20661050000001</v>
      </c>
      <c r="AI80">
        <v>204.77489360000001</v>
      </c>
      <c r="AJ80">
        <v>185.68763659999999</v>
      </c>
      <c r="AK80">
        <v>181.86104370000001</v>
      </c>
      <c r="AL80">
        <v>117.97409690000001</v>
      </c>
      <c r="AM80">
        <v>55</v>
      </c>
      <c r="AN80">
        <v>247.66017199999999</v>
      </c>
      <c r="AO80">
        <v>178.04158649999999</v>
      </c>
      <c r="AP80">
        <v>169.02416679999999</v>
      </c>
      <c r="AQ80">
        <v>169.6643048</v>
      </c>
      <c r="AR80">
        <v>117.4385314</v>
      </c>
      <c r="AS80">
        <v>55</v>
      </c>
      <c r="AT80">
        <v>6.7674399999999996E-3</v>
      </c>
      <c r="AU80">
        <v>5.4017300000000004E-3</v>
      </c>
      <c r="AV80">
        <v>4.7144459999999999E-2</v>
      </c>
      <c r="AW80">
        <v>7.1058109999999994E-2</v>
      </c>
      <c r="AX80">
        <v>5.1169909999999999E-2</v>
      </c>
      <c r="AY80">
        <v>3.4602880000000003E-2</v>
      </c>
      <c r="AZ80">
        <v>1.5109930000000001E-2</v>
      </c>
      <c r="BA80">
        <v>3.7490519999999999E-2</v>
      </c>
      <c r="BB80">
        <v>2.7106890000000002E-2</v>
      </c>
      <c r="BC80">
        <v>6.2110999999999998E-3</v>
      </c>
      <c r="BD80">
        <v>3.5871769999999997E-2</v>
      </c>
      <c r="BE80">
        <v>5.7265339999999998E-2</v>
      </c>
      <c r="BF80">
        <v>0.14108494999999999</v>
      </c>
      <c r="BG80">
        <v>5.6667019999999999E-2</v>
      </c>
      <c r="BH80">
        <v>1.577394E-2</v>
      </c>
      <c r="BI80">
        <v>2.8708210000000001E-2</v>
      </c>
      <c r="BJ80">
        <v>5.5583189999999998E-2</v>
      </c>
      <c r="BK80">
        <v>0.19186217</v>
      </c>
      <c r="BL80">
        <v>8.0039769999999996E-2</v>
      </c>
      <c r="BM80">
        <v>3.5080670000000001E-2</v>
      </c>
      <c r="BN80">
        <v>1013</v>
      </c>
      <c r="BO80">
        <v>273.23382650000002</v>
      </c>
      <c r="BP80">
        <v>190</v>
      </c>
    </row>
    <row r="81" spans="1:68" x14ac:dyDescent="0.2">
      <c r="A81" t="s">
        <v>646</v>
      </c>
      <c r="B81">
        <v>68</v>
      </c>
      <c r="C81">
        <v>12</v>
      </c>
      <c r="D81">
        <v>326</v>
      </c>
      <c r="E81">
        <v>532</v>
      </c>
      <c r="F81">
        <v>666</v>
      </c>
      <c r="G81">
        <v>540</v>
      </c>
      <c r="H81">
        <v>250</v>
      </c>
      <c r="I81">
        <v>449</v>
      </c>
      <c r="J81">
        <v>603</v>
      </c>
      <c r="K81">
        <v>239</v>
      </c>
      <c r="L81">
        <v>455</v>
      </c>
      <c r="M81">
        <v>841</v>
      </c>
      <c r="N81">
        <v>1290</v>
      </c>
      <c r="O81">
        <v>730</v>
      </c>
      <c r="P81">
        <v>253</v>
      </c>
      <c r="Q81">
        <v>83</v>
      </c>
      <c r="R81">
        <v>599</v>
      </c>
      <c r="S81">
        <v>1897</v>
      </c>
      <c r="T81">
        <v>1052</v>
      </c>
      <c r="U81">
        <v>422</v>
      </c>
      <c r="V81">
        <v>240.3195317</v>
      </c>
      <c r="W81">
        <v>358</v>
      </c>
      <c r="X81">
        <v>149.79441790000001</v>
      </c>
      <c r="Y81">
        <v>133.58774790000001</v>
      </c>
      <c r="Z81">
        <v>102.29991200000001</v>
      </c>
      <c r="AA81">
        <v>65</v>
      </c>
      <c r="AB81">
        <v>306.25953329999999</v>
      </c>
      <c r="AC81">
        <v>275.41814460000001</v>
      </c>
      <c r="AD81">
        <v>225.31374969999999</v>
      </c>
      <c r="AE81">
        <v>153.67178060000001</v>
      </c>
      <c r="AF81">
        <v>114.919004</v>
      </c>
      <c r="AG81">
        <v>55</v>
      </c>
      <c r="AH81">
        <v>310.5081404</v>
      </c>
      <c r="AI81">
        <v>218.74708530000001</v>
      </c>
      <c r="AJ81">
        <v>180.97005949999999</v>
      </c>
      <c r="AK81">
        <v>161.2974002</v>
      </c>
      <c r="AL81">
        <v>115.066197</v>
      </c>
      <c r="AM81">
        <v>55</v>
      </c>
      <c r="AN81">
        <v>290.3651145</v>
      </c>
      <c r="AO81">
        <v>188.99557329999999</v>
      </c>
      <c r="AP81">
        <v>165.0510553</v>
      </c>
      <c r="AQ81">
        <v>154.06082230000001</v>
      </c>
      <c r="AR81">
        <v>111.7516116</v>
      </c>
      <c r="AS81">
        <v>55</v>
      </c>
      <c r="AT81">
        <v>6.0770499999999996E-3</v>
      </c>
      <c r="AU81">
        <v>9.8222999999999995E-4</v>
      </c>
      <c r="AV81">
        <v>2.786396E-2</v>
      </c>
      <c r="AW81">
        <v>4.4715310000000001E-2</v>
      </c>
      <c r="AX81">
        <v>6.3229510000000003E-2</v>
      </c>
      <c r="AY81">
        <v>4.958634E-2</v>
      </c>
      <c r="AZ81">
        <v>2.169192E-2</v>
      </c>
      <c r="BA81">
        <v>3.9615409999999997E-2</v>
      </c>
      <c r="BB81">
        <v>5.2249280000000002E-2</v>
      </c>
      <c r="BC81">
        <v>1.9422450000000001E-2</v>
      </c>
      <c r="BD81">
        <v>4.1779509999999999E-2</v>
      </c>
      <c r="BE81">
        <v>7.1238140000000005E-2</v>
      </c>
      <c r="BF81">
        <v>0.11667996999999999</v>
      </c>
      <c r="BG81">
        <v>6.5603129999999996E-2</v>
      </c>
      <c r="BH81">
        <v>2.0536639999999998E-2</v>
      </c>
      <c r="BI81">
        <v>7.8002999999999996E-3</v>
      </c>
      <c r="BJ81">
        <v>5.2576280000000003E-2</v>
      </c>
      <c r="BK81">
        <v>0.17089926</v>
      </c>
      <c r="BL81">
        <v>9.173539E-2</v>
      </c>
      <c r="BM81">
        <v>3.571792E-2</v>
      </c>
      <c r="BN81">
        <v>1491</v>
      </c>
      <c r="BO81">
        <v>269.25413700000001</v>
      </c>
      <c r="BP81">
        <v>190</v>
      </c>
    </row>
    <row r="82" spans="1:68" x14ac:dyDescent="0.2">
      <c r="A82" t="s">
        <v>647</v>
      </c>
      <c r="B82">
        <v>119</v>
      </c>
      <c r="C82">
        <v>138</v>
      </c>
      <c r="D82">
        <v>792</v>
      </c>
      <c r="E82">
        <v>465</v>
      </c>
      <c r="F82">
        <v>1329</v>
      </c>
      <c r="G82">
        <v>1622</v>
      </c>
      <c r="H82">
        <v>777</v>
      </c>
      <c r="I82">
        <v>865</v>
      </c>
      <c r="J82">
        <v>1169</v>
      </c>
      <c r="K82">
        <v>456</v>
      </c>
      <c r="L82">
        <v>1781</v>
      </c>
      <c r="M82">
        <v>1329</v>
      </c>
      <c r="N82">
        <v>1723</v>
      </c>
      <c r="O82">
        <v>1321</v>
      </c>
      <c r="P82">
        <v>751</v>
      </c>
      <c r="Q82">
        <v>1305</v>
      </c>
      <c r="R82">
        <v>1162</v>
      </c>
      <c r="S82">
        <v>2554</v>
      </c>
      <c r="T82">
        <v>1251</v>
      </c>
      <c r="U82">
        <v>873</v>
      </c>
      <c r="V82">
        <v>249.6673638</v>
      </c>
      <c r="W82">
        <v>220.35532370000001</v>
      </c>
      <c r="X82">
        <v>184.07610840000001</v>
      </c>
      <c r="Y82">
        <v>140.05944210000001</v>
      </c>
      <c r="Z82">
        <v>116.79290229999999</v>
      </c>
      <c r="AA82">
        <v>65</v>
      </c>
      <c r="AB82">
        <v>304.91485999999998</v>
      </c>
      <c r="AC82">
        <v>290.96991739999999</v>
      </c>
      <c r="AD82">
        <v>223.67204409999999</v>
      </c>
      <c r="AE82">
        <v>152.89905450000001</v>
      </c>
      <c r="AF82">
        <v>121.285878</v>
      </c>
      <c r="AG82">
        <v>55</v>
      </c>
      <c r="AH82">
        <v>303.97812390000001</v>
      </c>
      <c r="AI82">
        <v>247.742276</v>
      </c>
      <c r="AJ82">
        <v>195.46916770000001</v>
      </c>
      <c r="AK82">
        <v>158.22013340000001</v>
      </c>
      <c r="AL82">
        <v>116.6356991</v>
      </c>
      <c r="AM82">
        <v>55</v>
      </c>
      <c r="AN82">
        <v>293.77149730000002</v>
      </c>
      <c r="AO82">
        <v>207.80820600000001</v>
      </c>
      <c r="AP82">
        <v>175.26418609999999</v>
      </c>
      <c r="AQ82">
        <v>149.80804319999999</v>
      </c>
      <c r="AR82">
        <v>114.3900751</v>
      </c>
      <c r="AS82">
        <v>55</v>
      </c>
      <c r="AT82">
        <v>5.5498700000000002E-3</v>
      </c>
      <c r="AU82">
        <v>6.9522100000000003E-3</v>
      </c>
      <c r="AV82">
        <v>3.6563989999999998E-2</v>
      </c>
      <c r="AW82">
        <v>2.304666E-2</v>
      </c>
      <c r="AX82">
        <v>6.5384849999999994E-2</v>
      </c>
      <c r="AY82">
        <v>7.3323020000000003E-2</v>
      </c>
      <c r="AZ82">
        <v>3.3760680000000001E-2</v>
      </c>
      <c r="BA82">
        <v>3.8591500000000001E-2</v>
      </c>
      <c r="BB82">
        <v>5.3879580000000003E-2</v>
      </c>
      <c r="BC82">
        <v>1.9935729999999999E-2</v>
      </c>
      <c r="BD82">
        <v>8.2283709999999996E-2</v>
      </c>
      <c r="BE82">
        <v>5.9660480000000002E-2</v>
      </c>
      <c r="BF82">
        <v>7.8195470000000003E-2</v>
      </c>
      <c r="BG82">
        <v>6.168129E-2</v>
      </c>
      <c r="BH82">
        <v>3.3548790000000002E-2</v>
      </c>
      <c r="BI82">
        <v>6.1691210000000003E-2</v>
      </c>
      <c r="BJ82">
        <v>5.2490839999999997E-2</v>
      </c>
      <c r="BK82">
        <v>0.1155731</v>
      </c>
      <c r="BL82">
        <v>5.7867229999999999E-2</v>
      </c>
      <c r="BM82">
        <v>4.001979E-2</v>
      </c>
      <c r="BN82">
        <v>7240</v>
      </c>
      <c r="BO82">
        <v>261.82536829999998</v>
      </c>
      <c r="BP82">
        <v>190</v>
      </c>
    </row>
    <row r="83" spans="1:68" x14ac:dyDescent="0.2">
      <c r="A83" t="s">
        <v>648</v>
      </c>
      <c r="B83">
        <v>370</v>
      </c>
      <c r="C83">
        <v>853</v>
      </c>
      <c r="D83">
        <v>1177</v>
      </c>
      <c r="E83">
        <v>950</v>
      </c>
      <c r="F83">
        <v>1142</v>
      </c>
      <c r="G83">
        <v>780</v>
      </c>
      <c r="H83">
        <v>303</v>
      </c>
      <c r="I83">
        <v>477</v>
      </c>
      <c r="J83">
        <v>1093</v>
      </c>
      <c r="K83">
        <v>351</v>
      </c>
      <c r="L83">
        <v>1317</v>
      </c>
      <c r="M83">
        <v>703</v>
      </c>
      <c r="N83">
        <v>1527</v>
      </c>
      <c r="O83">
        <v>1046</v>
      </c>
      <c r="P83">
        <v>538</v>
      </c>
      <c r="Q83">
        <v>890</v>
      </c>
      <c r="R83">
        <v>861</v>
      </c>
      <c r="S83">
        <v>2495</v>
      </c>
      <c r="T83">
        <v>1049</v>
      </c>
      <c r="U83">
        <v>548</v>
      </c>
      <c r="V83">
        <v>242.1246032</v>
      </c>
      <c r="W83">
        <v>239.6313327</v>
      </c>
      <c r="X83">
        <v>234.67518659999999</v>
      </c>
      <c r="Y83">
        <v>179.2818561</v>
      </c>
      <c r="Z83">
        <v>126.5293915</v>
      </c>
      <c r="AA83">
        <v>65</v>
      </c>
      <c r="AB83">
        <v>297.58873419999998</v>
      </c>
      <c r="AC83">
        <v>279.43688750000001</v>
      </c>
      <c r="AD83">
        <v>222.8691771</v>
      </c>
      <c r="AE83">
        <v>146.91908309999999</v>
      </c>
      <c r="AF83">
        <v>117.4217738</v>
      </c>
      <c r="AG83">
        <v>55</v>
      </c>
      <c r="AH83">
        <v>298.52943770000002</v>
      </c>
      <c r="AI83">
        <v>263.60889120000002</v>
      </c>
      <c r="AJ83">
        <v>200.46168159999999</v>
      </c>
      <c r="AK83">
        <v>165.09663860000001</v>
      </c>
      <c r="AL83">
        <v>116.6097834</v>
      </c>
      <c r="AM83">
        <v>55</v>
      </c>
      <c r="AN83">
        <v>282.2964834</v>
      </c>
      <c r="AO83">
        <v>252.38550029999999</v>
      </c>
      <c r="AP83">
        <v>185.71136039999999</v>
      </c>
      <c r="AQ83">
        <v>165.17103220000001</v>
      </c>
      <c r="AR83">
        <v>114.1939596</v>
      </c>
      <c r="AS83">
        <v>55</v>
      </c>
      <c r="AT83">
        <v>2.019118E-2</v>
      </c>
      <c r="AU83">
        <v>4.3735290000000003E-2</v>
      </c>
      <c r="AV83">
        <v>6.189302E-2</v>
      </c>
      <c r="AW83">
        <v>4.9838220000000003E-2</v>
      </c>
      <c r="AX83">
        <v>7.3092190000000001E-2</v>
      </c>
      <c r="AY83">
        <v>4.073367E-2</v>
      </c>
      <c r="AZ83">
        <v>1.5982779999999999E-2</v>
      </c>
      <c r="BA83">
        <v>2.4292770000000002E-2</v>
      </c>
      <c r="BB83">
        <v>5.667233E-2</v>
      </c>
      <c r="BC83">
        <v>1.991076E-2</v>
      </c>
      <c r="BD83">
        <v>7.0660730000000005E-2</v>
      </c>
      <c r="BE83">
        <v>3.6544529999999999E-2</v>
      </c>
      <c r="BF83">
        <v>8.1396460000000004E-2</v>
      </c>
      <c r="BG83">
        <v>5.441447E-2</v>
      </c>
      <c r="BH83">
        <v>3.050129E-2</v>
      </c>
      <c r="BI83">
        <v>4.7958439999999998E-2</v>
      </c>
      <c r="BJ83">
        <v>4.5428070000000001E-2</v>
      </c>
      <c r="BK83">
        <v>0.13633885000000001</v>
      </c>
      <c r="BL83">
        <v>5.6002759999999999E-2</v>
      </c>
      <c r="BM83">
        <v>3.4412190000000002E-2</v>
      </c>
      <c r="BN83">
        <v>2570</v>
      </c>
      <c r="BO83">
        <v>245.3264088</v>
      </c>
      <c r="BP83">
        <v>190</v>
      </c>
    </row>
    <row r="84" spans="1:68" x14ac:dyDescent="0.2">
      <c r="A84" t="s">
        <v>649</v>
      </c>
      <c r="B84">
        <v>42</v>
      </c>
      <c r="C84">
        <v>32</v>
      </c>
      <c r="D84">
        <v>631</v>
      </c>
      <c r="E84">
        <v>408</v>
      </c>
      <c r="F84">
        <v>515</v>
      </c>
      <c r="G84">
        <v>229</v>
      </c>
      <c r="H84">
        <v>188</v>
      </c>
      <c r="I84">
        <v>543</v>
      </c>
      <c r="J84">
        <v>364</v>
      </c>
      <c r="K84">
        <v>190</v>
      </c>
      <c r="L84">
        <v>369</v>
      </c>
      <c r="M84">
        <v>587</v>
      </c>
      <c r="N84">
        <v>1479</v>
      </c>
      <c r="O84">
        <v>614</v>
      </c>
      <c r="P84">
        <v>243</v>
      </c>
      <c r="Q84">
        <v>222</v>
      </c>
      <c r="R84">
        <v>319</v>
      </c>
      <c r="S84">
        <v>1872</v>
      </c>
      <c r="T84">
        <v>1073</v>
      </c>
      <c r="U84">
        <v>441</v>
      </c>
      <c r="V84">
        <v>196.34148880000001</v>
      </c>
      <c r="W84">
        <v>246.2834738</v>
      </c>
      <c r="X84">
        <v>134.76860350000001</v>
      </c>
      <c r="Y84">
        <v>110.1052119</v>
      </c>
      <c r="Z84">
        <v>103.74720139999999</v>
      </c>
      <c r="AA84">
        <v>65</v>
      </c>
      <c r="AB84">
        <v>328.56434480000001</v>
      </c>
      <c r="AC84">
        <v>267.5649105</v>
      </c>
      <c r="AD84">
        <v>216.51150419999999</v>
      </c>
      <c r="AE84">
        <v>155.0464078</v>
      </c>
      <c r="AF84">
        <v>122.7453495</v>
      </c>
      <c r="AG84">
        <v>55</v>
      </c>
      <c r="AH84">
        <v>303.59568969999998</v>
      </c>
      <c r="AI84">
        <v>246.83620859999999</v>
      </c>
      <c r="AJ84">
        <v>197.73851500000001</v>
      </c>
      <c r="AK84">
        <v>158.04122100000001</v>
      </c>
      <c r="AL84">
        <v>119.140058</v>
      </c>
      <c r="AM84">
        <v>55</v>
      </c>
      <c r="AN84">
        <v>273.30511419999999</v>
      </c>
      <c r="AO84">
        <v>207.44849550000001</v>
      </c>
      <c r="AP84">
        <v>177.98322329999999</v>
      </c>
      <c r="AQ84">
        <v>144.38729000000001</v>
      </c>
      <c r="AR84">
        <v>112.5592961</v>
      </c>
      <c r="AS84">
        <v>55</v>
      </c>
      <c r="AT84">
        <v>4.4202699999999996E-3</v>
      </c>
      <c r="AU84">
        <v>3.1262500000000001E-3</v>
      </c>
      <c r="AV84">
        <v>5.5327229999999998E-2</v>
      </c>
      <c r="AW84">
        <v>3.9518850000000001E-2</v>
      </c>
      <c r="AX84">
        <v>4.9796640000000003E-2</v>
      </c>
      <c r="AY84">
        <v>2.1568130000000001E-2</v>
      </c>
      <c r="AZ84">
        <v>1.7050630000000001E-2</v>
      </c>
      <c r="BA84">
        <v>5.0939810000000002E-2</v>
      </c>
      <c r="BB84">
        <v>3.3492090000000002E-2</v>
      </c>
      <c r="BC84">
        <v>1.92471E-2</v>
      </c>
      <c r="BD84">
        <v>3.5494610000000003E-2</v>
      </c>
      <c r="BE84">
        <v>5.3146789999999999E-2</v>
      </c>
      <c r="BF84">
        <v>0.14379991</v>
      </c>
      <c r="BG84">
        <v>5.985472E-2</v>
      </c>
      <c r="BH84">
        <v>2.587041E-2</v>
      </c>
      <c r="BI84">
        <v>2.1464589999999999E-2</v>
      </c>
      <c r="BJ84">
        <v>2.8466330000000001E-2</v>
      </c>
      <c r="BK84">
        <v>0.18425063999999999</v>
      </c>
      <c r="BL84">
        <v>0.10639134</v>
      </c>
      <c r="BM84">
        <v>4.6773660000000002E-2</v>
      </c>
      <c r="BN84">
        <v>733</v>
      </c>
      <c r="BO84">
        <v>276.93522680000001</v>
      </c>
      <c r="BP84">
        <v>190</v>
      </c>
    </row>
    <row r="85" spans="1:68" x14ac:dyDescent="0.2">
      <c r="A85" t="s">
        <v>650</v>
      </c>
      <c r="B85">
        <v>983</v>
      </c>
      <c r="C85">
        <v>1853</v>
      </c>
      <c r="D85">
        <v>2693</v>
      </c>
      <c r="E85">
        <v>1855</v>
      </c>
      <c r="F85">
        <v>916</v>
      </c>
      <c r="G85">
        <v>829</v>
      </c>
      <c r="H85">
        <v>161</v>
      </c>
      <c r="I85">
        <v>188</v>
      </c>
      <c r="J85">
        <v>131</v>
      </c>
      <c r="K85">
        <v>129</v>
      </c>
      <c r="L85">
        <v>4630</v>
      </c>
      <c r="M85">
        <v>1568</v>
      </c>
      <c r="N85">
        <v>916</v>
      </c>
      <c r="O85">
        <v>597</v>
      </c>
      <c r="P85">
        <v>241</v>
      </c>
      <c r="Q85">
        <v>3616</v>
      </c>
      <c r="R85">
        <v>2969</v>
      </c>
      <c r="S85">
        <v>1524</v>
      </c>
      <c r="T85">
        <v>694</v>
      </c>
      <c r="U85">
        <v>256</v>
      </c>
      <c r="V85">
        <v>230.1511294</v>
      </c>
      <c r="W85">
        <v>264.57537880000001</v>
      </c>
      <c r="X85">
        <v>213.17574500000001</v>
      </c>
      <c r="Y85">
        <v>163.84655979999999</v>
      </c>
      <c r="Z85">
        <v>121.37722530000001</v>
      </c>
      <c r="AA85">
        <v>65</v>
      </c>
      <c r="AB85">
        <v>297.7684787</v>
      </c>
      <c r="AC85">
        <v>276.32263319999998</v>
      </c>
      <c r="AD85">
        <v>214.4261673</v>
      </c>
      <c r="AE85">
        <v>151.9030449</v>
      </c>
      <c r="AF85">
        <v>113.8847184</v>
      </c>
      <c r="AG85">
        <v>55</v>
      </c>
      <c r="AH85">
        <v>294.61846170000001</v>
      </c>
      <c r="AI85">
        <v>245.17915060000001</v>
      </c>
      <c r="AJ85">
        <v>210.39232630000001</v>
      </c>
      <c r="AK85">
        <v>175.9381291</v>
      </c>
      <c r="AL85">
        <v>116.68551720000001</v>
      </c>
      <c r="AM85">
        <v>55</v>
      </c>
      <c r="AN85">
        <v>256.40507300000002</v>
      </c>
      <c r="AO85">
        <v>219.1361216</v>
      </c>
      <c r="AP85">
        <v>199.45822380000001</v>
      </c>
      <c r="AQ85">
        <v>173.83218429999999</v>
      </c>
      <c r="AR85">
        <v>117.1065006</v>
      </c>
      <c r="AS85">
        <v>55</v>
      </c>
      <c r="AT85">
        <v>3.8733330000000003E-2</v>
      </c>
      <c r="AU85">
        <v>7.12227E-2</v>
      </c>
      <c r="AV85">
        <v>0.10214392999999999</v>
      </c>
      <c r="AW85">
        <v>6.9586389999999998E-2</v>
      </c>
      <c r="AX85">
        <v>3.547351E-2</v>
      </c>
      <c r="AY85">
        <v>3.1380489999999997E-2</v>
      </c>
      <c r="AZ85">
        <v>5.9398100000000002E-3</v>
      </c>
      <c r="BA85">
        <v>7.0353999999999998E-3</v>
      </c>
      <c r="BB85">
        <v>4.7593899999999996E-3</v>
      </c>
      <c r="BC85">
        <v>4.4014199999999996E-3</v>
      </c>
      <c r="BD85">
        <v>0.16674900000000001</v>
      </c>
      <c r="BE85">
        <v>5.8453159999999997E-2</v>
      </c>
      <c r="BF85">
        <v>3.6758209999999999E-2</v>
      </c>
      <c r="BG85">
        <v>2.0916130000000002E-2</v>
      </c>
      <c r="BH85">
        <v>9.0374800000000005E-3</v>
      </c>
      <c r="BI85">
        <v>0.13099617</v>
      </c>
      <c r="BJ85">
        <v>0.11048924</v>
      </c>
      <c r="BK85">
        <v>6.1879919999999998E-2</v>
      </c>
      <c r="BL85">
        <v>2.3343289999999999E-2</v>
      </c>
      <c r="BM85">
        <v>1.070103E-2</v>
      </c>
      <c r="BN85">
        <v>4529</v>
      </c>
      <c r="BO85">
        <v>287.15730980000001</v>
      </c>
      <c r="BP85">
        <v>190</v>
      </c>
    </row>
    <row r="86" spans="1:68" x14ac:dyDescent="0.2">
      <c r="A86" t="s">
        <v>651</v>
      </c>
      <c r="B86">
        <v>688</v>
      </c>
      <c r="C86">
        <v>1643</v>
      </c>
      <c r="D86">
        <v>2695</v>
      </c>
      <c r="E86">
        <v>1199</v>
      </c>
      <c r="F86">
        <v>1047</v>
      </c>
      <c r="G86">
        <v>230</v>
      </c>
      <c r="H86">
        <v>136</v>
      </c>
      <c r="I86">
        <v>122</v>
      </c>
      <c r="J86">
        <v>158</v>
      </c>
      <c r="K86">
        <v>205</v>
      </c>
      <c r="L86">
        <v>564</v>
      </c>
      <c r="M86">
        <v>476</v>
      </c>
      <c r="N86">
        <v>462</v>
      </c>
      <c r="O86">
        <v>982</v>
      </c>
      <c r="P86">
        <v>662</v>
      </c>
      <c r="Q86">
        <v>806</v>
      </c>
      <c r="R86">
        <v>878</v>
      </c>
      <c r="S86">
        <v>1036</v>
      </c>
      <c r="T86">
        <v>2390</v>
      </c>
      <c r="U86">
        <v>785</v>
      </c>
      <c r="V86">
        <v>242.05786019999999</v>
      </c>
      <c r="W86">
        <v>240.92047640000001</v>
      </c>
      <c r="X86">
        <v>205.10359489999999</v>
      </c>
      <c r="Y86">
        <v>167.2685616</v>
      </c>
      <c r="Z86">
        <v>127.0395657</v>
      </c>
      <c r="AA86">
        <v>65</v>
      </c>
      <c r="AB86">
        <v>308.8906786</v>
      </c>
      <c r="AC86">
        <v>279.1604112</v>
      </c>
      <c r="AD86">
        <v>207.91379449999999</v>
      </c>
      <c r="AE86">
        <v>156.82401590000001</v>
      </c>
      <c r="AF86">
        <v>115.20661370000001</v>
      </c>
      <c r="AG86">
        <v>55</v>
      </c>
      <c r="AH86">
        <v>285.14709440000001</v>
      </c>
      <c r="AI86">
        <v>244.03745549999999</v>
      </c>
      <c r="AJ86">
        <v>207.97642619999999</v>
      </c>
      <c r="AK86">
        <v>171.42505439999999</v>
      </c>
      <c r="AL86">
        <v>116.238339</v>
      </c>
      <c r="AM86">
        <v>55</v>
      </c>
      <c r="AN86">
        <v>261.59267060000002</v>
      </c>
      <c r="AO86">
        <v>222.8728825</v>
      </c>
      <c r="AP86">
        <v>192.50091130000001</v>
      </c>
      <c r="AQ86">
        <v>159.15503820000001</v>
      </c>
      <c r="AR86">
        <v>115.8855137</v>
      </c>
      <c r="AS86">
        <v>55</v>
      </c>
      <c r="AT86">
        <v>4.4555770000000001E-2</v>
      </c>
      <c r="AU86">
        <v>8.7107500000000004E-2</v>
      </c>
      <c r="AV86">
        <v>0.15399133000000001</v>
      </c>
      <c r="AW86">
        <v>7.5391949999999999E-2</v>
      </c>
      <c r="AX86">
        <v>7.2015860000000001E-2</v>
      </c>
      <c r="AY86">
        <v>1.2047189999999999E-2</v>
      </c>
      <c r="AZ86">
        <v>8.1058199999999997E-3</v>
      </c>
      <c r="BA86">
        <v>7.1651700000000002E-3</v>
      </c>
      <c r="BB86">
        <v>8.95958E-3</v>
      </c>
      <c r="BC86">
        <v>1.379302E-2</v>
      </c>
      <c r="BD86">
        <v>3.0719440000000001E-2</v>
      </c>
      <c r="BE86">
        <v>2.2600309999999998E-2</v>
      </c>
      <c r="BF86">
        <v>2.7267570000000001E-2</v>
      </c>
      <c r="BG86">
        <v>5.4274889999999999E-2</v>
      </c>
      <c r="BH86">
        <v>4.5130110000000001E-2</v>
      </c>
      <c r="BI86">
        <v>4.7175399999999999E-2</v>
      </c>
      <c r="BJ86">
        <v>4.170368E-2</v>
      </c>
      <c r="BK86">
        <v>6.0944570000000003E-2</v>
      </c>
      <c r="BL86">
        <v>0.13048285000000001</v>
      </c>
      <c r="BM86">
        <v>5.6567989999999999E-2</v>
      </c>
      <c r="BN86">
        <v>1922</v>
      </c>
      <c r="BO86">
        <v>233.82549940000001</v>
      </c>
      <c r="BP86">
        <v>190</v>
      </c>
    </row>
    <row r="87" spans="1:68" x14ac:dyDescent="0.2">
      <c r="A87" t="s">
        <v>652</v>
      </c>
      <c r="B87">
        <v>1124</v>
      </c>
      <c r="C87">
        <v>2270</v>
      </c>
      <c r="D87">
        <v>5340</v>
      </c>
      <c r="E87">
        <v>2788</v>
      </c>
      <c r="F87">
        <v>1942</v>
      </c>
      <c r="G87">
        <v>220</v>
      </c>
      <c r="H87">
        <v>63</v>
      </c>
      <c r="I87">
        <v>95</v>
      </c>
      <c r="J87">
        <v>125</v>
      </c>
      <c r="K87">
        <v>78</v>
      </c>
      <c r="L87">
        <v>1329</v>
      </c>
      <c r="M87">
        <v>507</v>
      </c>
      <c r="N87">
        <v>1880</v>
      </c>
      <c r="O87">
        <v>1082</v>
      </c>
      <c r="P87">
        <v>345</v>
      </c>
      <c r="Q87">
        <v>4726</v>
      </c>
      <c r="R87">
        <v>1177</v>
      </c>
      <c r="S87">
        <v>4270</v>
      </c>
      <c r="T87">
        <v>3413</v>
      </c>
      <c r="U87">
        <v>699</v>
      </c>
      <c r="V87">
        <v>234.09717800000001</v>
      </c>
      <c r="W87">
        <v>242.27352809999999</v>
      </c>
      <c r="X87">
        <v>209.37531899999999</v>
      </c>
      <c r="Y87">
        <v>163.6704885</v>
      </c>
      <c r="Z87">
        <v>122.1101555</v>
      </c>
      <c r="AA87">
        <v>65</v>
      </c>
      <c r="AB87">
        <v>293.71765859999999</v>
      </c>
      <c r="AC87">
        <v>291.26269200000002</v>
      </c>
      <c r="AD87">
        <v>202.19617289999999</v>
      </c>
      <c r="AE87">
        <v>159.89812549999999</v>
      </c>
      <c r="AF87">
        <v>112.27257590000001</v>
      </c>
      <c r="AG87">
        <v>55</v>
      </c>
      <c r="AH87">
        <v>292.96344879999998</v>
      </c>
      <c r="AI87">
        <v>256.4336581</v>
      </c>
      <c r="AJ87">
        <v>213.95255940000001</v>
      </c>
      <c r="AK87">
        <v>174.59180259999999</v>
      </c>
      <c r="AL87">
        <v>116.7618148</v>
      </c>
      <c r="AM87">
        <v>55</v>
      </c>
      <c r="AN87">
        <v>278.37625969999999</v>
      </c>
      <c r="AO87">
        <v>237.4812628</v>
      </c>
      <c r="AP87">
        <v>199.23305680000001</v>
      </c>
      <c r="AQ87">
        <v>170.2154913</v>
      </c>
      <c r="AR87">
        <v>116.6970484</v>
      </c>
      <c r="AS87">
        <v>55</v>
      </c>
      <c r="AT87">
        <v>3.2210129999999997E-2</v>
      </c>
      <c r="AU87">
        <v>6.7969150000000006E-2</v>
      </c>
      <c r="AV87">
        <v>0.16100555</v>
      </c>
      <c r="AW87">
        <v>8.3985509999999999E-2</v>
      </c>
      <c r="AX87">
        <v>5.4213249999999998E-2</v>
      </c>
      <c r="AY87">
        <v>6.7882899999999998E-3</v>
      </c>
      <c r="AZ87">
        <v>1.9517E-3</v>
      </c>
      <c r="BA87">
        <v>3.0129499999999999E-3</v>
      </c>
      <c r="BB87">
        <v>3.8747500000000002E-3</v>
      </c>
      <c r="BC87">
        <v>2.00475E-3</v>
      </c>
      <c r="BD87">
        <v>3.9515939999999999E-2</v>
      </c>
      <c r="BE87">
        <v>1.5284509999999999E-2</v>
      </c>
      <c r="BF87">
        <v>5.6769699999999999E-2</v>
      </c>
      <c r="BG87">
        <v>3.2400610000000003E-2</v>
      </c>
      <c r="BH87">
        <v>9.1525100000000009E-3</v>
      </c>
      <c r="BI87">
        <v>0.14173413000000001</v>
      </c>
      <c r="BJ87">
        <v>3.6061740000000002E-2</v>
      </c>
      <c r="BK87">
        <v>0.12930411999999999</v>
      </c>
      <c r="BL87">
        <v>0.10407544000000001</v>
      </c>
      <c r="BM87">
        <v>1.868527E-2</v>
      </c>
      <c r="BN87">
        <v>3217</v>
      </c>
      <c r="BO87">
        <v>242.33195280000001</v>
      </c>
      <c r="BP87">
        <v>190</v>
      </c>
    </row>
    <row r="88" spans="1:68" x14ac:dyDescent="0.2">
      <c r="A88" t="s">
        <v>653</v>
      </c>
      <c r="B88">
        <v>22095</v>
      </c>
      <c r="C88">
        <v>13050</v>
      </c>
      <c r="D88">
        <v>16824</v>
      </c>
      <c r="E88">
        <v>7854</v>
      </c>
      <c r="F88">
        <v>9595</v>
      </c>
      <c r="G88">
        <v>2271</v>
      </c>
      <c r="H88">
        <v>680</v>
      </c>
      <c r="I88">
        <v>817</v>
      </c>
      <c r="J88">
        <v>1656</v>
      </c>
      <c r="K88">
        <v>716</v>
      </c>
      <c r="L88">
        <v>2789</v>
      </c>
      <c r="M88">
        <v>1538</v>
      </c>
      <c r="N88">
        <v>4848</v>
      </c>
      <c r="O88">
        <v>3849</v>
      </c>
      <c r="P88">
        <v>1815</v>
      </c>
      <c r="Q88">
        <v>6261</v>
      </c>
      <c r="R88">
        <v>1690</v>
      </c>
      <c r="S88">
        <v>10088</v>
      </c>
      <c r="T88">
        <v>5844</v>
      </c>
      <c r="U88">
        <v>2644</v>
      </c>
      <c r="V88">
        <v>223.51090009999999</v>
      </c>
      <c r="W88">
        <v>218.01726959999999</v>
      </c>
      <c r="X88">
        <v>190.60048760000001</v>
      </c>
      <c r="Y88">
        <v>155.427211</v>
      </c>
      <c r="Z88">
        <v>121.42064790000001</v>
      </c>
      <c r="AA88">
        <v>65</v>
      </c>
      <c r="AB88">
        <v>296.22954800000002</v>
      </c>
      <c r="AC88">
        <v>264.28519849999998</v>
      </c>
      <c r="AD88">
        <v>209.23113000000001</v>
      </c>
      <c r="AE88">
        <v>141.79101850000001</v>
      </c>
      <c r="AF88">
        <v>115.87409150000001</v>
      </c>
      <c r="AG88">
        <v>55</v>
      </c>
      <c r="AH88">
        <v>276.32789589999999</v>
      </c>
      <c r="AI88">
        <v>253.2608658</v>
      </c>
      <c r="AJ88">
        <v>195.60346849999999</v>
      </c>
      <c r="AK88">
        <v>148.2532439</v>
      </c>
      <c r="AL88">
        <v>115.9632288</v>
      </c>
      <c r="AM88">
        <v>55</v>
      </c>
      <c r="AN88">
        <v>250.59701430000001</v>
      </c>
      <c r="AO88">
        <v>223.9764835</v>
      </c>
      <c r="AP88">
        <v>182.5047721</v>
      </c>
      <c r="AQ88">
        <v>151.35599759999999</v>
      </c>
      <c r="AR88">
        <v>113.5145405</v>
      </c>
      <c r="AS88">
        <v>55</v>
      </c>
      <c r="AT88">
        <v>0.19409209999999999</v>
      </c>
      <c r="AU88">
        <v>0.11549155</v>
      </c>
      <c r="AV88">
        <v>0.14724799999999999</v>
      </c>
      <c r="AW88">
        <v>6.5865930000000003E-2</v>
      </c>
      <c r="AX88">
        <v>7.6750460000000006E-2</v>
      </c>
      <c r="AY88">
        <v>1.826009E-2</v>
      </c>
      <c r="AZ88">
        <v>5.2159099999999998E-3</v>
      </c>
      <c r="BA88">
        <v>6.2529899999999999E-3</v>
      </c>
      <c r="BB88">
        <v>1.354267E-2</v>
      </c>
      <c r="BC88">
        <v>5.3352699999999996E-3</v>
      </c>
      <c r="BD88">
        <v>2.1669859999999999E-2</v>
      </c>
      <c r="BE88">
        <v>1.198917E-2</v>
      </c>
      <c r="BF88">
        <v>4.1615920000000001E-2</v>
      </c>
      <c r="BG88">
        <v>3.1863280000000001E-2</v>
      </c>
      <c r="BH88">
        <v>1.391003E-2</v>
      </c>
      <c r="BI88">
        <v>5.6546970000000002E-2</v>
      </c>
      <c r="BJ88">
        <v>1.452409E-2</v>
      </c>
      <c r="BK88">
        <v>8.8895230000000006E-2</v>
      </c>
      <c r="BL88">
        <v>4.9930860000000001E-2</v>
      </c>
      <c r="BM88">
        <v>2.099962E-2</v>
      </c>
      <c r="BN88">
        <v>13065</v>
      </c>
      <c r="BO88">
        <v>247.14967110000001</v>
      </c>
      <c r="BP88">
        <v>190</v>
      </c>
    </row>
    <row r="89" spans="1:68" x14ac:dyDescent="0.2">
      <c r="A89" t="s">
        <v>654</v>
      </c>
      <c r="B89">
        <v>95</v>
      </c>
      <c r="C89">
        <v>329</v>
      </c>
      <c r="D89">
        <v>287</v>
      </c>
      <c r="E89">
        <v>469</v>
      </c>
      <c r="F89">
        <v>431</v>
      </c>
      <c r="G89">
        <v>513</v>
      </c>
      <c r="H89">
        <v>307</v>
      </c>
      <c r="I89">
        <v>563</v>
      </c>
      <c r="J89">
        <v>845</v>
      </c>
      <c r="K89">
        <v>245</v>
      </c>
      <c r="L89">
        <v>357</v>
      </c>
      <c r="M89">
        <v>719</v>
      </c>
      <c r="N89">
        <v>1733</v>
      </c>
      <c r="O89">
        <v>969</v>
      </c>
      <c r="P89">
        <v>184</v>
      </c>
      <c r="Q89">
        <v>30</v>
      </c>
      <c r="R89">
        <v>274</v>
      </c>
      <c r="S89">
        <v>1291</v>
      </c>
      <c r="T89">
        <v>699</v>
      </c>
      <c r="U89">
        <v>169</v>
      </c>
      <c r="V89">
        <v>252.9992038</v>
      </c>
      <c r="W89">
        <v>230.4779144</v>
      </c>
      <c r="X89">
        <v>221.15244430000001</v>
      </c>
      <c r="Y89">
        <v>147.71839130000001</v>
      </c>
      <c r="Z89">
        <v>128.4344423</v>
      </c>
      <c r="AA89">
        <v>65</v>
      </c>
      <c r="AB89">
        <v>317.74350509999999</v>
      </c>
      <c r="AC89">
        <v>295.68199559999999</v>
      </c>
      <c r="AD89">
        <v>211.44857630000001</v>
      </c>
      <c r="AE89">
        <v>152.02362460000001</v>
      </c>
      <c r="AF89">
        <v>116.0484635</v>
      </c>
      <c r="AG89">
        <v>55</v>
      </c>
      <c r="AH89">
        <v>310.39117959999999</v>
      </c>
      <c r="AI89">
        <v>221.95785739999999</v>
      </c>
      <c r="AJ89">
        <v>202.65937539999999</v>
      </c>
      <c r="AK89">
        <v>159.1012825</v>
      </c>
      <c r="AL89">
        <v>115.8240059</v>
      </c>
      <c r="AM89">
        <v>55</v>
      </c>
      <c r="AN89">
        <v>281.21628079999999</v>
      </c>
      <c r="AO89">
        <v>190.65015959999999</v>
      </c>
      <c r="AP89">
        <v>183.0823025</v>
      </c>
      <c r="AQ89">
        <v>158.38929010000001</v>
      </c>
      <c r="AR89">
        <v>117.6466964</v>
      </c>
      <c r="AS89">
        <v>55</v>
      </c>
      <c r="AT89">
        <v>1.003709E-2</v>
      </c>
      <c r="AU89">
        <v>3.1896969999999997E-2</v>
      </c>
      <c r="AV89">
        <v>2.5031330000000001E-2</v>
      </c>
      <c r="AW89">
        <v>4.3210970000000001E-2</v>
      </c>
      <c r="AX89">
        <v>4.4835590000000002E-2</v>
      </c>
      <c r="AY89">
        <v>4.8354000000000001E-2</v>
      </c>
      <c r="AZ89">
        <v>2.8824289999999999E-2</v>
      </c>
      <c r="BA89">
        <v>5.4568659999999998E-2</v>
      </c>
      <c r="BB89">
        <v>8.0718410000000004E-2</v>
      </c>
      <c r="BC89">
        <v>2.529762E-2</v>
      </c>
      <c r="BD89">
        <v>3.4272129999999998E-2</v>
      </c>
      <c r="BE89">
        <v>6.6544759999999994E-2</v>
      </c>
      <c r="BF89">
        <v>0.16319692</v>
      </c>
      <c r="BG89">
        <v>9.1020240000000002E-2</v>
      </c>
      <c r="BH89">
        <v>1.8298310000000002E-2</v>
      </c>
      <c r="BI89">
        <v>2.63292E-3</v>
      </c>
      <c r="BJ89">
        <v>2.4795540000000001E-2</v>
      </c>
      <c r="BK89">
        <v>0.12534977</v>
      </c>
      <c r="BL89">
        <v>6.4553520000000003E-2</v>
      </c>
      <c r="BM89">
        <v>1.656096E-2</v>
      </c>
      <c r="BN89">
        <v>1105</v>
      </c>
      <c r="BO89">
        <v>291.9078806</v>
      </c>
      <c r="BP89">
        <v>190</v>
      </c>
    </row>
    <row r="90" spans="1:68" x14ac:dyDescent="0.2">
      <c r="A90" t="s">
        <v>655</v>
      </c>
      <c r="B90">
        <v>11372</v>
      </c>
      <c r="C90">
        <v>5365</v>
      </c>
      <c r="D90">
        <v>10193</v>
      </c>
      <c r="E90">
        <v>5410</v>
      </c>
      <c r="F90">
        <v>4771</v>
      </c>
      <c r="G90">
        <v>338</v>
      </c>
      <c r="H90">
        <v>83</v>
      </c>
      <c r="I90">
        <v>46</v>
      </c>
      <c r="J90">
        <v>132</v>
      </c>
      <c r="K90">
        <v>42</v>
      </c>
      <c r="L90">
        <v>4211</v>
      </c>
      <c r="M90">
        <v>811</v>
      </c>
      <c r="N90">
        <v>1039</v>
      </c>
      <c r="O90">
        <v>953</v>
      </c>
      <c r="P90">
        <v>470</v>
      </c>
      <c r="Q90">
        <v>21959</v>
      </c>
      <c r="R90">
        <v>2191</v>
      </c>
      <c r="S90">
        <v>2960</v>
      </c>
      <c r="T90">
        <v>2890</v>
      </c>
      <c r="U90">
        <v>1468</v>
      </c>
      <c r="V90">
        <v>255.1329447</v>
      </c>
      <c r="W90">
        <v>219.57958379999999</v>
      </c>
      <c r="X90">
        <v>206.09533020000001</v>
      </c>
      <c r="Y90">
        <v>149.14291410000001</v>
      </c>
      <c r="Z90">
        <v>114.3111499</v>
      </c>
      <c r="AA90">
        <v>65</v>
      </c>
      <c r="AB90">
        <v>315.38602889999999</v>
      </c>
      <c r="AC90">
        <v>247.5412096</v>
      </c>
      <c r="AD90">
        <v>248.86818260000001</v>
      </c>
      <c r="AE90">
        <v>135.15507199999999</v>
      </c>
      <c r="AF90">
        <v>113.31912680000001</v>
      </c>
      <c r="AG90">
        <v>55</v>
      </c>
      <c r="AH90">
        <v>287.44311240000002</v>
      </c>
      <c r="AI90">
        <v>248.59720849999999</v>
      </c>
      <c r="AJ90">
        <v>198.7700916</v>
      </c>
      <c r="AK90">
        <v>158.9510516</v>
      </c>
      <c r="AL90">
        <v>116.708324</v>
      </c>
      <c r="AM90">
        <v>55</v>
      </c>
      <c r="AN90">
        <v>260.57986219999998</v>
      </c>
      <c r="AO90">
        <v>233.81474560000001</v>
      </c>
      <c r="AP90">
        <v>177.79397270000001</v>
      </c>
      <c r="AQ90">
        <v>153.22802060000001</v>
      </c>
      <c r="AR90">
        <v>111.5078414</v>
      </c>
      <c r="AS90">
        <v>55</v>
      </c>
      <c r="AT90">
        <v>0.14582154</v>
      </c>
      <c r="AU90">
        <v>7.171611E-2</v>
      </c>
      <c r="AV90">
        <v>0.13375123</v>
      </c>
      <c r="AW90">
        <v>6.7950479999999994E-2</v>
      </c>
      <c r="AX90">
        <v>5.780192E-2</v>
      </c>
      <c r="AY90">
        <v>4.4094E-3</v>
      </c>
      <c r="AZ90">
        <v>1.01122E-3</v>
      </c>
      <c r="BA90">
        <v>5.9535999999999996E-4</v>
      </c>
      <c r="BB90">
        <v>1.58103E-3</v>
      </c>
      <c r="BC90">
        <v>5.6108000000000004E-4</v>
      </c>
      <c r="BD90">
        <v>5.5525230000000002E-2</v>
      </c>
      <c r="BE90">
        <v>1.052346E-2</v>
      </c>
      <c r="BF90">
        <v>1.381247E-2</v>
      </c>
      <c r="BG90">
        <v>1.208299E-2</v>
      </c>
      <c r="BH90">
        <v>5.8882300000000004E-3</v>
      </c>
      <c r="BI90">
        <v>0.29330093000000002</v>
      </c>
      <c r="BJ90">
        <v>2.872398E-2</v>
      </c>
      <c r="BK90">
        <v>3.9700369999999999E-2</v>
      </c>
      <c r="BL90">
        <v>3.7174859999999997E-2</v>
      </c>
      <c r="BM90">
        <v>1.8068109999999998E-2</v>
      </c>
      <c r="BN90">
        <v>8580</v>
      </c>
      <c r="BO90">
        <v>273.7754051</v>
      </c>
      <c r="BP90">
        <v>190</v>
      </c>
    </row>
    <row r="91" spans="1:68" x14ac:dyDescent="0.2">
      <c r="A91" t="s">
        <v>656</v>
      </c>
      <c r="B91">
        <v>302</v>
      </c>
      <c r="C91">
        <v>1173</v>
      </c>
      <c r="D91">
        <v>3814</v>
      </c>
      <c r="E91">
        <v>6941</v>
      </c>
      <c r="F91">
        <v>3626</v>
      </c>
      <c r="G91">
        <v>1093</v>
      </c>
      <c r="H91">
        <v>518</v>
      </c>
      <c r="I91">
        <v>1022</v>
      </c>
      <c r="J91">
        <v>1441</v>
      </c>
      <c r="K91">
        <v>804</v>
      </c>
      <c r="L91">
        <v>2570</v>
      </c>
      <c r="M91">
        <v>1410</v>
      </c>
      <c r="N91">
        <v>4126</v>
      </c>
      <c r="O91">
        <v>5024</v>
      </c>
      <c r="P91">
        <v>1506</v>
      </c>
      <c r="Q91">
        <v>795</v>
      </c>
      <c r="R91">
        <v>1951</v>
      </c>
      <c r="S91">
        <v>10345</v>
      </c>
      <c r="T91">
        <v>13092</v>
      </c>
      <c r="U91">
        <v>2590</v>
      </c>
      <c r="V91">
        <v>282.5174371</v>
      </c>
      <c r="W91">
        <v>250.36171999999999</v>
      </c>
      <c r="X91">
        <v>169.4927193</v>
      </c>
      <c r="Y91">
        <v>158.87027019999999</v>
      </c>
      <c r="Z91">
        <v>126.6562548</v>
      </c>
      <c r="AA91">
        <v>65</v>
      </c>
      <c r="AB91">
        <v>300.61118579999999</v>
      </c>
      <c r="AC91">
        <v>283.87052160000002</v>
      </c>
      <c r="AD91">
        <v>220.17670240000001</v>
      </c>
      <c r="AE91">
        <v>145.70733860000001</v>
      </c>
      <c r="AF91">
        <v>117.27186879999999</v>
      </c>
      <c r="AG91">
        <v>55</v>
      </c>
      <c r="AH91">
        <v>301.4891867</v>
      </c>
      <c r="AI91">
        <v>259.33146260000001</v>
      </c>
      <c r="AJ91">
        <v>211.6049314</v>
      </c>
      <c r="AK91">
        <v>154.4809511</v>
      </c>
      <c r="AL91">
        <v>119.96153099999999</v>
      </c>
      <c r="AM91">
        <v>55</v>
      </c>
      <c r="AN91">
        <v>288.2526484</v>
      </c>
      <c r="AO91">
        <v>237.99332960000001</v>
      </c>
      <c r="AP91">
        <v>193.28155620000001</v>
      </c>
      <c r="AQ91">
        <v>147.05955359999999</v>
      </c>
      <c r="AR91">
        <v>116.8093399</v>
      </c>
      <c r="AS91">
        <v>55</v>
      </c>
      <c r="AT91">
        <v>4.7514799999999998E-3</v>
      </c>
      <c r="AU91">
        <v>1.8392430000000001E-2</v>
      </c>
      <c r="AV91">
        <v>5.9127489999999998E-2</v>
      </c>
      <c r="AW91">
        <v>0.10707789</v>
      </c>
      <c r="AX91">
        <v>5.4653199999999999E-2</v>
      </c>
      <c r="AY91">
        <v>1.7036800000000001E-2</v>
      </c>
      <c r="AZ91">
        <v>8.2098799999999993E-3</v>
      </c>
      <c r="BA91">
        <v>1.6159739999999999E-2</v>
      </c>
      <c r="BB91">
        <v>2.2186689999999998E-2</v>
      </c>
      <c r="BC91">
        <v>1.2084259999999999E-2</v>
      </c>
      <c r="BD91">
        <v>4.003346E-2</v>
      </c>
      <c r="BE91">
        <v>2.2299679999999999E-2</v>
      </c>
      <c r="BF91">
        <v>6.5058790000000005E-2</v>
      </c>
      <c r="BG91">
        <v>7.8768299999999999E-2</v>
      </c>
      <c r="BH91">
        <v>2.3128900000000001E-2</v>
      </c>
      <c r="BI91">
        <v>1.301306E-2</v>
      </c>
      <c r="BJ91">
        <v>3.087817E-2</v>
      </c>
      <c r="BK91">
        <v>0.16219771999999999</v>
      </c>
      <c r="BL91">
        <v>0.20574201</v>
      </c>
      <c r="BM91">
        <v>3.920005E-2</v>
      </c>
      <c r="BN91">
        <v>8613</v>
      </c>
      <c r="BO91">
        <v>186.68306530000001</v>
      </c>
      <c r="BP91">
        <v>190</v>
      </c>
    </row>
    <row r="92" spans="1:68" x14ac:dyDescent="0.2">
      <c r="A92" t="s">
        <v>657</v>
      </c>
      <c r="B92">
        <v>211</v>
      </c>
      <c r="C92">
        <v>69</v>
      </c>
      <c r="D92">
        <v>288</v>
      </c>
      <c r="E92">
        <v>435</v>
      </c>
      <c r="F92">
        <v>643</v>
      </c>
      <c r="G92">
        <v>735</v>
      </c>
      <c r="H92">
        <v>583</v>
      </c>
      <c r="I92">
        <v>1240</v>
      </c>
      <c r="J92">
        <v>946</v>
      </c>
      <c r="K92">
        <v>307</v>
      </c>
      <c r="L92">
        <v>469</v>
      </c>
      <c r="M92">
        <v>770</v>
      </c>
      <c r="N92">
        <v>1652</v>
      </c>
      <c r="O92">
        <v>714</v>
      </c>
      <c r="P92">
        <v>351</v>
      </c>
      <c r="Q92">
        <v>281</v>
      </c>
      <c r="R92">
        <v>736</v>
      </c>
      <c r="S92">
        <v>1704</v>
      </c>
      <c r="T92">
        <v>750</v>
      </c>
      <c r="U92">
        <v>494</v>
      </c>
      <c r="V92">
        <v>156.00453110000001</v>
      </c>
      <c r="W92">
        <v>171.04223640000001</v>
      </c>
      <c r="X92">
        <v>167.64445799999999</v>
      </c>
      <c r="Y92">
        <v>149.49960229999999</v>
      </c>
      <c r="Z92">
        <v>113.1791533</v>
      </c>
      <c r="AA92">
        <v>65</v>
      </c>
      <c r="AB92">
        <v>288.08123569999998</v>
      </c>
      <c r="AC92">
        <v>282.16719740000002</v>
      </c>
      <c r="AD92">
        <v>216.50616590000001</v>
      </c>
      <c r="AE92">
        <v>152.46850810000001</v>
      </c>
      <c r="AF92">
        <v>115.30107959999999</v>
      </c>
      <c r="AG92">
        <v>55</v>
      </c>
      <c r="AH92">
        <v>304.99365130000001</v>
      </c>
      <c r="AI92">
        <v>240.88657449999999</v>
      </c>
      <c r="AJ92">
        <v>190.018541</v>
      </c>
      <c r="AK92">
        <v>165.49425500000001</v>
      </c>
      <c r="AL92">
        <v>116.86559370000001</v>
      </c>
      <c r="AM92">
        <v>55</v>
      </c>
      <c r="AN92">
        <v>282.30617109999997</v>
      </c>
      <c r="AO92">
        <v>196.03745960000001</v>
      </c>
      <c r="AP92">
        <v>165.2179179</v>
      </c>
      <c r="AQ92">
        <v>157.0844194</v>
      </c>
      <c r="AR92">
        <v>113.7173719</v>
      </c>
      <c r="AS92">
        <v>55</v>
      </c>
      <c r="AT92">
        <v>1.6660060000000001E-2</v>
      </c>
      <c r="AU92">
        <v>5.6389300000000003E-3</v>
      </c>
      <c r="AV92">
        <v>2.3665149999999999E-2</v>
      </c>
      <c r="AW92">
        <v>3.3881679999999997E-2</v>
      </c>
      <c r="AX92">
        <v>5.618563E-2</v>
      </c>
      <c r="AY92">
        <v>5.3584659999999999E-2</v>
      </c>
      <c r="AZ92">
        <v>4.2023230000000002E-2</v>
      </c>
      <c r="BA92">
        <v>9.0420429999999996E-2</v>
      </c>
      <c r="BB92">
        <v>6.9397390000000003E-2</v>
      </c>
      <c r="BC92">
        <v>2.4461009999999998E-2</v>
      </c>
      <c r="BD92">
        <v>3.3750530000000001E-2</v>
      </c>
      <c r="BE92">
        <v>5.6351169999999999E-2</v>
      </c>
      <c r="BF92">
        <v>0.12152486999999999</v>
      </c>
      <c r="BG92">
        <v>5.0484710000000002E-2</v>
      </c>
      <c r="BH92">
        <v>2.684578E-2</v>
      </c>
      <c r="BI92">
        <v>2.020831E-2</v>
      </c>
      <c r="BJ92">
        <v>5.561075E-2</v>
      </c>
      <c r="BK92">
        <v>0.12558899000000001</v>
      </c>
      <c r="BL92">
        <v>5.43825E-2</v>
      </c>
      <c r="BM92">
        <v>3.9334220000000003E-2</v>
      </c>
      <c r="BN92">
        <v>1706</v>
      </c>
      <c r="BO92">
        <v>266.29882889999999</v>
      </c>
      <c r="BP92">
        <v>190</v>
      </c>
    </row>
    <row r="93" spans="1:68" x14ac:dyDescent="0.2">
      <c r="A93" t="s">
        <v>658</v>
      </c>
      <c r="B93">
        <v>250</v>
      </c>
      <c r="C93">
        <v>455</v>
      </c>
      <c r="D93">
        <v>438</v>
      </c>
      <c r="E93">
        <v>1128</v>
      </c>
      <c r="F93">
        <v>1302</v>
      </c>
      <c r="G93">
        <v>2141</v>
      </c>
      <c r="H93">
        <v>1517</v>
      </c>
      <c r="I93">
        <v>1740</v>
      </c>
      <c r="J93">
        <v>1664</v>
      </c>
      <c r="K93">
        <v>806</v>
      </c>
      <c r="L93">
        <v>814</v>
      </c>
      <c r="M93">
        <v>1208</v>
      </c>
      <c r="N93">
        <v>2572</v>
      </c>
      <c r="O93">
        <v>2258</v>
      </c>
      <c r="P93">
        <v>978</v>
      </c>
      <c r="Q93">
        <v>90</v>
      </c>
      <c r="R93">
        <v>682</v>
      </c>
      <c r="S93">
        <v>2877</v>
      </c>
      <c r="T93">
        <v>1161</v>
      </c>
      <c r="U93">
        <v>735</v>
      </c>
      <c r="V93">
        <v>280.87005799999997</v>
      </c>
      <c r="W93">
        <v>234.8127355</v>
      </c>
      <c r="X93">
        <v>205.9573723</v>
      </c>
      <c r="Y93">
        <v>164.0096221</v>
      </c>
      <c r="Z93">
        <v>103.784617</v>
      </c>
      <c r="AA93">
        <v>65</v>
      </c>
      <c r="AB93">
        <v>309.04756429999998</v>
      </c>
      <c r="AC93">
        <v>281.53559660000002</v>
      </c>
      <c r="AD93">
        <v>226.1849302</v>
      </c>
      <c r="AE93">
        <v>154.864441</v>
      </c>
      <c r="AF93">
        <v>115.437432</v>
      </c>
      <c r="AG93">
        <v>55</v>
      </c>
      <c r="AH93">
        <v>298.2769887</v>
      </c>
      <c r="AI93">
        <v>211.1392223</v>
      </c>
      <c r="AJ93">
        <v>184.2455435</v>
      </c>
      <c r="AK93">
        <v>162.21742879999999</v>
      </c>
      <c r="AL93">
        <v>115.16696779999999</v>
      </c>
      <c r="AM93">
        <v>55</v>
      </c>
      <c r="AN93">
        <v>283.74661090000001</v>
      </c>
      <c r="AO93">
        <v>159.75323270000001</v>
      </c>
      <c r="AP93">
        <v>169.93901149999999</v>
      </c>
      <c r="AQ93">
        <v>158.36579979999999</v>
      </c>
      <c r="AR93">
        <v>113.67385659999999</v>
      </c>
      <c r="AS93">
        <v>55</v>
      </c>
      <c r="AT93">
        <v>9.8767999999999998E-3</v>
      </c>
      <c r="AU93">
        <v>2.046094E-2</v>
      </c>
      <c r="AV93">
        <v>1.6753870000000001E-2</v>
      </c>
      <c r="AW93">
        <v>4.3442429999999997E-2</v>
      </c>
      <c r="AX93">
        <v>4.9233819999999998E-2</v>
      </c>
      <c r="AY93">
        <v>8.7741559999999996E-2</v>
      </c>
      <c r="AZ93">
        <v>6.2609109999999996E-2</v>
      </c>
      <c r="BA93">
        <v>7.2520520000000005E-2</v>
      </c>
      <c r="BB93">
        <v>6.5585459999999998E-2</v>
      </c>
      <c r="BC93">
        <v>3.0616790000000001E-2</v>
      </c>
      <c r="BD93">
        <v>3.3273400000000002E-2</v>
      </c>
      <c r="BE93">
        <v>5.1270660000000003E-2</v>
      </c>
      <c r="BF93">
        <v>0.10680997</v>
      </c>
      <c r="BG93">
        <v>8.7539160000000005E-2</v>
      </c>
      <c r="BH93">
        <v>3.6351420000000002E-2</v>
      </c>
      <c r="BI93">
        <v>3.65454E-3</v>
      </c>
      <c r="BJ93">
        <v>2.781689E-2</v>
      </c>
      <c r="BK93">
        <v>0.1191859</v>
      </c>
      <c r="BL93">
        <v>4.7766610000000001E-2</v>
      </c>
      <c r="BM93">
        <v>2.7490150000000001E-2</v>
      </c>
      <c r="BN93">
        <v>3508</v>
      </c>
      <c r="BO93">
        <v>273.06638049999998</v>
      </c>
      <c r="BP93">
        <v>190</v>
      </c>
    </row>
    <row r="94" spans="1:68" x14ac:dyDescent="0.2">
      <c r="A94" t="s">
        <v>659</v>
      </c>
      <c r="B94">
        <v>352</v>
      </c>
      <c r="C94">
        <v>227</v>
      </c>
      <c r="D94">
        <v>1781</v>
      </c>
      <c r="E94">
        <v>2364</v>
      </c>
      <c r="F94">
        <v>1419</v>
      </c>
      <c r="G94">
        <v>343</v>
      </c>
      <c r="H94">
        <v>226</v>
      </c>
      <c r="I94">
        <v>222</v>
      </c>
      <c r="J94">
        <v>643</v>
      </c>
      <c r="K94">
        <v>317</v>
      </c>
      <c r="L94">
        <v>419</v>
      </c>
      <c r="M94">
        <v>1169</v>
      </c>
      <c r="N94">
        <v>1149</v>
      </c>
      <c r="O94">
        <v>945</v>
      </c>
      <c r="P94">
        <v>876</v>
      </c>
      <c r="Q94">
        <v>428</v>
      </c>
      <c r="R94">
        <v>1571</v>
      </c>
      <c r="S94">
        <v>2583</v>
      </c>
      <c r="T94">
        <v>1812</v>
      </c>
      <c r="U94">
        <v>1383</v>
      </c>
      <c r="V94">
        <v>253.93563359999999</v>
      </c>
      <c r="W94">
        <v>238.50685150000001</v>
      </c>
      <c r="X94">
        <v>202.78819279999999</v>
      </c>
      <c r="Y94">
        <v>159.85439400000001</v>
      </c>
      <c r="Z94">
        <v>124.02162610000001</v>
      </c>
      <c r="AA94">
        <v>65</v>
      </c>
      <c r="AB94">
        <v>310.22528599999998</v>
      </c>
      <c r="AC94">
        <v>277.51271379999997</v>
      </c>
      <c r="AD94">
        <v>205.17653859999999</v>
      </c>
      <c r="AE94">
        <v>155.2054589</v>
      </c>
      <c r="AF94">
        <v>115.2230785</v>
      </c>
      <c r="AG94">
        <v>55</v>
      </c>
      <c r="AH94">
        <v>289.8572661</v>
      </c>
      <c r="AI94">
        <v>233.78701240000001</v>
      </c>
      <c r="AJ94">
        <v>197.47636059999999</v>
      </c>
      <c r="AK94">
        <v>157.1851174</v>
      </c>
      <c r="AL94">
        <v>116.03597069999999</v>
      </c>
      <c r="AM94">
        <v>55</v>
      </c>
      <c r="AN94">
        <v>269.82096730000001</v>
      </c>
      <c r="AO94">
        <v>207.0354485</v>
      </c>
      <c r="AP94">
        <v>190.10515240000001</v>
      </c>
      <c r="AQ94">
        <v>158.9910965</v>
      </c>
      <c r="AR94">
        <v>115.1618947</v>
      </c>
      <c r="AS94">
        <v>55</v>
      </c>
      <c r="AT94">
        <v>1.6776340000000001E-2</v>
      </c>
      <c r="AU94">
        <v>1.1245E-2</v>
      </c>
      <c r="AV94">
        <v>8.1830620000000007E-2</v>
      </c>
      <c r="AW94">
        <v>0.11918552</v>
      </c>
      <c r="AX94">
        <v>7.2147859999999994E-2</v>
      </c>
      <c r="AY94">
        <v>1.63547E-2</v>
      </c>
      <c r="AZ94">
        <v>1.0981660000000001E-2</v>
      </c>
      <c r="BA94">
        <v>1.0938969999999999E-2</v>
      </c>
      <c r="BB94">
        <v>3.1441990000000003E-2</v>
      </c>
      <c r="BC94">
        <v>1.6675410000000002E-2</v>
      </c>
      <c r="BD94">
        <v>1.875025E-2</v>
      </c>
      <c r="BE94">
        <v>5.7608390000000002E-2</v>
      </c>
      <c r="BF94">
        <v>5.7454449999999997E-2</v>
      </c>
      <c r="BG94">
        <v>4.8694849999999998E-2</v>
      </c>
      <c r="BH94">
        <v>4.4198319999999999E-2</v>
      </c>
      <c r="BI94">
        <v>2.156247E-2</v>
      </c>
      <c r="BJ94">
        <v>7.7312190000000003E-2</v>
      </c>
      <c r="BK94">
        <v>0.12780187000000001</v>
      </c>
      <c r="BL94">
        <v>9.1317129999999996E-2</v>
      </c>
      <c r="BM94">
        <v>6.7722009999999999E-2</v>
      </c>
      <c r="BN94">
        <v>2277</v>
      </c>
      <c r="BO94">
        <v>247.1257684</v>
      </c>
      <c r="BP94">
        <v>190</v>
      </c>
    </row>
    <row r="95" spans="1:68" x14ac:dyDescent="0.2">
      <c r="A95" t="s">
        <v>660</v>
      </c>
      <c r="B95">
        <v>95</v>
      </c>
      <c r="C95">
        <v>104</v>
      </c>
      <c r="D95">
        <v>778</v>
      </c>
      <c r="E95">
        <v>484</v>
      </c>
      <c r="F95">
        <v>358</v>
      </c>
      <c r="G95">
        <v>505</v>
      </c>
      <c r="H95">
        <v>89</v>
      </c>
      <c r="I95">
        <v>147</v>
      </c>
      <c r="J95">
        <v>282</v>
      </c>
      <c r="K95">
        <v>119</v>
      </c>
      <c r="L95">
        <v>711</v>
      </c>
      <c r="M95">
        <v>462</v>
      </c>
      <c r="N95">
        <v>529</v>
      </c>
      <c r="O95">
        <v>362</v>
      </c>
      <c r="P95">
        <v>228</v>
      </c>
      <c r="Q95">
        <v>129</v>
      </c>
      <c r="R95">
        <v>331</v>
      </c>
      <c r="S95">
        <v>1039</v>
      </c>
      <c r="T95">
        <v>461</v>
      </c>
      <c r="U95">
        <v>254</v>
      </c>
      <c r="V95">
        <v>323.43247609999997</v>
      </c>
      <c r="W95">
        <v>152.66828129999999</v>
      </c>
      <c r="X95">
        <v>178.95557579999999</v>
      </c>
      <c r="Y95">
        <v>166.31626</v>
      </c>
      <c r="Z95">
        <v>121.1969047</v>
      </c>
      <c r="AA95">
        <v>65</v>
      </c>
      <c r="AB95">
        <v>319.90385650000002</v>
      </c>
      <c r="AC95">
        <v>307.9609628</v>
      </c>
      <c r="AD95">
        <v>219.06698130000001</v>
      </c>
      <c r="AE95">
        <v>155.39551510000001</v>
      </c>
      <c r="AF95">
        <v>118.3606879</v>
      </c>
      <c r="AG95">
        <v>55</v>
      </c>
      <c r="AH95">
        <v>313.4490672</v>
      </c>
      <c r="AI95">
        <v>245.39716000000001</v>
      </c>
      <c r="AJ95">
        <v>193.82373029999999</v>
      </c>
      <c r="AK95">
        <v>163.70131309999999</v>
      </c>
      <c r="AL95">
        <v>115.90867950000001</v>
      </c>
      <c r="AM95">
        <v>55</v>
      </c>
      <c r="AN95">
        <v>286.18297050000001</v>
      </c>
      <c r="AO95">
        <v>210.21974560000001</v>
      </c>
      <c r="AP95">
        <v>168.97250030000001</v>
      </c>
      <c r="AQ95">
        <v>156.63333919999999</v>
      </c>
      <c r="AR95">
        <v>115.173304</v>
      </c>
      <c r="AS95">
        <v>55</v>
      </c>
      <c r="AT95">
        <v>1.2083440000000001E-2</v>
      </c>
      <c r="AU95">
        <v>1.328845E-2</v>
      </c>
      <c r="AV95">
        <v>0.10661922</v>
      </c>
      <c r="AW95">
        <v>6.4758659999999996E-2</v>
      </c>
      <c r="AX95">
        <v>4.7913190000000001E-2</v>
      </c>
      <c r="AY95">
        <v>6.5578600000000001E-2</v>
      </c>
      <c r="AZ95">
        <v>1.070254E-2</v>
      </c>
      <c r="BA95">
        <v>2.0815480000000001E-2</v>
      </c>
      <c r="BB95">
        <v>3.6896869999999998E-2</v>
      </c>
      <c r="BC95">
        <v>1.6231490000000001E-2</v>
      </c>
      <c r="BD95">
        <v>9.5006110000000005E-2</v>
      </c>
      <c r="BE95">
        <v>6.3104099999999996E-2</v>
      </c>
      <c r="BF95">
        <v>7.0207359999999996E-2</v>
      </c>
      <c r="BG95">
        <v>4.8574100000000002E-2</v>
      </c>
      <c r="BH95">
        <v>3.2819029999999999E-2</v>
      </c>
      <c r="BI95">
        <v>1.8148620000000001E-2</v>
      </c>
      <c r="BJ95">
        <v>4.382784E-2</v>
      </c>
      <c r="BK95">
        <v>0.13590917999999999</v>
      </c>
      <c r="BL95">
        <v>6.2820039999999994E-2</v>
      </c>
      <c r="BM95">
        <v>3.469568E-2</v>
      </c>
      <c r="BN95">
        <v>691</v>
      </c>
      <c r="BO95">
        <v>230.21886280000001</v>
      </c>
      <c r="BP95">
        <v>190</v>
      </c>
    </row>
    <row r="96" spans="1:68" x14ac:dyDescent="0.2">
      <c r="A96" t="s">
        <v>661</v>
      </c>
      <c r="B96">
        <v>242</v>
      </c>
      <c r="C96">
        <v>154</v>
      </c>
      <c r="D96">
        <v>488</v>
      </c>
      <c r="E96">
        <v>450</v>
      </c>
      <c r="F96">
        <v>341</v>
      </c>
      <c r="G96">
        <v>199</v>
      </c>
      <c r="H96">
        <v>70</v>
      </c>
      <c r="I96">
        <v>154</v>
      </c>
      <c r="J96">
        <v>363</v>
      </c>
      <c r="K96">
        <v>76</v>
      </c>
      <c r="L96">
        <v>473</v>
      </c>
      <c r="M96">
        <v>272</v>
      </c>
      <c r="N96">
        <v>1038</v>
      </c>
      <c r="O96">
        <v>279</v>
      </c>
      <c r="P96">
        <v>275</v>
      </c>
      <c r="Q96">
        <v>893</v>
      </c>
      <c r="R96">
        <v>341</v>
      </c>
      <c r="S96">
        <v>1263</v>
      </c>
      <c r="T96">
        <v>159</v>
      </c>
      <c r="U96">
        <v>236</v>
      </c>
      <c r="V96">
        <v>247.1969531</v>
      </c>
      <c r="W96">
        <v>201.8298537</v>
      </c>
      <c r="X96">
        <v>207.34641920000001</v>
      </c>
      <c r="Y96">
        <v>157.9232255</v>
      </c>
      <c r="Z96">
        <v>116.98572249999999</v>
      </c>
      <c r="AA96">
        <v>65</v>
      </c>
      <c r="AB96">
        <v>307.38360110000002</v>
      </c>
      <c r="AC96">
        <v>260.8356723</v>
      </c>
      <c r="AD96">
        <v>209.4037098</v>
      </c>
      <c r="AE96">
        <v>143.53499869999999</v>
      </c>
      <c r="AF96">
        <v>112.9373937</v>
      </c>
      <c r="AG96">
        <v>55</v>
      </c>
      <c r="AH96">
        <v>285.34272479999998</v>
      </c>
      <c r="AI96">
        <v>173.707459</v>
      </c>
      <c r="AJ96">
        <v>181.84349499999999</v>
      </c>
      <c r="AK96">
        <v>151.4441817</v>
      </c>
      <c r="AL96">
        <v>119.0582095</v>
      </c>
      <c r="AM96">
        <v>55</v>
      </c>
      <c r="AN96">
        <v>262.47822860000002</v>
      </c>
      <c r="AO96">
        <v>136.55673590000001</v>
      </c>
      <c r="AP96">
        <v>162.4206968</v>
      </c>
      <c r="AQ96">
        <v>147.9931588</v>
      </c>
      <c r="AR96">
        <v>115.76692300000001</v>
      </c>
      <c r="AS96">
        <v>55</v>
      </c>
      <c r="AT96">
        <v>3.0733150000000001E-2</v>
      </c>
      <c r="AU96">
        <v>1.547888E-2</v>
      </c>
      <c r="AV96">
        <v>6.2509159999999994E-2</v>
      </c>
      <c r="AW96">
        <v>6.1347720000000001E-2</v>
      </c>
      <c r="AX96">
        <v>4.3214259999999997E-2</v>
      </c>
      <c r="AY96">
        <v>2.4440099999999999E-2</v>
      </c>
      <c r="AZ96">
        <v>8.4275900000000004E-3</v>
      </c>
      <c r="BA96">
        <v>1.939604E-2</v>
      </c>
      <c r="BB96">
        <v>4.9677520000000003E-2</v>
      </c>
      <c r="BC96">
        <v>9.6504099999999999E-3</v>
      </c>
      <c r="BD96">
        <v>5.9327930000000001E-2</v>
      </c>
      <c r="BE96">
        <v>3.2962209999999999E-2</v>
      </c>
      <c r="BF96">
        <v>0.13645587000000001</v>
      </c>
      <c r="BG96">
        <v>3.6784490000000003E-2</v>
      </c>
      <c r="BH96">
        <v>3.5995550000000001E-2</v>
      </c>
      <c r="BI96">
        <v>0.11499924</v>
      </c>
      <c r="BJ96">
        <v>4.4571369999999999E-2</v>
      </c>
      <c r="BK96">
        <v>0.16577750999999999</v>
      </c>
      <c r="BL96">
        <v>1.9975010000000001E-2</v>
      </c>
      <c r="BM96">
        <v>2.8275990000000001E-2</v>
      </c>
      <c r="BN96">
        <v>812</v>
      </c>
      <c r="BO96">
        <v>264.75996679999997</v>
      </c>
      <c r="BP96">
        <v>190</v>
      </c>
    </row>
    <row r="97" spans="1:68" x14ac:dyDescent="0.2">
      <c r="A97" t="s">
        <v>662</v>
      </c>
      <c r="B97">
        <v>111</v>
      </c>
      <c r="C97">
        <v>240</v>
      </c>
      <c r="D97">
        <v>95</v>
      </c>
      <c r="E97">
        <v>184</v>
      </c>
      <c r="F97">
        <v>149</v>
      </c>
      <c r="G97">
        <v>409</v>
      </c>
      <c r="H97">
        <v>236</v>
      </c>
      <c r="I97">
        <v>293</v>
      </c>
      <c r="J97">
        <v>188</v>
      </c>
      <c r="K97">
        <v>146</v>
      </c>
      <c r="L97">
        <v>281</v>
      </c>
      <c r="M97">
        <v>358</v>
      </c>
      <c r="N97">
        <v>557</v>
      </c>
      <c r="O97">
        <v>244</v>
      </c>
      <c r="P97">
        <v>135</v>
      </c>
      <c r="Q97">
        <v>226</v>
      </c>
      <c r="R97">
        <v>325</v>
      </c>
      <c r="S97">
        <v>680</v>
      </c>
      <c r="T97">
        <v>250</v>
      </c>
      <c r="U97">
        <v>133</v>
      </c>
      <c r="V97">
        <v>263.33755079999997</v>
      </c>
      <c r="W97">
        <v>162.36654519999999</v>
      </c>
      <c r="X97">
        <v>144.72129169999999</v>
      </c>
      <c r="Y97">
        <v>120.0335942</v>
      </c>
      <c r="Z97">
        <v>104.0478734</v>
      </c>
      <c r="AA97">
        <v>65</v>
      </c>
      <c r="AB97">
        <v>307.75390959999999</v>
      </c>
      <c r="AC97">
        <v>279.49978870000001</v>
      </c>
      <c r="AD97">
        <v>213.0519572</v>
      </c>
      <c r="AE97">
        <v>147.53726209999999</v>
      </c>
      <c r="AF97">
        <v>114.1844902</v>
      </c>
      <c r="AG97">
        <v>55</v>
      </c>
      <c r="AH97">
        <v>310.70235509999998</v>
      </c>
      <c r="AI97">
        <v>244.11365699999999</v>
      </c>
      <c r="AJ97">
        <v>173.2340188</v>
      </c>
      <c r="AK97">
        <v>156.68453220000001</v>
      </c>
      <c r="AL97">
        <v>112.7373541</v>
      </c>
      <c r="AM97">
        <v>55</v>
      </c>
      <c r="AN97">
        <v>282.57249999999999</v>
      </c>
      <c r="AO97">
        <v>224.86963950000001</v>
      </c>
      <c r="AP97">
        <v>164.213831</v>
      </c>
      <c r="AQ97">
        <v>157.73704090000001</v>
      </c>
      <c r="AR97">
        <v>100.05507660000001</v>
      </c>
      <c r="AS97">
        <v>55</v>
      </c>
      <c r="AT97">
        <v>2.0903629999999999E-2</v>
      </c>
      <c r="AU97">
        <v>4.7562529999999999E-2</v>
      </c>
      <c r="AV97">
        <v>1.8800009999999999E-2</v>
      </c>
      <c r="AW97">
        <v>3.2129209999999998E-2</v>
      </c>
      <c r="AX97">
        <v>3.0737E-2</v>
      </c>
      <c r="AY97">
        <v>7.689994E-2</v>
      </c>
      <c r="AZ97">
        <v>4.2370270000000002E-2</v>
      </c>
      <c r="BA97">
        <v>5.6353510000000002E-2</v>
      </c>
      <c r="BB97">
        <v>3.5712590000000002E-2</v>
      </c>
      <c r="BC97">
        <v>2.5088610000000001E-2</v>
      </c>
      <c r="BD97">
        <v>5.386399E-2</v>
      </c>
      <c r="BE97">
        <v>6.805899E-2</v>
      </c>
      <c r="BF97">
        <v>0.10699330999999999</v>
      </c>
      <c r="BG97">
        <v>4.6348939999999998E-2</v>
      </c>
      <c r="BH97">
        <v>2.3744410000000001E-2</v>
      </c>
      <c r="BI97">
        <v>4.407958E-2</v>
      </c>
      <c r="BJ97">
        <v>6.3266470000000005E-2</v>
      </c>
      <c r="BK97">
        <v>0.13359482</v>
      </c>
      <c r="BL97">
        <v>4.8828070000000001E-2</v>
      </c>
      <c r="BM97">
        <v>2.4664120000000001E-2</v>
      </c>
      <c r="BN97">
        <v>640</v>
      </c>
      <c r="BO97">
        <v>274.28179319999998</v>
      </c>
      <c r="BP97">
        <v>190</v>
      </c>
    </row>
    <row r="98" spans="1:68" x14ac:dyDescent="0.2">
      <c r="A98" t="s">
        <v>663</v>
      </c>
      <c r="B98">
        <v>22</v>
      </c>
      <c r="C98">
        <v>966</v>
      </c>
      <c r="D98">
        <v>2099</v>
      </c>
      <c r="E98">
        <v>1089</v>
      </c>
      <c r="F98">
        <v>1579</v>
      </c>
      <c r="G98">
        <v>158</v>
      </c>
      <c r="H98">
        <v>134</v>
      </c>
      <c r="I98">
        <v>333</v>
      </c>
      <c r="J98">
        <v>314</v>
      </c>
      <c r="K98">
        <v>150</v>
      </c>
      <c r="L98">
        <v>166</v>
      </c>
      <c r="M98">
        <v>853</v>
      </c>
      <c r="N98">
        <v>1063</v>
      </c>
      <c r="O98">
        <v>896</v>
      </c>
      <c r="P98">
        <v>483</v>
      </c>
      <c r="Q98">
        <v>89</v>
      </c>
      <c r="R98">
        <v>1604</v>
      </c>
      <c r="S98">
        <v>2233</v>
      </c>
      <c r="T98">
        <v>2127</v>
      </c>
      <c r="U98">
        <v>1205</v>
      </c>
      <c r="V98">
        <v>300.31101510000002</v>
      </c>
      <c r="W98">
        <v>232.86857309999999</v>
      </c>
      <c r="X98">
        <v>181.26908700000001</v>
      </c>
      <c r="Y98">
        <v>155.88985389999999</v>
      </c>
      <c r="Z98">
        <v>132.98530249999999</v>
      </c>
      <c r="AA98">
        <v>65</v>
      </c>
      <c r="AB98">
        <v>279.47897219999999</v>
      </c>
      <c r="AC98">
        <v>266.10807840000001</v>
      </c>
      <c r="AD98">
        <v>222.95520300000001</v>
      </c>
      <c r="AE98">
        <v>147.0542494</v>
      </c>
      <c r="AF98">
        <v>130.75619169999999</v>
      </c>
      <c r="AG98">
        <v>55</v>
      </c>
      <c r="AH98">
        <v>282.72089790000001</v>
      </c>
      <c r="AI98">
        <v>236.36789759999999</v>
      </c>
      <c r="AJ98">
        <v>214.6553974</v>
      </c>
      <c r="AK98">
        <v>165.20417029999999</v>
      </c>
      <c r="AL98">
        <v>120.8275204</v>
      </c>
      <c r="AM98">
        <v>55</v>
      </c>
      <c r="AN98">
        <v>264.27765060000002</v>
      </c>
      <c r="AO98">
        <v>209.20201779999999</v>
      </c>
      <c r="AP98">
        <v>198.6702818</v>
      </c>
      <c r="AQ98">
        <v>164.8204901</v>
      </c>
      <c r="AR98">
        <v>118.94401360000001</v>
      </c>
      <c r="AS98">
        <v>55</v>
      </c>
      <c r="AT98">
        <v>1.6563400000000001E-3</v>
      </c>
      <c r="AU98">
        <v>5.3510040000000002E-2</v>
      </c>
      <c r="AV98">
        <v>0.11511409</v>
      </c>
      <c r="AW98">
        <v>6.1106220000000003E-2</v>
      </c>
      <c r="AX98">
        <v>0.10196204</v>
      </c>
      <c r="AY98">
        <v>9.6272400000000004E-3</v>
      </c>
      <c r="AZ98">
        <v>7.2441800000000002E-3</v>
      </c>
      <c r="BA98">
        <v>1.7588759999999998E-2</v>
      </c>
      <c r="BB98">
        <v>1.8021269999999999E-2</v>
      </c>
      <c r="BC98">
        <v>9.6217000000000004E-3</v>
      </c>
      <c r="BD98">
        <v>1.072796E-2</v>
      </c>
      <c r="BE98">
        <v>4.5803820000000002E-2</v>
      </c>
      <c r="BF98">
        <v>5.6491600000000003E-2</v>
      </c>
      <c r="BG98">
        <v>5.2534129999999998E-2</v>
      </c>
      <c r="BH98">
        <v>3.0338980000000002E-2</v>
      </c>
      <c r="BI98">
        <v>6.2691099999999996E-3</v>
      </c>
      <c r="BJ98">
        <v>8.4341310000000003E-2</v>
      </c>
      <c r="BK98">
        <v>0.12048055000000001</v>
      </c>
      <c r="BL98">
        <v>0.12194365</v>
      </c>
      <c r="BM98">
        <v>7.5617009999999998E-2</v>
      </c>
      <c r="BN98">
        <v>2617</v>
      </c>
      <c r="BO98">
        <v>244.79638249999999</v>
      </c>
      <c r="BP98">
        <v>190</v>
      </c>
    </row>
    <row r="99" spans="1:68" x14ac:dyDescent="0.2">
      <c r="A99" t="s">
        <v>664</v>
      </c>
      <c r="B99">
        <v>446</v>
      </c>
      <c r="C99">
        <v>503</v>
      </c>
      <c r="D99">
        <v>1277</v>
      </c>
      <c r="E99">
        <v>1058</v>
      </c>
      <c r="F99">
        <v>913</v>
      </c>
      <c r="G99">
        <v>357</v>
      </c>
      <c r="H99">
        <v>84</v>
      </c>
      <c r="I99">
        <v>73</v>
      </c>
      <c r="J99">
        <v>23</v>
      </c>
      <c r="K99">
        <v>38</v>
      </c>
      <c r="L99">
        <v>1929</v>
      </c>
      <c r="M99">
        <v>571</v>
      </c>
      <c r="N99">
        <v>446</v>
      </c>
      <c r="O99">
        <v>230</v>
      </c>
      <c r="P99">
        <v>72</v>
      </c>
      <c r="Q99">
        <v>2160</v>
      </c>
      <c r="R99">
        <v>780</v>
      </c>
      <c r="S99">
        <v>912</v>
      </c>
      <c r="T99">
        <v>584</v>
      </c>
      <c r="U99">
        <v>156</v>
      </c>
      <c r="V99">
        <v>261.87378899999999</v>
      </c>
      <c r="W99">
        <v>240.68156450000001</v>
      </c>
      <c r="X99">
        <v>261.57510509999997</v>
      </c>
      <c r="Y99">
        <v>164.65937890000001</v>
      </c>
      <c r="Z99">
        <v>116.237165</v>
      </c>
      <c r="AA99">
        <v>65</v>
      </c>
      <c r="AB99">
        <v>302.20612840000001</v>
      </c>
      <c r="AC99">
        <v>271.54532549999999</v>
      </c>
      <c r="AD99">
        <v>219.86079409999999</v>
      </c>
      <c r="AE99">
        <v>167.40047519999999</v>
      </c>
      <c r="AF99">
        <v>112.13523530000001</v>
      </c>
      <c r="AG99">
        <v>55</v>
      </c>
      <c r="AH99">
        <v>302.87095090000003</v>
      </c>
      <c r="AI99">
        <v>248.19187239999999</v>
      </c>
      <c r="AJ99">
        <v>211.19460409999999</v>
      </c>
      <c r="AK99">
        <v>176.87275940000001</v>
      </c>
      <c r="AL99">
        <v>119.9608581</v>
      </c>
      <c r="AM99">
        <v>55</v>
      </c>
      <c r="AN99">
        <v>279.72711900000002</v>
      </c>
      <c r="AO99">
        <v>220.15292020000001</v>
      </c>
      <c r="AP99">
        <v>191.57731380000001</v>
      </c>
      <c r="AQ99">
        <v>176.92008749999999</v>
      </c>
      <c r="AR99">
        <v>114.53440519999999</v>
      </c>
      <c r="AS99">
        <v>55</v>
      </c>
      <c r="AT99">
        <v>3.742972E-2</v>
      </c>
      <c r="AU99">
        <v>4.3425140000000001E-2</v>
      </c>
      <c r="AV99">
        <v>0.10081130000000001</v>
      </c>
      <c r="AW99">
        <v>8.5237809999999997E-2</v>
      </c>
      <c r="AX99">
        <v>7.4391860000000004E-2</v>
      </c>
      <c r="AY99">
        <v>2.7744350000000001E-2</v>
      </c>
      <c r="AZ99">
        <v>6.3262199999999996E-3</v>
      </c>
      <c r="BA99">
        <v>5.9434600000000002E-3</v>
      </c>
      <c r="BB99">
        <v>1.90361E-3</v>
      </c>
      <c r="BC99">
        <v>3.0760599999999998E-3</v>
      </c>
      <c r="BD99">
        <v>0.1513322</v>
      </c>
      <c r="BE99">
        <v>4.3788809999999997E-2</v>
      </c>
      <c r="BF99">
        <v>3.4897579999999997E-2</v>
      </c>
      <c r="BG99">
        <v>1.8510229999999999E-2</v>
      </c>
      <c r="BH99">
        <v>7.1330899999999999E-3</v>
      </c>
      <c r="BI99">
        <v>0.16728696000000001</v>
      </c>
      <c r="BJ99">
        <v>6.0737680000000002E-2</v>
      </c>
      <c r="BK99">
        <v>7.1484179999999994E-2</v>
      </c>
      <c r="BL99">
        <v>4.49074E-2</v>
      </c>
      <c r="BM99">
        <v>1.363234E-2</v>
      </c>
      <c r="BN99">
        <v>1780</v>
      </c>
      <c r="BO99">
        <v>310.00217190000001</v>
      </c>
      <c r="BP99">
        <v>190</v>
      </c>
    </row>
    <row r="100" spans="1:68" x14ac:dyDescent="0.2">
      <c r="A100" t="s">
        <v>665</v>
      </c>
      <c r="B100">
        <v>202</v>
      </c>
      <c r="C100">
        <v>45</v>
      </c>
      <c r="D100">
        <v>271</v>
      </c>
      <c r="E100">
        <v>391</v>
      </c>
      <c r="F100">
        <v>346</v>
      </c>
      <c r="G100">
        <v>1091</v>
      </c>
      <c r="H100">
        <v>590</v>
      </c>
      <c r="I100">
        <v>609</v>
      </c>
      <c r="J100">
        <v>465</v>
      </c>
      <c r="K100">
        <v>241</v>
      </c>
      <c r="L100">
        <v>184</v>
      </c>
      <c r="M100">
        <v>489</v>
      </c>
      <c r="N100">
        <v>784</v>
      </c>
      <c r="O100">
        <v>422</v>
      </c>
      <c r="P100">
        <v>284</v>
      </c>
      <c r="Q100">
        <v>11</v>
      </c>
      <c r="R100">
        <v>168</v>
      </c>
      <c r="S100">
        <v>755</v>
      </c>
      <c r="T100">
        <v>328</v>
      </c>
      <c r="U100">
        <v>234</v>
      </c>
      <c r="V100">
        <v>295.18610169999999</v>
      </c>
      <c r="W100">
        <v>207.0532201</v>
      </c>
      <c r="X100">
        <v>167.22377789999999</v>
      </c>
      <c r="Y100">
        <v>142.7392691</v>
      </c>
      <c r="Z100">
        <v>109.91164980000001</v>
      </c>
      <c r="AA100">
        <v>65</v>
      </c>
      <c r="AB100">
        <v>304.5040611</v>
      </c>
      <c r="AC100">
        <v>278.29438759999999</v>
      </c>
      <c r="AD100">
        <v>226.5011907</v>
      </c>
      <c r="AE100">
        <v>156.5068042</v>
      </c>
      <c r="AF100">
        <v>120.2726632</v>
      </c>
      <c r="AG100">
        <v>55</v>
      </c>
      <c r="AH100">
        <v>299.9246468</v>
      </c>
      <c r="AI100">
        <v>227.25661450000001</v>
      </c>
      <c r="AJ100">
        <v>196.36718740000001</v>
      </c>
      <c r="AK100">
        <v>164.47852320000001</v>
      </c>
      <c r="AL100">
        <v>116.2644801</v>
      </c>
      <c r="AM100">
        <v>55</v>
      </c>
      <c r="AN100">
        <v>346.72611460000002</v>
      </c>
      <c r="AO100">
        <v>198.01367980000001</v>
      </c>
      <c r="AP100">
        <v>172.88567879999999</v>
      </c>
      <c r="AQ100">
        <v>157.51608709999999</v>
      </c>
      <c r="AR100">
        <v>107.0411702</v>
      </c>
      <c r="AS100">
        <v>55</v>
      </c>
      <c r="AT100">
        <v>2.616338E-2</v>
      </c>
      <c r="AU100">
        <v>5.11525E-3</v>
      </c>
      <c r="AV100">
        <v>3.3388340000000002E-2</v>
      </c>
      <c r="AW100">
        <v>4.8547340000000001E-2</v>
      </c>
      <c r="AX100">
        <v>4.341383E-2</v>
      </c>
      <c r="AY100">
        <v>0.14282495000000001</v>
      </c>
      <c r="AZ100">
        <v>7.4810989999999994E-2</v>
      </c>
      <c r="BA100">
        <v>7.6709819999999998E-2</v>
      </c>
      <c r="BB100">
        <v>5.9414929999999998E-2</v>
      </c>
      <c r="BC100">
        <v>2.7676320000000001E-2</v>
      </c>
      <c r="BD100">
        <v>2.4630800000000001E-2</v>
      </c>
      <c r="BE100">
        <v>6.1419889999999998E-2</v>
      </c>
      <c r="BF100">
        <v>0.10009472</v>
      </c>
      <c r="BG100">
        <v>5.5973170000000003E-2</v>
      </c>
      <c r="BH100">
        <v>3.4578770000000002E-2</v>
      </c>
      <c r="BI100">
        <v>1.61561E-3</v>
      </c>
      <c r="BJ100">
        <v>1.826378E-2</v>
      </c>
      <c r="BK100">
        <v>9.5906660000000005E-2</v>
      </c>
      <c r="BL100">
        <v>4.0649129999999999E-2</v>
      </c>
      <c r="BM100">
        <v>2.8802319999999999E-2</v>
      </c>
      <c r="BN100">
        <v>610</v>
      </c>
      <c r="BO100">
        <v>262.28236020000003</v>
      </c>
      <c r="BP100">
        <v>190</v>
      </c>
    </row>
    <row r="101" spans="1:68" x14ac:dyDescent="0.2">
      <c r="A101" t="s">
        <v>666</v>
      </c>
      <c r="B101">
        <v>184</v>
      </c>
      <c r="C101">
        <v>403</v>
      </c>
      <c r="D101">
        <v>2046</v>
      </c>
      <c r="E101">
        <v>2118</v>
      </c>
      <c r="F101">
        <v>566</v>
      </c>
      <c r="G101">
        <v>2374</v>
      </c>
      <c r="H101">
        <v>810</v>
      </c>
      <c r="I101">
        <v>1094</v>
      </c>
      <c r="J101">
        <v>1997</v>
      </c>
      <c r="K101">
        <v>539</v>
      </c>
      <c r="L101">
        <v>992</v>
      </c>
      <c r="M101">
        <v>999</v>
      </c>
      <c r="N101">
        <v>2034</v>
      </c>
      <c r="O101">
        <v>1545</v>
      </c>
      <c r="P101">
        <v>807</v>
      </c>
      <c r="Q101">
        <v>228</v>
      </c>
      <c r="R101">
        <v>919</v>
      </c>
      <c r="S101">
        <v>2116</v>
      </c>
      <c r="T101">
        <v>829</v>
      </c>
      <c r="U101">
        <v>772</v>
      </c>
      <c r="V101">
        <v>253.78858579999999</v>
      </c>
      <c r="W101">
        <v>255.85599139999999</v>
      </c>
      <c r="X101">
        <v>213.06810530000001</v>
      </c>
      <c r="Y101">
        <v>159.80758130000001</v>
      </c>
      <c r="Z101">
        <v>112.64463019999999</v>
      </c>
      <c r="AA101">
        <v>65</v>
      </c>
      <c r="AB101">
        <v>301.98237239999997</v>
      </c>
      <c r="AC101">
        <v>277.74495080000003</v>
      </c>
      <c r="AD101">
        <v>218.97404019999999</v>
      </c>
      <c r="AE101">
        <v>146.27341720000001</v>
      </c>
      <c r="AF101">
        <v>116.5596324</v>
      </c>
      <c r="AG101">
        <v>55</v>
      </c>
      <c r="AH101">
        <v>291.7785313</v>
      </c>
      <c r="AI101">
        <v>229.7966409</v>
      </c>
      <c r="AJ101">
        <v>194.9366053</v>
      </c>
      <c r="AK101">
        <v>164.69425749999999</v>
      </c>
      <c r="AL101">
        <v>117.94456599999999</v>
      </c>
      <c r="AM101">
        <v>55</v>
      </c>
      <c r="AN101">
        <v>280.7325955</v>
      </c>
      <c r="AO101">
        <v>223.41800749999999</v>
      </c>
      <c r="AP101">
        <v>188.06471239999999</v>
      </c>
      <c r="AQ101">
        <v>163.36999040000001</v>
      </c>
      <c r="AR101">
        <v>117.3009163</v>
      </c>
      <c r="AS101">
        <v>55</v>
      </c>
      <c r="AT101">
        <v>7.4393699999999998E-3</v>
      </c>
      <c r="AU101">
        <v>1.7539320000000001E-2</v>
      </c>
      <c r="AV101">
        <v>8.6426310000000006E-2</v>
      </c>
      <c r="AW101">
        <v>8.9989079999999999E-2</v>
      </c>
      <c r="AX101">
        <v>2.160225E-2</v>
      </c>
      <c r="AY101">
        <v>0.10403042</v>
      </c>
      <c r="AZ101">
        <v>3.5289859999999999E-2</v>
      </c>
      <c r="BA101">
        <v>4.7058950000000002E-2</v>
      </c>
      <c r="BB101">
        <v>8.8263629999999996E-2</v>
      </c>
      <c r="BC101">
        <v>2.1160890000000002E-2</v>
      </c>
      <c r="BD101">
        <v>4.2735860000000001E-2</v>
      </c>
      <c r="BE101">
        <v>4.3355079999999997E-2</v>
      </c>
      <c r="BF101">
        <v>8.7077160000000001E-2</v>
      </c>
      <c r="BG101">
        <v>6.6598210000000005E-2</v>
      </c>
      <c r="BH101">
        <v>3.2916389999999997E-2</v>
      </c>
      <c r="BI101">
        <v>9.5381300000000006E-3</v>
      </c>
      <c r="BJ101">
        <v>4.0403920000000003E-2</v>
      </c>
      <c r="BK101">
        <v>9.1023350000000003E-2</v>
      </c>
      <c r="BL101">
        <v>3.711685E-2</v>
      </c>
      <c r="BM101">
        <v>3.0434969999999999E-2</v>
      </c>
      <c r="BN101">
        <v>3066</v>
      </c>
      <c r="BO101">
        <v>240.94535669999999</v>
      </c>
      <c r="BP101">
        <v>190</v>
      </c>
    </row>
    <row r="102" spans="1:68" x14ac:dyDescent="0.2">
      <c r="A102" t="s">
        <v>667</v>
      </c>
      <c r="B102">
        <v>27</v>
      </c>
      <c r="C102">
        <v>68</v>
      </c>
      <c r="D102">
        <v>835</v>
      </c>
      <c r="E102">
        <v>2268</v>
      </c>
      <c r="F102">
        <v>2099</v>
      </c>
      <c r="G102">
        <v>388</v>
      </c>
      <c r="H102">
        <v>282</v>
      </c>
      <c r="I102">
        <v>401</v>
      </c>
      <c r="J102">
        <v>813</v>
      </c>
      <c r="K102">
        <v>573</v>
      </c>
      <c r="L102">
        <v>89</v>
      </c>
      <c r="M102">
        <v>232</v>
      </c>
      <c r="N102">
        <v>2199</v>
      </c>
      <c r="O102">
        <v>1498</v>
      </c>
      <c r="P102">
        <v>1090</v>
      </c>
      <c r="Q102">
        <v>8</v>
      </c>
      <c r="R102">
        <v>164</v>
      </c>
      <c r="S102">
        <v>6059</v>
      </c>
      <c r="T102">
        <v>3503</v>
      </c>
      <c r="U102">
        <v>1395</v>
      </c>
      <c r="V102">
        <v>309.90029379999999</v>
      </c>
      <c r="W102">
        <v>199.62395409999999</v>
      </c>
      <c r="X102">
        <v>142.85547919999999</v>
      </c>
      <c r="Y102">
        <v>128.43172060000001</v>
      </c>
      <c r="Z102">
        <v>115.49838699999999</v>
      </c>
      <c r="AA102">
        <v>65</v>
      </c>
      <c r="AB102">
        <v>294.93124870000003</v>
      </c>
      <c r="AC102">
        <v>271.28905520000001</v>
      </c>
      <c r="AD102">
        <v>217.97202480000001</v>
      </c>
      <c r="AE102">
        <v>150.6164766</v>
      </c>
      <c r="AF102">
        <v>116.255993</v>
      </c>
      <c r="AG102">
        <v>55</v>
      </c>
      <c r="AH102">
        <v>265.1816412</v>
      </c>
      <c r="AI102">
        <v>247.60520969999999</v>
      </c>
      <c r="AJ102">
        <v>202.2101514</v>
      </c>
      <c r="AK102">
        <v>147.5117851</v>
      </c>
      <c r="AL102">
        <v>118.3394151</v>
      </c>
      <c r="AM102">
        <v>55</v>
      </c>
      <c r="AN102">
        <v>358</v>
      </c>
      <c r="AO102">
        <v>166.59038100000001</v>
      </c>
      <c r="AP102">
        <v>186.2066576</v>
      </c>
      <c r="AQ102">
        <v>132.76009999999999</v>
      </c>
      <c r="AR102">
        <v>116.07077510000001</v>
      </c>
      <c r="AS102">
        <v>55</v>
      </c>
      <c r="AT102">
        <v>1.2204500000000001E-3</v>
      </c>
      <c r="AU102">
        <v>2.5414600000000002E-3</v>
      </c>
      <c r="AV102">
        <v>3.4900529999999999E-2</v>
      </c>
      <c r="AW102">
        <v>9.3808230000000006E-2</v>
      </c>
      <c r="AX102">
        <v>8.5334950000000007E-2</v>
      </c>
      <c r="AY102">
        <v>1.6830700000000001E-2</v>
      </c>
      <c r="AZ102">
        <v>1.212411E-2</v>
      </c>
      <c r="BA102">
        <v>1.6888150000000001E-2</v>
      </c>
      <c r="BB102">
        <v>3.5414389999999997E-2</v>
      </c>
      <c r="BC102">
        <v>2.302937E-2</v>
      </c>
      <c r="BD102">
        <v>3.6542300000000001E-3</v>
      </c>
      <c r="BE102">
        <v>9.6027200000000004E-3</v>
      </c>
      <c r="BF102">
        <v>9.3380500000000005E-2</v>
      </c>
      <c r="BG102">
        <v>6.6172629999999996E-2</v>
      </c>
      <c r="BH102">
        <v>4.2705649999999998E-2</v>
      </c>
      <c r="BI102">
        <v>2.7800999999999998E-4</v>
      </c>
      <c r="BJ102">
        <v>7.06604E-3</v>
      </c>
      <c r="BK102">
        <v>0.25176967</v>
      </c>
      <c r="BL102">
        <v>0.14707603999999999</v>
      </c>
      <c r="BM102">
        <v>5.6202170000000003E-2</v>
      </c>
      <c r="BN102">
        <v>0</v>
      </c>
      <c r="BO102">
        <v>204.1597664</v>
      </c>
      <c r="BP102">
        <v>190</v>
      </c>
    </row>
    <row r="103" spans="1:68" x14ac:dyDescent="0.2">
      <c r="A103" t="s">
        <v>668</v>
      </c>
      <c r="B103">
        <v>60</v>
      </c>
      <c r="C103">
        <v>54</v>
      </c>
      <c r="D103">
        <v>633</v>
      </c>
      <c r="E103">
        <v>1057</v>
      </c>
      <c r="F103">
        <v>861</v>
      </c>
      <c r="G103">
        <v>910</v>
      </c>
      <c r="H103">
        <v>374</v>
      </c>
      <c r="I103">
        <v>364</v>
      </c>
      <c r="J103">
        <v>300</v>
      </c>
      <c r="K103">
        <v>199</v>
      </c>
      <c r="L103">
        <v>603</v>
      </c>
      <c r="M103">
        <v>724</v>
      </c>
      <c r="N103">
        <v>1041</v>
      </c>
      <c r="O103">
        <v>409</v>
      </c>
      <c r="P103">
        <v>228</v>
      </c>
      <c r="Q103">
        <v>96</v>
      </c>
      <c r="R103">
        <v>571</v>
      </c>
      <c r="S103">
        <v>1455</v>
      </c>
      <c r="T103">
        <v>649</v>
      </c>
      <c r="U103">
        <v>186</v>
      </c>
      <c r="V103">
        <v>248.7356207</v>
      </c>
      <c r="W103">
        <v>216.86929699999999</v>
      </c>
      <c r="X103">
        <v>163.8131008</v>
      </c>
      <c r="Y103">
        <v>126.94588210000001</v>
      </c>
      <c r="Z103">
        <v>98.248822809999993</v>
      </c>
      <c r="AA103">
        <v>65</v>
      </c>
      <c r="AB103">
        <v>298.595955</v>
      </c>
      <c r="AC103">
        <v>267.94497890000002</v>
      </c>
      <c r="AD103">
        <v>224.3685941</v>
      </c>
      <c r="AE103">
        <v>142.7041892</v>
      </c>
      <c r="AF103">
        <v>116.3746172</v>
      </c>
      <c r="AG103">
        <v>55</v>
      </c>
      <c r="AH103">
        <v>295.02392900000001</v>
      </c>
      <c r="AI103">
        <v>243.31102390000001</v>
      </c>
      <c r="AJ103">
        <v>200.68530329999999</v>
      </c>
      <c r="AK103">
        <v>160.1537123</v>
      </c>
      <c r="AL103">
        <v>113.25257790000001</v>
      </c>
      <c r="AM103">
        <v>55</v>
      </c>
      <c r="AN103">
        <v>295.00165140000001</v>
      </c>
      <c r="AO103">
        <v>236.29241740000001</v>
      </c>
      <c r="AP103">
        <v>188.1722264</v>
      </c>
      <c r="AQ103">
        <v>156.77138199999999</v>
      </c>
      <c r="AR103">
        <v>108.36031250000001</v>
      </c>
      <c r="AS103">
        <v>55</v>
      </c>
      <c r="AT103">
        <v>5.6154400000000002E-3</v>
      </c>
      <c r="AU103">
        <v>5.2831400000000004E-3</v>
      </c>
      <c r="AV103">
        <v>5.8669609999999997E-2</v>
      </c>
      <c r="AW103">
        <v>0.10100102</v>
      </c>
      <c r="AX103">
        <v>8.4332279999999996E-2</v>
      </c>
      <c r="AY103">
        <v>8.7787400000000002E-2</v>
      </c>
      <c r="AZ103">
        <v>3.6807399999999997E-2</v>
      </c>
      <c r="BA103">
        <v>3.1296200000000003E-2</v>
      </c>
      <c r="BB103">
        <v>2.5384380000000002E-2</v>
      </c>
      <c r="BC103">
        <v>2.0133640000000001E-2</v>
      </c>
      <c r="BD103">
        <v>6.1690439999999999E-2</v>
      </c>
      <c r="BE103">
        <v>7.1393440000000002E-2</v>
      </c>
      <c r="BF103">
        <v>8.8269899999999998E-2</v>
      </c>
      <c r="BG103">
        <v>3.3456519999999997E-2</v>
      </c>
      <c r="BH103">
        <v>2.4066480000000001E-2</v>
      </c>
      <c r="BI103">
        <v>9.6783900000000003E-3</v>
      </c>
      <c r="BJ103">
        <v>5.1284919999999998E-2</v>
      </c>
      <c r="BK103">
        <v>0.12861932000000001</v>
      </c>
      <c r="BL103">
        <v>5.601246E-2</v>
      </c>
      <c r="BM103">
        <v>1.9217620000000001E-2</v>
      </c>
      <c r="BN103">
        <v>1370</v>
      </c>
      <c r="BO103">
        <v>302.25503329999998</v>
      </c>
      <c r="BP103">
        <v>190</v>
      </c>
    </row>
    <row r="104" spans="1:68" x14ac:dyDescent="0.2">
      <c r="A104" t="s">
        <v>669</v>
      </c>
      <c r="B104">
        <v>108</v>
      </c>
      <c r="C104">
        <v>76</v>
      </c>
      <c r="D104">
        <v>447</v>
      </c>
      <c r="E104">
        <v>1116</v>
      </c>
      <c r="F104">
        <v>395</v>
      </c>
      <c r="G104">
        <v>1206</v>
      </c>
      <c r="H104">
        <v>641</v>
      </c>
      <c r="I104">
        <v>1050</v>
      </c>
      <c r="J104">
        <v>798</v>
      </c>
      <c r="K104">
        <v>405</v>
      </c>
      <c r="L104">
        <v>657</v>
      </c>
      <c r="M104">
        <v>1112</v>
      </c>
      <c r="N104">
        <v>1796</v>
      </c>
      <c r="O104">
        <v>1190</v>
      </c>
      <c r="P104">
        <v>386</v>
      </c>
      <c r="Q104">
        <v>116</v>
      </c>
      <c r="R104">
        <v>502</v>
      </c>
      <c r="S104">
        <v>1767</v>
      </c>
      <c r="T104">
        <v>934</v>
      </c>
      <c r="U104">
        <v>169</v>
      </c>
      <c r="V104">
        <v>287.53978380000001</v>
      </c>
      <c r="W104">
        <v>262.80500790000002</v>
      </c>
      <c r="X104">
        <v>179.1449945</v>
      </c>
      <c r="Y104">
        <v>158.1343545</v>
      </c>
      <c r="Z104">
        <v>119.20135399999999</v>
      </c>
      <c r="AA104">
        <v>65</v>
      </c>
      <c r="AB104">
        <v>299.6228026</v>
      </c>
      <c r="AC104">
        <v>278.04256179999999</v>
      </c>
      <c r="AD104">
        <v>216.18184020000001</v>
      </c>
      <c r="AE104">
        <v>154.39661860000001</v>
      </c>
      <c r="AF104">
        <v>112.3791599</v>
      </c>
      <c r="AG104">
        <v>55</v>
      </c>
      <c r="AH104">
        <v>300.8178254</v>
      </c>
      <c r="AI104">
        <v>230.867378</v>
      </c>
      <c r="AJ104">
        <v>186.7266904</v>
      </c>
      <c r="AK104">
        <v>161.8963401</v>
      </c>
      <c r="AL104">
        <v>113.1513372</v>
      </c>
      <c r="AM104">
        <v>55</v>
      </c>
      <c r="AN104">
        <v>298.59743730000002</v>
      </c>
      <c r="AO104">
        <v>209.88581769999999</v>
      </c>
      <c r="AP104">
        <v>170.42673009999999</v>
      </c>
      <c r="AQ104">
        <v>166.79428290000001</v>
      </c>
      <c r="AR104">
        <v>117.5119631</v>
      </c>
      <c r="AS104">
        <v>55</v>
      </c>
      <c r="AT104">
        <v>7.0568000000000002E-3</v>
      </c>
      <c r="AU104">
        <v>5.6126300000000004E-3</v>
      </c>
      <c r="AV104">
        <v>2.7501080000000001E-2</v>
      </c>
      <c r="AW104">
        <v>7.0394109999999996E-2</v>
      </c>
      <c r="AX104">
        <v>2.496166E-2</v>
      </c>
      <c r="AY104">
        <v>8.0504909999999999E-2</v>
      </c>
      <c r="AZ104">
        <v>4.3346139999999998E-2</v>
      </c>
      <c r="BA104">
        <v>7.0949319999999996E-2</v>
      </c>
      <c r="BB104">
        <v>5.3954229999999999E-2</v>
      </c>
      <c r="BC104">
        <v>2.8998940000000001E-2</v>
      </c>
      <c r="BD104">
        <v>4.3096000000000002E-2</v>
      </c>
      <c r="BE104">
        <v>7.4310490000000007E-2</v>
      </c>
      <c r="BF104">
        <v>0.12215656</v>
      </c>
      <c r="BG104">
        <v>8.0865950000000006E-2</v>
      </c>
      <c r="BH104">
        <v>2.8663069999999999E-2</v>
      </c>
      <c r="BI104">
        <v>7.4558699999999999E-3</v>
      </c>
      <c r="BJ104">
        <v>3.3055090000000002E-2</v>
      </c>
      <c r="BK104">
        <v>0.1212845</v>
      </c>
      <c r="BL104">
        <v>6.4230499999999996E-2</v>
      </c>
      <c r="BM104">
        <v>1.160215E-2</v>
      </c>
      <c r="BN104">
        <v>1967</v>
      </c>
      <c r="BO104">
        <v>211.05341229999999</v>
      </c>
      <c r="BP104">
        <v>190</v>
      </c>
    </row>
    <row r="105" spans="1:68" x14ac:dyDescent="0.2">
      <c r="A105" t="s">
        <v>670</v>
      </c>
      <c r="B105">
        <v>60</v>
      </c>
      <c r="C105">
        <v>39</v>
      </c>
      <c r="D105">
        <v>2471</v>
      </c>
      <c r="E105">
        <v>1521</v>
      </c>
      <c r="F105">
        <v>656</v>
      </c>
      <c r="G105">
        <v>409</v>
      </c>
      <c r="H105">
        <v>144</v>
      </c>
      <c r="I105">
        <v>245</v>
      </c>
      <c r="J105">
        <v>686</v>
      </c>
      <c r="K105">
        <v>152</v>
      </c>
      <c r="L105">
        <v>276</v>
      </c>
      <c r="M105">
        <v>398</v>
      </c>
      <c r="N105">
        <v>2085</v>
      </c>
      <c r="O105">
        <v>1041</v>
      </c>
      <c r="P105">
        <v>178</v>
      </c>
      <c r="Q105">
        <v>112</v>
      </c>
      <c r="R105">
        <v>592</v>
      </c>
      <c r="S105">
        <v>4749</v>
      </c>
      <c r="T105">
        <v>1922</v>
      </c>
      <c r="U105">
        <v>301</v>
      </c>
      <c r="V105">
        <v>305.84075360000003</v>
      </c>
      <c r="W105">
        <v>267.68021199999998</v>
      </c>
      <c r="X105">
        <v>155.9197006</v>
      </c>
      <c r="Y105">
        <v>153.75333470000001</v>
      </c>
      <c r="Z105">
        <v>118.14050570000001</v>
      </c>
      <c r="AA105">
        <v>65</v>
      </c>
      <c r="AB105">
        <v>297.56261230000001</v>
      </c>
      <c r="AC105">
        <v>269.21105510000001</v>
      </c>
      <c r="AD105">
        <v>209.7599372</v>
      </c>
      <c r="AE105">
        <v>150.46112099999999</v>
      </c>
      <c r="AF105">
        <v>120.3468081</v>
      </c>
      <c r="AG105">
        <v>55</v>
      </c>
      <c r="AH105">
        <v>291.66753679999999</v>
      </c>
      <c r="AI105">
        <v>218.0791973</v>
      </c>
      <c r="AJ105">
        <v>213.4383464</v>
      </c>
      <c r="AK105">
        <v>164.46718190000001</v>
      </c>
      <c r="AL105">
        <v>116.0388184</v>
      </c>
      <c r="AM105">
        <v>55</v>
      </c>
      <c r="AN105">
        <v>284.92179019999998</v>
      </c>
      <c r="AO105">
        <v>187.5861266</v>
      </c>
      <c r="AP105">
        <v>202.09624640000001</v>
      </c>
      <c r="AQ105">
        <v>165.170389</v>
      </c>
      <c r="AR105">
        <v>116.3829485</v>
      </c>
      <c r="AS105">
        <v>55</v>
      </c>
      <c r="AT105">
        <v>3.4724700000000001E-3</v>
      </c>
      <c r="AU105">
        <v>2.7107400000000001E-3</v>
      </c>
      <c r="AV105">
        <v>0.14152335999999999</v>
      </c>
      <c r="AW105">
        <v>8.3760959999999995E-2</v>
      </c>
      <c r="AX105">
        <v>4.0387310000000003E-2</v>
      </c>
      <c r="AY105">
        <v>2.2479869999999999E-2</v>
      </c>
      <c r="AZ105">
        <v>7.59854E-3</v>
      </c>
      <c r="BA105">
        <v>1.311969E-2</v>
      </c>
      <c r="BB105">
        <v>3.4666130000000003E-2</v>
      </c>
      <c r="BC105">
        <v>9.4558100000000003E-3</v>
      </c>
      <c r="BD105">
        <v>1.5517019999999999E-2</v>
      </c>
      <c r="BE105">
        <v>2.2656969999999998E-2</v>
      </c>
      <c r="BF105">
        <v>0.11162635999999999</v>
      </c>
      <c r="BG105">
        <v>5.759918E-2</v>
      </c>
      <c r="BH105">
        <v>1.041602E-2</v>
      </c>
      <c r="BI105">
        <v>6.9879699999999996E-3</v>
      </c>
      <c r="BJ105">
        <v>3.8012570000000002E-2</v>
      </c>
      <c r="BK105">
        <v>0.25597136999999998</v>
      </c>
      <c r="BL105">
        <v>0.10386542</v>
      </c>
      <c r="BM105">
        <v>1.8172239999999999E-2</v>
      </c>
      <c r="BN105">
        <v>1774</v>
      </c>
      <c r="BO105">
        <v>215.52653520000001</v>
      </c>
      <c r="BP105">
        <v>190</v>
      </c>
    </row>
    <row r="106" spans="1:68" x14ac:dyDescent="0.2">
      <c r="A106" t="s">
        <v>671</v>
      </c>
      <c r="B106">
        <v>5</v>
      </c>
      <c r="C106">
        <v>229</v>
      </c>
      <c r="D106">
        <v>1040</v>
      </c>
      <c r="E106">
        <v>540</v>
      </c>
      <c r="F106">
        <v>1021</v>
      </c>
      <c r="G106">
        <v>177</v>
      </c>
      <c r="H106">
        <v>55</v>
      </c>
      <c r="I106">
        <v>134</v>
      </c>
      <c r="J106">
        <v>198</v>
      </c>
      <c r="K106">
        <v>246</v>
      </c>
      <c r="L106">
        <v>237</v>
      </c>
      <c r="M106">
        <v>519</v>
      </c>
      <c r="N106">
        <v>817</v>
      </c>
      <c r="O106">
        <v>600</v>
      </c>
      <c r="P106">
        <v>667</v>
      </c>
      <c r="Q106">
        <v>78</v>
      </c>
      <c r="R106">
        <v>1068</v>
      </c>
      <c r="S106">
        <v>1760</v>
      </c>
      <c r="T106">
        <v>1335</v>
      </c>
      <c r="U106">
        <v>1583</v>
      </c>
      <c r="V106">
        <v>134.8506667</v>
      </c>
      <c r="W106">
        <v>270.85107740000001</v>
      </c>
      <c r="X106">
        <v>194.40069690000001</v>
      </c>
      <c r="Y106">
        <v>171.24591699999999</v>
      </c>
      <c r="Z106">
        <v>113.8509433</v>
      </c>
      <c r="AA106">
        <v>65</v>
      </c>
      <c r="AB106">
        <v>303.27952670000002</v>
      </c>
      <c r="AC106">
        <v>298.00359450000002</v>
      </c>
      <c r="AD106">
        <v>227.2127753</v>
      </c>
      <c r="AE106">
        <v>148.96911940000001</v>
      </c>
      <c r="AF106">
        <v>116.2687619</v>
      </c>
      <c r="AG106">
        <v>55</v>
      </c>
      <c r="AH106">
        <v>301.06636459999999</v>
      </c>
      <c r="AI106">
        <v>227.66436289999999</v>
      </c>
      <c r="AJ106">
        <v>207.8972972</v>
      </c>
      <c r="AK106">
        <v>162.4876337</v>
      </c>
      <c r="AL106">
        <v>118.4829158</v>
      </c>
      <c r="AM106">
        <v>55</v>
      </c>
      <c r="AN106">
        <v>290.79009839999998</v>
      </c>
      <c r="AO106">
        <v>226.50707829999999</v>
      </c>
      <c r="AP106">
        <v>200.46478959999999</v>
      </c>
      <c r="AQ106">
        <v>154.51227549999999</v>
      </c>
      <c r="AR106">
        <v>115.15293870000001</v>
      </c>
      <c r="AS106">
        <v>55</v>
      </c>
      <c r="AT106">
        <v>3.2479999999999998E-4</v>
      </c>
      <c r="AU106">
        <v>1.893311E-2</v>
      </c>
      <c r="AV106">
        <v>8.4671880000000005E-2</v>
      </c>
      <c r="AW106">
        <v>4.0644989999999999E-2</v>
      </c>
      <c r="AX106">
        <v>8.4933599999999998E-2</v>
      </c>
      <c r="AY106">
        <v>1.435869E-2</v>
      </c>
      <c r="AZ106">
        <v>4.6409499999999996E-3</v>
      </c>
      <c r="BA106">
        <v>9.1569200000000007E-3</v>
      </c>
      <c r="BB106">
        <v>1.6865660000000001E-2</v>
      </c>
      <c r="BC106">
        <v>2.29585E-2</v>
      </c>
      <c r="BD106">
        <v>1.9031490000000002E-2</v>
      </c>
      <c r="BE106">
        <v>4.1769670000000002E-2</v>
      </c>
      <c r="BF106">
        <v>6.2982250000000004E-2</v>
      </c>
      <c r="BG106">
        <v>4.8644069999999998E-2</v>
      </c>
      <c r="BH106">
        <v>5.9729480000000001E-2</v>
      </c>
      <c r="BI106">
        <v>6.2832599999999997E-3</v>
      </c>
      <c r="BJ106">
        <v>8.6120920000000004E-2</v>
      </c>
      <c r="BK106">
        <v>0.13314253000000001</v>
      </c>
      <c r="BL106">
        <v>0.11067417</v>
      </c>
      <c r="BM106">
        <v>0.13413306</v>
      </c>
      <c r="BN106">
        <v>1185</v>
      </c>
      <c r="BO106">
        <v>220.92385680000001</v>
      </c>
      <c r="BP106">
        <v>190</v>
      </c>
    </row>
    <row r="107" spans="1:68" x14ac:dyDescent="0.2">
      <c r="A107" t="s">
        <v>672</v>
      </c>
      <c r="B107">
        <v>417</v>
      </c>
      <c r="C107">
        <v>2965</v>
      </c>
      <c r="D107">
        <v>2986</v>
      </c>
      <c r="E107">
        <v>3400</v>
      </c>
      <c r="F107">
        <v>1639</v>
      </c>
      <c r="G107">
        <v>1420</v>
      </c>
      <c r="H107">
        <v>392</v>
      </c>
      <c r="I107">
        <v>982</v>
      </c>
      <c r="J107">
        <v>1213</v>
      </c>
      <c r="K107">
        <v>501</v>
      </c>
      <c r="L107">
        <v>4287</v>
      </c>
      <c r="M107">
        <v>1866</v>
      </c>
      <c r="N107">
        <v>2995</v>
      </c>
      <c r="O107">
        <v>1724</v>
      </c>
      <c r="P107">
        <v>603</v>
      </c>
      <c r="Q107">
        <v>1568</v>
      </c>
      <c r="R107">
        <v>1528</v>
      </c>
      <c r="S107">
        <v>4963</v>
      </c>
      <c r="T107">
        <v>2411</v>
      </c>
      <c r="U107">
        <v>880</v>
      </c>
      <c r="V107">
        <v>200.41512520000001</v>
      </c>
      <c r="W107">
        <v>172.7732733</v>
      </c>
      <c r="X107">
        <v>196.5590248</v>
      </c>
      <c r="Y107">
        <v>140.78833829999999</v>
      </c>
      <c r="Z107">
        <v>102.8571937</v>
      </c>
      <c r="AA107">
        <v>65</v>
      </c>
      <c r="AB107">
        <v>314.74824580000001</v>
      </c>
      <c r="AC107">
        <v>272.46146340000001</v>
      </c>
      <c r="AD107">
        <v>211.04899499999999</v>
      </c>
      <c r="AE107">
        <v>152.30792600000001</v>
      </c>
      <c r="AF107">
        <v>115.3398931</v>
      </c>
      <c r="AG107">
        <v>55</v>
      </c>
      <c r="AH107">
        <v>302.53683039999999</v>
      </c>
      <c r="AI107">
        <v>249.38111910000001</v>
      </c>
      <c r="AJ107">
        <v>193.79151300000001</v>
      </c>
      <c r="AK107">
        <v>167.0790691</v>
      </c>
      <c r="AL107">
        <v>117.1561288</v>
      </c>
      <c r="AM107">
        <v>55</v>
      </c>
      <c r="AN107">
        <v>265.78806939999998</v>
      </c>
      <c r="AO107">
        <v>218.91188489999999</v>
      </c>
      <c r="AP107">
        <v>173.38329970000001</v>
      </c>
      <c r="AQ107">
        <v>155.5635221</v>
      </c>
      <c r="AR107">
        <v>114.31002669999999</v>
      </c>
      <c r="AS107">
        <v>55</v>
      </c>
      <c r="AT107">
        <v>1.104604E-2</v>
      </c>
      <c r="AU107">
        <v>7.5501159999999998E-2</v>
      </c>
      <c r="AV107">
        <v>7.9715369999999994E-2</v>
      </c>
      <c r="AW107">
        <v>8.9857000000000006E-2</v>
      </c>
      <c r="AX107">
        <v>3.98909E-2</v>
      </c>
      <c r="AY107">
        <v>3.8246830000000002E-2</v>
      </c>
      <c r="AZ107">
        <v>1.0930489999999999E-2</v>
      </c>
      <c r="BA107">
        <v>2.7124120000000002E-2</v>
      </c>
      <c r="BB107">
        <v>3.2340050000000002E-2</v>
      </c>
      <c r="BC107">
        <v>1.2233040000000001E-2</v>
      </c>
      <c r="BD107">
        <v>0.11174454</v>
      </c>
      <c r="BE107">
        <v>4.7298779999999999E-2</v>
      </c>
      <c r="BF107">
        <v>7.8413360000000001E-2</v>
      </c>
      <c r="BG107">
        <v>4.2924909999999997E-2</v>
      </c>
      <c r="BH107">
        <v>1.443319E-2</v>
      </c>
      <c r="BI107">
        <v>4.0713399999999997E-2</v>
      </c>
      <c r="BJ107">
        <v>3.8169130000000003E-2</v>
      </c>
      <c r="BK107">
        <v>0.12770065999999999</v>
      </c>
      <c r="BL107">
        <v>6.0899830000000002E-2</v>
      </c>
      <c r="BM107">
        <v>2.0817200000000001E-2</v>
      </c>
      <c r="BN107">
        <v>5509</v>
      </c>
      <c r="BO107">
        <v>234.7511207</v>
      </c>
      <c r="BP107">
        <v>190</v>
      </c>
    </row>
    <row r="108" spans="1:68" x14ac:dyDescent="0.2">
      <c r="A108" t="s">
        <v>673</v>
      </c>
      <c r="B108">
        <v>39</v>
      </c>
      <c r="C108">
        <v>12</v>
      </c>
      <c r="D108">
        <v>196</v>
      </c>
      <c r="E108">
        <v>829</v>
      </c>
      <c r="F108">
        <v>152</v>
      </c>
      <c r="G108">
        <v>271</v>
      </c>
      <c r="H108">
        <v>220</v>
      </c>
      <c r="I108">
        <v>524</v>
      </c>
      <c r="J108">
        <v>554</v>
      </c>
      <c r="K108">
        <v>134</v>
      </c>
      <c r="L108">
        <v>133</v>
      </c>
      <c r="M108">
        <v>187</v>
      </c>
      <c r="N108">
        <v>1001</v>
      </c>
      <c r="O108">
        <v>793</v>
      </c>
      <c r="P108">
        <v>158</v>
      </c>
      <c r="Q108">
        <v>7</v>
      </c>
      <c r="R108">
        <v>72</v>
      </c>
      <c r="S108">
        <v>1080</v>
      </c>
      <c r="T108">
        <v>702</v>
      </c>
      <c r="U108">
        <v>157</v>
      </c>
      <c r="V108">
        <v>226.79050699999999</v>
      </c>
      <c r="W108">
        <v>236.3510393</v>
      </c>
      <c r="X108">
        <v>142.0090385</v>
      </c>
      <c r="Y108">
        <v>145.54518469999999</v>
      </c>
      <c r="Z108">
        <v>107.5875906</v>
      </c>
      <c r="AA108">
        <v>65</v>
      </c>
      <c r="AB108">
        <v>317.52720269999998</v>
      </c>
      <c r="AC108">
        <v>260.58907099999999</v>
      </c>
      <c r="AD108">
        <v>215.6969435</v>
      </c>
      <c r="AE108">
        <v>154.99867570000001</v>
      </c>
      <c r="AF108">
        <v>114.58496</v>
      </c>
      <c r="AG108">
        <v>55</v>
      </c>
      <c r="AH108">
        <v>300.46801369999997</v>
      </c>
      <c r="AI108">
        <v>246.08951329999999</v>
      </c>
      <c r="AJ108">
        <v>194.4587434</v>
      </c>
      <c r="AK108">
        <v>156.43357359999999</v>
      </c>
      <c r="AL108">
        <v>119.8189402</v>
      </c>
      <c r="AM108">
        <v>55</v>
      </c>
      <c r="AN108">
        <v>358</v>
      </c>
      <c r="AO108">
        <v>204.5340502</v>
      </c>
      <c r="AP108">
        <v>176.90628839999999</v>
      </c>
      <c r="AQ108">
        <v>157.2086525</v>
      </c>
      <c r="AR108">
        <v>116.4080151</v>
      </c>
      <c r="AS108">
        <v>55</v>
      </c>
      <c r="AT108">
        <v>5.8240699999999998E-3</v>
      </c>
      <c r="AU108">
        <v>1.63707E-3</v>
      </c>
      <c r="AV108">
        <v>2.8430739999999999E-2</v>
      </c>
      <c r="AW108">
        <v>0.10732145</v>
      </c>
      <c r="AX108">
        <v>2.2328979999999998E-2</v>
      </c>
      <c r="AY108">
        <v>3.7713579999999997E-2</v>
      </c>
      <c r="AZ108">
        <v>3.210209E-2</v>
      </c>
      <c r="BA108">
        <v>7.2881630000000003E-2</v>
      </c>
      <c r="BB108">
        <v>7.0976810000000001E-2</v>
      </c>
      <c r="BC108">
        <v>2.2948719999999999E-2</v>
      </c>
      <c r="BD108">
        <v>1.7335400000000001E-2</v>
      </c>
      <c r="BE108">
        <v>2.8798170000000001E-2</v>
      </c>
      <c r="BF108">
        <v>0.14269841</v>
      </c>
      <c r="BG108">
        <v>0.10073788</v>
      </c>
      <c r="BH108">
        <v>2.7301229999999999E-2</v>
      </c>
      <c r="BI108">
        <v>1.1780600000000001E-3</v>
      </c>
      <c r="BJ108">
        <v>1.112808E-2</v>
      </c>
      <c r="BK108">
        <v>0.15372351000000001</v>
      </c>
      <c r="BL108">
        <v>8.8131619999999994E-2</v>
      </c>
      <c r="BM108">
        <v>2.68025E-2</v>
      </c>
      <c r="BN108">
        <v>663</v>
      </c>
      <c r="BO108">
        <v>206.63400369999999</v>
      </c>
      <c r="BP108">
        <v>190</v>
      </c>
    </row>
    <row r="109" spans="1:68" x14ac:dyDescent="0.2">
      <c r="A109" t="s">
        <v>674</v>
      </c>
      <c r="B109">
        <v>71</v>
      </c>
      <c r="C109">
        <v>108</v>
      </c>
      <c r="D109">
        <v>392</v>
      </c>
      <c r="E109">
        <v>1248</v>
      </c>
      <c r="F109">
        <v>977</v>
      </c>
      <c r="G109">
        <v>762</v>
      </c>
      <c r="H109">
        <v>504</v>
      </c>
      <c r="I109">
        <v>928</v>
      </c>
      <c r="J109">
        <v>1048</v>
      </c>
      <c r="K109">
        <v>451</v>
      </c>
      <c r="L109">
        <v>402</v>
      </c>
      <c r="M109">
        <v>1383</v>
      </c>
      <c r="N109">
        <v>2103</v>
      </c>
      <c r="O109">
        <v>1299</v>
      </c>
      <c r="P109">
        <v>503</v>
      </c>
      <c r="Q109">
        <v>173</v>
      </c>
      <c r="R109">
        <v>1148</v>
      </c>
      <c r="S109">
        <v>3374</v>
      </c>
      <c r="T109">
        <v>1702</v>
      </c>
      <c r="U109">
        <v>617</v>
      </c>
      <c r="V109">
        <v>206.94521130000001</v>
      </c>
      <c r="W109">
        <v>254.95286490000001</v>
      </c>
      <c r="X109">
        <v>155.72340729999999</v>
      </c>
      <c r="Y109">
        <v>133.43663369999999</v>
      </c>
      <c r="Z109">
        <v>101.7369439</v>
      </c>
      <c r="AA109">
        <v>65</v>
      </c>
      <c r="AB109">
        <v>305.59558779999998</v>
      </c>
      <c r="AC109">
        <v>286.51707970000001</v>
      </c>
      <c r="AD109">
        <v>217.56170990000001</v>
      </c>
      <c r="AE109">
        <v>150.900417</v>
      </c>
      <c r="AF109">
        <v>116.0220992</v>
      </c>
      <c r="AG109">
        <v>55</v>
      </c>
      <c r="AH109">
        <v>290.7063172</v>
      </c>
      <c r="AI109">
        <v>266.63464879999998</v>
      </c>
      <c r="AJ109">
        <v>190.0690238</v>
      </c>
      <c r="AK109">
        <v>160.58925429999999</v>
      </c>
      <c r="AL109">
        <v>117.2509864</v>
      </c>
      <c r="AM109">
        <v>55</v>
      </c>
      <c r="AN109">
        <v>277.30155619999999</v>
      </c>
      <c r="AO109">
        <v>232.31813959999999</v>
      </c>
      <c r="AP109">
        <v>169.81576319999999</v>
      </c>
      <c r="AQ109">
        <v>158.820134</v>
      </c>
      <c r="AR109">
        <v>115.0253381</v>
      </c>
      <c r="AS109">
        <v>55</v>
      </c>
      <c r="AT109">
        <v>3.7648E-3</v>
      </c>
      <c r="AU109">
        <v>5.5997199999999999E-3</v>
      </c>
      <c r="AV109">
        <v>2.006718E-2</v>
      </c>
      <c r="AW109">
        <v>6.9026500000000005E-2</v>
      </c>
      <c r="AX109">
        <v>6.243932E-2</v>
      </c>
      <c r="AY109">
        <v>3.7962240000000001E-2</v>
      </c>
      <c r="AZ109">
        <v>2.5393220000000001E-2</v>
      </c>
      <c r="BA109">
        <v>4.6189910000000001E-2</v>
      </c>
      <c r="BB109">
        <v>5.8427E-2</v>
      </c>
      <c r="BC109">
        <v>2.2030879999999999E-2</v>
      </c>
      <c r="BD109">
        <v>2.0262539999999999E-2</v>
      </c>
      <c r="BE109">
        <v>7.0364120000000002E-2</v>
      </c>
      <c r="BF109">
        <v>0.11038568999999999</v>
      </c>
      <c r="BG109">
        <v>6.4450969999999996E-2</v>
      </c>
      <c r="BH109">
        <v>2.431647E-2</v>
      </c>
      <c r="BI109">
        <v>8.0479000000000002E-3</v>
      </c>
      <c r="BJ109">
        <v>5.9555660000000003E-2</v>
      </c>
      <c r="BK109">
        <v>0.17535772999999999</v>
      </c>
      <c r="BL109">
        <v>8.4317119999999995E-2</v>
      </c>
      <c r="BM109">
        <v>3.2041029999999998E-2</v>
      </c>
      <c r="BN109">
        <v>2069</v>
      </c>
      <c r="BO109">
        <v>247.66839289999999</v>
      </c>
      <c r="BP109">
        <v>190</v>
      </c>
    </row>
    <row r="110" spans="1:68" x14ac:dyDescent="0.2">
      <c r="A110" t="s">
        <v>675</v>
      </c>
      <c r="B110">
        <v>185</v>
      </c>
      <c r="C110">
        <v>371</v>
      </c>
      <c r="D110">
        <v>841</v>
      </c>
      <c r="E110">
        <v>640</v>
      </c>
      <c r="F110">
        <v>848</v>
      </c>
      <c r="G110">
        <v>221</v>
      </c>
      <c r="H110">
        <v>72</v>
      </c>
      <c r="I110">
        <v>134</v>
      </c>
      <c r="J110">
        <v>156</v>
      </c>
      <c r="K110">
        <v>84</v>
      </c>
      <c r="L110">
        <v>750</v>
      </c>
      <c r="M110">
        <v>271</v>
      </c>
      <c r="N110">
        <v>689</v>
      </c>
      <c r="O110">
        <v>369</v>
      </c>
      <c r="P110">
        <v>286</v>
      </c>
      <c r="Q110">
        <v>832</v>
      </c>
      <c r="R110">
        <v>394</v>
      </c>
      <c r="S110">
        <v>1714</v>
      </c>
      <c r="T110">
        <v>639</v>
      </c>
      <c r="U110">
        <v>357</v>
      </c>
      <c r="V110">
        <v>267.5384201</v>
      </c>
      <c r="W110">
        <v>247.80929760000001</v>
      </c>
      <c r="X110">
        <v>182.06186510000001</v>
      </c>
      <c r="Y110">
        <v>159.49547419999999</v>
      </c>
      <c r="Z110">
        <v>121.0215603</v>
      </c>
      <c r="AA110">
        <v>65</v>
      </c>
      <c r="AB110">
        <v>311.49047080000003</v>
      </c>
      <c r="AC110">
        <v>294.2687866</v>
      </c>
      <c r="AD110">
        <v>223.95314959999999</v>
      </c>
      <c r="AE110">
        <v>150.4721394</v>
      </c>
      <c r="AF110">
        <v>116.7425314</v>
      </c>
      <c r="AG110">
        <v>55</v>
      </c>
      <c r="AH110">
        <v>299.0968957</v>
      </c>
      <c r="AI110">
        <v>227.4465768</v>
      </c>
      <c r="AJ110">
        <v>199.14395999999999</v>
      </c>
      <c r="AK110">
        <v>158.85493750000001</v>
      </c>
      <c r="AL110">
        <v>117.4440402</v>
      </c>
      <c r="AM110">
        <v>55</v>
      </c>
      <c r="AN110">
        <v>285.91941129999998</v>
      </c>
      <c r="AO110">
        <v>206.52059990000001</v>
      </c>
      <c r="AP110">
        <v>197.22263229999999</v>
      </c>
      <c r="AQ110">
        <v>167.34499349999999</v>
      </c>
      <c r="AR110">
        <v>116.05407529999999</v>
      </c>
      <c r="AS110">
        <v>55</v>
      </c>
      <c r="AT110">
        <v>1.950528E-2</v>
      </c>
      <c r="AU110">
        <v>4.1850869999999998E-2</v>
      </c>
      <c r="AV110">
        <v>7.8289750000000005E-2</v>
      </c>
      <c r="AW110">
        <v>6.9320889999999996E-2</v>
      </c>
      <c r="AX110">
        <v>8.0390149999999994E-2</v>
      </c>
      <c r="AY110">
        <v>2.2629259999999998E-2</v>
      </c>
      <c r="AZ110">
        <v>6.7468299999999997E-3</v>
      </c>
      <c r="BA110">
        <v>1.369186E-2</v>
      </c>
      <c r="BB110">
        <v>1.6382130000000002E-2</v>
      </c>
      <c r="BC110">
        <v>8.8126899999999998E-3</v>
      </c>
      <c r="BD110">
        <v>7.7749139999999994E-2</v>
      </c>
      <c r="BE110">
        <v>2.6080349999999999E-2</v>
      </c>
      <c r="BF110">
        <v>7.4124899999999994E-2</v>
      </c>
      <c r="BG110">
        <v>3.7617820000000003E-2</v>
      </c>
      <c r="BH110">
        <v>2.6942210000000001E-2</v>
      </c>
      <c r="BI110">
        <v>8.907031E-2</v>
      </c>
      <c r="BJ110">
        <v>4.1688019999999999E-2</v>
      </c>
      <c r="BK110">
        <v>0.17388057000000001</v>
      </c>
      <c r="BL110">
        <v>6.0719769999999999E-2</v>
      </c>
      <c r="BM110">
        <v>3.4507200000000002E-2</v>
      </c>
      <c r="BN110">
        <v>879</v>
      </c>
      <c r="BO110">
        <v>249.81349370000001</v>
      </c>
      <c r="BP110">
        <v>190</v>
      </c>
    </row>
    <row r="111" spans="1:68" x14ac:dyDescent="0.2">
      <c r="A111" t="s">
        <v>676</v>
      </c>
      <c r="B111">
        <v>32</v>
      </c>
      <c r="C111">
        <v>119</v>
      </c>
      <c r="D111">
        <v>69</v>
      </c>
      <c r="E111">
        <v>227</v>
      </c>
      <c r="F111">
        <v>286</v>
      </c>
      <c r="G111">
        <v>307</v>
      </c>
      <c r="H111">
        <v>446</v>
      </c>
      <c r="I111">
        <v>686</v>
      </c>
      <c r="J111">
        <v>572</v>
      </c>
      <c r="K111">
        <v>230</v>
      </c>
      <c r="L111">
        <v>217</v>
      </c>
      <c r="M111">
        <v>369</v>
      </c>
      <c r="N111">
        <v>839</v>
      </c>
      <c r="O111">
        <v>590</v>
      </c>
      <c r="P111">
        <v>248</v>
      </c>
      <c r="Q111">
        <v>75</v>
      </c>
      <c r="R111">
        <v>110</v>
      </c>
      <c r="S111">
        <v>602</v>
      </c>
      <c r="T111">
        <v>493</v>
      </c>
      <c r="U111">
        <v>181</v>
      </c>
      <c r="V111">
        <v>130.58338090000001</v>
      </c>
      <c r="W111">
        <v>335.10788380000002</v>
      </c>
      <c r="X111">
        <v>139.73356250000001</v>
      </c>
      <c r="Y111">
        <v>110.8149188</v>
      </c>
      <c r="Z111">
        <v>95.796535070000004</v>
      </c>
      <c r="AA111">
        <v>65</v>
      </c>
      <c r="AB111">
        <v>278.34994119999999</v>
      </c>
      <c r="AC111">
        <v>265.8106348</v>
      </c>
      <c r="AD111">
        <v>217.64292940000001</v>
      </c>
      <c r="AE111">
        <v>151.7725365</v>
      </c>
      <c r="AF111">
        <v>118.8761655</v>
      </c>
      <c r="AG111">
        <v>55</v>
      </c>
      <c r="AH111">
        <v>293.65291530000002</v>
      </c>
      <c r="AI111">
        <v>258.03791389999998</v>
      </c>
      <c r="AJ111">
        <v>201.25704970000001</v>
      </c>
      <c r="AK111">
        <v>159.596597</v>
      </c>
      <c r="AL111">
        <v>117.0604584</v>
      </c>
      <c r="AM111">
        <v>55</v>
      </c>
      <c r="AN111">
        <v>286.31665959999998</v>
      </c>
      <c r="AO111">
        <v>224.65795929999999</v>
      </c>
      <c r="AP111">
        <v>175.44058989999999</v>
      </c>
      <c r="AQ111">
        <v>153.50920869999999</v>
      </c>
      <c r="AR111">
        <v>113.26833240000001</v>
      </c>
      <c r="AS111">
        <v>55</v>
      </c>
      <c r="AT111">
        <v>4.9323500000000003E-3</v>
      </c>
      <c r="AU111">
        <v>1.981987E-2</v>
      </c>
      <c r="AV111">
        <v>8.2937700000000007E-3</v>
      </c>
      <c r="AW111">
        <v>2.9777060000000001E-2</v>
      </c>
      <c r="AX111">
        <v>3.7142809999999998E-2</v>
      </c>
      <c r="AY111">
        <v>4.8079070000000002E-2</v>
      </c>
      <c r="AZ111">
        <v>6.88555E-2</v>
      </c>
      <c r="BA111">
        <v>0.11107984</v>
      </c>
      <c r="BB111">
        <v>9.4470999999999999E-2</v>
      </c>
      <c r="BC111">
        <v>3.6815519999999997E-2</v>
      </c>
      <c r="BD111">
        <v>3.1953530000000001E-2</v>
      </c>
      <c r="BE111">
        <v>5.2054870000000003E-2</v>
      </c>
      <c r="BF111">
        <v>0.11980222</v>
      </c>
      <c r="BG111">
        <v>9.0282500000000002E-2</v>
      </c>
      <c r="BH111">
        <v>3.7575049999999999E-2</v>
      </c>
      <c r="BI111">
        <v>9.5928999999999997E-3</v>
      </c>
      <c r="BJ111">
        <v>1.4636619999999999E-2</v>
      </c>
      <c r="BK111">
        <v>8.2910310000000001E-2</v>
      </c>
      <c r="BL111">
        <v>7.2457759999999996E-2</v>
      </c>
      <c r="BM111">
        <v>2.9467449999999999E-2</v>
      </c>
      <c r="BN111">
        <v>1074</v>
      </c>
      <c r="BO111">
        <v>268.30143090000001</v>
      </c>
      <c r="BP111">
        <v>190</v>
      </c>
    </row>
    <row r="112" spans="1:68" x14ac:dyDescent="0.2">
      <c r="A112" t="s">
        <v>677</v>
      </c>
      <c r="B112">
        <v>2072</v>
      </c>
      <c r="C112">
        <v>5073</v>
      </c>
      <c r="D112">
        <v>3828</v>
      </c>
      <c r="E112">
        <v>4046</v>
      </c>
      <c r="F112">
        <v>2075</v>
      </c>
      <c r="G112">
        <v>1012</v>
      </c>
      <c r="H112">
        <v>277</v>
      </c>
      <c r="I112">
        <v>198</v>
      </c>
      <c r="J112">
        <v>105</v>
      </c>
      <c r="K112">
        <v>97</v>
      </c>
      <c r="L112">
        <v>6854</v>
      </c>
      <c r="M112">
        <v>1073</v>
      </c>
      <c r="N112">
        <v>1048</v>
      </c>
      <c r="O112">
        <v>327</v>
      </c>
      <c r="P112">
        <v>325</v>
      </c>
      <c r="Q112">
        <v>8093</v>
      </c>
      <c r="R112">
        <v>2317</v>
      </c>
      <c r="S112">
        <v>2513</v>
      </c>
      <c r="T112">
        <v>643</v>
      </c>
      <c r="U112">
        <v>708</v>
      </c>
      <c r="V112">
        <v>259.52776369999998</v>
      </c>
      <c r="W112">
        <v>236.92871020000001</v>
      </c>
      <c r="X112">
        <v>177.26255180000001</v>
      </c>
      <c r="Y112">
        <v>158.79097959999999</v>
      </c>
      <c r="Z112">
        <v>119.1468855</v>
      </c>
      <c r="AA112">
        <v>65</v>
      </c>
      <c r="AB112">
        <v>301.43044040000001</v>
      </c>
      <c r="AC112">
        <v>285.20675790000001</v>
      </c>
      <c r="AD112">
        <v>208.7429199</v>
      </c>
      <c r="AE112">
        <v>150.22461300000001</v>
      </c>
      <c r="AF112">
        <v>111.7443751</v>
      </c>
      <c r="AG112">
        <v>55</v>
      </c>
      <c r="AH112">
        <v>285.65581040000001</v>
      </c>
      <c r="AI112">
        <v>231.7153879</v>
      </c>
      <c r="AJ112">
        <v>191.99003049999999</v>
      </c>
      <c r="AK112">
        <v>151.66373419999999</v>
      </c>
      <c r="AL112">
        <v>115.1807893</v>
      </c>
      <c r="AM112">
        <v>55</v>
      </c>
      <c r="AN112">
        <v>255.80763529999999</v>
      </c>
      <c r="AO112">
        <v>208.5217279</v>
      </c>
      <c r="AP112">
        <v>177.13404360000001</v>
      </c>
      <c r="AQ112">
        <v>145.2647035</v>
      </c>
      <c r="AR112">
        <v>114.87834220000001</v>
      </c>
      <c r="AS112">
        <v>55</v>
      </c>
      <c r="AT112">
        <v>4.5560240000000002E-2</v>
      </c>
      <c r="AU112">
        <v>0.12361904</v>
      </c>
      <c r="AV112">
        <v>9.1151889999999999E-2</v>
      </c>
      <c r="AW112">
        <v>9.0654159999999998E-2</v>
      </c>
      <c r="AX112">
        <v>4.6029130000000001E-2</v>
      </c>
      <c r="AY112">
        <v>2.3895219999999998E-2</v>
      </c>
      <c r="AZ112">
        <v>6.2544899999999997E-3</v>
      </c>
      <c r="BA112">
        <v>4.84492E-3</v>
      </c>
      <c r="BB112">
        <v>2.3483599999999999E-3</v>
      </c>
      <c r="BC112">
        <v>2.0561199999999998E-3</v>
      </c>
      <c r="BD112">
        <v>0.16061407</v>
      </c>
      <c r="BE112">
        <v>2.551846E-2</v>
      </c>
      <c r="BF112">
        <v>2.4693300000000001E-2</v>
      </c>
      <c r="BG112">
        <v>6.9027999999999997E-3</v>
      </c>
      <c r="BH112">
        <v>7.1891899999999998E-3</v>
      </c>
      <c r="BI112">
        <v>0.19145686000000001</v>
      </c>
      <c r="BJ112">
        <v>5.587056E-2</v>
      </c>
      <c r="BK112">
        <v>6.1644009999999999E-2</v>
      </c>
      <c r="BL112">
        <v>1.4093E-2</v>
      </c>
      <c r="BM112">
        <v>1.560418E-2</v>
      </c>
      <c r="BN112">
        <v>5286</v>
      </c>
      <c r="BO112">
        <v>250.6421733</v>
      </c>
      <c r="BP112">
        <v>190</v>
      </c>
    </row>
    <row r="113" spans="1:68" x14ac:dyDescent="0.2">
      <c r="A113" t="s">
        <v>678</v>
      </c>
      <c r="B113">
        <v>209</v>
      </c>
      <c r="C113">
        <v>124</v>
      </c>
      <c r="D113">
        <v>491</v>
      </c>
      <c r="E113">
        <v>556</v>
      </c>
      <c r="F113">
        <v>650</v>
      </c>
      <c r="G113">
        <v>1321</v>
      </c>
      <c r="H113">
        <v>724</v>
      </c>
      <c r="I113">
        <v>1272</v>
      </c>
      <c r="J113">
        <v>1173</v>
      </c>
      <c r="K113">
        <v>508</v>
      </c>
      <c r="L113">
        <v>877</v>
      </c>
      <c r="M113">
        <v>896</v>
      </c>
      <c r="N113">
        <v>2048</v>
      </c>
      <c r="O113">
        <v>962</v>
      </c>
      <c r="P113">
        <v>454</v>
      </c>
      <c r="Q113">
        <v>266</v>
      </c>
      <c r="R113">
        <v>361</v>
      </c>
      <c r="S113">
        <v>1419</v>
      </c>
      <c r="T113">
        <v>586</v>
      </c>
      <c r="U113">
        <v>317</v>
      </c>
      <c r="V113">
        <v>331.61099669999999</v>
      </c>
      <c r="W113">
        <v>233.5342938</v>
      </c>
      <c r="X113">
        <v>199.466318</v>
      </c>
      <c r="Y113">
        <v>137.05074200000001</v>
      </c>
      <c r="Z113">
        <v>108.00998079999999</v>
      </c>
      <c r="AA113">
        <v>65</v>
      </c>
      <c r="AB113">
        <v>306.26706999999999</v>
      </c>
      <c r="AC113">
        <v>290.00556870000003</v>
      </c>
      <c r="AD113">
        <v>216.0958401</v>
      </c>
      <c r="AE113">
        <v>152.5406059</v>
      </c>
      <c r="AF113">
        <v>115.60687419999999</v>
      </c>
      <c r="AG113">
        <v>55</v>
      </c>
      <c r="AH113">
        <v>292.44936539999998</v>
      </c>
      <c r="AI113">
        <v>218.10060319999999</v>
      </c>
      <c r="AJ113">
        <v>188.56688109999999</v>
      </c>
      <c r="AK113">
        <v>159.30560510000001</v>
      </c>
      <c r="AL113">
        <v>118.8452569</v>
      </c>
      <c r="AM113">
        <v>55</v>
      </c>
      <c r="AN113">
        <v>205.28034769999999</v>
      </c>
      <c r="AO113">
        <v>188.1223172</v>
      </c>
      <c r="AP113">
        <v>168.38702180000001</v>
      </c>
      <c r="AQ113">
        <v>152.89909739999999</v>
      </c>
      <c r="AR113">
        <v>114.8556581</v>
      </c>
      <c r="AS113">
        <v>55</v>
      </c>
      <c r="AT113">
        <v>1.430206E-2</v>
      </c>
      <c r="AU113">
        <v>7.8689899999999993E-3</v>
      </c>
      <c r="AV113">
        <v>3.4181620000000003E-2</v>
      </c>
      <c r="AW113">
        <v>3.6296309999999998E-2</v>
      </c>
      <c r="AX113">
        <v>4.4544220000000002E-2</v>
      </c>
      <c r="AY113">
        <v>8.6400930000000001E-2</v>
      </c>
      <c r="AZ113">
        <v>4.6788469999999999E-2</v>
      </c>
      <c r="BA113">
        <v>8.2327120000000004E-2</v>
      </c>
      <c r="BB113">
        <v>7.6441380000000003E-2</v>
      </c>
      <c r="BC113">
        <v>3.5874780000000002E-2</v>
      </c>
      <c r="BD113">
        <v>5.7157060000000003E-2</v>
      </c>
      <c r="BE113">
        <v>5.8354749999999997E-2</v>
      </c>
      <c r="BF113">
        <v>0.13195081</v>
      </c>
      <c r="BG113">
        <v>6.2077529999999999E-2</v>
      </c>
      <c r="BH113">
        <v>3.141058E-2</v>
      </c>
      <c r="BI113">
        <v>1.721601E-2</v>
      </c>
      <c r="BJ113">
        <v>2.3318080000000001E-2</v>
      </c>
      <c r="BK113">
        <v>9.2246789999999995E-2</v>
      </c>
      <c r="BL113">
        <v>3.7890890000000003E-2</v>
      </c>
      <c r="BM113">
        <v>2.335162E-2</v>
      </c>
      <c r="BN113">
        <v>2108</v>
      </c>
      <c r="BO113">
        <v>295.01804900000002</v>
      </c>
      <c r="BP113">
        <v>190</v>
      </c>
    </row>
    <row r="114" spans="1:68" x14ac:dyDescent="0.2">
      <c r="A114" t="s">
        <v>679</v>
      </c>
      <c r="B114">
        <v>123</v>
      </c>
      <c r="C114">
        <v>77</v>
      </c>
      <c r="D114">
        <v>472</v>
      </c>
      <c r="E114">
        <v>918</v>
      </c>
      <c r="F114">
        <v>390</v>
      </c>
      <c r="G114">
        <v>2601</v>
      </c>
      <c r="H114">
        <v>879</v>
      </c>
      <c r="I114">
        <v>1013</v>
      </c>
      <c r="J114">
        <v>1450</v>
      </c>
      <c r="K114">
        <v>590</v>
      </c>
      <c r="L114">
        <v>943</v>
      </c>
      <c r="M114">
        <v>1033</v>
      </c>
      <c r="N114">
        <v>2172</v>
      </c>
      <c r="O114">
        <v>1386</v>
      </c>
      <c r="P114">
        <v>670</v>
      </c>
      <c r="Q114">
        <v>247</v>
      </c>
      <c r="R114">
        <v>760</v>
      </c>
      <c r="S114">
        <v>3274</v>
      </c>
      <c r="T114">
        <v>1182</v>
      </c>
      <c r="U114">
        <v>607</v>
      </c>
      <c r="V114">
        <v>271.05794409999999</v>
      </c>
      <c r="W114">
        <v>162.81329030000001</v>
      </c>
      <c r="X114">
        <v>176.8633519</v>
      </c>
      <c r="Y114">
        <v>146.75362100000001</v>
      </c>
      <c r="Z114">
        <v>115.8589375</v>
      </c>
      <c r="AA114">
        <v>65</v>
      </c>
      <c r="AB114">
        <v>299.5873307</v>
      </c>
      <c r="AC114">
        <v>279.40996840000003</v>
      </c>
      <c r="AD114">
        <v>225.5697701</v>
      </c>
      <c r="AE114">
        <v>150.55379060000001</v>
      </c>
      <c r="AF114">
        <v>118.31801609999999</v>
      </c>
      <c r="AG114">
        <v>55</v>
      </c>
      <c r="AH114">
        <v>300.34308570000002</v>
      </c>
      <c r="AI114">
        <v>244.29682769999999</v>
      </c>
      <c r="AJ114">
        <v>200.18293679999999</v>
      </c>
      <c r="AK114">
        <v>157.5717736</v>
      </c>
      <c r="AL114">
        <v>119.2522551</v>
      </c>
      <c r="AM114">
        <v>55</v>
      </c>
      <c r="AN114">
        <v>313.70913309999997</v>
      </c>
      <c r="AO114">
        <v>192.51760999999999</v>
      </c>
      <c r="AP114">
        <v>179.58855449999999</v>
      </c>
      <c r="AQ114">
        <v>154.10674309999999</v>
      </c>
      <c r="AR114">
        <v>116.4009461</v>
      </c>
      <c r="AS114">
        <v>55</v>
      </c>
      <c r="AT114">
        <v>6.2507700000000001E-3</v>
      </c>
      <c r="AU114">
        <v>3.4827199999999999E-3</v>
      </c>
      <c r="AV114">
        <v>2.3522210000000002E-2</v>
      </c>
      <c r="AW114">
        <v>4.390231E-2</v>
      </c>
      <c r="AX114">
        <v>1.990138E-2</v>
      </c>
      <c r="AY114">
        <v>0.11726546</v>
      </c>
      <c r="AZ114">
        <v>4.0838180000000002E-2</v>
      </c>
      <c r="BA114">
        <v>4.8688370000000002E-2</v>
      </c>
      <c r="BB114">
        <v>6.6169699999999998E-2</v>
      </c>
      <c r="BC114">
        <v>2.7964869999999999E-2</v>
      </c>
      <c r="BD114">
        <v>4.2250749999999997E-2</v>
      </c>
      <c r="BE114">
        <v>5.0588569999999999E-2</v>
      </c>
      <c r="BF114">
        <v>0.10673774</v>
      </c>
      <c r="BG114">
        <v>6.6825709999999997E-2</v>
      </c>
      <c r="BH114">
        <v>3.2581829999999999E-2</v>
      </c>
      <c r="BI114">
        <v>1.1745230000000001E-2</v>
      </c>
      <c r="BJ114">
        <v>3.8738330000000001E-2</v>
      </c>
      <c r="BK114">
        <v>0.16598194999999999</v>
      </c>
      <c r="BL114">
        <v>5.7609300000000002E-2</v>
      </c>
      <c r="BM114">
        <v>2.895462E-2</v>
      </c>
      <c r="BN114">
        <v>2086</v>
      </c>
      <c r="BO114">
        <v>271.45229189999998</v>
      </c>
      <c r="BP114">
        <v>190</v>
      </c>
    </row>
    <row r="115" spans="1:68" x14ac:dyDescent="0.2">
      <c r="A115" t="s">
        <v>680</v>
      </c>
      <c r="B115">
        <v>588</v>
      </c>
      <c r="C115">
        <v>412</v>
      </c>
      <c r="D115">
        <v>3440</v>
      </c>
      <c r="E115">
        <v>3539</v>
      </c>
      <c r="F115">
        <v>1192</v>
      </c>
      <c r="G115">
        <v>356</v>
      </c>
      <c r="H115">
        <v>142</v>
      </c>
      <c r="I115">
        <v>261</v>
      </c>
      <c r="J115">
        <v>1030</v>
      </c>
      <c r="K115">
        <v>419</v>
      </c>
      <c r="L115">
        <v>677</v>
      </c>
      <c r="M115">
        <v>429</v>
      </c>
      <c r="N115">
        <v>3108</v>
      </c>
      <c r="O115">
        <v>1958</v>
      </c>
      <c r="P115">
        <v>850</v>
      </c>
      <c r="Q115">
        <v>1483</v>
      </c>
      <c r="R115">
        <v>588</v>
      </c>
      <c r="S115">
        <v>7573</v>
      </c>
      <c r="T115">
        <v>4064</v>
      </c>
      <c r="U115">
        <v>1180</v>
      </c>
      <c r="V115">
        <v>240.74434919999999</v>
      </c>
      <c r="W115">
        <v>149.49933770000001</v>
      </c>
      <c r="X115">
        <v>175.8563546</v>
      </c>
      <c r="Y115">
        <v>130.90190469999999</v>
      </c>
      <c r="Z115">
        <v>117.37833999999999</v>
      </c>
      <c r="AA115">
        <v>65</v>
      </c>
      <c r="AB115">
        <v>291.06700530000001</v>
      </c>
      <c r="AC115">
        <v>292.69976960000002</v>
      </c>
      <c r="AD115">
        <v>217.5637328</v>
      </c>
      <c r="AE115">
        <v>148.3834837</v>
      </c>
      <c r="AF115">
        <v>116.8309749</v>
      </c>
      <c r="AG115">
        <v>55</v>
      </c>
      <c r="AH115">
        <v>299.67061189999998</v>
      </c>
      <c r="AI115">
        <v>244.17289830000001</v>
      </c>
      <c r="AJ115">
        <v>194.92787999999999</v>
      </c>
      <c r="AK115">
        <v>163.99063630000001</v>
      </c>
      <c r="AL115">
        <v>115.83306899999999</v>
      </c>
      <c r="AM115">
        <v>55</v>
      </c>
      <c r="AN115">
        <v>283.58359180000002</v>
      </c>
      <c r="AO115">
        <v>210.85510830000001</v>
      </c>
      <c r="AP115">
        <v>180.35505459999999</v>
      </c>
      <c r="AQ115">
        <v>161.7850736</v>
      </c>
      <c r="AR115">
        <v>109.0693182</v>
      </c>
      <c r="AS115">
        <v>55</v>
      </c>
      <c r="AT115">
        <v>1.7053220000000001E-2</v>
      </c>
      <c r="AU115">
        <v>1.214665E-2</v>
      </c>
      <c r="AV115">
        <v>0.10448322</v>
      </c>
      <c r="AW115">
        <v>0.1065054</v>
      </c>
      <c r="AX115">
        <v>3.4769300000000003E-2</v>
      </c>
      <c r="AY115">
        <v>1.089335E-2</v>
      </c>
      <c r="AZ115">
        <v>4.2267900000000002E-3</v>
      </c>
      <c r="BA115">
        <v>8.1115200000000005E-3</v>
      </c>
      <c r="BB115">
        <v>3.1388109999999997E-2</v>
      </c>
      <c r="BC115">
        <v>1.2053970000000001E-2</v>
      </c>
      <c r="BD115">
        <v>1.964979E-2</v>
      </c>
      <c r="BE115">
        <v>1.3848040000000001E-2</v>
      </c>
      <c r="BF115">
        <v>9.3419699999999994E-2</v>
      </c>
      <c r="BG115">
        <v>5.8404240000000003E-2</v>
      </c>
      <c r="BH115">
        <v>2.699495E-2</v>
      </c>
      <c r="BI115">
        <v>4.4242759999999999E-2</v>
      </c>
      <c r="BJ115">
        <v>1.858667E-2</v>
      </c>
      <c r="BK115">
        <v>0.22475917000000001</v>
      </c>
      <c r="BL115">
        <v>0.12212039</v>
      </c>
      <c r="BM115">
        <v>3.6342760000000002E-2</v>
      </c>
      <c r="BN115">
        <v>2309</v>
      </c>
      <c r="BO115">
        <v>249.4577889</v>
      </c>
      <c r="BP115">
        <v>190</v>
      </c>
    </row>
    <row r="116" spans="1:68" x14ac:dyDescent="0.2">
      <c r="A116" t="s">
        <v>681</v>
      </c>
      <c r="B116">
        <v>54</v>
      </c>
      <c r="C116">
        <v>12</v>
      </c>
      <c r="D116">
        <v>1057</v>
      </c>
      <c r="E116">
        <v>2280</v>
      </c>
      <c r="F116">
        <v>1443</v>
      </c>
      <c r="G116">
        <v>319</v>
      </c>
      <c r="H116">
        <v>137</v>
      </c>
      <c r="I116">
        <v>320</v>
      </c>
      <c r="J116">
        <v>513</v>
      </c>
      <c r="K116">
        <v>222</v>
      </c>
      <c r="L116">
        <v>166</v>
      </c>
      <c r="M116">
        <v>208</v>
      </c>
      <c r="N116">
        <v>1089</v>
      </c>
      <c r="O116">
        <v>2374</v>
      </c>
      <c r="P116">
        <v>731</v>
      </c>
      <c r="Q116">
        <v>46</v>
      </c>
      <c r="R116">
        <v>148</v>
      </c>
      <c r="S116">
        <v>2682</v>
      </c>
      <c r="T116">
        <v>5360</v>
      </c>
      <c r="U116">
        <v>1385</v>
      </c>
      <c r="V116">
        <v>247.6833747</v>
      </c>
      <c r="W116">
        <v>215.98773009999999</v>
      </c>
      <c r="X116">
        <v>203.03418260000001</v>
      </c>
      <c r="Y116">
        <v>159.01850920000001</v>
      </c>
      <c r="Z116">
        <v>118.0327535</v>
      </c>
      <c r="AA116">
        <v>65</v>
      </c>
      <c r="AB116">
        <v>264.83660859999998</v>
      </c>
      <c r="AC116">
        <v>291.40294</v>
      </c>
      <c r="AD116">
        <v>224.06680159999999</v>
      </c>
      <c r="AE116">
        <v>142.78516780000001</v>
      </c>
      <c r="AF116">
        <v>117.3315381</v>
      </c>
      <c r="AG116">
        <v>55</v>
      </c>
      <c r="AH116">
        <v>305.98063639999998</v>
      </c>
      <c r="AI116">
        <v>264.54694369999999</v>
      </c>
      <c r="AJ116">
        <v>202.0247928</v>
      </c>
      <c r="AK116">
        <v>155.37726380000001</v>
      </c>
      <c r="AL116">
        <v>117.3953321</v>
      </c>
      <c r="AM116">
        <v>55</v>
      </c>
      <c r="AN116">
        <v>317.19776289999999</v>
      </c>
      <c r="AO116">
        <v>258.49519049999998</v>
      </c>
      <c r="AP116">
        <v>194.5870147</v>
      </c>
      <c r="AQ116">
        <v>149.25170270000001</v>
      </c>
      <c r="AR116">
        <v>115.514625</v>
      </c>
      <c r="AS116">
        <v>55</v>
      </c>
      <c r="AT116">
        <v>3.0493299999999998E-3</v>
      </c>
      <c r="AU116">
        <v>6.2547000000000004E-4</v>
      </c>
      <c r="AV116">
        <v>4.9118990000000001E-2</v>
      </c>
      <c r="AW116">
        <v>0.11293010000000001</v>
      </c>
      <c r="AX116">
        <v>7.3573799999999995E-2</v>
      </c>
      <c r="AY116">
        <v>1.4995430000000001E-2</v>
      </c>
      <c r="AZ116">
        <v>7.3701499999999998E-3</v>
      </c>
      <c r="BA116">
        <v>1.4591079999999999E-2</v>
      </c>
      <c r="BB116">
        <v>2.5716389999999999E-2</v>
      </c>
      <c r="BC116">
        <v>1.1673360000000001E-2</v>
      </c>
      <c r="BD116">
        <v>9.4096000000000006E-3</v>
      </c>
      <c r="BE116">
        <v>9.9442000000000003E-3</v>
      </c>
      <c r="BF116">
        <v>4.7201479999999997E-2</v>
      </c>
      <c r="BG116">
        <v>0.11552469</v>
      </c>
      <c r="BH116">
        <v>4.0001219999999997E-2</v>
      </c>
      <c r="BI116">
        <v>2.8601199999999998E-3</v>
      </c>
      <c r="BJ116">
        <v>6.9012300000000004E-3</v>
      </c>
      <c r="BK116">
        <v>0.11675313</v>
      </c>
      <c r="BL116">
        <v>0.26473363</v>
      </c>
      <c r="BM116">
        <v>7.3026599999999997E-2</v>
      </c>
      <c r="BN116">
        <v>1450</v>
      </c>
      <c r="BO116">
        <v>176.09115320000001</v>
      </c>
      <c r="BP116">
        <v>190</v>
      </c>
    </row>
    <row r="117" spans="1:68" x14ac:dyDescent="0.2">
      <c r="A117" t="s">
        <v>682</v>
      </c>
      <c r="B117">
        <v>163</v>
      </c>
      <c r="C117">
        <v>130</v>
      </c>
      <c r="D117">
        <v>1953</v>
      </c>
      <c r="E117">
        <v>2023</v>
      </c>
      <c r="F117">
        <v>949</v>
      </c>
      <c r="G117">
        <v>358</v>
      </c>
      <c r="H117">
        <v>243</v>
      </c>
      <c r="I117">
        <v>161</v>
      </c>
      <c r="J117">
        <v>232</v>
      </c>
      <c r="K117">
        <v>63</v>
      </c>
      <c r="L117">
        <v>1073</v>
      </c>
      <c r="M117">
        <v>1150</v>
      </c>
      <c r="N117">
        <v>2163</v>
      </c>
      <c r="O117">
        <v>580</v>
      </c>
      <c r="P117">
        <v>82</v>
      </c>
      <c r="Q117">
        <v>422</v>
      </c>
      <c r="R117">
        <v>1018</v>
      </c>
      <c r="S117">
        <v>5102</v>
      </c>
      <c r="T117">
        <v>955</v>
      </c>
      <c r="U117">
        <v>136</v>
      </c>
      <c r="V117">
        <v>243.64001819999999</v>
      </c>
      <c r="W117">
        <v>288.51871269999998</v>
      </c>
      <c r="X117">
        <v>195.13699030000001</v>
      </c>
      <c r="Y117">
        <v>185.4308092</v>
      </c>
      <c r="Z117">
        <v>122.4105356</v>
      </c>
      <c r="AA117">
        <v>65</v>
      </c>
      <c r="AB117">
        <v>302.5594332</v>
      </c>
      <c r="AC117">
        <v>273.03165969999998</v>
      </c>
      <c r="AD117">
        <v>222.30667339999999</v>
      </c>
      <c r="AE117">
        <v>153.98401480000001</v>
      </c>
      <c r="AF117">
        <v>108.0964161</v>
      </c>
      <c r="AG117">
        <v>55</v>
      </c>
      <c r="AH117">
        <v>281.03998799999999</v>
      </c>
      <c r="AI117">
        <v>236.58458189999999</v>
      </c>
      <c r="AJ117">
        <v>207.70382029999999</v>
      </c>
      <c r="AK117">
        <v>160.62652</v>
      </c>
      <c r="AL117">
        <v>132.0014487</v>
      </c>
      <c r="AM117">
        <v>55</v>
      </c>
      <c r="AN117">
        <v>250.27411620000001</v>
      </c>
      <c r="AO117">
        <v>206.57808929999999</v>
      </c>
      <c r="AP117">
        <v>199.63303379999999</v>
      </c>
      <c r="AQ117">
        <v>159.4998927</v>
      </c>
      <c r="AR117">
        <v>122.32674249999999</v>
      </c>
      <c r="AS117">
        <v>55</v>
      </c>
      <c r="AT117">
        <v>7.5974800000000002E-3</v>
      </c>
      <c r="AU117">
        <v>7.7125199999999996E-3</v>
      </c>
      <c r="AV117">
        <v>0.10641839</v>
      </c>
      <c r="AW117">
        <v>0.1201183</v>
      </c>
      <c r="AX117">
        <v>4.5351420000000003E-2</v>
      </c>
      <c r="AY117">
        <v>1.8511690000000001E-2</v>
      </c>
      <c r="AZ117">
        <v>1.314505E-2</v>
      </c>
      <c r="BA117">
        <v>7.9953799999999998E-3</v>
      </c>
      <c r="BB117">
        <v>1.520232E-2</v>
      </c>
      <c r="BC117">
        <v>2.7382999999999999E-3</v>
      </c>
      <c r="BD117">
        <v>5.6284649999999999E-2</v>
      </c>
      <c r="BE117">
        <v>5.6498E-2</v>
      </c>
      <c r="BF117">
        <v>0.10775579</v>
      </c>
      <c r="BG117">
        <v>3.7981359999999999E-2</v>
      </c>
      <c r="BH117">
        <v>3.98249E-3</v>
      </c>
      <c r="BI117">
        <v>2.181489E-2</v>
      </c>
      <c r="BJ117">
        <v>4.9546729999999997E-2</v>
      </c>
      <c r="BK117">
        <v>0.25187736999999999</v>
      </c>
      <c r="BL117">
        <v>6.1764590000000001E-2</v>
      </c>
      <c r="BM117">
        <v>7.7032799999999998E-3</v>
      </c>
      <c r="BN117">
        <v>1482</v>
      </c>
      <c r="BO117">
        <v>236.822294</v>
      </c>
      <c r="BP117">
        <v>190</v>
      </c>
    </row>
    <row r="118" spans="1:68" x14ac:dyDescent="0.2">
      <c r="A118" t="s">
        <v>683</v>
      </c>
      <c r="B118">
        <v>108</v>
      </c>
      <c r="C118">
        <v>144</v>
      </c>
      <c r="D118">
        <v>222</v>
      </c>
      <c r="E118">
        <v>475</v>
      </c>
      <c r="F118">
        <v>389</v>
      </c>
      <c r="G118">
        <v>1640</v>
      </c>
      <c r="H118">
        <v>580</v>
      </c>
      <c r="I118">
        <v>1211</v>
      </c>
      <c r="J118">
        <v>1536</v>
      </c>
      <c r="K118">
        <v>479</v>
      </c>
      <c r="L118">
        <v>788</v>
      </c>
      <c r="M118">
        <v>802</v>
      </c>
      <c r="N118">
        <v>1498</v>
      </c>
      <c r="O118">
        <v>687</v>
      </c>
      <c r="P118">
        <v>278</v>
      </c>
      <c r="Q118">
        <v>392</v>
      </c>
      <c r="R118">
        <v>425</v>
      </c>
      <c r="S118">
        <v>1339</v>
      </c>
      <c r="T118">
        <v>378</v>
      </c>
      <c r="U118">
        <v>153</v>
      </c>
      <c r="V118">
        <v>208.7811074</v>
      </c>
      <c r="W118">
        <v>137.4427747</v>
      </c>
      <c r="X118">
        <v>147.71390109999999</v>
      </c>
      <c r="Y118">
        <v>142.2808934</v>
      </c>
      <c r="Z118">
        <v>116.7508821</v>
      </c>
      <c r="AA118">
        <v>65</v>
      </c>
      <c r="AB118">
        <v>320.63367299999999</v>
      </c>
      <c r="AC118">
        <v>297.84624710000003</v>
      </c>
      <c r="AD118">
        <v>225.61268419999999</v>
      </c>
      <c r="AE118">
        <v>150.99636799999999</v>
      </c>
      <c r="AF118">
        <v>115.0893414</v>
      </c>
      <c r="AG118">
        <v>55</v>
      </c>
      <c r="AH118">
        <v>332.43144769999998</v>
      </c>
      <c r="AI118">
        <v>279.77896909999998</v>
      </c>
      <c r="AJ118">
        <v>204.5748883</v>
      </c>
      <c r="AK118">
        <v>162.6937428</v>
      </c>
      <c r="AL118">
        <v>112.75745379999999</v>
      </c>
      <c r="AM118">
        <v>55</v>
      </c>
      <c r="AN118">
        <v>303.20906739999998</v>
      </c>
      <c r="AO118">
        <v>250.66701900000001</v>
      </c>
      <c r="AP118">
        <v>177.50350230000001</v>
      </c>
      <c r="AQ118">
        <v>149.47301519999999</v>
      </c>
      <c r="AR118">
        <v>114.58029980000001</v>
      </c>
      <c r="AS118">
        <v>55</v>
      </c>
      <c r="AT118">
        <v>8.2300900000000007E-3</v>
      </c>
      <c r="AU118">
        <v>1.0557270000000001E-2</v>
      </c>
      <c r="AV118">
        <v>1.5766539999999999E-2</v>
      </c>
      <c r="AW118">
        <v>3.4574510000000003E-2</v>
      </c>
      <c r="AX118">
        <v>3.2184360000000002E-2</v>
      </c>
      <c r="AY118">
        <v>0.11979832999999999</v>
      </c>
      <c r="AZ118">
        <v>4.2970210000000002E-2</v>
      </c>
      <c r="BA118">
        <v>8.9648599999999995E-2</v>
      </c>
      <c r="BB118">
        <v>0.11034794000000001</v>
      </c>
      <c r="BC118">
        <v>3.7641239999999999E-2</v>
      </c>
      <c r="BD118">
        <v>5.899459E-2</v>
      </c>
      <c r="BE118">
        <v>5.883447E-2</v>
      </c>
      <c r="BF118">
        <v>0.10999336999999999</v>
      </c>
      <c r="BG118">
        <v>4.9655650000000003E-2</v>
      </c>
      <c r="BH118">
        <v>2.226616E-2</v>
      </c>
      <c r="BI118">
        <v>2.819282E-2</v>
      </c>
      <c r="BJ118">
        <v>3.1651600000000002E-2</v>
      </c>
      <c r="BK118">
        <v>0.10012268000000001</v>
      </c>
      <c r="BL118">
        <v>2.7115569999999999E-2</v>
      </c>
      <c r="BM118">
        <v>1.1454000000000001E-2</v>
      </c>
      <c r="BN118">
        <v>1286</v>
      </c>
      <c r="BO118">
        <v>290.49837600000001</v>
      </c>
      <c r="BP118">
        <v>190</v>
      </c>
    </row>
    <row r="119" spans="1:68" x14ac:dyDescent="0.2">
      <c r="A119" t="s">
        <v>684</v>
      </c>
      <c r="B119">
        <v>222</v>
      </c>
      <c r="C119">
        <v>329</v>
      </c>
      <c r="D119">
        <v>1809</v>
      </c>
      <c r="E119">
        <v>1407</v>
      </c>
      <c r="F119">
        <v>572</v>
      </c>
      <c r="G119">
        <v>154</v>
      </c>
      <c r="H119">
        <v>67</v>
      </c>
      <c r="I119">
        <v>134</v>
      </c>
      <c r="J119">
        <v>214</v>
      </c>
      <c r="K119">
        <v>105</v>
      </c>
      <c r="L119">
        <v>186</v>
      </c>
      <c r="M119">
        <v>171</v>
      </c>
      <c r="N119">
        <v>777</v>
      </c>
      <c r="O119">
        <v>1837</v>
      </c>
      <c r="P119">
        <v>132</v>
      </c>
      <c r="Q119">
        <v>168</v>
      </c>
      <c r="R119">
        <v>350</v>
      </c>
      <c r="S119">
        <v>1399</v>
      </c>
      <c r="T119">
        <v>4251</v>
      </c>
      <c r="U119">
        <v>138</v>
      </c>
      <c r="V119">
        <v>244.57932529999999</v>
      </c>
      <c r="W119">
        <v>208.3137261</v>
      </c>
      <c r="X119">
        <v>146.23033659999999</v>
      </c>
      <c r="Y119">
        <v>153.47958700000001</v>
      </c>
      <c r="Z119">
        <v>110.61574779999999</v>
      </c>
      <c r="AA119">
        <v>65</v>
      </c>
      <c r="AB119">
        <v>292.23935949999998</v>
      </c>
      <c r="AC119">
        <v>268.38510170000001</v>
      </c>
      <c r="AD119">
        <v>213.10226599999999</v>
      </c>
      <c r="AE119">
        <v>147.5313591</v>
      </c>
      <c r="AF119">
        <v>119.165783</v>
      </c>
      <c r="AG119">
        <v>55</v>
      </c>
      <c r="AH119">
        <v>279.86918179999998</v>
      </c>
      <c r="AI119">
        <v>288.9630512</v>
      </c>
      <c r="AJ119">
        <v>203.5090199</v>
      </c>
      <c r="AK119">
        <v>154.3729026</v>
      </c>
      <c r="AL119">
        <v>116.58406890000001</v>
      </c>
      <c r="AM119">
        <v>55</v>
      </c>
      <c r="AN119">
        <v>296.45495920000002</v>
      </c>
      <c r="AO119">
        <v>277.87304440000003</v>
      </c>
      <c r="AP119">
        <v>200.35733529999999</v>
      </c>
      <c r="AQ119">
        <v>144.9959704</v>
      </c>
      <c r="AR119">
        <v>117.0522369</v>
      </c>
      <c r="AS119">
        <v>55</v>
      </c>
      <c r="AT119">
        <v>1.5437660000000001E-2</v>
      </c>
      <c r="AU119">
        <v>2.009466E-2</v>
      </c>
      <c r="AV119">
        <v>0.12166082</v>
      </c>
      <c r="AW119">
        <v>9.1117089999999998E-2</v>
      </c>
      <c r="AX119">
        <v>4.0853769999999998E-2</v>
      </c>
      <c r="AY119">
        <v>1.022527E-2</v>
      </c>
      <c r="AZ119">
        <v>4.9790900000000003E-3</v>
      </c>
      <c r="BA119">
        <v>9.2816700000000005E-3</v>
      </c>
      <c r="BB119">
        <v>1.507611E-2</v>
      </c>
      <c r="BC119">
        <v>6.6567500000000003E-3</v>
      </c>
      <c r="BD119">
        <v>1.237537E-2</v>
      </c>
      <c r="BE119">
        <v>1.3185250000000001E-2</v>
      </c>
      <c r="BF119">
        <v>5.6075489999999999E-2</v>
      </c>
      <c r="BG119">
        <v>0.12918462999999999</v>
      </c>
      <c r="BH119">
        <v>9.4837299999999992E-3</v>
      </c>
      <c r="BI119">
        <v>1.120267E-2</v>
      </c>
      <c r="BJ119">
        <v>2.6301069999999999E-2</v>
      </c>
      <c r="BK119">
        <v>0.10076141</v>
      </c>
      <c r="BL119">
        <v>0.29574456999999998</v>
      </c>
      <c r="BM119">
        <v>1.030292E-2</v>
      </c>
      <c r="BN119">
        <v>1059</v>
      </c>
      <c r="BO119">
        <v>221.31849460000001</v>
      </c>
      <c r="BP119">
        <v>190</v>
      </c>
    </row>
    <row r="120" spans="1:68" x14ac:dyDescent="0.2">
      <c r="A120" t="s">
        <v>685</v>
      </c>
      <c r="B120">
        <v>68</v>
      </c>
      <c r="C120">
        <v>93</v>
      </c>
      <c r="D120">
        <v>569</v>
      </c>
      <c r="E120">
        <v>611</v>
      </c>
      <c r="F120">
        <v>747</v>
      </c>
      <c r="G120">
        <v>434</v>
      </c>
      <c r="H120">
        <v>330</v>
      </c>
      <c r="I120">
        <v>580</v>
      </c>
      <c r="J120">
        <v>484</v>
      </c>
      <c r="K120">
        <v>270</v>
      </c>
      <c r="L120">
        <v>362</v>
      </c>
      <c r="M120">
        <v>615</v>
      </c>
      <c r="N120">
        <v>1291</v>
      </c>
      <c r="O120">
        <v>630</v>
      </c>
      <c r="P120">
        <v>382</v>
      </c>
      <c r="Q120">
        <v>65</v>
      </c>
      <c r="R120">
        <v>586</v>
      </c>
      <c r="S120">
        <v>2239</v>
      </c>
      <c r="T120">
        <v>867</v>
      </c>
      <c r="U120">
        <v>495</v>
      </c>
      <c r="V120">
        <v>299.8895698</v>
      </c>
      <c r="W120">
        <v>209.27841230000001</v>
      </c>
      <c r="X120">
        <v>208.045289</v>
      </c>
      <c r="Y120">
        <v>155.49646290000001</v>
      </c>
      <c r="Z120">
        <v>117.3601397</v>
      </c>
      <c r="AA120">
        <v>65</v>
      </c>
      <c r="AB120">
        <v>315.42526359999999</v>
      </c>
      <c r="AC120">
        <v>287.73431319999997</v>
      </c>
      <c r="AD120">
        <v>215.5110329</v>
      </c>
      <c r="AE120">
        <v>150.60409110000001</v>
      </c>
      <c r="AF120">
        <v>115.9197886</v>
      </c>
      <c r="AG120">
        <v>55</v>
      </c>
      <c r="AH120">
        <v>272.19288110000002</v>
      </c>
      <c r="AI120">
        <v>225.1407379</v>
      </c>
      <c r="AJ120">
        <v>196.96090770000001</v>
      </c>
      <c r="AK120">
        <v>161.25779600000001</v>
      </c>
      <c r="AL120">
        <v>115.9557198</v>
      </c>
      <c r="AM120">
        <v>55</v>
      </c>
      <c r="AN120">
        <v>274.89495110000001</v>
      </c>
      <c r="AO120">
        <v>172.48143250000001</v>
      </c>
      <c r="AP120">
        <v>172.80906770000001</v>
      </c>
      <c r="AQ120">
        <v>157.08026469999999</v>
      </c>
      <c r="AR120">
        <v>115.0394348</v>
      </c>
      <c r="AS120">
        <v>55</v>
      </c>
      <c r="AT120">
        <v>6.1709E-3</v>
      </c>
      <c r="AU120">
        <v>8.8098900000000008E-3</v>
      </c>
      <c r="AV120">
        <v>5.1583450000000003E-2</v>
      </c>
      <c r="AW120">
        <v>5.2865160000000001E-2</v>
      </c>
      <c r="AX120">
        <v>6.6615439999999998E-2</v>
      </c>
      <c r="AY120">
        <v>3.7681140000000002E-2</v>
      </c>
      <c r="AZ120">
        <v>2.9736490000000001E-2</v>
      </c>
      <c r="BA120">
        <v>5.0676350000000002E-2</v>
      </c>
      <c r="BB120">
        <v>4.1199560000000003E-2</v>
      </c>
      <c r="BC120">
        <v>2.4506179999999999E-2</v>
      </c>
      <c r="BD120">
        <v>3.1171669999999999E-2</v>
      </c>
      <c r="BE120">
        <v>5.1725989999999999E-2</v>
      </c>
      <c r="BF120">
        <v>0.10796029</v>
      </c>
      <c r="BG120">
        <v>5.1015850000000001E-2</v>
      </c>
      <c r="BH120">
        <v>3.3015870000000003E-2</v>
      </c>
      <c r="BI120">
        <v>5.5535300000000001E-3</v>
      </c>
      <c r="BJ120">
        <v>4.5565090000000003E-2</v>
      </c>
      <c r="BK120">
        <v>0.19413757000000001</v>
      </c>
      <c r="BL120">
        <v>6.6895830000000003E-2</v>
      </c>
      <c r="BM120">
        <v>4.3113749999999999E-2</v>
      </c>
      <c r="BN120">
        <v>1446</v>
      </c>
      <c r="BO120">
        <v>250.23201420000001</v>
      </c>
      <c r="BP120">
        <v>190</v>
      </c>
    </row>
    <row r="121" spans="1:68" x14ac:dyDescent="0.2">
      <c r="A121" t="s">
        <v>686</v>
      </c>
      <c r="B121">
        <v>1143</v>
      </c>
      <c r="C121">
        <v>393</v>
      </c>
      <c r="D121">
        <v>1459</v>
      </c>
      <c r="E121">
        <v>1035</v>
      </c>
      <c r="F121">
        <v>978</v>
      </c>
      <c r="G121">
        <v>530</v>
      </c>
      <c r="H121">
        <v>274</v>
      </c>
      <c r="I121">
        <v>556</v>
      </c>
      <c r="J121">
        <v>908</v>
      </c>
      <c r="K121">
        <v>418</v>
      </c>
      <c r="L121">
        <v>1177</v>
      </c>
      <c r="M121">
        <v>603</v>
      </c>
      <c r="N121">
        <v>1534</v>
      </c>
      <c r="O121">
        <v>1803</v>
      </c>
      <c r="P121">
        <v>1033</v>
      </c>
      <c r="Q121">
        <v>2709</v>
      </c>
      <c r="R121">
        <v>793</v>
      </c>
      <c r="S121">
        <v>2434</v>
      </c>
      <c r="T121">
        <v>1624</v>
      </c>
      <c r="U121">
        <v>1163</v>
      </c>
      <c r="V121">
        <v>243.9886741</v>
      </c>
      <c r="W121">
        <v>173.9550428</v>
      </c>
      <c r="X121">
        <v>174.47661059999999</v>
      </c>
      <c r="Y121">
        <v>153.36267100000001</v>
      </c>
      <c r="Z121">
        <v>106.1609734</v>
      </c>
      <c r="AA121">
        <v>65</v>
      </c>
      <c r="AB121">
        <v>292.09764159999997</v>
      </c>
      <c r="AC121">
        <v>279.87165090000002</v>
      </c>
      <c r="AD121">
        <v>217.492794</v>
      </c>
      <c r="AE121">
        <v>151.3818723</v>
      </c>
      <c r="AF121">
        <v>113.9269559</v>
      </c>
      <c r="AG121">
        <v>55</v>
      </c>
      <c r="AH121">
        <v>285.78742360000001</v>
      </c>
      <c r="AI121">
        <v>238.8623824</v>
      </c>
      <c r="AJ121">
        <v>194.22229809999999</v>
      </c>
      <c r="AK121">
        <v>155.08686940000001</v>
      </c>
      <c r="AL121">
        <v>115.1295416</v>
      </c>
      <c r="AM121">
        <v>55</v>
      </c>
      <c r="AN121">
        <v>272.24357259999999</v>
      </c>
      <c r="AO121">
        <v>209.20222899999999</v>
      </c>
      <c r="AP121">
        <v>174.50738150000001</v>
      </c>
      <c r="AQ121">
        <v>159.58892639999999</v>
      </c>
      <c r="AR121">
        <v>114.0949681</v>
      </c>
      <c r="AS121">
        <v>55</v>
      </c>
      <c r="AT121">
        <v>4.6289619999999997E-2</v>
      </c>
      <c r="AU121">
        <v>1.872178E-2</v>
      </c>
      <c r="AV121">
        <v>6.432533E-2</v>
      </c>
      <c r="AW121">
        <v>4.5879530000000002E-2</v>
      </c>
      <c r="AX121">
        <v>4.7475740000000002E-2</v>
      </c>
      <c r="AY121">
        <v>1.8983630000000001E-2</v>
      </c>
      <c r="AZ121">
        <v>9.6949600000000007E-3</v>
      </c>
      <c r="BA121">
        <v>2.0407809999999998E-2</v>
      </c>
      <c r="BB121">
        <v>3.7622879999999997E-2</v>
      </c>
      <c r="BC121">
        <v>1.71895E-2</v>
      </c>
      <c r="BD121">
        <v>5.3565040000000001E-2</v>
      </c>
      <c r="BE121">
        <v>2.7569179999999999E-2</v>
      </c>
      <c r="BF121">
        <v>6.4586950000000004E-2</v>
      </c>
      <c r="BG121">
        <v>7.5281860000000006E-2</v>
      </c>
      <c r="BH121">
        <v>4.6611689999999997E-2</v>
      </c>
      <c r="BI121">
        <v>0.14136993</v>
      </c>
      <c r="BJ121">
        <v>3.9384929999999999E-2</v>
      </c>
      <c r="BK121">
        <v>0.10394094</v>
      </c>
      <c r="BL121">
        <v>6.838379E-2</v>
      </c>
      <c r="BM121">
        <v>5.2714909999999997E-2</v>
      </c>
      <c r="BN121">
        <v>2486</v>
      </c>
      <c r="BO121">
        <v>263.7393118</v>
      </c>
      <c r="BP121">
        <v>190</v>
      </c>
    </row>
    <row r="122" spans="1:68" x14ac:dyDescent="0.2">
      <c r="A122" t="s">
        <v>687</v>
      </c>
      <c r="B122">
        <v>2</v>
      </c>
      <c r="C122">
        <v>2</v>
      </c>
      <c r="D122">
        <v>171</v>
      </c>
      <c r="E122">
        <v>147</v>
      </c>
      <c r="F122">
        <v>164</v>
      </c>
      <c r="G122">
        <v>472</v>
      </c>
      <c r="H122">
        <v>168</v>
      </c>
      <c r="I122">
        <v>240</v>
      </c>
      <c r="J122">
        <v>458</v>
      </c>
      <c r="K122">
        <v>262</v>
      </c>
      <c r="L122">
        <v>454</v>
      </c>
      <c r="M122">
        <v>388</v>
      </c>
      <c r="N122">
        <v>563</v>
      </c>
      <c r="O122">
        <v>364</v>
      </c>
      <c r="P122">
        <v>228</v>
      </c>
      <c r="Q122">
        <v>98</v>
      </c>
      <c r="R122">
        <v>126</v>
      </c>
      <c r="S122">
        <v>639</v>
      </c>
      <c r="T122">
        <v>235</v>
      </c>
      <c r="U122">
        <v>233</v>
      </c>
      <c r="V122">
        <v>0</v>
      </c>
      <c r="W122">
        <v>358</v>
      </c>
      <c r="X122">
        <v>172.92839280000001</v>
      </c>
      <c r="Y122">
        <v>154.0625598</v>
      </c>
      <c r="Z122">
        <v>138.5590814</v>
      </c>
      <c r="AA122">
        <v>65</v>
      </c>
      <c r="AB122">
        <v>292.0610527</v>
      </c>
      <c r="AC122">
        <v>292.3370018</v>
      </c>
      <c r="AD122">
        <v>210.82175100000001</v>
      </c>
      <c r="AE122">
        <v>142.70601289999999</v>
      </c>
      <c r="AF122">
        <v>112.8071171</v>
      </c>
      <c r="AG122">
        <v>55</v>
      </c>
      <c r="AH122">
        <v>303.93288200000001</v>
      </c>
      <c r="AI122">
        <v>275.82946270000002</v>
      </c>
      <c r="AJ122">
        <v>209.2474282</v>
      </c>
      <c r="AK122">
        <v>163.93632170000001</v>
      </c>
      <c r="AL122">
        <v>116.29841589999999</v>
      </c>
      <c r="AM122">
        <v>55</v>
      </c>
      <c r="AN122">
        <v>264.22179619999997</v>
      </c>
      <c r="AO122">
        <v>242.8809761</v>
      </c>
      <c r="AP122">
        <v>196.16478760000001</v>
      </c>
      <c r="AQ122">
        <v>156.76935570000001</v>
      </c>
      <c r="AR122">
        <v>118.4621819</v>
      </c>
      <c r="AS122">
        <v>55</v>
      </c>
      <c r="AT122">
        <v>2.9573000000000002E-4</v>
      </c>
      <c r="AU122">
        <v>4.6396000000000002E-4</v>
      </c>
      <c r="AV122">
        <v>3.0683229999999999E-2</v>
      </c>
      <c r="AW122">
        <v>2.50376E-2</v>
      </c>
      <c r="AX122">
        <v>3.0770990000000002E-2</v>
      </c>
      <c r="AY122">
        <v>8.7876419999999997E-2</v>
      </c>
      <c r="AZ122">
        <v>3.1401720000000001E-2</v>
      </c>
      <c r="BA122">
        <v>4.5596989999999997E-2</v>
      </c>
      <c r="BB122">
        <v>8.3985320000000002E-2</v>
      </c>
      <c r="BC122">
        <v>4.4024260000000003E-2</v>
      </c>
      <c r="BD122">
        <v>8.6845229999999995E-2</v>
      </c>
      <c r="BE122">
        <v>7.1279869999999995E-2</v>
      </c>
      <c r="BF122">
        <v>0.10758642</v>
      </c>
      <c r="BG122">
        <v>6.8014179999999994E-2</v>
      </c>
      <c r="BH122">
        <v>3.6500959999999999E-2</v>
      </c>
      <c r="BI122">
        <v>1.704936E-2</v>
      </c>
      <c r="BJ122">
        <v>2.5223280000000001E-2</v>
      </c>
      <c r="BK122">
        <v>0.12527477000000001</v>
      </c>
      <c r="BL122">
        <v>4.3764890000000001E-2</v>
      </c>
      <c r="BM122">
        <v>3.8324820000000002E-2</v>
      </c>
      <c r="BN122">
        <v>882</v>
      </c>
      <c r="BO122">
        <v>268.4244678</v>
      </c>
      <c r="BP122">
        <v>190</v>
      </c>
    </row>
    <row r="123" spans="1:68" x14ac:dyDescent="0.2">
      <c r="A123" t="s">
        <v>688</v>
      </c>
      <c r="B123">
        <v>340</v>
      </c>
      <c r="C123">
        <v>2210</v>
      </c>
      <c r="D123">
        <v>3701</v>
      </c>
      <c r="E123">
        <v>2414</v>
      </c>
      <c r="F123">
        <v>2345</v>
      </c>
      <c r="G123">
        <v>260</v>
      </c>
      <c r="H123">
        <v>106</v>
      </c>
      <c r="I123">
        <v>230</v>
      </c>
      <c r="J123">
        <v>260</v>
      </c>
      <c r="K123">
        <v>160</v>
      </c>
      <c r="L123">
        <v>1312</v>
      </c>
      <c r="M123">
        <v>749</v>
      </c>
      <c r="N123">
        <v>1455</v>
      </c>
      <c r="O123">
        <v>1130</v>
      </c>
      <c r="P123">
        <v>678</v>
      </c>
      <c r="Q123">
        <v>1783</v>
      </c>
      <c r="R123">
        <v>1490</v>
      </c>
      <c r="S123">
        <v>2790</v>
      </c>
      <c r="T123">
        <v>2591</v>
      </c>
      <c r="U123">
        <v>1016</v>
      </c>
      <c r="V123">
        <v>224.4128134</v>
      </c>
      <c r="W123">
        <v>211.87740299999999</v>
      </c>
      <c r="X123">
        <v>182.0602797</v>
      </c>
      <c r="Y123">
        <v>154.38079060000001</v>
      </c>
      <c r="Z123">
        <v>121.4999658</v>
      </c>
      <c r="AA123">
        <v>65</v>
      </c>
      <c r="AB123">
        <v>314.51804559999999</v>
      </c>
      <c r="AC123">
        <v>297.32055930000001</v>
      </c>
      <c r="AD123">
        <v>218.16975049999999</v>
      </c>
      <c r="AE123">
        <v>154.69277009999999</v>
      </c>
      <c r="AF123">
        <v>114.1072449</v>
      </c>
      <c r="AG123">
        <v>55</v>
      </c>
      <c r="AH123">
        <v>286.74435089999997</v>
      </c>
      <c r="AI123">
        <v>236.83277459999999</v>
      </c>
      <c r="AJ123">
        <v>224.84395850000001</v>
      </c>
      <c r="AK123">
        <v>169.28834459999999</v>
      </c>
      <c r="AL123">
        <v>114.61051670000001</v>
      </c>
      <c r="AM123">
        <v>55</v>
      </c>
      <c r="AN123">
        <v>239.59146369999999</v>
      </c>
      <c r="AO123">
        <v>207.47370140000001</v>
      </c>
      <c r="AP123">
        <v>204.1033338</v>
      </c>
      <c r="AQ123">
        <v>165.9053376</v>
      </c>
      <c r="AR123">
        <v>112.7466534</v>
      </c>
      <c r="AS123">
        <v>55</v>
      </c>
      <c r="AT123">
        <v>1.271659E-2</v>
      </c>
      <c r="AU123">
        <v>8.218135E-2</v>
      </c>
      <c r="AV123">
        <v>0.13490556000000001</v>
      </c>
      <c r="AW123">
        <v>9.3083449999999998E-2</v>
      </c>
      <c r="AX123">
        <v>8.2027989999999995E-2</v>
      </c>
      <c r="AY123">
        <v>8.5594899999999995E-3</v>
      </c>
      <c r="AZ123">
        <v>3.5721199999999998E-3</v>
      </c>
      <c r="BA123">
        <v>8.9502499999999999E-3</v>
      </c>
      <c r="BB123">
        <v>9.2170099999999994E-3</v>
      </c>
      <c r="BC123">
        <v>5.5565099999999997E-3</v>
      </c>
      <c r="BD123">
        <v>5.1687869999999997E-2</v>
      </c>
      <c r="BE123">
        <v>2.658607E-2</v>
      </c>
      <c r="BF123">
        <v>5.4410149999999997E-2</v>
      </c>
      <c r="BG123">
        <v>4.288289E-2</v>
      </c>
      <c r="BH123">
        <v>2.3221829999999999E-2</v>
      </c>
      <c r="BI123">
        <v>7.1483900000000003E-2</v>
      </c>
      <c r="BJ123">
        <v>5.1208160000000003E-2</v>
      </c>
      <c r="BK123">
        <v>0.10577427</v>
      </c>
      <c r="BL123">
        <v>9.7605810000000001E-2</v>
      </c>
      <c r="BM123">
        <v>3.436873E-2</v>
      </c>
      <c r="BN123">
        <v>2713</v>
      </c>
      <c r="BO123">
        <v>278.26710050000003</v>
      </c>
      <c r="BP123">
        <v>190</v>
      </c>
    </row>
    <row r="124" spans="1:68" x14ac:dyDescent="0.2">
      <c r="A124" t="s">
        <v>689</v>
      </c>
      <c r="B124">
        <v>136</v>
      </c>
      <c r="C124">
        <v>10</v>
      </c>
      <c r="D124">
        <v>280</v>
      </c>
      <c r="E124">
        <v>660</v>
      </c>
      <c r="F124">
        <v>373</v>
      </c>
      <c r="G124">
        <v>1015</v>
      </c>
      <c r="H124">
        <v>338</v>
      </c>
      <c r="I124">
        <v>565</v>
      </c>
      <c r="J124">
        <v>717</v>
      </c>
      <c r="K124">
        <v>349</v>
      </c>
      <c r="L124">
        <v>202</v>
      </c>
      <c r="M124">
        <v>261</v>
      </c>
      <c r="N124">
        <v>1077</v>
      </c>
      <c r="O124">
        <v>617</v>
      </c>
      <c r="P124">
        <v>430</v>
      </c>
      <c r="Q124">
        <v>17</v>
      </c>
      <c r="R124">
        <v>49</v>
      </c>
      <c r="S124">
        <v>1388</v>
      </c>
      <c r="T124">
        <v>587</v>
      </c>
      <c r="U124">
        <v>376</v>
      </c>
      <c r="V124">
        <v>253.91774269999999</v>
      </c>
      <c r="W124">
        <v>264.14488349999999</v>
      </c>
      <c r="X124">
        <v>168.1621806</v>
      </c>
      <c r="Y124">
        <v>165.22332739999999</v>
      </c>
      <c r="Z124">
        <v>114.7897574</v>
      </c>
      <c r="AA124">
        <v>65</v>
      </c>
      <c r="AB124">
        <v>296.84938510000001</v>
      </c>
      <c r="AC124">
        <v>266.96842149999998</v>
      </c>
      <c r="AD124">
        <v>212.81092169999999</v>
      </c>
      <c r="AE124">
        <v>142.6244983</v>
      </c>
      <c r="AF124">
        <v>118.80807009999999</v>
      </c>
      <c r="AG124">
        <v>55</v>
      </c>
      <c r="AH124">
        <v>280.67363330000001</v>
      </c>
      <c r="AI124">
        <v>251.19998150000001</v>
      </c>
      <c r="AJ124">
        <v>212.21888319999999</v>
      </c>
      <c r="AK124">
        <v>158.253972</v>
      </c>
      <c r="AL124">
        <v>116.170293</v>
      </c>
      <c r="AM124">
        <v>55</v>
      </c>
      <c r="AN124">
        <v>345.94450690000002</v>
      </c>
      <c r="AO124">
        <v>241.8968145</v>
      </c>
      <c r="AP124">
        <v>200.81350180000001</v>
      </c>
      <c r="AQ124">
        <v>153.30402620000001</v>
      </c>
      <c r="AR124">
        <v>112.4185269</v>
      </c>
      <c r="AS124">
        <v>55</v>
      </c>
      <c r="AT124">
        <v>1.412009E-2</v>
      </c>
      <c r="AU124">
        <v>9.1613000000000003E-4</v>
      </c>
      <c r="AV124">
        <v>3.0421770000000001E-2</v>
      </c>
      <c r="AW124">
        <v>6.4550469999999999E-2</v>
      </c>
      <c r="AX124">
        <v>3.600772E-2</v>
      </c>
      <c r="AY124">
        <v>0.11064032</v>
      </c>
      <c r="AZ124">
        <v>3.6048660000000003E-2</v>
      </c>
      <c r="BA124">
        <v>6.4562079999999994E-2</v>
      </c>
      <c r="BB124">
        <v>7.1022940000000007E-2</v>
      </c>
      <c r="BC124">
        <v>3.4077299999999998E-2</v>
      </c>
      <c r="BD124">
        <v>2.1834490000000002E-2</v>
      </c>
      <c r="BE124">
        <v>3.0172919999999999E-2</v>
      </c>
      <c r="BF124">
        <v>0.12235639</v>
      </c>
      <c r="BG124">
        <v>6.1326140000000001E-2</v>
      </c>
      <c r="BH124">
        <v>4.2729040000000003E-2</v>
      </c>
      <c r="BI124">
        <v>2.08983E-3</v>
      </c>
      <c r="BJ124">
        <v>5.26335E-3</v>
      </c>
      <c r="BK124">
        <v>0.15396578999999999</v>
      </c>
      <c r="BL124">
        <v>6.0300239999999998E-2</v>
      </c>
      <c r="BM124">
        <v>3.7594330000000002E-2</v>
      </c>
      <c r="BN124">
        <v>611</v>
      </c>
      <c r="BO124">
        <v>254.27685220000001</v>
      </c>
      <c r="BP124">
        <v>190</v>
      </c>
    </row>
    <row r="125" spans="1:68" x14ac:dyDescent="0.2">
      <c r="A125" t="s">
        <v>690</v>
      </c>
      <c r="B125">
        <v>0</v>
      </c>
      <c r="C125">
        <v>192</v>
      </c>
      <c r="D125">
        <v>1336</v>
      </c>
      <c r="E125">
        <v>942</v>
      </c>
      <c r="F125">
        <v>1249</v>
      </c>
      <c r="G125">
        <v>246</v>
      </c>
      <c r="H125">
        <v>73</v>
      </c>
      <c r="I125">
        <v>206</v>
      </c>
      <c r="J125">
        <v>143</v>
      </c>
      <c r="K125">
        <v>30</v>
      </c>
      <c r="L125">
        <v>527</v>
      </c>
      <c r="M125">
        <v>607</v>
      </c>
      <c r="N125">
        <v>1484</v>
      </c>
      <c r="O125">
        <v>365</v>
      </c>
      <c r="P125">
        <v>99</v>
      </c>
      <c r="Q125">
        <v>113</v>
      </c>
      <c r="R125">
        <v>1030</v>
      </c>
      <c r="S125">
        <v>3019</v>
      </c>
      <c r="T125">
        <v>708</v>
      </c>
      <c r="U125">
        <v>218</v>
      </c>
      <c r="V125">
        <v>0</v>
      </c>
      <c r="W125">
        <v>236.29464669999999</v>
      </c>
      <c r="X125">
        <v>175.58862060000001</v>
      </c>
      <c r="Y125">
        <v>153.5362982</v>
      </c>
      <c r="Z125">
        <v>119.26255140000001</v>
      </c>
      <c r="AA125">
        <v>65</v>
      </c>
      <c r="AB125">
        <v>311.47628250000002</v>
      </c>
      <c r="AC125">
        <v>250.59245340000001</v>
      </c>
      <c r="AD125">
        <v>225.1472588</v>
      </c>
      <c r="AE125">
        <v>154.4254899</v>
      </c>
      <c r="AF125">
        <v>112.76696509999999</v>
      </c>
      <c r="AG125">
        <v>55</v>
      </c>
      <c r="AH125">
        <v>323.07196199999998</v>
      </c>
      <c r="AI125">
        <v>206.53264100000001</v>
      </c>
      <c r="AJ125">
        <v>197.8444049</v>
      </c>
      <c r="AK125">
        <v>153.3553953</v>
      </c>
      <c r="AL125">
        <v>110.1047305</v>
      </c>
      <c r="AM125">
        <v>55</v>
      </c>
      <c r="AN125">
        <v>306.84376379999998</v>
      </c>
      <c r="AO125">
        <v>177.45910900000001</v>
      </c>
      <c r="AP125">
        <v>186.70264359999999</v>
      </c>
      <c r="AQ125">
        <v>148.4536635</v>
      </c>
      <c r="AR125">
        <v>102.8148948</v>
      </c>
      <c r="AS125">
        <v>55</v>
      </c>
      <c r="AT125">
        <v>0</v>
      </c>
      <c r="AU125">
        <v>1.6379749999999998E-2</v>
      </c>
      <c r="AV125">
        <v>0.10910299</v>
      </c>
      <c r="AW125">
        <v>7.4513860000000001E-2</v>
      </c>
      <c r="AX125">
        <v>0.10917423</v>
      </c>
      <c r="AY125">
        <v>1.7852349999999999E-2</v>
      </c>
      <c r="AZ125">
        <v>5.6834800000000003E-3</v>
      </c>
      <c r="BA125">
        <v>1.391684E-2</v>
      </c>
      <c r="BB125">
        <v>1.1113700000000001E-2</v>
      </c>
      <c r="BC125">
        <v>2.53542E-3</v>
      </c>
      <c r="BD125">
        <v>3.8843820000000001E-2</v>
      </c>
      <c r="BE125">
        <v>4.795543E-2</v>
      </c>
      <c r="BF125">
        <v>0.11264105000000001</v>
      </c>
      <c r="BG125">
        <v>2.9989310000000002E-2</v>
      </c>
      <c r="BH125">
        <v>9.3733800000000006E-3</v>
      </c>
      <c r="BI125">
        <v>9.1322299999999999E-3</v>
      </c>
      <c r="BJ125">
        <v>8.2869280000000003E-2</v>
      </c>
      <c r="BK125">
        <v>0.23117143000000001</v>
      </c>
      <c r="BL125">
        <v>5.7632469999999998E-2</v>
      </c>
      <c r="BM125">
        <v>2.0118980000000002E-2</v>
      </c>
      <c r="BN125">
        <v>1413</v>
      </c>
      <c r="BO125">
        <v>226.55379350000001</v>
      </c>
      <c r="BP125">
        <v>190</v>
      </c>
    </row>
    <row r="126" spans="1:68" x14ac:dyDescent="0.2">
      <c r="A126" t="s">
        <v>691</v>
      </c>
      <c r="B126">
        <v>392</v>
      </c>
      <c r="C126">
        <v>271</v>
      </c>
      <c r="D126">
        <v>1191</v>
      </c>
      <c r="E126">
        <v>1066</v>
      </c>
      <c r="F126">
        <v>1528</v>
      </c>
      <c r="G126">
        <v>1900</v>
      </c>
      <c r="H126">
        <v>384</v>
      </c>
      <c r="I126">
        <v>832</v>
      </c>
      <c r="J126">
        <v>709</v>
      </c>
      <c r="K126">
        <v>506</v>
      </c>
      <c r="L126">
        <v>1258</v>
      </c>
      <c r="M126">
        <v>933</v>
      </c>
      <c r="N126">
        <v>2028</v>
      </c>
      <c r="O126">
        <v>1147</v>
      </c>
      <c r="P126">
        <v>568</v>
      </c>
      <c r="Q126">
        <v>830</v>
      </c>
      <c r="R126">
        <v>1430</v>
      </c>
      <c r="S126">
        <v>4250</v>
      </c>
      <c r="T126">
        <v>1785</v>
      </c>
      <c r="U126">
        <v>814</v>
      </c>
      <c r="V126">
        <v>278.18697500000002</v>
      </c>
      <c r="W126">
        <v>198.48866760000001</v>
      </c>
      <c r="X126">
        <v>196.55801930000001</v>
      </c>
      <c r="Y126">
        <v>159.58276839999999</v>
      </c>
      <c r="Z126">
        <v>118.62786250000001</v>
      </c>
      <c r="AA126">
        <v>65</v>
      </c>
      <c r="AB126">
        <v>311.06730909999999</v>
      </c>
      <c r="AC126">
        <v>279.5110565</v>
      </c>
      <c r="AD126">
        <v>229.1506545</v>
      </c>
      <c r="AE126">
        <v>157.43790129999999</v>
      </c>
      <c r="AF126">
        <v>117.0903397</v>
      </c>
      <c r="AG126">
        <v>55</v>
      </c>
      <c r="AH126">
        <v>307.62309720000002</v>
      </c>
      <c r="AI126">
        <v>249.53208269999999</v>
      </c>
      <c r="AJ126">
        <v>209.6368597</v>
      </c>
      <c r="AK126">
        <v>170.76242869999999</v>
      </c>
      <c r="AL126">
        <v>114.7419977</v>
      </c>
      <c r="AM126">
        <v>55</v>
      </c>
      <c r="AN126">
        <v>306.20075580000002</v>
      </c>
      <c r="AO126">
        <v>229.16855699999999</v>
      </c>
      <c r="AP126">
        <v>190.80833999999999</v>
      </c>
      <c r="AQ126">
        <v>170.41537589999999</v>
      </c>
      <c r="AR126">
        <v>113.409493</v>
      </c>
      <c r="AS126">
        <v>55</v>
      </c>
      <c r="AT126">
        <v>1.607308E-2</v>
      </c>
      <c r="AU126">
        <v>1.1107840000000001E-2</v>
      </c>
      <c r="AV126">
        <v>4.9787020000000001E-2</v>
      </c>
      <c r="AW126">
        <v>4.42158E-2</v>
      </c>
      <c r="AX126">
        <v>6.4556799999999998E-2</v>
      </c>
      <c r="AY126">
        <v>8.1992899999999994E-2</v>
      </c>
      <c r="AZ126">
        <v>1.645197E-2</v>
      </c>
      <c r="BA126">
        <v>3.5094140000000003E-2</v>
      </c>
      <c r="BB126">
        <v>2.9928400000000001E-2</v>
      </c>
      <c r="BC126">
        <v>2.034646E-2</v>
      </c>
      <c r="BD126">
        <v>5.3882439999999997E-2</v>
      </c>
      <c r="BE126">
        <v>4.0373539999999999E-2</v>
      </c>
      <c r="BF126">
        <v>8.6825040000000006E-2</v>
      </c>
      <c r="BG126">
        <v>4.8603470000000003E-2</v>
      </c>
      <c r="BH126">
        <v>2.2612940000000002E-2</v>
      </c>
      <c r="BI126">
        <v>3.406986E-2</v>
      </c>
      <c r="BJ126">
        <v>5.9324090000000003E-2</v>
      </c>
      <c r="BK126">
        <v>0.17794536</v>
      </c>
      <c r="BL126">
        <v>7.4660229999999994E-2</v>
      </c>
      <c r="BM126">
        <v>3.2148620000000003E-2</v>
      </c>
      <c r="BN126">
        <v>2072</v>
      </c>
      <c r="BO126">
        <v>272.2866942</v>
      </c>
      <c r="BP126">
        <v>190</v>
      </c>
    </row>
    <row r="127" spans="1:68" x14ac:dyDescent="0.2">
      <c r="A127" t="s">
        <v>692</v>
      </c>
      <c r="B127">
        <v>21</v>
      </c>
      <c r="C127">
        <v>54</v>
      </c>
      <c r="D127">
        <v>191</v>
      </c>
      <c r="E127">
        <v>148</v>
      </c>
      <c r="F127">
        <v>291</v>
      </c>
      <c r="G127">
        <v>235</v>
      </c>
      <c r="H127">
        <v>96</v>
      </c>
      <c r="I127">
        <v>165</v>
      </c>
      <c r="J127">
        <v>158</v>
      </c>
      <c r="K127">
        <v>133</v>
      </c>
      <c r="L127">
        <v>77</v>
      </c>
      <c r="M127">
        <v>287</v>
      </c>
      <c r="N127">
        <v>489</v>
      </c>
      <c r="O127">
        <v>193</v>
      </c>
      <c r="P127">
        <v>114</v>
      </c>
      <c r="Q127">
        <v>7</v>
      </c>
      <c r="R127">
        <v>485</v>
      </c>
      <c r="S127">
        <v>1183</v>
      </c>
      <c r="T127">
        <v>357</v>
      </c>
      <c r="U127">
        <v>205</v>
      </c>
      <c r="V127">
        <v>256.27061800000001</v>
      </c>
      <c r="W127">
        <v>292.50665379999998</v>
      </c>
      <c r="X127">
        <v>162.32932740000001</v>
      </c>
      <c r="Y127">
        <v>142.05983000000001</v>
      </c>
      <c r="Z127">
        <v>102.49445009999999</v>
      </c>
      <c r="AA127">
        <v>65</v>
      </c>
      <c r="AB127">
        <v>293.88094760000001</v>
      </c>
      <c r="AC127">
        <v>264.42413950000002</v>
      </c>
      <c r="AD127">
        <v>216.00983640000001</v>
      </c>
      <c r="AE127">
        <v>152.53415229999999</v>
      </c>
      <c r="AF127">
        <v>110.8039727</v>
      </c>
      <c r="AG127">
        <v>55</v>
      </c>
      <c r="AH127">
        <v>273.37355430000002</v>
      </c>
      <c r="AI127">
        <v>229.0848384</v>
      </c>
      <c r="AJ127">
        <v>219.49836629999999</v>
      </c>
      <c r="AK127">
        <v>165.45819689999999</v>
      </c>
      <c r="AL127">
        <v>114.4285884</v>
      </c>
      <c r="AM127">
        <v>55</v>
      </c>
      <c r="AN127">
        <v>213.77064290000001</v>
      </c>
      <c r="AO127">
        <v>168.01330619999999</v>
      </c>
      <c r="AP127">
        <v>199.60757190000001</v>
      </c>
      <c r="AQ127">
        <v>158.9120126</v>
      </c>
      <c r="AR127">
        <v>117.5558544</v>
      </c>
      <c r="AS127">
        <v>55</v>
      </c>
      <c r="AT127">
        <v>4.1422300000000002E-3</v>
      </c>
      <c r="AU127">
        <v>1.0974599999999999E-2</v>
      </c>
      <c r="AV127">
        <v>3.6265039999999998E-2</v>
      </c>
      <c r="AW127">
        <v>3.2497190000000002E-2</v>
      </c>
      <c r="AX127">
        <v>6.0664179999999998E-2</v>
      </c>
      <c r="AY127">
        <v>4.6072630000000003E-2</v>
      </c>
      <c r="AZ127">
        <v>2.0337310000000001E-2</v>
      </c>
      <c r="BA127">
        <v>3.2387539999999999E-2</v>
      </c>
      <c r="BB127">
        <v>3.2347859999999999E-2</v>
      </c>
      <c r="BC127">
        <v>2.7697050000000001E-2</v>
      </c>
      <c r="BD127">
        <v>1.5421249999999999E-2</v>
      </c>
      <c r="BE127">
        <v>5.9216770000000002E-2</v>
      </c>
      <c r="BF127">
        <v>9.9775470000000005E-2</v>
      </c>
      <c r="BG127">
        <v>3.8777640000000002E-2</v>
      </c>
      <c r="BH127">
        <v>2.3546979999999999E-2</v>
      </c>
      <c r="BI127">
        <v>1.8431999999999999E-3</v>
      </c>
      <c r="BJ127">
        <v>9.9562960000000006E-2</v>
      </c>
      <c r="BK127">
        <v>0.24589406</v>
      </c>
      <c r="BL127">
        <v>7.0274390000000006E-2</v>
      </c>
      <c r="BM127">
        <v>4.2301650000000003E-2</v>
      </c>
      <c r="BN127">
        <v>660</v>
      </c>
      <c r="BO127">
        <v>253.14187799999999</v>
      </c>
      <c r="BP127">
        <v>190</v>
      </c>
    </row>
    <row r="128" spans="1:68" x14ac:dyDescent="0.2">
      <c r="A128" t="s">
        <v>693</v>
      </c>
      <c r="B128">
        <v>127</v>
      </c>
      <c r="C128">
        <v>22</v>
      </c>
      <c r="D128">
        <v>140</v>
      </c>
      <c r="E128">
        <v>751</v>
      </c>
      <c r="F128">
        <v>720</v>
      </c>
      <c r="G128">
        <v>1195</v>
      </c>
      <c r="H128">
        <v>202</v>
      </c>
      <c r="I128">
        <v>537</v>
      </c>
      <c r="J128">
        <v>1084</v>
      </c>
      <c r="K128">
        <v>195</v>
      </c>
      <c r="L128">
        <v>515</v>
      </c>
      <c r="M128">
        <v>305</v>
      </c>
      <c r="N128">
        <v>986</v>
      </c>
      <c r="O128">
        <v>829</v>
      </c>
      <c r="P128">
        <v>402</v>
      </c>
      <c r="Q128">
        <v>70</v>
      </c>
      <c r="R128">
        <v>246</v>
      </c>
      <c r="S128">
        <v>1586</v>
      </c>
      <c r="T128">
        <v>1346</v>
      </c>
      <c r="U128">
        <v>394</v>
      </c>
      <c r="V128">
        <v>254.38228659999999</v>
      </c>
      <c r="W128">
        <v>262.16536660000003</v>
      </c>
      <c r="X128">
        <v>197.421032</v>
      </c>
      <c r="Y128">
        <v>141.50261219999999</v>
      </c>
      <c r="Z128">
        <v>117.0424771</v>
      </c>
      <c r="AA128">
        <v>65</v>
      </c>
      <c r="AB128">
        <v>295.50305309999999</v>
      </c>
      <c r="AC128">
        <v>281.8150698</v>
      </c>
      <c r="AD128">
        <v>204.67140929999999</v>
      </c>
      <c r="AE128">
        <v>149.38371169999999</v>
      </c>
      <c r="AF128">
        <v>119.633622</v>
      </c>
      <c r="AG128">
        <v>55</v>
      </c>
      <c r="AH128">
        <v>311.77417029999998</v>
      </c>
      <c r="AI128">
        <v>234.8009806</v>
      </c>
      <c r="AJ128">
        <v>197.33888229999999</v>
      </c>
      <c r="AK128">
        <v>148.22949180000001</v>
      </c>
      <c r="AL128">
        <v>116.2060245</v>
      </c>
      <c r="AM128">
        <v>55</v>
      </c>
      <c r="AN128">
        <v>314.10110359999999</v>
      </c>
      <c r="AO128">
        <v>209.7057911</v>
      </c>
      <c r="AP128">
        <v>188.87469100000001</v>
      </c>
      <c r="AQ128">
        <v>145.79679400000001</v>
      </c>
      <c r="AR128">
        <v>116.5154592</v>
      </c>
      <c r="AS128">
        <v>55</v>
      </c>
      <c r="AT128">
        <v>1.231783E-2</v>
      </c>
      <c r="AU128">
        <v>2.1039399999999999E-3</v>
      </c>
      <c r="AV128">
        <v>1.179676E-2</v>
      </c>
      <c r="AW128">
        <v>6.5187060000000005E-2</v>
      </c>
      <c r="AX128">
        <v>5.7996190000000003E-2</v>
      </c>
      <c r="AY128">
        <v>0.10478593</v>
      </c>
      <c r="AZ128">
        <v>1.7376929999999999E-2</v>
      </c>
      <c r="BA128">
        <v>4.4216680000000001E-2</v>
      </c>
      <c r="BB128">
        <v>9.1821609999999998E-2</v>
      </c>
      <c r="BC128">
        <v>1.7434959999999999E-2</v>
      </c>
      <c r="BD128">
        <v>4.5165459999999998E-2</v>
      </c>
      <c r="BE128">
        <v>2.511064E-2</v>
      </c>
      <c r="BF128">
        <v>8.37643E-2</v>
      </c>
      <c r="BG128">
        <v>7.3379840000000002E-2</v>
      </c>
      <c r="BH128">
        <v>3.2099370000000002E-2</v>
      </c>
      <c r="BI128">
        <v>6.7435100000000003E-3</v>
      </c>
      <c r="BJ128">
        <v>2.1233370000000001E-2</v>
      </c>
      <c r="BK128">
        <v>0.13600366</v>
      </c>
      <c r="BL128">
        <v>0.12080063000000001</v>
      </c>
      <c r="BM128">
        <v>3.0661330000000001E-2</v>
      </c>
      <c r="BN128">
        <v>0</v>
      </c>
      <c r="BO128">
        <v>204.1597664</v>
      </c>
      <c r="BP128">
        <v>190</v>
      </c>
    </row>
    <row r="129" spans="1:68" x14ac:dyDescent="0.2">
      <c r="A129" t="s">
        <v>694</v>
      </c>
      <c r="B129">
        <v>50</v>
      </c>
      <c r="C129">
        <v>30</v>
      </c>
      <c r="D129">
        <v>477</v>
      </c>
      <c r="E129">
        <v>1526</v>
      </c>
      <c r="F129">
        <v>2115</v>
      </c>
      <c r="G129">
        <v>282</v>
      </c>
      <c r="H129">
        <v>206</v>
      </c>
      <c r="I129">
        <v>607</v>
      </c>
      <c r="J129">
        <v>833</v>
      </c>
      <c r="K129">
        <v>595</v>
      </c>
      <c r="L129">
        <v>518</v>
      </c>
      <c r="M129">
        <v>708</v>
      </c>
      <c r="N129">
        <v>1702</v>
      </c>
      <c r="O129">
        <v>1658</v>
      </c>
      <c r="P129">
        <v>1490</v>
      </c>
      <c r="Q129">
        <v>287</v>
      </c>
      <c r="R129">
        <v>820</v>
      </c>
      <c r="S129">
        <v>3568</v>
      </c>
      <c r="T129">
        <v>3520</v>
      </c>
      <c r="U129">
        <v>3228</v>
      </c>
      <c r="V129">
        <v>319.76359059999999</v>
      </c>
      <c r="W129">
        <v>167.08658070000001</v>
      </c>
      <c r="X129">
        <v>184.47959080000001</v>
      </c>
      <c r="Y129">
        <v>111.3738251</v>
      </c>
      <c r="Z129">
        <v>108.2742657</v>
      </c>
      <c r="AA129">
        <v>65</v>
      </c>
      <c r="AB129">
        <v>296.21161030000002</v>
      </c>
      <c r="AC129">
        <v>271.67389300000002</v>
      </c>
      <c r="AD129">
        <v>225.16182760000001</v>
      </c>
      <c r="AE129">
        <v>152.8736988</v>
      </c>
      <c r="AF129">
        <v>114.6994153</v>
      </c>
      <c r="AG129">
        <v>55</v>
      </c>
      <c r="AH129">
        <v>315.3352094</v>
      </c>
      <c r="AI129">
        <v>237.9488269</v>
      </c>
      <c r="AJ129">
        <v>205.81273329999999</v>
      </c>
      <c r="AK129">
        <v>151.4502731</v>
      </c>
      <c r="AL129">
        <v>114.67937000000001</v>
      </c>
      <c r="AM129">
        <v>55</v>
      </c>
      <c r="AN129">
        <v>269.33591480000001</v>
      </c>
      <c r="AO129">
        <v>215.9106677</v>
      </c>
      <c r="AP129">
        <v>187.24059679999999</v>
      </c>
      <c r="AQ129">
        <v>141.76960030000001</v>
      </c>
      <c r="AR129">
        <v>112.22908339999999</v>
      </c>
      <c r="AS129">
        <v>55</v>
      </c>
      <c r="AT129">
        <v>1.8034100000000001E-3</v>
      </c>
      <c r="AU129">
        <v>1.23657E-3</v>
      </c>
      <c r="AV129">
        <v>1.914575E-2</v>
      </c>
      <c r="AW129">
        <v>6.5664899999999998E-2</v>
      </c>
      <c r="AX129">
        <v>8.2888740000000002E-2</v>
      </c>
      <c r="AY129">
        <v>1.156065E-2</v>
      </c>
      <c r="AZ129">
        <v>8.5074E-3</v>
      </c>
      <c r="BA129">
        <v>2.651357E-2</v>
      </c>
      <c r="BB129">
        <v>3.7704540000000002E-2</v>
      </c>
      <c r="BC129">
        <v>2.2179620000000001E-2</v>
      </c>
      <c r="BD129">
        <v>2.2016580000000001E-2</v>
      </c>
      <c r="BE129">
        <v>2.839471E-2</v>
      </c>
      <c r="BF129">
        <v>7.1927179999999993E-2</v>
      </c>
      <c r="BG129">
        <v>7.0979710000000001E-2</v>
      </c>
      <c r="BH129">
        <v>5.8299919999999998E-2</v>
      </c>
      <c r="BI129">
        <v>1.198488E-2</v>
      </c>
      <c r="BJ129">
        <v>3.3048099999999997E-2</v>
      </c>
      <c r="BK129">
        <v>0.14700418000000001</v>
      </c>
      <c r="BL129">
        <v>0.15315681</v>
      </c>
      <c r="BM129">
        <v>0.12598277999999999</v>
      </c>
      <c r="BN129">
        <v>1764</v>
      </c>
      <c r="BO129">
        <v>209.9308758</v>
      </c>
      <c r="BP129">
        <v>190</v>
      </c>
    </row>
    <row r="130" spans="1:68" x14ac:dyDescent="0.2">
      <c r="A130" t="s">
        <v>695</v>
      </c>
      <c r="B130">
        <v>151</v>
      </c>
      <c r="C130">
        <v>29</v>
      </c>
      <c r="D130">
        <v>254</v>
      </c>
      <c r="E130">
        <v>237</v>
      </c>
      <c r="F130">
        <v>274</v>
      </c>
      <c r="G130">
        <v>538</v>
      </c>
      <c r="H130">
        <v>181</v>
      </c>
      <c r="I130">
        <v>151</v>
      </c>
      <c r="J130">
        <v>142</v>
      </c>
      <c r="K130">
        <v>88</v>
      </c>
      <c r="L130">
        <v>1030</v>
      </c>
      <c r="M130">
        <v>666</v>
      </c>
      <c r="N130">
        <v>326</v>
      </c>
      <c r="O130">
        <v>109</v>
      </c>
      <c r="P130">
        <v>97</v>
      </c>
      <c r="Q130">
        <v>257</v>
      </c>
      <c r="R130">
        <v>478</v>
      </c>
      <c r="S130">
        <v>252</v>
      </c>
      <c r="T130">
        <v>45</v>
      </c>
      <c r="U130">
        <v>56</v>
      </c>
      <c r="V130">
        <v>253.78655330000001</v>
      </c>
      <c r="W130">
        <v>218.6276603</v>
      </c>
      <c r="X130">
        <v>130.37362880000001</v>
      </c>
      <c r="Y130">
        <v>169.34832</v>
      </c>
      <c r="Z130">
        <v>116.9971271</v>
      </c>
      <c r="AA130">
        <v>65</v>
      </c>
      <c r="AB130">
        <v>284.10820719999998</v>
      </c>
      <c r="AC130">
        <v>281.23769040000002</v>
      </c>
      <c r="AD130">
        <v>203.76853170000001</v>
      </c>
      <c r="AE130">
        <v>162.25971699999999</v>
      </c>
      <c r="AF130">
        <v>114.4141853</v>
      </c>
      <c r="AG130">
        <v>55</v>
      </c>
      <c r="AH130">
        <v>284.16116620000003</v>
      </c>
      <c r="AI130">
        <v>242.96773830000001</v>
      </c>
      <c r="AJ130">
        <v>217.4717139</v>
      </c>
      <c r="AK130">
        <v>162.7450279</v>
      </c>
      <c r="AL130">
        <v>123.4596013</v>
      </c>
      <c r="AM130">
        <v>55</v>
      </c>
      <c r="AN130">
        <v>266.52581859999998</v>
      </c>
      <c r="AO130">
        <v>187.01605269999999</v>
      </c>
      <c r="AP130">
        <v>184.59193189999999</v>
      </c>
      <c r="AQ130">
        <v>170.20805350000001</v>
      </c>
      <c r="AR130">
        <v>108.4327858</v>
      </c>
      <c r="AS130">
        <v>55</v>
      </c>
      <c r="AT130">
        <v>2.7160320000000002E-2</v>
      </c>
      <c r="AU130">
        <v>5.38909E-3</v>
      </c>
      <c r="AV130">
        <v>4.36963E-2</v>
      </c>
      <c r="AW130">
        <v>4.371535E-2</v>
      </c>
      <c r="AX130">
        <v>4.1751650000000001E-2</v>
      </c>
      <c r="AY130">
        <v>9.9608530000000001E-2</v>
      </c>
      <c r="AZ130">
        <v>3.475926E-2</v>
      </c>
      <c r="BA130">
        <v>2.8597089999999999E-2</v>
      </c>
      <c r="BB130">
        <v>2.8870079999999999E-2</v>
      </c>
      <c r="BC130">
        <v>1.546793E-2</v>
      </c>
      <c r="BD130">
        <v>0.19625219999999999</v>
      </c>
      <c r="BE130">
        <v>0.11971786</v>
      </c>
      <c r="BF130">
        <v>6.7592899999999997E-2</v>
      </c>
      <c r="BG130">
        <v>2.083016E-2</v>
      </c>
      <c r="BH130">
        <v>1.9807040000000001E-2</v>
      </c>
      <c r="BI130">
        <v>5.0575389999999998E-2</v>
      </c>
      <c r="BJ130">
        <v>8.5544640000000005E-2</v>
      </c>
      <c r="BK130">
        <v>5.0318509999999997E-2</v>
      </c>
      <c r="BL130">
        <v>9.1089499999999993E-3</v>
      </c>
      <c r="BM130">
        <v>1.123675E-2</v>
      </c>
      <c r="BN130">
        <v>710</v>
      </c>
      <c r="BO130">
        <v>288.45939290000001</v>
      </c>
      <c r="BP130">
        <v>190</v>
      </c>
    </row>
    <row r="131" spans="1:68" x14ac:dyDescent="0.2">
      <c r="A131" t="s">
        <v>696</v>
      </c>
      <c r="B131">
        <v>3122</v>
      </c>
      <c r="C131">
        <v>5197</v>
      </c>
      <c r="D131">
        <v>7189</v>
      </c>
      <c r="E131">
        <v>3964</v>
      </c>
      <c r="F131">
        <v>2542</v>
      </c>
      <c r="G131">
        <v>2028</v>
      </c>
      <c r="H131">
        <v>367</v>
      </c>
      <c r="I131">
        <v>902</v>
      </c>
      <c r="J131">
        <v>2330</v>
      </c>
      <c r="K131">
        <v>891</v>
      </c>
      <c r="L131">
        <v>4216</v>
      </c>
      <c r="M131">
        <v>1373</v>
      </c>
      <c r="N131">
        <v>4123</v>
      </c>
      <c r="O131">
        <v>2666</v>
      </c>
      <c r="P131">
        <v>1824</v>
      </c>
      <c r="Q131">
        <v>8070</v>
      </c>
      <c r="R131">
        <v>1611</v>
      </c>
      <c r="S131">
        <v>6507</v>
      </c>
      <c r="T131">
        <v>1895</v>
      </c>
      <c r="U131">
        <v>1714</v>
      </c>
      <c r="V131">
        <v>229.81558179999999</v>
      </c>
      <c r="W131">
        <v>217.6868054</v>
      </c>
      <c r="X131">
        <v>189.57655790000001</v>
      </c>
      <c r="Y131">
        <v>158.74953009999999</v>
      </c>
      <c r="Z131">
        <v>122.91239950000001</v>
      </c>
      <c r="AA131">
        <v>65</v>
      </c>
      <c r="AB131">
        <v>302.0307464</v>
      </c>
      <c r="AC131">
        <v>283.4861123</v>
      </c>
      <c r="AD131">
        <v>215.37141940000001</v>
      </c>
      <c r="AE131">
        <v>142.86393380000001</v>
      </c>
      <c r="AF131">
        <v>116.69888760000001</v>
      </c>
      <c r="AG131">
        <v>55</v>
      </c>
      <c r="AH131">
        <v>302.44730420000002</v>
      </c>
      <c r="AI131">
        <v>245.74455610000001</v>
      </c>
      <c r="AJ131">
        <v>207.16211039999999</v>
      </c>
      <c r="AK131">
        <v>162.1928408</v>
      </c>
      <c r="AL131">
        <v>115.93434499999999</v>
      </c>
      <c r="AM131">
        <v>55</v>
      </c>
      <c r="AN131">
        <v>280.7342428</v>
      </c>
      <c r="AO131">
        <v>222.55257409999999</v>
      </c>
      <c r="AP131">
        <v>197.07669189999999</v>
      </c>
      <c r="AQ131">
        <v>164.19845079999999</v>
      </c>
      <c r="AR131">
        <v>114.8940108</v>
      </c>
      <c r="AS131">
        <v>55</v>
      </c>
      <c r="AT131">
        <v>4.8510039999999997E-2</v>
      </c>
      <c r="AU131">
        <v>8.5107530000000001E-2</v>
      </c>
      <c r="AV131">
        <v>0.11345953</v>
      </c>
      <c r="AW131">
        <v>6.234555E-2</v>
      </c>
      <c r="AX131">
        <v>3.8564590000000003E-2</v>
      </c>
      <c r="AY131">
        <v>3.2390240000000001E-2</v>
      </c>
      <c r="AZ131">
        <v>5.9521799999999996E-3</v>
      </c>
      <c r="BA131">
        <v>1.4613040000000001E-2</v>
      </c>
      <c r="BB131">
        <v>3.6486289999999998E-2</v>
      </c>
      <c r="BC131">
        <v>1.3487209999999999E-2</v>
      </c>
      <c r="BD131">
        <v>6.9029919999999995E-2</v>
      </c>
      <c r="BE131">
        <v>2.2607579999999999E-2</v>
      </c>
      <c r="BF131">
        <v>6.6420090000000001E-2</v>
      </c>
      <c r="BG131">
        <v>4.2314379999999999E-2</v>
      </c>
      <c r="BH131">
        <v>2.812247E-2</v>
      </c>
      <c r="BI131">
        <v>0.13309755000000001</v>
      </c>
      <c r="BJ131">
        <v>2.6514200000000002E-2</v>
      </c>
      <c r="BK131">
        <v>0.10525582999999999</v>
      </c>
      <c r="BL131">
        <v>2.937354E-2</v>
      </c>
      <c r="BM131">
        <v>2.6348239999999998E-2</v>
      </c>
      <c r="BN131">
        <v>6798</v>
      </c>
      <c r="BO131">
        <v>240.3249691</v>
      </c>
      <c r="BP131">
        <v>190</v>
      </c>
    </row>
    <row r="132" spans="1:68" x14ac:dyDescent="0.2">
      <c r="A132" t="s">
        <v>697</v>
      </c>
      <c r="B132">
        <v>7644</v>
      </c>
      <c r="C132">
        <v>6117</v>
      </c>
      <c r="D132">
        <v>9576</v>
      </c>
      <c r="E132">
        <v>5202</v>
      </c>
      <c r="F132">
        <v>5232</v>
      </c>
      <c r="G132">
        <v>186</v>
      </c>
      <c r="H132">
        <v>40</v>
      </c>
      <c r="I132">
        <v>88</v>
      </c>
      <c r="J132">
        <v>32</v>
      </c>
      <c r="K132">
        <v>15</v>
      </c>
      <c r="L132">
        <v>1901</v>
      </c>
      <c r="M132">
        <v>631</v>
      </c>
      <c r="N132">
        <v>1525</v>
      </c>
      <c r="O132">
        <v>1013</v>
      </c>
      <c r="P132">
        <v>412</v>
      </c>
      <c r="Q132">
        <v>9343</v>
      </c>
      <c r="R132">
        <v>1602</v>
      </c>
      <c r="S132">
        <v>4424</v>
      </c>
      <c r="T132">
        <v>3452</v>
      </c>
      <c r="U132">
        <v>1471</v>
      </c>
      <c r="V132">
        <v>246.93137730000001</v>
      </c>
      <c r="W132">
        <v>221.03514670000001</v>
      </c>
      <c r="X132">
        <v>202.9978983</v>
      </c>
      <c r="Y132">
        <v>147.78072370000001</v>
      </c>
      <c r="Z132">
        <v>124.22474080000001</v>
      </c>
      <c r="AA132">
        <v>65</v>
      </c>
      <c r="AB132">
        <v>285.57006130000002</v>
      </c>
      <c r="AC132">
        <v>239.93724649999999</v>
      </c>
      <c r="AD132">
        <v>193.29584439999999</v>
      </c>
      <c r="AE132">
        <v>147.5119503</v>
      </c>
      <c r="AF132">
        <v>118</v>
      </c>
      <c r="AG132">
        <v>55</v>
      </c>
      <c r="AH132">
        <v>285.82233389999999</v>
      </c>
      <c r="AI132">
        <v>241.5407347</v>
      </c>
      <c r="AJ132">
        <v>200.61901660000001</v>
      </c>
      <c r="AK132">
        <v>166.3315509</v>
      </c>
      <c r="AL132">
        <v>116.1816244</v>
      </c>
      <c r="AM132">
        <v>55</v>
      </c>
      <c r="AN132">
        <v>268.44463009999998</v>
      </c>
      <c r="AO132">
        <v>223.42552850000001</v>
      </c>
      <c r="AP132">
        <v>189.16720710000001</v>
      </c>
      <c r="AQ132">
        <v>156.3606001</v>
      </c>
      <c r="AR132">
        <v>115.33967610000001</v>
      </c>
      <c r="AS132">
        <v>55</v>
      </c>
      <c r="AT132">
        <v>0.12756195000000001</v>
      </c>
      <c r="AU132">
        <v>0.10296217000000001</v>
      </c>
      <c r="AV132">
        <v>0.15557984999999999</v>
      </c>
      <c r="AW132">
        <v>8.7362339999999997E-2</v>
      </c>
      <c r="AX132">
        <v>8.1436300000000003E-2</v>
      </c>
      <c r="AY132">
        <v>3.19229E-3</v>
      </c>
      <c r="AZ132">
        <v>8.3803000000000002E-4</v>
      </c>
      <c r="BA132">
        <v>1.5345700000000001E-3</v>
      </c>
      <c r="BB132">
        <v>6.0183999999999997E-4</v>
      </c>
      <c r="BC132">
        <v>2.6947000000000001E-4</v>
      </c>
      <c r="BD132">
        <v>3.4600560000000002E-2</v>
      </c>
      <c r="BE132">
        <v>1.0861640000000001E-2</v>
      </c>
      <c r="BF132">
        <v>2.4987249999999999E-2</v>
      </c>
      <c r="BG132">
        <v>1.734844E-2</v>
      </c>
      <c r="BH132">
        <v>6.4988099999999998E-3</v>
      </c>
      <c r="BI132">
        <v>0.16176761000000001</v>
      </c>
      <c r="BJ132">
        <v>2.741008E-2</v>
      </c>
      <c r="BK132">
        <v>7.1969420000000006E-2</v>
      </c>
      <c r="BL132">
        <v>6.0089650000000001E-2</v>
      </c>
      <c r="BM132">
        <v>2.3127729999999999E-2</v>
      </c>
      <c r="BN132">
        <v>6282</v>
      </c>
      <c r="BO132">
        <v>268.38953579999998</v>
      </c>
      <c r="BP132">
        <v>190</v>
      </c>
    </row>
    <row r="133" spans="1:68" x14ac:dyDescent="0.2">
      <c r="A133" t="s">
        <v>698</v>
      </c>
      <c r="B133">
        <v>18</v>
      </c>
      <c r="C133">
        <v>330</v>
      </c>
      <c r="D133">
        <v>2644</v>
      </c>
      <c r="E133">
        <v>1231</v>
      </c>
      <c r="F133">
        <v>607</v>
      </c>
      <c r="G133">
        <v>53</v>
      </c>
      <c r="H133">
        <v>20</v>
      </c>
      <c r="I133">
        <v>62</v>
      </c>
      <c r="J133">
        <v>89</v>
      </c>
      <c r="K133">
        <v>98</v>
      </c>
      <c r="L133">
        <v>282</v>
      </c>
      <c r="M133">
        <v>405</v>
      </c>
      <c r="N133">
        <v>778</v>
      </c>
      <c r="O133">
        <v>563</v>
      </c>
      <c r="P133">
        <v>70</v>
      </c>
      <c r="Q133">
        <v>379</v>
      </c>
      <c r="R133">
        <v>869</v>
      </c>
      <c r="S133">
        <v>1912</v>
      </c>
      <c r="T133">
        <v>1597</v>
      </c>
      <c r="U133">
        <v>108</v>
      </c>
      <c r="V133">
        <v>150.84594100000001</v>
      </c>
      <c r="W133">
        <v>235.7980613</v>
      </c>
      <c r="X133">
        <v>201.385165</v>
      </c>
      <c r="Y133">
        <v>145.1872979</v>
      </c>
      <c r="Z133">
        <v>107.8977022</v>
      </c>
      <c r="AA133">
        <v>65</v>
      </c>
      <c r="AB133">
        <v>294.53419830000001</v>
      </c>
      <c r="AC133">
        <v>252.8033671</v>
      </c>
      <c r="AD133">
        <v>193.58592870000001</v>
      </c>
      <c r="AE133">
        <v>157.33519000000001</v>
      </c>
      <c r="AF133">
        <v>114.9486862</v>
      </c>
      <c r="AG133">
        <v>55</v>
      </c>
      <c r="AH133">
        <v>296.94768249999998</v>
      </c>
      <c r="AI133">
        <v>253.27246299999999</v>
      </c>
      <c r="AJ133">
        <v>210.0162985</v>
      </c>
      <c r="AK133">
        <v>167.42179160000001</v>
      </c>
      <c r="AL133">
        <v>117.3164933</v>
      </c>
      <c r="AM133">
        <v>55</v>
      </c>
      <c r="AN133">
        <v>274.49242270000002</v>
      </c>
      <c r="AO133">
        <v>241.89559399999999</v>
      </c>
      <c r="AP133">
        <v>183.21774769999999</v>
      </c>
      <c r="AQ133">
        <v>155.44048319999999</v>
      </c>
      <c r="AR133">
        <v>114.4692429</v>
      </c>
      <c r="AS133">
        <v>55</v>
      </c>
      <c r="AT133">
        <v>1.89303E-3</v>
      </c>
      <c r="AU133">
        <v>2.8939429999999999E-2</v>
      </c>
      <c r="AV133">
        <v>0.21071085000000001</v>
      </c>
      <c r="AW133">
        <v>0.1066569</v>
      </c>
      <c r="AX133">
        <v>5.5009519999999999E-2</v>
      </c>
      <c r="AY133">
        <v>4.0022599999999997E-3</v>
      </c>
      <c r="AZ133">
        <v>1.9117699999999999E-3</v>
      </c>
      <c r="BA133">
        <v>4.8538399999999999E-3</v>
      </c>
      <c r="BB133">
        <v>7.7245200000000003E-3</v>
      </c>
      <c r="BC133">
        <v>9.2282300000000005E-3</v>
      </c>
      <c r="BD133">
        <v>2.4036510000000001E-2</v>
      </c>
      <c r="BE133">
        <v>3.2437250000000001E-2</v>
      </c>
      <c r="BF133">
        <v>6.0300659999999999E-2</v>
      </c>
      <c r="BG133">
        <v>4.8399200000000003E-2</v>
      </c>
      <c r="BH133">
        <v>6.3292299999999999E-3</v>
      </c>
      <c r="BI133">
        <v>3.2893279999999997E-2</v>
      </c>
      <c r="BJ133">
        <v>6.844037E-2</v>
      </c>
      <c r="BK133">
        <v>0.14747794</v>
      </c>
      <c r="BL133">
        <v>0.13820531</v>
      </c>
      <c r="BM133">
        <v>1.0549899999999999E-2</v>
      </c>
      <c r="BN133">
        <v>1683</v>
      </c>
      <c r="BO133">
        <v>234.5491964</v>
      </c>
      <c r="BP133">
        <v>190</v>
      </c>
    </row>
    <row r="134" spans="1:68" x14ac:dyDescent="0.2">
      <c r="A134" t="s">
        <v>699</v>
      </c>
      <c r="B134">
        <v>3883</v>
      </c>
      <c r="C134">
        <v>7753</v>
      </c>
      <c r="D134">
        <v>5684</v>
      </c>
      <c r="E134">
        <v>3672</v>
      </c>
      <c r="F134">
        <v>1359</v>
      </c>
      <c r="G134">
        <v>355</v>
      </c>
      <c r="H134">
        <v>117</v>
      </c>
      <c r="I134">
        <v>197</v>
      </c>
      <c r="J134">
        <v>205</v>
      </c>
      <c r="K134">
        <v>107</v>
      </c>
      <c r="L134">
        <v>1519</v>
      </c>
      <c r="M134">
        <v>617</v>
      </c>
      <c r="N134">
        <v>1225</v>
      </c>
      <c r="O134">
        <v>808</v>
      </c>
      <c r="P134">
        <v>131</v>
      </c>
      <c r="Q134">
        <v>3155</v>
      </c>
      <c r="R134">
        <v>1003</v>
      </c>
      <c r="S134">
        <v>3097</v>
      </c>
      <c r="T134">
        <v>1737</v>
      </c>
      <c r="U134">
        <v>309</v>
      </c>
      <c r="V134">
        <v>265.03830190000002</v>
      </c>
      <c r="W134">
        <v>242.807953</v>
      </c>
      <c r="X134">
        <v>232.9230206</v>
      </c>
      <c r="Y134">
        <v>168.8015211</v>
      </c>
      <c r="Z134">
        <v>131.91385310000001</v>
      </c>
      <c r="AA134">
        <v>65</v>
      </c>
      <c r="AB134">
        <v>306.73266210000003</v>
      </c>
      <c r="AC134">
        <v>259.74212749999998</v>
      </c>
      <c r="AD134">
        <v>212.96543940000001</v>
      </c>
      <c r="AE134">
        <v>157.93384230000001</v>
      </c>
      <c r="AF134">
        <v>116.6309787</v>
      </c>
      <c r="AG134">
        <v>55</v>
      </c>
      <c r="AH134">
        <v>306.2517173</v>
      </c>
      <c r="AI134">
        <v>269.04643479999999</v>
      </c>
      <c r="AJ134">
        <v>216.04749559999999</v>
      </c>
      <c r="AK134">
        <v>165.2172209</v>
      </c>
      <c r="AL134">
        <v>117.9659837</v>
      </c>
      <c r="AM134">
        <v>55</v>
      </c>
      <c r="AN134">
        <v>277.2160619</v>
      </c>
      <c r="AO134">
        <v>256.13358770000002</v>
      </c>
      <c r="AP134">
        <v>202.42844700000001</v>
      </c>
      <c r="AQ134">
        <v>157.66996420000001</v>
      </c>
      <c r="AR134">
        <v>116.2917085</v>
      </c>
      <c r="AS134">
        <v>55</v>
      </c>
      <c r="AT134">
        <v>0.10581009</v>
      </c>
      <c r="AU134">
        <v>0.21332323</v>
      </c>
      <c r="AV134">
        <v>0.15064991</v>
      </c>
      <c r="AW134">
        <v>9.9013749999999998E-2</v>
      </c>
      <c r="AX134">
        <v>3.6032599999999998E-2</v>
      </c>
      <c r="AY134">
        <v>9.1183600000000007E-3</v>
      </c>
      <c r="AZ134">
        <v>3.0791199999999999E-3</v>
      </c>
      <c r="BA134">
        <v>5.2004900000000003E-3</v>
      </c>
      <c r="BB134">
        <v>5.3496300000000002E-3</v>
      </c>
      <c r="BC134">
        <v>2.70769E-3</v>
      </c>
      <c r="BD134">
        <v>4.302462E-2</v>
      </c>
      <c r="BE134">
        <v>1.62706E-2</v>
      </c>
      <c r="BF134">
        <v>3.2251059999999998E-2</v>
      </c>
      <c r="BG134">
        <v>2.2482640000000002E-2</v>
      </c>
      <c r="BH134">
        <v>3.58845E-3</v>
      </c>
      <c r="BI134">
        <v>8.8485789999999995E-2</v>
      </c>
      <c r="BJ134">
        <v>2.6170450000000001E-2</v>
      </c>
      <c r="BK134">
        <v>8.0693929999999997E-2</v>
      </c>
      <c r="BL134">
        <v>4.9081060000000003E-2</v>
      </c>
      <c r="BM134">
        <v>7.6665300000000004E-3</v>
      </c>
      <c r="BN134">
        <v>3375</v>
      </c>
      <c r="BO134">
        <v>265.7093443</v>
      </c>
      <c r="BP134">
        <v>190</v>
      </c>
    </row>
    <row r="135" spans="1:68" x14ac:dyDescent="0.2">
      <c r="A135" t="s">
        <v>700</v>
      </c>
      <c r="B135">
        <v>0</v>
      </c>
      <c r="C135">
        <v>0</v>
      </c>
      <c r="D135">
        <v>3471</v>
      </c>
      <c r="E135">
        <v>1003</v>
      </c>
      <c r="F135">
        <v>1363</v>
      </c>
      <c r="G135">
        <v>0</v>
      </c>
      <c r="H135">
        <v>7</v>
      </c>
      <c r="I135">
        <v>658</v>
      </c>
      <c r="J135">
        <v>1997</v>
      </c>
      <c r="K135">
        <v>790</v>
      </c>
      <c r="L135">
        <v>0</v>
      </c>
      <c r="M135">
        <v>16</v>
      </c>
      <c r="N135">
        <v>4599</v>
      </c>
      <c r="O135">
        <v>2027</v>
      </c>
      <c r="P135">
        <v>720</v>
      </c>
      <c r="Q135">
        <v>0</v>
      </c>
      <c r="R135">
        <v>4</v>
      </c>
      <c r="S135">
        <v>12307</v>
      </c>
      <c r="T135">
        <v>3440</v>
      </c>
      <c r="U135">
        <v>991</v>
      </c>
      <c r="V135">
        <v>0</v>
      </c>
      <c r="W135">
        <v>0</v>
      </c>
      <c r="X135">
        <v>190.06759729999999</v>
      </c>
      <c r="Y135">
        <v>175.12903410000001</v>
      </c>
      <c r="Z135">
        <v>117.9379702</v>
      </c>
      <c r="AA135">
        <v>65</v>
      </c>
      <c r="AB135">
        <v>0</v>
      </c>
      <c r="AC135">
        <v>313</v>
      </c>
      <c r="AD135">
        <v>208.24975699999999</v>
      </c>
      <c r="AE135">
        <v>135.95905139999999</v>
      </c>
      <c r="AF135">
        <v>116.3943378</v>
      </c>
      <c r="AG135">
        <v>55</v>
      </c>
      <c r="AH135">
        <v>0</v>
      </c>
      <c r="AI135">
        <v>298.0108578</v>
      </c>
      <c r="AJ135">
        <v>201.29851909999999</v>
      </c>
      <c r="AK135">
        <v>138.9884232</v>
      </c>
      <c r="AL135">
        <v>115.9884053</v>
      </c>
      <c r="AM135">
        <v>55</v>
      </c>
      <c r="AN135">
        <v>0</v>
      </c>
      <c r="AO135">
        <v>313</v>
      </c>
      <c r="AP135">
        <v>186.61263719999999</v>
      </c>
      <c r="AQ135">
        <v>136.756812</v>
      </c>
      <c r="AR135">
        <v>114.2342462</v>
      </c>
      <c r="AS135">
        <v>55</v>
      </c>
      <c r="AT135">
        <v>0</v>
      </c>
      <c r="AU135">
        <v>0</v>
      </c>
      <c r="AV135">
        <v>0.10419795</v>
      </c>
      <c r="AW135">
        <v>3.0019400000000002E-2</v>
      </c>
      <c r="AX135">
        <v>3.7851080000000002E-2</v>
      </c>
      <c r="AY135">
        <v>0</v>
      </c>
      <c r="AZ135">
        <v>2.1191999999999999E-4</v>
      </c>
      <c r="BA135">
        <v>1.9864429999999999E-2</v>
      </c>
      <c r="BB135">
        <v>6.00452E-2</v>
      </c>
      <c r="BC135">
        <v>2.16773E-2</v>
      </c>
      <c r="BD135">
        <v>0</v>
      </c>
      <c r="BE135">
        <v>4.2494000000000001E-4</v>
      </c>
      <c r="BF135">
        <v>0.13884394999999999</v>
      </c>
      <c r="BG135">
        <v>6.0201360000000002E-2</v>
      </c>
      <c r="BH135">
        <v>1.992681E-2</v>
      </c>
      <c r="BI135">
        <v>0</v>
      </c>
      <c r="BJ135">
        <v>1.1255E-4</v>
      </c>
      <c r="BK135">
        <v>0.37425514999999998</v>
      </c>
      <c r="BL135">
        <v>0.10439938</v>
      </c>
      <c r="BM135">
        <v>2.796858E-2</v>
      </c>
      <c r="BN135">
        <v>2898</v>
      </c>
      <c r="BO135">
        <v>229.56628420000001</v>
      </c>
      <c r="BP135">
        <v>190</v>
      </c>
    </row>
    <row r="136" spans="1:68" x14ac:dyDescent="0.2">
      <c r="A136" t="s">
        <v>701</v>
      </c>
      <c r="B136">
        <v>42</v>
      </c>
      <c r="C136">
        <v>17</v>
      </c>
      <c r="D136">
        <v>772</v>
      </c>
      <c r="E136">
        <v>1099</v>
      </c>
      <c r="F136">
        <v>590</v>
      </c>
      <c r="G136">
        <v>303</v>
      </c>
      <c r="H136">
        <v>181</v>
      </c>
      <c r="I136">
        <v>380</v>
      </c>
      <c r="J136">
        <v>283</v>
      </c>
      <c r="K136">
        <v>284</v>
      </c>
      <c r="L136">
        <v>189</v>
      </c>
      <c r="M136">
        <v>516</v>
      </c>
      <c r="N136">
        <v>1799</v>
      </c>
      <c r="O136">
        <v>407</v>
      </c>
      <c r="P136">
        <v>435</v>
      </c>
      <c r="Q136">
        <v>12</v>
      </c>
      <c r="R136">
        <v>48</v>
      </c>
      <c r="S136">
        <v>4094</v>
      </c>
      <c r="T136">
        <v>1131</v>
      </c>
      <c r="U136">
        <v>492</v>
      </c>
      <c r="V136">
        <v>219.04575679999999</v>
      </c>
      <c r="W136">
        <v>293.39306219999997</v>
      </c>
      <c r="X136">
        <v>143.56985220000001</v>
      </c>
      <c r="Y136">
        <v>134.58836980000001</v>
      </c>
      <c r="Z136">
        <v>99.557005860000004</v>
      </c>
      <c r="AA136">
        <v>65</v>
      </c>
      <c r="AB136">
        <v>305.7606667</v>
      </c>
      <c r="AC136">
        <v>281.62976250000003</v>
      </c>
      <c r="AD136">
        <v>203.17400040000001</v>
      </c>
      <c r="AE136">
        <v>156.04519959999999</v>
      </c>
      <c r="AF136">
        <v>122.27648309999999</v>
      </c>
      <c r="AG136">
        <v>55</v>
      </c>
      <c r="AH136">
        <v>300.66700839999999</v>
      </c>
      <c r="AI136">
        <v>253.0606837</v>
      </c>
      <c r="AJ136">
        <v>189.18924860000001</v>
      </c>
      <c r="AK136">
        <v>153.9359785</v>
      </c>
      <c r="AL136">
        <v>120.0493144</v>
      </c>
      <c r="AM136">
        <v>55</v>
      </c>
      <c r="AN136">
        <v>387.90322579999997</v>
      </c>
      <c r="AO136">
        <v>221.67874080000001</v>
      </c>
      <c r="AP136">
        <v>176.76239380000001</v>
      </c>
      <c r="AQ136">
        <v>144.98668739999999</v>
      </c>
      <c r="AR136">
        <v>104.6130546</v>
      </c>
      <c r="AS136">
        <v>55</v>
      </c>
      <c r="AT136">
        <v>3.08465E-3</v>
      </c>
      <c r="AU136">
        <v>1.3123200000000001E-3</v>
      </c>
      <c r="AV136">
        <v>6.0914259999999998E-2</v>
      </c>
      <c r="AW136">
        <v>8.4259630000000002E-2</v>
      </c>
      <c r="AX136">
        <v>5.3411680000000003E-2</v>
      </c>
      <c r="AY136">
        <v>2.2071460000000001E-2</v>
      </c>
      <c r="AZ136">
        <v>1.3430579999999999E-2</v>
      </c>
      <c r="BA136">
        <v>2.8140749999999999E-2</v>
      </c>
      <c r="BB136">
        <v>2.1239669999999999E-2</v>
      </c>
      <c r="BC136">
        <v>2.3619580000000001E-2</v>
      </c>
      <c r="BD136">
        <v>1.3471840000000001E-2</v>
      </c>
      <c r="BE136">
        <v>3.9327609999999999E-2</v>
      </c>
      <c r="BF136">
        <v>0.13491496</v>
      </c>
      <c r="BG136">
        <v>2.981876E-2</v>
      </c>
      <c r="BH136">
        <v>3.7691679999999998E-2</v>
      </c>
      <c r="BI136">
        <v>9.4094999999999997E-4</v>
      </c>
      <c r="BJ136">
        <v>3.7586999999999998E-3</v>
      </c>
      <c r="BK136">
        <v>0.30548197999999999</v>
      </c>
      <c r="BL136">
        <v>8.3691890000000005E-2</v>
      </c>
      <c r="BM136">
        <v>3.9417050000000002E-2</v>
      </c>
      <c r="BN136">
        <v>1258</v>
      </c>
      <c r="BO136">
        <v>195.47323660000001</v>
      </c>
      <c r="BP136">
        <v>190</v>
      </c>
    </row>
    <row r="137" spans="1:68" x14ac:dyDescent="0.2">
      <c r="A137" t="s">
        <v>702</v>
      </c>
      <c r="B137">
        <v>183</v>
      </c>
      <c r="C137">
        <v>305</v>
      </c>
      <c r="D137">
        <v>668</v>
      </c>
      <c r="E137">
        <v>1096</v>
      </c>
      <c r="F137">
        <v>1071</v>
      </c>
      <c r="G137">
        <v>794</v>
      </c>
      <c r="H137">
        <v>999</v>
      </c>
      <c r="I137">
        <v>804</v>
      </c>
      <c r="J137">
        <v>1009</v>
      </c>
      <c r="K137">
        <v>332</v>
      </c>
      <c r="L137">
        <v>355</v>
      </c>
      <c r="M137">
        <v>1126</v>
      </c>
      <c r="N137">
        <v>2380</v>
      </c>
      <c r="O137">
        <v>1430</v>
      </c>
      <c r="P137">
        <v>610</v>
      </c>
      <c r="Q137">
        <v>69</v>
      </c>
      <c r="R137">
        <v>625</v>
      </c>
      <c r="S137">
        <v>3408</v>
      </c>
      <c r="T137">
        <v>1679</v>
      </c>
      <c r="U137">
        <v>928</v>
      </c>
      <c r="V137">
        <v>192.21824749999999</v>
      </c>
      <c r="W137">
        <v>176.00260370000001</v>
      </c>
      <c r="X137">
        <v>177.78833589999999</v>
      </c>
      <c r="Y137">
        <v>138.64568370000001</v>
      </c>
      <c r="Z137">
        <v>112.3357958</v>
      </c>
      <c r="AA137">
        <v>65</v>
      </c>
      <c r="AB137">
        <v>307.52029099999999</v>
      </c>
      <c r="AC137">
        <v>276.8743303</v>
      </c>
      <c r="AD137">
        <v>214.33956240000001</v>
      </c>
      <c r="AE137">
        <v>146.15596059999999</v>
      </c>
      <c r="AF137">
        <v>116.96730700000001</v>
      </c>
      <c r="AG137">
        <v>55</v>
      </c>
      <c r="AH137">
        <v>313.94617169999998</v>
      </c>
      <c r="AI137">
        <v>244.18450150000001</v>
      </c>
      <c r="AJ137">
        <v>189.31710129999999</v>
      </c>
      <c r="AK137">
        <v>155.162676</v>
      </c>
      <c r="AL137">
        <v>117.0904685</v>
      </c>
      <c r="AM137">
        <v>55</v>
      </c>
      <c r="AN137">
        <v>282.03391570000002</v>
      </c>
      <c r="AO137">
        <v>203.3843301</v>
      </c>
      <c r="AP137">
        <v>171.9774276</v>
      </c>
      <c r="AQ137">
        <v>146.74135369999999</v>
      </c>
      <c r="AR137">
        <v>115.8130072</v>
      </c>
      <c r="AS137">
        <v>55</v>
      </c>
      <c r="AT137">
        <v>9.4812300000000002E-3</v>
      </c>
      <c r="AU137">
        <v>1.529691E-2</v>
      </c>
      <c r="AV137">
        <v>3.3921519999999997E-2</v>
      </c>
      <c r="AW137">
        <v>5.8352019999999998E-2</v>
      </c>
      <c r="AX137">
        <v>5.5602529999999997E-2</v>
      </c>
      <c r="AY137">
        <v>4.1048380000000002E-2</v>
      </c>
      <c r="AZ137">
        <v>5.0854530000000002E-2</v>
      </c>
      <c r="BA137">
        <v>3.8766670000000003E-2</v>
      </c>
      <c r="BB137">
        <v>5.2452510000000001E-2</v>
      </c>
      <c r="BC137">
        <v>1.739636E-2</v>
      </c>
      <c r="BD137">
        <v>1.866576E-2</v>
      </c>
      <c r="BE137">
        <v>5.3405130000000002E-2</v>
      </c>
      <c r="BF137">
        <v>0.11750653</v>
      </c>
      <c r="BG137">
        <v>7.0668759999999997E-2</v>
      </c>
      <c r="BH137">
        <v>3.0696709999999999E-2</v>
      </c>
      <c r="BI137">
        <v>3.8076799999999999E-3</v>
      </c>
      <c r="BJ137">
        <v>3.009237E-2</v>
      </c>
      <c r="BK137">
        <v>0.1691163</v>
      </c>
      <c r="BL137">
        <v>8.6226440000000001E-2</v>
      </c>
      <c r="BM137">
        <v>4.6641660000000001E-2</v>
      </c>
      <c r="BN137">
        <v>1591</v>
      </c>
      <c r="BO137">
        <v>246.294059</v>
      </c>
      <c r="BP137">
        <v>190</v>
      </c>
    </row>
    <row r="138" spans="1:68" x14ac:dyDescent="0.2">
      <c r="A138" t="s">
        <v>703</v>
      </c>
      <c r="B138">
        <v>169</v>
      </c>
      <c r="C138">
        <v>139</v>
      </c>
      <c r="D138">
        <v>1455</v>
      </c>
      <c r="E138">
        <v>776</v>
      </c>
      <c r="F138">
        <v>686</v>
      </c>
      <c r="G138">
        <v>192</v>
      </c>
      <c r="H138">
        <v>67</v>
      </c>
      <c r="I138">
        <v>114</v>
      </c>
      <c r="J138">
        <v>212</v>
      </c>
      <c r="K138">
        <v>61</v>
      </c>
      <c r="L138">
        <v>536</v>
      </c>
      <c r="M138">
        <v>446</v>
      </c>
      <c r="N138">
        <v>590</v>
      </c>
      <c r="O138">
        <v>541</v>
      </c>
      <c r="P138">
        <v>131</v>
      </c>
      <c r="Q138">
        <v>487</v>
      </c>
      <c r="R138">
        <v>634</v>
      </c>
      <c r="S138">
        <v>1681</v>
      </c>
      <c r="T138">
        <v>1175</v>
      </c>
      <c r="U138">
        <v>268</v>
      </c>
      <c r="V138">
        <v>219.43485319999999</v>
      </c>
      <c r="W138">
        <v>292.9069508</v>
      </c>
      <c r="X138">
        <v>168.69445010000001</v>
      </c>
      <c r="Y138">
        <v>151.82258479999999</v>
      </c>
      <c r="Z138">
        <v>119.5976163</v>
      </c>
      <c r="AA138">
        <v>65</v>
      </c>
      <c r="AB138">
        <v>321.94279349999999</v>
      </c>
      <c r="AC138">
        <v>241.8752379</v>
      </c>
      <c r="AD138">
        <v>209.4651743</v>
      </c>
      <c r="AE138">
        <v>165.06577110000001</v>
      </c>
      <c r="AF138">
        <v>118.3496409</v>
      </c>
      <c r="AG138">
        <v>55</v>
      </c>
      <c r="AH138">
        <v>288.88505450000002</v>
      </c>
      <c r="AI138">
        <v>226.21950380000001</v>
      </c>
      <c r="AJ138">
        <v>198.20146679999999</v>
      </c>
      <c r="AK138">
        <v>170.8157961</v>
      </c>
      <c r="AL138">
        <v>118.95353179999999</v>
      </c>
      <c r="AM138">
        <v>55</v>
      </c>
      <c r="AN138">
        <v>279.73883910000001</v>
      </c>
      <c r="AO138">
        <v>185.66976220000001</v>
      </c>
      <c r="AP138">
        <v>189.2443078</v>
      </c>
      <c r="AQ138">
        <v>171.07698719999999</v>
      </c>
      <c r="AR138">
        <v>115.5069166</v>
      </c>
      <c r="AS138">
        <v>55</v>
      </c>
      <c r="AT138">
        <v>1.701167E-2</v>
      </c>
      <c r="AU138">
        <v>1.120023E-2</v>
      </c>
      <c r="AV138">
        <v>0.14107106</v>
      </c>
      <c r="AW138">
        <v>7.2625910000000002E-2</v>
      </c>
      <c r="AX138">
        <v>7.124809E-2</v>
      </c>
      <c r="AY138">
        <v>1.8569269999999999E-2</v>
      </c>
      <c r="AZ138">
        <v>6.8073500000000002E-3</v>
      </c>
      <c r="BA138">
        <v>1.1195760000000001E-2</v>
      </c>
      <c r="BB138">
        <v>2.1866099999999999E-2</v>
      </c>
      <c r="BC138">
        <v>5.2931100000000002E-3</v>
      </c>
      <c r="BD138">
        <v>4.8216290000000002E-2</v>
      </c>
      <c r="BE138">
        <v>4.2271589999999998E-2</v>
      </c>
      <c r="BF138">
        <v>5.7934090000000001E-2</v>
      </c>
      <c r="BG138">
        <v>5.2178370000000002E-2</v>
      </c>
      <c r="BH138">
        <v>1.2479219999999999E-2</v>
      </c>
      <c r="BI138">
        <v>4.508268E-2</v>
      </c>
      <c r="BJ138">
        <v>6.3672190000000004E-2</v>
      </c>
      <c r="BK138">
        <v>0.16299419000000001</v>
      </c>
      <c r="BL138">
        <v>0.11283787000000001</v>
      </c>
      <c r="BM138">
        <v>2.5444959999999999E-2</v>
      </c>
      <c r="BN138">
        <v>1406</v>
      </c>
      <c r="BO138">
        <v>250.61150409999999</v>
      </c>
      <c r="BP138">
        <v>190</v>
      </c>
    </row>
    <row r="139" spans="1:68" x14ac:dyDescent="0.2">
      <c r="A139" t="s">
        <v>704</v>
      </c>
      <c r="B139">
        <v>457</v>
      </c>
      <c r="C139">
        <v>169</v>
      </c>
      <c r="D139">
        <v>334</v>
      </c>
      <c r="E139">
        <v>747</v>
      </c>
      <c r="F139">
        <v>594</v>
      </c>
      <c r="G139">
        <v>2198</v>
      </c>
      <c r="H139">
        <v>824</v>
      </c>
      <c r="I139">
        <v>1027</v>
      </c>
      <c r="J139">
        <v>735</v>
      </c>
      <c r="K139">
        <v>550</v>
      </c>
      <c r="L139">
        <v>773</v>
      </c>
      <c r="M139">
        <v>801</v>
      </c>
      <c r="N139">
        <v>1546</v>
      </c>
      <c r="O139">
        <v>899</v>
      </c>
      <c r="P139">
        <v>485</v>
      </c>
      <c r="Q139">
        <v>85</v>
      </c>
      <c r="R139">
        <v>450</v>
      </c>
      <c r="S139">
        <v>1485</v>
      </c>
      <c r="T139">
        <v>596</v>
      </c>
      <c r="U139">
        <v>289</v>
      </c>
      <c r="V139">
        <v>246.1142869</v>
      </c>
      <c r="W139">
        <v>265.49708650000002</v>
      </c>
      <c r="X139">
        <v>196.8859999</v>
      </c>
      <c r="Y139">
        <v>155.47236609999999</v>
      </c>
      <c r="Z139">
        <v>120.95857239999999</v>
      </c>
      <c r="AA139">
        <v>65</v>
      </c>
      <c r="AB139">
        <v>284.803269</v>
      </c>
      <c r="AC139">
        <v>276.75678019999998</v>
      </c>
      <c r="AD139">
        <v>224.76978840000001</v>
      </c>
      <c r="AE139">
        <v>151.54476159999999</v>
      </c>
      <c r="AF139">
        <v>115.6946762</v>
      </c>
      <c r="AG139">
        <v>55</v>
      </c>
      <c r="AH139">
        <v>300.60562570000002</v>
      </c>
      <c r="AI139">
        <v>230.97498250000001</v>
      </c>
      <c r="AJ139">
        <v>211.7481981</v>
      </c>
      <c r="AK139">
        <v>166.24556749999999</v>
      </c>
      <c r="AL139">
        <v>114.9113347</v>
      </c>
      <c r="AM139">
        <v>55</v>
      </c>
      <c r="AN139">
        <v>263.3149909</v>
      </c>
      <c r="AO139">
        <v>184.47097489999999</v>
      </c>
      <c r="AP139">
        <v>202.5059455</v>
      </c>
      <c r="AQ139">
        <v>153.79944169999999</v>
      </c>
      <c r="AR139">
        <v>112.81333739999999</v>
      </c>
      <c r="AS139">
        <v>55</v>
      </c>
      <c r="AT139">
        <v>2.976287E-2</v>
      </c>
      <c r="AU139">
        <v>1.103405E-2</v>
      </c>
      <c r="AV139">
        <v>2.3019910000000001E-2</v>
      </c>
      <c r="AW139">
        <v>5.1021610000000002E-2</v>
      </c>
      <c r="AX139">
        <v>3.9660710000000002E-2</v>
      </c>
      <c r="AY139">
        <v>0.14186752</v>
      </c>
      <c r="AZ139">
        <v>5.1139759999999999E-2</v>
      </c>
      <c r="BA139">
        <v>6.4791360000000006E-2</v>
      </c>
      <c r="BB139">
        <v>4.9756120000000001E-2</v>
      </c>
      <c r="BC139">
        <v>4.048653E-2</v>
      </c>
      <c r="BD139">
        <v>5.0226819999999998E-2</v>
      </c>
      <c r="BE139">
        <v>5.2380089999999997E-2</v>
      </c>
      <c r="BF139">
        <v>0.10125120999999999</v>
      </c>
      <c r="BG139">
        <v>6.1229119999999998E-2</v>
      </c>
      <c r="BH139">
        <v>3.6255469999999998E-2</v>
      </c>
      <c r="BI139">
        <v>5.6174800000000002E-3</v>
      </c>
      <c r="BJ139">
        <v>3.0675460000000002E-2</v>
      </c>
      <c r="BK139">
        <v>9.5420320000000003E-2</v>
      </c>
      <c r="BL139">
        <v>4.3343329999999999E-2</v>
      </c>
      <c r="BM139">
        <v>2.1060260000000001E-2</v>
      </c>
      <c r="BN139">
        <v>2769</v>
      </c>
      <c r="BO139">
        <v>241.02234000000001</v>
      </c>
      <c r="BP139">
        <v>190</v>
      </c>
    </row>
    <row r="140" spans="1:68" x14ac:dyDescent="0.2">
      <c r="A140" t="s">
        <v>705</v>
      </c>
      <c r="B140">
        <v>30</v>
      </c>
      <c r="C140">
        <v>31</v>
      </c>
      <c r="D140">
        <v>391</v>
      </c>
      <c r="E140">
        <v>567</v>
      </c>
      <c r="F140">
        <v>685</v>
      </c>
      <c r="G140">
        <v>345</v>
      </c>
      <c r="H140">
        <v>285</v>
      </c>
      <c r="I140">
        <v>642</v>
      </c>
      <c r="J140">
        <v>449</v>
      </c>
      <c r="K140">
        <v>141</v>
      </c>
      <c r="L140">
        <v>458</v>
      </c>
      <c r="M140">
        <v>692</v>
      </c>
      <c r="N140">
        <v>1294</v>
      </c>
      <c r="O140">
        <v>680</v>
      </c>
      <c r="P140">
        <v>236</v>
      </c>
      <c r="Q140">
        <v>112</v>
      </c>
      <c r="R140">
        <v>510</v>
      </c>
      <c r="S140">
        <v>1440</v>
      </c>
      <c r="T140">
        <v>1020</v>
      </c>
      <c r="U140">
        <v>300</v>
      </c>
      <c r="V140">
        <v>192.63005290000001</v>
      </c>
      <c r="W140">
        <v>235.07436720000001</v>
      </c>
      <c r="X140">
        <v>146.88985940000001</v>
      </c>
      <c r="Y140">
        <v>148.58820890000001</v>
      </c>
      <c r="Z140">
        <v>107.29103000000001</v>
      </c>
      <c r="AA140">
        <v>65</v>
      </c>
      <c r="AB140">
        <v>307.06781430000001</v>
      </c>
      <c r="AC140">
        <v>283.22541840000002</v>
      </c>
      <c r="AD140">
        <v>221.73059169999999</v>
      </c>
      <c r="AE140">
        <v>154.83167889999999</v>
      </c>
      <c r="AF140">
        <v>116.36944939999999</v>
      </c>
      <c r="AG140">
        <v>55</v>
      </c>
      <c r="AH140">
        <v>310.8846595</v>
      </c>
      <c r="AI140">
        <v>252.52382359999999</v>
      </c>
      <c r="AJ140">
        <v>208.8562264</v>
      </c>
      <c r="AK140">
        <v>169.96228619999999</v>
      </c>
      <c r="AL140">
        <v>117.0918308</v>
      </c>
      <c r="AM140">
        <v>55</v>
      </c>
      <c r="AN140">
        <v>310.4677676</v>
      </c>
      <c r="AO140">
        <v>224.52985709999999</v>
      </c>
      <c r="AP140">
        <v>187.2769164</v>
      </c>
      <c r="AQ140">
        <v>164.60675670000001</v>
      </c>
      <c r="AR140">
        <v>115.0643056</v>
      </c>
      <c r="AS140">
        <v>55</v>
      </c>
      <c r="AT140">
        <v>2.9656999999999999E-3</v>
      </c>
      <c r="AU140">
        <v>2.92735E-3</v>
      </c>
      <c r="AV140">
        <v>3.6033929999999999E-2</v>
      </c>
      <c r="AW140">
        <v>5.8257799999999998E-2</v>
      </c>
      <c r="AX140">
        <v>6.5433320000000003E-2</v>
      </c>
      <c r="AY140">
        <v>3.3385400000000003E-2</v>
      </c>
      <c r="AZ140">
        <v>2.5574469999999998E-2</v>
      </c>
      <c r="BA140">
        <v>5.8358590000000002E-2</v>
      </c>
      <c r="BB140">
        <v>4.482999E-2</v>
      </c>
      <c r="BC140">
        <v>1.471795E-2</v>
      </c>
      <c r="BD140">
        <v>4.5074160000000002E-2</v>
      </c>
      <c r="BE140">
        <v>6.4090800000000003E-2</v>
      </c>
      <c r="BF140">
        <v>0.12553835999999999</v>
      </c>
      <c r="BG140">
        <v>6.7145650000000001E-2</v>
      </c>
      <c r="BH140">
        <v>2.3484640000000001E-2</v>
      </c>
      <c r="BI140">
        <v>1.070891E-2</v>
      </c>
      <c r="BJ140">
        <v>4.8127419999999997E-2</v>
      </c>
      <c r="BK140">
        <v>0.13756228000000001</v>
      </c>
      <c r="BL140">
        <v>0.10580270999999999</v>
      </c>
      <c r="BM140">
        <v>2.9980570000000002E-2</v>
      </c>
      <c r="BN140">
        <v>1093</v>
      </c>
      <c r="BO140">
        <v>249.94492539999999</v>
      </c>
      <c r="BP140">
        <v>190</v>
      </c>
    </row>
    <row r="141" spans="1:68" x14ac:dyDescent="0.2">
      <c r="A141" t="s">
        <v>706</v>
      </c>
      <c r="B141">
        <v>153</v>
      </c>
      <c r="C141">
        <v>39</v>
      </c>
      <c r="D141">
        <v>204</v>
      </c>
      <c r="E141">
        <v>185</v>
      </c>
      <c r="F141">
        <v>244</v>
      </c>
      <c r="G141">
        <v>502</v>
      </c>
      <c r="H141">
        <v>180</v>
      </c>
      <c r="I141">
        <v>344</v>
      </c>
      <c r="J141">
        <v>272</v>
      </c>
      <c r="K141">
        <v>193</v>
      </c>
      <c r="L141">
        <v>264</v>
      </c>
      <c r="M141">
        <v>258</v>
      </c>
      <c r="N141">
        <v>514</v>
      </c>
      <c r="O141">
        <v>438</v>
      </c>
      <c r="P141">
        <v>178</v>
      </c>
      <c r="Q141">
        <v>73</v>
      </c>
      <c r="R141">
        <v>132</v>
      </c>
      <c r="S141">
        <v>841</v>
      </c>
      <c r="T141">
        <v>629</v>
      </c>
      <c r="U141">
        <v>156</v>
      </c>
      <c r="V141">
        <v>295.89606250000003</v>
      </c>
      <c r="W141">
        <v>233.73202599999999</v>
      </c>
      <c r="X141">
        <v>209.49016370000001</v>
      </c>
      <c r="Y141">
        <v>145.824851</v>
      </c>
      <c r="Z141">
        <v>124.1580591</v>
      </c>
      <c r="AA141">
        <v>65</v>
      </c>
      <c r="AB141">
        <v>335.52541289999999</v>
      </c>
      <c r="AC141">
        <v>281.77049840000001</v>
      </c>
      <c r="AD141">
        <v>219.3021272</v>
      </c>
      <c r="AE141">
        <v>159.7607228</v>
      </c>
      <c r="AF141">
        <v>114.6935885</v>
      </c>
      <c r="AG141">
        <v>55</v>
      </c>
      <c r="AH141">
        <v>302.21755960000002</v>
      </c>
      <c r="AI141">
        <v>253.37642170000001</v>
      </c>
      <c r="AJ141">
        <v>209.95231810000001</v>
      </c>
      <c r="AK141">
        <v>160.48380829999999</v>
      </c>
      <c r="AL141">
        <v>115.4656227</v>
      </c>
      <c r="AM141">
        <v>55</v>
      </c>
      <c r="AN141">
        <v>306.31643100000002</v>
      </c>
      <c r="AO141">
        <v>215.34324749999999</v>
      </c>
      <c r="AP141">
        <v>191.57222229999999</v>
      </c>
      <c r="AQ141">
        <v>156.53761950000001</v>
      </c>
      <c r="AR141">
        <v>113.2872397</v>
      </c>
      <c r="AS141">
        <v>55</v>
      </c>
      <c r="AT141">
        <v>2.4110550000000001E-2</v>
      </c>
      <c r="AU141">
        <v>6.6727399999999999E-3</v>
      </c>
      <c r="AV141">
        <v>3.4116649999999998E-2</v>
      </c>
      <c r="AW141">
        <v>3.2157129999999999E-2</v>
      </c>
      <c r="AX141">
        <v>3.378627E-2</v>
      </c>
      <c r="AY141">
        <v>8.8472990000000001E-2</v>
      </c>
      <c r="AZ141">
        <v>3.1673390000000003E-2</v>
      </c>
      <c r="BA141">
        <v>6.0086170000000001E-2</v>
      </c>
      <c r="BB141">
        <v>4.5961330000000002E-2</v>
      </c>
      <c r="BC141">
        <v>2.847162E-2</v>
      </c>
      <c r="BD141">
        <v>4.5619840000000002E-2</v>
      </c>
      <c r="BE141">
        <v>4.3427720000000003E-2</v>
      </c>
      <c r="BF141">
        <v>9.4309379999999998E-2</v>
      </c>
      <c r="BG141">
        <v>7.8824140000000001E-2</v>
      </c>
      <c r="BH141">
        <v>2.4608189999999999E-2</v>
      </c>
      <c r="BI141">
        <v>1.3930690000000001E-2</v>
      </c>
      <c r="BJ141">
        <v>2.3920110000000001E-2</v>
      </c>
      <c r="BK141">
        <v>0.15205236999999999</v>
      </c>
      <c r="BL141">
        <v>0.11566252</v>
      </c>
      <c r="BM141">
        <v>2.2136200000000002E-2</v>
      </c>
      <c r="BN141">
        <v>522</v>
      </c>
      <c r="BO141">
        <v>264.46937759999997</v>
      </c>
      <c r="BP141">
        <v>190</v>
      </c>
    </row>
    <row r="142" spans="1:68" x14ac:dyDescent="0.2">
      <c r="A142" t="s">
        <v>707</v>
      </c>
      <c r="B142">
        <v>139</v>
      </c>
      <c r="C142">
        <v>186</v>
      </c>
      <c r="D142">
        <v>377</v>
      </c>
      <c r="E142">
        <v>402</v>
      </c>
      <c r="F142">
        <v>314</v>
      </c>
      <c r="G142">
        <v>371</v>
      </c>
      <c r="H142">
        <v>263</v>
      </c>
      <c r="I142">
        <v>744</v>
      </c>
      <c r="J142">
        <v>926</v>
      </c>
      <c r="K142">
        <v>279</v>
      </c>
      <c r="L142">
        <v>661</v>
      </c>
      <c r="M142">
        <v>654</v>
      </c>
      <c r="N142">
        <v>1417</v>
      </c>
      <c r="O142">
        <v>728</v>
      </c>
      <c r="P142">
        <v>243</v>
      </c>
      <c r="Q142">
        <v>60</v>
      </c>
      <c r="R142">
        <v>328</v>
      </c>
      <c r="S142">
        <v>1028</v>
      </c>
      <c r="T142">
        <v>433</v>
      </c>
      <c r="U142">
        <v>231</v>
      </c>
      <c r="V142">
        <v>292.63039329999998</v>
      </c>
      <c r="W142">
        <v>220.01118439999999</v>
      </c>
      <c r="X142">
        <v>205.97735510000001</v>
      </c>
      <c r="Y142">
        <v>152.25557430000001</v>
      </c>
      <c r="Z142">
        <v>109.4531467</v>
      </c>
      <c r="AA142">
        <v>65</v>
      </c>
      <c r="AB142">
        <v>410.55277860000001</v>
      </c>
      <c r="AC142">
        <v>290.48490600000002</v>
      </c>
      <c r="AD142">
        <v>219.54960209999999</v>
      </c>
      <c r="AE142">
        <v>147.09062230000001</v>
      </c>
      <c r="AF142">
        <v>115.39222940000001</v>
      </c>
      <c r="AG142">
        <v>55</v>
      </c>
      <c r="AH142">
        <v>314.43187219999999</v>
      </c>
      <c r="AI142">
        <v>251.00704279999999</v>
      </c>
      <c r="AJ142">
        <v>216.1675352</v>
      </c>
      <c r="AK142">
        <v>162.27792310000001</v>
      </c>
      <c r="AL142">
        <v>115.5514187</v>
      </c>
      <c r="AM142">
        <v>55</v>
      </c>
      <c r="AN142">
        <v>312.28568159999998</v>
      </c>
      <c r="AO142">
        <v>225.07215350000001</v>
      </c>
      <c r="AP142">
        <v>201.83866760000001</v>
      </c>
      <c r="AQ142">
        <v>167.18198509999999</v>
      </c>
      <c r="AR142">
        <v>113.32440010000001</v>
      </c>
      <c r="AS142">
        <v>55</v>
      </c>
      <c r="AT142">
        <v>1.4939859999999999E-2</v>
      </c>
      <c r="AU142">
        <v>2.079754E-2</v>
      </c>
      <c r="AV142">
        <v>3.7781969999999998E-2</v>
      </c>
      <c r="AW142">
        <v>4.3011239999999999E-2</v>
      </c>
      <c r="AX142">
        <v>2.9744219999999998E-2</v>
      </c>
      <c r="AY142">
        <v>3.8469299999999998E-2</v>
      </c>
      <c r="AZ142">
        <v>2.7826179999999999E-2</v>
      </c>
      <c r="BA142">
        <v>7.6977870000000004E-2</v>
      </c>
      <c r="BB142">
        <v>9.7072370000000005E-2</v>
      </c>
      <c r="BC142">
        <v>2.8905420000000001E-2</v>
      </c>
      <c r="BD142">
        <v>6.6370380000000007E-2</v>
      </c>
      <c r="BE142">
        <v>7.0893800000000007E-2</v>
      </c>
      <c r="BF142">
        <v>0.14149276</v>
      </c>
      <c r="BG142">
        <v>7.0762790000000006E-2</v>
      </c>
      <c r="BH142">
        <v>2.5109429999999999E-2</v>
      </c>
      <c r="BI142">
        <v>5.9101300000000004E-3</v>
      </c>
      <c r="BJ142">
        <v>3.6219090000000002E-2</v>
      </c>
      <c r="BK142">
        <v>0.10389173</v>
      </c>
      <c r="BL142">
        <v>4.0465340000000002E-2</v>
      </c>
      <c r="BM142">
        <v>2.335858E-2</v>
      </c>
      <c r="BN142">
        <v>809</v>
      </c>
      <c r="BO142">
        <v>271.53894559999998</v>
      </c>
      <c r="BP142">
        <v>190</v>
      </c>
    </row>
    <row r="143" spans="1:68" x14ac:dyDescent="0.2">
      <c r="A143" t="s">
        <v>708</v>
      </c>
      <c r="B143">
        <v>57</v>
      </c>
      <c r="C143">
        <v>35</v>
      </c>
      <c r="D143">
        <v>91</v>
      </c>
      <c r="E143">
        <v>308</v>
      </c>
      <c r="F143">
        <v>348</v>
      </c>
      <c r="G143">
        <v>687</v>
      </c>
      <c r="H143">
        <v>773</v>
      </c>
      <c r="I143">
        <v>816</v>
      </c>
      <c r="J143">
        <v>966</v>
      </c>
      <c r="K143">
        <v>287</v>
      </c>
      <c r="L143">
        <v>245</v>
      </c>
      <c r="M143">
        <v>731</v>
      </c>
      <c r="N143">
        <v>1149</v>
      </c>
      <c r="O143">
        <v>893</v>
      </c>
      <c r="P143">
        <v>381</v>
      </c>
      <c r="Q143">
        <v>60</v>
      </c>
      <c r="R143">
        <v>314</v>
      </c>
      <c r="S143">
        <v>932</v>
      </c>
      <c r="T143">
        <v>591</v>
      </c>
      <c r="U143">
        <v>437</v>
      </c>
      <c r="V143">
        <v>248.570065</v>
      </c>
      <c r="W143">
        <v>228.87915079999999</v>
      </c>
      <c r="X143">
        <v>164.9534884</v>
      </c>
      <c r="Y143">
        <v>146.84878169999999</v>
      </c>
      <c r="Z143">
        <v>100.043167</v>
      </c>
      <c r="AA143">
        <v>65</v>
      </c>
      <c r="AB143">
        <v>310.19719659999998</v>
      </c>
      <c r="AC143">
        <v>286.62167929999998</v>
      </c>
      <c r="AD143">
        <v>227.85286970000001</v>
      </c>
      <c r="AE143">
        <v>155.18984449999999</v>
      </c>
      <c r="AF143">
        <v>116.5889545</v>
      </c>
      <c r="AG143">
        <v>55</v>
      </c>
      <c r="AH143">
        <v>307.8780984</v>
      </c>
      <c r="AI143">
        <v>259.81488619999999</v>
      </c>
      <c r="AJ143">
        <v>196.65119709999999</v>
      </c>
      <c r="AK143">
        <v>155.37165719999999</v>
      </c>
      <c r="AL143">
        <v>116.62591190000001</v>
      </c>
      <c r="AM143">
        <v>55</v>
      </c>
      <c r="AN143">
        <v>251.8021798</v>
      </c>
      <c r="AO143">
        <v>205.75622859999999</v>
      </c>
      <c r="AP143">
        <v>178.21847600000001</v>
      </c>
      <c r="AQ143">
        <v>147.16805600000001</v>
      </c>
      <c r="AR143">
        <v>115.6415014</v>
      </c>
      <c r="AS143">
        <v>55</v>
      </c>
      <c r="AT143">
        <v>5.5026199999999997E-3</v>
      </c>
      <c r="AU143">
        <v>3.2389099999999998E-3</v>
      </c>
      <c r="AV143">
        <v>8.3323400000000006E-3</v>
      </c>
      <c r="AW143">
        <v>2.7787450000000002E-2</v>
      </c>
      <c r="AX143">
        <v>3.4011239999999998E-2</v>
      </c>
      <c r="AY143">
        <v>6.6113270000000002E-2</v>
      </c>
      <c r="AZ143">
        <v>7.5601429999999997E-2</v>
      </c>
      <c r="BA143">
        <v>8.0377470000000006E-2</v>
      </c>
      <c r="BB143">
        <v>9.7452419999999998E-2</v>
      </c>
      <c r="BC143">
        <v>2.838676E-2</v>
      </c>
      <c r="BD143">
        <v>2.3287909999999998E-2</v>
      </c>
      <c r="BE143">
        <v>7.0233130000000005E-2</v>
      </c>
      <c r="BF143">
        <v>0.11495932</v>
      </c>
      <c r="BG143">
        <v>8.8198509999999994E-2</v>
      </c>
      <c r="BH143">
        <v>3.8095360000000002E-2</v>
      </c>
      <c r="BI143">
        <v>5.4219200000000002E-3</v>
      </c>
      <c r="BJ143">
        <v>3.2266139999999999E-2</v>
      </c>
      <c r="BK143">
        <v>9.5102590000000001E-2</v>
      </c>
      <c r="BL143">
        <v>5.9362480000000002E-2</v>
      </c>
      <c r="BM143">
        <v>4.6268730000000001E-2</v>
      </c>
      <c r="BN143">
        <v>679</v>
      </c>
      <c r="BO143">
        <v>231.48261650000001</v>
      </c>
      <c r="BP143">
        <v>190</v>
      </c>
    </row>
    <row r="144" spans="1:68" x14ac:dyDescent="0.2">
      <c r="A144" t="s">
        <v>709</v>
      </c>
      <c r="B144">
        <v>240</v>
      </c>
      <c r="C144">
        <v>1516</v>
      </c>
      <c r="D144">
        <v>3624</v>
      </c>
      <c r="E144">
        <v>1056</v>
      </c>
      <c r="F144">
        <v>938</v>
      </c>
      <c r="G144">
        <v>63</v>
      </c>
      <c r="H144">
        <v>15</v>
      </c>
      <c r="I144">
        <v>23</v>
      </c>
      <c r="J144">
        <v>24</v>
      </c>
      <c r="K144">
        <v>55</v>
      </c>
      <c r="L144">
        <v>241</v>
      </c>
      <c r="M144">
        <v>262</v>
      </c>
      <c r="N144">
        <v>719</v>
      </c>
      <c r="O144">
        <v>371</v>
      </c>
      <c r="P144">
        <v>318</v>
      </c>
      <c r="Q144">
        <v>792</v>
      </c>
      <c r="R144">
        <v>543</v>
      </c>
      <c r="S144">
        <v>2470</v>
      </c>
      <c r="T144">
        <v>1115</v>
      </c>
      <c r="U144">
        <v>775</v>
      </c>
      <c r="V144">
        <v>240.08054999999999</v>
      </c>
      <c r="W144">
        <v>256.58751860000001</v>
      </c>
      <c r="X144">
        <v>167.1387684</v>
      </c>
      <c r="Y144">
        <v>134.86506900000001</v>
      </c>
      <c r="Z144">
        <v>104.88515390000001</v>
      </c>
      <c r="AA144">
        <v>65</v>
      </c>
      <c r="AB144">
        <v>311.65558170000003</v>
      </c>
      <c r="AC144">
        <v>267.1464507</v>
      </c>
      <c r="AD144">
        <v>202.0365348</v>
      </c>
      <c r="AE144">
        <v>154.10543179999999</v>
      </c>
      <c r="AF144">
        <v>110.45895489999999</v>
      </c>
      <c r="AG144">
        <v>55</v>
      </c>
      <c r="AH144">
        <v>287.24283489999999</v>
      </c>
      <c r="AI144">
        <v>236.28365550000001</v>
      </c>
      <c r="AJ144">
        <v>186.52043470000001</v>
      </c>
      <c r="AK144">
        <v>163.534108</v>
      </c>
      <c r="AL144">
        <v>114.5299249</v>
      </c>
      <c r="AM144">
        <v>55</v>
      </c>
      <c r="AN144">
        <v>272.99078500000002</v>
      </c>
      <c r="AO144">
        <v>228.4828875</v>
      </c>
      <c r="AP144">
        <v>165.05396970000001</v>
      </c>
      <c r="AQ144">
        <v>155.7585603</v>
      </c>
      <c r="AR144">
        <v>112.6713955</v>
      </c>
      <c r="AS144">
        <v>55</v>
      </c>
      <c r="AT144">
        <v>1.530607E-2</v>
      </c>
      <c r="AU144">
        <v>9.9451150000000002E-2</v>
      </c>
      <c r="AV144">
        <v>0.22708869000000001</v>
      </c>
      <c r="AW144">
        <v>6.8713800000000005E-2</v>
      </c>
      <c r="AX144">
        <v>6.6409300000000004E-2</v>
      </c>
      <c r="AY144">
        <v>3.8344999999999998E-3</v>
      </c>
      <c r="AZ144">
        <v>9.3986000000000004E-4</v>
      </c>
      <c r="BA144">
        <v>1.6435600000000001E-3</v>
      </c>
      <c r="BB144">
        <v>1.2974600000000001E-3</v>
      </c>
      <c r="BC144">
        <v>4.49629E-3</v>
      </c>
      <c r="BD144">
        <v>1.559222E-2</v>
      </c>
      <c r="BE144">
        <v>1.7734219999999998E-2</v>
      </c>
      <c r="BF144">
        <v>4.7929319999999997E-2</v>
      </c>
      <c r="BG144">
        <v>2.515125E-2</v>
      </c>
      <c r="BH144">
        <v>2.4563330000000001E-2</v>
      </c>
      <c r="BI144">
        <v>5.0842859999999997E-2</v>
      </c>
      <c r="BJ144">
        <v>3.5793060000000002E-2</v>
      </c>
      <c r="BK144">
        <v>0.16013198000000001</v>
      </c>
      <c r="BL144">
        <v>7.5536039999999999E-2</v>
      </c>
      <c r="BM144">
        <v>5.7545039999999999E-2</v>
      </c>
      <c r="BN144">
        <v>1860</v>
      </c>
      <c r="BO144">
        <v>257.85829999999999</v>
      </c>
      <c r="BP144">
        <v>190</v>
      </c>
    </row>
    <row r="145" spans="1:68" x14ac:dyDescent="0.2">
      <c r="A145" t="s">
        <v>710</v>
      </c>
      <c r="B145">
        <v>135</v>
      </c>
      <c r="C145">
        <v>114</v>
      </c>
      <c r="D145">
        <v>596</v>
      </c>
      <c r="E145">
        <v>938</v>
      </c>
      <c r="F145">
        <v>721</v>
      </c>
      <c r="G145">
        <v>2057</v>
      </c>
      <c r="H145">
        <v>552</v>
      </c>
      <c r="I145">
        <v>1024</v>
      </c>
      <c r="J145">
        <v>1562</v>
      </c>
      <c r="K145">
        <v>677</v>
      </c>
      <c r="L145">
        <v>687</v>
      </c>
      <c r="M145">
        <v>543</v>
      </c>
      <c r="N145">
        <v>2237</v>
      </c>
      <c r="O145">
        <v>1221</v>
      </c>
      <c r="P145">
        <v>889</v>
      </c>
      <c r="Q145">
        <v>305</v>
      </c>
      <c r="R145">
        <v>194</v>
      </c>
      <c r="S145">
        <v>3011</v>
      </c>
      <c r="T145">
        <v>1050</v>
      </c>
      <c r="U145">
        <v>561</v>
      </c>
      <c r="V145">
        <v>257.95932240000002</v>
      </c>
      <c r="W145">
        <v>197.30291550000001</v>
      </c>
      <c r="X145">
        <v>173.37316620000001</v>
      </c>
      <c r="Y145">
        <v>136.39873700000001</v>
      </c>
      <c r="Z145">
        <v>112.68834459999999</v>
      </c>
      <c r="AA145">
        <v>65</v>
      </c>
      <c r="AB145">
        <v>300.42538350000001</v>
      </c>
      <c r="AC145">
        <v>285.93022409999998</v>
      </c>
      <c r="AD145">
        <v>221.7768322</v>
      </c>
      <c r="AE145">
        <v>150.73553100000001</v>
      </c>
      <c r="AF145">
        <v>116.269712</v>
      </c>
      <c r="AG145">
        <v>55</v>
      </c>
      <c r="AH145">
        <v>292.77093050000002</v>
      </c>
      <c r="AI145">
        <v>223.6586456</v>
      </c>
      <c r="AJ145">
        <v>193.31269399999999</v>
      </c>
      <c r="AK145">
        <v>159.47696819999999</v>
      </c>
      <c r="AL145">
        <v>117.09632929999999</v>
      </c>
      <c r="AM145">
        <v>55</v>
      </c>
      <c r="AN145">
        <v>269.85831839999997</v>
      </c>
      <c r="AO145">
        <v>167.92099690000001</v>
      </c>
      <c r="AP145">
        <v>178.88288209999999</v>
      </c>
      <c r="AQ145">
        <v>152.01001189999999</v>
      </c>
      <c r="AR145">
        <v>115.0411014</v>
      </c>
      <c r="AS145">
        <v>55</v>
      </c>
      <c r="AT145">
        <v>7.1077800000000002E-3</v>
      </c>
      <c r="AU145">
        <v>6.6113500000000002E-3</v>
      </c>
      <c r="AV145">
        <v>3.0956089999999999E-2</v>
      </c>
      <c r="AW145">
        <v>4.6883309999999997E-2</v>
      </c>
      <c r="AX145">
        <v>4.0353670000000001E-2</v>
      </c>
      <c r="AY145">
        <v>0.10922482999999999</v>
      </c>
      <c r="AZ145">
        <v>2.915738E-2</v>
      </c>
      <c r="BA145">
        <v>5.4150530000000002E-2</v>
      </c>
      <c r="BB145">
        <v>8.8137069999999998E-2</v>
      </c>
      <c r="BC145">
        <v>3.963792E-2</v>
      </c>
      <c r="BD145">
        <v>3.4106320000000002E-2</v>
      </c>
      <c r="BE145">
        <v>2.6830710000000001E-2</v>
      </c>
      <c r="BF145">
        <v>0.11496858</v>
      </c>
      <c r="BG145">
        <v>6.4687759999999997E-2</v>
      </c>
      <c r="BH145">
        <v>4.9358770000000003E-2</v>
      </c>
      <c r="BI145">
        <v>1.3550110000000001E-2</v>
      </c>
      <c r="BJ145">
        <v>8.3469800000000004E-3</v>
      </c>
      <c r="BK145">
        <v>0.15155608000000001</v>
      </c>
      <c r="BL145">
        <v>5.3864120000000001E-2</v>
      </c>
      <c r="BM145">
        <v>3.0510639999999999E-2</v>
      </c>
      <c r="BN145">
        <v>2133</v>
      </c>
      <c r="BO145">
        <v>235.6607333</v>
      </c>
      <c r="BP145">
        <v>190</v>
      </c>
    </row>
    <row r="146" spans="1:68" x14ac:dyDescent="0.2">
      <c r="A146" t="s">
        <v>711</v>
      </c>
      <c r="B146">
        <v>832</v>
      </c>
      <c r="C146">
        <v>770</v>
      </c>
      <c r="D146">
        <v>2340</v>
      </c>
      <c r="E146">
        <v>1952</v>
      </c>
      <c r="F146">
        <v>1056</v>
      </c>
      <c r="G146">
        <v>421</v>
      </c>
      <c r="H146">
        <v>210</v>
      </c>
      <c r="I146">
        <v>505</v>
      </c>
      <c r="J146">
        <v>777</v>
      </c>
      <c r="K146">
        <v>274</v>
      </c>
      <c r="L146">
        <v>1338</v>
      </c>
      <c r="M146">
        <v>786</v>
      </c>
      <c r="N146">
        <v>1865</v>
      </c>
      <c r="O146">
        <v>1074</v>
      </c>
      <c r="P146">
        <v>558</v>
      </c>
      <c r="Q146">
        <v>2428</v>
      </c>
      <c r="R146">
        <v>1025</v>
      </c>
      <c r="S146">
        <v>3927</v>
      </c>
      <c r="T146">
        <v>1138</v>
      </c>
      <c r="U146">
        <v>482</v>
      </c>
      <c r="V146">
        <v>246.03953129999999</v>
      </c>
      <c r="W146">
        <v>216.30892729999999</v>
      </c>
      <c r="X146">
        <v>159.51000350000001</v>
      </c>
      <c r="Y146">
        <v>161.36411699999999</v>
      </c>
      <c r="Z146">
        <v>129.71021479999999</v>
      </c>
      <c r="AA146">
        <v>65</v>
      </c>
      <c r="AB146">
        <v>306.30588310000002</v>
      </c>
      <c r="AC146">
        <v>269.66481429999999</v>
      </c>
      <c r="AD146">
        <v>213.86469579999999</v>
      </c>
      <c r="AE146">
        <v>143.70909589999999</v>
      </c>
      <c r="AF146">
        <v>116.5494851</v>
      </c>
      <c r="AG146">
        <v>55</v>
      </c>
      <c r="AH146">
        <v>309.89226780000001</v>
      </c>
      <c r="AI146">
        <v>218.43064240000001</v>
      </c>
      <c r="AJ146">
        <v>190.27641249999999</v>
      </c>
      <c r="AK146">
        <v>155.56801730000001</v>
      </c>
      <c r="AL146">
        <v>118.53131279999999</v>
      </c>
      <c r="AM146">
        <v>55</v>
      </c>
      <c r="AN146">
        <v>277.10327610000002</v>
      </c>
      <c r="AO146">
        <v>196.15905849999999</v>
      </c>
      <c r="AP146">
        <v>175.94488419999999</v>
      </c>
      <c r="AQ146">
        <v>156.50182100000001</v>
      </c>
      <c r="AR146">
        <v>114.82834560000001</v>
      </c>
      <c r="AS146">
        <v>55</v>
      </c>
      <c r="AT146">
        <v>3.3960369999999997E-2</v>
      </c>
      <c r="AU146">
        <v>3.036264E-2</v>
      </c>
      <c r="AV146">
        <v>0.10046707000000001</v>
      </c>
      <c r="AW146">
        <v>8.5867550000000001E-2</v>
      </c>
      <c r="AX146">
        <v>4.0856450000000002E-2</v>
      </c>
      <c r="AY146">
        <v>1.6839759999999999E-2</v>
      </c>
      <c r="AZ146">
        <v>8.5158200000000003E-3</v>
      </c>
      <c r="BA146">
        <v>2.0151059999999998E-2</v>
      </c>
      <c r="BB146">
        <v>3.5741889999999998E-2</v>
      </c>
      <c r="BC146">
        <v>1.126487E-2</v>
      </c>
      <c r="BD146">
        <v>5.4690929999999999E-2</v>
      </c>
      <c r="BE146">
        <v>3.116795E-2</v>
      </c>
      <c r="BF146">
        <v>7.7568349999999994E-2</v>
      </c>
      <c r="BG146">
        <v>4.9831309999999997E-2</v>
      </c>
      <c r="BH146">
        <v>2.29134E-2</v>
      </c>
      <c r="BI146">
        <v>9.8812650000000002E-2</v>
      </c>
      <c r="BJ146">
        <v>4.2618490000000002E-2</v>
      </c>
      <c r="BK146">
        <v>0.16699786999999999</v>
      </c>
      <c r="BL146">
        <v>5.106985E-2</v>
      </c>
      <c r="BM146">
        <v>2.0301719999999999E-2</v>
      </c>
      <c r="BN146">
        <v>3722</v>
      </c>
      <c r="BO146">
        <v>273.49389550000001</v>
      </c>
      <c r="BP146">
        <v>190</v>
      </c>
    </row>
    <row r="147" spans="1:68" x14ac:dyDescent="0.2">
      <c r="A147" t="s">
        <v>712</v>
      </c>
      <c r="B147">
        <v>66</v>
      </c>
      <c r="C147">
        <v>36</v>
      </c>
      <c r="D147">
        <v>379</v>
      </c>
      <c r="E147">
        <v>793</v>
      </c>
      <c r="F147">
        <v>451</v>
      </c>
      <c r="G147">
        <v>295</v>
      </c>
      <c r="H147">
        <v>184</v>
      </c>
      <c r="I147">
        <v>215</v>
      </c>
      <c r="J147">
        <v>190</v>
      </c>
      <c r="K147">
        <v>181</v>
      </c>
      <c r="L147">
        <v>279</v>
      </c>
      <c r="M147">
        <v>366</v>
      </c>
      <c r="N147">
        <v>488</v>
      </c>
      <c r="O147">
        <v>479</v>
      </c>
      <c r="P147">
        <v>289</v>
      </c>
      <c r="Q147">
        <v>273</v>
      </c>
      <c r="R147">
        <v>429</v>
      </c>
      <c r="S147">
        <v>864</v>
      </c>
      <c r="T147">
        <v>1095</v>
      </c>
      <c r="U147">
        <v>512</v>
      </c>
      <c r="V147">
        <v>220.13134500000001</v>
      </c>
      <c r="W147">
        <v>211.50294779999999</v>
      </c>
      <c r="X147">
        <v>146.1445511</v>
      </c>
      <c r="Y147">
        <v>145.54038130000001</v>
      </c>
      <c r="Z147">
        <v>110.5566733</v>
      </c>
      <c r="AA147">
        <v>65</v>
      </c>
      <c r="AB147">
        <v>311.20705909999998</v>
      </c>
      <c r="AC147">
        <v>279.35831059999998</v>
      </c>
      <c r="AD147">
        <v>222.30649170000001</v>
      </c>
      <c r="AE147">
        <v>163.93277219999999</v>
      </c>
      <c r="AF147">
        <v>114.7961524</v>
      </c>
      <c r="AG147">
        <v>55</v>
      </c>
      <c r="AH147">
        <v>285.73900429999998</v>
      </c>
      <c r="AI147">
        <v>238.943016</v>
      </c>
      <c r="AJ147">
        <v>189.83500319999999</v>
      </c>
      <c r="AK147">
        <v>153.4205584</v>
      </c>
      <c r="AL147">
        <v>114.7288647</v>
      </c>
      <c r="AM147">
        <v>55</v>
      </c>
      <c r="AN147">
        <v>265.3041915</v>
      </c>
      <c r="AO147">
        <v>230.2642663</v>
      </c>
      <c r="AP147">
        <v>174.7137707</v>
      </c>
      <c r="AQ147">
        <v>148.57827080000001</v>
      </c>
      <c r="AR147">
        <v>113.45348199999999</v>
      </c>
      <c r="AS147">
        <v>55</v>
      </c>
      <c r="AT147">
        <v>8.3391100000000003E-3</v>
      </c>
      <c r="AU147">
        <v>4.1558799999999998E-3</v>
      </c>
      <c r="AV147">
        <v>4.015357E-2</v>
      </c>
      <c r="AW147">
        <v>0.10167564</v>
      </c>
      <c r="AX147">
        <v>5.8236330000000003E-2</v>
      </c>
      <c r="AY147">
        <v>3.8596020000000002E-2</v>
      </c>
      <c r="AZ147">
        <v>2.396061E-2</v>
      </c>
      <c r="BA147">
        <v>2.8729129999999999E-2</v>
      </c>
      <c r="BB147">
        <v>2.3205719999999999E-2</v>
      </c>
      <c r="BC147">
        <v>2.027996E-2</v>
      </c>
      <c r="BD147">
        <v>3.6332040000000003E-2</v>
      </c>
      <c r="BE147">
        <v>4.622627E-2</v>
      </c>
      <c r="BF147">
        <v>6.4591140000000005E-2</v>
      </c>
      <c r="BG147">
        <v>6.4346429999999996E-2</v>
      </c>
      <c r="BH147">
        <v>3.5335209999999999E-2</v>
      </c>
      <c r="BI147">
        <v>3.6796879999999997E-2</v>
      </c>
      <c r="BJ147">
        <v>5.4800399999999999E-2</v>
      </c>
      <c r="BK147">
        <v>0.10737073</v>
      </c>
      <c r="BL147">
        <v>0.14507722000000001</v>
      </c>
      <c r="BM147">
        <v>6.179171E-2</v>
      </c>
      <c r="BN147">
        <v>640</v>
      </c>
      <c r="BO147">
        <v>249.98029320000001</v>
      </c>
      <c r="BP147">
        <v>190</v>
      </c>
    </row>
    <row r="148" spans="1:68" x14ac:dyDescent="0.2">
      <c r="A148" t="s">
        <v>713</v>
      </c>
      <c r="B148">
        <v>140</v>
      </c>
      <c r="C148">
        <v>48</v>
      </c>
      <c r="D148">
        <v>421</v>
      </c>
      <c r="E148">
        <v>535</v>
      </c>
      <c r="F148">
        <v>387</v>
      </c>
      <c r="G148">
        <v>1933</v>
      </c>
      <c r="H148">
        <v>911</v>
      </c>
      <c r="I148">
        <v>1011</v>
      </c>
      <c r="J148">
        <v>1518</v>
      </c>
      <c r="K148">
        <v>485</v>
      </c>
      <c r="L148">
        <v>325</v>
      </c>
      <c r="M148">
        <v>848</v>
      </c>
      <c r="N148">
        <v>1802</v>
      </c>
      <c r="O148">
        <v>1480</v>
      </c>
      <c r="P148">
        <v>529</v>
      </c>
      <c r="Q148">
        <v>20</v>
      </c>
      <c r="R148">
        <v>256</v>
      </c>
      <c r="S148">
        <v>1258</v>
      </c>
      <c r="T148">
        <v>343</v>
      </c>
      <c r="U148">
        <v>131</v>
      </c>
      <c r="V148">
        <v>328.22170130000001</v>
      </c>
      <c r="W148">
        <v>253.82028249999999</v>
      </c>
      <c r="X148">
        <v>200.1134155</v>
      </c>
      <c r="Y148">
        <v>139.5206737</v>
      </c>
      <c r="Z148">
        <v>118.1298314</v>
      </c>
      <c r="AA148">
        <v>65</v>
      </c>
      <c r="AB148">
        <v>290.10910760000002</v>
      </c>
      <c r="AC148">
        <v>262.18468380000002</v>
      </c>
      <c r="AD148">
        <v>213.01502410000001</v>
      </c>
      <c r="AE148">
        <v>149.51644020000001</v>
      </c>
      <c r="AF148">
        <v>119.1130295</v>
      </c>
      <c r="AG148">
        <v>55</v>
      </c>
      <c r="AH148">
        <v>268.07790080000001</v>
      </c>
      <c r="AI148">
        <v>223.38952029999999</v>
      </c>
      <c r="AJ148">
        <v>189.4102451</v>
      </c>
      <c r="AK148">
        <v>163.23955720000001</v>
      </c>
      <c r="AL148">
        <v>118.56742560000001</v>
      </c>
      <c r="AM148">
        <v>55</v>
      </c>
      <c r="AN148">
        <v>310.56592590000002</v>
      </c>
      <c r="AO148">
        <v>181.360198</v>
      </c>
      <c r="AP148">
        <v>169.0587975</v>
      </c>
      <c r="AQ148">
        <v>157.2104674</v>
      </c>
      <c r="AR148">
        <v>110.3640671</v>
      </c>
      <c r="AS148">
        <v>55</v>
      </c>
      <c r="AT148">
        <v>1.077148E-2</v>
      </c>
      <c r="AU148">
        <v>3.35046E-3</v>
      </c>
      <c r="AV148">
        <v>3.1535349999999997E-2</v>
      </c>
      <c r="AW148">
        <v>3.561305E-2</v>
      </c>
      <c r="AX148">
        <v>2.8997350000000002E-2</v>
      </c>
      <c r="AY148">
        <v>0.13354281000000001</v>
      </c>
      <c r="AZ148">
        <v>6.3111390000000003E-2</v>
      </c>
      <c r="BA148">
        <v>7.0506559999999996E-2</v>
      </c>
      <c r="BB148">
        <v>0.10620942</v>
      </c>
      <c r="BC148">
        <v>3.8296940000000002E-2</v>
      </c>
      <c r="BD148">
        <v>2.247236E-2</v>
      </c>
      <c r="BE148">
        <v>5.8560460000000002E-2</v>
      </c>
      <c r="BF148">
        <v>0.1185809</v>
      </c>
      <c r="BG148">
        <v>0.10109236000000001</v>
      </c>
      <c r="BH148">
        <v>4.1578499999999997E-2</v>
      </c>
      <c r="BI148">
        <v>1.31409E-3</v>
      </c>
      <c r="BJ148">
        <v>1.7450420000000001E-2</v>
      </c>
      <c r="BK148">
        <v>8.2707420000000004E-2</v>
      </c>
      <c r="BL148">
        <v>2.3903379999999998E-2</v>
      </c>
      <c r="BM148">
        <v>1.0405299999999999E-2</v>
      </c>
      <c r="BN148">
        <v>2789</v>
      </c>
      <c r="BO148">
        <v>258.16492959999999</v>
      </c>
      <c r="BP148">
        <v>190</v>
      </c>
    </row>
    <row r="149" spans="1:68" x14ac:dyDescent="0.2">
      <c r="A149" t="s">
        <v>714</v>
      </c>
      <c r="B149">
        <v>63</v>
      </c>
      <c r="C149">
        <v>204</v>
      </c>
      <c r="D149">
        <v>471</v>
      </c>
      <c r="E149">
        <v>682</v>
      </c>
      <c r="F149">
        <v>606</v>
      </c>
      <c r="G149">
        <v>881</v>
      </c>
      <c r="H149">
        <v>614</v>
      </c>
      <c r="I149">
        <v>733</v>
      </c>
      <c r="J149">
        <v>1120</v>
      </c>
      <c r="K149">
        <v>273</v>
      </c>
      <c r="L149">
        <v>592</v>
      </c>
      <c r="M149">
        <v>1060</v>
      </c>
      <c r="N149">
        <v>2245</v>
      </c>
      <c r="O149">
        <v>871</v>
      </c>
      <c r="P149">
        <v>294</v>
      </c>
      <c r="Q149">
        <v>332</v>
      </c>
      <c r="R149">
        <v>840</v>
      </c>
      <c r="S149">
        <v>3238</v>
      </c>
      <c r="T149">
        <v>864</v>
      </c>
      <c r="U149">
        <v>520</v>
      </c>
      <c r="V149">
        <v>227.34058039999999</v>
      </c>
      <c r="W149">
        <v>205.92037139999999</v>
      </c>
      <c r="X149">
        <v>164.16912590000001</v>
      </c>
      <c r="Y149">
        <v>135.86881650000001</v>
      </c>
      <c r="Z149">
        <v>109.8938794</v>
      </c>
      <c r="AA149">
        <v>65</v>
      </c>
      <c r="AB149">
        <v>305.23616559999999</v>
      </c>
      <c r="AC149">
        <v>281.67922520000002</v>
      </c>
      <c r="AD149">
        <v>211.82515889999999</v>
      </c>
      <c r="AE149">
        <v>156.30118189999999</v>
      </c>
      <c r="AF149">
        <v>121.0800304</v>
      </c>
      <c r="AG149">
        <v>55</v>
      </c>
      <c r="AH149">
        <v>288.54820910000001</v>
      </c>
      <c r="AI149">
        <v>239.0558848</v>
      </c>
      <c r="AJ149">
        <v>190.75250360000001</v>
      </c>
      <c r="AK149">
        <v>168.8031593</v>
      </c>
      <c r="AL149">
        <v>116.3873487</v>
      </c>
      <c r="AM149">
        <v>55</v>
      </c>
      <c r="AN149">
        <v>285.57938819999998</v>
      </c>
      <c r="AO149">
        <v>200.75444619999999</v>
      </c>
      <c r="AP149">
        <v>175.1308439</v>
      </c>
      <c r="AQ149">
        <v>151.26815790000001</v>
      </c>
      <c r="AR149">
        <v>113.6361098</v>
      </c>
      <c r="AS149">
        <v>55</v>
      </c>
      <c r="AT149">
        <v>3.9520199999999997E-3</v>
      </c>
      <c r="AU149">
        <v>1.3339749999999999E-2</v>
      </c>
      <c r="AV149">
        <v>2.7633230000000002E-2</v>
      </c>
      <c r="AW149">
        <v>3.967449E-2</v>
      </c>
      <c r="AX149">
        <v>4.4400870000000002E-2</v>
      </c>
      <c r="AY149">
        <v>5.1199160000000001E-2</v>
      </c>
      <c r="AZ149">
        <v>3.7593660000000001E-2</v>
      </c>
      <c r="BA149">
        <v>4.3512769999999999E-2</v>
      </c>
      <c r="BB149">
        <v>6.3658350000000002E-2</v>
      </c>
      <c r="BC149">
        <v>1.983971E-2</v>
      </c>
      <c r="BD149">
        <v>3.4385100000000002E-2</v>
      </c>
      <c r="BE149">
        <v>6.2908430000000001E-2</v>
      </c>
      <c r="BF149">
        <v>0.13515402000000001</v>
      </c>
      <c r="BG149">
        <v>4.8751280000000001E-2</v>
      </c>
      <c r="BH149">
        <v>2.3071009999999999E-2</v>
      </c>
      <c r="BI149">
        <v>1.8251489999999999E-2</v>
      </c>
      <c r="BJ149">
        <v>5.0825969999999998E-2</v>
      </c>
      <c r="BK149">
        <v>0.19217669000000001</v>
      </c>
      <c r="BL149">
        <v>4.8153069999999999E-2</v>
      </c>
      <c r="BM149">
        <v>4.1518930000000003E-2</v>
      </c>
      <c r="BN149">
        <v>2017</v>
      </c>
      <c r="BO149">
        <v>268.25078209999998</v>
      </c>
      <c r="BP149">
        <v>190</v>
      </c>
    </row>
    <row r="150" spans="1:68" x14ac:dyDescent="0.2">
      <c r="A150" t="s">
        <v>715</v>
      </c>
      <c r="B150">
        <v>541</v>
      </c>
      <c r="C150">
        <v>165</v>
      </c>
      <c r="D150">
        <v>535</v>
      </c>
      <c r="E150">
        <v>707</v>
      </c>
      <c r="F150">
        <v>795</v>
      </c>
      <c r="G150">
        <v>980</v>
      </c>
      <c r="H150">
        <v>748</v>
      </c>
      <c r="I150">
        <v>1146</v>
      </c>
      <c r="J150">
        <v>1039</v>
      </c>
      <c r="K150">
        <v>373</v>
      </c>
      <c r="L150">
        <v>370</v>
      </c>
      <c r="M150">
        <v>1117</v>
      </c>
      <c r="N150">
        <v>1989</v>
      </c>
      <c r="O150">
        <v>1179</v>
      </c>
      <c r="P150">
        <v>574</v>
      </c>
      <c r="Q150">
        <v>88</v>
      </c>
      <c r="R150">
        <v>386</v>
      </c>
      <c r="S150">
        <v>1767</v>
      </c>
      <c r="T150">
        <v>929</v>
      </c>
      <c r="U150">
        <v>441</v>
      </c>
      <c r="V150">
        <v>292.2968295</v>
      </c>
      <c r="W150">
        <v>218.2090178</v>
      </c>
      <c r="X150">
        <v>252.9382961</v>
      </c>
      <c r="Y150">
        <v>146.7486868</v>
      </c>
      <c r="Z150">
        <v>116.1450304</v>
      </c>
      <c r="AA150">
        <v>65</v>
      </c>
      <c r="AB150">
        <v>302.87732140000003</v>
      </c>
      <c r="AC150">
        <v>284.9291078</v>
      </c>
      <c r="AD150">
        <v>216.15018950000001</v>
      </c>
      <c r="AE150">
        <v>147.45764980000001</v>
      </c>
      <c r="AF150">
        <v>127.0410839</v>
      </c>
      <c r="AG150">
        <v>55</v>
      </c>
      <c r="AH150">
        <v>311.48692010000002</v>
      </c>
      <c r="AI150">
        <v>216.82299019999999</v>
      </c>
      <c r="AJ150">
        <v>190.1433002</v>
      </c>
      <c r="AK150">
        <v>168.93593519999999</v>
      </c>
      <c r="AL150">
        <v>113.1321299</v>
      </c>
      <c r="AM150">
        <v>55</v>
      </c>
      <c r="AN150">
        <v>279.40630900000002</v>
      </c>
      <c r="AO150">
        <v>203.76101700000001</v>
      </c>
      <c r="AP150">
        <v>175.8380525</v>
      </c>
      <c r="AQ150">
        <v>164.93391080000001</v>
      </c>
      <c r="AR150">
        <v>106.06728699999999</v>
      </c>
      <c r="AS150">
        <v>55</v>
      </c>
      <c r="AT150">
        <v>3.4568260000000003E-2</v>
      </c>
      <c r="AU150">
        <v>1.04542E-2</v>
      </c>
      <c r="AV150">
        <v>3.7563729999999997E-2</v>
      </c>
      <c r="AW150">
        <v>5.0741880000000003E-2</v>
      </c>
      <c r="AX150">
        <v>5.9720820000000001E-2</v>
      </c>
      <c r="AY150">
        <v>6.3203679999999998E-2</v>
      </c>
      <c r="AZ150">
        <v>4.7169229999999999E-2</v>
      </c>
      <c r="BA150">
        <v>7.5174550000000007E-2</v>
      </c>
      <c r="BB150">
        <v>6.3661930000000005E-2</v>
      </c>
      <c r="BC150">
        <v>2.7992860000000001E-2</v>
      </c>
      <c r="BD150">
        <v>2.0067950000000001E-2</v>
      </c>
      <c r="BE150">
        <v>6.2958700000000006E-2</v>
      </c>
      <c r="BF150">
        <v>0.1222318</v>
      </c>
      <c r="BG150">
        <v>7.2715329999999995E-2</v>
      </c>
      <c r="BH150">
        <v>4.0184440000000002E-2</v>
      </c>
      <c r="BI150">
        <v>5.0265300000000004E-3</v>
      </c>
      <c r="BJ150">
        <v>2.1077660000000002E-2</v>
      </c>
      <c r="BK150">
        <v>9.7160620000000003E-2</v>
      </c>
      <c r="BL150">
        <v>5.704236E-2</v>
      </c>
      <c r="BM150">
        <v>3.1283470000000001E-2</v>
      </c>
      <c r="BN150">
        <v>1164</v>
      </c>
      <c r="BO150">
        <v>273.37620479999998</v>
      </c>
      <c r="BP150">
        <v>190</v>
      </c>
    </row>
    <row r="151" spans="1:68" x14ac:dyDescent="0.2">
      <c r="A151" t="s">
        <v>716</v>
      </c>
      <c r="B151">
        <v>81</v>
      </c>
      <c r="C151">
        <v>33</v>
      </c>
      <c r="D151">
        <v>154</v>
      </c>
      <c r="E151">
        <v>344</v>
      </c>
      <c r="F151">
        <v>223</v>
      </c>
      <c r="G151">
        <v>225</v>
      </c>
      <c r="H151">
        <v>100</v>
      </c>
      <c r="I151">
        <v>212</v>
      </c>
      <c r="J151">
        <v>290</v>
      </c>
      <c r="K151">
        <v>64</v>
      </c>
      <c r="L151">
        <v>188</v>
      </c>
      <c r="M151">
        <v>197</v>
      </c>
      <c r="N151">
        <v>663</v>
      </c>
      <c r="O151">
        <v>358</v>
      </c>
      <c r="P151">
        <v>82</v>
      </c>
      <c r="Q151">
        <v>171</v>
      </c>
      <c r="R151">
        <v>205</v>
      </c>
      <c r="S151">
        <v>1410</v>
      </c>
      <c r="T151">
        <v>602</v>
      </c>
      <c r="U151">
        <v>136</v>
      </c>
      <c r="V151">
        <v>256.31479639999998</v>
      </c>
      <c r="W151">
        <v>240.41474650000001</v>
      </c>
      <c r="X151">
        <v>200.907613</v>
      </c>
      <c r="Y151">
        <v>184.94234520000001</v>
      </c>
      <c r="Z151">
        <v>120.21022689999999</v>
      </c>
      <c r="AA151">
        <v>65</v>
      </c>
      <c r="AB151">
        <v>285.68518410000001</v>
      </c>
      <c r="AC151">
        <v>308.05985980000003</v>
      </c>
      <c r="AD151">
        <v>215.33846030000001</v>
      </c>
      <c r="AE151">
        <v>158.1817872</v>
      </c>
      <c r="AF151">
        <v>111.03239840000001</v>
      </c>
      <c r="AG151">
        <v>55</v>
      </c>
      <c r="AH151">
        <v>299.06536519999997</v>
      </c>
      <c r="AI151">
        <v>222.96919650000001</v>
      </c>
      <c r="AJ151">
        <v>212.1385526</v>
      </c>
      <c r="AK151">
        <v>155.5551102</v>
      </c>
      <c r="AL151">
        <v>114.32850019999999</v>
      </c>
      <c r="AM151">
        <v>55</v>
      </c>
      <c r="AN151">
        <v>299.13222280000002</v>
      </c>
      <c r="AO151">
        <v>220.5775841</v>
      </c>
      <c r="AP151">
        <v>194.1369924</v>
      </c>
      <c r="AQ151">
        <v>150.34596859999999</v>
      </c>
      <c r="AR151">
        <v>120.1339893</v>
      </c>
      <c r="AS151">
        <v>55</v>
      </c>
      <c r="AT151">
        <v>1.273052E-2</v>
      </c>
      <c r="AU151">
        <v>4.6737799999999998E-3</v>
      </c>
      <c r="AV151">
        <v>2.5865450000000002E-2</v>
      </c>
      <c r="AW151">
        <v>6.0258890000000002E-2</v>
      </c>
      <c r="AX151">
        <v>3.4235420000000003E-2</v>
      </c>
      <c r="AY151">
        <v>3.8975589999999997E-2</v>
      </c>
      <c r="AZ151">
        <v>1.7652089999999999E-2</v>
      </c>
      <c r="BA151">
        <v>3.817193E-2</v>
      </c>
      <c r="BB151">
        <v>5.3019839999999999E-2</v>
      </c>
      <c r="BC151">
        <v>7.5691200000000004E-3</v>
      </c>
      <c r="BD151">
        <v>3.4601489999999999E-2</v>
      </c>
      <c r="BE151">
        <v>3.4404200000000003E-2</v>
      </c>
      <c r="BF151">
        <v>0.11865473</v>
      </c>
      <c r="BG151">
        <v>6.4497879999999994E-2</v>
      </c>
      <c r="BH151">
        <v>1.2981110000000001E-2</v>
      </c>
      <c r="BI151">
        <v>2.9969320000000001E-2</v>
      </c>
      <c r="BJ151">
        <v>3.577263E-2</v>
      </c>
      <c r="BK151">
        <v>0.24703944</v>
      </c>
      <c r="BL151">
        <v>0.1100047</v>
      </c>
      <c r="BM151">
        <v>1.892187E-2</v>
      </c>
      <c r="BN151">
        <v>569</v>
      </c>
      <c r="BO151">
        <v>271.73525469999998</v>
      </c>
      <c r="BP151">
        <v>190</v>
      </c>
    </row>
    <row r="152" spans="1:68" x14ac:dyDescent="0.2">
      <c r="A152" t="s">
        <v>717</v>
      </c>
      <c r="B152">
        <v>42</v>
      </c>
      <c r="C152">
        <v>61</v>
      </c>
      <c r="D152">
        <v>16</v>
      </c>
      <c r="E152">
        <v>231</v>
      </c>
      <c r="F152">
        <v>310</v>
      </c>
      <c r="G152">
        <v>756</v>
      </c>
      <c r="H152">
        <v>519</v>
      </c>
      <c r="I152">
        <v>433</v>
      </c>
      <c r="J152">
        <v>476</v>
      </c>
      <c r="K152">
        <v>235</v>
      </c>
      <c r="L152">
        <v>203</v>
      </c>
      <c r="M152">
        <v>757</v>
      </c>
      <c r="N152">
        <v>1062</v>
      </c>
      <c r="O152">
        <v>597</v>
      </c>
      <c r="P152">
        <v>444</v>
      </c>
      <c r="Q152">
        <v>20</v>
      </c>
      <c r="R152">
        <v>313</v>
      </c>
      <c r="S152">
        <v>1374</v>
      </c>
      <c r="T152">
        <v>580</v>
      </c>
      <c r="U152">
        <v>378</v>
      </c>
      <c r="V152">
        <v>363.38457979999998</v>
      </c>
      <c r="W152">
        <v>322.30694670000003</v>
      </c>
      <c r="X152">
        <v>238.37944659999999</v>
      </c>
      <c r="Y152">
        <v>156.885852</v>
      </c>
      <c r="Z152">
        <v>99.569430800000006</v>
      </c>
      <c r="AA152">
        <v>65</v>
      </c>
      <c r="AB152">
        <v>296.79254730000002</v>
      </c>
      <c r="AC152">
        <v>300.19954810000002</v>
      </c>
      <c r="AD152">
        <v>213.7493877</v>
      </c>
      <c r="AE152">
        <v>158.1446028</v>
      </c>
      <c r="AF152">
        <v>114.55393340000001</v>
      </c>
      <c r="AG152">
        <v>55</v>
      </c>
      <c r="AH152">
        <v>312.24350920000001</v>
      </c>
      <c r="AI152">
        <v>267.11504930000001</v>
      </c>
      <c r="AJ152">
        <v>204.2133953</v>
      </c>
      <c r="AK152">
        <v>167.60982659999999</v>
      </c>
      <c r="AL152">
        <v>113.4489028</v>
      </c>
      <c r="AM152">
        <v>55</v>
      </c>
      <c r="AN152">
        <v>222.71182429999999</v>
      </c>
      <c r="AO152">
        <v>235.3133048</v>
      </c>
      <c r="AP152">
        <v>189.3738745</v>
      </c>
      <c r="AQ152">
        <v>171.6733174</v>
      </c>
      <c r="AR152">
        <v>113.9401503</v>
      </c>
      <c r="AS152">
        <v>55</v>
      </c>
      <c r="AT152">
        <v>4.2188399999999997E-3</v>
      </c>
      <c r="AU152">
        <v>6.3007699999999998E-3</v>
      </c>
      <c r="AV152">
        <v>1.72102E-3</v>
      </c>
      <c r="AW152">
        <v>2.76251E-2</v>
      </c>
      <c r="AX152">
        <v>2.685947E-2</v>
      </c>
      <c r="AY152">
        <v>8.6681359999999999E-2</v>
      </c>
      <c r="AZ152">
        <v>6.0052029999999999E-2</v>
      </c>
      <c r="BA152">
        <v>4.8213010000000001E-2</v>
      </c>
      <c r="BB152">
        <v>5.69734E-2</v>
      </c>
      <c r="BC152">
        <v>2.440142E-2</v>
      </c>
      <c r="BD152">
        <v>2.3431110000000002E-2</v>
      </c>
      <c r="BE152">
        <v>8.7259069999999994E-2</v>
      </c>
      <c r="BF152">
        <v>0.1225233</v>
      </c>
      <c r="BG152">
        <v>6.8473859999999998E-2</v>
      </c>
      <c r="BH152">
        <v>4.6183259999999997E-2</v>
      </c>
      <c r="BI152">
        <v>2.26239E-3</v>
      </c>
      <c r="BJ152">
        <v>3.9052580000000003E-2</v>
      </c>
      <c r="BK152">
        <v>0.16031113</v>
      </c>
      <c r="BL152">
        <v>6.7090159999999996E-2</v>
      </c>
      <c r="BM152">
        <v>4.0366720000000002E-2</v>
      </c>
      <c r="BN152">
        <v>867</v>
      </c>
      <c r="BO152">
        <v>251.452269</v>
      </c>
      <c r="BP152">
        <v>190</v>
      </c>
    </row>
    <row r="153" spans="1:68" x14ac:dyDescent="0.2">
      <c r="A153" t="s">
        <v>718</v>
      </c>
      <c r="B153">
        <v>160</v>
      </c>
      <c r="C153">
        <v>228</v>
      </c>
      <c r="D153">
        <v>6600</v>
      </c>
      <c r="E153">
        <v>3355</v>
      </c>
      <c r="F153">
        <v>1197</v>
      </c>
      <c r="G153">
        <v>90</v>
      </c>
      <c r="H153">
        <v>55</v>
      </c>
      <c r="I153">
        <v>179</v>
      </c>
      <c r="J153">
        <v>200</v>
      </c>
      <c r="K153">
        <v>87</v>
      </c>
      <c r="L153">
        <v>291</v>
      </c>
      <c r="M153">
        <v>254</v>
      </c>
      <c r="N153">
        <v>3439</v>
      </c>
      <c r="O153">
        <v>970</v>
      </c>
      <c r="P153">
        <v>134</v>
      </c>
      <c r="Q153">
        <v>245</v>
      </c>
      <c r="R153">
        <v>410</v>
      </c>
      <c r="S153">
        <v>8445</v>
      </c>
      <c r="T153">
        <v>2604</v>
      </c>
      <c r="U153">
        <v>444</v>
      </c>
      <c r="V153">
        <v>246.1130062</v>
      </c>
      <c r="W153">
        <v>266.72209249999997</v>
      </c>
      <c r="X153">
        <v>195.6998294</v>
      </c>
      <c r="Y153">
        <v>133.7402836</v>
      </c>
      <c r="Z153">
        <v>108.2449355</v>
      </c>
      <c r="AA153">
        <v>65</v>
      </c>
      <c r="AB153">
        <v>315.06898660000002</v>
      </c>
      <c r="AC153">
        <v>253.74630389999999</v>
      </c>
      <c r="AD153">
        <v>203.55798129999999</v>
      </c>
      <c r="AE153">
        <v>140.3514448</v>
      </c>
      <c r="AF153">
        <v>116.43818020000001</v>
      </c>
      <c r="AG153">
        <v>55</v>
      </c>
      <c r="AH153">
        <v>307.89456030000002</v>
      </c>
      <c r="AI153">
        <v>237.3433095</v>
      </c>
      <c r="AJ153">
        <v>208.28646040000001</v>
      </c>
      <c r="AK153">
        <v>153.36967189999999</v>
      </c>
      <c r="AL153">
        <v>117.5005712</v>
      </c>
      <c r="AM153">
        <v>55</v>
      </c>
      <c r="AN153">
        <v>243.25139300000001</v>
      </c>
      <c r="AO153">
        <v>214.22236849999999</v>
      </c>
      <c r="AP153">
        <v>194.51639950000001</v>
      </c>
      <c r="AQ153">
        <v>132.74888849999999</v>
      </c>
      <c r="AR153">
        <v>110.7110926</v>
      </c>
      <c r="AS153">
        <v>55</v>
      </c>
      <c r="AT153">
        <v>5.2422700000000003E-3</v>
      </c>
      <c r="AU153">
        <v>7.4995900000000004E-3</v>
      </c>
      <c r="AV153">
        <v>0.22948287000000001</v>
      </c>
      <c r="AW153">
        <v>0.11153504</v>
      </c>
      <c r="AX153">
        <v>3.6682439999999997E-2</v>
      </c>
      <c r="AY153">
        <v>3.3311899999999999E-3</v>
      </c>
      <c r="AZ153">
        <v>1.82274E-3</v>
      </c>
      <c r="BA153">
        <v>6.6607999999999997E-3</v>
      </c>
      <c r="BB153">
        <v>6.5851199999999999E-3</v>
      </c>
      <c r="BC153">
        <v>2.7912000000000002E-3</v>
      </c>
      <c r="BD153">
        <v>9.2871099999999995E-3</v>
      </c>
      <c r="BE153">
        <v>8.3714900000000005E-3</v>
      </c>
      <c r="BF153">
        <v>0.11982403</v>
      </c>
      <c r="BG153">
        <v>3.2480490000000001E-2</v>
      </c>
      <c r="BH153">
        <v>4.2071599999999997E-3</v>
      </c>
      <c r="BI153">
        <v>7.5485400000000003E-3</v>
      </c>
      <c r="BJ153">
        <v>1.3634820000000001E-2</v>
      </c>
      <c r="BK153">
        <v>0.29207147</v>
      </c>
      <c r="BL153">
        <v>8.7274679999999993E-2</v>
      </c>
      <c r="BM153">
        <v>1.3666950000000001E-2</v>
      </c>
      <c r="BN153">
        <v>2491</v>
      </c>
      <c r="BO153">
        <v>191.15639279999999</v>
      </c>
      <c r="BP153">
        <v>190</v>
      </c>
    </row>
    <row r="154" spans="1:68" x14ac:dyDescent="0.2">
      <c r="A154" t="s">
        <v>719</v>
      </c>
      <c r="B154">
        <v>108</v>
      </c>
      <c r="C154">
        <v>42</v>
      </c>
      <c r="D154">
        <v>324</v>
      </c>
      <c r="E154">
        <v>459</v>
      </c>
      <c r="F154">
        <v>518</v>
      </c>
      <c r="G154">
        <v>505</v>
      </c>
      <c r="H154">
        <v>354</v>
      </c>
      <c r="I154">
        <v>705</v>
      </c>
      <c r="J154">
        <v>552</v>
      </c>
      <c r="K154">
        <v>408</v>
      </c>
      <c r="L154">
        <v>249</v>
      </c>
      <c r="M154">
        <v>618</v>
      </c>
      <c r="N154">
        <v>1228</v>
      </c>
      <c r="O154">
        <v>512</v>
      </c>
      <c r="P154">
        <v>431</v>
      </c>
      <c r="Q154">
        <v>26</v>
      </c>
      <c r="R154">
        <v>673</v>
      </c>
      <c r="S154">
        <v>2470</v>
      </c>
      <c r="T154">
        <v>782</v>
      </c>
      <c r="U154">
        <v>524</v>
      </c>
      <c r="V154">
        <v>235.1153061</v>
      </c>
      <c r="W154">
        <v>168.7341538</v>
      </c>
      <c r="X154">
        <v>183.88668060000001</v>
      </c>
      <c r="Y154">
        <v>141.73764460000001</v>
      </c>
      <c r="Z154">
        <v>139.10099170000001</v>
      </c>
      <c r="AA154">
        <v>65</v>
      </c>
      <c r="AB154">
        <v>301.45709690000001</v>
      </c>
      <c r="AC154">
        <v>280.0129306</v>
      </c>
      <c r="AD154">
        <v>213.17079179999999</v>
      </c>
      <c r="AE154">
        <v>153.5482198</v>
      </c>
      <c r="AF154">
        <v>116.295992</v>
      </c>
      <c r="AG154">
        <v>55</v>
      </c>
      <c r="AH154">
        <v>305.87906520000001</v>
      </c>
      <c r="AI154">
        <v>233.75904130000001</v>
      </c>
      <c r="AJ154">
        <v>197.7822185</v>
      </c>
      <c r="AK154">
        <v>154.29611130000001</v>
      </c>
      <c r="AL154">
        <v>116.2736499</v>
      </c>
      <c r="AM154">
        <v>55</v>
      </c>
      <c r="AN154">
        <v>286.00227130000002</v>
      </c>
      <c r="AO154">
        <v>216.39479439999999</v>
      </c>
      <c r="AP154">
        <v>175.86833780000001</v>
      </c>
      <c r="AQ154">
        <v>151.06206040000001</v>
      </c>
      <c r="AR154">
        <v>112.33170939999999</v>
      </c>
      <c r="AS154">
        <v>55</v>
      </c>
      <c r="AT154">
        <v>9.4144899999999993E-3</v>
      </c>
      <c r="AU154">
        <v>4.3783299999999997E-3</v>
      </c>
      <c r="AV154">
        <v>2.6484270000000001E-2</v>
      </c>
      <c r="AW154">
        <v>4.2174929999999999E-2</v>
      </c>
      <c r="AX154">
        <v>5.1095219999999997E-2</v>
      </c>
      <c r="AY154">
        <v>4.3915559999999999E-2</v>
      </c>
      <c r="AZ154">
        <v>2.9657320000000001E-2</v>
      </c>
      <c r="BA154">
        <v>6.1659579999999999E-2</v>
      </c>
      <c r="BB154">
        <v>4.9980770000000001E-2</v>
      </c>
      <c r="BC154">
        <v>3.476315E-2</v>
      </c>
      <c r="BD154">
        <v>2.2723090000000001E-2</v>
      </c>
      <c r="BE154">
        <v>5.0895919999999997E-2</v>
      </c>
      <c r="BF154">
        <v>0.10533683000000001</v>
      </c>
      <c r="BG154">
        <v>4.4287269999999997E-2</v>
      </c>
      <c r="BH154">
        <v>3.6090919999999999E-2</v>
      </c>
      <c r="BI154">
        <v>2.4923900000000001E-3</v>
      </c>
      <c r="BJ154">
        <v>5.6308070000000002E-2</v>
      </c>
      <c r="BK154">
        <v>0.21684971</v>
      </c>
      <c r="BL154">
        <v>6.8851599999999999E-2</v>
      </c>
      <c r="BM154">
        <v>4.2640579999999997E-2</v>
      </c>
      <c r="BN154">
        <v>1415</v>
      </c>
      <c r="BO154">
        <v>276.23083450000001</v>
      </c>
      <c r="BP154">
        <v>190</v>
      </c>
    </row>
    <row r="155" spans="1:68" x14ac:dyDescent="0.2">
      <c r="A155" t="s">
        <v>720</v>
      </c>
      <c r="B155">
        <v>200</v>
      </c>
      <c r="C155">
        <v>252</v>
      </c>
      <c r="D155">
        <v>576</v>
      </c>
      <c r="E155">
        <v>1010</v>
      </c>
      <c r="F155">
        <v>831</v>
      </c>
      <c r="G155">
        <v>623</v>
      </c>
      <c r="H155">
        <v>424</v>
      </c>
      <c r="I155">
        <v>673</v>
      </c>
      <c r="J155">
        <v>667</v>
      </c>
      <c r="K155">
        <v>383</v>
      </c>
      <c r="L155">
        <v>470</v>
      </c>
      <c r="M155">
        <v>799</v>
      </c>
      <c r="N155">
        <v>1885</v>
      </c>
      <c r="O155">
        <v>1281</v>
      </c>
      <c r="P155">
        <v>751</v>
      </c>
      <c r="Q155">
        <v>337</v>
      </c>
      <c r="R155">
        <v>607</v>
      </c>
      <c r="S155">
        <v>2840</v>
      </c>
      <c r="T155">
        <v>1750</v>
      </c>
      <c r="U155">
        <v>971</v>
      </c>
      <c r="V155">
        <v>290.2922815</v>
      </c>
      <c r="W155">
        <v>220.9691436</v>
      </c>
      <c r="X155">
        <v>168.39135490000001</v>
      </c>
      <c r="Y155">
        <v>146.6178213</v>
      </c>
      <c r="Z155">
        <v>116.5074418</v>
      </c>
      <c r="AA155">
        <v>65</v>
      </c>
      <c r="AB155">
        <v>308.07879400000002</v>
      </c>
      <c r="AC155">
        <v>283.88396729999999</v>
      </c>
      <c r="AD155">
        <v>216.5256115</v>
      </c>
      <c r="AE155">
        <v>149.8217511</v>
      </c>
      <c r="AF155">
        <v>115.1320788</v>
      </c>
      <c r="AG155">
        <v>55</v>
      </c>
      <c r="AH155">
        <v>295.90052789999999</v>
      </c>
      <c r="AI155">
        <v>236.51147689999999</v>
      </c>
      <c r="AJ155">
        <v>205.3767939</v>
      </c>
      <c r="AK155">
        <v>159.89824530000001</v>
      </c>
      <c r="AL155">
        <v>116.93203800000001</v>
      </c>
      <c r="AM155">
        <v>55</v>
      </c>
      <c r="AN155">
        <v>267.40582260000002</v>
      </c>
      <c r="AO155">
        <v>209.4351964</v>
      </c>
      <c r="AP155">
        <v>193.97910160000001</v>
      </c>
      <c r="AQ155">
        <v>150.53282239999999</v>
      </c>
      <c r="AR155">
        <v>116.3069093</v>
      </c>
      <c r="AS155">
        <v>55</v>
      </c>
      <c r="AT155">
        <v>1.337722E-2</v>
      </c>
      <c r="AU155">
        <v>1.4173349999999999E-2</v>
      </c>
      <c r="AV155">
        <v>3.3504300000000001E-2</v>
      </c>
      <c r="AW155">
        <v>5.64133E-2</v>
      </c>
      <c r="AX155">
        <v>5.7143550000000001E-2</v>
      </c>
      <c r="AY155">
        <v>3.3746999999999999E-2</v>
      </c>
      <c r="AZ155">
        <v>2.1802129999999999E-2</v>
      </c>
      <c r="BA155">
        <v>3.4917730000000001E-2</v>
      </c>
      <c r="BB155">
        <v>3.6980220000000001E-2</v>
      </c>
      <c r="BC155">
        <v>2.6710669999999999E-2</v>
      </c>
      <c r="BD155">
        <v>2.641582E-2</v>
      </c>
      <c r="BE155">
        <v>4.4121720000000003E-2</v>
      </c>
      <c r="BF155">
        <v>0.10323343</v>
      </c>
      <c r="BG155">
        <v>6.8859900000000002E-2</v>
      </c>
      <c r="BH155">
        <v>5.4010019999999999E-2</v>
      </c>
      <c r="BI155">
        <v>1.9973950000000001E-2</v>
      </c>
      <c r="BJ155">
        <v>3.39075E-2</v>
      </c>
      <c r="BK155">
        <v>0.15850996000000001</v>
      </c>
      <c r="BL155">
        <v>9.46018E-2</v>
      </c>
      <c r="BM155">
        <v>6.7596429999999999E-2</v>
      </c>
      <c r="BN155">
        <v>1979</v>
      </c>
      <c r="BO155">
        <v>235.9563344</v>
      </c>
      <c r="BP155">
        <v>190</v>
      </c>
    </row>
    <row r="156" spans="1:68" x14ac:dyDescent="0.2">
      <c r="A156" t="s">
        <v>721</v>
      </c>
      <c r="B156">
        <v>6297</v>
      </c>
      <c r="C156">
        <v>5467</v>
      </c>
      <c r="D156">
        <v>11281</v>
      </c>
      <c r="E156">
        <v>6217</v>
      </c>
      <c r="F156">
        <v>7239</v>
      </c>
      <c r="G156">
        <v>696</v>
      </c>
      <c r="H156">
        <v>295</v>
      </c>
      <c r="I156">
        <v>324</v>
      </c>
      <c r="J156">
        <v>456</v>
      </c>
      <c r="K156">
        <v>409</v>
      </c>
      <c r="L156">
        <v>3560</v>
      </c>
      <c r="M156">
        <v>3192</v>
      </c>
      <c r="N156">
        <v>3801</v>
      </c>
      <c r="O156">
        <v>1777</v>
      </c>
      <c r="P156">
        <v>1942</v>
      </c>
      <c r="Q156">
        <v>5934</v>
      </c>
      <c r="R156">
        <v>5362</v>
      </c>
      <c r="S156">
        <v>9739</v>
      </c>
      <c r="T156">
        <v>3713</v>
      </c>
      <c r="U156">
        <v>4044</v>
      </c>
      <c r="V156">
        <v>243.77927919999999</v>
      </c>
      <c r="W156">
        <v>229.53985159999999</v>
      </c>
      <c r="X156">
        <v>177.33787090000001</v>
      </c>
      <c r="Y156">
        <v>158.6842795</v>
      </c>
      <c r="Z156">
        <v>126.2330455</v>
      </c>
      <c r="AA156">
        <v>65</v>
      </c>
      <c r="AB156">
        <v>307.74510939999999</v>
      </c>
      <c r="AC156">
        <v>282.83743620000001</v>
      </c>
      <c r="AD156">
        <v>221.1655466</v>
      </c>
      <c r="AE156">
        <v>145.6725941</v>
      </c>
      <c r="AF156">
        <v>115.72433839999999</v>
      </c>
      <c r="AG156">
        <v>55</v>
      </c>
      <c r="AH156">
        <v>285.76892509999999</v>
      </c>
      <c r="AI156">
        <v>217.74347220000001</v>
      </c>
      <c r="AJ156">
        <v>192.60883899999999</v>
      </c>
      <c r="AK156">
        <v>150.1814852</v>
      </c>
      <c r="AL156">
        <v>114.9912631</v>
      </c>
      <c r="AM156">
        <v>55</v>
      </c>
      <c r="AN156">
        <v>261.49569079999998</v>
      </c>
      <c r="AO156">
        <v>187.77955650000001</v>
      </c>
      <c r="AP156">
        <v>176.4136906</v>
      </c>
      <c r="AQ156">
        <v>140.36808769999999</v>
      </c>
      <c r="AR156">
        <v>112.49374539999999</v>
      </c>
      <c r="AS156">
        <v>55</v>
      </c>
      <c r="AT156">
        <v>7.6064359999999998E-2</v>
      </c>
      <c r="AU156">
        <v>6.8378579999999994E-2</v>
      </c>
      <c r="AV156">
        <v>0.1421984</v>
      </c>
      <c r="AW156">
        <v>7.5502429999999995E-2</v>
      </c>
      <c r="AX156">
        <v>8.3163429999999997E-2</v>
      </c>
      <c r="AY156">
        <v>8.6428500000000005E-3</v>
      </c>
      <c r="AZ156">
        <v>3.5377999999999998E-3</v>
      </c>
      <c r="BA156">
        <v>3.9269999999999999E-3</v>
      </c>
      <c r="BB156">
        <v>5.4616400000000002E-3</v>
      </c>
      <c r="BC156">
        <v>4.6265200000000003E-3</v>
      </c>
      <c r="BD156">
        <v>4.4093979999999998E-2</v>
      </c>
      <c r="BE156">
        <v>4.0289220000000001E-2</v>
      </c>
      <c r="BF156">
        <v>4.6775839999999999E-2</v>
      </c>
      <c r="BG156">
        <v>2.1409930000000001E-2</v>
      </c>
      <c r="BH156">
        <v>2.2217629999999999E-2</v>
      </c>
      <c r="BI156">
        <v>7.4769959999999996E-2</v>
      </c>
      <c r="BJ156">
        <v>6.8268999999999996E-2</v>
      </c>
      <c r="BK156">
        <v>0.12023721</v>
      </c>
      <c r="BL156">
        <v>4.4364229999999998E-2</v>
      </c>
      <c r="BM156">
        <v>4.6069989999999998E-2</v>
      </c>
      <c r="BN156">
        <v>9140</v>
      </c>
      <c r="BO156">
        <v>252.83680079999999</v>
      </c>
      <c r="BP156">
        <v>190</v>
      </c>
    </row>
    <row r="157" spans="1:68" x14ac:dyDescent="0.2">
      <c r="A157" t="s">
        <v>722</v>
      </c>
      <c r="B157">
        <v>51</v>
      </c>
      <c r="C157">
        <v>1612</v>
      </c>
      <c r="D157">
        <v>5598</v>
      </c>
      <c r="E157">
        <v>2812</v>
      </c>
      <c r="F157">
        <v>2216</v>
      </c>
      <c r="G157">
        <v>508</v>
      </c>
      <c r="H157">
        <v>211</v>
      </c>
      <c r="I157">
        <v>270</v>
      </c>
      <c r="J157">
        <v>578</v>
      </c>
      <c r="K157">
        <v>218</v>
      </c>
      <c r="L157">
        <v>365</v>
      </c>
      <c r="M157">
        <v>836</v>
      </c>
      <c r="N157">
        <v>3787</v>
      </c>
      <c r="O157">
        <v>2101</v>
      </c>
      <c r="P157">
        <v>416</v>
      </c>
      <c r="Q157">
        <v>128</v>
      </c>
      <c r="R157">
        <v>1387</v>
      </c>
      <c r="S157">
        <v>9492</v>
      </c>
      <c r="T157">
        <v>5892</v>
      </c>
      <c r="U157">
        <v>604</v>
      </c>
      <c r="V157">
        <v>258.88719350000002</v>
      </c>
      <c r="W157">
        <v>196.9564172</v>
      </c>
      <c r="X157">
        <v>199.86323590000001</v>
      </c>
      <c r="Y157">
        <v>152.37372629999999</v>
      </c>
      <c r="Z157">
        <v>119.1114256</v>
      </c>
      <c r="AA157">
        <v>65</v>
      </c>
      <c r="AB157">
        <v>305.85962139999998</v>
      </c>
      <c r="AC157">
        <v>290.02462200000002</v>
      </c>
      <c r="AD157">
        <v>212.9929152</v>
      </c>
      <c r="AE157">
        <v>146.4286085</v>
      </c>
      <c r="AF157">
        <v>116.8999869</v>
      </c>
      <c r="AG157">
        <v>55</v>
      </c>
      <c r="AH157">
        <v>298.071009</v>
      </c>
      <c r="AI157">
        <v>257.93370390000001</v>
      </c>
      <c r="AJ157">
        <v>204.13038040000001</v>
      </c>
      <c r="AK157">
        <v>168.9105011</v>
      </c>
      <c r="AL157">
        <v>109.44765150000001</v>
      </c>
      <c r="AM157">
        <v>55</v>
      </c>
      <c r="AN157">
        <v>300.95928529999998</v>
      </c>
      <c r="AO157">
        <v>245.43040199999999</v>
      </c>
      <c r="AP157">
        <v>189.18948069999999</v>
      </c>
      <c r="AQ157">
        <v>168.76333460000001</v>
      </c>
      <c r="AR157">
        <v>106.7352061</v>
      </c>
      <c r="AS157">
        <v>55</v>
      </c>
      <c r="AT157">
        <v>1.2829899999999999E-3</v>
      </c>
      <c r="AU157">
        <v>3.9213650000000003E-2</v>
      </c>
      <c r="AV157">
        <v>0.14025480000000001</v>
      </c>
      <c r="AW157">
        <v>7.4537019999999996E-2</v>
      </c>
      <c r="AX157">
        <v>4.9686630000000002E-2</v>
      </c>
      <c r="AY157">
        <v>1.350721E-2</v>
      </c>
      <c r="AZ157">
        <v>5.27445E-3</v>
      </c>
      <c r="BA157">
        <v>6.6756799999999998E-3</v>
      </c>
      <c r="BB157">
        <v>1.5194340000000001E-2</v>
      </c>
      <c r="BC157">
        <v>5.5067600000000003E-3</v>
      </c>
      <c r="BD157">
        <v>9.0197999999999997E-3</v>
      </c>
      <c r="BE157">
        <v>2.069352E-2</v>
      </c>
      <c r="BF157">
        <v>9.6424510000000005E-2</v>
      </c>
      <c r="BG157">
        <v>5.8915740000000001E-2</v>
      </c>
      <c r="BH157">
        <v>9.8376999999999996E-3</v>
      </c>
      <c r="BI157">
        <v>3.3507799999999998E-3</v>
      </c>
      <c r="BJ157">
        <v>3.3475270000000001E-2</v>
      </c>
      <c r="BK157">
        <v>0.23772425999999999</v>
      </c>
      <c r="BL157">
        <v>0.16512394999999999</v>
      </c>
      <c r="BM157">
        <v>1.430094E-2</v>
      </c>
      <c r="BN157">
        <v>3805</v>
      </c>
      <c r="BO157">
        <v>231.76897629999999</v>
      </c>
      <c r="BP157">
        <v>190</v>
      </c>
    </row>
    <row r="158" spans="1:68" x14ac:dyDescent="0.2">
      <c r="A158" t="s">
        <v>723</v>
      </c>
      <c r="B158">
        <v>19</v>
      </c>
      <c r="C158">
        <v>12</v>
      </c>
      <c r="D158">
        <v>51</v>
      </c>
      <c r="E158">
        <v>108</v>
      </c>
      <c r="F158">
        <v>193</v>
      </c>
      <c r="G158">
        <v>401</v>
      </c>
      <c r="H158">
        <v>86</v>
      </c>
      <c r="I158">
        <v>690</v>
      </c>
      <c r="J158">
        <v>331</v>
      </c>
      <c r="K158">
        <v>144</v>
      </c>
      <c r="L158">
        <v>511</v>
      </c>
      <c r="M158">
        <v>119</v>
      </c>
      <c r="N158">
        <v>361</v>
      </c>
      <c r="O158">
        <v>201</v>
      </c>
      <c r="P158">
        <v>78</v>
      </c>
      <c r="Q158">
        <v>456</v>
      </c>
      <c r="R158">
        <v>115</v>
      </c>
      <c r="S158">
        <v>371</v>
      </c>
      <c r="T158">
        <v>138</v>
      </c>
      <c r="U158">
        <v>93</v>
      </c>
      <c r="V158">
        <v>261.2827729</v>
      </c>
      <c r="W158">
        <v>314.05629099999999</v>
      </c>
      <c r="X158">
        <v>160.01289360000001</v>
      </c>
      <c r="Y158">
        <v>179.01699239999999</v>
      </c>
      <c r="Z158">
        <v>119.1533945</v>
      </c>
      <c r="AA158">
        <v>65</v>
      </c>
      <c r="AB158">
        <v>282.13662470000003</v>
      </c>
      <c r="AC158">
        <v>267.41962280000001</v>
      </c>
      <c r="AD158">
        <v>200.0259149</v>
      </c>
      <c r="AE158">
        <v>152.88810599999999</v>
      </c>
      <c r="AF158">
        <v>120.35864909999999</v>
      </c>
      <c r="AG158">
        <v>55</v>
      </c>
      <c r="AH158">
        <v>310.57014709999999</v>
      </c>
      <c r="AI158">
        <v>269.5532326</v>
      </c>
      <c r="AJ158">
        <v>221.6095454</v>
      </c>
      <c r="AK158">
        <v>166.5742487</v>
      </c>
      <c r="AL158">
        <v>118.58697890000001</v>
      </c>
      <c r="AM158">
        <v>55</v>
      </c>
      <c r="AN158">
        <v>288.29228039999998</v>
      </c>
      <c r="AO158">
        <v>258.84433890000003</v>
      </c>
      <c r="AP158">
        <v>212.78434870000001</v>
      </c>
      <c r="AQ158">
        <v>150.09675390000001</v>
      </c>
      <c r="AR158">
        <v>114.0005389</v>
      </c>
      <c r="AS158">
        <v>55</v>
      </c>
      <c r="AT158">
        <v>4.25107E-3</v>
      </c>
      <c r="AU158">
        <v>3.0050400000000001E-3</v>
      </c>
      <c r="AV158">
        <v>1.152151E-2</v>
      </c>
      <c r="AW158">
        <v>2.7167420000000001E-2</v>
      </c>
      <c r="AX158">
        <v>4.0158489999999998E-2</v>
      </c>
      <c r="AY158">
        <v>9.2322219999999997E-2</v>
      </c>
      <c r="AZ158">
        <v>1.833858E-2</v>
      </c>
      <c r="BA158">
        <v>0.14686052999999999</v>
      </c>
      <c r="BB158">
        <v>7.4183669999999993E-2</v>
      </c>
      <c r="BC158">
        <v>2.9603890000000001E-2</v>
      </c>
      <c r="BD158">
        <v>0.11410258</v>
      </c>
      <c r="BE158">
        <v>2.6874539999999999E-2</v>
      </c>
      <c r="BF158">
        <v>8.1148049999999999E-2</v>
      </c>
      <c r="BG158">
        <v>4.6247080000000003E-2</v>
      </c>
      <c r="BH158">
        <v>1.5726150000000001E-2</v>
      </c>
      <c r="BI158">
        <v>0.1055672</v>
      </c>
      <c r="BJ158">
        <v>2.6540390000000001E-2</v>
      </c>
      <c r="BK158">
        <v>8.4209829999999999E-2</v>
      </c>
      <c r="BL158">
        <v>3.2833599999999998E-2</v>
      </c>
      <c r="BM158">
        <v>1.933816E-2</v>
      </c>
      <c r="BN158">
        <v>2228</v>
      </c>
      <c r="BO158">
        <v>224.43183010000001</v>
      </c>
      <c r="BP158">
        <v>190</v>
      </c>
    </row>
    <row r="159" spans="1:68" x14ac:dyDescent="0.2">
      <c r="A159" t="s">
        <v>724</v>
      </c>
      <c r="B159">
        <v>202</v>
      </c>
      <c r="C159">
        <v>66</v>
      </c>
      <c r="D159">
        <v>392</v>
      </c>
      <c r="E159">
        <v>949</v>
      </c>
      <c r="F159">
        <v>214</v>
      </c>
      <c r="G159">
        <v>1348</v>
      </c>
      <c r="H159">
        <v>1027</v>
      </c>
      <c r="I159">
        <v>1359</v>
      </c>
      <c r="J159">
        <v>1291</v>
      </c>
      <c r="K159">
        <v>332</v>
      </c>
      <c r="L159">
        <v>207</v>
      </c>
      <c r="M159">
        <v>694</v>
      </c>
      <c r="N159">
        <v>2222</v>
      </c>
      <c r="O159">
        <v>1275</v>
      </c>
      <c r="P159">
        <v>425</v>
      </c>
      <c r="Q159">
        <v>26</v>
      </c>
      <c r="R159">
        <v>222</v>
      </c>
      <c r="S159">
        <v>1854</v>
      </c>
      <c r="T159">
        <v>558</v>
      </c>
      <c r="U159">
        <v>97</v>
      </c>
      <c r="V159">
        <v>189.36142480000001</v>
      </c>
      <c r="W159">
        <v>215.63323099999999</v>
      </c>
      <c r="X159">
        <v>229.3136327</v>
      </c>
      <c r="Y159">
        <v>138.516267</v>
      </c>
      <c r="Z159">
        <v>126.5766095</v>
      </c>
      <c r="AA159">
        <v>65</v>
      </c>
      <c r="AB159">
        <v>297.94201529999998</v>
      </c>
      <c r="AC159">
        <v>284.50062869999999</v>
      </c>
      <c r="AD159">
        <v>216.35034580000001</v>
      </c>
      <c r="AE159">
        <v>153.01449020000001</v>
      </c>
      <c r="AF159">
        <v>117.6236201</v>
      </c>
      <c r="AG159">
        <v>55</v>
      </c>
      <c r="AH159">
        <v>298.28761750000001</v>
      </c>
      <c r="AI159">
        <v>230.7383232</v>
      </c>
      <c r="AJ159">
        <v>210.32911139999999</v>
      </c>
      <c r="AK159">
        <v>159.8818794</v>
      </c>
      <c r="AL159">
        <v>114.49840140000001</v>
      </c>
      <c r="AM159">
        <v>55</v>
      </c>
      <c r="AN159">
        <v>270.72144850000001</v>
      </c>
      <c r="AO159">
        <v>228.2985631</v>
      </c>
      <c r="AP159">
        <v>201.79577080000001</v>
      </c>
      <c r="AQ159">
        <v>163.88258959999999</v>
      </c>
      <c r="AR159">
        <v>110.7032749</v>
      </c>
      <c r="AS159">
        <v>55</v>
      </c>
      <c r="AT159">
        <v>1.484222E-2</v>
      </c>
      <c r="AU159">
        <v>4.7391200000000003E-3</v>
      </c>
      <c r="AV159">
        <v>2.624655E-2</v>
      </c>
      <c r="AW159">
        <v>6.1896050000000001E-2</v>
      </c>
      <c r="AX159">
        <v>1.6026970000000001E-2</v>
      </c>
      <c r="AY159">
        <v>9.6661609999999995E-2</v>
      </c>
      <c r="AZ159">
        <v>7.1827970000000005E-2</v>
      </c>
      <c r="BA159">
        <v>9.1749360000000002E-2</v>
      </c>
      <c r="BB159">
        <v>8.7097069999999999E-2</v>
      </c>
      <c r="BC159">
        <v>2.436379E-2</v>
      </c>
      <c r="BD159">
        <v>1.5265900000000001E-2</v>
      </c>
      <c r="BE159">
        <v>4.7636959999999999E-2</v>
      </c>
      <c r="BF159">
        <v>0.14799039</v>
      </c>
      <c r="BG159">
        <v>8.167982E-2</v>
      </c>
      <c r="BH159">
        <v>3.1413070000000001E-2</v>
      </c>
      <c r="BI159">
        <v>1.71886E-3</v>
      </c>
      <c r="BJ159">
        <v>1.4238310000000001E-2</v>
      </c>
      <c r="BK159">
        <v>0.12234562</v>
      </c>
      <c r="BL159">
        <v>3.4807999999999999E-2</v>
      </c>
      <c r="BM159">
        <v>7.4523599999999999E-3</v>
      </c>
      <c r="BN159">
        <v>1945</v>
      </c>
      <c r="BO159">
        <v>279.04672399999998</v>
      </c>
      <c r="BP159">
        <v>190</v>
      </c>
    </row>
    <row r="160" spans="1:68" x14ac:dyDescent="0.2">
      <c r="A160" t="s">
        <v>725</v>
      </c>
      <c r="B160">
        <v>0</v>
      </c>
      <c r="C160">
        <v>284</v>
      </c>
      <c r="D160">
        <v>693</v>
      </c>
      <c r="E160">
        <v>830</v>
      </c>
      <c r="F160">
        <v>735</v>
      </c>
      <c r="G160">
        <v>33</v>
      </c>
      <c r="H160">
        <v>1430</v>
      </c>
      <c r="I160">
        <v>402</v>
      </c>
      <c r="J160">
        <v>1114</v>
      </c>
      <c r="K160">
        <v>434</v>
      </c>
      <c r="L160">
        <v>65</v>
      </c>
      <c r="M160">
        <v>1702</v>
      </c>
      <c r="N160">
        <v>1811</v>
      </c>
      <c r="O160">
        <v>1981</v>
      </c>
      <c r="P160">
        <v>778</v>
      </c>
      <c r="Q160">
        <v>90</v>
      </c>
      <c r="R160">
        <v>2134</v>
      </c>
      <c r="S160">
        <v>3315</v>
      </c>
      <c r="T160">
        <v>1391</v>
      </c>
      <c r="U160">
        <v>404</v>
      </c>
      <c r="V160">
        <v>0</v>
      </c>
      <c r="W160">
        <v>192.71140070000001</v>
      </c>
      <c r="X160">
        <v>204.51145589999999</v>
      </c>
      <c r="Y160">
        <v>139.81819200000001</v>
      </c>
      <c r="Z160">
        <v>101.5995412</v>
      </c>
      <c r="AA160">
        <v>65</v>
      </c>
      <c r="AB160">
        <v>327.63807850000001</v>
      </c>
      <c r="AC160">
        <v>269.84504800000002</v>
      </c>
      <c r="AD160">
        <v>216.7152719</v>
      </c>
      <c r="AE160">
        <v>148.56509650000001</v>
      </c>
      <c r="AF160">
        <v>116.553301</v>
      </c>
      <c r="AG160">
        <v>55</v>
      </c>
      <c r="AH160">
        <v>290.35279250000002</v>
      </c>
      <c r="AI160">
        <v>241.7973322</v>
      </c>
      <c r="AJ160">
        <v>193.53411550000001</v>
      </c>
      <c r="AK160">
        <v>159.21287670000001</v>
      </c>
      <c r="AL160">
        <v>113.5917074</v>
      </c>
      <c r="AM160">
        <v>55</v>
      </c>
      <c r="AN160">
        <v>236.5717521</v>
      </c>
      <c r="AO160">
        <v>220.22320930000001</v>
      </c>
      <c r="AP160">
        <v>176.787353</v>
      </c>
      <c r="AQ160">
        <v>164.80163150000001</v>
      </c>
      <c r="AR160">
        <v>108.0592407</v>
      </c>
      <c r="AS160">
        <v>55</v>
      </c>
      <c r="AT160">
        <v>0</v>
      </c>
      <c r="AU160">
        <v>1.377662E-2</v>
      </c>
      <c r="AV160">
        <v>3.1281209999999997E-2</v>
      </c>
      <c r="AW160">
        <v>3.976391E-2</v>
      </c>
      <c r="AX160">
        <v>3.7054959999999998E-2</v>
      </c>
      <c r="AY160">
        <v>1.8359800000000001E-3</v>
      </c>
      <c r="AZ160">
        <v>8.1981680000000001E-2</v>
      </c>
      <c r="BA160">
        <v>2.1602550000000002E-2</v>
      </c>
      <c r="BB160">
        <v>5.8841909999999997E-2</v>
      </c>
      <c r="BC160">
        <v>2.1882260000000001E-2</v>
      </c>
      <c r="BD160">
        <v>3.1361200000000001E-3</v>
      </c>
      <c r="BE160">
        <v>9.1703359999999998E-2</v>
      </c>
      <c r="BF160">
        <v>9.3576939999999997E-2</v>
      </c>
      <c r="BG160">
        <v>9.7943139999999998E-2</v>
      </c>
      <c r="BH160">
        <v>3.5811089999999997E-2</v>
      </c>
      <c r="BI160">
        <v>4.6797699999999998E-3</v>
      </c>
      <c r="BJ160">
        <v>0.11110034000000001</v>
      </c>
      <c r="BK160">
        <v>0.16727307999999999</v>
      </c>
      <c r="BL160">
        <v>6.8097409999999997E-2</v>
      </c>
      <c r="BM160">
        <v>1.8657670000000001E-2</v>
      </c>
      <c r="BN160">
        <v>2515</v>
      </c>
      <c r="BO160">
        <v>270.87320840000001</v>
      </c>
      <c r="BP160">
        <v>190</v>
      </c>
    </row>
    <row r="161" spans="1:68" x14ac:dyDescent="0.2">
      <c r="A161" t="s">
        <v>726</v>
      </c>
      <c r="B161">
        <v>342</v>
      </c>
      <c r="C161">
        <v>588</v>
      </c>
      <c r="D161">
        <v>2420</v>
      </c>
      <c r="E161">
        <v>1660</v>
      </c>
      <c r="F161">
        <v>1632</v>
      </c>
      <c r="G161">
        <v>495</v>
      </c>
      <c r="H161">
        <v>298</v>
      </c>
      <c r="I161">
        <v>484</v>
      </c>
      <c r="J161">
        <v>356</v>
      </c>
      <c r="K161">
        <v>334</v>
      </c>
      <c r="L161">
        <v>1006</v>
      </c>
      <c r="M161">
        <v>879</v>
      </c>
      <c r="N161">
        <v>1218</v>
      </c>
      <c r="O161">
        <v>639</v>
      </c>
      <c r="P161">
        <v>408</v>
      </c>
      <c r="Q161">
        <v>864</v>
      </c>
      <c r="R161">
        <v>1120</v>
      </c>
      <c r="S161">
        <v>2890</v>
      </c>
      <c r="T161">
        <v>1382</v>
      </c>
      <c r="U161">
        <v>849</v>
      </c>
      <c r="V161">
        <v>242.0484228</v>
      </c>
      <c r="W161">
        <v>227.67932669999999</v>
      </c>
      <c r="X161">
        <v>204.79454380000001</v>
      </c>
      <c r="Y161">
        <v>157.91153639999999</v>
      </c>
      <c r="Z161">
        <v>117.81886849999999</v>
      </c>
      <c r="AA161">
        <v>65</v>
      </c>
      <c r="AB161">
        <v>317.46722890000001</v>
      </c>
      <c r="AC161">
        <v>286.90873140000002</v>
      </c>
      <c r="AD161">
        <v>216.62807190000001</v>
      </c>
      <c r="AE161">
        <v>151.66279840000001</v>
      </c>
      <c r="AF161">
        <v>114.3740062</v>
      </c>
      <c r="AG161">
        <v>55</v>
      </c>
      <c r="AH161">
        <v>306.0890837</v>
      </c>
      <c r="AI161">
        <v>249.10676029999999</v>
      </c>
      <c r="AJ161">
        <v>211.6874966</v>
      </c>
      <c r="AK161">
        <v>166.24877720000001</v>
      </c>
      <c r="AL161">
        <v>116.8248076</v>
      </c>
      <c r="AM161">
        <v>55</v>
      </c>
      <c r="AN161">
        <v>288.19398699999999</v>
      </c>
      <c r="AO161">
        <v>235.32950109999999</v>
      </c>
      <c r="AP161">
        <v>190.1223215</v>
      </c>
      <c r="AQ161">
        <v>164.89772189999999</v>
      </c>
      <c r="AR161">
        <v>115.723117</v>
      </c>
      <c r="AS161">
        <v>55</v>
      </c>
      <c r="AT161">
        <v>1.68348E-2</v>
      </c>
      <c r="AU161">
        <v>2.9409250000000001E-2</v>
      </c>
      <c r="AV161">
        <v>0.11570324999999999</v>
      </c>
      <c r="AW161">
        <v>8.4215929999999994E-2</v>
      </c>
      <c r="AX161">
        <v>8.3069110000000002E-2</v>
      </c>
      <c r="AY161">
        <v>2.5801520000000001E-2</v>
      </c>
      <c r="AZ161">
        <v>1.4890779999999999E-2</v>
      </c>
      <c r="BA161">
        <v>2.495588E-2</v>
      </c>
      <c r="BB161">
        <v>1.8167619999999999E-2</v>
      </c>
      <c r="BC161">
        <v>1.8146530000000001E-2</v>
      </c>
      <c r="BD161">
        <v>5.1727559999999999E-2</v>
      </c>
      <c r="BE161">
        <v>4.6925509999999997E-2</v>
      </c>
      <c r="BF161">
        <v>5.8589769999999999E-2</v>
      </c>
      <c r="BG161">
        <v>3.1312350000000003E-2</v>
      </c>
      <c r="BH161">
        <v>2.2178920000000001E-2</v>
      </c>
      <c r="BI161">
        <v>4.3827079999999997E-2</v>
      </c>
      <c r="BJ161">
        <v>6.0124120000000003E-2</v>
      </c>
      <c r="BK161">
        <v>0.13967842</v>
      </c>
      <c r="BL161">
        <v>6.8567320000000001E-2</v>
      </c>
      <c r="BM161">
        <v>4.5874280000000003E-2</v>
      </c>
      <c r="BN161">
        <v>4564</v>
      </c>
      <c r="BO161">
        <v>245.32741759999999</v>
      </c>
      <c r="BP161">
        <v>190</v>
      </c>
    </row>
    <row r="162" spans="1:68" x14ac:dyDescent="0.2">
      <c r="A162" t="s">
        <v>727</v>
      </c>
      <c r="B162">
        <v>141</v>
      </c>
      <c r="C162">
        <v>117</v>
      </c>
      <c r="D162">
        <v>370</v>
      </c>
      <c r="E162">
        <v>524</v>
      </c>
      <c r="F162">
        <v>520</v>
      </c>
      <c r="G162">
        <v>561</v>
      </c>
      <c r="H162">
        <v>504</v>
      </c>
      <c r="I162">
        <v>717</v>
      </c>
      <c r="J162">
        <v>689</v>
      </c>
      <c r="K162">
        <v>343</v>
      </c>
      <c r="L162">
        <v>348</v>
      </c>
      <c r="M162">
        <v>670</v>
      </c>
      <c r="N162">
        <v>1400</v>
      </c>
      <c r="O162">
        <v>784</v>
      </c>
      <c r="P162">
        <v>452</v>
      </c>
      <c r="Q162">
        <v>37</v>
      </c>
      <c r="R162">
        <v>303</v>
      </c>
      <c r="S162">
        <v>1601</v>
      </c>
      <c r="T162">
        <v>593</v>
      </c>
      <c r="U162">
        <v>296</v>
      </c>
      <c r="V162">
        <v>265.2858382</v>
      </c>
      <c r="W162">
        <v>176.4904238</v>
      </c>
      <c r="X162">
        <v>202.78186479999999</v>
      </c>
      <c r="Y162">
        <v>140.79911899999999</v>
      </c>
      <c r="Z162">
        <v>100.5712985</v>
      </c>
      <c r="AA162">
        <v>65</v>
      </c>
      <c r="AB162">
        <v>303.71194000000003</v>
      </c>
      <c r="AC162">
        <v>285.9359015</v>
      </c>
      <c r="AD162">
        <v>219.70210839999999</v>
      </c>
      <c r="AE162">
        <v>164.51251730000001</v>
      </c>
      <c r="AF162">
        <v>120.85094669999999</v>
      </c>
      <c r="AG162">
        <v>55</v>
      </c>
      <c r="AH162">
        <v>290.8975504</v>
      </c>
      <c r="AI162">
        <v>230.0331444</v>
      </c>
      <c r="AJ162">
        <v>186.79331830000001</v>
      </c>
      <c r="AK162">
        <v>168.6212845</v>
      </c>
      <c r="AL162">
        <v>119.4271593</v>
      </c>
      <c r="AM162">
        <v>55</v>
      </c>
      <c r="AN162">
        <v>344.34078210000001</v>
      </c>
      <c r="AO162">
        <v>202.2984299</v>
      </c>
      <c r="AP162">
        <v>168.7754248</v>
      </c>
      <c r="AQ162">
        <v>155.09557219999999</v>
      </c>
      <c r="AR162">
        <v>114.8621667</v>
      </c>
      <c r="AS162">
        <v>55</v>
      </c>
      <c r="AT162">
        <v>1.2353319999999999E-2</v>
      </c>
      <c r="AU162">
        <v>1.108872E-2</v>
      </c>
      <c r="AV162">
        <v>3.5066119999999999E-2</v>
      </c>
      <c r="AW162">
        <v>4.6573820000000002E-2</v>
      </c>
      <c r="AX162">
        <v>4.9286759999999999E-2</v>
      </c>
      <c r="AY162">
        <v>5.3880619999999997E-2</v>
      </c>
      <c r="AZ162">
        <v>5.0275750000000001E-2</v>
      </c>
      <c r="BA162">
        <v>6.0031769999999998E-2</v>
      </c>
      <c r="BB162">
        <v>6.134937E-2</v>
      </c>
      <c r="BC162">
        <v>3.2365070000000003E-2</v>
      </c>
      <c r="BD162">
        <v>3.4109059999999997E-2</v>
      </c>
      <c r="BE162">
        <v>6.7302920000000002E-2</v>
      </c>
      <c r="BF162">
        <v>0.12021386000000001</v>
      </c>
      <c r="BG162">
        <v>6.975932E-2</v>
      </c>
      <c r="BH162">
        <v>4.3446609999999997E-2</v>
      </c>
      <c r="BI162">
        <v>3.52513E-3</v>
      </c>
      <c r="BJ162">
        <v>3.024816E-2</v>
      </c>
      <c r="BK162">
        <v>0.14009139000000001</v>
      </c>
      <c r="BL162">
        <v>4.8752629999999998E-2</v>
      </c>
      <c r="BM162">
        <v>3.02796E-2</v>
      </c>
      <c r="BN162">
        <v>2324</v>
      </c>
      <c r="BO162">
        <v>255.70383670000001</v>
      </c>
      <c r="BP162">
        <v>190</v>
      </c>
    </row>
    <row r="163" spans="1:68" x14ac:dyDescent="0.2">
      <c r="A163" t="s">
        <v>728</v>
      </c>
      <c r="B163">
        <v>73</v>
      </c>
      <c r="C163">
        <v>383</v>
      </c>
      <c r="D163">
        <v>1201</v>
      </c>
      <c r="E163">
        <v>921</v>
      </c>
      <c r="F163">
        <v>1156</v>
      </c>
      <c r="G163">
        <v>174</v>
      </c>
      <c r="H163">
        <v>62</v>
      </c>
      <c r="I163">
        <v>94</v>
      </c>
      <c r="J163">
        <v>202</v>
      </c>
      <c r="K163">
        <v>113</v>
      </c>
      <c r="L163">
        <v>628</v>
      </c>
      <c r="M163">
        <v>422</v>
      </c>
      <c r="N163">
        <v>524</v>
      </c>
      <c r="O163">
        <v>588</v>
      </c>
      <c r="P163">
        <v>246</v>
      </c>
      <c r="Q163">
        <v>701</v>
      </c>
      <c r="R163">
        <v>552</v>
      </c>
      <c r="S163">
        <v>1047</v>
      </c>
      <c r="T163">
        <v>1161</v>
      </c>
      <c r="U163">
        <v>616</v>
      </c>
      <c r="V163">
        <v>270.04337279999999</v>
      </c>
      <c r="W163">
        <v>231.34955969999999</v>
      </c>
      <c r="X163">
        <v>212.8648206</v>
      </c>
      <c r="Y163">
        <v>155.29364090000001</v>
      </c>
      <c r="Z163">
        <v>108.8630144</v>
      </c>
      <c r="AA163">
        <v>65</v>
      </c>
      <c r="AB163">
        <v>325.00675180000002</v>
      </c>
      <c r="AC163">
        <v>266.54468580000002</v>
      </c>
      <c r="AD163">
        <v>241.28038480000001</v>
      </c>
      <c r="AE163">
        <v>155.47149279999999</v>
      </c>
      <c r="AF163">
        <v>114.0135703</v>
      </c>
      <c r="AG163">
        <v>55</v>
      </c>
      <c r="AH163">
        <v>309.98735970000001</v>
      </c>
      <c r="AI163">
        <v>243.5951312</v>
      </c>
      <c r="AJ163">
        <v>207.22741690000001</v>
      </c>
      <c r="AK163">
        <v>162.07911290000001</v>
      </c>
      <c r="AL163">
        <v>116.21349979999999</v>
      </c>
      <c r="AM163">
        <v>55</v>
      </c>
      <c r="AN163">
        <v>278.86835029999997</v>
      </c>
      <c r="AO163">
        <v>215.0457676</v>
      </c>
      <c r="AP163">
        <v>189.10716410000001</v>
      </c>
      <c r="AQ163">
        <v>151.83155740000001</v>
      </c>
      <c r="AR163">
        <v>115.1783089</v>
      </c>
      <c r="AS163">
        <v>55</v>
      </c>
      <c r="AT163">
        <v>6.6627600000000002E-3</v>
      </c>
      <c r="AU163">
        <v>3.7075459999999998E-2</v>
      </c>
      <c r="AV163">
        <v>0.11910969</v>
      </c>
      <c r="AW163">
        <v>8.1265229999999994E-2</v>
      </c>
      <c r="AX163">
        <v>0.10707264</v>
      </c>
      <c r="AY163">
        <v>1.5010310000000001E-2</v>
      </c>
      <c r="AZ163">
        <v>5.6509400000000001E-3</v>
      </c>
      <c r="BA163">
        <v>8.3895900000000006E-3</v>
      </c>
      <c r="BB163">
        <v>1.8270910000000001E-2</v>
      </c>
      <c r="BC163">
        <v>1.058165E-2</v>
      </c>
      <c r="BD163">
        <v>5.5401600000000002E-2</v>
      </c>
      <c r="BE163">
        <v>3.6216900000000003E-2</v>
      </c>
      <c r="BF163">
        <v>5.0611459999999997E-2</v>
      </c>
      <c r="BG163">
        <v>5.4270859999999997E-2</v>
      </c>
      <c r="BH163">
        <v>2.3772330000000001E-2</v>
      </c>
      <c r="BI163">
        <v>6.06714E-2</v>
      </c>
      <c r="BJ163">
        <v>4.4441290000000001E-2</v>
      </c>
      <c r="BK163">
        <v>9.9223660000000005E-2</v>
      </c>
      <c r="BL163">
        <v>0.10577172999999999</v>
      </c>
      <c r="BM163">
        <v>6.0529590000000001E-2</v>
      </c>
      <c r="BN163">
        <v>990</v>
      </c>
      <c r="BO163">
        <v>226.6446736</v>
      </c>
      <c r="BP163">
        <v>190</v>
      </c>
    </row>
    <row r="164" spans="1:68" x14ac:dyDescent="0.2">
      <c r="A164" t="s">
        <v>729</v>
      </c>
      <c r="B164">
        <v>144</v>
      </c>
      <c r="C164">
        <v>94</v>
      </c>
      <c r="D164">
        <v>459</v>
      </c>
      <c r="E164">
        <v>690</v>
      </c>
      <c r="F164">
        <v>793</v>
      </c>
      <c r="G164">
        <v>496</v>
      </c>
      <c r="H164">
        <v>350</v>
      </c>
      <c r="I164">
        <v>834</v>
      </c>
      <c r="J164">
        <v>446</v>
      </c>
      <c r="K164">
        <v>217</v>
      </c>
      <c r="L164">
        <v>584</v>
      </c>
      <c r="M164">
        <v>757</v>
      </c>
      <c r="N164">
        <v>1441</v>
      </c>
      <c r="O164">
        <v>664</v>
      </c>
      <c r="P164">
        <v>203</v>
      </c>
      <c r="Q164">
        <v>248</v>
      </c>
      <c r="R164">
        <v>342</v>
      </c>
      <c r="S164">
        <v>1539</v>
      </c>
      <c r="T164">
        <v>1001</v>
      </c>
      <c r="U164">
        <v>268</v>
      </c>
      <c r="V164">
        <v>128.28160940000001</v>
      </c>
      <c r="W164">
        <v>200.1034387</v>
      </c>
      <c r="X164">
        <v>166.666122</v>
      </c>
      <c r="Y164">
        <v>132.96699340000001</v>
      </c>
      <c r="Z164">
        <v>105.4282855</v>
      </c>
      <c r="AA164">
        <v>65</v>
      </c>
      <c r="AB164">
        <v>304.33658009999999</v>
      </c>
      <c r="AC164">
        <v>286.8081593</v>
      </c>
      <c r="AD164">
        <v>213.07210309999999</v>
      </c>
      <c r="AE164">
        <v>156.20882589999999</v>
      </c>
      <c r="AF164">
        <v>109.1721354</v>
      </c>
      <c r="AG164">
        <v>55</v>
      </c>
      <c r="AH164">
        <v>295.36586640000002</v>
      </c>
      <c r="AI164">
        <v>236.5230871</v>
      </c>
      <c r="AJ164">
        <v>186.6929901</v>
      </c>
      <c r="AK164">
        <v>162.7908955</v>
      </c>
      <c r="AL164">
        <v>115.6933621</v>
      </c>
      <c r="AM164">
        <v>55</v>
      </c>
      <c r="AN164">
        <v>277.22272889999999</v>
      </c>
      <c r="AO164">
        <v>194.93247360000001</v>
      </c>
      <c r="AP164">
        <v>163.09579769999999</v>
      </c>
      <c r="AQ164">
        <v>153.6612901</v>
      </c>
      <c r="AR164">
        <v>114.2336505</v>
      </c>
      <c r="AS164">
        <v>55</v>
      </c>
      <c r="AT164">
        <v>1.231344E-2</v>
      </c>
      <c r="AU164">
        <v>8.8023200000000006E-3</v>
      </c>
      <c r="AV164">
        <v>4.0745530000000002E-2</v>
      </c>
      <c r="AW164">
        <v>6.0362800000000001E-2</v>
      </c>
      <c r="AX164">
        <v>6.8181699999999998E-2</v>
      </c>
      <c r="AY164">
        <v>4.1957019999999998E-2</v>
      </c>
      <c r="AZ164">
        <v>3.1101980000000001E-2</v>
      </c>
      <c r="BA164">
        <v>7.3933009999999993E-2</v>
      </c>
      <c r="BB164">
        <v>4.206385E-2</v>
      </c>
      <c r="BC164">
        <v>1.7976800000000001E-2</v>
      </c>
      <c r="BD164">
        <v>4.8051719999999999E-2</v>
      </c>
      <c r="BE164">
        <v>6.5637020000000004E-2</v>
      </c>
      <c r="BF164">
        <v>0.12417328</v>
      </c>
      <c r="BG164">
        <v>5.8713370000000001E-2</v>
      </c>
      <c r="BH164">
        <v>1.5843429999999999E-2</v>
      </c>
      <c r="BI164">
        <v>2.0821909999999999E-2</v>
      </c>
      <c r="BJ164">
        <v>2.8543639999999999E-2</v>
      </c>
      <c r="BK164">
        <v>0.13010525000000001</v>
      </c>
      <c r="BL164">
        <v>9.1146640000000001E-2</v>
      </c>
      <c r="BM164">
        <v>1.9525290000000001E-2</v>
      </c>
      <c r="BN164">
        <v>1522</v>
      </c>
      <c r="BO164">
        <v>222.7112492</v>
      </c>
      <c r="BP164">
        <v>190</v>
      </c>
    </row>
    <row r="165" spans="1:68" x14ac:dyDescent="0.2">
      <c r="A165" t="s">
        <v>730</v>
      </c>
      <c r="B165">
        <v>183</v>
      </c>
      <c r="C165">
        <v>515</v>
      </c>
      <c r="D165">
        <v>1007</v>
      </c>
      <c r="E165">
        <v>1192</v>
      </c>
      <c r="F165">
        <v>335</v>
      </c>
      <c r="G165">
        <v>3049</v>
      </c>
      <c r="H165">
        <v>575</v>
      </c>
      <c r="I165">
        <v>800</v>
      </c>
      <c r="J165">
        <v>1406</v>
      </c>
      <c r="K165">
        <v>556</v>
      </c>
      <c r="L165">
        <v>1262</v>
      </c>
      <c r="M165">
        <v>1018</v>
      </c>
      <c r="N165">
        <v>1886</v>
      </c>
      <c r="O165">
        <v>971</v>
      </c>
      <c r="P165">
        <v>350</v>
      </c>
      <c r="Q165">
        <v>326</v>
      </c>
      <c r="R165">
        <v>669</v>
      </c>
      <c r="S165">
        <v>1921</v>
      </c>
      <c r="T165">
        <v>209</v>
      </c>
      <c r="U165">
        <v>68</v>
      </c>
      <c r="V165">
        <v>240.6692046</v>
      </c>
      <c r="W165">
        <v>258.37323980000002</v>
      </c>
      <c r="X165">
        <v>207.55927389999999</v>
      </c>
      <c r="Y165">
        <v>153.8996258</v>
      </c>
      <c r="Z165">
        <v>135.60325040000001</v>
      </c>
      <c r="AA165">
        <v>65</v>
      </c>
      <c r="AB165">
        <v>318.84859660000001</v>
      </c>
      <c r="AC165">
        <v>298.00921440000002</v>
      </c>
      <c r="AD165">
        <v>217.50892450000001</v>
      </c>
      <c r="AE165">
        <v>146.06211630000001</v>
      </c>
      <c r="AF165">
        <v>115.5059029</v>
      </c>
      <c r="AG165">
        <v>55</v>
      </c>
      <c r="AH165">
        <v>316.23797239999999</v>
      </c>
      <c r="AI165">
        <v>286.2754989</v>
      </c>
      <c r="AJ165">
        <v>216.16169740000001</v>
      </c>
      <c r="AK165">
        <v>162.63896560000001</v>
      </c>
      <c r="AL165">
        <v>118.92604489999999</v>
      </c>
      <c r="AM165">
        <v>55</v>
      </c>
      <c r="AN165">
        <v>271.66022400000003</v>
      </c>
      <c r="AO165">
        <v>277.06771409999999</v>
      </c>
      <c r="AP165">
        <v>198.17142250000001</v>
      </c>
      <c r="AQ165">
        <v>172.760818</v>
      </c>
      <c r="AR165">
        <v>116.3088324</v>
      </c>
      <c r="AS165">
        <v>55</v>
      </c>
      <c r="AT165">
        <v>9.1164499999999999E-3</v>
      </c>
      <c r="AU165">
        <v>2.489622E-2</v>
      </c>
      <c r="AV165">
        <v>4.9644929999999997E-2</v>
      </c>
      <c r="AW165">
        <v>6.06603E-2</v>
      </c>
      <c r="AX165">
        <v>1.9771830000000001E-2</v>
      </c>
      <c r="AY165">
        <v>0.16658421000000001</v>
      </c>
      <c r="AZ165">
        <v>3.227501E-2</v>
      </c>
      <c r="BA165">
        <v>4.4855529999999998E-2</v>
      </c>
      <c r="BB165">
        <v>7.5037129999999994E-2</v>
      </c>
      <c r="BC165">
        <v>2.6292289999999999E-2</v>
      </c>
      <c r="BD165">
        <v>6.9046440000000001E-2</v>
      </c>
      <c r="BE165">
        <v>6.0342050000000001E-2</v>
      </c>
      <c r="BF165">
        <v>0.10992434</v>
      </c>
      <c r="BG165">
        <v>5.224504E-2</v>
      </c>
      <c r="BH165">
        <v>1.866104E-2</v>
      </c>
      <c r="BI165">
        <v>1.7671679999999999E-2</v>
      </c>
      <c r="BJ165">
        <v>3.6707419999999998E-2</v>
      </c>
      <c r="BK165">
        <v>0.11215181</v>
      </c>
      <c r="BL165">
        <v>1.0755499999999999E-2</v>
      </c>
      <c r="BM165">
        <v>3.3607799999999998E-3</v>
      </c>
      <c r="BN165">
        <v>2214</v>
      </c>
      <c r="BO165">
        <v>279.1915128</v>
      </c>
      <c r="BP165">
        <v>190</v>
      </c>
    </row>
    <row r="166" spans="1:68" x14ac:dyDescent="0.2">
      <c r="A166" t="s">
        <v>731</v>
      </c>
      <c r="B166">
        <v>382</v>
      </c>
      <c r="C166">
        <v>143</v>
      </c>
      <c r="D166">
        <v>121</v>
      </c>
      <c r="E166">
        <v>255</v>
      </c>
      <c r="F166">
        <v>394</v>
      </c>
      <c r="G166">
        <v>736</v>
      </c>
      <c r="H166">
        <v>537</v>
      </c>
      <c r="I166">
        <v>556</v>
      </c>
      <c r="J166">
        <v>609</v>
      </c>
      <c r="K166">
        <v>298</v>
      </c>
      <c r="L166">
        <v>274</v>
      </c>
      <c r="M166">
        <v>524</v>
      </c>
      <c r="N166">
        <v>902</v>
      </c>
      <c r="O166">
        <v>781</v>
      </c>
      <c r="P166">
        <v>359</v>
      </c>
      <c r="Q166">
        <v>18</v>
      </c>
      <c r="R166">
        <v>475</v>
      </c>
      <c r="S166">
        <v>1080</v>
      </c>
      <c r="T166">
        <v>509</v>
      </c>
      <c r="U166">
        <v>350</v>
      </c>
      <c r="V166">
        <v>236.27518319999999</v>
      </c>
      <c r="W166">
        <v>261.5880396</v>
      </c>
      <c r="X166">
        <v>194.8098597</v>
      </c>
      <c r="Y166">
        <v>139.41864369999999</v>
      </c>
      <c r="Z166">
        <v>115.007992</v>
      </c>
      <c r="AA166">
        <v>65</v>
      </c>
      <c r="AB166">
        <v>295.6157786</v>
      </c>
      <c r="AC166">
        <v>282.3142426</v>
      </c>
      <c r="AD166">
        <v>226.76845019999999</v>
      </c>
      <c r="AE166">
        <v>149.01767860000001</v>
      </c>
      <c r="AF166">
        <v>113.08562120000001</v>
      </c>
      <c r="AG166">
        <v>55</v>
      </c>
      <c r="AH166">
        <v>316.13974560000003</v>
      </c>
      <c r="AI166">
        <v>245.89003489999999</v>
      </c>
      <c r="AJ166">
        <v>183.3239001</v>
      </c>
      <c r="AK166">
        <v>160.0399918</v>
      </c>
      <c r="AL166">
        <v>111.9033029</v>
      </c>
      <c r="AM166">
        <v>55</v>
      </c>
      <c r="AN166">
        <v>294.6536011</v>
      </c>
      <c r="AO166">
        <v>173.7423263</v>
      </c>
      <c r="AP166">
        <v>157.23013180000001</v>
      </c>
      <c r="AQ166">
        <v>149.06958589999999</v>
      </c>
      <c r="AR166">
        <v>111.4694224</v>
      </c>
      <c r="AS166">
        <v>55</v>
      </c>
      <c r="AT166">
        <v>3.9356780000000001E-2</v>
      </c>
      <c r="AU166">
        <v>1.41529E-2</v>
      </c>
      <c r="AV166">
        <v>1.263479E-2</v>
      </c>
      <c r="AW166">
        <v>2.520594E-2</v>
      </c>
      <c r="AX166">
        <v>4.1408130000000001E-2</v>
      </c>
      <c r="AY166">
        <v>7.4079989999999998E-2</v>
      </c>
      <c r="AZ166">
        <v>5.7973259999999999E-2</v>
      </c>
      <c r="BA166">
        <v>5.8802279999999998E-2</v>
      </c>
      <c r="BB166">
        <v>6.6314449999999997E-2</v>
      </c>
      <c r="BC166">
        <v>3.1742079999999999E-2</v>
      </c>
      <c r="BD166">
        <v>2.6155169999999998E-2</v>
      </c>
      <c r="BE166">
        <v>5.4906700000000003E-2</v>
      </c>
      <c r="BF166">
        <v>9.9135979999999999E-2</v>
      </c>
      <c r="BG166">
        <v>8.3913660000000001E-2</v>
      </c>
      <c r="BH166">
        <v>3.9641959999999997E-2</v>
      </c>
      <c r="BI166">
        <v>1.6017799999999999E-3</v>
      </c>
      <c r="BJ166">
        <v>5.345606E-2</v>
      </c>
      <c r="BK166">
        <v>0.12152341999999999</v>
      </c>
      <c r="BL166">
        <v>5.7295369999999998E-2</v>
      </c>
      <c r="BM166">
        <v>4.0699300000000001E-2</v>
      </c>
      <c r="BN166">
        <v>1120</v>
      </c>
      <c r="BO166">
        <v>276.28104889999997</v>
      </c>
      <c r="BP166">
        <v>190</v>
      </c>
    </row>
    <row r="167" spans="1:68" x14ac:dyDescent="0.2">
      <c r="A167" t="s">
        <v>732</v>
      </c>
      <c r="B167">
        <v>223</v>
      </c>
      <c r="C167">
        <v>402</v>
      </c>
      <c r="D167">
        <v>1254</v>
      </c>
      <c r="E167">
        <v>782</v>
      </c>
      <c r="F167">
        <v>543</v>
      </c>
      <c r="G167">
        <v>417</v>
      </c>
      <c r="H167">
        <v>271</v>
      </c>
      <c r="I167">
        <v>408</v>
      </c>
      <c r="J167">
        <v>689</v>
      </c>
      <c r="K167">
        <v>224</v>
      </c>
      <c r="L167">
        <v>667</v>
      </c>
      <c r="M167">
        <v>958</v>
      </c>
      <c r="N167">
        <v>1584</v>
      </c>
      <c r="O167">
        <v>810</v>
      </c>
      <c r="P167">
        <v>298</v>
      </c>
      <c r="Q167">
        <v>254</v>
      </c>
      <c r="R167">
        <v>938</v>
      </c>
      <c r="S167">
        <v>2437</v>
      </c>
      <c r="T167">
        <v>1081</v>
      </c>
      <c r="U167">
        <v>366</v>
      </c>
      <c r="V167">
        <v>222.38103630000001</v>
      </c>
      <c r="W167">
        <v>217.46284019999999</v>
      </c>
      <c r="X167">
        <v>201.9367632</v>
      </c>
      <c r="Y167">
        <v>181.2343032</v>
      </c>
      <c r="Z167">
        <v>118.10873049999999</v>
      </c>
      <c r="AA167">
        <v>65</v>
      </c>
      <c r="AB167">
        <v>305.82967830000001</v>
      </c>
      <c r="AC167">
        <v>261.90492719999997</v>
      </c>
      <c r="AD167">
        <v>212.00144539999999</v>
      </c>
      <c r="AE167">
        <v>151.5435961</v>
      </c>
      <c r="AF167">
        <v>120.471875</v>
      </c>
      <c r="AG167">
        <v>55</v>
      </c>
      <c r="AH167">
        <v>311.74967349999997</v>
      </c>
      <c r="AI167">
        <v>221.38522069999999</v>
      </c>
      <c r="AJ167">
        <v>205.76189450000001</v>
      </c>
      <c r="AK167">
        <v>165.38055030000001</v>
      </c>
      <c r="AL167">
        <v>112.4928874</v>
      </c>
      <c r="AM167">
        <v>55</v>
      </c>
      <c r="AN167">
        <v>263.6662432</v>
      </c>
      <c r="AO167">
        <v>197.2523889</v>
      </c>
      <c r="AP167">
        <v>190.9007186</v>
      </c>
      <c r="AQ167">
        <v>162.70894949999999</v>
      </c>
      <c r="AR167">
        <v>109.26538530000001</v>
      </c>
      <c r="AS167">
        <v>55</v>
      </c>
      <c r="AT167">
        <v>1.534246E-2</v>
      </c>
      <c r="AU167">
        <v>2.8102769999999999E-2</v>
      </c>
      <c r="AV167">
        <v>8.4416649999999996E-2</v>
      </c>
      <c r="AW167">
        <v>5.3918349999999997E-2</v>
      </c>
      <c r="AX167">
        <v>3.9752879999999997E-2</v>
      </c>
      <c r="AY167">
        <v>2.9049390000000001E-2</v>
      </c>
      <c r="AZ167">
        <v>1.8575009999999999E-2</v>
      </c>
      <c r="BA167">
        <v>2.819257E-2</v>
      </c>
      <c r="BB167">
        <v>4.5844719999999999E-2</v>
      </c>
      <c r="BC167">
        <v>1.6442950000000001E-2</v>
      </c>
      <c r="BD167">
        <v>4.5180110000000002E-2</v>
      </c>
      <c r="BE167">
        <v>6.4202510000000004E-2</v>
      </c>
      <c r="BF167">
        <v>0.10805716999999999</v>
      </c>
      <c r="BG167">
        <v>5.4425679999999997E-2</v>
      </c>
      <c r="BH167">
        <v>2.0929690000000001E-2</v>
      </c>
      <c r="BI167">
        <v>1.6788850000000001E-2</v>
      </c>
      <c r="BJ167">
        <v>6.5110979999999999E-2</v>
      </c>
      <c r="BK167">
        <v>0.16645794</v>
      </c>
      <c r="BL167">
        <v>7.3409749999999996E-2</v>
      </c>
      <c r="BM167">
        <v>2.5799570000000001E-2</v>
      </c>
      <c r="BN167">
        <v>1597</v>
      </c>
      <c r="BO167">
        <v>264.30029760000002</v>
      </c>
      <c r="BP167">
        <v>190</v>
      </c>
    </row>
    <row r="168" spans="1:68" x14ac:dyDescent="0.2">
      <c r="A168" t="s">
        <v>733</v>
      </c>
      <c r="B168">
        <v>222</v>
      </c>
      <c r="C168">
        <v>43</v>
      </c>
      <c r="D168">
        <v>360</v>
      </c>
      <c r="E168">
        <v>210</v>
      </c>
      <c r="F168">
        <v>238</v>
      </c>
      <c r="G168">
        <v>1024</v>
      </c>
      <c r="H168">
        <v>287</v>
      </c>
      <c r="I168">
        <v>399</v>
      </c>
      <c r="J168">
        <v>477</v>
      </c>
      <c r="K168">
        <v>262</v>
      </c>
      <c r="L168">
        <v>479</v>
      </c>
      <c r="M168">
        <v>414</v>
      </c>
      <c r="N168">
        <v>793</v>
      </c>
      <c r="O168">
        <v>652</v>
      </c>
      <c r="P168">
        <v>311</v>
      </c>
      <c r="Q168">
        <v>88</v>
      </c>
      <c r="R168">
        <v>205</v>
      </c>
      <c r="S168">
        <v>780</v>
      </c>
      <c r="T168">
        <v>304</v>
      </c>
      <c r="U168">
        <v>182</v>
      </c>
      <c r="V168">
        <v>260.05191450000001</v>
      </c>
      <c r="W168">
        <v>220.22798929999999</v>
      </c>
      <c r="X168">
        <v>156.25796750000001</v>
      </c>
      <c r="Y168">
        <v>131.56546510000001</v>
      </c>
      <c r="Z168">
        <v>116.8548928</v>
      </c>
      <c r="AA168">
        <v>65</v>
      </c>
      <c r="AB168">
        <v>288.0590737</v>
      </c>
      <c r="AC168">
        <v>286.47526490000001</v>
      </c>
      <c r="AD168">
        <v>212.94934459999999</v>
      </c>
      <c r="AE168">
        <v>147.12944419999999</v>
      </c>
      <c r="AF168">
        <v>120.30775730000001</v>
      </c>
      <c r="AG168">
        <v>55</v>
      </c>
      <c r="AH168">
        <v>303.35411149999999</v>
      </c>
      <c r="AI168">
        <v>213.27086800000001</v>
      </c>
      <c r="AJ168">
        <v>190.10405489999999</v>
      </c>
      <c r="AK168">
        <v>156.40436579999999</v>
      </c>
      <c r="AL168">
        <v>115.6622909</v>
      </c>
      <c r="AM168">
        <v>55</v>
      </c>
      <c r="AN168">
        <v>272.31308030000002</v>
      </c>
      <c r="AO168">
        <v>181.58133580000001</v>
      </c>
      <c r="AP168">
        <v>177.1773681</v>
      </c>
      <c r="AQ168">
        <v>143.5483246</v>
      </c>
      <c r="AR168">
        <v>113.6621459</v>
      </c>
      <c r="AS168">
        <v>55</v>
      </c>
      <c r="AT168">
        <v>2.520033E-2</v>
      </c>
      <c r="AU168">
        <v>7.1008800000000004E-3</v>
      </c>
      <c r="AV168">
        <v>5.0337670000000001E-2</v>
      </c>
      <c r="AW168">
        <v>2.444493E-2</v>
      </c>
      <c r="AX168">
        <v>3.3383360000000001E-2</v>
      </c>
      <c r="AY168">
        <v>0.13556673</v>
      </c>
      <c r="AZ168">
        <v>3.872051E-2</v>
      </c>
      <c r="BA168">
        <v>5.1066479999999997E-2</v>
      </c>
      <c r="BB168">
        <v>5.9867440000000001E-2</v>
      </c>
      <c r="BC168">
        <v>3.2474389999999999E-2</v>
      </c>
      <c r="BD168">
        <v>6.6150639999999997E-2</v>
      </c>
      <c r="BE168">
        <v>5.5597460000000001E-2</v>
      </c>
      <c r="BF168">
        <v>9.6829429999999994E-2</v>
      </c>
      <c r="BG168">
        <v>8.2182630000000007E-2</v>
      </c>
      <c r="BH168">
        <v>3.958822E-2</v>
      </c>
      <c r="BI168">
        <v>1.307198E-2</v>
      </c>
      <c r="BJ168">
        <v>2.6058939999999999E-2</v>
      </c>
      <c r="BK168">
        <v>9.6716419999999997E-2</v>
      </c>
      <c r="BL168">
        <v>4.0293229999999999E-2</v>
      </c>
      <c r="BM168">
        <v>2.5348329999999999E-2</v>
      </c>
      <c r="BN168">
        <v>747</v>
      </c>
      <c r="BO168">
        <v>292.12629429999998</v>
      </c>
      <c r="BP168">
        <v>190</v>
      </c>
    </row>
    <row r="169" spans="1:68" x14ac:dyDescent="0.2">
      <c r="A169" t="s">
        <v>734</v>
      </c>
      <c r="B169">
        <v>104</v>
      </c>
      <c r="C169">
        <v>62</v>
      </c>
      <c r="D169">
        <v>396</v>
      </c>
      <c r="E169">
        <v>427</v>
      </c>
      <c r="F169">
        <v>249</v>
      </c>
      <c r="G169">
        <v>661</v>
      </c>
      <c r="H169">
        <v>580</v>
      </c>
      <c r="I169">
        <v>614</v>
      </c>
      <c r="J169">
        <v>584</v>
      </c>
      <c r="K169">
        <v>374</v>
      </c>
      <c r="L169">
        <v>156</v>
      </c>
      <c r="M169">
        <v>310</v>
      </c>
      <c r="N169">
        <v>869</v>
      </c>
      <c r="O169">
        <v>473</v>
      </c>
      <c r="P169">
        <v>285</v>
      </c>
      <c r="Q169">
        <v>28</v>
      </c>
      <c r="R169">
        <v>145</v>
      </c>
      <c r="S169">
        <v>713</v>
      </c>
      <c r="T169">
        <v>303</v>
      </c>
      <c r="U169">
        <v>174</v>
      </c>
      <c r="V169">
        <v>293.66767370000002</v>
      </c>
      <c r="W169">
        <v>307.04209689999999</v>
      </c>
      <c r="X169">
        <v>187.68727949999999</v>
      </c>
      <c r="Y169">
        <v>171.7861853</v>
      </c>
      <c r="Z169">
        <v>121.25063660000001</v>
      </c>
      <c r="AA169">
        <v>65</v>
      </c>
      <c r="AB169">
        <v>305.18649090000002</v>
      </c>
      <c r="AC169">
        <v>276.55808689999998</v>
      </c>
      <c r="AD169">
        <v>226.92718740000001</v>
      </c>
      <c r="AE169">
        <v>149.9437471</v>
      </c>
      <c r="AF169">
        <v>124.5753239</v>
      </c>
      <c r="AG169">
        <v>55</v>
      </c>
      <c r="AH169">
        <v>270.1058931</v>
      </c>
      <c r="AI169">
        <v>160.21661570000001</v>
      </c>
      <c r="AJ169">
        <v>184.7070592</v>
      </c>
      <c r="AK169">
        <v>157.56429969999999</v>
      </c>
      <c r="AL169">
        <v>118.7966766</v>
      </c>
      <c r="AM169">
        <v>55</v>
      </c>
      <c r="AN169">
        <v>334.12230140000003</v>
      </c>
      <c r="AO169">
        <v>135.45202029999999</v>
      </c>
      <c r="AP169">
        <v>163.44533100000001</v>
      </c>
      <c r="AQ169">
        <v>149.49236980000001</v>
      </c>
      <c r="AR169">
        <v>114.45404619999999</v>
      </c>
      <c r="AS169">
        <v>55</v>
      </c>
      <c r="AT169">
        <v>1.404682E-2</v>
      </c>
      <c r="AU169">
        <v>7.68295E-3</v>
      </c>
      <c r="AV169">
        <v>5.9484259999999997E-2</v>
      </c>
      <c r="AW169">
        <v>5.8945650000000002E-2</v>
      </c>
      <c r="AX169">
        <v>3.4272740000000003E-2</v>
      </c>
      <c r="AY169">
        <v>8.0369369999999996E-2</v>
      </c>
      <c r="AZ169">
        <v>7.574119E-2</v>
      </c>
      <c r="BA169">
        <v>7.8789189999999995E-2</v>
      </c>
      <c r="BB169">
        <v>7.5863189999999997E-2</v>
      </c>
      <c r="BC169">
        <v>5.1877649999999997E-2</v>
      </c>
      <c r="BD169">
        <v>2.1310289999999999E-2</v>
      </c>
      <c r="BE169">
        <v>4.2767189999999997E-2</v>
      </c>
      <c r="BF169">
        <v>0.11747717000000001</v>
      </c>
      <c r="BG169">
        <v>6.2209449999999999E-2</v>
      </c>
      <c r="BH169">
        <v>3.7624299999999999E-2</v>
      </c>
      <c r="BI169">
        <v>3.6058700000000002E-3</v>
      </c>
      <c r="BJ169">
        <v>1.956068E-2</v>
      </c>
      <c r="BK169">
        <v>9.6176150000000002E-2</v>
      </c>
      <c r="BL169">
        <v>3.9109949999999997E-2</v>
      </c>
      <c r="BM169">
        <v>2.3085939999999999E-2</v>
      </c>
      <c r="BN169">
        <v>2106</v>
      </c>
      <c r="BO169">
        <v>270.27746889999997</v>
      </c>
      <c r="BP169">
        <v>190</v>
      </c>
    </row>
    <row r="170" spans="1:68" x14ac:dyDescent="0.2">
      <c r="A170" t="s">
        <v>735</v>
      </c>
      <c r="B170">
        <v>308</v>
      </c>
      <c r="C170">
        <v>110</v>
      </c>
      <c r="D170">
        <v>295</v>
      </c>
      <c r="E170">
        <v>805</v>
      </c>
      <c r="F170">
        <v>374</v>
      </c>
      <c r="G170">
        <v>728</v>
      </c>
      <c r="H170">
        <v>538</v>
      </c>
      <c r="I170">
        <v>964</v>
      </c>
      <c r="J170">
        <v>772</v>
      </c>
      <c r="K170">
        <v>299</v>
      </c>
      <c r="L170">
        <v>497</v>
      </c>
      <c r="M170">
        <v>888</v>
      </c>
      <c r="N170">
        <v>1605</v>
      </c>
      <c r="O170">
        <v>1029</v>
      </c>
      <c r="P170">
        <v>309</v>
      </c>
      <c r="Q170">
        <v>161</v>
      </c>
      <c r="R170">
        <v>261</v>
      </c>
      <c r="S170">
        <v>1880</v>
      </c>
      <c r="T170">
        <v>753</v>
      </c>
      <c r="U170">
        <v>251</v>
      </c>
      <c r="V170">
        <v>275.01830740000003</v>
      </c>
      <c r="W170">
        <v>225.56717180000001</v>
      </c>
      <c r="X170">
        <v>209.78656839999999</v>
      </c>
      <c r="Y170">
        <v>140.0114969</v>
      </c>
      <c r="Z170">
        <v>123.4308691</v>
      </c>
      <c r="AA170">
        <v>65</v>
      </c>
      <c r="AB170">
        <v>316.81338469999997</v>
      </c>
      <c r="AC170">
        <v>284.69831829999998</v>
      </c>
      <c r="AD170">
        <v>214.6798034</v>
      </c>
      <c r="AE170">
        <v>152.8710207</v>
      </c>
      <c r="AF170">
        <v>124.60261130000001</v>
      </c>
      <c r="AG170">
        <v>55</v>
      </c>
      <c r="AH170">
        <v>303.24243730000001</v>
      </c>
      <c r="AI170">
        <v>253.35489860000001</v>
      </c>
      <c r="AJ170">
        <v>197.9907685</v>
      </c>
      <c r="AK170">
        <v>167.03085609999999</v>
      </c>
      <c r="AL170">
        <v>114.5309669</v>
      </c>
      <c r="AM170">
        <v>55</v>
      </c>
      <c r="AN170">
        <v>260.18503420000002</v>
      </c>
      <c r="AO170">
        <v>228.0521521</v>
      </c>
      <c r="AP170">
        <v>183.51812150000001</v>
      </c>
      <c r="AQ170">
        <v>162.1056729</v>
      </c>
      <c r="AR170">
        <v>115.38385940000001</v>
      </c>
      <c r="AS170">
        <v>55</v>
      </c>
      <c r="AT170">
        <v>2.6447289999999998E-2</v>
      </c>
      <c r="AU170">
        <v>8.4556400000000004E-3</v>
      </c>
      <c r="AV170">
        <v>2.2238500000000001E-2</v>
      </c>
      <c r="AW170">
        <v>6.6324729999999998E-2</v>
      </c>
      <c r="AX170">
        <v>3.1981639999999999E-2</v>
      </c>
      <c r="AY170">
        <v>5.1063860000000003E-2</v>
      </c>
      <c r="AZ170">
        <v>3.7932970000000003E-2</v>
      </c>
      <c r="BA170">
        <v>7.1628250000000004E-2</v>
      </c>
      <c r="BB170">
        <v>5.9231680000000002E-2</v>
      </c>
      <c r="BC170">
        <v>2.6466420000000001E-2</v>
      </c>
      <c r="BD170">
        <v>3.5723560000000001E-2</v>
      </c>
      <c r="BE170">
        <v>6.8485690000000002E-2</v>
      </c>
      <c r="BF170">
        <v>0.12690818000000001</v>
      </c>
      <c r="BG170">
        <v>8.0337599999999995E-2</v>
      </c>
      <c r="BH170">
        <v>2.5302649999999999E-2</v>
      </c>
      <c r="BI170">
        <v>1.2814580000000001E-2</v>
      </c>
      <c r="BJ170">
        <v>2.12777E-2</v>
      </c>
      <c r="BK170">
        <v>0.14889775</v>
      </c>
      <c r="BL170">
        <v>5.8518149999999998E-2</v>
      </c>
      <c r="BM170">
        <v>1.9963160000000001E-2</v>
      </c>
      <c r="BN170">
        <v>1520</v>
      </c>
      <c r="BO170">
        <v>247.58983430000001</v>
      </c>
      <c r="BP170">
        <v>190</v>
      </c>
    </row>
    <row r="171" spans="1:68" x14ac:dyDescent="0.2">
      <c r="A171" t="s">
        <v>736</v>
      </c>
      <c r="B171">
        <v>78</v>
      </c>
      <c r="C171">
        <v>950</v>
      </c>
      <c r="D171">
        <v>1411</v>
      </c>
      <c r="E171">
        <v>2442</v>
      </c>
      <c r="F171">
        <v>1474</v>
      </c>
      <c r="G171">
        <v>473</v>
      </c>
      <c r="H171">
        <v>241</v>
      </c>
      <c r="I171">
        <v>668</v>
      </c>
      <c r="J171">
        <v>828</v>
      </c>
      <c r="K171">
        <v>332</v>
      </c>
      <c r="L171">
        <v>667</v>
      </c>
      <c r="M171">
        <v>1116</v>
      </c>
      <c r="N171">
        <v>2730</v>
      </c>
      <c r="O171">
        <v>1173</v>
      </c>
      <c r="P171">
        <v>641</v>
      </c>
      <c r="Q171">
        <v>400</v>
      </c>
      <c r="R171">
        <v>1133</v>
      </c>
      <c r="S171">
        <v>5249</v>
      </c>
      <c r="T171">
        <v>2231</v>
      </c>
      <c r="U171">
        <v>901</v>
      </c>
      <c r="V171">
        <v>204.71542389999999</v>
      </c>
      <c r="W171">
        <v>154.75546539999999</v>
      </c>
      <c r="X171">
        <v>215.73675750000001</v>
      </c>
      <c r="Y171">
        <v>177.67288210000001</v>
      </c>
      <c r="Z171">
        <v>121.8543355</v>
      </c>
      <c r="AA171">
        <v>65</v>
      </c>
      <c r="AB171">
        <v>298.5683315</v>
      </c>
      <c r="AC171">
        <v>292.1407284</v>
      </c>
      <c r="AD171">
        <v>209.7782479</v>
      </c>
      <c r="AE171">
        <v>154.6049123</v>
      </c>
      <c r="AF171">
        <v>118.9165935</v>
      </c>
      <c r="AG171">
        <v>55</v>
      </c>
      <c r="AH171">
        <v>302.84829550000001</v>
      </c>
      <c r="AI171">
        <v>213.14847779999999</v>
      </c>
      <c r="AJ171">
        <v>192.85552860000001</v>
      </c>
      <c r="AK171">
        <v>170.87979240000001</v>
      </c>
      <c r="AL171">
        <v>116.75071869999999</v>
      </c>
      <c r="AM171">
        <v>55</v>
      </c>
      <c r="AN171">
        <v>275.46713319999998</v>
      </c>
      <c r="AO171">
        <v>173.36974140000001</v>
      </c>
      <c r="AP171">
        <v>179.0015914</v>
      </c>
      <c r="AQ171">
        <v>176.2574046</v>
      </c>
      <c r="AR171">
        <v>115.99115810000001</v>
      </c>
      <c r="AS171">
        <v>55</v>
      </c>
      <c r="AT171">
        <v>3.1921300000000001E-3</v>
      </c>
      <c r="AU171">
        <v>3.768842E-2</v>
      </c>
      <c r="AV171">
        <v>5.8039930000000003E-2</v>
      </c>
      <c r="AW171">
        <v>9.4309610000000002E-2</v>
      </c>
      <c r="AX171">
        <v>5.7382509999999998E-2</v>
      </c>
      <c r="AY171">
        <v>1.950006E-2</v>
      </c>
      <c r="AZ171">
        <v>9.6262899999999992E-3</v>
      </c>
      <c r="BA171">
        <v>2.632725E-2</v>
      </c>
      <c r="BB171">
        <v>3.1833779999999999E-2</v>
      </c>
      <c r="BC171">
        <v>1.2738559999999999E-2</v>
      </c>
      <c r="BD171">
        <v>2.7919550000000001E-2</v>
      </c>
      <c r="BE171">
        <v>4.5322149999999999E-2</v>
      </c>
      <c r="BF171">
        <v>0.10934037000000001</v>
      </c>
      <c r="BG171">
        <v>4.6632930000000003E-2</v>
      </c>
      <c r="BH171">
        <v>2.3801619999999999E-2</v>
      </c>
      <c r="BI171">
        <v>1.6719500000000002E-2</v>
      </c>
      <c r="BJ171">
        <v>4.7607110000000001E-2</v>
      </c>
      <c r="BK171">
        <v>0.21197087000000001</v>
      </c>
      <c r="BL171">
        <v>8.7420490000000003E-2</v>
      </c>
      <c r="BM171">
        <v>3.2626870000000002E-2</v>
      </c>
      <c r="BN171">
        <v>3977</v>
      </c>
      <c r="BO171">
        <v>231.9240116</v>
      </c>
      <c r="BP171">
        <v>190</v>
      </c>
    </row>
    <row r="172" spans="1:68" x14ac:dyDescent="0.2">
      <c r="A172" t="s">
        <v>737</v>
      </c>
      <c r="B172">
        <v>11</v>
      </c>
      <c r="C172">
        <v>24</v>
      </c>
      <c r="D172">
        <v>481</v>
      </c>
      <c r="E172">
        <v>312</v>
      </c>
      <c r="F172">
        <v>233</v>
      </c>
      <c r="G172">
        <v>1347</v>
      </c>
      <c r="H172">
        <v>974</v>
      </c>
      <c r="I172">
        <v>1332</v>
      </c>
      <c r="J172">
        <v>1061</v>
      </c>
      <c r="K172">
        <v>223</v>
      </c>
      <c r="L172">
        <v>117</v>
      </c>
      <c r="M172">
        <v>815</v>
      </c>
      <c r="N172">
        <v>1544</v>
      </c>
      <c r="O172">
        <v>727</v>
      </c>
      <c r="P172">
        <v>142</v>
      </c>
      <c r="Q172">
        <v>13</v>
      </c>
      <c r="R172">
        <v>265</v>
      </c>
      <c r="S172">
        <v>1354</v>
      </c>
      <c r="T172">
        <v>180</v>
      </c>
      <c r="U172">
        <v>64</v>
      </c>
      <c r="V172">
        <v>203.8062931</v>
      </c>
      <c r="W172">
        <v>302.17012119999998</v>
      </c>
      <c r="X172">
        <v>143.25293339999999</v>
      </c>
      <c r="Y172">
        <v>159.76093789999999</v>
      </c>
      <c r="Z172">
        <v>116.81408709999999</v>
      </c>
      <c r="AA172">
        <v>65</v>
      </c>
      <c r="AB172">
        <v>290.74129069999998</v>
      </c>
      <c r="AC172">
        <v>290.72324809999998</v>
      </c>
      <c r="AD172">
        <v>222.75571959999999</v>
      </c>
      <c r="AE172">
        <v>151.95849759999999</v>
      </c>
      <c r="AF172">
        <v>119.2839487</v>
      </c>
      <c r="AG172">
        <v>55</v>
      </c>
      <c r="AH172">
        <v>306.65232140000001</v>
      </c>
      <c r="AI172">
        <v>239.7233172</v>
      </c>
      <c r="AJ172">
        <v>188.31789520000001</v>
      </c>
      <c r="AK172">
        <v>161.1009239</v>
      </c>
      <c r="AL172">
        <v>114.7552117</v>
      </c>
      <c r="AM172">
        <v>55</v>
      </c>
      <c r="AN172">
        <v>249.8075168</v>
      </c>
      <c r="AO172">
        <v>201.3293247</v>
      </c>
      <c r="AP172">
        <v>173.08504679999999</v>
      </c>
      <c r="AQ172">
        <v>154.2426968</v>
      </c>
      <c r="AR172">
        <v>117.4351765</v>
      </c>
      <c r="AS172">
        <v>55</v>
      </c>
      <c r="AT172">
        <v>8.6131000000000001E-4</v>
      </c>
      <c r="AU172">
        <v>1.6225199999999999E-3</v>
      </c>
      <c r="AV172">
        <v>4.5461120000000001E-2</v>
      </c>
      <c r="AW172">
        <v>3.089064E-2</v>
      </c>
      <c r="AX172">
        <v>2.0199249999999998E-2</v>
      </c>
      <c r="AY172">
        <v>0.12132643999999999</v>
      </c>
      <c r="AZ172">
        <v>8.6678270000000002E-2</v>
      </c>
      <c r="BA172">
        <v>0.12432302000000001</v>
      </c>
      <c r="BB172">
        <v>9.2990030000000001E-2</v>
      </c>
      <c r="BC172">
        <v>1.802378E-2</v>
      </c>
      <c r="BD172">
        <v>1.1659900000000001E-2</v>
      </c>
      <c r="BE172">
        <v>7.433439E-2</v>
      </c>
      <c r="BF172">
        <v>0.13452116</v>
      </c>
      <c r="BG172">
        <v>6.3922619999999999E-2</v>
      </c>
      <c r="BH172">
        <v>1.271827E-2</v>
      </c>
      <c r="BI172">
        <v>9.6434999999999999E-4</v>
      </c>
      <c r="BJ172">
        <v>2.458229E-2</v>
      </c>
      <c r="BK172">
        <v>0.11306163</v>
      </c>
      <c r="BL172">
        <v>1.5767699999999999E-2</v>
      </c>
      <c r="BM172">
        <v>6.09131E-3</v>
      </c>
      <c r="BN172">
        <v>1975</v>
      </c>
      <c r="BO172">
        <v>251.6666539</v>
      </c>
      <c r="BP172">
        <v>190</v>
      </c>
    </row>
    <row r="173" spans="1:68" x14ac:dyDescent="0.2">
      <c r="A173" t="s">
        <v>738</v>
      </c>
      <c r="B173">
        <v>4</v>
      </c>
      <c r="C173">
        <v>40</v>
      </c>
      <c r="D173">
        <v>249</v>
      </c>
      <c r="E173">
        <v>204</v>
      </c>
      <c r="F173">
        <v>179</v>
      </c>
      <c r="G173">
        <v>115</v>
      </c>
      <c r="H173">
        <v>85</v>
      </c>
      <c r="I173">
        <v>144</v>
      </c>
      <c r="J173">
        <v>208</v>
      </c>
      <c r="K173">
        <v>71</v>
      </c>
      <c r="L173">
        <v>140</v>
      </c>
      <c r="M173">
        <v>201</v>
      </c>
      <c r="N173">
        <v>343</v>
      </c>
      <c r="O173">
        <v>325</v>
      </c>
      <c r="P173">
        <v>97</v>
      </c>
      <c r="Q173">
        <v>37</v>
      </c>
      <c r="R173">
        <v>197</v>
      </c>
      <c r="S173">
        <v>662</v>
      </c>
      <c r="T173">
        <v>714</v>
      </c>
      <c r="U173">
        <v>83</v>
      </c>
      <c r="V173">
        <v>0</v>
      </c>
      <c r="W173">
        <v>272.99032060000002</v>
      </c>
      <c r="X173">
        <v>190.07294680000001</v>
      </c>
      <c r="Y173">
        <v>161.6315487</v>
      </c>
      <c r="Z173">
        <v>98.973931230000005</v>
      </c>
      <c r="AA173">
        <v>65</v>
      </c>
      <c r="AB173">
        <v>307.4546034</v>
      </c>
      <c r="AC173">
        <v>267.5802746</v>
      </c>
      <c r="AD173">
        <v>229.821529</v>
      </c>
      <c r="AE173">
        <v>147.44051579999999</v>
      </c>
      <c r="AF173">
        <v>121.3372506</v>
      </c>
      <c r="AG173">
        <v>55</v>
      </c>
      <c r="AH173">
        <v>318.94096910000002</v>
      </c>
      <c r="AI173">
        <v>221.35131000000001</v>
      </c>
      <c r="AJ173">
        <v>211.16407559999999</v>
      </c>
      <c r="AK173">
        <v>161.40194249999999</v>
      </c>
      <c r="AL173">
        <v>119.1698248</v>
      </c>
      <c r="AM173">
        <v>55</v>
      </c>
      <c r="AN173">
        <v>304.2976951</v>
      </c>
      <c r="AO173">
        <v>209.52397439999999</v>
      </c>
      <c r="AP173">
        <v>193.9352734</v>
      </c>
      <c r="AQ173">
        <v>148.22556349999999</v>
      </c>
      <c r="AR173">
        <v>118</v>
      </c>
      <c r="AS173">
        <v>55</v>
      </c>
      <c r="AT173">
        <v>8.6923000000000002E-4</v>
      </c>
      <c r="AU173">
        <v>6.6836400000000002E-3</v>
      </c>
      <c r="AV173">
        <v>6.216269E-2</v>
      </c>
      <c r="AW173">
        <v>5.1838639999999998E-2</v>
      </c>
      <c r="AX173">
        <v>4.3561910000000002E-2</v>
      </c>
      <c r="AY173">
        <v>3.0728789999999999E-2</v>
      </c>
      <c r="AZ173">
        <v>2.0988799999999998E-2</v>
      </c>
      <c r="BA173">
        <v>3.527711E-2</v>
      </c>
      <c r="BB173">
        <v>5.3535920000000001E-2</v>
      </c>
      <c r="BC173">
        <v>1.6907849999999999E-2</v>
      </c>
      <c r="BD173">
        <v>3.4440329999999998E-2</v>
      </c>
      <c r="BE173">
        <v>4.674619E-2</v>
      </c>
      <c r="BF173">
        <v>8.4491839999999999E-2</v>
      </c>
      <c r="BG173">
        <v>7.8787250000000003E-2</v>
      </c>
      <c r="BH173">
        <v>2.2398410000000001E-2</v>
      </c>
      <c r="BI173">
        <v>9.8934899999999996E-3</v>
      </c>
      <c r="BJ173">
        <v>4.9962279999999998E-2</v>
      </c>
      <c r="BK173">
        <v>0.15857352</v>
      </c>
      <c r="BL173">
        <v>0.17364868999999999</v>
      </c>
      <c r="BM173">
        <v>1.850342E-2</v>
      </c>
      <c r="BN173">
        <v>578</v>
      </c>
      <c r="BO173">
        <v>209.7897304</v>
      </c>
      <c r="BP173">
        <v>190</v>
      </c>
    </row>
    <row r="174" spans="1:68" x14ac:dyDescent="0.2">
      <c r="A174" t="s">
        <v>739</v>
      </c>
      <c r="B174">
        <v>55</v>
      </c>
      <c r="C174">
        <v>109</v>
      </c>
      <c r="D174">
        <v>158</v>
      </c>
      <c r="E174">
        <v>156</v>
      </c>
      <c r="F174">
        <v>223</v>
      </c>
      <c r="G174">
        <v>479</v>
      </c>
      <c r="H174">
        <v>169</v>
      </c>
      <c r="I174">
        <v>343</v>
      </c>
      <c r="J174">
        <v>337</v>
      </c>
      <c r="K174">
        <v>138</v>
      </c>
      <c r="L174">
        <v>87</v>
      </c>
      <c r="M174">
        <v>190</v>
      </c>
      <c r="N174">
        <v>638</v>
      </c>
      <c r="O174">
        <v>320</v>
      </c>
      <c r="P174">
        <v>151</v>
      </c>
      <c r="Q174">
        <v>9</v>
      </c>
      <c r="R174">
        <v>45</v>
      </c>
      <c r="S174">
        <v>751</v>
      </c>
      <c r="T174">
        <v>422</v>
      </c>
      <c r="U174">
        <v>114</v>
      </c>
      <c r="V174">
        <v>253.61580739999999</v>
      </c>
      <c r="W174">
        <v>196.15527750000001</v>
      </c>
      <c r="X174">
        <v>179.4031689</v>
      </c>
      <c r="Y174">
        <v>155.7779649</v>
      </c>
      <c r="Z174">
        <v>116.2552505</v>
      </c>
      <c r="AA174">
        <v>65</v>
      </c>
      <c r="AB174">
        <v>304.63429730000001</v>
      </c>
      <c r="AC174">
        <v>278.41029359999999</v>
      </c>
      <c r="AD174">
        <v>223.7055273</v>
      </c>
      <c r="AE174">
        <v>146.80759850000001</v>
      </c>
      <c r="AF174">
        <v>117.31525569999999</v>
      </c>
      <c r="AG174">
        <v>55</v>
      </c>
      <c r="AH174">
        <v>287.39620250000002</v>
      </c>
      <c r="AI174">
        <v>255.2834201</v>
      </c>
      <c r="AJ174">
        <v>205.38900749999999</v>
      </c>
      <c r="AK174">
        <v>167.7606308</v>
      </c>
      <c r="AL174">
        <v>117.3661668</v>
      </c>
      <c r="AM174">
        <v>55</v>
      </c>
      <c r="AN174">
        <v>225.92485310000001</v>
      </c>
      <c r="AO174">
        <v>244.657904</v>
      </c>
      <c r="AP174">
        <v>196.96311549999999</v>
      </c>
      <c r="AQ174">
        <v>161.08209439999999</v>
      </c>
      <c r="AR174">
        <v>116.7931552</v>
      </c>
      <c r="AS174">
        <v>55</v>
      </c>
      <c r="AT174">
        <v>1.0628250000000001E-2</v>
      </c>
      <c r="AU174">
        <v>2.0456019999999998E-2</v>
      </c>
      <c r="AV174">
        <v>2.8766380000000001E-2</v>
      </c>
      <c r="AW174">
        <v>2.9099389999999999E-2</v>
      </c>
      <c r="AX174">
        <v>4.1582250000000001E-2</v>
      </c>
      <c r="AY174">
        <v>9.9481109999999998E-2</v>
      </c>
      <c r="AZ174">
        <v>3.4692149999999998E-2</v>
      </c>
      <c r="BA174">
        <v>7.3493779999999995E-2</v>
      </c>
      <c r="BB174">
        <v>6.7149920000000002E-2</v>
      </c>
      <c r="BC174">
        <v>2.96136E-2</v>
      </c>
      <c r="BD174">
        <v>1.8785759999999999E-2</v>
      </c>
      <c r="BE174">
        <v>3.8482809999999999E-2</v>
      </c>
      <c r="BF174">
        <v>0.13133801000000001</v>
      </c>
      <c r="BG174">
        <v>6.3896060000000005E-2</v>
      </c>
      <c r="BH174">
        <v>3.5241550000000003E-2</v>
      </c>
      <c r="BI174">
        <v>1.82679E-3</v>
      </c>
      <c r="BJ174">
        <v>1.0649260000000001E-2</v>
      </c>
      <c r="BK174">
        <v>0.15511198000000001</v>
      </c>
      <c r="BL174">
        <v>8.5039100000000006E-2</v>
      </c>
      <c r="BM174">
        <v>2.466583E-2</v>
      </c>
      <c r="BN174">
        <v>499</v>
      </c>
      <c r="BO174">
        <v>276.80500790000002</v>
      </c>
      <c r="BP174">
        <v>190</v>
      </c>
    </row>
    <row r="175" spans="1:68" x14ac:dyDescent="0.2">
      <c r="A175" t="s">
        <v>740</v>
      </c>
      <c r="B175">
        <v>484</v>
      </c>
      <c r="C175">
        <v>178</v>
      </c>
      <c r="D175">
        <v>373</v>
      </c>
      <c r="E175">
        <v>776</v>
      </c>
      <c r="F175">
        <v>679</v>
      </c>
      <c r="G175">
        <v>1530</v>
      </c>
      <c r="H175">
        <v>803</v>
      </c>
      <c r="I175">
        <v>1095</v>
      </c>
      <c r="J175">
        <v>888</v>
      </c>
      <c r="K175">
        <v>259</v>
      </c>
      <c r="L175">
        <v>950</v>
      </c>
      <c r="M175">
        <v>1465</v>
      </c>
      <c r="N175">
        <v>2414</v>
      </c>
      <c r="O175">
        <v>1002</v>
      </c>
      <c r="P175">
        <v>370</v>
      </c>
      <c r="Q175">
        <v>163</v>
      </c>
      <c r="R175">
        <v>485</v>
      </c>
      <c r="S175">
        <v>2475</v>
      </c>
      <c r="T175">
        <v>613</v>
      </c>
      <c r="U175">
        <v>346</v>
      </c>
      <c r="V175">
        <v>293.4506993</v>
      </c>
      <c r="W175">
        <v>236.07715730000001</v>
      </c>
      <c r="X175">
        <v>182.67586829999999</v>
      </c>
      <c r="Y175">
        <v>166.9756917</v>
      </c>
      <c r="Z175">
        <v>116.1915111</v>
      </c>
      <c r="AA175">
        <v>65</v>
      </c>
      <c r="AB175">
        <v>308.90924999999999</v>
      </c>
      <c r="AC175">
        <v>286.07080020000001</v>
      </c>
      <c r="AD175">
        <v>224.18188140000001</v>
      </c>
      <c r="AE175">
        <v>154.47403310000001</v>
      </c>
      <c r="AF175">
        <v>117.0887391</v>
      </c>
      <c r="AG175">
        <v>55</v>
      </c>
      <c r="AH175">
        <v>304.91174480000001</v>
      </c>
      <c r="AI175">
        <v>267.09186560000001</v>
      </c>
      <c r="AJ175">
        <v>188.69953390000001</v>
      </c>
      <c r="AK175">
        <v>168.57953359999999</v>
      </c>
      <c r="AL175">
        <v>115.05565970000001</v>
      </c>
      <c r="AM175">
        <v>55</v>
      </c>
      <c r="AN175">
        <v>282.02202620000003</v>
      </c>
      <c r="AO175">
        <v>237.25023440000001</v>
      </c>
      <c r="AP175">
        <v>174.54906460000001</v>
      </c>
      <c r="AQ175">
        <v>169.0566834</v>
      </c>
      <c r="AR175">
        <v>121.6021375</v>
      </c>
      <c r="AS175">
        <v>55</v>
      </c>
      <c r="AT175">
        <v>3.3367510000000003E-2</v>
      </c>
      <c r="AU175">
        <v>1.076713E-2</v>
      </c>
      <c r="AV175">
        <v>2.2859250000000001E-2</v>
      </c>
      <c r="AW175">
        <v>4.599023E-2</v>
      </c>
      <c r="AX175">
        <v>4.2988039999999998E-2</v>
      </c>
      <c r="AY175">
        <v>8.4801979999999999E-2</v>
      </c>
      <c r="AZ175">
        <v>4.5376510000000002E-2</v>
      </c>
      <c r="BA175">
        <v>6.0374160000000003E-2</v>
      </c>
      <c r="BB175">
        <v>4.9505149999999998E-2</v>
      </c>
      <c r="BC175">
        <v>1.5626669999999999E-2</v>
      </c>
      <c r="BD175">
        <v>5.3141430000000003E-2</v>
      </c>
      <c r="BE175">
        <v>8.3617839999999999E-2</v>
      </c>
      <c r="BF175">
        <v>0.1348539</v>
      </c>
      <c r="BG175">
        <v>5.6304970000000003E-2</v>
      </c>
      <c r="BH175">
        <v>2.3932430000000001E-2</v>
      </c>
      <c r="BI175">
        <v>9.1274200000000007E-3</v>
      </c>
      <c r="BJ175">
        <v>2.6983420000000001E-2</v>
      </c>
      <c r="BK175">
        <v>0.14387338</v>
      </c>
      <c r="BL175">
        <v>3.441197E-2</v>
      </c>
      <c r="BM175">
        <v>2.2096609999999999E-2</v>
      </c>
      <c r="BN175">
        <v>1134</v>
      </c>
      <c r="BO175">
        <v>270.57588470000002</v>
      </c>
      <c r="BP175">
        <v>190</v>
      </c>
    </row>
    <row r="176" spans="1:68" x14ac:dyDescent="0.2">
      <c r="A176" t="s">
        <v>741</v>
      </c>
      <c r="B176">
        <v>189</v>
      </c>
      <c r="C176">
        <v>98</v>
      </c>
      <c r="D176">
        <v>1419</v>
      </c>
      <c r="E176">
        <v>321</v>
      </c>
      <c r="F176">
        <v>470</v>
      </c>
      <c r="G176">
        <v>130</v>
      </c>
      <c r="H176">
        <v>19</v>
      </c>
      <c r="I176">
        <v>47</v>
      </c>
      <c r="J176">
        <v>104</v>
      </c>
      <c r="K176">
        <v>49</v>
      </c>
      <c r="L176">
        <v>212</v>
      </c>
      <c r="M176">
        <v>198</v>
      </c>
      <c r="N176">
        <v>364</v>
      </c>
      <c r="O176">
        <v>359</v>
      </c>
      <c r="P176">
        <v>110</v>
      </c>
      <c r="Q176">
        <v>135</v>
      </c>
      <c r="R176">
        <v>267</v>
      </c>
      <c r="S176">
        <v>1109</v>
      </c>
      <c r="T176">
        <v>539</v>
      </c>
      <c r="U176">
        <v>159</v>
      </c>
      <c r="V176">
        <v>250.00952319999999</v>
      </c>
      <c r="W176">
        <v>161.4413806</v>
      </c>
      <c r="X176">
        <v>147.6592326</v>
      </c>
      <c r="Y176">
        <v>156.24299070000001</v>
      </c>
      <c r="Z176">
        <v>116.1127123</v>
      </c>
      <c r="AA176">
        <v>65</v>
      </c>
      <c r="AB176">
        <v>317.86293369999999</v>
      </c>
      <c r="AC176">
        <v>264.14321630000001</v>
      </c>
      <c r="AD176">
        <v>191.08718500000001</v>
      </c>
      <c r="AE176">
        <v>149.14261139999999</v>
      </c>
      <c r="AF176">
        <v>113.0095419</v>
      </c>
      <c r="AG176">
        <v>55</v>
      </c>
      <c r="AH176">
        <v>301.83712889999998</v>
      </c>
      <c r="AI176">
        <v>246.58267000000001</v>
      </c>
      <c r="AJ176">
        <v>201.7954761</v>
      </c>
      <c r="AK176">
        <v>157.34387140000001</v>
      </c>
      <c r="AL176">
        <v>117.3845537</v>
      </c>
      <c r="AM176">
        <v>55</v>
      </c>
      <c r="AN176">
        <v>286.8026734</v>
      </c>
      <c r="AO176">
        <v>208.1833938</v>
      </c>
      <c r="AP176">
        <v>195.2363445</v>
      </c>
      <c r="AQ176">
        <v>164.6633665</v>
      </c>
      <c r="AR176">
        <v>116.62560089999999</v>
      </c>
      <c r="AS176">
        <v>55</v>
      </c>
      <c r="AT176">
        <v>3.2121660000000003E-2</v>
      </c>
      <c r="AU176">
        <v>1.8369409999999999E-2</v>
      </c>
      <c r="AV176">
        <v>0.22373504</v>
      </c>
      <c r="AW176">
        <v>5.2813520000000003E-2</v>
      </c>
      <c r="AX176">
        <v>5.6398999999999998E-2</v>
      </c>
      <c r="AY176">
        <v>2.1966599999999999E-2</v>
      </c>
      <c r="AZ176">
        <v>3.0824400000000001E-3</v>
      </c>
      <c r="BA176">
        <v>7.4235899999999999E-3</v>
      </c>
      <c r="BB176">
        <v>1.5556479999999999E-2</v>
      </c>
      <c r="BC176">
        <v>5.7203200000000001E-3</v>
      </c>
      <c r="BD176">
        <v>3.5005649999999999E-2</v>
      </c>
      <c r="BE176">
        <v>3.3005140000000002E-2</v>
      </c>
      <c r="BF176">
        <v>6.0392220000000003E-2</v>
      </c>
      <c r="BG176">
        <v>5.899832E-2</v>
      </c>
      <c r="BH176">
        <v>1.680566E-2</v>
      </c>
      <c r="BI176">
        <v>2.3886950000000001E-2</v>
      </c>
      <c r="BJ176">
        <v>4.3966999999999999E-2</v>
      </c>
      <c r="BK176">
        <v>0.17644468999999999</v>
      </c>
      <c r="BL176">
        <v>8.7979489999999994E-2</v>
      </c>
      <c r="BM176">
        <v>2.6326820000000001E-2</v>
      </c>
      <c r="BN176">
        <v>1953</v>
      </c>
      <c r="BO176">
        <v>240.9623526</v>
      </c>
      <c r="BP176">
        <v>190</v>
      </c>
    </row>
    <row r="177" spans="1:68" x14ac:dyDescent="0.2">
      <c r="A177" t="s">
        <v>742</v>
      </c>
      <c r="B177">
        <v>132</v>
      </c>
      <c r="C177">
        <v>24</v>
      </c>
      <c r="D177">
        <v>161</v>
      </c>
      <c r="E177">
        <v>203</v>
      </c>
      <c r="F177">
        <v>187</v>
      </c>
      <c r="G177">
        <v>258</v>
      </c>
      <c r="H177">
        <v>79</v>
      </c>
      <c r="I177">
        <v>188</v>
      </c>
      <c r="J177">
        <v>155</v>
      </c>
      <c r="K177">
        <v>73</v>
      </c>
      <c r="L177">
        <v>265</v>
      </c>
      <c r="M177">
        <v>187</v>
      </c>
      <c r="N177">
        <v>344</v>
      </c>
      <c r="O177">
        <v>233</v>
      </c>
      <c r="P177">
        <v>68</v>
      </c>
      <c r="Q177">
        <v>304</v>
      </c>
      <c r="R177">
        <v>225</v>
      </c>
      <c r="S177">
        <v>631</v>
      </c>
      <c r="T177">
        <v>454</v>
      </c>
      <c r="U177">
        <v>124</v>
      </c>
      <c r="V177">
        <v>274.46245490000001</v>
      </c>
      <c r="W177">
        <v>99.064903229999999</v>
      </c>
      <c r="X177">
        <v>283.5473968</v>
      </c>
      <c r="Y177">
        <v>136.73851859999999</v>
      </c>
      <c r="Z177">
        <v>105.7387284</v>
      </c>
      <c r="AA177">
        <v>65</v>
      </c>
      <c r="AB177">
        <v>306.5329911</v>
      </c>
      <c r="AC177">
        <v>306.53528920000002</v>
      </c>
      <c r="AD177">
        <v>227.89510129999999</v>
      </c>
      <c r="AE177">
        <v>151.88903479999999</v>
      </c>
      <c r="AF177">
        <v>117.229308</v>
      </c>
      <c r="AG177">
        <v>55</v>
      </c>
      <c r="AH177">
        <v>293.92691559999997</v>
      </c>
      <c r="AI177">
        <v>251.6905538</v>
      </c>
      <c r="AJ177">
        <v>226.45451299999999</v>
      </c>
      <c r="AK177">
        <v>163.57754220000001</v>
      </c>
      <c r="AL177">
        <v>111.1629429</v>
      </c>
      <c r="AM177">
        <v>55</v>
      </c>
      <c r="AN177">
        <v>295.58258530000001</v>
      </c>
      <c r="AO177">
        <v>212.72164530000001</v>
      </c>
      <c r="AP177">
        <v>212.12539369999999</v>
      </c>
      <c r="AQ177">
        <v>164.17052749999999</v>
      </c>
      <c r="AR177">
        <v>111.6028144</v>
      </c>
      <c r="AS177">
        <v>55</v>
      </c>
      <c r="AT177">
        <v>3.1472649999999998E-2</v>
      </c>
      <c r="AU177">
        <v>5.0289000000000002E-3</v>
      </c>
      <c r="AV177">
        <v>3.8101410000000002E-2</v>
      </c>
      <c r="AW177">
        <v>4.8818050000000002E-2</v>
      </c>
      <c r="AX177">
        <v>4.4278079999999997E-2</v>
      </c>
      <c r="AY177">
        <v>6.0688979999999997E-2</v>
      </c>
      <c r="AZ177">
        <v>1.8030959999999999E-2</v>
      </c>
      <c r="BA177">
        <v>4.4420059999999997E-2</v>
      </c>
      <c r="BB177">
        <v>3.6497389999999998E-2</v>
      </c>
      <c r="BC177">
        <v>1.73846E-2</v>
      </c>
      <c r="BD177">
        <v>6.2281120000000002E-2</v>
      </c>
      <c r="BE177">
        <v>4.5052160000000001E-2</v>
      </c>
      <c r="BF177">
        <v>7.7250189999999996E-2</v>
      </c>
      <c r="BG177">
        <v>5.4515290000000001E-2</v>
      </c>
      <c r="BH177">
        <v>1.54378E-2</v>
      </c>
      <c r="BI177">
        <v>7.1104420000000002E-2</v>
      </c>
      <c r="BJ177">
        <v>5.4069720000000002E-2</v>
      </c>
      <c r="BK177">
        <v>0.1414591</v>
      </c>
      <c r="BL177">
        <v>0.10569124000000001</v>
      </c>
      <c r="BM177">
        <v>2.841788E-2</v>
      </c>
      <c r="BN177">
        <v>388</v>
      </c>
      <c r="BO177">
        <v>274.58730869999999</v>
      </c>
      <c r="BP177">
        <v>190</v>
      </c>
    </row>
    <row r="178" spans="1:68" x14ac:dyDescent="0.2">
      <c r="A178" t="s">
        <v>743</v>
      </c>
      <c r="B178">
        <v>193</v>
      </c>
      <c r="C178">
        <v>143</v>
      </c>
      <c r="D178">
        <v>539</v>
      </c>
      <c r="E178">
        <v>824</v>
      </c>
      <c r="F178">
        <v>727</v>
      </c>
      <c r="G178">
        <v>976</v>
      </c>
      <c r="H178">
        <v>618</v>
      </c>
      <c r="I178">
        <v>738</v>
      </c>
      <c r="J178">
        <v>1074</v>
      </c>
      <c r="K178">
        <v>528</v>
      </c>
      <c r="L178">
        <v>558</v>
      </c>
      <c r="M178">
        <v>1156</v>
      </c>
      <c r="N178">
        <v>2185</v>
      </c>
      <c r="O178">
        <v>1934</v>
      </c>
      <c r="P178">
        <v>1029</v>
      </c>
      <c r="Q178">
        <v>37</v>
      </c>
      <c r="R178">
        <v>727</v>
      </c>
      <c r="S178">
        <v>2740</v>
      </c>
      <c r="T178">
        <v>1982</v>
      </c>
      <c r="U178">
        <v>1181</v>
      </c>
      <c r="V178">
        <v>241.07584399999999</v>
      </c>
      <c r="W178">
        <v>242.87676020000001</v>
      </c>
      <c r="X178">
        <v>193.49070710000001</v>
      </c>
      <c r="Y178">
        <v>140.87624199999999</v>
      </c>
      <c r="Z178">
        <v>118.9079595</v>
      </c>
      <c r="AA178">
        <v>65</v>
      </c>
      <c r="AB178">
        <v>308.23551279999998</v>
      </c>
      <c r="AC178">
        <v>283.7663713</v>
      </c>
      <c r="AD178">
        <v>213.67734490000001</v>
      </c>
      <c r="AE178">
        <v>148.5059771</v>
      </c>
      <c r="AF178">
        <v>118.97097549999999</v>
      </c>
      <c r="AG178">
        <v>55</v>
      </c>
      <c r="AH178">
        <v>260.82749710000002</v>
      </c>
      <c r="AI178">
        <v>215.29238860000001</v>
      </c>
      <c r="AJ178">
        <v>206.4000264</v>
      </c>
      <c r="AK178">
        <v>156.81795080000001</v>
      </c>
      <c r="AL178">
        <v>116.77087830000001</v>
      </c>
      <c r="AM178">
        <v>55</v>
      </c>
      <c r="AN178">
        <v>308.73222900000002</v>
      </c>
      <c r="AO178">
        <v>196.20696079999999</v>
      </c>
      <c r="AP178">
        <v>193.53196270000001</v>
      </c>
      <c r="AQ178">
        <v>147.9080261</v>
      </c>
      <c r="AR178">
        <v>116.0311492</v>
      </c>
      <c r="AS178">
        <v>55</v>
      </c>
      <c r="AT178">
        <v>9.2628199999999997E-3</v>
      </c>
      <c r="AU178">
        <v>7.1889399999999996E-3</v>
      </c>
      <c r="AV178">
        <v>2.7057330000000001E-2</v>
      </c>
      <c r="AW178">
        <v>4.3128680000000003E-2</v>
      </c>
      <c r="AX178">
        <v>3.8702E-2</v>
      </c>
      <c r="AY178">
        <v>4.8934779999999997E-2</v>
      </c>
      <c r="AZ178">
        <v>3.0804140000000001E-2</v>
      </c>
      <c r="BA178">
        <v>3.4911810000000001E-2</v>
      </c>
      <c r="BB178">
        <v>5.0851630000000002E-2</v>
      </c>
      <c r="BC178">
        <v>2.929648E-2</v>
      </c>
      <c r="BD178">
        <v>2.8993580000000001E-2</v>
      </c>
      <c r="BE178">
        <v>5.7987289999999997E-2</v>
      </c>
      <c r="BF178">
        <v>0.10868823</v>
      </c>
      <c r="BG178">
        <v>9.2151490000000003E-2</v>
      </c>
      <c r="BH178">
        <v>5.8108050000000001E-2</v>
      </c>
      <c r="BI178">
        <v>2.0280900000000002E-3</v>
      </c>
      <c r="BJ178">
        <v>3.539001E-2</v>
      </c>
      <c r="BK178">
        <v>0.13498056999999999</v>
      </c>
      <c r="BL178">
        <v>9.6521220000000005E-2</v>
      </c>
      <c r="BM178">
        <v>6.5012860000000006E-2</v>
      </c>
      <c r="BN178">
        <v>1817</v>
      </c>
      <c r="BO178">
        <v>227.211388</v>
      </c>
      <c r="BP178">
        <v>190</v>
      </c>
    </row>
    <row r="179" spans="1:68" x14ac:dyDescent="0.2">
      <c r="A179" t="s">
        <v>744</v>
      </c>
      <c r="B179">
        <v>14</v>
      </c>
      <c r="C179">
        <v>466</v>
      </c>
      <c r="D179">
        <v>2218</v>
      </c>
      <c r="E179">
        <v>1214</v>
      </c>
      <c r="F179">
        <v>880</v>
      </c>
      <c r="G179">
        <v>134</v>
      </c>
      <c r="H179">
        <v>34</v>
      </c>
      <c r="I179">
        <v>64</v>
      </c>
      <c r="J179">
        <v>201</v>
      </c>
      <c r="K179">
        <v>49</v>
      </c>
      <c r="L179">
        <v>204</v>
      </c>
      <c r="M179">
        <v>496</v>
      </c>
      <c r="N179">
        <v>1125</v>
      </c>
      <c r="O179">
        <v>857</v>
      </c>
      <c r="P179">
        <v>110</v>
      </c>
      <c r="Q179">
        <v>112</v>
      </c>
      <c r="R179">
        <v>1112</v>
      </c>
      <c r="S179">
        <v>2918</v>
      </c>
      <c r="T179">
        <v>1809</v>
      </c>
      <c r="U179">
        <v>394</v>
      </c>
      <c r="V179">
        <v>322.8518732</v>
      </c>
      <c r="W179">
        <v>219.24935600000001</v>
      </c>
      <c r="X179">
        <v>222.729626</v>
      </c>
      <c r="Y179">
        <v>165.50706260000001</v>
      </c>
      <c r="Z179">
        <v>113.18383729999999</v>
      </c>
      <c r="AA179">
        <v>65</v>
      </c>
      <c r="AB179">
        <v>315.47446430000002</v>
      </c>
      <c r="AC179">
        <v>268.57514200000003</v>
      </c>
      <c r="AD179">
        <v>209.61897450000001</v>
      </c>
      <c r="AE179">
        <v>151.4668503</v>
      </c>
      <c r="AF179">
        <v>116.14724</v>
      </c>
      <c r="AG179">
        <v>55</v>
      </c>
      <c r="AH179">
        <v>308.8850999</v>
      </c>
      <c r="AI179">
        <v>265.18409339999999</v>
      </c>
      <c r="AJ179">
        <v>207.2407035</v>
      </c>
      <c r="AK179">
        <v>159.95929670000001</v>
      </c>
      <c r="AL179">
        <v>114.44865059999999</v>
      </c>
      <c r="AM179">
        <v>55</v>
      </c>
      <c r="AN179">
        <v>295.03286509999998</v>
      </c>
      <c r="AO179">
        <v>247.8187322</v>
      </c>
      <c r="AP179">
        <v>197.37083419999999</v>
      </c>
      <c r="AQ179">
        <v>159.9756754</v>
      </c>
      <c r="AR179">
        <v>111.533058</v>
      </c>
      <c r="AS179">
        <v>55</v>
      </c>
      <c r="AT179">
        <v>1.0191600000000001E-3</v>
      </c>
      <c r="AU179">
        <v>3.2066480000000001E-2</v>
      </c>
      <c r="AV179">
        <v>0.15357035999999999</v>
      </c>
      <c r="AW179">
        <v>7.7010350000000005E-2</v>
      </c>
      <c r="AX179">
        <v>6.3105930000000005E-2</v>
      </c>
      <c r="AY179">
        <v>8.8453500000000001E-3</v>
      </c>
      <c r="AZ179">
        <v>2.3930399999999999E-3</v>
      </c>
      <c r="BA179">
        <v>4.6297400000000002E-3</v>
      </c>
      <c r="BB179">
        <v>1.4049590000000001E-2</v>
      </c>
      <c r="BC179">
        <v>3.2772600000000002E-3</v>
      </c>
      <c r="BD179">
        <v>1.382835E-2</v>
      </c>
      <c r="BE179">
        <v>3.4155449999999997E-2</v>
      </c>
      <c r="BF179">
        <v>7.8863639999999999E-2</v>
      </c>
      <c r="BG179">
        <v>6.083906E-2</v>
      </c>
      <c r="BH179">
        <v>8.0814400000000005E-3</v>
      </c>
      <c r="BI179">
        <v>7.2809600000000004E-3</v>
      </c>
      <c r="BJ179">
        <v>7.6798069999999996E-2</v>
      </c>
      <c r="BK179">
        <v>0.20272380000000001</v>
      </c>
      <c r="BL179">
        <v>0.12769857000000001</v>
      </c>
      <c r="BM179">
        <v>2.9763399999999999E-2</v>
      </c>
      <c r="BN179">
        <v>1538</v>
      </c>
      <c r="BO179">
        <v>223.44222529999999</v>
      </c>
      <c r="BP179">
        <v>190</v>
      </c>
    </row>
    <row r="180" spans="1:68" x14ac:dyDescent="0.2">
      <c r="A180" t="s">
        <v>745</v>
      </c>
      <c r="B180">
        <v>219</v>
      </c>
      <c r="C180">
        <v>51</v>
      </c>
      <c r="D180">
        <v>139</v>
      </c>
      <c r="E180">
        <v>162</v>
      </c>
      <c r="F180">
        <v>75</v>
      </c>
      <c r="G180">
        <v>1025</v>
      </c>
      <c r="H180">
        <v>159</v>
      </c>
      <c r="I180">
        <v>271</v>
      </c>
      <c r="J180">
        <v>520</v>
      </c>
      <c r="K180">
        <v>99</v>
      </c>
      <c r="L180">
        <v>242</v>
      </c>
      <c r="M180">
        <v>456</v>
      </c>
      <c r="N180">
        <v>733</v>
      </c>
      <c r="O180">
        <v>347</v>
      </c>
      <c r="P180">
        <v>116</v>
      </c>
      <c r="Q180">
        <v>41</v>
      </c>
      <c r="R180">
        <v>307</v>
      </c>
      <c r="S180">
        <v>672</v>
      </c>
      <c r="T180">
        <v>84</v>
      </c>
      <c r="U180">
        <v>25</v>
      </c>
      <c r="V180">
        <v>208.287207</v>
      </c>
      <c r="W180">
        <v>235.00924130000001</v>
      </c>
      <c r="X180">
        <v>193.80169119999999</v>
      </c>
      <c r="Y180">
        <v>135.2947035</v>
      </c>
      <c r="Z180">
        <v>118</v>
      </c>
      <c r="AA180">
        <v>65</v>
      </c>
      <c r="AB180">
        <v>326.64999799999998</v>
      </c>
      <c r="AC180">
        <v>291.80305679999998</v>
      </c>
      <c r="AD180">
        <v>213.9407386</v>
      </c>
      <c r="AE180">
        <v>161.24104750000001</v>
      </c>
      <c r="AF180">
        <v>126.9236422</v>
      </c>
      <c r="AG180">
        <v>55</v>
      </c>
      <c r="AH180">
        <v>315.89101160000001</v>
      </c>
      <c r="AI180">
        <v>259.3132301</v>
      </c>
      <c r="AJ180">
        <v>233.616536</v>
      </c>
      <c r="AK180">
        <v>177.00500099999999</v>
      </c>
      <c r="AL180">
        <v>123.6480571</v>
      </c>
      <c r="AM180">
        <v>55</v>
      </c>
      <c r="AN180">
        <v>296.650666</v>
      </c>
      <c r="AO180">
        <v>258.05517830000002</v>
      </c>
      <c r="AP180">
        <v>219.28526160000001</v>
      </c>
      <c r="AQ180">
        <v>180.07701159999999</v>
      </c>
      <c r="AR180">
        <v>122.16947639999999</v>
      </c>
      <c r="AS180">
        <v>55</v>
      </c>
      <c r="AT180">
        <v>3.4244509999999999E-2</v>
      </c>
      <c r="AU180">
        <v>8.7650699999999998E-3</v>
      </c>
      <c r="AV180">
        <v>2.1106719999999999E-2</v>
      </c>
      <c r="AW180">
        <v>2.6694209999999999E-2</v>
      </c>
      <c r="AX180">
        <v>7.3386299999999996E-3</v>
      </c>
      <c r="AY180">
        <v>0.18559192999999999</v>
      </c>
      <c r="AZ180">
        <v>2.8015979999999999E-2</v>
      </c>
      <c r="BA180">
        <v>5.2223180000000001E-2</v>
      </c>
      <c r="BB180">
        <v>9.0012960000000003E-2</v>
      </c>
      <c r="BC180">
        <v>1.2544420000000001E-2</v>
      </c>
      <c r="BD180">
        <v>4.493453E-2</v>
      </c>
      <c r="BE180">
        <v>8.0562949999999994E-2</v>
      </c>
      <c r="BF180">
        <v>0.13178065999999999</v>
      </c>
      <c r="BG180">
        <v>6.2680990000000006E-2</v>
      </c>
      <c r="BH180">
        <v>1.411335E-2</v>
      </c>
      <c r="BI180">
        <v>7.8922999999999997E-3</v>
      </c>
      <c r="BJ180">
        <v>5.3454769999999999E-2</v>
      </c>
      <c r="BK180">
        <v>0.12138453</v>
      </c>
      <c r="BL180">
        <v>1.3698460000000001E-2</v>
      </c>
      <c r="BM180">
        <v>2.95985E-3</v>
      </c>
      <c r="BN180">
        <v>499</v>
      </c>
      <c r="BO180">
        <v>257.41134879999998</v>
      </c>
      <c r="BP180">
        <v>190</v>
      </c>
    </row>
    <row r="181" spans="1:68" x14ac:dyDescent="0.2">
      <c r="A181" t="s">
        <v>746</v>
      </c>
      <c r="B181">
        <v>121</v>
      </c>
      <c r="C181">
        <v>137</v>
      </c>
      <c r="D181">
        <v>728</v>
      </c>
      <c r="E181">
        <v>1946</v>
      </c>
      <c r="F181">
        <v>2320</v>
      </c>
      <c r="G181">
        <v>263</v>
      </c>
      <c r="H181">
        <v>191</v>
      </c>
      <c r="I181">
        <v>427</v>
      </c>
      <c r="J181">
        <v>404</v>
      </c>
      <c r="K181">
        <v>612</v>
      </c>
      <c r="L181">
        <v>437</v>
      </c>
      <c r="M181">
        <v>462</v>
      </c>
      <c r="N181">
        <v>1024</v>
      </c>
      <c r="O181">
        <v>1616</v>
      </c>
      <c r="P181">
        <v>1327</v>
      </c>
      <c r="Q181">
        <v>406</v>
      </c>
      <c r="R181">
        <v>748</v>
      </c>
      <c r="S181">
        <v>1765</v>
      </c>
      <c r="T181">
        <v>4625</v>
      </c>
      <c r="U181">
        <v>1991</v>
      </c>
      <c r="V181">
        <v>288.8355722</v>
      </c>
      <c r="W181">
        <v>214.70274409999999</v>
      </c>
      <c r="X181">
        <v>171.22547879999999</v>
      </c>
      <c r="Y181">
        <v>115.6683214</v>
      </c>
      <c r="Z181">
        <v>109.4233692</v>
      </c>
      <c r="AA181">
        <v>65</v>
      </c>
      <c r="AB181">
        <v>299.15553319999998</v>
      </c>
      <c r="AC181">
        <v>283.95795820000001</v>
      </c>
      <c r="AD181">
        <v>213.09445450000001</v>
      </c>
      <c r="AE181">
        <v>150.45244349999999</v>
      </c>
      <c r="AF181">
        <v>117.2900535</v>
      </c>
      <c r="AG181">
        <v>55</v>
      </c>
      <c r="AH181">
        <v>295.93104720000002</v>
      </c>
      <c r="AI181">
        <v>246.6073816</v>
      </c>
      <c r="AJ181">
        <v>208.78174580000001</v>
      </c>
      <c r="AK181">
        <v>149.25088740000001</v>
      </c>
      <c r="AL181">
        <v>117.7076187</v>
      </c>
      <c r="AM181">
        <v>55</v>
      </c>
      <c r="AN181">
        <v>291.64273980000002</v>
      </c>
      <c r="AO181">
        <v>212.4767363</v>
      </c>
      <c r="AP181">
        <v>181.9187699</v>
      </c>
      <c r="AQ181">
        <v>140.92168369999999</v>
      </c>
      <c r="AR181">
        <v>116.1651289</v>
      </c>
      <c r="AS181">
        <v>55</v>
      </c>
      <c r="AT181">
        <v>5.6133800000000003E-3</v>
      </c>
      <c r="AU181">
        <v>7.2631299999999996E-3</v>
      </c>
      <c r="AV181">
        <v>3.2658329999999999E-2</v>
      </c>
      <c r="AW181">
        <v>9.0013049999999997E-2</v>
      </c>
      <c r="AX181">
        <v>0.10916102</v>
      </c>
      <c r="AY181">
        <v>1.2186560000000001E-2</v>
      </c>
      <c r="AZ181">
        <v>8.4460200000000003E-3</v>
      </c>
      <c r="BA181">
        <v>2.113541E-2</v>
      </c>
      <c r="BB181">
        <v>1.8048270000000002E-2</v>
      </c>
      <c r="BC181">
        <v>2.8518640000000001E-2</v>
      </c>
      <c r="BD181">
        <v>2.1423190000000002E-2</v>
      </c>
      <c r="BE181">
        <v>2.16913E-2</v>
      </c>
      <c r="BF181">
        <v>4.7131649999999997E-2</v>
      </c>
      <c r="BG181">
        <v>7.453419E-2</v>
      </c>
      <c r="BH181">
        <v>5.9982439999999998E-2</v>
      </c>
      <c r="BI181">
        <v>1.900785E-2</v>
      </c>
      <c r="BJ181">
        <v>3.4379069999999998E-2</v>
      </c>
      <c r="BK181">
        <v>8.2305160000000002E-2</v>
      </c>
      <c r="BL181">
        <v>0.21265882999999999</v>
      </c>
      <c r="BM181">
        <v>9.3842510000000004E-2</v>
      </c>
      <c r="BN181">
        <v>1441</v>
      </c>
      <c r="BO181">
        <v>212.71196190000001</v>
      </c>
      <c r="BP181">
        <v>190</v>
      </c>
    </row>
    <row r="182" spans="1:68" x14ac:dyDescent="0.2">
      <c r="A182" t="s">
        <v>747</v>
      </c>
      <c r="B182">
        <v>319</v>
      </c>
      <c r="C182">
        <v>459</v>
      </c>
      <c r="D182">
        <v>6173</v>
      </c>
      <c r="E182">
        <v>2894</v>
      </c>
      <c r="F182">
        <v>2557</v>
      </c>
      <c r="G182">
        <v>101</v>
      </c>
      <c r="H182">
        <v>43</v>
      </c>
      <c r="I182">
        <v>252</v>
      </c>
      <c r="J182">
        <v>493</v>
      </c>
      <c r="K182">
        <v>272</v>
      </c>
      <c r="L182">
        <v>142</v>
      </c>
      <c r="M182">
        <v>570</v>
      </c>
      <c r="N182">
        <v>2214</v>
      </c>
      <c r="O182">
        <v>2718</v>
      </c>
      <c r="P182">
        <v>407</v>
      </c>
      <c r="Q182">
        <v>431</v>
      </c>
      <c r="R182">
        <v>1273</v>
      </c>
      <c r="S182">
        <v>6365</v>
      </c>
      <c r="T182">
        <v>7989</v>
      </c>
      <c r="U182">
        <v>1124</v>
      </c>
      <c r="V182">
        <v>238.35808510000001</v>
      </c>
      <c r="W182">
        <v>165.64178290000001</v>
      </c>
      <c r="X182">
        <v>142.96127480000001</v>
      </c>
      <c r="Y182">
        <v>127.6740381</v>
      </c>
      <c r="Z182">
        <v>117.5779907</v>
      </c>
      <c r="AA182">
        <v>65</v>
      </c>
      <c r="AB182">
        <v>287.43713709999997</v>
      </c>
      <c r="AC182">
        <v>320.44196640000001</v>
      </c>
      <c r="AD182">
        <v>218.7455544</v>
      </c>
      <c r="AE182">
        <v>139.7384773</v>
      </c>
      <c r="AF182">
        <v>116.60603639999999</v>
      </c>
      <c r="AG182">
        <v>55</v>
      </c>
      <c r="AH182">
        <v>283.9094791</v>
      </c>
      <c r="AI182">
        <v>236.96248399999999</v>
      </c>
      <c r="AJ182">
        <v>193.16640179999999</v>
      </c>
      <c r="AK182">
        <v>151.88246100000001</v>
      </c>
      <c r="AL182">
        <v>117.19322409999999</v>
      </c>
      <c r="AM182">
        <v>55</v>
      </c>
      <c r="AN182">
        <v>273.5198436</v>
      </c>
      <c r="AO182">
        <v>224.287544</v>
      </c>
      <c r="AP182">
        <v>181.11928349999999</v>
      </c>
      <c r="AQ182">
        <v>137.60586979999999</v>
      </c>
      <c r="AR182">
        <v>114.8396643</v>
      </c>
      <c r="AS182">
        <v>55</v>
      </c>
      <c r="AT182">
        <v>8.1851300000000005E-3</v>
      </c>
      <c r="AU182">
        <v>1.185393E-2</v>
      </c>
      <c r="AV182">
        <v>0.16282791999999999</v>
      </c>
      <c r="AW182">
        <v>8.0452850000000006E-2</v>
      </c>
      <c r="AX182">
        <v>6.6364939999999997E-2</v>
      </c>
      <c r="AY182">
        <v>2.7322000000000002E-3</v>
      </c>
      <c r="AZ182">
        <v>1.1881699999999999E-3</v>
      </c>
      <c r="BA182">
        <v>7.4154900000000003E-3</v>
      </c>
      <c r="BB182">
        <v>1.4086690000000001E-2</v>
      </c>
      <c r="BC182">
        <v>6.9105599999999996E-3</v>
      </c>
      <c r="BD182">
        <v>3.7064799999999998E-3</v>
      </c>
      <c r="BE182">
        <v>1.552569E-2</v>
      </c>
      <c r="BF182">
        <v>6.0793050000000001E-2</v>
      </c>
      <c r="BG182">
        <v>7.5780890000000004E-2</v>
      </c>
      <c r="BH182">
        <v>1.0826519999999999E-2</v>
      </c>
      <c r="BI182">
        <v>1.18356E-2</v>
      </c>
      <c r="BJ182">
        <v>3.5606190000000003E-2</v>
      </c>
      <c r="BK182">
        <v>0.17557817000000001</v>
      </c>
      <c r="BL182">
        <v>0.21883379999999999</v>
      </c>
      <c r="BM182">
        <v>2.9495730000000001E-2</v>
      </c>
      <c r="BN182">
        <v>3651</v>
      </c>
      <c r="BO182">
        <v>215.17332239999999</v>
      </c>
      <c r="BP182">
        <v>190</v>
      </c>
    </row>
    <row r="183" spans="1:68" x14ac:dyDescent="0.2">
      <c r="A183" t="s">
        <v>748</v>
      </c>
      <c r="B183">
        <v>87</v>
      </c>
      <c r="C183">
        <v>42</v>
      </c>
      <c r="D183">
        <v>223</v>
      </c>
      <c r="E183">
        <v>255</v>
      </c>
      <c r="F183">
        <v>698</v>
      </c>
      <c r="G183">
        <v>821</v>
      </c>
      <c r="H183">
        <v>546</v>
      </c>
      <c r="I183">
        <v>728</v>
      </c>
      <c r="J183">
        <v>670</v>
      </c>
      <c r="K183">
        <v>358</v>
      </c>
      <c r="L183">
        <v>260</v>
      </c>
      <c r="M183">
        <v>551</v>
      </c>
      <c r="N183">
        <v>1179</v>
      </c>
      <c r="O183">
        <v>566</v>
      </c>
      <c r="P183">
        <v>361</v>
      </c>
      <c r="Q183">
        <v>18</v>
      </c>
      <c r="R183">
        <v>312</v>
      </c>
      <c r="S183">
        <v>1002</v>
      </c>
      <c r="T183">
        <v>633</v>
      </c>
      <c r="U183">
        <v>419</v>
      </c>
      <c r="V183">
        <v>286.86857379999998</v>
      </c>
      <c r="W183">
        <v>252.66425229999999</v>
      </c>
      <c r="X183">
        <v>199.0498437</v>
      </c>
      <c r="Y183">
        <v>154.27764450000001</v>
      </c>
      <c r="Z183">
        <v>117.7059252</v>
      </c>
      <c r="AA183">
        <v>65</v>
      </c>
      <c r="AB183">
        <v>308.7130325</v>
      </c>
      <c r="AC183">
        <v>282.55852049999999</v>
      </c>
      <c r="AD183">
        <v>216.11930799999999</v>
      </c>
      <c r="AE183">
        <v>152.93411620000001</v>
      </c>
      <c r="AF183">
        <v>116.8128562</v>
      </c>
      <c r="AG183">
        <v>55</v>
      </c>
      <c r="AH183">
        <v>295.65813530000003</v>
      </c>
      <c r="AI183">
        <v>262.09999620000002</v>
      </c>
      <c r="AJ183">
        <v>219.59720970000001</v>
      </c>
      <c r="AK183">
        <v>162.9537144</v>
      </c>
      <c r="AL183">
        <v>114.5082811</v>
      </c>
      <c r="AM183">
        <v>55</v>
      </c>
      <c r="AN183">
        <v>282.8202397</v>
      </c>
      <c r="AO183">
        <v>238.47464160000001</v>
      </c>
      <c r="AP183">
        <v>208.7740877</v>
      </c>
      <c r="AQ183">
        <v>172.6024286</v>
      </c>
      <c r="AR183">
        <v>113.6992597</v>
      </c>
      <c r="AS183">
        <v>55</v>
      </c>
      <c r="AT183">
        <v>9.0671099999999998E-3</v>
      </c>
      <c r="AU183">
        <v>4.6573300000000003E-3</v>
      </c>
      <c r="AV183">
        <v>2.3531690000000001E-2</v>
      </c>
      <c r="AW183">
        <v>2.7164859999999999E-2</v>
      </c>
      <c r="AX183">
        <v>6.9648059999999998E-2</v>
      </c>
      <c r="AY183">
        <v>8.6057250000000002E-2</v>
      </c>
      <c r="AZ183">
        <v>5.5705730000000002E-2</v>
      </c>
      <c r="BA183">
        <v>7.3520310000000005E-2</v>
      </c>
      <c r="BB183">
        <v>6.7574869999999995E-2</v>
      </c>
      <c r="BC183">
        <v>3.4816960000000001E-2</v>
      </c>
      <c r="BD183">
        <v>2.7126709999999998E-2</v>
      </c>
      <c r="BE183">
        <v>5.6527540000000001E-2</v>
      </c>
      <c r="BF183">
        <v>0.12486261999999999</v>
      </c>
      <c r="BG183">
        <v>5.9292839999999999E-2</v>
      </c>
      <c r="BH183">
        <v>3.7338370000000003E-2</v>
      </c>
      <c r="BI183">
        <v>1.86717E-3</v>
      </c>
      <c r="BJ183">
        <v>3.2870379999999998E-2</v>
      </c>
      <c r="BK183">
        <v>0.10349738</v>
      </c>
      <c r="BL183">
        <v>6.2870049999999997E-2</v>
      </c>
      <c r="BM183">
        <v>4.2002770000000002E-2</v>
      </c>
      <c r="BN183">
        <v>2464</v>
      </c>
      <c r="BO183">
        <v>255.03073499999999</v>
      </c>
      <c r="BP183">
        <v>190</v>
      </c>
    </row>
    <row r="184" spans="1:68" x14ac:dyDescent="0.2">
      <c r="A184" t="s">
        <v>749</v>
      </c>
      <c r="B184">
        <v>273</v>
      </c>
      <c r="C184">
        <v>121</v>
      </c>
      <c r="D184">
        <v>456</v>
      </c>
      <c r="E184">
        <v>814</v>
      </c>
      <c r="F184">
        <v>391</v>
      </c>
      <c r="G184">
        <v>983</v>
      </c>
      <c r="H184">
        <v>646</v>
      </c>
      <c r="I184">
        <v>1033</v>
      </c>
      <c r="J184">
        <v>1159</v>
      </c>
      <c r="K184">
        <v>526</v>
      </c>
      <c r="L184">
        <v>418</v>
      </c>
      <c r="M184">
        <v>591</v>
      </c>
      <c r="N184">
        <v>2495</v>
      </c>
      <c r="O184">
        <v>1431</v>
      </c>
      <c r="P184">
        <v>553</v>
      </c>
      <c r="Q184">
        <v>43</v>
      </c>
      <c r="R184">
        <v>259</v>
      </c>
      <c r="S184">
        <v>2179</v>
      </c>
      <c r="T184">
        <v>1200</v>
      </c>
      <c r="U184">
        <v>422</v>
      </c>
      <c r="V184">
        <v>272.56652400000002</v>
      </c>
      <c r="W184">
        <v>258.74092680000001</v>
      </c>
      <c r="X184">
        <v>174.21937059999999</v>
      </c>
      <c r="Y184">
        <v>154.40881189999999</v>
      </c>
      <c r="Z184">
        <v>115.25062749999999</v>
      </c>
      <c r="AA184">
        <v>65</v>
      </c>
      <c r="AB184">
        <v>310.23360050000002</v>
      </c>
      <c r="AC184">
        <v>296.0936557</v>
      </c>
      <c r="AD184">
        <v>217.89696000000001</v>
      </c>
      <c r="AE184">
        <v>149.2718528</v>
      </c>
      <c r="AF184">
        <v>117.5405943</v>
      </c>
      <c r="AG184">
        <v>55</v>
      </c>
      <c r="AH184">
        <v>300.0242988</v>
      </c>
      <c r="AI184">
        <v>218.26327359999999</v>
      </c>
      <c r="AJ184">
        <v>195.47632580000001</v>
      </c>
      <c r="AK184">
        <v>166.3101829</v>
      </c>
      <c r="AL184">
        <v>114.35159729999999</v>
      </c>
      <c r="AM184">
        <v>55</v>
      </c>
      <c r="AN184">
        <v>320.32337769999998</v>
      </c>
      <c r="AO184">
        <v>187.59915599999999</v>
      </c>
      <c r="AP184">
        <v>173.35941579999999</v>
      </c>
      <c r="AQ184">
        <v>158.6458423</v>
      </c>
      <c r="AR184">
        <v>115.2286008</v>
      </c>
      <c r="AS184">
        <v>55</v>
      </c>
      <c r="AT184">
        <v>1.8912970000000001E-2</v>
      </c>
      <c r="AU184">
        <v>7.6896400000000002E-3</v>
      </c>
      <c r="AV184">
        <v>2.9420669999999999E-2</v>
      </c>
      <c r="AW184">
        <v>4.9302079999999998E-2</v>
      </c>
      <c r="AX184">
        <v>2.7945459999999998E-2</v>
      </c>
      <c r="AY184">
        <v>6.0090350000000001E-2</v>
      </c>
      <c r="AZ184">
        <v>3.7772350000000003E-2</v>
      </c>
      <c r="BA184">
        <v>6.4184539999999998E-2</v>
      </c>
      <c r="BB184">
        <v>7.0701360000000005E-2</v>
      </c>
      <c r="BC184">
        <v>3.8485730000000003E-2</v>
      </c>
      <c r="BD184">
        <v>2.5866770000000001E-2</v>
      </c>
      <c r="BE184">
        <v>3.5720439999999999E-2</v>
      </c>
      <c r="BF184">
        <v>0.15318559000000001</v>
      </c>
      <c r="BG184">
        <v>8.8080889999999995E-2</v>
      </c>
      <c r="BH184">
        <v>4.0545020000000001E-2</v>
      </c>
      <c r="BI184">
        <v>2.6738500000000002E-3</v>
      </c>
      <c r="BJ184">
        <v>1.5852990000000001E-2</v>
      </c>
      <c r="BK184">
        <v>0.13028815999999999</v>
      </c>
      <c r="BL184">
        <v>7.4507760000000006E-2</v>
      </c>
      <c r="BM184">
        <v>2.8773380000000001E-2</v>
      </c>
      <c r="BN184">
        <v>1661</v>
      </c>
      <c r="BO184">
        <v>245.34089220000001</v>
      </c>
      <c r="BP184">
        <v>190</v>
      </c>
    </row>
    <row r="185" spans="1:68" x14ac:dyDescent="0.2">
      <c r="A185" t="s">
        <v>750</v>
      </c>
      <c r="B185">
        <v>51</v>
      </c>
      <c r="C185">
        <v>28</v>
      </c>
      <c r="D185">
        <v>404</v>
      </c>
      <c r="E185">
        <v>200</v>
      </c>
      <c r="F185">
        <v>530</v>
      </c>
      <c r="G185">
        <v>768</v>
      </c>
      <c r="H185">
        <v>302</v>
      </c>
      <c r="I185">
        <v>398</v>
      </c>
      <c r="J185">
        <v>684</v>
      </c>
      <c r="K185">
        <v>292</v>
      </c>
      <c r="L185">
        <v>899</v>
      </c>
      <c r="M185">
        <v>771</v>
      </c>
      <c r="N185">
        <v>970</v>
      </c>
      <c r="O185">
        <v>560</v>
      </c>
      <c r="P185">
        <v>293</v>
      </c>
      <c r="Q185">
        <v>239</v>
      </c>
      <c r="R185">
        <v>516</v>
      </c>
      <c r="S185">
        <v>828</v>
      </c>
      <c r="T185">
        <v>316</v>
      </c>
      <c r="U185">
        <v>183</v>
      </c>
      <c r="V185">
        <v>195.69783570000001</v>
      </c>
      <c r="W185">
        <v>272.8631436</v>
      </c>
      <c r="X185">
        <v>218.04298130000001</v>
      </c>
      <c r="Y185">
        <v>147.56346869999999</v>
      </c>
      <c r="Z185">
        <v>120.88164140000001</v>
      </c>
      <c r="AA185">
        <v>65</v>
      </c>
      <c r="AB185">
        <v>323.7065336</v>
      </c>
      <c r="AC185">
        <v>299.35137880000002</v>
      </c>
      <c r="AD185">
        <v>223.6724849</v>
      </c>
      <c r="AE185">
        <v>143.26153189999999</v>
      </c>
      <c r="AF185">
        <v>114.15340209999999</v>
      </c>
      <c r="AG185">
        <v>55</v>
      </c>
      <c r="AH185">
        <v>310.41771679999999</v>
      </c>
      <c r="AI185">
        <v>269.15703830000001</v>
      </c>
      <c r="AJ185">
        <v>222.33567640000001</v>
      </c>
      <c r="AK185">
        <v>160.76907879999999</v>
      </c>
      <c r="AL185">
        <v>114.6368233</v>
      </c>
      <c r="AM185">
        <v>55</v>
      </c>
      <c r="AN185">
        <v>286.51638480000003</v>
      </c>
      <c r="AO185">
        <v>262.89552509999999</v>
      </c>
      <c r="AP185">
        <v>200.79527809999999</v>
      </c>
      <c r="AQ185">
        <v>152.0160329</v>
      </c>
      <c r="AR185">
        <v>112.8675374</v>
      </c>
      <c r="AS185">
        <v>55</v>
      </c>
      <c r="AT185">
        <v>4.7108300000000001E-3</v>
      </c>
      <c r="AU185">
        <v>2.8791400000000001E-3</v>
      </c>
      <c r="AV185">
        <v>4.8848299999999997E-2</v>
      </c>
      <c r="AW185">
        <v>2.2507889999999999E-2</v>
      </c>
      <c r="AX185">
        <v>5.3073700000000001E-2</v>
      </c>
      <c r="AY185">
        <v>8.2599160000000005E-2</v>
      </c>
      <c r="AZ185">
        <v>3.1522139999999997E-2</v>
      </c>
      <c r="BA185">
        <v>4.2503689999999997E-2</v>
      </c>
      <c r="BB185">
        <v>7.7285380000000001E-2</v>
      </c>
      <c r="BC185">
        <v>2.8222839999999999E-2</v>
      </c>
      <c r="BD185">
        <v>9.7083559999999999E-2</v>
      </c>
      <c r="BE185">
        <v>8.4144209999999997E-2</v>
      </c>
      <c r="BF185">
        <v>0.10585717</v>
      </c>
      <c r="BG185">
        <v>6.6998470000000004E-2</v>
      </c>
      <c r="BH185">
        <v>2.8689300000000001E-2</v>
      </c>
      <c r="BI185">
        <v>2.3388869999999999E-2</v>
      </c>
      <c r="BJ185">
        <v>5.6452509999999997E-2</v>
      </c>
      <c r="BK185">
        <v>8.8674929999999999E-2</v>
      </c>
      <c r="BL185">
        <v>3.7017519999999998E-2</v>
      </c>
      <c r="BM185">
        <v>1.7540389999999999E-2</v>
      </c>
      <c r="BN185">
        <v>1239</v>
      </c>
      <c r="BO185">
        <v>281.048498</v>
      </c>
      <c r="BP185">
        <v>190</v>
      </c>
    </row>
    <row r="186" spans="1:68" x14ac:dyDescent="0.2">
      <c r="A186" t="s">
        <v>751</v>
      </c>
      <c r="B186">
        <v>205</v>
      </c>
      <c r="C186">
        <v>933</v>
      </c>
      <c r="D186">
        <v>2049</v>
      </c>
      <c r="E186">
        <v>522</v>
      </c>
      <c r="F186">
        <v>634</v>
      </c>
      <c r="G186">
        <v>1015</v>
      </c>
      <c r="H186">
        <v>615</v>
      </c>
      <c r="I186">
        <v>467</v>
      </c>
      <c r="J186">
        <v>266</v>
      </c>
      <c r="K186">
        <v>125</v>
      </c>
      <c r="L186">
        <v>1851</v>
      </c>
      <c r="M186">
        <v>1496</v>
      </c>
      <c r="N186">
        <v>1140</v>
      </c>
      <c r="O186">
        <v>499</v>
      </c>
      <c r="P186">
        <v>178</v>
      </c>
      <c r="Q186">
        <v>422</v>
      </c>
      <c r="R186">
        <v>774</v>
      </c>
      <c r="S186">
        <v>1134</v>
      </c>
      <c r="T186">
        <v>368</v>
      </c>
      <c r="U186">
        <v>262</v>
      </c>
      <c r="V186">
        <v>263.35987360000001</v>
      </c>
      <c r="W186">
        <v>225.0298392</v>
      </c>
      <c r="X186">
        <v>214.3511939</v>
      </c>
      <c r="Y186">
        <v>147.0305721</v>
      </c>
      <c r="Z186">
        <v>120.6916808</v>
      </c>
      <c r="AA186">
        <v>65</v>
      </c>
      <c r="AB186">
        <v>296.34107549999999</v>
      </c>
      <c r="AC186">
        <v>278.57226580000003</v>
      </c>
      <c r="AD186">
        <v>211.9548399</v>
      </c>
      <c r="AE186">
        <v>150.31946110000001</v>
      </c>
      <c r="AF186">
        <v>110.1883875</v>
      </c>
      <c r="AG186">
        <v>55</v>
      </c>
      <c r="AH186">
        <v>285.60880750000001</v>
      </c>
      <c r="AI186">
        <v>246.76640850000001</v>
      </c>
      <c r="AJ186">
        <v>208.9211411</v>
      </c>
      <c r="AK186">
        <v>155.75375149999999</v>
      </c>
      <c r="AL186">
        <v>116.07946130000001</v>
      </c>
      <c r="AM186">
        <v>55</v>
      </c>
      <c r="AN186">
        <v>250.4504987</v>
      </c>
      <c r="AO186">
        <v>213.71402470000001</v>
      </c>
      <c r="AP186">
        <v>190.80666199999999</v>
      </c>
      <c r="AQ186">
        <v>151.7832271</v>
      </c>
      <c r="AR186">
        <v>117.01499080000001</v>
      </c>
      <c r="AS186">
        <v>55</v>
      </c>
      <c r="AT186">
        <v>1.4209889999999999E-2</v>
      </c>
      <c r="AU186">
        <v>6.4092280000000001E-2</v>
      </c>
      <c r="AV186">
        <v>0.13466465</v>
      </c>
      <c r="AW186">
        <v>3.4715719999999999E-2</v>
      </c>
      <c r="AX186">
        <v>4.4727740000000002E-2</v>
      </c>
      <c r="AY186">
        <v>6.7056009999999999E-2</v>
      </c>
      <c r="AZ186">
        <v>4.0950100000000003E-2</v>
      </c>
      <c r="BA186">
        <v>3.1446639999999998E-2</v>
      </c>
      <c r="BB186">
        <v>1.8124979999999999E-2</v>
      </c>
      <c r="BC186">
        <v>8.8840199999999994E-3</v>
      </c>
      <c r="BD186">
        <v>0.12277685000000001</v>
      </c>
      <c r="BE186">
        <v>9.9886680000000005E-2</v>
      </c>
      <c r="BF186">
        <v>7.6021710000000006E-2</v>
      </c>
      <c r="BG186">
        <v>3.2724160000000002E-2</v>
      </c>
      <c r="BH186">
        <v>1.2904570000000001E-2</v>
      </c>
      <c r="BI186">
        <v>2.788237E-2</v>
      </c>
      <c r="BJ186">
        <v>5.0632990000000003E-2</v>
      </c>
      <c r="BK186">
        <v>7.4892319999999998E-2</v>
      </c>
      <c r="BL186">
        <v>2.445135E-2</v>
      </c>
      <c r="BM186">
        <v>1.8954970000000002E-2</v>
      </c>
      <c r="BN186">
        <v>1469</v>
      </c>
      <c r="BO186">
        <v>301.08464249999997</v>
      </c>
      <c r="BP186">
        <v>190</v>
      </c>
    </row>
    <row r="187" spans="1:68" x14ac:dyDescent="0.2">
      <c r="A187" t="s">
        <v>752</v>
      </c>
      <c r="B187">
        <v>24</v>
      </c>
      <c r="C187">
        <v>31</v>
      </c>
      <c r="D187">
        <v>29</v>
      </c>
      <c r="E187">
        <v>46</v>
      </c>
      <c r="F187">
        <v>129</v>
      </c>
      <c r="G187">
        <v>103</v>
      </c>
      <c r="H187">
        <v>41</v>
      </c>
      <c r="I187">
        <v>94</v>
      </c>
      <c r="J187">
        <v>119</v>
      </c>
      <c r="K187">
        <v>114</v>
      </c>
      <c r="L187">
        <v>68</v>
      </c>
      <c r="M187">
        <v>59</v>
      </c>
      <c r="N187">
        <v>209</v>
      </c>
      <c r="O187">
        <v>165</v>
      </c>
      <c r="P187">
        <v>150</v>
      </c>
      <c r="Q187">
        <v>8</v>
      </c>
      <c r="R187">
        <v>42</v>
      </c>
      <c r="S187">
        <v>243</v>
      </c>
      <c r="T187">
        <v>200</v>
      </c>
      <c r="U187">
        <v>253</v>
      </c>
      <c r="V187">
        <v>103.82908550000001</v>
      </c>
      <c r="W187">
        <v>133.53133510000001</v>
      </c>
      <c r="X187">
        <v>120.8126888</v>
      </c>
      <c r="Y187">
        <v>166.1188013</v>
      </c>
      <c r="Z187">
        <v>117.5359198</v>
      </c>
      <c r="AA187">
        <v>65</v>
      </c>
      <c r="AB187">
        <v>313.73732460000002</v>
      </c>
      <c r="AC187">
        <v>341.18737349999998</v>
      </c>
      <c r="AD187">
        <v>229.60817929999999</v>
      </c>
      <c r="AE187">
        <v>161.35483049999999</v>
      </c>
      <c r="AF187">
        <v>119.4936575</v>
      </c>
      <c r="AG187">
        <v>55</v>
      </c>
      <c r="AH187">
        <v>283.7889811</v>
      </c>
      <c r="AI187">
        <v>237.64550800000001</v>
      </c>
      <c r="AJ187">
        <v>210.48070369999999</v>
      </c>
      <c r="AK187">
        <v>170.86099630000001</v>
      </c>
      <c r="AL187">
        <v>115.81549560000001</v>
      </c>
      <c r="AM187">
        <v>55</v>
      </c>
      <c r="AN187">
        <v>403</v>
      </c>
      <c r="AO187">
        <v>230.41874999999999</v>
      </c>
      <c r="AP187">
        <v>209.93235809999999</v>
      </c>
      <c r="AQ187">
        <v>161.7668118</v>
      </c>
      <c r="AR187">
        <v>116.447354</v>
      </c>
      <c r="AS187">
        <v>55</v>
      </c>
      <c r="AT187">
        <v>1.211374E-2</v>
      </c>
      <c r="AU187">
        <v>1.4542909999999999E-2</v>
      </c>
      <c r="AV187">
        <v>1.309754E-2</v>
      </c>
      <c r="AW187">
        <v>2.128677E-2</v>
      </c>
      <c r="AX187">
        <v>5.6962980000000003E-2</v>
      </c>
      <c r="AY187">
        <v>4.7067860000000003E-2</v>
      </c>
      <c r="AZ187">
        <v>1.8992019999999998E-2</v>
      </c>
      <c r="BA187">
        <v>4.4268729999999999E-2</v>
      </c>
      <c r="BB187">
        <v>5.8523749999999999E-2</v>
      </c>
      <c r="BC187">
        <v>5.7755269999999997E-2</v>
      </c>
      <c r="BD187">
        <v>3.2258490000000001E-2</v>
      </c>
      <c r="BE187">
        <v>2.6683999999999999E-2</v>
      </c>
      <c r="BF187">
        <v>9.5943929999999997E-2</v>
      </c>
      <c r="BG187">
        <v>7.8651849999999995E-2</v>
      </c>
      <c r="BH187">
        <v>8.1841170000000005E-2</v>
      </c>
      <c r="BI187">
        <v>1.99972E-3</v>
      </c>
      <c r="BJ187">
        <v>1.7884500000000001E-2</v>
      </c>
      <c r="BK187">
        <v>0.11075212</v>
      </c>
      <c r="BL187">
        <v>9.0658520000000006E-2</v>
      </c>
      <c r="BM187">
        <v>0.11871413</v>
      </c>
      <c r="BN187">
        <v>185</v>
      </c>
      <c r="BO187">
        <v>233.90850230000001</v>
      </c>
      <c r="BP187">
        <v>190</v>
      </c>
    </row>
    <row r="188" spans="1:68" x14ac:dyDescent="0.2">
      <c r="A188" t="s">
        <v>753</v>
      </c>
      <c r="B188">
        <v>403</v>
      </c>
      <c r="C188">
        <v>604</v>
      </c>
      <c r="D188">
        <v>2518</v>
      </c>
      <c r="E188">
        <v>1265</v>
      </c>
      <c r="F188">
        <v>628</v>
      </c>
      <c r="G188">
        <v>1002</v>
      </c>
      <c r="H188">
        <v>304</v>
      </c>
      <c r="I188">
        <v>452</v>
      </c>
      <c r="J188">
        <v>197</v>
      </c>
      <c r="K188">
        <v>101</v>
      </c>
      <c r="L188">
        <v>3014</v>
      </c>
      <c r="M188">
        <v>2046</v>
      </c>
      <c r="N188">
        <v>1867</v>
      </c>
      <c r="O188">
        <v>555</v>
      </c>
      <c r="P188">
        <v>322</v>
      </c>
      <c r="Q188">
        <v>578</v>
      </c>
      <c r="R188">
        <v>2415</v>
      </c>
      <c r="S188">
        <v>2165</v>
      </c>
      <c r="T188">
        <v>488</v>
      </c>
      <c r="U188">
        <v>236</v>
      </c>
      <c r="V188">
        <v>261.0926796</v>
      </c>
      <c r="W188">
        <v>266.23160059999998</v>
      </c>
      <c r="X188">
        <v>205.2173574</v>
      </c>
      <c r="Y188">
        <v>169.35910179999999</v>
      </c>
      <c r="Z188">
        <v>118.7617102</v>
      </c>
      <c r="AA188">
        <v>65</v>
      </c>
      <c r="AB188">
        <v>309.10467729999999</v>
      </c>
      <c r="AC188">
        <v>264.83691920000001</v>
      </c>
      <c r="AD188">
        <v>220.28393650000001</v>
      </c>
      <c r="AE188">
        <v>150.11267319999999</v>
      </c>
      <c r="AF188">
        <v>115.90724419999999</v>
      </c>
      <c r="AG188">
        <v>55</v>
      </c>
      <c r="AH188">
        <v>293.98671969999998</v>
      </c>
      <c r="AI188">
        <v>236.18225319999999</v>
      </c>
      <c r="AJ188">
        <v>203.21844680000001</v>
      </c>
      <c r="AK188">
        <v>165.40795230000001</v>
      </c>
      <c r="AL188">
        <v>116.6006029</v>
      </c>
      <c r="AM188">
        <v>55</v>
      </c>
      <c r="AN188">
        <v>276.38098989999997</v>
      </c>
      <c r="AO188">
        <v>217.6767907</v>
      </c>
      <c r="AP188">
        <v>186.50561819999999</v>
      </c>
      <c r="AQ188">
        <v>160.89503210000001</v>
      </c>
      <c r="AR188">
        <v>117.15490800000001</v>
      </c>
      <c r="AS188">
        <v>55</v>
      </c>
      <c r="AT188">
        <v>1.987978E-2</v>
      </c>
      <c r="AU188">
        <v>2.702067E-2</v>
      </c>
      <c r="AV188">
        <v>0.12068078</v>
      </c>
      <c r="AW188">
        <v>6.0566380000000003E-2</v>
      </c>
      <c r="AX188">
        <v>3.1696410000000001E-2</v>
      </c>
      <c r="AY188">
        <v>4.8277550000000002E-2</v>
      </c>
      <c r="AZ188">
        <v>1.454369E-2</v>
      </c>
      <c r="BA188">
        <v>2.278471E-2</v>
      </c>
      <c r="BB188">
        <v>9.6749499999999999E-3</v>
      </c>
      <c r="BC188">
        <v>5.3446199999999996E-3</v>
      </c>
      <c r="BD188">
        <v>0.14035785000000001</v>
      </c>
      <c r="BE188">
        <v>9.4565120000000003E-2</v>
      </c>
      <c r="BF188">
        <v>8.6629349999999994E-2</v>
      </c>
      <c r="BG188">
        <v>2.5788620000000002E-2</v>
      </c>
      <c r="BH188">
        <v>1.6940170000000001E-2</v>
      </c>
      <c r="BI188">
        <v>2.6410739999999999E-2</v>
      </c>
      <c r="BJ188">
        <v>0.11210194</v>
      </c>
      <c r="BK188">
        <v>0.10224701</v>
      </c>
      <c r="BL188">
        <v>2.2411480000000001E-2</v>
      </c>
      <c r="BM188">
        <v>1.2078180000000001E-2</v>
      </c>
      <c r="BN188">
        <v>2784</v>
      </c>
      <c r="BO188">
        <v>298.05032369999998</v>
      </c>
      <c r="BP188">
        <v>190</v>
      </c>
    </row>
    <row r="189" spans="1:68" x14ac:dyDescent="0.2">
      <c r="A189" t="s">
        <v>754</v>
      </c>
      <c r="B189">
        <v>138</v>
      </c>
      <c r="C189">
        <v>422</v>
      </c>
      <c r="D189">
        <v>338</v>
      </c>
      <c r="E189">
        <v>404</v>
      </c>
      <c r="F189">
        <v>342</v>
      </c>
      <c r="G189">
        <v>426</v>
      </c>
      <c r="H189">
        <v>410</v>
      </c>
      <c r="I189">
        <v>308</v>
      </c>
      <c r="J189">
        <v>331</v>
      </c>
      <c r="K189">
        <v>252</v>
      </c>
      <c r="L189">
        <v>513</v>
      </c>
      <c r="M189">
        <v>636</v>
      </c>
      <c r="N189">
        <v>613</v>
      </c>
      <c r="O189">
        <v>402</v>
      </c>
      <c r="P189">
        <v>276</v>
      </c>
      <c r="Q189">
        <v>220</v>
      </c>
      <c r="R189">
        <v>504</v>
      </c>
      <c r="S189">
        <v>798</v>
      </c>
      <c r="T189">
        <v>595</v>
      </c>
      <c r="U189">
        <v>289</v>
      </c>
      <c r="V189">
        <v>230.0255971</v>
      </c>
      <c r="W189">
        <v>259.08206189999999</v>
      </c>
      <c r="X189">
        <v>141.7074509</v>
      </c>
      <c r="Y189">
        <v>157.7513051</v>
      </c>
      <c r="Z189">
        <v>90.62842981</v>
      </c>
      <c r="AA189">
        <v>65</v>
      </c>
      <c r="AB189">
        <v>296.89477199999999</v>
      </c>
      <c r="AC189">
        <v>292.15659729999999</v>
      </c>
      <c r="AD189">
        <v>231.9715558</v>
      </c>
      <c r="AE189">
        <v>153.91314460000001</v>
      </c>
      <c r="AF189">
        <v>116.9009385</v>
      </c>
      <c r="AG189">
        <v>55</v>
      </c>
      <c r="AH189">
        <v>278.71622339999999</v>
      </c>
      <c r="AI189">
        <v>212.49471149999999</v>
      </c>
      <c r="AJ189">
        <v>217.38861449999999</v>
      </c>
      <c r="AK189">
        <v>161.6203491</v>
      </c>
      <c r="AL189">
        <v>115.6925861</v>
      </c>
      <c r="AM189">
        <v>55</v>
      </c>
      <c r="AN189">
        <v>258.51562009999998</v>
      </c>
      <c r="AO189">
        <v>164.54827900000001</v>
      </c>
      <c r="AP189">
        <v>201.27267430000001</v>
      </c>
      <c r="AQ189">
        <v>146.90073659999999</v>
      </c>
      <c r="AR189">
        <v>116.37297719999999</v>
      </c>
      <c r="AS189">
        <v>55</v>
      </c>
      <c r="AT189">
        <v>1.525106E-2</v>
      </c>
      <c r="AU189">
        <v>5.5454910000000003E-2</v>
      </c>
      <c r="AV189">
        <v>4.0819630000000003E-2</v>
      </c>
      <c r="AW189">
        <v>5.0419119999999998E-2</v>
      </c>
      <c r="AX189">
        <v>3.8404979999999998E-2</v>
      </c>
      <c r="AY189">
        <v>5.7999540000000002E-2</v>
      </c>
      <c r="AZ189">
        <v>5.0255059999999997E-2</v>
      </c>
      <c r="BA189">
        <v>3.8963610000000003E-2</v>
      </c>
      <c r="BB189">
        <v>3.3659189999999999E-2</v>
      </c>
      <c r="BC189">
        <v>2.774633E-2</v>
      </c>
      <c r="BD189">
        <v>6.8782129999999997E-2</v>
      </c>
      <c r="BE189">
        <v>8.1613190000000002E-2</v>
      </c>
      <c r="BF189">
        <v>7.7833340000000001E-2</v>
      </c>
      <c r="BG189">
        <v>4.3944950000000003E-2</v>
      </c>
      <c r="BH189">
        <v>2.864243E-2</v>
      </c>
      <c r="BI189">
        <v>2.8915739999999999E-2</v>
      </c>
      <c r="BJ189">
        <v>6.5052730000000003E-2</v>
      </c>
      <c r="BK189">
        <v>0.1005843</v>
      </c>
      <c r="BL189">
        <v>6.947275E-2</v>
      </c>
      <c r="BM189">
        <v>2.6185010000000002E-2</v>
      </c>
      <c r="BN189">
        <v>837</v>
      </c>
      <c r="BO189">
        <v>250.00529639999999</v>
      </c>
      <c r="BP189">
        <v>190</v>
      </c>
    </row>
    <row r="190" spans="1:68" x14ac:dyDescent="0.2">
      <c r="A190" t="s">
        <v>755</v>
      </c>
      <c r="B190">
        <v>31</v>
      </c>
      <c r="C190">
        <v>2278</v>
      </c>
      <c r="D190">
        <v>3689</v>
      </c>
      <c r="E190">
        <v>1558</v>
      </c>
      <c r="F190">
        <v>1606</v>
      </c>
      <c r="G190">
        <v>480</v>
      </c>
      <c r="H190">
        <v>98</v>
      </c>
      <c r="I190">
        <v>175</v>
      </c>
      <c r="J190">
        <v>188</v>
      </c>
      <c r="K190">
        <v>120</v>
      </c>
      <c r="L190">
        <v>1188</v>
      </c>
      <c r="M190">
        <v>552</v>
      </c>
      <c r="N190">
        <v>1437</v>
      </c>
      <c r="O190">
        <v>598</v>
      </c>
      <c r="P190">
        <v>303</v>
      </c>
      <c r="Q190">
        <v>656</v>
      </c>
      <c r="R190">
        <v>691</v>
      </c>
      <c r="S190">
        <v>3676</v>
      </c>
      <c r="T190">
        <v>1202</v>
      </c>
      <c r="U190">
        <v>456</v>
      </c>
      <c r="V190">
        <v>225.8046531</v>
      </c>
      <c r="W190">
        <v>251.06292669999999</v>
      </c>
      <c r="X190">
        <v>221.09773569999999</v>
      </c>
      <c r="Y190">
        <v>165.5437001</v>
      </c>
      <c r="Z190">
        <v>126.1535483</v>
      </c>
      <c r="AA190">
        <v>65</v>
      </c>
      <c r="AB190">
        <v>292.18622269999997</v>
      </c>
      <c r="AC190">
        <v>241.44848880000001</v>
      </c>
      <c r="AD190">
        <v>212.68964560000001</v>
      </c>
      <c r="AE190">
        <v>156.8368514</v>
      </c>
      <c r="AF190">
        <v>114.0160008</v>
      </c>
      <c r="AG190">
        <v>55</v>
      </c>
      <c r="AH190">
        <v>277.5110664</v>
      </c>
      <c r="AI190">
        <v>224.43899479999999</v>
      </c>
      <c r="AJ190">
        <v>216.46538670000001</v>
      </c>
      <c r="AK190">
        <v>172.50919060000001</v>
      </c>
      <c r="AL190">
        <v>126.5530409</v>
      </c>
      <c r="AM190">
        <v>55</v>
      </c>
      <c r="AN190">
        <v>259.3893281</v>
      </c>
      <c r="AO190">
        <v>244.874506</v>
      </c>
      <c r="AP190">
        <v>207.4135503</v>
      </c>
      <c r="AQ190">
        <v>170.18776650000001</v>
      </c>
      <c r="AR190">
        <v>123.8931305</v>
      </c>
      <c r="AS190">
        <v>55</v>
      </c>
      <c r="AT190">
        <v>1.51851E-3</v>
      </c>
      <c r="AU190">
        <v>0.10949747</v>
      </c>
      <c r="AV190">
        <v>0.17808662</v>
      </c>
      <c r="AW190">
        <v>7.2147879999999998E-2</v>
      </c>
      <c r="AX190">
        <v>8.1467910000000004E-2</v>
      </c>
      <c r="AY190">
        <v>2.2769339999999999E-2</v>
      </c>
      <c r="AZ190">
        <v>4.7185700000000001E-3</v>
      </c>
      <c r="BA190">
        <v>8.0497399999999997E-3</v>
      </c>
      <c r="BB190">
        <v>9.1671400000000007E-3</v>
      </c>
      <c r="BC190">
        <v>6.0652099999999997E-3</v>
      </c>
      <c r="BD190">
        <v>5.4796659999999997E-2</v>
      </c>
      <c r="BE190">
        <v>2.7239670000000001E-2</v>
      </c>
      <c r="BF190">
        <v>6.7801379999999994E-2</v>
      </c>
      <c r="BG190">
        <v>2.738811E-2</v>
      </c>
      <c r="BH190">
        <v>1.52988E-2</v>
      </c>
      <c r="BI190">
        <v>3.1101989999999999E-2</v>
      </c>
      <c r="BJ190">
        <v>3.267225E-2</v>
      </c>
      <c r="BK190">
        <v>0.17249961</v>
      </c>
      <c r="BL190">
        <v>5.5481519999999999E-2</v>
      </c>
      <c r="BM190">
        <v>2.2231620000000001E-2</v>
      </c>
      <c r="BN190">
        <v>2964</v>
      </c>
      <c r="BO190">
        <v>222.27113750000001</v>
      </c>
      <c r="BP190">
        <v>190</v>
      </c>
    </row>
    <row r="191" spans="1:68" x14ac:dyDescent="0.2">
      <c r="A191" t="s">
        <v>756</v>
      </c>
      <c r="B191">
        <v>314</v>
      </c>
      <c r="C191">
        <v>166</v>
      </c>
      <c r="D191">
        <v>899</v>
      </c>
      <c r="E191">
        <v>928</v>
      </c>
      <c r="F191">
        <v>676</v>
      </c>
      <c r="G191">
        <v>937</v>
      </c>
      <c r="H191">
        <v>480</v>
      </c>
      <c r="I191">
        <v>892</v>
      </c>
      <c r="J191">
        <v>882</v>
      </c>
      <c r="K191">
        <v>420</v>
      </c>
      <c r="L191">
        <v>390</v>
      </c>
      <c r="M191">
        <v>902</v>
      </c>
      <c r="N191">
        <v>1731</v>
      </c>
      <c r="O191">
        <v>1183</v>
      </c>
      <c r="P191">
        <v>609</v>
      </c>
      <c r="Q191">
        <v>37</v>
      </c>
      <c r="R191">
        <v>403</v>
      </c>
      <c r="S191">
        <v>1737</v>
      </c>
      <c r="T191">
        <v>768</v>
      </c>
      <c r="U191">
        <v>448</v>
      </c>
      <c r="V191">
        <v>270.2875861</v>
      </c>
      <c r="W191">
        <v>295.0991985</v>
      </c>
      <c r="X191">
        <v>177.61677639999999</v>
      </c>
      <c r="Y191">
        <v>137.49975950000001</v>
      </c>
      <c r="Z191">
        <v>91.697401119999995</v>
      </c>
      <c r="AA191">
        <v>65</v>
      </c>
      <c r="AB191">
        <v>285.56075499999997</v>
      </c>
      <c r="AC191">
        <v>298.2148608</v>
      </c>
      <c r="AD191">
        <v>210.73392699999999</v>
      </c>
      <c r="AE191">
        <v>148.25001180000001</v>
      </c>
      <c r="AF191">
        <v>115.052836</v>
      </c>
      <c r="AG191">
        <v>55</v>
      </c>
      <c r="AH191">
        <v>289.89154330000002</v>
      </c>
      <c r="AI191">
        <v>262.04886859999999</v>
      </c>
      <c r="AJ191">
        <v>187.41041809999999</v>
      </c>
      <c r="AK191">
        <v>158.7359021</v>
      </c>
      <c r="AL191">
        <v>115.6332647</v>
      </c>
      <c r="AM191">
        <v>55</v>
      </c>
      <c r="AN191">
        <v>229.26994260000001</v>
      </c>
      <c r="AO191">
        <v>240.3650806</v>
      </c>
      <c r="AP191">
        <v>164.76779160000001</v>
      </c>
      <c r="AQ191">
        <v>154.37334619999999</v>
      </c>
      <c r="AR191">
        <v>112.3453044</v>
      </c>
      <c r="AS191">
        <v>55</v>
      </c>
      <c r="AT191">
        <v>2.199328E-2</v>
      </c>
      <c r="AU191">
        <v>1.177513E-2</v>
      </c>
      <c r="AV191">
        <v>6.3789230000000002E-2</v>
      </c>
      <c r="AW191">
        <v>6.6529720000000001E-2</v>
      </c>
      <c r="AX191">
        <v>5.2406710000000002E-2</v>
      </c>
      <c r="AY191">
        <v>6.1395669999999999E-2</v>
      </c>
      <c r="AZ191">
        <v>3.0639570000000001E-2</v>
      </c>
      <c r="BA191">
        <v>5.9014509999999999E-2</v>
      </c>
      <c r="BB191">
        <v>5.9270580000000003E-2</v>
      </c>
      <c r="BC191">
        <v>3.107451E-2</v>
      </c>
      <c r="BD191">
        <v>2.5864850000000002E-2</v>
      </c>
      <c r="BE191">
        <v>5.7102460000000001E-2</v>
      </c>
      <c r="BF191">
        <v>0.11516368</v>
      </c>
      <c r="BG191">
        <v>7.6632580000000006E-2</v>
      </c>
      <c r="BH191">
        <v>4.6202859999999998E-2</v>
      </c>
      <c r="BI191">
        <v>2.8647999999999998E-3</v>
      </c>
      <c r="BJ191">
        <v>2.5345969999999999E-2</v>
      </c>
      <c r="BK191">
        <v>0.11138261000000001</v>
      </c>
      <c r="BL191">
        <v>4.6891210000000003E-2</v>
      </c>
      <c r="BM191">
        <v>3.4660070000000001E-2</v>
      </c>
      <c r="BN191">
        <v>2311</v>
      </c>
      <c r="BO191">
        <v>251.26474160000001</v>
      </c>
      <c r="BP191">
        <v>190</v>
      </c>
    </row>
    <row r="192" spans="1:68" x14ac:dyDescent="0.2">
      <c r="A192" t="s">
        <v>757</v>
      </c>
      <c r="B192">
        <v>2514</v>
      </c>
      <c r="C192">
        <v>6461</v>
      </c>
      <c r="D192">
        <v>7243</v>
      </c>
      <c r="E192">
        <v>1571</v>
      </c>
      <c r="F192">
        <v>1252</v>
      </c>
      <c r="G192">
        <v>93</v>
      </c>
      <c r="H192">
        <v>30</v>
      </c>
      <c r="I192">
        <v>60</v>
      </c>
      <c r="J192">
        <v>80</v>
      </c>
      <c r="K192">
        <v>61</v>
      </c>
      <c r="L192">
        <v>374</v>
      </c>
      <c r="M192">
        <v>217</v>
      </c>
      <c r="N192">
        <v>338</v>
      </c>
      <c r="O192">
        <v>484</v>
      </c>
      <c r="P192">
        <v>596</v>
      </c>
      <c r="Q192">
        <v>1518</v>
      </c>
      <c r="R192">
        <v>590</v>
      </c>
      <c r="S192">
        <v>852</v>
      </c>
      <c r="T192">
        <v>1715</v>
      </c>
      <c r="U192">
        <v>944</v>
      </c>
      <c r="V192">
        <v>272.07781119999999</v>
      </c>
      <c r="W192">
        <v>247.31191770000001</v>
      </c>
      <c r="X192">
        <v>224.56501990000001</v>
      </c>
      <c r="Y192">
        <v>169.39375279999999</v>
      </c>
      <c r="Z192">
        <v>134.5127876</v>
      </c>
      <c r="AA192">
        <v>65</v>
      </c>
      <c r="AB192">
        <v>303.67708629999998</v>
      </c>
      <c r="AC192">
        <v>303.29870699999998</v>
      </c>
      <c r="AD192">
        <v>226.9947804</v>
      </c>
      <c r="AE192">
        <v>136.15346289999999</v>
      </c>
      <c r="AF192">
        <v>110.4301507</v>
      </c>
      <c r="AG192">
        <v>55</v>
      </c>
      <c r="AH192">
        <v>297.73013630000003</v>
      </c>
      <c r="AI192">
        <v>240.84335899999999</v>
      </c>
      <c r="AJ192">
        <v>245.10649720000001</v>
      </c>
      <c r="AK192">
        <v>163.49211120000001</v>
      </c>
      <c r="AL192">
        <v>115.99700300000001</v>
      </c>
      <c r="AM192">
        <v>55</v>
      </c>
      <c r="AN192">
        <v>273.00912799999998</v>
      </c>
      <c r="AO192">
        <v>224.66365730000001</v>
      </c>
      <c r="AP192">
        <v>221.76367680000001</v>
      </c>
      <c r="AQ192">
        <v>162.81637739999999</v>
      </c>
      <c r="AR192">
        <v>116.156927</v>
      </c>
      <c r="AS192">
        <v>55</v>
      </c>
      <c r="AT192">
        <v>9.1912740000000007E-2</v>
      </c>
      <c r="AU192">
        <v>0.24164893000000001</v>
      </c>
      <c r="AV192">
        <v>0.27127363999999998</v>
      </c>
      <c r="AW192">
        <v>5.8469479999999997E-2</v>
      </c>
      <c r="AX192">
        <v>4.4001289999999998E-2</v>
      </c>
      <c r="AY192">
        <v>3.51301E-3</v>
      </c>
      <c r="AZ192">
        <v>1.1137600000000001E-3</v>
      </c>
      <c r="BA192">
        <v>2.17336E-3</v>
      </c>
      <c r="BB192">
        <v>2.9088999999999999E-3</v>
      </c>
      <c r="BC192">
        <v>1.9843500000000002E-3</v>
      </c>
      <c r="BD192">
        <v>1.411546E-2</v>
      </c>
      <c r="BE192">
        <v>8.0957500000000005E-3</v>
      </c>
      <c r="BF192">
        <v>1.2828819999999999E-2</v>
      </c>
      <c r="BG192">
        <v>1.7803159999999998E-2</v>
      </c>
      <c r="BH192">
        <v>2.0485690000000001E-2</v>
      </c>
      <c r="BI192">
        <v>5.6468610000000002E-2</v>
      </c>
      <c r="BJ192">
        <v>2.174616E-2</v>
      </c>
      <c r="BK192">
        <v>3.2646410000000001E-2</v>
      </c>
      <c r="BL192">
        <v>6.4204849999999994E-2</v>
      </c>
      <c r="BM192">
        <v>3.2605629999999997E-2</v>
      </c>
      <c r="BN192">
        <v>3780</v>
      </c>
      <c r="BO192">
        <v>240.6269763</v>
      </c>
      <c r="BP192">
        <v>190</v>
      </c>
    </row>
    <row r="193" spans="1:68" x14ac:dyDescent="0.2">
      <c r="A193" t="s">
        <v>758</v>
      </c>
      <c r="B193">
        <v>496</v>
      </c>
      <c r="C193">
        <v>1744</v>
      </c>
      <c r="D193">
        <v>1933</v>
      </c>
      <c r="E193">
        <v>2688</v>
      </c>
      <c r="F193">
        <v>1610</v>
      </c>
      <c r="G193">
        <v>1282</v>
      </c>
      <c r="H193">
        <v>612</v>
      </c>
      <c r="I193">
        <v>1523</v>
      </c>
      <c r="J193">
        <v>1417</v>
      </c>
      <c r="K193">
        <v>557</v>
      </c>
      <c r="L193">
        <v>1893</v>
      </c>
      <c r="M193">
        <v>1444</v>
      </c>
      <c r="N193">
        <v>3097</v>
      </c>
      <c r="O193">
        <v>1876</v>
      </c>
      <c r="P193">
        <v>253</v>
      </c>
      <c r="Q193">
        <v>936</v>
      </c>
      <c r="R193">
        <v>2054</v>
      </c>
      <c r="S193">
        <v>5742</v>
      </c>
      <c r="T193">
        <v>3713</v>
      </c>
      <c r="U193">
        <v>474</v>
      </c>
      <c r="V193">
        <v>273.78350990000001</v>
      </c>
      <c r="W193">
        <v>222.4124333</v>
      </c>
      <c r="X193">
        <v>216.90827039999999</v>
      </c>
      <c r="Y193">
        <v>156.9372042</v>
      </c>
      <c r="Z193">
        <v>107.3499856</v>
      </c>
      <c r="AA193">
        <v>65</v>
      </c>
      <c r="AB193">
        <v>314.13227940000002</v>
      </c>
      <c r="AC193">
        <v>280.22102539999997</v>
      </c>
      <c r="AD193">
        <v>222.56554850000001</v>
      </c>
      <c r="AE193">
        <v>153.50404570000001</v>
      </c>
      <c r="AF193">
        <v>117.48877040000001</v>
      </c>
      <c r="AG193">
        <v>55</v>
      </c>
      <c r="AH193">
        <v>319.76905269999997</v>
      </c>
      <c r="AI193">
        <v>271.71297079999999</v>
      </c>
      <c r="AJ193">
        <v>206.10681310000001</v>
      </c>
      <c r="AK193">
        <v>170.2670392</v>
      </c>
      <c r="AL193">
        <v>115.52419380000001</v>
      </c>
      <c r="AM193">
        <v>55</v>
      </c>
      <c r="AN193">
        <v>293.72858760000003</v>
      </c>
      <c r="AO193">
        <v>246.9205967</v>
      </c>
      <c r="AP193">
        <v>194.60410580000001</v>
      </c>
      <c r="AQ193">
        <v>166.20544599999999</v>
      </c>
      <c r="AR193">
        <v>106.41858929999999</v>
      </c>
      <c r="AS193">
        <v>55</v>
      </c>
      <c r="AT193">
        <v>1.322039E-2</v>
      </c>
      <c r="AU193">
        <v>5.0873839999999997E-2</v>
      </c>
      <c r="AV193">
        <v>5.5029519999999998E-2</v>
      </c>
      <c r="AW193">
        <v>7.2602710000000001E-2</v>
      </c>
      <c r="AX193">
        <v>4.2446789999999998E-2</v>
      </c>
      <c r="AY193">
        <v>3.6108559999999998E-2</v>
      </c>
      <c r="AZ193">
        <v>1.709376E-2</v>
      </c>
      <c r="BA193">
        <v>4.3707870000000003E-2</v>
      </c>
      <c r="BB193">
        <v>3.9101940000000002E-2</v>
      </c>
      <c r="BC193">
        <v>1.464583E-2</v>
      </c>
      <c r="BD193">
        <v>5.49189E-2</v>
      </c>
      <c r="BE193">
        <v>4.0342299999999998E-2</v>
      </c>
      <c r="BF193">
        <v>8.9357069999999997E-2</v>
      </c>
      <c r="BG193">
        <v>5.3819470000000001E-2</v>
      </c>
      <c r="BH193">
        <v>6.4936600000000001E-3</v>
      </c>
      <c r="BI193">
        <v>2.758271E-2</v>
      </c>
      <c r="BJ193">
        <v>6.0202369999999998E-2</v>
      </c>
      <c r="BK193">
        <v>0.16527393000000001</v>
      </c>
      <c r="BL193">
        <v>0.10472512</v>
      </c>
      <c r="BM193">
        <v>1.2453260000000001E-2</v>
      </c>
      <c r="BN193">
        <v>5914</v>
      </c>
      <c r="BO193">
        <v>251.11482190000001</v>
      </c>
      <c r="BP193">
        <v>190</v>
      </c>
    </row>
    <row r="194" spans="1:68" x14ac:dyDescent="0.2">
      <c r="A194" t="s">
        <v>759</v>
      </c>
      <c r="B194">
        <v>74668</v>
      </c>
      <c r="C194">
        <v>40059</v>
      </c>
      <c r="D194">
        <v>53749</v>
      </c>
      <c r="E194">
        <v>46114</v>
      </c>
      <c r="F194">
        <v>18479</v>
      </c>
      <c r="G194">
        <v>1237</v>
      </c>
      <c r="H194">
        <v>777</v>
      </c>
      <c r="I194">
        <v>415</v>
      </c>
      <c r="J194">
        <v>1277</v>
      </c>
      <c r="K194">
        <v>813</v>
      </c>
      <c r="L194">
        <v>5687</v>
      </c>
      <c r="M194">
        <v>3852</v>
      </c>
      <c r="N194">
        <v>4695</v>
      </c>
      <c r="O194">
        <v>4687</v>
      </c>
      <c r="P194">
        <v>2739</v>
      </c>
      <c r="Q194">
        <v>14173</v>
      </c>
      <c r="R194">
        <v>8558</v>
      </c>
      <c r="S194">
        <v>15054</v>
      </c>
      <c r="T194">
        <v>12787</v>
      </c>
      <c r="U194">
        <v>6325</v>
      </c>
      <c r="V194">
        <v>225.11041839999999</v>
      </c>
      <c r="W194">
        <v>219.50324000000001</v>
      </c>
      <c r="X194">
        <v>183.43939460000001</v>
      </c>
      <c r="Y194">
        <v>155.09376470000001</v>
      </c>
      <c r="Z194">
        <v>114.809865</v>
      </c>
      <c r="AA194">
        <v>65</v>
      </c>
      <c r="AB194">
        <v>310.8781899</v>
      </c>
      <c r="AC194">
        <v>281.78466650000001</v>
      </c>
      <c r="AD194">
        <v>222.68689119999999</v>
      </c>
      <c r="AE194">
        <v>151.27317540000001</v>
      </c>
      <c r="AF194">
        <v>114.4403799</v>
      </c>
      <c r="AG194">
        <v>55</v>
      </c>
      <c r="AH194">
        <v>274.72313430000003</v>
      </c>
      <c r="AI194">
        <v>234.22298850000001</v>
      </c>
      <c r="AJ194">
        <v>199.63542240000001</v>
      </c>
      <c r="AK194">
        <v>159.2674629</v>
      </c>
      <c r="AL194">
        <v>116.04716310000001</v>
      </c>
      <c r="AM194">
        <v>55</v>
      </c>
      <c r="AN194">
        <v>234.9451014</v>
      </c>
      <c r="AO194">
        <v>221.8540386</v>
      </c>
      <c r="AP194">
        <v>178.9848289</v>
      </c>
      <c r="AQ194">
        <v>152.2538309</v>
      </c>
      <c r="AR194">
        <v>114.7573081</v>
      </c>
      <c r="AS194">
        <v>55</v>
      </c>
      <c r="AT194">
        <v>0.22913897</v>
      </c>
      <c r="AU194">
        <v>0.12289859</v>
      </c>
      <c r="AV194">
        <v>0.16001610999999999</v>
      </c>
      <c r="AW194">
        <v>0.15184594000000001</v>
      </c>
      <c r="AX194">
        <v>6.7888820000000002E-2</v>
      </c>
      <c r="AY194">
        <v>3.8591099999999998E-3</v>
      </c>
      <c r="AZ194">
        <v>2.9328700000000002E-3</v>
      </c>
      <c r="BA194">
        <v>1.3427000000000001E-3</v>
      </c>
      <c r="BB194">
        <v>4.8543800000000002E-3</v>
      </c>
      <c r="BC194">
        <v>2.96511E-3</v>
      </c>
      <c r="BD194">
        <v>1.748514E-2</v>
      </c>
      <c r="BE194">
        <v>1.178806E-2</v>
      </c>
      <c r="BF194">
        <v>1.480568E-2</v>
      </c>
      <c r="BG194">
        <v>1.5537199999999999E-2</v>
      </c>
      <c r="BH194">
        <v>9.9693100000000003E-3</v>
      </c>
      <c r="BI194">
        <v>4.3323590000000002E-2</v>
      </c>
      <c r="BJ194">
        <v>2.6413240000000001E-2</v>
      </c>
      <c r="BK194">
        <v>4.7574890000000002E-2</v>
      </c>
      <c r="BL194">
        <v>4.1930450000000001E-2</v>
      </c>
      <c r="BM194">
        <v>2.342984E-2</v>
      </c>
      <c r="BN194">
        <v>25322</v>
      </c>
      <c r="BO194">
        <v>222.1723203</v>
      </c>
      <c r="BP194">
        <v>190</v>
      </c>
    </row>
    <row r="195" spans="1:68" x14ac:dyDescent="0.2">
      <c r="A195" t="s">
        <v>760</v>
      </c>
      <c r="B195">
        <v>3</v>
      </c>
      <c r="C195">
        <v>2</v>
      </c>
      <c r="D195">
        <v>0</v>
      </c>
      <c r="E195">
        <v>0</v>
      </c>
      <c r="F195">
        <v>7</v>
      </c>
      <c r="G195">
        <v>36</v>
      </c>
      <c r="H195">
        <v>35</v>
      </c>
      <c r="I195">
        <v>75</v>
      </c>
      <c r="J195">
        <v>54</v>
      </c>
      <c r="K195">
        <v>24</v>
      </c>
      <c r="L195">
        <v>34</v>
      </c>
      <c r="M195">
        <v>180</v>
      </c>
      <c r="N195">
        <v>36</v>
      </c>
      <c r="O195">
        <v>46</v>
      </c>
      <c r="P195">
        <v>34</v>
      </c>
      <c r="Q195">
        <v>7</v>
      </c>
      <c r="R195">
        <v>55</v>
      </c>
      <c r="S195">
        <v>24</v>
      </c>
      <c r="T195">
        <v>33</v>
      </c>
      <c r="U195">
        <v>3</v>
      </c>
      <c r="V195">
        <v>0</v>
      </c>
      <c r="W195">
        <v>0</v>
      </c>
      <c r="X195">
        <v>0</v>
      </c>
      <c r="Y195">
        <v>0</v>
      </c>
      <c r="Z195">
        <v>118</v>
      </c>
      <c r="AA195">
        <v>65</v>
      </c>
      <c r="AB195">
        <v>367.64810849999998</v>
      </c>
      <c r="AC195">
        <v>268.21674630000001</v>
      </c>
      <c r="AD195">
        <v>197.27888089999999</v>
      </c>
      <c r="AE195">
        <v>146.99020999999999</v>
      </c>
      <c r="AF195">
        <v>123.74479719999999</v>
      </c>
      <c r="AG195">
        <v>55</v>
      </c>
      <c r="AH195">
        <v>327.07266079999999</v>
      </c>
      <c r="AI195">
        <v>249.63841410000001</v>
      </c>
      <c r="AJ195">
        <v>240.56482339999999</v>
      </c>
      <c r="AK195">
        <v>160.08445499999999</v>
      </c>
      <c r="AL195">
        <v>116.71554879999999</v>
      </c>
      <c r="AM195">
        <v>55</v>
      </c>
      <c r="AN195">
        <v>220.2608458</v>
      </c>
      <c r="AO195">
        <v>253.35065879999999</v>
      </c>
      <c r="AP195">
        <v>235.0712121</v>
      </c>
      <c r="AQ195">
        <v>145.5018541</v>
      </c>
      <c r="AR195">
        <v>118</v>
      </c>
      <c r="AS195">
        <v>55</v>
      </c>
      <c r="AT195">
        <v>6.4618499999999999E-3</v>
      </c>
      <c r="AU195">
        <v>1.8141500000000001E-3</v>
      </c>
      <c r="AV195">
        <v>0</v>
      </c>
      <c r="AW195">
        <v>0</v>
      </c>
      <c r="AX195">
        <v>7.9062500000000001E-3</v>
      </c>
      <c r="AY195">
        <v>5.0792869999999997E-2</v>
      </c>
      <c r="AZ195">
        <v>4.1656440000000003E-2</v>
      </c>
      <c r="BA195">
        <v>0.1217004</v>
      </c>
      <c r="BB195">
        <v>8.4587979999999993E-2</v>
      </c>
      <c r="BC195">
        <v>2.7132839999999998E-2</v>
      </c>
      <c r="BD195">
        <v>3.8453170000000002E-2</v>
      </c>
      <c r="BE195">
        <v>0.25306592</v>
      </c>
      <c r="BF195">
        <v>6.0969420000000003E-2</v>
      </c>
      <c r="BG195">
        <v>6.5454700000000005E-2</v>
      </c>
      <c r="BH195">
        <v>5.4877309999999999E-2</v>
      </c>
      <c r="BI195">
        <v>1.282003E-2</v>
      </c>
      <c r="BJ195">
        <v>8.1858109999999998E-2</v>
      </c>
      <c r="BK195">
        <v>3.6390209999999999E-2</v>
      </c>
      <c r="BL195">
        <v>4.9383009999999998E-2</v>
      </c>
      <c r="BM195">
        <v>4.6753400000000001E-3</v>
      </c>
      <c r="BN195">
        <v>36</v>
      </c>
      <c r="BO195">
        <v>364.52072700000002</v>
      </c>
      <c r="BP195">
        <v>190</v>
      </c>
    </row>
    <row r="196" spans="1:68" x14ac:dyDescent="0.2">
      <c r="A196" t="s">
        <v>761</v>
      </c>
      <c r="B196">
        <v>25</v>
      </c>
      <c r="C196">
        <v>24</v>
      </c>
      <c r="D196">
        <v>174</v>
      </c>
      <c r="E196">
        <v>292</v>
      </c>
      <c r="F196">
        <v>242</v>
      </c>
      <c r="G196">
        <v>420</v>
      </c>
      <c r="H196">
        <v>781</v>
      </c>
      <c r="I196">
        <v>1579</v>
      </c>
      <c r="J196">
        <v>932</v>
      </c>
      <c r="K196">
        <v>272</v>
      </c>
      <c r="L196">
        <v>141</v>
      </c>
      <c r="M196">
        <v>664</v>
      </c>
      <c r="N196">
        <v>1900</v>
      </c>
      <c r="O196">
        <v>601</v>
      </c>
      <c r="P196">
        <v>281</v>
      </c>
      <c r="Q196">
        <v>19</v>
      </c>
      <c r="R196">
        <v>178</v>
      </c>
      <c r="S196">
        <v>484</v>
      </c>
      <c r="T196">
        <v>525</v>
      </c>
      <c r="U196">
        <v>239</v>
      </c>
      <c r="V196">
        <v>309.20607219999999</v>
      </c>
      <c r="W196">
        <v>224.91721250000001</v>
      </c>
      <c r="X196">
        <v>165.07635769999999</v>
      </c>
      <c r="Y196">
        <v>133.06055549999999</v>
      </c>
      <c r="Z196">
        <v>118.5086532</v>
      </c>
      <c r="AA196">
        <v>65</v>
      </c>
      <c r="AB196">
        <v>310.87348950000001</v>
      </c>
      <c r="AC196">
        <v>281.22780260000002</v>
      </c>
      <c r="AD196">
        <v>224.44131329999999</v>
      </c>
      <c r="AE196">
        <v>157.8650906</v>
      </c>
      <c r="AF196">
        <v>115.6343581</v>
      </c>
      <c r="AG196">
        <v>55</v>
      </c>
      <c r="AH196">
        <v>316.67422199999999</v>
      </c>
      <c r="AI196">
        <v>235.43802529999999</v>
      </c>
      <c r="AJ196">
        <v>183.74133610000001</v>
      </c>
      <c r="AK196">
        <v>163.34026829999999</v>
      </c>
      <c r="AL196">
        <v>116.3859779</v>
      </c>
      <c r="AM196">
        <v>55</v>
      </c>
      <c r="AN196">
        <v>230.6955485</v>
      </c>
      <c r="AO196">
        <v>181.38988900000001</v>
      </c>
      <c r="AP196">
        <v>173.12723940000001</v>
      </c>
      <c r="AQ196">
        <v>153.19855749999999</v>
      </c>
      <c r="AR196">
        <v>110.35715020000001</v>
      </c>
      <c r="AS196">
        <v>55</v>
      </c>
      <c r="AT196">
        <v>2.2295100000000001E-3</v>
      </c>
      <c r="AU196">
        <v>2.2629299999999998E-3</v>
      </c>
      <c r="AV196">
        <v>1.6197380000000001E-2</v>
      </c>
      <c r="AW196">
        <v>2.5493950000000001E-2</v>
      </c>
      <c r="AX196">
        <v>2.2737110000000001E-2</v>
      </c>
      <c r="AY196">
        <v>4.4229159999999997E-2</v>
      </c>
      <c r="AZ196">
        <v>8.0749639999999998E-2</v>
      </c>
      <c r="BA196">
        <v>0.16482025</v>
      </c>
      <c r="BB196">
        <v>9.6367750000000002E-2</v>
      </c>
      <c r="BC196">
        <v>2.7913279999999999E-2</v>
      </c>
      <c r="BD196">
        <v>1.447611E-2</v>
      </c>
      <c r="BE196">
        <v>6.7589339999999998E-2</v>
      </c>
      <c r="BF196">
        <v>0.19761851999999999</v>
      </c>
      <c r="BG196">
        <v>6.284671E-2</v>
      </c>
      <c r="BH196">
        <v>2.7435359999999999E-2</v>
      </c>
      <c r="BI196">
        <v>2.1663300000000002E-3</v>
      </c>
      <c r="BJ196">
        <v>1.8302220000000001E-2</v>
      </c>
      <c r="BK196">
        <v>4.9673490000000001E-2</v>
      </c>
      <c r="BL196">
        <v>5.2725170000000002E-2</v>
      </c>
      <c r="BM196">
        <v>2.4165789999999999E-2</v>
      </c>
      <c r="BN196">
        <v>763</v>
      </c>
      <c r="BO196">
        <v>275.81430169999999</v>
      </c>
      <c r="BP196">
        <v>190</v>
      </c>
    </row>
    <row r="197" spans="1:68" x14ac:dyDescent="0.2">
      <c r="A197" t="s">
        <v>762</v>
      </c>
      <c r="B197">
        <v>229</v>
      </c>
      <c r="C197">
        <v>67</v>
      </c>
      <c r="D197">
        <v>603</v>
      </c>
      <c r="E197">
        <v>1515</v>
      </c>
      <c r="F197">
        <v>562</v>
      </c>
      <c r="G197">
        <v>1658</v>
      </c>
      <c r="H197">
        <v>696</v>
      </c>
      <c r="I197">
        <v>1151</v>
      </c>
      <c r="J197">
        <v>1253</v>
      </c>
      <c r="K197">
        <v>460</v>
      </c>
      <c r="L197">
        <v>688</v>
      </c>
      <c r="M197">
        <v>578</v>
      </c>
      <c r="N197">
        <v>2302</v>
      </c>
      <c r="O197">
        <v>1411</v>
      </c>
      <c r="P197">
        <v>381</v>
      </c>
      <c r="Q197">
        <v>251</v>
      </c>
      <c r="R197">
        <v>428</v>
      </c>
      <c r="S197">
        <v>4174</v>
      </c>
      <c r="T197">
        <v>1558</v>
      </c>
      <c r="U197">
        <v>411</v>
      </c>
      <c r="V197">
        <v>243.3307168</v>
      </c>
      <c r="W197">
        <v>174.11551080000001</v>
      </c>
      <c r="X197">
        <v>201.3202229</v>
      </c>
      <c r="Y197">
        <v>137.80240430000001</v>
      </c>
      <c r="Z197">
        <v>116.6981464</v>
      </c>
      <c r="AA197">
        <v>65</v>
      </c>
      <c r="AB197">
        <v>292.25742270000001</v>
      </c>
      <c r="AC197">
        <v>271.85295079999997</v>
      </c>
      <c r="AD197">
        <v>219.28756250000001</v>
      </c>
      <c r="AE197">
        <v>149.07485339999999</v>
      </c>
      <c r="AF197">
        <v>117.5002097</v>
      </c>
      <c r="AG197">
        <v>55</v>
      </c>
      <c r="AH197">
        <v>287.54571870000001</v>
      </c>
      <c r="AI197">
        <v>238.46153369999999</v>
      </c>
      <c r="AJ197">
        <v>199.1290415</v>
      </c>
      <c r="AK197">
        <v>155.5029734</v>
      </c>
      <c r="AL197">
        <v>119.00777429999999</v>
      </c>
      <c r="AM197">
        <v>55</v>
      </c>
      <c r="AN197">
        <v>252.0161095</v>
      </c>
      <c r="AO197">
        <v>221.21099430000001</v>
      </c>
      <c r="AP197">
        <v>194.6897769</v>
      </c>
      <c r="AQ197">
        <v>148.48634559999999</v>
      </c>
      <c r="AR197">
        <v>115.9315106</v>
      </c>
      <c r="AS197">
        <v>55</v>
      </c>
      <c r="AT197">
        <v>1.179235E-2</v>
      </c>
      <c r="AU197">
        <v>3.44451E-3</v>
      </c>
      <c r="AV197">
        <v>3.2906909999999998E-2</v>
      </c>
      <c r="AW197">
        <v>7.6672569999999995E-2</v>
      </c>
      <c r="AX197">
        <v>3.2871070000000002E-2</v>
      </c>
      <c r="AY197">
        <v>8.1220189999999998E-2</v>
      </c>
      <c r="AZ197">
        <v>3.5518149999999998E-2</v>
      </c>
      <c r="BA197">
        <v>5.4730059999999997E-2</v>
      </c>
      <c r="BB197">
        <v>5.926298E-2</v>
      </c>
      <c r="BC197">
        <v>2.4297249999999999E-2</v>
      </c>
      <c r="BD197">
        <v>3.2157779999999997E-2</v>
      </c>
      <c r="BE197">
        <v>2.7456459999999999E-2</v>
      </c>
      <c r="BF197">
        <v>0.11130062</v>
      </c>
      <c r="BG197">
        <v>6.6840070000000001E-2</v>
      </c>
      <c r="BH197">
        <v>2.1207839999999999E-2</v>
      </c>
      <c r="BI197">
        <v>1.184758E-2</v>
      </c>
      <c r="BJ197">
        <v>2.1282349999999998E-2</v>
      </c>
      <c r="BK197">
        <v>0.19900307</v>
      </c>
      <c r="BL197">
        <v>7.3812240000000001E-2</v>
      </c>
      <c r="BM197">
        <v>2.2375949999999999E-2</v>
      </c>
      <c r="BN197">
        <v>5857</v>
      </c>
      <c r="BO197">
        <v>285.66601689999999</v>
      </c>
      <c r="BP197">
        <v>190</v>
      </c>
    </row>
    <row r="198" spans="1:68" x14ac:dyDescent="0.2">
      <c r="A198" t="s">
        <v>763</v>
      </c>
      <c r="B198">
        <v>93</v>
      </c>
      <c r="C198">
        <v>7</v>
      </c>
      <c r="D198">
        <v>79</v>
      </c>
      <c r="E198">
        <v>155</v>
      </c>
      <c r="F198">
        <v>260</v>
      </c>
      <c r="G198">
        <v>132</v>
      </c>
      <c r="H198">
        <v>94</v>
      </c>
      <c r="I198">
        <v>193</v>
      </c>
      <c r="J198">
        <v>124</v>
      </c>
      <c r="K198">
        <v>76</v>
      </c>
      <c r="L198">
        <v>269</v>
      </c>
      <c r="M198">
        <v>182</v>
      </c>
      <c r="N198">
        <v>582</v>
      </c>
      <c r="O198">
        <v>298</v>
      </c>
      <c r="P198">
        <v>217</v>
      </c>
      <c r="Q198">
        <v>68</v>
      </c>
      <c r="R198">
        <v>86</v>
      </c>
      <c r="S198">
        <v>722</v>
      </c>
      <c r="T198">
        <v>204</v>
      </c>
      <c r="U198">
        <v>163</v>
      </c>
      <c r="V198">
        <v>276.97575710000001</v>
      </c>
      <c r="W198">
        <v>0</v>
      </c>
      <c r="X198">
        <v>167.69625360000001</v>
      </c>
      <c r="Y198">
        <v>173.45729180000001</v>
      </c>
      <c r="Z198">
        <v>121.8337169</v>
      </c>
      <c r="AA198">
        <v>65</v>
      </c>
      <c r="AB198">
        <v>289.43089040000001</v>
      </c>
      <c r="AC198">
        <v>286.78134290000003</v>
      </c>
      <c r="AD198">
        <v>209.53803500000001</v>
      </c>
      <c r="AE198">
        <v>174.51852109999999</v>
      </c>
      <c r="AF198">
        <v>118.5071579</v>
      </c>
      <c r="AG198">
        <v>55</v>
      </c>
      <c r="AH198">
        <v>312.08728359999998</v>
      </c>
      <c r="AI198">
        <v>237.0438709</v>
      </c>
      <c r="AJ198">
        <v>217.56673259999999</v>
      </c>
      <c r="AK198">
        <v>170.9318834</v>
      </c>
      <c r="AL198">
        <v>117.1367267</v>
      </c>
      <c r="AM198">
        <v>55</v>
      </c>
      <c r="AN198">
        <v>286.40364679999999</v>
      </c>
      <c r="AO198">
        <v>165.5045236</v>
      </c>
      <c r="AP198">
        <v>199.71338489999999</v>
      </c>
      <c r="AQ198">
        <v>176.31213629999999</v>
      </c>
      <c r="AR198">
        <v>116.5188764</v>
      </c>
      <c r="AS198">
        <v>55</v>
      </c>
      <c r="AT198">
        <v>2.283199E-2</v>
      </c>
      <c r="AU198">
        <v>1.8502099999999999E-3</v>
      </c>
      <c r="AV198">
        <v>1.8075859999999999E-2</v>
      </c>
      <c r="AW198">
        <v>3.879005E-2</v>
      </c>
      <c r="AX198">
        <v>6.7803429999999998E-2</v>
      </c>
      <c r="AY198">
        <v>3.3008780000000001E-2</v>
      </c>
      <c r="AZ198">
        <v>2.295177E-2</v>
      </c>
      <c r="BA198">
        <v>4.4945310000000002E-2</v>
      </c>
      <c r="BB198">
        <v>3.2307950000000002E-2</v>
      </c>
      <c r="BC198">
        <v>1.890093E-2</v>
      </c>
      <c r="BD198">
        <v>6.3212939999999995E-2</v>
      </c>
      <c r="BE198">
        <v>4.7711070000000001E-2</v>
      </c>
      <c r="BF198">
        <v>0.14561288999999999</v>
      </c>
      <c r="BG198">
        <v>7.5538750000000002E-2</v>
      </c>
      <c r="BH198">
        <v>5.4035159999999999E-2</v>
      </c>
      <c r="BI198">
        <v>1.5912180000000001E-2</v>
      </c>
      <c r="BJ198">
        <v>2.157686E-2</v>
      </c>
      <c r="BK198">
        <v>0.17863760000000001</v>
      </c>
      <c r="BL198">
        <v>5.4071479999999998E-2</v>
      </c>
      <c r="BM198">
        <v>4.2224789999999998E-2</v>
      </c>
      <c r="BN198">
        <v>589</v>
      </c>
      <c r="BO198">
        <v>217.07783449999999</v>
      </c>
      <c r="BP198">
        <v>190</v>
      </c>
    </row>
    <row r="199" spans="1:68" x14ac:dyDescent="0.2">
      <c r="A199" t="s">
        <v>764</v>
      </c>
      <c r="B199">
        <v>6566</v>
      </c>
      <c r="C199">
        <v>5062</v>
      </c>
      <c r="D199">
        <v>7324</v>
      </c>
      <c r="E199">
        <v>4937</v>
      </c>
      <c r="F199">
        <v>1233</v>
      </c>
      <c r="G199">
        <v>168</v>
      </c>
      <c r="H199">
        <v>33</v>
      </c>
      <c r="I199">
        <v>14</v>
      </c>
      <c r="J199">
        <v>92</v>
      </c>
      <c r="K199">
        <v>81</v>
      </c>
      <c r="L199">
        <v>888</v>
      </c>
      <c r="M199">
        <v>279</v>
      </c>
      <c r="N199">
        <v>426</v>
      </c>
      <c r="O199">
        <v>834</v>
      </c>
      <c r="P199">
        <v>439</v>
      </c>
      <c r="Q199">
        <v>3154</v>
      </c>
      <c r="R199">
        <v>515</v>
      </c>
      <c r="S199">
        <v>1362</v>
      </c>
      <c r="T199">
        <v>2795</v>
      </c>
      <c r="U199">
        <v>977</v>
      </c>
      <c r="V199">
        <v>264.5225021</v>
      </c>
      <c r="W199">
        <v>267.61315680000001</v>
      </c>
      <c r="X199">
        <v>233.2758359</v>
      </c>
      <c r="Y199">
        <v>176.48460159999999</v>
      </c>
      <c r="Z199">
        <v>115.20789310000001</v>
      </c>
      <c r="AA199">
        <v>65</v>
      </c>
      <c r="AB199">
        <v>303.88721859999998</v>
      </c>
      <c r="AC199">
        <v>290.9697683</v>
      </c>
      <c r="AD199">
        <v>255.63636360000001</v>
      </c>
      <c r="AE199">
        <v>155.5482236</v>
      </c>
      <c r="AF199">
        <v>115.3936678</v>
      </c>
      <c r="AG199">
        <v>55</v>
      </c>
      <c r="AH199">
        <v>312.32488660000001</v>
      </c>
      <c r="AI199">
        <v>216.29951840000001</v>
      </c>
      <c r="AJ199">
        <v>219.94383429999999</v>
      </c>
      <c r="AK199">
        <v>165.81222489999999</v>
      </c>
      <c r="AL199">
        <v>117.07300720000001</v>
      </c>
      <c r="AM199">
        <v>55</v>
      </c>
      <c r="AN199">
        <v>287.02433189999999</v>
      </c>
      <c r="AO199">
        <v>204.82551179999999</v>
      </c>
      <c r="AP199">
        <v>201.71953450000001</v>
      </c>
      <c r="AQ199">
        <v>161.82890990000001</v>
      </c>
      <c r="AR199">
        <v>115.9469802</v>
      </c>
      <c r="AS199">
        <v>55</v>
      </c>
      <c r="AT199">
        <v>0.17442743999999999</v>
      </c>
      <c r="AU199">
        <v>0.12926315999999999</v>
      </c>
      <c r="AV199">
        <v>0.20347087</v>
      </c>
      <c r="AW199">
        <v>0.13445491000000001</v>
      </c>
      <c r="AX199">
        <v>3.1842309999999999E-2</v>
      </c>
      <c r="AY199">
        <v>4.7569700000000001E-3</v>
      </c>
      <c r="AZ199">
        <v>1.19103E-3</v>
      </c>
      <c r="BA199">
        <v>4.3735999999999997E-4</v>
      </c>
      <c r="BB199">
        <v>2.5668800000000001E-3</v>
      </c>
      <c r="BC199">
        <v>2.0548099999999998E-3</v>
      </c>
      <c r="BD199">
        <v>2.408855E-2</v>
      </c>
      <c r="BE199">
        <v>7.8911199999999997E-3</v>
      </c>
      <c r="BF199">
        <v>1.126308E-2</v>
      </c>
      <c r="BG199">
        <v>2.319775E-2</v>
      </c>
      <c r="BH199">
        <v>1.119115E-2</v>
      </c>
      <c r="BI199">
        <v>8.3486630000000006E-2</v>
      </c>
      <c r="BJ199">
        <v>1.4423689999999999E-2</v>
      </c>
      <c r="BK199">
        <v>3.7321E-2</v>
      </c>
      <c r="BL199">
        <v>7.8332700000000005E-2</v>
      </c>
      <c r="BM199">
        <v>2.433859E-2</v>
      </c>
      <c r="BN199">
        <v>3076</v>
      </c>
      <c r="BO199">
        <v>255.7539946</v>
      </c>
      <c r="BP199">
        <v>190</v>
      </c>
    </row>
    <row r="200" spans="1:68" x14ac:dyDescent="0.2">
      <c r="A200" t="s">
        <v>765</v>
      </c>
      <c r="B200">
        <v>18</v>
      </c>
      <c r="C200">
        <v>0</v>
      </c>
      <c r="D200">
        <v>12</v>
      </c>
      <c r="E200">
        <v>18</v>
      </c>
      <c r="F200">
        <v>6</v>
      </c>
      <c r="G200">
        <v>65</v>
      </c>
      <c r="H200">
        <v>35</v>
      </c>
      <c r="I200">
        <v>49</v>
      </c>
      <c r="J200">
        <v>40</v>
      </c>
      <c r="K200">
        <v>7</v>
      </c>
      <c r="L200">
        <v>52</v>
      </c>
      <c r="M200">
        <v>46</v>
      </c>
      <c r="N200">
        <v>93</v>
      </c>
      <c r="O200">
        <v>25</v>
      </c>
      <c r="P200">
        <v>39</v>
      </c>
      <c r="Q200">
        <v>26</v>
      </c>
      <c r="R200">
        <v>16</v>
      </c>
      <c r="S200">
        <v>19</v>
      </c>
      <c r="T200">
        <v>10</v>
      </c>
      <c r="U200">
        <v>10</v>
      </c>
      <c r="V200">
        <v>256.88049119999999</v>
      </c>
      <c r="W200">
        <v>0</v>
      </c>
      <c r="X200">
        <v>135.46431340000001</v>
      </c>
      <c r="Y200">
        <v>106.1903597</v>
      </c>
      <c r="Z200">
        <v>107.75574020000001</v>
      </c>
      <c r="AA200">
        <v>65</v>
      </c>
      <c r="AB200">
        <v>316.21165250000001</v>
      </c>
      <c r="AC200">
        <v>324.20311299999997</v>
      </c>
      <c r="AD200">
        <v>230.9258318</v>
      </c>
      <c r="AE200">
        <v>134.0927216</v>
      </c>
      <c r="AF200">
        <v>115.3724891</v>
      </c>
      <c r="AG200">
        <v>55</v>
      </c>
      <c r="AH200">
        <v>346.19616509999997</v>
      </c>
      <c r="AI200">
        <v>187.1650223</v>
      </c>
      <c r="AJ200">
        <v>172.37431380000001</v>
      </c>
      <c r="AK200">
        <v>147.1336134</v>
      </c>
      <c r="AL200">
        <v>104.2372208</v>
      </c>
      <c r="AM200">
        <v>55</v>
      </c>
      <c r="AN200">
        <v>240.55669169999999</v>
      </c>
      <c r="AO200">
        <v>265.79059059999997</v>
      </c>
      <c r="AP200">
        <v>130.94774480000001</v>
      </c>
      <c r="AQ200">
        <v>149.6190205</v>
      </c>
      <c r="AR200">
        <v>118</v>
      </c>
      <c r="AS200">
        <v>55</v>
      </c>
      <c r="AT200">
        <v>3.4078650000000002E-2</v>
      </c>
      <c r="AU200">
        <v>0</v>
      </c>
      <c r="AV200">
        <v>1.980082E-2</v>
      </c>
      <c r="AW200">
        <v>2.3908579999999999E-2</v>
      </c>
      <c r="AX200">
        <v>1.252605E-2</v>
      </c>
      <c r="AY200">
        <v>0.11226410000000001</v>
      </c>
      <c r="AZ200">
        <v>5.9872830000000002E-2</v>
      </c>
      <c r="BA200">
        <v>7.283278E-2</v>
      </c>
      <c r="BB200">
        <v>6.2220709999999999E-2</v>
      </c>
      <c r="BC200">
        <v>1.303699E-2</v>
      </c>
      <c r="BD200">
        <v>9.3432440000000005E-2</v>
      </c>
      <c r="BE200">
        <v>8.4965490000000005E-2</v>
      </c>
      <c r="BF200">
        <v>0.15214553</v>
      </c>
      <c r="BG200">
        <v>4.135747E-2</v>
      </c>
      <c r="BH200">
        <v>8.3408350000000006E-2</v>
      </c>
      <c r="BI200">
        <v>4.4828590000000001E-2</v>
      </c>
      <c r="BJ200">
        <v>2.2797499999999998E-2</v>
      </c>
      <c r="BK200">
        <v>3.6361650000000002E-2</v>
      </c>
      <c r="BL200">
        <v>1.082699E-2</v>
      </c>
      <c r="BM200">
        <v>1.9334480000000001E-2</v>
      </c>
      <c r="BN200">
        <v>847</v>
      </c>
      <c r="BO200">
        <v>312.78280419999999</v>
      </c>
      <c r="BP200">
        <v>190</v>
      </c>
    </row>
    <row r="201" spans="1:68" x14ac:dyDescent="0.2">
      <c r="A201" t="s">
        <v>766</v>
      </c>
      <c r="B201">
        <v>73</v>
      </c>
      <c r="C201">
        <v>24</v>
      </c>
      <c r="D201">
        <v>249</v>
      </c>
      <c r="E201">
        <v>489</v>
      </c>
      <c r="F201">
        <v>823</v>
      </c>
      <c r="G201">
        <v>1468</v>
      </c>
      <c r="H201">
        <v>1093</v>
      </c>
      <c r="I201">
        <v>1523</v>
      </c>
      <c r="J201">
        <v>1630</v>
      </c>
      <c r="K201">
        <v>441</v>
      </c>
      <c r="L201">
        <v>1030</v>
      </c>
      <c r="M201">
        <v>807</v>
      </c>
      <c r="N201">
        <v>1600</v>
      </c>
      <c r="O201">
        <v>812</v>
      </c>
      <c r="P201">
        <v>308</v>
      </c>
      <c r="Q201">
        <v>1124</v>
      </c>
      <c r="R201">
        <v>514</v>
      </c>
      <c r="S201">
        <v>2007</v>
      </c>
      <c r="T201">
        <v>727</v>
      </c>
      <c r="U201">
        <v>372</v>
      </c>
      <c r="V201">
        <v>207.06293070000001</v>
      </c>
      <c r="W201">
        <v>202.59293070000001</v>
      </c>
      <c r="X201">
        <v>231.34829769999999</v>
      </c>
      <c r="Y201">
        <v>145.20386579999999</v>
      </c>
      <c r="Z201">
        <v>98.276986429999994</v>
      </c>
      <c r="AA201">
        <v>65</v>
      </c>
      <c r="AB201">
        <v>296.63438509999997</v>
      </c>
      <c r="AC201">
        <v>291.36914330000002</v>
      </c>
      <c r="AD201">
        <v>169.11024760000001</v>
      </c>
      <c r="AE201">
        <v>152.75982389999999</v>
      </c>
      <c r="AF201">
        <v>115.20984060000001</v>
      </c>
      <c r="AG201">
        <v>55</v>
      </c>
      <c r="AH201">
        <v>310.17772129999997</v>
      </c>
      <c r="AI201">
        <v>254.48432890000001</v>
      </c>
      <c r="AJ201">
        <v>171.9077997</v>
      </c>
      <c r="AK201">
        <v>153.09986219999999</v>
      </c>
      <c r="AL201">
        <v>113.7549776</v>
      </c>
      <c r="AM201">
        <v>55</v>
      </c>
      <c r="AN201">
        <v>304.20733319999999</v>
      </c>
      <c r="AO201">
        <v>232.74689849999999</v>
      </c>
      <c r="AP201">
        <v>156.66938780000001</v>
      </c>
      <c r="AQ201">
        <v>142.28387889999999</v>
      </c>
      <c r="AR201">
        <v>112.2339343</v>
      </c>
      <c r="AS201">
        <v>55</v>
      </c>
      <c r="AT201">
        <v>4.7407100000000004E-3</v>
      </c>
      <c r="AU201">
        <v>1.47397E-3</v>
      </c>
      <c r="AV201">
        <v>1.4442200000000001E-2</v>
      </c>
      <c r="AW201">
        <v>2.6972929999999999E-2</v>
      </c>
      <c r="AX201">
        <v>5.5758910000000002E-2</v>
      </c>
      <c r="AY201">
        <v>8.3251759999999994E-2</v>
      </c>
      <c r="AZ201">
        <v>6.2822589999999998E-2</v>
      </c>
      <c r="BA201">
        <v>8.9596159999999994E-2</v>
      </c>
      <c r="BB201">
        <v>9.3415590000000007E-2</v>
      </c>
      <c r="BC201">
        <v>3.0304459999999998E-2</v>
      </c>
      <c r="BD201">
        <v>5.9139209999999998E-2</v>
      </c>
      <c r="BE201">
        <v>4.5899629999999997E-2</v>
      </c>
      <c r="BF201">
        <v>9.1119640000000002E-2</v>
      </c>
      <c r="BG201">
        <v>4.6946229999999999E-2</v>
      </c>
      <c r="BH201">
        <v>2.2244860000000002E-2</v>
      </c>
      <c r="BI201">
        <v>6.4259540000000004E-2</v>
      </c>
      <c r="BJ201">
        <v>2.8158809999999999E-2</v>
      </c>
      <c r="BK201">
        <v>0.11104872</v>
      </c>
      <c r="BL201">
        <v>4.0915189999999997E-2</v>
      </c>
      <c r="BM201">
        <v>2.7488889999999998E-2</v>
      </c>
      <c r="BN201">
        <v>7078</v>
      </c>
      <c r="BO201">
        <v>275.29405079999998</v>
      </c>
      <c r="BP201">
        <v>190</v>
      </c>
    </row>
    <row r="202" spans="1:68" x14ac:dyDescent="0.2">
      <c r="A202" t="s">
        <v>767</v>
      </c>
      <c r="B202">
        <v>3807</v>
      </c>
      <c r="C202">
        <v>4075</v>
      </c>
      <c r="D202">
        <v>7138</v>
      </c>
      <c r="E202">
        <v>7288</v>
      </c>
      <c r="F202">
        <v>5948</v>
      </c>
      <c r="G202">
        <v>461</v>
      </c>
      <c r="H202">
        <v>1050</v>
      </c>
      <c r="I202">
        <v>2004</v>
      </c>
      <c r="J202">
        <v>1493</v>
      </c>
      <c r="K202">
        <v>751</v>
      </c>
      <c r="L202">
        <v>1029</v>
      </c>
      <c r="M202">
        <v>2557</v>
      </c>
      <c r="N202">
        <v>4921</v>
      </c>
      <c r="O202">
        <v>3168</v>
      </c>
      <c r="P202">
        <v>1650</v>
      </c>
      <c r="Q202">
        <v>2552</v>
      </c>
      <c r="R202">
        <v>4018</v>
      </c>
      <c r="S202">
        <v>9728</v>
      </c>
      <c r="T202">
        <v>5902</v>
      </c>
      <c r="U202">
        <v>3349</v>
      </c>
      <c r="V202">
        <v>253.5335747</v>
      </c>
      <c r="W202">
        <v>221.14322200000001</v>
      </c>
      <c r="X202">
        <v>192.06952519999999</v>
      </c>
      <c r="Y202">
        <v>153.29241479999999</v>
      </c>
      <c r="Z202">
        <v>119.6708277</v>
      </c>
      <c r="AA202">
        <v>65</v>
      </c>
      <c r="AB202">
        <v>300.4245937</v>
      </c>
      <c r="AC202">
        <v>269.79060290000001</v>
      </c>
      <c r="AD202">
        <v>209.99190010000001</v>
      </c>
      <c r="AE202">
        <v>156.58916210000001</v>
      </c>
      <c r="AF202">
        <v>118.3969469</v>
      </c>
      <c r="AG202">
        <v>55</v>
      </c>
      <c r="AH202">
        <v>305.2720741</v>
      </c>
      <c r="AI202">
        <v>223.2033333</v>
      </c>
      <c r="AJ202">
        <v>195.66760840000001</v>
      </c>
      <c r="AK202">
        <v>169.26096100000001</v>
      </c>
      <c r="AL202">
        <v>117.1112334</v>
      </c>
      <c r="AM202">
        <v>55</v>
      </c>
      <c r="AN202">
        <v>263.77703709999997</v>
      </c>
      <c r="AO202">
        <v>183.314493</v>
      </c>
      <c r="AP202">
        <v>179.31429259999999</v>
      </c>
      <c r="AQ202">
        <v>162.9691588</v>
      </c>
      <c r="AR202">
        <v>113.6375512</v>
      </c>
      <c r="AS202">
        <v>55</v>
      </c>
      <c r="AT202">
        <v>5.2344870000000002E-2</v>
      </c>
      <c r="AU202">
        <v>5.4813199999999999E-2</v>
      </c>
      <c r="AV202">
        <v>9.6265180000000006E-2</v>
      </c>
      <c r="AW202">
        <v>0.10656617</v>
      </c>
      <c r="AX202">
        <v>8.0142210000000005E-2</v>
      </c>
      <c r="AY202">
        <v>6.2969699999999998E-3</v>
      </c>
      <c r="AZ202">
        <v>1.426738E-2</v>
      </c>
      <c r="BA202">
        <v>2.6491359999999999E-2</v>
      </c>
      <c r="BB202">
        <v>2.050445E-2</v>
      </c>
      <c r="BC202">
        <v>1.004941E-2</v>
      </c>
      <c r="BD202">
        <v>1.406373E-2</v>
      </c>
      <c r="BE202">
        <v>3.4443120000000001E-2</v>
      </c>
      <c r="BF202">
        <v>6.6447900000000004E-2</v>
      </c>
      <c r="BG202">
        <v>4.3493759999999999E-2</v>
      </c>
      <c r="BH202">
        <v>2.2933640000000002E-2</v>
      </c>
      <c r="BI202">
        <v>3.508696E-2</v>
      </c>
      <c r="BJ202">
        <v>5.4912469999999998E-2</v>
      </c>
      <c r="BK202">
        <v>0.13212457999999999</v>
      </c>
      <c r="BL202">
        <v>8.309772E-2</v>
      </c>
      <c r="BM202">
        <v>4.5654920000000002E-2</v>
      </c>
      <c r="BN202">
        <v>8502</v>
      </c>
      <c r="BO202">
        <v>215.6067989</v>
      </c>
      <c r="BP202">
        <v>190</v>
      </c>
    </row>
    <row r="203" spans="1:68" x14ac:dyDescent="0.2">
      <c r="A203" t="s">
        <v>768</v>
      </c>
      <c r="B203">
        <v>56</v>
      </c>
      <c r="C203">
        <v>577</v>
      </c>
      <c r="D203">
        <v>1783</v>
      </c>
      <c r="E203">
        <v>666</v>
      </c>
      <c r="F203">
        <v>1126</v>
      </c>
      <c r="G203">
        <v>298</v>
      </c>
      <c r="H203">
        <v>62</v>
      </c>
      <c r="I203">
        <v>54</v>
      </c>
      <c r="J203">
        <v>154</v>
      </c>
      <c r="K203">
        <v>41</v>
      </c>
      <c r="L203">
        <v>933</v>
      </c>
      <c r="M203">
        <v>293</v>
      </c>
      <c r="N203">
        <v>591</v>
      </c>
      <c r="O203">
        <v>488</v>
      </c>
      <c r="P203">
        <v>197</v>
      </c>
      <c r="Q203">
        <v>522</v>
      </c>
      <c r="R203">
        <v>524</v>
      </c>
      <c r="S203">
        <v>1340</v>
      </c>
      <c r="T203">
        <v>796</v>
      </c>
      <c r="U203">
        <v>432</v>
      </c>
      <c r="V203">
        <v>235.35954480000001</v>
      </c>
      <c r="W203">
        <v>240.83257280000001</v>
      </c>
      <c r="X203">
        <v>147.1402578</v>
      </c>
      <c r="Y203">
        <v>153.15599330000001</v>
      </c>
      <c r="Z203">
        <v>114.127984</v>
      </c>
      <c r="AA203">
        <v>65</v>
      </c>
      <c r="AB203">
        <v>299.426537</v>
      </c>
      <c r="AC203">
        <v>309.37980340000001</v>
      </c>
      <c r="AD203">
        <v>245.79976869999999</v>
      </c>
      <c r="AE203">
        <v>162.25347840000001</v>
      </c>
      <c r="AF203">
        <v>121.10646389999999</v>
      </c>
      <c r="AG203">
        <v>55</v>
      </c>
      <c r="AH203">
        <v>303.26812039999999</v>
      </c>
      <c r="AI203">
        <v>227.12914430000001</v>
      </c>
      <c r="AJ203">
        <v>211.2147133</v>
      </c>
      <c r="AK203">
        <v>165.96964629999999</v>
      </c>
      <c r="AL203">
        <v>116.4018016</v>
      </c>
      <c r="AM203">
        <v>55</v>
      </c>
      <c r="AN203">
        <v>268.3196681</v>
      </c>
      <c r="AO203">
        <v>208.01610109999999</v>
      </c>
      <c r="AP203">
        <v>194.24013619999999</v>
      </c>
      <c r="AQ203">
        <v>175.3158573</v>
      </c>
      <c r="AR203">
        <v>111.9768116</v>
      </c>
      <c r="AS203">
        <v>55</v>
      </c>
      <c r="AT203">
        <v>5.2117999999999999E-3</v>
      </c>
      <c r="AU203">
        <v>4.8467969999999999E-2</v>
      </c>
      <c r="AV203">
        <v>0.16479885999999999</v>
      </c>
      <c r="AW203">
        <v>5.5891709999999997E-2</v>
      </c>
      <c r="AX203">
        <v>0.11083150999999999</v>
      </c>
      <c r="AY203">
        <v>2.904501E-2</v>
      </c>
      <c r="AZ203">
        <v>5.7495599999999999E-3</v>
      </c>
      <c r="BA203">
        <v>5.0567499999999996E-3</v>
      </c>
      <c r="BB203">
        <v>1.2197619999999999E-2</v>
      </c>
      <c r="BC203">
        <v>4.4964499999999999E-3</v>
      </c>
      <c r="BD203">
        <v>8.5760310000000006E-2</v>
      </c>
      <c r="BE203">
        <v>2.682118E-2</v>
      </c>
      <c r="BF203">
        <v>5.0493879999999998E-2</v>
      </c>
      <c r="BG203">
        <v>4.0669950000000003E-2</v>
      </c>
      <c r="BH203">
        <v>1.9246349999999999E-2</v>
      </c>
      <c r="BI203">
        <v>4.7211639999999999E-2</v>
      </c>
      <c r="BJ203">
        <v>4.6203519999999998E-2</v>
      </c>
      <c r="BK203">
        <v>0.12455842</v>
      </c>
      <c r="BL203">
        <v>7.5417460000000006E-2</v>
      </c>
      <c r="BM203">
        <v>4.1870049999999999E-2</v>
      </c>
      <c r="BN203">
        <v>1179</v>
      </c>
      <c r="BO203">
        <v>225.32400129999999</v>
      </c>
      <c r="BP203">
        <v>190</v>
      </c>
    </row>
    <row r="204" spans="1:68" x14ac:dyDescent="0.2">
      <c r="A204" t="s">
        <v>769</v>
      </c>
      <c r="B204">
        <v>27</v>
      </c>
      <c r="C204">
        <v>32</v>
      </c>
      <c r="D204">
        <v>367</v>
      </c>
      <c r="E204">
        <v>715</v>
      </c>
      <c r="F204">
        <v>645</v>
      </c>
      <c r="G204">
        <v>1490</v>
      </c>
      <c r="H204">
        <v>836</v>
      </c>
      <c r="I204">
        <v>881</v>
      </c>
      <c r="J204">
        <v>919</v>
      </c>
      <c r="K204">
        <v>317</v>
      </c>
      <c r="L204">
        <v>813</v>
      </c>
      <c r="M204">
        <v>1138</v>
      </c>
      <c r="N204">
        <v>1035</v>
      </c>
      <c r="O204">
        <v>605</v>
      </c>
      <c r="P204">
        <v>149</v>
      </c>
      <c r="Q204">
        <v>749</v>
      </c>
      <c r="R204">
        <v>1633</v>
      </c>
      <c r="S204">
        <v>1269</v>
      </c>
      <c r="T204">
        <v>344</v>
      </c>
      <c r="U204">
        <v>95</v>
      </c>
      <c r="V204">
        <v>166.20822620000001</v>
      </c>
      <c r="W204">
        <v>266.63798910000003</v>
      </c>
      <c r="X204">
        <v>163.15326809999999</v>
      </c>
      <c r="Y204">
        <v>147.92774510000001</v>
      </c>
      <c r="Z204">
        <v>120.77922220000001</v>
      </c>
      <c r="AA204">
        <v>65</v>
      </c>
      <c r="AB204">
        <v>301.67644309999997</v>
      </c>
      <c r="AC204">
        <v>295.02482659999998</v>
      </c>
      <c r="AD204">
        <v>218.6822301</v>
      </c>
      <c r="AE204">
        <v>150.4594452</v>
      </c>
      <c r="AF204">
        <v>119.6002206</v>
      </c>
      <c r="AG204">
        <v>55</v>
      </c>
      <c r="AH204">
        <v>313.42466669999999</v>
      </c>
      <c r="AI204">
        <v>276.13436619999999</v>
      </c>
      <c r="AJ204">
        <v>206.64903910000001</v>
      </c>
      <c r="AK204">
        <v>155.32801499999999</v>
      </c>
      <c r="AL204">
        <v>115.087441</v>
      </c>
      <c r="AM204">
        <v>55</v>
      </c>
      <c r="AN204">
        <v>285.16897119999999</v>
      </c>
      <c r="AO204">
        <v>287.22305660000001</v>
      </c>
      <c r="AP204">
        <v>190.2808914</v>
      </c>
      <c r="AQ204">
        <v>152.9127355</v>
      </c>
      <c r="AR204">
        <v>125.4631656</v>
      </c>
      <c r="AS204">
        <v>55</v>
      </c>
      <c r="AT204">
        <v>2.1140199999999999E-3</v>
      </c>
      <c r="AU204">
        <v>2.1275299999999999E-3</v>
      </c>
      <c r="AV204">
        <v>2.5959599999999999E-2</v>
      </c>
      <c r="AW204">
        <v>5.1219210000000001E-2</v>
      </c>
      <c r="AX204">
        <v>4.3363480000000003E-2</v>
      </c>
      <c r="AY204">
        <v>0.1024069</v>
      </c>
      <c r="AZ204">
        <v>5.71382E-2</v>
      </c>
      <c r="BA204">
        <v>6.4085879999999998E-2</v>
      </c>
      <c r="BB204">
        <v>6.4478740000000007E-2</v>
      </c>
      <c r="BC204">
        <v>2.4015370000000001E-2</v>
      </c>
      <c r="BD204">
        <v>5.5846489999999999E-2</v>
      </c>
      <c r="BE204">
        <v>7.962603E-2</v>
      </c>
      <c r="BF204">
        <v>7.624206E-2</v>
      </c>
      <c r="BG204">
        <v>4.4838309999999999E-2</v>
      </c>
      <c r="BH204">
        <v>1.1268210000000001E-2</v>
      </c>
      <c r="BI204">
        <v>5.1648659999999999E-2</v>
      </c>
      <c r="BJ204">
        <v>0.11871739000000001</v>
      </c>
      <c r="BK204">
        <v>9.1339820000000002E-2</v>
      </c>
      <c r="BL204">
        <v>2.613708E-2</v>
      </c>
      <c r="BM204">
        <v>7.4270200000000003E-3</v>
      </c>
      <c r="BN204">
        <v>7231</v>
      </c>
      <c r="BO204">
        <v>258.58973739999999</v>
      </c>
      <c r="BP204">
        <v>190</v>
      </c>
    </row>
    <row r="205" spans="1:68" x14ac:dyDescent="0.2">
      <c r="A205" t="s">
        <v>770</v>
      </c>
      <c r="B205">
        <v>122</v>
      </c>
      <c r="C205">
        <v>677</v>
      </c>
      <c r="D205">
        <v>1851</v>
      </c>
      <c r="E205">
        <v>1634</v>
      </c>
      <c r="F205">
        <v>1012</v>
      </c>
      <c r="G205">
        <v>1512</v>
      </c>
      <c r="H205">
        <v>537</v>
      </c>
      <c r="I205">
        <v>1216</v>
      </c>
      <c r="J205">
        <v>1651</v>
      </c>
      <c r="K205">
        <v>554</v>
      </c>
      <c r="L205">
        <v>478</v>
      </c>
      <c r="M205">
        <v>1174</v>
      </c>
      <c r="N205">
        <v>2978</v>
      </c>
      <c r="O205">
        <v>1738</v>
      </c>
      <c r="P205">
        <v>786</v>
      </c>
      <c r="Q205">
        <v>159</v>
      </c>
      <c r="R205">
        <v>1652</v>
      </c>
      <c r="S205">
        <v>4238</v>
      </c>
      <c r="T205">
        <v>1073</v>
      </c>
      <c r="U205">
        <v>702</v>
      </c>
      <c r="V205">
        <v>191.7962292</v>
      </c>
      <c r="W205">
        <v>223.95778390000001</v>
      </c>
      <c r="X205">
        <v>211.36573530000001</v>
      </c>
      <c r="Y205">
        <v>163.86584809999999</v>
      </c>
      <c r="Z205">
        <v>118.6396629</v>
      </c>
      <c r="AA205">
        <v>65</v>
      </c>
      <c r="AB205">
        <v>310.0322567</v>
      </c>
      <c r="AC205">
        <v>277.828552</v>
      </c>
      <c r="AD205">
        <v>214.1772923</v>
      </c>
      <c r="AE205">
        <v>140.96646960000001</v>
      </c>
      <c r="AF205">
        <v>115.2295828</v>
      </c>
      <c r="AG205">
        <v>55</v>
      </c>
      <c r="AH205">
        <v>303.29251840000001</v>
      </c>
      <c r="AI205">
        <v>225.21975660000001</v>
      </c>
      <c r="AJ205">
        <v>211.53819730000001</v>
      </c>
      <c r="AK205">
        <v>154.7591745</v>
      </c>
      <c r="AL205">
        <v>115.80131299999999</v>
      </c>
      <c r="AM205">
        <v>55</v>
      </c>
      <c r="AN205">
        <v>290.55290000000002</v>
      </c>
      <c r="AO205">
        <v>196.20271640000001</v>
      </c>
      <c r="AP205">
        <v>201.832874</v>
      </c>
      <c r="AQ205">
        <v>164.7909942</v>
      </c>
      <c r="AR205">
        <v>114.18389430000001</v>
      </c>
      <c r="AS205">
        <v>55</v>
      </c>
      <c r="AT205">
        <v>4.5697300000000001E-3</v>
      </c>
      <c r="AU205">
        <v>2.6590590000000001E-2</v>
      </c>
      <c r="AV205">
        <v>7.2740340000000001E-2</v>
      </c>
      <c r="AW205">
        <v>6.4187270000000005E-2</v>
      </c>
      <c r="AX205">
        <v>3.6313230000000002E-2</v>
      </c>
      <c r="AY205">
        <v>5.8747689999999998E-2</v>
      </c>
      <c r="AZ205">
        <v>2.1356699999999999E-2</v>
      </c>
      <c r="BA205">
        <v>4.7627530000000001E-2</v>
      </c>
      <c r="BB205">
        <v>6.4646229999999999E-2</v>
      </c>
      <c r="BC205">
        <v>2.0564220000000001E-2</v>
      </c>
      <c r="BD205">
        <v>1.8965800000000001E-2</v>
      </c>
      <c r="BE205">
        <v>4.5656889999999999E-2</v>
      </c>
      <c r="BF205">
        <v>0.11657586</v>
      </c>
      <c r="BG205">
        <v>6.8321469999999995E-2</v>
      </c>
      <c r="BH205">
        <v>2.9663200000000001E-2</v>
      </c>
      <c r="BI205">
        <v>6.1593799999999999E-3</v>
      </c>
      <c r="BJ205">
        <v>6.4597769999999999E-2</v>
      </c>
      <c r="BK205">
        <v>0.16389729</v>
      </c>
      <c r="BL205">
        <v>4.2052840000000001E-2</v>
      </c>
      <c r="BM205">
        <v>2.676597E-2</v>
      </c>
      <c r="BN205">
        <v>3328</v>
      </c>
      <c r="BO205">
        <v>230.6201173</v>
      </c>
      <c r="BP205">
        <v>190</v>
      </c>
    </row>
    <row r="206" spans="1:68" x14ac:dyDescent="0.2">
      <c r="A206" t="s">
        <v>771</v>
      </c>
      <c r="B206">
        <v>253</v>
      </c>
      <c r="C206">
        <v>1425</v>
      </c>
      <c r="D206">
        <v>3632</v>
      </c>
      <c r="E206">
        <v>1232</v>
      </c>
      <c r="F206">
        <v>551</v>
      </c>
      <c r="G206">
        <v>1165</v>
      </c>
      <c r="H206">
        <v>253</v>
      </c>
      <c r="I206">
        <v>382</v>
      </c>
      <c r="J206">
        <v>474</v>
      </c>
      <c r="K206">
        <v>201</v>
      </c>
      <c r="L206">
        <v>1886</v>
      </c>
      <c r="M206">
        <v>860</v>
      </c>
      <c r="N206">
        <v>1316</v>
      </c>
      <c r="O206">
        <v>1117</v>
      </c>
      <c r="P206">
        <v>239</v>
      </c>
      <c r="Q206">
        <v>301</v>
      </c>
      <c r="R206">
        <v>1023</v>
      </c>
      <c r="S206">
        <v>2387</v>
      </c>
      <c r="T206">
        <v>1786</v>
      </c>
      <c r="U206">
        <v>229</v>
      </c>
      <c r="V206">
        <v>267.25813979999998</v>
      </c>
      <c r="W206">
        <v>239.233508</v>
      </c>
      <c r="X206">
        <v>192.656916</v>
      </c>
      <c r="Y206">
        <v>163.70099070000001</v>
      </c>
      <c r="Z206">
        <v>114.2368383</v>
      </c>
      <c r="AA206">
        <v>65</v>
      </c>
      <c r="AB206">
        <v>309.22241939999998</v>
      </c>
      <c r="AC206">
        <v>278.28568610000002</v>
      </c>
      <c r="AD206">
        <v>213.70120170000001</v>
      </c>
      <c r="AE206">
        <v>158.98488499999999</v>
      </c>
      <c r="AF206">
        <v>120.1545728</v>
      </c>
      <c r="AG206">
        <v>55</v>
      </c>
      <c r="AH206">
        <v>292.52457800000002</v>
      </c>
      <c r="AI206">
        <v>234.58711159999999</v>
      </c>
      <c r="AJ206">
        <v>201.16969309999999</v>
      </c>
      <c r="AK206">
        <v>158.22198090000001</v>
      </c>
      <c r="AL206">
        <v>119.3163627</v>
      </c>
      <c r="AM206">
        <v>55</v>
      </c>
      <c r="AN206">
        <v>281.55449390000001</v>
      </c>
      <c r="AO206">
        <v>205.51907990000001</v>
      </c>
      <c r="AP206">
        <v>192.20345789999999</v>
      </c>
      <c r="AQ206">
        <v>155.9298699</v>
      </c>
      <c r="AR206">
        <v>116.7851557</v>
      </c>
      <c r="AS206">
        <v>55</v>
      </c>
      <c r="AT206">
        <v>1.2983450000000001E-2</v>
      </c>
      <c r="AU206">
        <v>6.753692E-2</v>
      </c>
      <c r="AV206">
        <v>0.1718846</v>
      </c>
      <c r="AW206">
        <v>6.5870520000000002E-2</v>
      </c>
      <c r="AX206">
        <v>2.8390990000000001E-2</v>
      </c>
      <c r="AY206">
        <v>5.4337780000000002E-2</v>
      </c>
      <c r="AZ206">
        <v>1.169984E-2</v>
      </c>
      <c r="BA206">
        <v>1.7999009999999999E-2</v>
      </c>
      <c r="BB206">
        <v>2.4387499999999999E-2</v>
      </c>
      <c r="BC206">
        <v>9.8208900000000005E-3</v>
      </c>
      <c r="BD206">
        <v>8.8754840000000002E-2</v>
      </c>
      <c r="BE206">
        <v>4.0562819999999999E-2</v>
      </c>
      <c r="BF206">
        <v>6.1848960000000001E-2</v>
      </c>
      <c r="BG206">
        <v>5.5750569999999999E-2</v>
      </c>
      <c r="BH206">
        <v>1.177945E-2</v>
      </c>
      <c r="BI206">
        <v>1.384064E-2</v>
      </c>
      <c r="BJ206">
        <v>4.6459819999999999E-2</v>
      </c>
      <c r="BK206">
        <v>0.11353227</v>
      </c>
      <c r="BL206">
        <v>8.9274439999999997E-2</v>
      </c>
      <c r="BM206">
        <v>1.328469E-2</v>
      </c>
      <c r="BN206">
        <v>2822</v>
      </c>
      <c r="BO206">
        <v>273.51910939999999</v>
      </c>
      <c r="BP206">
        <v>190</v>
      </c>
    </row>
    <row r="207" spans="1:68" x14ac:dyDescent="0.2">
      <c r="A207" t="s">
        <v>772</v>
      </c>
      <c r="B207">
        <v>349</v>
      </c>
      <c r="C207">
        <v>94</v>
      </c>
      <c r="D207">
        <v>93</v>
      </c>
      <c r="E207">
        <v>162</v>
      </c>
      <c r="F207">
        <v>151</v>
      </c>
      <c r="G207">
        <v>589</v>
      </c>
      <c r="H207">
        <v>386</v>
      </c>
      <c r="I207">
        <v>627</v>
      </c>
      <c r="J207">
        <v>594</v>
      </c>
      <c r="K207">
        <v>228</v>
      </c>
      <c r="L207">
        <v>215</v>
      </c>
      <c r="M207">
        <v>226</v>
      </c>
      <c r="N207">
        <v>560</v>
      </c>
      <c r="O207">
        <v>470</v>
      </c>
      <c r="P207">
        <v>331</v>
      </c>
      <c r="Q207">
        <v>25</v>
      </c>
      <c r="R207">
        <v>14</v>
      </c>
      <c r="S207">
        <v>365</v>
      </c>
      <c r="T207">
        <v>267</v>
      </c>
      <c r="U207">
        <v>156</v>
      </c>
      <c r="V207">
        <v>261.58782819999999</v>
      </c>
      <c r="W207">
        <v>315.76497000000001</v>
      </c>
      <c r="X207">
        <v>191.01873789999999</v>
      </c>
      <c r="Y207">
        <v>136.5167821</v>
      </c>
      <c r="Z207">
        <v>117.40606270000001</v>
      </c>
      <c r="AA207">
        <v>65</v>
      </c>
      <c r="AB207">
        <v>315.10758120000003</v>
      </c>
      <c r="AC207">
        <v>281.0046931</v>
      </c>
      <c r="AD207">
        <v>233.90913560000001</v>
      </c>
      <c r="AE207">
        <v>155.8880178</v>
      </c>
      <c r="AF207">
        <v>118.7037296</v>
      </c>
      <c r="AG207">
        <v>55</v>
      </c>
      <c r="AH207">
        <v>284.34418099999999</v>
      </c>
      <c r="AI207">
        <v>233.98561459999999</v>
      </c>
      <c r="AJ207">
        <v>194.12320500000001</v>
      </c>
      <c r="AK207">
        <v>162.7545092</v>
      </c>
      <c r="AL207">
        <v>113.4269695</v>
      </c>
      <c r="AM207">
        <v>55</v>
      </c>
      <c r="AN207">
        <v>298.40092679999998</v>
      </c>
      <c r="AO207">
        <v>294.16263739999999</v>
      </c>
      <c r="AP207">
        <v>153.11592239999999</v>
      </c>
      <c r="AQ207">
        <v>156.62078020000001</v>
      </c>
      <c r="AR207">
        <v>114.23412449999999</v>
      </c>
      <c r="AS207">
        <v>55</v>
      </c>
      <c r="AT207">
        <v>5.7908260000000003E-2</v>
      </c>
      <c r="AU207">
        <v>1.5054639999999999E-2</v>
      </c>
      <c r="AV207">
        <v>1.6159860000000002E-2</v>
      </c>
      <c r="AW207">
        <v>2.5518889999999999E-2</v>
      </c>
      <c r="AX207">
        <v>2.0286999999999999E-2</v>
      </c>
      <c r="AY207">
        <v>0.10407935</v>
      </c>
      <c r="AZ207">
        <v>6.9858959999999998E-2</v>
      </c>
      <c r="BA207">
        <v>0.11109827999999999</v>
      </c>
      <c r="BB207">
        <v>0.1052203</v>
      </c>
      <c r="BC207">
        <v>3.3001540000000003E-2</v>
      </c>
      <c r="BD207">
        <v>3.5824599999999998E-2</v>
      </c>
      <c r="BE207">
        <v>4.2092520000000001E-2</v>
      </c>
      <c r="BF207">
        <v>9.9629629999999997E-2</v>
      </c>
      <c r="BG207">
        <v>7.958411E-2</v>
      </c>
      <c r="BH207">
        <v>4.4965070000000003E-2</v>
      </c>
      <c r="BI207">
        <v>4.5780200000000004E-3</v>
      </c>
      <c r="BJ207">
        <v>2.53301E-3</v>
      </c>
      <c r="BK207">
        <v>6.4420859999999996E-2</v>
      </c>
      <c r="BL207">
        <v>4.6827710000000002E-2</v>
      </c>
      <c r="BM207">
        <v>2.135739E-2</v>
      </c>
      <c r="BN207">
        <v>746</v>
      </c>
      <c r="BO207">
        <v>244.49163050000001</v>
      </c>
      <c r="BP207">
        <v>190</v>
      </c>
    </row>
    <row r="208" spans="1:68" x14ac:dyDescent="0.2">
      <c r="A208" t="s">
        <v>773</v>
      </c>
      <c r="B208">
        <v>38</v>
      </c>
      <c r="C208">
        <v>63</v>
      </c>
      <c r="D208">
        <v>190</v>
      </c>
      <c r="E208">
        <v>279</v>
      </c>
      <c r="F208">
        <v>368</v>
      </c>
      <c r="G208">
        <v>604</v>
      </c>
      <c r="H208">
        <v>205</v>
      </c>
      <c r="I208">
        <v>213</v>
      </c>
      <c r="J208">
        <v>599</v>
      </c>
      <c r="K208">
        <v>152</v>
      </c>
      <c r="L208">
        <v>257</v>
      </c>
      <c r="M208">
        <v>217</v>
      </c>
      <c r="N208">
        <v>1434</v>
      </c>
      <c r="O208">
        <v>726</v>
      </c>
      <c r="P208">
        <v>191</v>
      </c>
      <c r="Q208">
        <v>38</v>
      </c>
      <c r="R208">
        <v>84</v>
      </c>
      <c r="S208">
        <v>2431</v>
      </c>
      <c r="T208">
        <v>882</v>
      </c>
      <c r="U208">
        <v>228</v>
      </c>
      <c r="V208">
        <v>225.02058160000001</v>
      </c>
      <c r="W208">
        <v>274.05959030000002</v>
      </c>
      <c r="X208">
        <v>156.93405809999999</v>
      </c>
      <c r="Y208">
        <v>163.52113840000001</v>
      </c>
      <c r="Z208">
        <v>115.2049645</v>
      </c>
      <c r="AA208">
        <v>65</v>
      </c>
      <c r="AB208">
        <v>306.18225460000002</v>
      </c>
      <c r="AC208">
        <v>266.04687669999998</v>
      </c>
      <c r="AD208">
        <v>213.9744987</v>
      </c>
      <c r="AE208">
        <v>143.15881060000001</v>
      </c>
      <c r="AF208">
        <v>118.1657309</v>
      </c>
      <c r="AG208">
        <v>55</v>
      </c>
      <c r="AH208">
        <v>320.19796830000001</v>
      </c>
      <c r="AI208">
        <v>237.0983043</v>
      </c>
      <c r="AJ208">
        <v>200.22559029999999</v>
      </c>
      <c r="AK208">
        <v>161.81253889999999</v>
      </c>
      <c r="AL208">
        <v>116.4475231</v>
      </c>
      <c r="AM208">
        <v>55</v>
      </c>
      <c r="AN208">
        <v>291.0383387</v>
      </c>
      <c r="AO208">
        <v>227.14735909999999</v>
      </c>
      <c r="AP208">
        <v>184.42510960000001</v>
      </c>
      <c r="AQ208">
        <v>160.33562280000001</v>
      </c>
      <c r="AR208">
        <v>114.1395582</v>
      </c>
      <c r="AS208">
        <v>55</v>
      </c>
      <c r="AT208">
        <v>3.7592699999999999E-3</v>
      </c>
      <c r="AU208">
        <v>6.5356900000000002E-3</v>
      </c>
      <c r="AV208">
        <v>1.9336639999999999E-2</v>
      </c>
      <c r="AW208">
        <v>2.7102979999999999E-2</v>
      </c>
      <c r="AX208">
        <v>3.97297E-2</v>
      </c>
      <c r="AY208">
        <v>6.8858550000000004E-2</v>
      </c>
      <c r="AZ208">
        <v>2.171932E-2</v>
      </c>
      <c r="BA208">
        <v>2.3108119999999999E-2</v>
      </c>
      <c r="BB208">
        <v>7.2018579999999999E-2</v>
      </c>
      <c r="BC208">
        <v>1.520001E-2</v>
      </c>
      <c r="BD208">
        <v>2.5999209999999998E-2</v>
      </c>
      <c r="BE208">
        <v>2.4684270000000001E-2</v>
      </c>
      <c r="BF208">
        <v>0.15552436</v>
      </c>
      <c r="BG208">
        <v>8.0285590000000004E-2</v>
      </c>
      <c r="BH208">
        <v>2.137681E-2</v>
      </c>
      <c r="BI208">
        <v>4.4386299999999998E-3</v>
      </c>
      <c r="BJ208">
        <v>9.2063800000000001E-3</v>
      </c>
      <c r="BK208">
        <v>0.25893892000000002</v>
      </c>
      <c r="BL208">
        <v>9.615543E-2</v>
      </c>
      <c r="BM208">
        <v>2.6021539999999999E-2</v>
      </c>
      <c r="BN208">
        <v>706</v>
      </c>
      <c r="BO208">
        <v>249.11427900000001</v>
      </c>
      <c r="BP208">
        <v>190</v>
      </c>
    </row>
    <row r="209" spans="1:68" x14ac:dyDescent="0.2">
      <c r="A209" t="s">
        <v>774</v>
      </c>
      <c r="B209">
        <v>114</v>
      </c>
      <c r="C209">
        <v>39</v>
      </c>
      <c r="D209">
        <v>353</v>
      </c>
      <c r="E209">
        <v>409</v>
      </c>
      <c r="F209">
        <v>405</v>
      </c>
      <c r="G209">
        <v>663</v>
      </c>
      <c r="H209">
        <v>389</v>
      </c>
      <c r="I209">
        <v>709</v>
      </c>
      <c r="J209">
        <v>690</v>
      </c>
      <c r="K209">
        <v>140</v>
      </c>
      <c r="L209">
        <v>489</v>
      </c>
      <c r="M209">
        <v>743</v>
      </c>
      <c r="N209">
        <v>1220</v>
      </c>
      <c r="O209">
        <v>668</v>
      </c>
      <c r="P209">
        <v>212</v>
      </c>
      <c r="Q209">
        <v>261</v>
      </c>
      <c r="R209">
        <v>561</v>
      </c>
      <c r="S209">
        <v>1407</v>
      </c>
      <c r="T209">
        <v>632</v>
      </c>
      <c r="U209">
        <v>294</v>
      </c>
      <c r="V209">
        <v>283.85696050000001</v>
      </c>
      <c r="W209">
        <v>240.6794778</v>
      </c>
      <c r="X209">
        <v>176.5014553</v>
      </c>
      <c r="Y209">
        <v>152.6456282</v>
      </c>
      <c r="Z209">
        <v>116.8012459</v>
      </c>
      <c r="AA209">
        <v>65</v>
      </c>
      <c r="AB209">
        <v>303.39256769999997</v>
      </c>
      <c r="AC209">
        <v>284.82011410000001</v>
      </c>
      <c r="AD209">
        <v>218.18914240000001</v>
      </c>
      <c r="AE209">
        <v>152.40700709999999</v>
      </c>
      <c r="AF209">
        <v>118.3511082</v>
      </c>
      <c r="AG209">
        <v>55</v>
      </c>
      <c r="AH209">
        <v>323.98339600000003</v>
      </c>
      <c r="AI209">
        <v>259.81666380000001</v>
      </c>
      <c r="AJ209">
        <v>204.07482999999999</v>
      </c>
      <c r="AK209">
        <v>164.19363730000001</v>
      </c>
      <c r="AL209">
        <v>119.8753485</v>
      </c>
      <c r="AM209">
        <v>55</v>
      </c>
      <c r="AN209">
        <v>280.18239299999999</v>
      </c>
      <c r="AO209">
        <v>242.96009369999999</v>
      </c>
      <c r="AP209">
        <v>185.18470450000001</v>
      </c>
      <c r="AQ209">
        <v>160.62630680000001</v>
      </c>
      <c r="AR209">
        <v>116.1096095</v>
      </c>
      <c r="AS209">
        <v>55</v>
      </c>
      <c r="AT209">
        <v>1.1102620000000001E-2</v>
      </c>
      <c r="AU209">
        <v>3.6583700000000002E-3</v>
      </c>
      <c r="AV209">
        <v>2.8759630000000001E-2</v>
      </c>
      <c r="AW209">
        <v>3.8991249999999998E-2</v>
      </c>
      <c r="AX209">
        <v>3.8540190000000002E-2</v>
      </c>
      <c r="AY209">
        <v>6.6927E-2</v>
      </c>
      <c r="AZ209">
        <v>3.9970369999999998E-2</v>
      </c>
      <c r="BA209">
        <v>6.9627449999999994E-2</v>
      </c>
      <c r="BB209">
        <v>6.4816899999999997E-2</v>
      </c>
      <c r="BC209">
        <v>1.461805E-2</v>
      </c>
      <c r="BD209">
        <v>4.6671369999999997E-2</v>
      </c>
      <c r="BE209">
        <v>7.1028599999999997E-2</v>
      </c>
      <c r="BF209">
        <v>0.11895818</v>
      </c>
      <c r="BG209">
        <v>6.4892560000000002E-2</v>
      </c>
      <c r="BH209">
        <v>2.282518E-2</v>
      </c>
      <c r="BI209">
        <v>2.3246679999999999E-2</v>
      </c>
      <c r="BJ209">
        <v>4.9468690000000003E-2</v>
      </c>
      <c r="BK209">
        <v>0.13626621</v>
      </c>
      <c r="BL209">
        <v>5.89335E-2</v>
      </c>
      <c r="BM209">
        <v>3.0697200000000001E-2</v>
      </c>
      <c r="BN209">
        <v>1464</v>
      </c>
      <c r="BO209">
        <v>269.29631549999999</v>
      </c>
      <c r="BP209">
        <v>190</v>
      </c>
    </row>
    <row r="210" spans="1:68" x14ac:dyDescent="0.2">
      <c r="A210" t="s">
        <v>775</v>
      </c>
      <c r="B210">
        <v>375</v>
      </c>
      <c r="C210">
        <v>254</v>
      </c>
      <c r="D210">
        <v>587</v>
      </c>
      <c r="E210">
        <v>1229</v>
      </c>
      <c r="F210">
        <v>469</v>
      </c>
      <c r="G210">
        <v>2190</v>
      </c>
      <c r="H210">
        <v>783</v>
      </c>
      <c r="I210">
        <v>1229</v>
      </c>
      <c r="J210">
        <v>1389</v>
      </c>
      <c r="K210">
        <v>528</v>
      </c>
      <c r="L210">
        <v>909</v>
      </c>
      <c r="M210">
        <v>1092</v>
      </c>
      <c r="N210">
        <v>1877</v>
      </c>
      <c r="O210">
        <v>1639</v>
      </c>
      <c r="P210">
        <v>751</v>
      </c>
      <c r="Q210">
        <v>563</v>
      </c>
      <c r="R210">
        <v>693</v>
      </c>
      <c r="S210">
        <v>2077</v>
      </c>
      <c r="T210">
        <v>881</v>
      </c>
      <c r="U210">
        <v>553</v>
      </c>
      <c r="V210">
        <v>213.07916159999999</v>
      </c>
      <c r="W210">
        <v>263.10077269999999</v>
      </c>
      <c r="X210">
        <v>219.7635099</v>
      </c>
      <c r="Y210">
        <v>156.9496159</v>
      </c>
      <c r="Z210">
        <v>104.7693092</v>
      </c>
      <c r="AA210">
        <v>65</v>
      </c>
      <c r="AB210">
        <v>304.06211259999998</v>
      </c>
      <c r="AC210">
        <v>283.70393960000001</v>
      </c>
      <c r="AD210">
        <v>218.8389014</v>
      </c>
      <c r="AE210">
        <v>145.4337247</v>
      </c>
      <c r="AF210">
        <v>115.9372576</v>
      </c>
      <c r="AG210">
        <v>55</v>
      </c>
      <c r="AH210">
        <v>300.90945840000001</v>
      </c>
      <c r="AI210">
        <v>261.92047910000002</v>
      </c>
      <c r="AJ210">
        <v>214.95674539999999</v>
      </c>
      <c r="AK210">
        <v>156.14565540000001</v>
      </c>
      <c r="AL210">
        <v>115.76320320000001</v>
      </c>
      <c r="AM210">
        <v>55</v>
      </c>
      <c r="AN210">
        <v>287.33549850000003</v>
      </c>
      <c r="AO210">
        <v>239.91165620000001</v>
      </c>
      <c r="AP210">
        <v>201.01419000000001</v>
      </c>
      <c r="AQ210">
        <v>155.24412810000001</v>
      </c>
      <c r="AR210">
        <v>115.4612616</v>
      </c>
      <c r="AS210">
        <v>55</v>
      </c>
      <c r="AT210">
        <v>1.616457E-2</v>
      </c>
      <c r="AU210">
        <v>1.246569E-2</v>
      </c>
      <c r="AV210">
        <v>3.0143909999999999E-2</v>
      </c>
      <c r="AW210">
        <v>6.0514030000000003E-2</v>
      </c>
      <c r="AX210">
        <v>2.223172E-2</v>
      </c>
      <c r="AY210">
        <v>0.11320637</v>
      </c>
      <c r="AZ210">
        <v>4.0138409999999999E-2</v>
      </c>
      <c r="BA210">
        <v>6.2371500000000003E-2</v>
      </c>
      <c r="BB210">
        <v>7.1320700000000001E-2</v>
      </c>
      <c r="BC210">
        <v>2.5511329999999999E-2</v>
      </c>
      <c r="BD210">
        <v>4.4929910000000003E-2</v>
      </c>
      <c r="BE210">
        <v>5.3296650000000001E-2</v>
      </c>
      <c r="BF210">
        <v>9.50849E-2</v>
      </c>
      <c r="BG210">
        <v>8.3933770000000005E-2</v>
      </c>
      <c r="BH210">
        <v>3.346118E-2</v>
      </c>
      <c r="BI210">
        <v>2.661612E-2</v>
      </c>
      <c r="BJ210">
        <v>3.3368040000000002E-2</v>
      </c>
      <c r="BK210">
        <v>0.10587551000000001</v>
      </c>
      <c r="BL210">
        <v>4.3005519999999998E-2</v>
      </c>
      <c r="BM210">
        <v>2.6360169999999999E-2</v>
      </c>
      <c r="BN210">
        <v>2873</v>
      </c>
      <c r="BO210">
        <v>273.5435172</v>
      </c>
      <c r="BP210">
        <v>190</v>
      </c>
    </row>
    <row r="211" spans="1:68" x14ac:dyDescent="0.2">
      <c r="A211" t="s">
        <v>776</v>
      </c>
      <c r="B211">
        <v>279</v>
      </c>
      <c r="C211">
        <v>799</v>
      </c>
      <c r="D211">
        <v>3184</v>
      </c>
      <c r="E211">
        <v>1656</v>
      </c>
      <c r="F211">
        <v>1243</v>
      </c>
      <c r="G211">
        <v>958</v>
      </c>
      <c r="H211">
        <v>337</v>
      </c>
      <c r="I211">
        <v>854</v>
      </c>
      <c r="J211">
        <v>665</v>
      </c>
      <c r="K211">
        <v>436</v>
      </c>
      <c r="L211">
        <v>1158</v>
      </c>
      <c r="M211">
        <v>808</v>
      </c>
      <c r="N211">
        <v>2750</v>
      </c>
      <c r="O211">
        <v>1282</v>
      </c>
      <c r="P211">
        <v>334</v>
      </c>
      <c r="Q211">
        <v>853</v>
      </c>
      <c r="R211">
        <v>914</v>
      </c>
      <c r="S211">
        <v>6277</v>
      </c>
      <c r="T211">
        <v>3331</v>
      </c>
      <c r="U211">
        <v>504</v>
      </c>
      <c r="V211">
        <v>254.47656549999999</v>
      </c>
      <c r="W211">
        <v>199.10700879999999</v>
      </c>
      <c r="X211">
        <v>173.71474330000001</v>
      </c>
      <c r="Y211">
        <v>147.08177599999999</v>
      </c>
      <c r="Z211">
        <v>112.66195690000001</v>
      </c>
      <c r="AA211">
        <v>65</v>
      </c>
      <c r="AB211">
        <v>280.26673940000001</v>
      </c>
      <c r="AC211">
        <v>285.88563779999998</v>
      </c>
      <c r="AD211">
        <v>217.45874219999999</v>
      </c>
      <c r="AE211">
        <v>151.643112</v>
      </c>
      <c r="AF211">
        <v>116.3513088</v>
      </c>
      <c r="AG211">
        <v>55</v>
      </c>
      <c r="AH211">
        <v>298.70099620000002</v>
      </c>
      <c r="AI211">
        <v>224.05351519999999</v>
      </c>
      <c r="AJ211">
        <v>212.95964369999999</v>
      </c>
      <c r="AK211">
        <v>175.0212156</v>
      </c>
      <c r="AL211">
        <v>116.0520618</v>
      </c>
      <c r="AM211">
        <v>55</v>
      </c>
      <c r="AN211">
        <v>278.8601511</v>
      </c>
      <c r="AO211">
        <v>191.81637420000001</v>
      </c>
      <c r="AP211">
        <v>198.3272149</v>
      </c>
      <c r="AQ211">
        <v>173.97493410000001</v>
      </c>
      <c r="AR211">
        <v>115.03478389999999</v>
      </c>
      <c r="AS211">
        <v>55</v>
      </c>
      <c r="AT211">
        <v>9.3133799999999996E-3</v>
      </c>
      <c r="AU211">
        <v>2.8510890000000001E-2</v>
      </c>
      <c r="AV211">
        <v>0.11261037</v>
      </c>
      <c r="AW211">
        <v>5.8511319999999999E-2</v>
      </c>
      <c r="AX211">
        <v>4.1103420000000002E-2</v>
      </c>
      <c r="AY211">
        <v>3.25299E-2</v>
      </c>
      <c r="AZ211">
        <v>1.1935889999999999E-2</v>
      </c>
      <c r="BA211">
        <v>2.874933E-2</v>
      </c>
      <c r="BB211">
        <v>2.234156E-2</v>
      </c>
      <c r="BC211">
        <v>1.356476E-2</v>
      </c>
      <c r="BD211">
        <v>3.9992E-2</v>
      </c>
      <c r="BE211">
        <v>2.7798639999999999E-2</v>
      </c>
      <c r="BF211">
        <v>9.9470320000000001E-2</v>
      </c>
      <c r="BG211">
        <v>4.3804629999999997E-2</v>
      </c>
      <c r="BH211">
        <v>1.100141E-2</v>
      </c>
      <c r="BI211">
        <v>3.0188320000000001E-2</v>
      </c>
      <c r="BJ211">
        <v>3.0927570000000001E-2</v>
      </c>
      <c r="BK211">
        <v>0.22600592</v>
      </c>
      <c r="BL211">
        <v>0.11498302000000001</v>
      </c>
      <c r="BM211">
        <v>1.6657350000000001E-2</v>
      </c>
      <c r="BN211">
        <v>2711</v>
      </c>
      <c r="BO211">
        <v>244.72567770000001</v>
      </c>
      <c r="BP211">
        <v>190</v>
      </c>
    </row>
    <row r="212" spans="1:68" x14ac:dyDescent="0.2">
      <c r="A212" t="s">
        <v>777</v>
      </c>
      <c r="B212">
        <v>112</v>
      </c>
      <c r="C212">
        <v>173</v>
      </c>
      <c r="D212">
        <v>2256</v>
      </c>
      <c r="E212">
        <v>1619</v>
      </c>
      <c r="F212">
        <v>777</v>
      </c>
      <c r="G212">
        <v>1907</v>
      </c>
      <c r="H212">
        <v>624</v>
      </c>
      <c r="I212">
        <v>1359</v>
      </c>
      <c r="J212">
        <v>1427</v>
      </c>
      <c r="K212">
        <v>493</v>
      </c>
      <c r="L212">
        <v>1703</v>
      </c>
      <c r="M212">
        <v>1347</v>
      </c>
      <c r="N212">
        <v>2673</v>
      </c>
      <c r="O212">
        <v>1320</v>
      </c>
      <c r="P212">
        <v>432</v>
      </c>
      <c r="Q212">
        <v>1598</v>
      </c>
      <c r="R212">
        <v>1651</v>
      </c>
      <c r="S212">
        <v>4052</v>
      </c>
      <c r="T212">
        <v>1101</v>
      </c>
      <c r="U212">
        <v>311</v>
      </c>
      <c r="V212">
        <v>249.47479240000001</v>
      </c>
      <c r="W212">
        <v>162.18491280000001</v>
      </c>
      <c r="X212">
        <v>181.80395780000001</v>
      </c>
      <c r="Y212">
        <v>169.75510209999999</v>
      </c>
      <c r="Z212">
        <v>115.3766924</v>
      </c>
      <c r="AA212">
        <v>65</v>
      </c>
      <c r="AB212">
        <v>309.10794540000001</v>
      </c>
      <c r="AC212">
        <v>302.2798871</v>
      </c>
      <c r="AD212">
        <v>223.33835350000001</v>
      </c>
      <c r="AE212">
        <v>151.40564090000001</v>
      </c>
      <c r="AF212">
        <v>117.1420997</v>
      </c>
      <c r="AG212">
        <v>55</v>
      </c>
      <c r="AH212">
        <v>305.47158719999999</v>
      </c>
      <c r="AI212">
        <v>267.82186189999999</v>
      </c>
      <c r="AJ212">
        <v>210.09835670000001</v>
      </c>
      <c r="AK212">
        <v>155.60474199999999</v>
      </c>
      <c r="AL212">
        <v>117.7655377</v>
      </c>
      <c r="AM212">
        <v>55</v>
      </c>
      <c r="AN212">
        <v>287.47384160000001</v>
      </c>
      <c r="AO212">
        <v>248.35019750000001</v>
      </c>
      <c r="AP212">
        <v>189.7770793</v>
      </c>
      <c r="AQ212">
        <v>154.3062037</v>
      </c>
      <c r="AR212">
        <v>116.8848543</v>
      </c>
      <c r="AS212">
        <v>55</v>
      </c>
      <c r="AT212">
        <v>3.8811200000000001E-3</v>
      </c>
      <c r="AU212">
        <v>6.3856399999999997E-3</v>
      </c>
      <c r="AV212">
        <v>8.2598969999999994E-2</v>
      </c>
      <c r="AW212">
        <v>6.1336179999999997E-2</v>
      </c>
      <c r="AX212">
        <v>2.603279E-2</v>
      </c>
      <c r="AY212">
        <v>7.512982E-2</v>
      </c>
      <c r="AZ212">
        <v>2.3539839999999999E-2</v>
      </c>
      <c r="BA212">
        <v>5.0454029999999997E-2</v>
      </c>
      <c r="BB212">
        <v>5.5888119999999999E-2</v>
      </c>
      <c r="BC212">
        <v>1.6393370000000001E-2</v>
      </c>
      <c r="BD212">
        <v>6.4480780000000001E-2</v>
      </c>
      <c r="BE212">
        <v>5.1893509999999997E-2</v>
      </c>
      <c r="BF212">
        <v>9.6379210000000007E-2</v>
      </c>
      <c r="BG212">
        <v>5.038045E-2</v>
      </c>
      <c r="BH212">
        <v>1.4483859999999999E-2</v>
      </c>
      <c r="BI212">
        <v>6.0733049999999997E-2</v>
      </c>
      <c r="BJ212">
        <v>6.068788E-2</v>
      </c>
      <c r="BK212">
        <v>0.14506037999999999</v>
      </c>
      <c r="BL212">
        <v>4.3546500000000002E-2</v>
      </c>
      <c r="BM212">
        <v>1.07145E-2</v>
      </c>
      <c r="BN212">
        <v>3946</v>
      </c>
      <c r="BO212">
        <v>251.4562311</v>
      </c>
      <c r="BP212">
        <v>190</v>
      </c>
    </row>
    <row r="213" spans="1:68" x14ac:dyDescent="0.2">
      <c r="A213" t="s">
        <v>778</v>
      </c>
      <c r="B213">
        <v>62</v>
      </c>
      <c r="C213">
        <v>2</v>
      </c>
      <c r="D213">
        <v>10</v>
      </c>
      <c r="E213">
        <v>72</v>
      </c>
      <c r="F213">
        <v>104</v>
      </c>
      <c r="G213">
        <v>405</v>
      </c>
      <c r="H213">
        <v>132</v>
      </c>
      <c r="I213">
        <v>164</v>
      </c>
      <c r="J213">
        <v>140</v>
      </c>
      <c r="K213">
        <v>93</v>
      </c>
      <c r="L213">
        <v>277</v>
      </c>
      <c r="M213">
        <v>110</v>
      </c>
      <c r="N213">
        <v>143</v>
      </c>
      <c r="O213">
        <v>91</v>
      </c>
      <c r="P213">
        <v>71</v>
      </c>
      <c r="Q213">
        <v>171</v>
      </c>
      <c r="R213">
        <v>48</v>
      </c>
      <c r="S213">
        <v>120</v>
      </c>
      <c r="T213">
        <v>40</v>
      </c>
      <c r="U213">
        <v>26</v>
      </c>
      <c r="V213">
        <v>270.9215198</v>
      </c>
      <c r="W213">
        <v>0</v>
      </c>
      <c r="X213">
        <v>221.816092</v>
      </c>
      <c r="Y213">
        <v>156.36246990000001</v>
      </c>
      <c r="Z213">
        <v>123.37559280000001</v>
      </c>
      <c r="AA213">
        <v>65</v>
      </c>
      <c r="AB213">
        <v>326.39683179999997</v>
      </c>
      <c r="AC213">
        <v>323.71530790000003</v>
      </c>
      <c r="AD213">
        <v>239.6746096</v>
      </c>
      <c r="AE213">
        <v>150.51377629999999</v>
      </c>
      <c r="AF213">
        <v>114.2704348</v>
      </c>
      <c r="AG213">
        <v>55</v>
      </c>
      <c r="AH213">
        <v>319.00271959999998</v>
      </c>
      <c r="AI213">
        <v>282.81032169999997</v>
      </c>
      <c r="AJ213">
        <v>234.08000620000001</v>
      </c>
      <c r="AK213">
        <v>179.23146740000001</v>
      </c>
      <c r="AL213">
        <v>118.00861159999999</v>
      </c>
      <c r="AM213">
        <v>55</v>
      </c>
      <c r="AN213">
        <v>297.52473759999998</v>
      </c>
      <c r="AO213">
        <v>242.90533719999999</v>
      </c>
      <c r="AP213">
        <v>215.6568245</v>
      </c>
      <c r="AQ213">
        <v>168.0353824</v>
      </c>
      <c r="AR213">
        <v>111.7969638</v>
      </c>
      <c r="AS213">
        <v>55</v>
      </c>
      <c r="AT213">
        <v>2.8568679999999999E-2</v>
      </c>
      <c r="AU213">
        <v>9.1575000000000001E-4</v>
      </c>
      <c r="AV213">
        <v>4.8619099999999997E-3</v>
      </c>
      <c r="AW213">
        <v>3.3304500000000001E-2</v>
      </c>
      <c r="AX213">
        <v>4.316768E-2</v>
      </c>
      <c r="AY213">
        <v>0.17899470000000001</v>
      </c>
      <c r="AZ213">
        <v>5.8693479999999999E-2</v>
      </c>
      <c r="BA213">
        <v>7.4334310000000001E-2</v>
      </c>
      <c r="BB213">
        <v>5.8374959999999997E-2</v>
      </c>
      <c r="BC213">
        <v>4.5071069999999998E-2</v>
      </c>
      <c r="BD213">
        <v>0.11272081</v>
      </c>
      <c r="BE213">
        <v>5.1183850000000003E-2</v>
      </c>
      <c r="BF213">
        <v>6.1688479999999997E-2</v>
      </c>
      <c r="BG213">
        <v>3.8799029999999998E-2</v>
      </c>
      <c r="BH213">
        <v>3.145419E-2</v>
      </c>
      <c r="BI213">
        <v>6.7697300000000002E-2</v>
      </c>
      <c r="BJ213">
        <v>2.1704939999999999E-2</v>
      </c>
      <c r="BK213">
        <v>5.7564270000000001E-2</v>
      </c>
      <c r="BL213">
        <v>1.696137E-2</v>
      </c>
      <c r="BM213">
        <v>1.393872E-2</v>
      </c>
      <c r="BN213">
        <v>1865</v>
      </c>
      <c r="BO213">
        <v>281.53842520000001</v>
      </c>
      <c r="BP213">
        <v>190</v>
      </c>
    </row>
    <row r="214" spans="1:68" x14ac:dyDescent="0.2">
      <c r="A214" t="s">
        <v>779</v>
      </c>
      <c r="B214">
        <v>72</v>
      </c>
      <c r="C214">
        <v>64</v>
      </c>
      <c r="D214">
        <v>268</v>
      </c>
      <c r="E214">
        <v>345</v>
      </c>
      <c r="F214">
        <v>274</v>
      </c>
      <c r="G214">
        <v>699</v>
      </c>
      <c r="H214">
        <v>282</v>
      </c>
      <c r="I214">
        <v>409</v>
      </c>
      <c r="J214">
        <v>274</v>
      </c>
      <c r="K214">
        <v>139</v>
      </c>
      <c r="L214">
        <v>628</v>
      </c>
      <c r="M214">
        <v>452</v>
      </c>
      <c r="N214">
        <v>552</v>
      </c>
      <c r="O214">
        <v>377</v>
      </c>
      <c r="P214">
        <v>145</v>
      </c>
      <c r="Q214">
        <v>304</v>
      </c>
      <c r="R214">
        <v>137</v>
      </c>
      <c r="S214">
        <v>662</v>
      </c>
      <c r="T214">
        <v>429</v>
      </c>
      <c r="U214">
        <v>144</v>
      </c>
      <c r="V214">
        <v>273.69457299999999</v>
      </c>
      <c r="W214">
        <v>249.734038</v>
      </c>
      <c r="X214">
        <v>194.97634020000001</v>
      </c>
      <c r="Y214">
        <v>124.6771892</v>
      </c>
      <c r="Z214">
        <v>120.9033728</v>
      </c>
      <c r="AA214">
        <v>65</v>
      </c>
      <c r="AB214">
        <v>286.53069019999998</v>
      </c>
      <c r="AC214">
        <v>277.544445</v>
      </c>
      <c r="AD214">
        <v>214.47487280000001</v>
      </c>
      <c r="AE214">
        <v>146.32945240000001</v>
      </c>
      <c r="AF214">
        <v>115.5413294</v>
      </c>
      <c r="AG214">
        <v>55</v>
      </c>
      <c r="AH214">
        <v>307.10568799999999</v>
      </c>
      <c r="AI214">
        <v>246.95640309999999</v>
      </c>
      <c r="AJ214">
        <v>216.55920320000001</v>
      </c>
      <c r="AK214">
        <v>148.7656873</v>
      </c>
      <c r="AL214">
        <v>116.729575</v>
      </c>
      <c r="AM214">
        <v>55</v>
      </c>
      <c r="AN214">
        <v>318.37156420000002</v>
      </c>
      <c r="AO214">
        <v>212.06572259999999</v>
      </c>
      <c r="AP214">
        <v>189.1258559</v>
      </c>
      <c r="AQ214">
        <v>134.51771460000001</v>
      </c>
      <c r="AR214">
        <v>117.6946907</v>
      </c>
      <c r="AS214">
        <v>55</v>
      </c>
      <c r="AT214">
        <v>9.9682799999999995E-3</v>
      </c>
      <c r="AU214">
        <v>8.6018899999999992E-3</v>
      </c>
      <c r="AV214">
        <v>3.8219789999999997E-2</v>
      </c>
      <c r="AW214">
        <v>5.8324319999999999E-2</v>
      </c>
      <c r="AX214">
        <v>4.1787150000000002E-2</v>
      </c>
      <c r="AY214">
        <v>0.10135077000000001</v>
      </c>
      <c r="AZ214">
        <v>4.1758410000000003E-2</v>
      </c>
      <c r="BA214">
        <v>6.3186839999999994E-2</v>
      </c>
      <c r="BB214">
        <v>4.327698E-2</v>
      </c>
      <c r="BC214">
        <v>2.3439169999999999E-2</v>
      </c>
      <c r="BD214">
        <v>9.1616020000000006E-2</v>
      </c>
      <c r="BE214">
        <v>6.9040969999999993E-2</v>
      </c>
      <c r="BF214">
        <v>8.0887639999999997E-2</v>
      </c>
      <c r="BG214">
        <v>5.588456E-2</v>
      </c>
      <c r="BH214">
        <v>2.3800600000000002E-2</v>
      </c>
      <c r="BI214">
        <v>4.5397399999999997E-2</v>
      </c>
      <c r="BJ214">
        <v>2.129406E-2</v>
      </c>
      <c r="BK214">
        <v>9.4856350000000006E-2</v>
      </c>
      <c r="BL214">
        <v>6.4307959999999997E-2</v>
      </c>
      <c r="BM214">
        <v>2.3000840000000002E-2</v>
      </c>
      <c r="BN214">
        <v>4936</v>
      </c>
      <c r="BO214">
        <v>296.59472740000001</v>
      </c>
      <c r="BP214">
        <v>190</v>
      </c>
    </row>
    <row r="215" spans="1:68" x14ac:dyDescent="0.2">
      <c r="A215" t="s">
        <v>780</v>
      </c>
      <c r="B215">
        <v>298</v>
      </c>
      <c r="C215">
        <v>362</v>
      </c>
      <c r="D215">
        <v>1141</v>
      </c>
      <c r="E215">
        <v>1018</v>
      </c>
      <c r="F215">
        <v>1168</v>
      </c>
      <c r="G215">
        <v>349</v>
      </c>
      <c r="H215">
        <v>156</v>
      </c>
      <c r="I215">
        <v>223</v>
      </c>
      <c r="J215">
        <v>326</v>
      </c>
      <c r="K215">
        <v>183</v>
      </c>
      <c r="L215">
        <v>725</v>
      </c>
      <c r="M215">
        <v>825</v>
      </c>
      <c r="N215">
        <v>787</v>
      </c>
      <c r="O215">
        <v>1303</v>
      </c>
      <c r="P215">
        <v>354</v>
      </c>
      <c r="Q215">
        <v>577</v>
      </c>
      <c r="R215">
        <v>921</v>
      </c>
      <c r="S215">
        <v>1880</v>
      </c>
      <c r="T215">
        <v>2802</v>
      </c>
      <c r="U215">
        <v>702</v>
      </c>
      <c r="V215">
        <v>204.39325210000001</v>
      </c>
      <c r="W215">
        <v>272.96391899999998</v>
      </c>
      <c r="X215">
        <v>203.95479649999999</v>
      </c>
      <c r="Y215">
        <v>170.88413310000001</v>
      </c>
      <c r="Z215">
        <v>116.7007632</v>
      </c>
      <c r="AA215">
        <v>65</v>
      </c>
      <c r="AB215">
        <v>290.208595</v>
      </c>
      <c r="AC215">
        <v>291.8270996</v>
      </c>
      <c r="AD215">
        <v>209.1394574</v>
      </c>
      <c r="AE215">
        <v>156.0835936</v>
      </c>
      <c r="AF215">
        <v>115.6500825</v>
      </c>
      <c r="AG215">
        <v>55</v>
      </c>
      <c r="AH215">
        <v>306.7488692</v>
      </c>
      <c r="AI215">
        <v>249.64006380000001</v>
      </c>
      <c r="AJ215">
        <v>202.41110789999999</v>
      </c>
      <c r="AK215">
        <v>169.25187270000001</v>
      </c>
      <c r="AL215">
        <v>118.9842538</v>
      </c>
      <c r="AM215">
        <v>55</v>
      </c>
      <c r="AN215">
        <v>292.31671349999999</v>
      </c>
      <c r="AO215">
        <v>214.59177450000001</v>
      </c>
      <c r="AP215">
        <v>186.03381999999999</v>
      </c>
      <c r="AQ215">
        <v>168.9311946</v>
      </c>
      <c r="AR215">
        <v>117.725734</v>
      </c>
      <c r="AS215">
        <v>55</v>
      </c>
      <c r="AT215">
        <v>2.2088119999999999E-2</v>
      </c>
      <c r="AU215">
        <v>2.282528E-2</v>
      </c>
      <c r="AV215">
        <v>6.9946209999999995E-2</v>
      </c>
      <c r="AW215">
        <v>6.0308470000000003E-2</v>
      </c>
      <c r="AX215">
        <v>8.1961820000000005E-2</v>
      </c>
      <c r="AY215">
        <v>2.1238409999999999E-2</v>
      </c>
      <c r="AZ215">
        <v>9.10329E-3</v>
      </c>
      <c r="BA215">
        <v>1.397867E-2</v>
      </c>
      <c r="BB215">
        <v>2.002044E-2</v>
      </c>
      <c r="BC215">
        <v>1.3451350000000001E-2</v>
      </c>
      <c r="BD215">
        <v>4.3271289999999997E-2</v>
      </c>
      <c r="BE215">
        <v>4.8144289999999999E-2</v>
      </c>
      <c r="BF215">
        <v>4.6940129999999997E-2</v>
      </c>
      <c r="BG215">
        <v>7.8373609999999996E-2</v>
      </c>
      <c r="BH215">
        <v>2.6167920000000001E-2</v>
      </c>
      <c r="BI215">
        <v>3.5542810000000001E-2</v>
      </c>
      <c r="BJ215">
        <v>5.4846239999999997E-2</v>
      </c>
      <c r="BK215">
        <v>0.11316893</v>
      </c>
      <c r="BL215">
        <v>0.16565209</v>
      </c>
      <c r="BM215">
        <v>5.2970629999999998E-2</v>
      </c>
      <c r="BN215">
        <v>1709</v>
      </c>
      <c r="BO215">
        <v>283.5546928</v>
      </c>
      <c r="BP215">
        <v>190</v>
      </c>
    </row>
    <row r="216" spans="1:68" x14ac:dyDescent="0.2">
      <c r="A216" t="s">
        <v>781</v>
      </c>
      <c r="B216">
        <v>17</v>
      </c>
      <c r="C216">
        <v>24</v>
      </c>
      <c r="D216">
        <v>289</v>
      </c>
      <c r="E216">
        <v>304</v>
      </c>
      <c r="F216">
        <v>481</v>
      </c>
      <c r="G216">
        <v>680</v>
      </c>
      <c r="H216">
        <v>258</v>
      </c>
      <c r="I216">
        <v>398</v>
      </c>
      <c r="J216">
        <v>611</v>
      </c>
      <c r="K216">
        <v>275</v>
      </c>
      <c r="L216">
        <v>926</v>
      </c>
      <c r="M216">
        <v>508</v>
      </c>
      <c r="N216">
        <v>1177</v>
      </c>
      <c r="O216">
        <v>706</v>
      </c>
      <c r="P216">
        <v>309</v>
      </c>
      <c r="Q216">
        <v>1133</v>
      </c>
      <c r="R216">
        <v>379</v>
      </c>
      <c r="S216">
        <v>1547</v>
      </c>
      <c r="T216">
        <v>619</v>
      </c>
      <c r="U216">
        <v>310</v>
      </c>
      <c r="V216">
        <v>235.91988910000001</v>
      </c>
      <c r="W216">
        <v>375.82178219999997</v>
      </c>
      <c r="X216">
        <v>216.6787386</v>
      </c>
      <c r="Y216">
        <v>168.38284250000001</v>
      </c>
      <c r="Z216">
        <v>96.069416810000007</v>
      </c>
      <c r="AA216">
        <v>65</v>
      </c>
      <c r="AB216">
        <v>308.55508959999997</v>
      </c>
      <c r="AC216">
        <v>292.31641430000002</v>
      </c>
      <c r="AD216">
        <v>231.02855550000001</v>
      </c>
      <c r="AE216">
        <v>148.64467680000001</v>
      </c>
      <c r="AF216">
        <v>118.0295668</v>
      </c>
      <c r="AG216">
        <v>55</v>
      </c>
      <c r="AH216">
        <v>306.9533467</v>
      </c>
      <c r="AI216">
        <v>266.54332879999998</v>
      </c>
      <c r="AJ216">
        <v>213.03093910000001</v>
      </c>
      <c r="AK216">
        <v>156.58203520000001</v>
      </c>
      <c r="AL216">
        <v>116.8199759</v>
      </c>
      <c r="AM216">
        <v>55</v>
      </c>
      <c r="AN216">
        <v>272.76249969999998</v>
      </c>
      <c r="AO216">
        <v>253.31479160000001</v>
      </c>
      <c r="AP216">
        <v>195.05451289999999</v>
      </c>
      <c r="AQ216">
        <v>145.24463130000001</v>
      </c>
      <c r="AR216">
        <v>115.7232111</v>
      </c>
      <c r="AS216">
        <v>55</v>
      </c>
      <c r="AT216">
        <v>1.6175E-3</v>
      </c>
      <c r="AU216">
        <v>3.02798E-3</v>
      </c>
      <c r="AV216">
        <v>2.5947049999999999E-2</v>
      </c>
      <c r="AW216">
        <v>2.587449E-2</v>
      </c>
      <c r="AX216">
        <v>4.8487240000000001E-2</v>
      </c>
      <c r="AY216">
        <v>6.1828130000000002E-2</v>
      </c>
      <c r="AZ216">
        <v>2.2990630000000001E-2</v>
      </c>
      <c r="BA216">
        <v>3.4914840000000003E-2</v>
      </c>
      <c r="BB216">
        <v>5.6299870000000002E-2</v>
      </c>
      <c r="BC216">
        <v>2.5780890000000001E-2</v>
      </c>
      <c r="BD216">
        <v>8.2166929999999999E-2</v>
      </c>
      <c r="BE216">
        <v>4.7030460000000003E-2</v>
      </c>
      <c r="BF216">
        <v>0.10615699000000001</v>
      </c>
      <c r="BG216">
        <v>6.2489290000000003E-2</v>
      </c>
      <c r="BH216">
        <v>2.8592940000000001E-2</v>
      </c>
      <c r="BI216">
        <v>0.10459991</v>
      </c>
      <c r="BJ216">
        <v>3.4822720000000001E-2</v>
      </c>
      <c r="BK216">
        <v>0.14284756000000001</v>
      </c>
      <c r="BL216">
        <v>5.4587280000000002E-2</v>
      </c>
      <c r="BM216">
        <v>2.99373E-2</v>
      </c>
      <c r="BN216">
        <v>2095</v>
      </c>
      <c r="BO216">
        <v>245.47763399999999</v>
      </c>
      <c r="BP216">
        <v>190</v>
      </c>
    </row>
    <row r="217" spans="1:68" x14ac:dyDescent="0.2">
      <c r="A217" t="s">
        <v>782</v>
      </c>
      <c r="B217">
        <v>350</v>
      </c>
      <c r="C217">
        <v>760</v>
      </c>
      <c r="D217">
        <v>1451</v>
      </c>
      <c r="E217">
        <v>1139</v>
      </c>
      <c r="F217">
        <v>944</v>
      </c>
      <c r="G217">
        <v>535</v>
      </c>
      <c r="H217">
        <v>199</v>
      </c>
      <c r="I217">
        <v>308</v>
      </c>
      <c r="J217">
        <v>452</v>
      </c>
      <c r="K217">
        <v>120</v>
      </c>
      <c r="L217">
        <v>888</v>
      </c>
      <c r="M217">
        <v>781</v>
      </c>
      <c r="N217">
        <v>1201</v>
      </c>
      <c r="O217">
        <v>1516</v>
      </c>
      <c r="P217">
        <v>311</v>
      </c>
      <c r="Q217">
        <v>980</v>
      </c>
      <c r="R217">
        <v>938</v>
      </c>
      <c r="S217">
        <v>2129</v>
      </c>
      <c r="T217">
        <v>2401</v>
      </c>
      <c r="U217">
        <v>697</v>
      </c>
      <c r="V217">
        <v>256.31063569999998</v>
      </c>
      <c r="W217">
        <v>208.98641929999999</v>
      </c>
      <c r="X217">
        <v>216.30135970000001</v>
      </c>
      <c r="Y217">
        <v>169.1884675</v>
      </c>
      <c r="Z217">
        <v>95.104791140000003</v>
      </c>
      <c r="AA217">
        <v>65</v>
      </c>
      <c r="AB217">
        <v>315.64910759999998</v>
      </c>
      <c r="AC217">
        <v>285.83622830000002</v>
      </c>
      <c r="AD217">
        <v>221.48418090000001</v>
      </c>
      <c r="AE217">
        <v>155.70841999999999</v>
      </c>
      <c r="AF217">
        <v>113.6336256</v>
      </c>
      <c r="AG217">
        <v>55</v>
      </c>
      <c r="AH217">
        <v>316.30104699999998</v>
      </c>
      <c r="AI217">
        <v>250.0383764</v>
      </c>
      <c r="AJ217">
        <v>207.84288100000001</v>
      </c>
      <c r="AK217">
        <v>167.78198549999999</v>
      </c>
      <c r="AL217">
        <v>118.4835035</v>
      </c>
      <c r="AM217">
        <v>55</v>
      </c>
      <c r="AN217">
        <v>287.07163109999999</v>
      </c>
      <c r="AO217">
        <v>214.4445498</v>
      </c>
      <c r="AP217">
        <v>195.5918945</v>
      </c>
      <c r="AQ217">
        <v>162.50795769999999</v>
      </c>
      <c r="AR217">
        <v>118.5448335</v>
      </c>
      <c r="AS217">
        <v>55</v>
      </c>
      <c r="AT217">
        <v>1.9945709999999998E-2</v>
      </c>
      <c r="AU217">
        <v>3.796339E-2</v>
      </c>
      <c r="AV217">
        <v>8.1105430000000006E-2</v>
      </c>
      <c r="AW217">
        <v>6.3512390000000002E-2</v>
      </c>
      <c r="AX217">
        <v>6.3185279999999996E-2</v>
      </c>
      <c r="AY217">
        <v>3.036761E-2</v>
      </c>
      <c r="AZ217">
        <v>1.1618359999999999E-2</v>
      </c>
      <c r="BA217">
        <v>1.722719E-2</v>
      </c>
      <c r="BB217">
        <v>2.5910010000000001E-2</v>
      </c>
      <c r="BC217">
        <v>6.7420700000000002E-3</v>
      </c>
      <c r="BD217">
        <v>4.8792780000000001E-2</v>
      </c>
      <c r="BE217">
        <v>4.443975E-2</v>
      </c>
      <c r="BF217">
        <v>6.2360609999999997E-2</v>
      </c>
      <c r="BG217">
        <v>8.0581620000000007E-2</v>
      </c>
      <c r="BH217">
        <v>1.8019199999999999E-2</v>
      </c>
      <c r="BI217">
        <v>5.4824449999999997E-2</v>
      </c>
      <c r="BJ217">
        <v>5.0297830000000002E-2</v>
      </c>
      <c r="BK217">
        <v>0.11135270999999999</v>
      </c>
      <c r="BL217">
        <v>0.13093325</v>
      </c>
      <c r="BM217">
        <v>4.082036E-2</v>
      </c>
      <c r="BN217">
        <v>2319</v>
      </c>
      <c r="BO217">
        <v>264.82294580000001</v>
      </c>
      <c r="BP217">
        <v>190</v>
      </c>
    </row>
    <row r="218" spans="1:68" x14ac:dyDescent="0.2">
      <c r="A218" t="s">
        <v>783</v>
      </c>
      <c r="B218">
        <v>2419</v>
      </c>
      <c r="C218">
        <v>4184</v>
      </c>
      <c r="D218">
        <v>12156</v>
      </c>
      <c r="E218">
        <v>8594</v>
      </c>
      <c r="F218">
        <v>8680</v>
      </c>
      <c r="G218">
        <v>677</v>
      </c>
      <c r="H218">
        <v>395</v>
      </c>
      <c r="I218">
        <v>1285</v>
      </c>
      <c r="J218">
        <v>1374</v>
      </c>
      <c r="K218">
        <v>515</v>
      </c>
      <c r="L218">
        <v>3380</v>
      </c>
      <c r="M218">
        <v>2964</v>
      </c>
      <c r="N218">
        <v>4966</v>
      </c>
      <c r="O218">
        <v>4504</v>
      </c>
      <c r="P218">
        <v>1851</v>
      </c>
      <c r="Q218">
        <v>10264</v>
      </c>
      <c r="R218">
        <v>6904</v>
      </c>
      <c r="S218">
        <v>9577</v>
      </c>
      <c r="T218">
        <v>11995</v>
      </c>
      <c r="U218">
        <v>4034</v>
      </c>
      <c r="V218">
        <v>236.84140959999999</v>
      </c>
      <c r="W218">
        <v>229.9159123</v>
      </c>
      <c r="X218">
        <v>204.17429989999999</v>
      </c>
      <c r="Y218">
        <v>145.78194959999999</v>
      </c>
      <c r="Z218">
        <v>125.47625309999999</v>
      </c>
      <c r="AA218">
        <v>65</v>
      </c>
      <c r="AB218">
        <v>295.80787190000001</v>
      </c>
      <c r="AC218">
        <v>269.37005470000003</v>
      </c>
      <c r="AD218">
        <v>214.91514770000001</v>
      </c>
      <c r="AE218">
        <v>151.06967549999999</v>
      </c>
      <c r="AF218">
        <v>114.98325680000001</v>
      </c>
      <c r="AG218">
        <v>55</v>
      </c>
      <c r="AH218">
        <v>303.12295690000002</v>
      </c>
      <c r="AI218">
        <v>230.46755899999999</v>
      </c>
      <c r="AJ218">
        <v>206.26349279999999</v>
      </c>
      <c r="AK218">
        <v>154.52039339999999</v>
      </c>
      <c r="AL218">
        <v>117.2890129</v>
      </c>
      <c r="AM218">
        <v>55</v>
      </c>
      <c r="AN218">
        <v>284.62926190000002</v>
      </c>
      <c r="AO218">
        <v>202.94785379999999</v>
      </c>
      <c r="AP218">
        <v>188.6193265</v>
      </c>
      <c r="AQ218">
        <v>143.4463676</v>
      </c>
      <c r="AR218">
        <v>115.2312653</v>
      </c>
      <c r="AS218">
        <v>55</v>
      </c>
      <c r="AT218">
        <v>2.2084340000000001E-2</v>
      </c>
      <c r="AU218">
        <v>4.5524589999999997E-2</v>
      </c>
      <c r="AV218">
        <v>0.12386189</v>
      </c>
      <c r="AW218">
        <v>8.3228060000000006E-2</v>
      </c>
      <c r="AX218">
        <v>7.8631270000000003E-2</v>
      </c>
      <c r="AY218">
        <v>6.6702100000000002E-3</v>
      </c>
      <c r="AZ218">
        <v>3.83484E-3</v>
      </c>
      <c r="BA218">
        <v>1.246212E-2</v>
      </c>
      <c r="BB218">
        <v>1.3209719999999999E-2</v>
      </c>
      <c r="BC218">
        <v>4.7177599999999997E-3</v>
      </c>
      <c r="BD218">
        <v>3.45829E-2</v>
      </c>
      <c r="BE218">
        <v>2.9929560000000001E-2</v>
      </c>
      <c r="BF218">
        <v>5.0566750000000001E-2</v>
      </c>
      <c r="BG218">
        <v>4.5205759999999998E-2</v>
      </c>
      <c r="BH218">
        <v>1.6542830000000001E-2</v>
      </c>
      <c r="BI218">
        <v>0.10399337</v>
      </c>
      <c r="BJ218">
        <v>7.073728E-2</v>
      </c>
      <c r="BK218">
        <v>9.7807400000000003E-2</v>
      </c>
      <c r="BL218">
        <v>0.11986426</v>
      </c>
      <c r="BM218">
        <v>3.6545090000000002E-2</v>
      </c>
      <c r="BN218">
        <v>13467</v>
      </c>
      <c r="BO218">
        <v>246.6760099</v>
      </c>
      <c r="BP218">
        <v>190</v>
      </c>
    </row>
    <row r="219" spans="1:68" x14ac:dyDescent="0.2">
      <c r="A219" t="s">
        <v>784</v>
      </c>
      <c r="B219">
        <v>245</v>
      </c>
      <c r="C219">
        <v>268</v>
      </c>
      <c r="D219">
        <v>321</v>
      </c>
      <c r="E219">
        <v>641</v>
      </c>
      <c r="F219">
        <v>553</v>
      </c>
      <c r="G219">
        <v>338</v>
      </c>
      <c r="H219">
        <v>489</v>
      </c>
      <c r="I219">
        <v>849</v>
      </c>
      <c r="J219">
        <v>1163</v>
      </c>
      <c r="K219">
        <v>556</v>
      </c>
      <c r="L219">
        <v>138</v>
      </c>
      <c r="M219">
        <v>309</v>
      </c>
      <c r="N219">
        <v>904</v>
      </c>
      <c r="O219">
        <v>697</v>
      </c>
      <c r="P219">
        <v>278</v>
      </c>
      <c r="Q219">
        <v>15</v>
      </c>
      <c r="R219">
        <v>62</v>
      </c>
      <c r="S219">
        <v>466</v>
      </c>
      <c r="T219">
        <v>162</v>
      </c>
      <c r="U219">
        <v>100</v>
      </c>
      <c r="V219">
        <v>301.03981379999999</v>
      </c>
      <c r="W219">
        <v>252.08069219999999</v>
      </c>
      <c r="X219">
        <v>171.58072609999999</v>
      </c>
      <c r="Y219">
        <v>118.7503183</v>
      </c>
      <c r="Z219">
        <v>110.0660652</v>
      </c>
      <c r="AA219">
        <v>65</v>
      </c>
      <c r="AB219">
        <v>309.68038869999998</v>
      </c>
      <c r="AC219">
        <v>292.24254769999999</v>
      </c>
      <c r="AD219">
        <v>225.55233659999999</v>
      </c>
      <c r="AE219">
        <v>154.75201630000001</v>
      </c>
      <c r="AF219">
        <v>117.9362672</v>
      </c>
      <c r="AG219">
        <v>55</v>
      </c>
      <c r="AH219">
        <v>342.0534384</v>
      </c>
      <c r="AI219">
        <v>256.50011380000001</v>
      </c>
      <c r="AJ219">
        <v>204.34107180000001</v>
      </c>
      <c r="AK219">
        <v>158.08192310000001</v>
      </c>
      <c r="AL219">
        <v>118.8160283</v>
      </c>
      <c r="AM219">
        <v>55</v>
      </c>
      <c r="AN219">
        <v>186.7662388</v>
      </c>
      <c r="AO219">
        <v>230.02481330000001</v>
      </c>
      <c r="AP219">
        <v>173.29052469999999</v>
      </c>
      <c r="AQ219">
        <v>143.72281630000001</v>
      </c>
      <c r="AR219">
        <v>109.4254767</v>
      </c>
      <c r="AS219">
        <v>55</v>
      </c>
      <c r="AT219">
        <v>2.8371609999999998E-2</v>
      </c>
      <c r="AU219">
        <v>3.2902359999999999E-2</v>
      </c>
      <c r="AV219">
        <v>3.7451949999999998E-2</v>
      </c>
      <c r="AW219">
        <v>7.6954330000000001E-2</v>
      </c>
      <c r="AX219">
        <v>5.9462109999999999E-2</v>
      </c>
      <c r="AY219">
        <v>4.0018499999999999E-2</v>
      </c>
      <c r="AZ219">
        <v>5.9985589999999998E-2</v>
      </c>
      <c r="BA219">
        <v>0.10153904</v>
      </c>
      <c r="BB219">
        <v>0.13481699</v>
      </c>
      <c r="BC219">
        <v>6.0820449999999998E-2</v>
      </c>
      <c r="BD219">
        <v>1.6029120000000001E-2</v>
      </c>
      <c r="BE219">
        <v>3.6573010000000003E-2</v>
      </c>
      <c r="BF219">
        <v>0.10414295</v>
      </c>
      <c r="BG219">
        <v>8.4036609999999998E-2</v>
      </c>
      <c r="BH219">
        <v>3.117866E-2</v>
      </c>
      <c r="BI219">
        <v>1.77768E-3</v>
      </c>
      <c r="BJ219">
        <v>7.0557800000000002E-3</v>
      </c>
      <c r="BK219">
        <v>5.603644E-2</v>
      </c>
      <c r="BL219">
        <v>2.070806E-2</v>
      </c>
      <c r="BM219">
        <v>1.013876E-2</v>
      </c>
      <c r="BN219">
        <v>535</v>
      </c>
      <c r="BO219">
        <v>266.57652180000002</v>
      </c>
      <c r="BP219">
        <v>190</v>
      </c>
    </row>
    <row r="220" spans="1:68" x14ac:dyDescent="0.2">
      <c r="A220" t="s">
        <v>785</v>
      </c>
      <c r="B220">
        <v>249</v>
      </c>
      <c r="C220">
        <v>125</v>
      </c>
      <c r="D220">
        <v>292</v>
      </c>
      <c r="E220">
        <v>617</v>
      </c>
      <c r="F220">
        <v>569</v>
      </c>
      <c r="G220">
        <v>1043</v>
      </c>
      <c r="H220">
        <v>740</v>
      </c>
      <c r="I220">
        <v>1164</v>
      </c>
      <c r="J220">
        <v>1088</v>
      </c>
      <c r="K220">
        <v>401</v>
      </c>
      <c r="L220">
        <v>427</v>
      </c>
      <c r="M220">
        <v>799</v>
      </c>
      <c r="N220">
        <v>1892</v>
      </c>
      <c r="O220">
        <v>1247</v>
      </c>
      <c r="P220">
        <v>366</v>
      </c>
      <c r="Q220">
        <v>16</v>
      </c>
      <c r="R220">
        <v>255</v>
      </c>
      <c r="S220">
        <v>1684</v>
      </c>
      <c r="T220">
        <v>559</v>
      </c>
      <c r="U220">
        <v>228</v>
      </c>
      <c r="V220">
        <v>292.7356355</v>
      </c>
      <c r="W220">
        <v>226.2795127</v>
      </c>
      <c r="X220">
        <v>186.6621762</v>
      </c>
      <c r="Y220">
        <v>141.46008610000001</v>
      </c>
      <c r="Z220">
        <v>86.030148650000001</v>
      </c>
      <c r="AA220">
        <v>65</v>
      </c>
      <c r="AB220">
        <v>316.34034129999998</v>
      </c>
      <c r="AC220">
        <v>284.21880299999998</v>
      </c>
      <c r="AD220">
        <v>222.53208129999999</v>
      </c>
      <c r="AE220">
        <v>154.6962896</v>
      </c>
      <c r="AF220">
        <v>118.1804037</v>
      </c>
      <c r="AG220">
        <v>55</v>
      </c>
      <c r="AH220">
        <v>324.46181780000001</v>
      </c>
      <c r="AI220">
        <v>219.15790319999999</v>
      </c>
      <c r="AJ220">
        <v>185.53126549999999</v>
      </c>
      <c r="AK220">
        <v>159.32415069999999</v>
      </c>
      <c r="AL220">
        <v>113.0094522</v>
      </c>
      <c r="AM220">
        <v>55</v>
      </c>
      <c r="AN220">
        <v>216.72628990000001</v>
      </c>
      <c r="AO220">
        <v>166.5784889</v>
      </c>
      <c r="AP220">
        <v>165.52271719999999</v>
      </c>
      <c r="AQ220">
        <v>151.43385240000001</v>
      </c>
      <c r="AR220">
        <v>105.45080539999999</v>
      </c>
      <c r="AS220">
        <v>55</v>
      </c>
      <c r="AT220">
        <v>1.8357209999999999E-2</v>
      </c>
      <c r="AU220">
        <v>9.0588100000000005E-3</v>
      </c>
      <c r="AV220">
        <v>2.2888249999999999E-2</v>
      </c>
      <c r="AW220">
        <v>3.9974639999999999E-2</v>
      </c>
      <c r="AX220">
        <v>4.9210169999999998E-2</v>
      </c>
      <c r="AY220">
        <v>7.4355089999999999E-2</v>
      </c>
      <c r="AZ220">
        <v>5.553255E-2</v>
      </c>
      <c r="BA220">
        <v>8.6655850000000006E-2</v>
      </c>
      <c r="BB220">
        <v>7.0206320000000003E-2</v>
      </c>
      <c r="BC220">
        <v>3.2758700000000002E-2</v>
      </c>
      <c r="BD220">
        <v>3.072277E-2</v>
      </c>
      <c r="BE220">
        <v>5.7098719999999999E-2</v>
      </c>
      <c r="BF220">
        <v>0.14390744</v>
      </c>
      <c r="BG220">
        <v>7.7641269999999998E-2</v>
      </c>
      <c r="BH220">
        <v>3.1504610000000002E-2</v>
      </c>
      <c r="BI220">
        <v>1.2767799999999999E-3</v>
      </c>
      <c r="BJ220">
        <v>1.892042E-2</v>
      </c>
      <c r="BK220">
        <v>0.12544447</v>
      </c>
      <c r="BL220">
        <v>3.4654839999999999E-2</v>
      </c>
      <c r="BM220">
        <v>1.9831089999999999E-2</v>
      </c>
      <c r="BN220">
        <v>1150</v>
      </c>
      <c r="BO220">
        <v>255.78866389999999</v>
      </c>
      <c r="BP220">
        <v>190</v>
      </c>
    </row>
    <row r="221" spans="1:68" x14ac:dyDescent="0.2">
      <c r="A221" t="s">
        <v>786</v>
      </c>
      <c r="B221">
        <v>98</v>
      </c>
      <c r="C221">
        <v>25</v>
      </c>
      <c r="D221">
        <v>474</v>
      </c>
      <c r="E221">
        <v>720</v>
      </c>
      <c r="F221">
        <v>181</v>
      </c>
      <c r="G221">
        <v>1772</v>
      </c>
      <c r="H221">
        <v>1023</v>
      </c>
      <c r="I221">
        <v>991</v>
      </c>
      <c r="J221">
        <v>870</v>
      </c>
      <c r="K221">
        <v>609</v>
      </c>
      <c r="L221">
        <v>300</v>
      </c>
      <c r="M221">
        <v>1062</v>
      </c>
      <c r="N221">
        <v>2205</v>
      </c>
      <c r="O221">
        <v>1083</v>
      </c>
      <c r="P221">
        <v>553</v>
      </c>
      <c r="Q221">
        <v>22</v>
      </c>
      <c r="R221">
        <v>356</v>
      </c>
      <c r="S221">
        <v>1541</v>
      </c>
      <c r="T221">
        <v>501</v>
      </c>
      <c r="U221">
        <v>104</v>
      </c>
      <c r="V221">
        <v>241.8195782</v>
      </c>
      <c r="W221">
        <v>334.02189779999998</v>
      </c>
      <c r="X221">
        <v>243.9263363</v>
      </c>
      <c r="Y221">
        <v>173.2126342</v>
      </c>
      <c r="Z221">
        <v>127.7319923</v>
      </c>
      <c r="AA221">
        <v>65</v>
      </c>
      <c r="AB221">
        <v>293.34788850000001</v>
      </c>
      <c r="AC221">
        <v>277.68410569999998</v>
      </c>
      <c r="AD221">
        <v>216.0085033</v>
      </c>
      <c r="AE221">
        <v>147.59410980000001</v>
      </c>
      <c r="AF221">
        <v>112.5657707</v>
      </c>
      <c r="AG221">
        <v>55</v>
      </c>
      <c r="AH221">
        <v>286.98361460000001</v>
      </c>
      <c r="AI221">
        <v>256.89097709999999</v>
      </c>
      <c r="AJ221">
        <v>205.927424</v>
      </c>
      <c r="AK221">
        <v>164.19829300000001</v>
      </c>
      <c r="AL221">
        <v>115.13903000000001</v>
      </c>
      <c r="AM221">
        <v>55</v>
      </c>
      <c r="AN221">
        <v>278.01124549999997</v>
      </c>
      <c r="AO221">
        <v>205.34872920000001</v>
      </c>
      <c r="AP221">
        <v>194.31235229999999</v>
      </c>
      <c r="AQ221">
        <v>162.97070479999999</v>
      </c>
      <c r="AR221">
        <v>114.42318299999999</v>
      </c>
      <c r="AS221">
        <v>55</v>
      </c>
      <c r="AT221">
        <v>6.6450299999999997E-3</v>
      </c>
      <c r="AU221">
        <v>1.68692E-3</v>
      </c>
      <c r="AV221">
        <v>3.459048E-2</v>
      </c>
      <c r="AW221">
        <v>5.5049720000000003E-2</v>
      </c>
      <c r="AX221">
        <v>1.4793850000000001E-2</v>
      </c>
      <c r="AY221">
        <v>0.11881292</v>
      </c>
      <c r="AZ221">
        <v>6.5647250000000004E-2</v>
      </c>
      <c r="BA221">
        <v>6.5718830000000006E-2</v>
      </c>
      <c r="BB221">
        <v>5.8635769999999997E-2</v>
      </c>
      <c r="BC221">
        <v>4.5927999999999997E-2</v>
      </c>
      <c r="BD221">
        <v>2.0842220000000002E-2</v>
      </c>
      <c r="BE221">
        <v>7.1099709999999997E-2</v>
      </c>
      <c r="BF221">
        <v>0.14704362000000001</v>
      </c>
      <c r="BG221">
        <v>7.5665029999999994E-2</v>
      </c>
      <c r="BH221">
        <v>4.4244899999999997E-2</v>
      </c>
      <c r="BI221">
        <v>1.4374699999999999E-3</v>
      </c>
      <c r="BJ221">
        <v>2.2773689999999999E-2</v>
      </c>
      <c r="BK221">
        <v>0.10479558999999999</v>
      </c>
      <c r="BL221">
        <v>3.6238159999999998E-2</v>
      </c>
      <c r="BM221">
        <v>8.35084E-3</v>
      </c>
      <c r="BN221">
        <v>2596</v>
      </c>
      <c r="BO221">
        <v>274.49421169999999</v>
      </c>
      <c r="BP221">
        <v>190</v>
      </c>
    </row>
    <row r="222" spans="1:68" x14ac:dyDescent="0.2">
      <c r="A222" t="s">
        <v>787</v>
      </c>
      <c r="B222">
        <v>96</v>
      </c>
      <c r="C222">
        <v>122</v>
      </c>
      <c r="D222">
        <v>133</v>
      </c>
      <c r="E222">
        <v>858</v>
      </c>
      <c r="F222">
        <v>357</v>
      </c>
      <c r="G222">
        <v>2308</v>
      </c>
      <c r="H222">
        <v>551</v>
      </c>
      <c r="I222">
        <v>923</v>
      </c>
      <c r="J222">
        <v>1313</v>
      </c>
      <c r="K222">
        <v>481</v>
      </c>
      <c r="L222">
        <v>262</v>
      </c>
      <c r="M222">
        <v>656</v>
      </c>
      <c r="N222">
        <v>1820</v>
      </c>
      <c r="O222">
        <v>1005</v>
      </c>
      <c r="P222">
        <v>394</v>
      </c>
      <c r="Q222">
        <v>47</v>
      </c>
      <c r="R222">
        <v>525</v>
      </c>
      <c r="S222">
        <v>1682</v>
      </c>
      <c r="T222">
        <v>363</v>
      </c>
      <c r="U222">
        <v>146</v>
      </c>
      <c r="V222">
        <v>205.22003799999999</v>
      </c>
      <c r="W222">
        <v>275.35433460000002</v>
      </c>
      <c r="X222">
        <v>185.6806789</v>
      </c>
      <c r="Y222">
        <v>157.08234039999999</v>
      </c>
      <c r="Z222">
        <v>111.12994260000001</v>
      </c>
      <c r="AA222">
        <v>65</v>
      </c>
      <c r="AB222">
        <v>304.77121929999998</v>
      </c>
      <c r="AC222">
        <v>281.23664170000001</v>
      </c>
      <c r="AD222">
        <v>216.9396955</v>
      </c>
      <c r="AE222">
        <v>151.25691</v>
      </c>
      <c r="AF222">
        <v>68.791655789999993</v>
      </c>
      <c r="AG222">
        <v>55</v>
      </c>
      <c r="AH222">
        <v>279.88980309999999</v>
      </c>
      <c r="AI222">
        <v>235.44720419999999</v>
      </c>
      <c r="AJ222">
        <v>214.19207040000001</v>
      </c>
      <c r="AK222">
        <v>160.75114819999999</v>
      </c>
      <c r="AL222">
        <v>116.09854540000001</v>
      </c>
      <c r="AM222">
        <v>55</v>
      </c>
      <c r="AN222">
        <v>312.9550749</v>
      </c>
      <c r="AO222">
        <v>209.18505819999999</v>
      </c>
      <c r="AP222">
        <v>207.95489860000001</v>
      </c>
      <c r="AQ222">
        <v>171.92608749999999</v>
      </c>
      <c r="AR222">
        <v>112.44558619999999</v>
      </c>
      <c r="AS222">
        <v>55</v>
      </c>
      <c r="AT222">
        <v>7.00805E-3</v>
      </c>
      <c r="AU222">
        <v>9.7673299999999994E-3</v>
      </c>
      <c r="AV222">
        <v>9.9513799999999993E-3</v>
      </c>
      <c r="AW222">
        <v>6.4448050000000007E-2</v>
      </c>
      <c r="AX222">
        <v>2.9310969999999999E-2</v>
      </c>
      <c r="AY222">
        <v>0.16709581000000001</v>
      </c>
      <c r="AZ222">
        <v>3.6668199999999998E-2</v>
      </c>
      <c r="BA222">
        <v>6.121973E-2</v>
      </c>
      <c r="BB222">
        <v>9.3800880000000003E-2</v>
      </c>
      <c r="BC222">
        <v>4.0353180000000002E-2</v>
      </c>
      <c r="BD222">
        <v>1.9135599999999999E-2</v>
      </c>
      <c r="BE222">
        <v>4.6096129999999999E-2</v>
      </c>
      <c r="BF222">
        <v>0.12043007999999999</v>
      </c>
      <c r="BG222">
        <v>7.203039E-2</v>
      </c>
      <c r="BH222">
        <v>3.1526560000000002E-2</v>
      </c>
      <c r="BI222">
        <v>2.60618E-3</v>
      </c>
      <c r="BJ222">
        <v>3.629897E-2</v>
      </c>
      <c r="BK222">
        <v>0.11403009</v>
      </c>
      <c r="BL222">
        <v>2.6360160000000001E-2</v>
      </c>
      <c r="BM222">
        <v>1.1862259999999999E-2</v>
      </c>
      <c r="BN222">
        <v>1684</v>
      </c>
      <c r="BO222">
        <v>276.91857490000001</v>
      </c>
      <c r="BP222">
        <v>190</v>
      </c>
    </row>
    <row r="223" spans="1:68" x14ac:dyDescent="0.2">
      <c r="A223" t="s">
        <v>788</v>
      </c>
      <c r="B223">
        <v>141</v>
      </c>
      <c r="C223">
        <v>60</v>
      </c>
      <c r="D223">
        <v>157</v>
      </c>
      <c r="E223">
        <v>501</v>
      </c>
      <c r="F223">
        <v>299</v>
      </c>
      <c r="G223">
        <v>249</v>
      </c>
      <c r="H223">
        <v>38</v>
      </c>
      <c r="I223">
        <v>63</v>
      </c>
      <c r="J223">
        <v>149</v>
      </c>
      <c r="K223">
        <v>76</v>
      </c>
      <c r="L223">
        <v>265</v>
      </c>
      <c r="M223">
        <v>243</v>
      </c>
      <c r="N223">
        <v>494</v>
      </c>
      <c r="O223">
        <v>413</v>
      </c>
      <c r="P223">
        <v>162</v>
      </c>
      <c r="Q223">
        <v>124</v>
      </c>
      <c r="R223">
        <v>194</v>
      </c>
      <c r="S223">
        <v>904</v>
      </c>
      <c r="T223">
        <v>711</v>
      </c>
      <c r="U223">
        <v>473</v>
      </c>
      <c r="V223">
        <v>194.97048799999999</v>
      </c>
      <c r="W223">
        <v>270</v>
      </c>
      <c r="X223">
        <v>148.9486698</v>
      </c>
      <c r="Y223">
        <v>130.776129</v>
      </c>
      <c r="Z223">
        <v>87.249786470000004</v>
      </c>
      <c r="AA223">
        <v>65</v>
      </c>
      <c r="AB223">
        <v>274.5369796</v>
      </c>
      <c r="AC223">
        <v>296.76051000000001</v>
      </c>
      <c r="AD223">
        <v>202.02157930000001</v>
      </c>
      <c r="AE223">
        <v>149.7510135</v>
      </c>
      <c r="AF223">
        <v>114.2981791</v>
      </c>
      <c r="AG223">
        <v>55</v>
      </c>
      <c r="AH223">
        <v>289.32177739999997</v>
      </c>
      <c r="AI223">
        <v>239.94162800000001</v>
      </c>
      <c r="AJ223">
        <v>194.26924260000001</v>
      </c>
      <c r="AK223">
        <v>158.44465740000001</v>
      </c>
      <c r="AL223">
        <v>113.8283969</v>
      </c>
      <c r="AM223">
        <v>55</v>
      </c>
      <c r="AN223">
        <v>281.77563620000001</v>
      </c>
      <c r="AO223">
        <v>216.39163869999999</v>
      </c>
      <c r="AP223">
        <v>166.23716669999999</v>
      </c>
      <c r="AQ223">
        <v>150.87626650000001</v>
      </c>
      <c r="AR223">
        <v>112.97002500000001</v>
      </c>
      <c r="AS223">
        <v>55</v>
      </c>
      <c r="AT223">
        <v>1.6281230000000001E-2</v>
      </c>
      <c r="AU223">
        <v>1.0211680000000001E-2</v>
      </c>
      <c r="AV223">
        <v>2.7142880000000001E-2</v>
      </c>
      <c r="AW223">
        <v>9.5051380000000005E-2</v>
      </c>
      <c r="AX223">
        <v>4.0213119999999998E-2</v>
      </c>
      <c r="AY223">
        <v>4.234769E-2</v>
      </c>
      <c r="AZ223">
        <v>7.3282599999999996E-3</v>
      </c>
      <c r="BA223">
        <v>1.224126E-2</v>
      </c>
      <c r="BB223">
        <v>2.6305459999999999E-2</v>
      </c>
      <c r="BC223">
        <v>1.1233730000000001E-2</v>
      </c>
      <c r="BD223">
        <v>4.5406830000000002E-2</v>
      </c>
      <c r="BE223">
        <v>4.5075049999999998E-2</v>
      </c>
      <c r="BF223">
        <v>9.2138449999999997E-2</v>
      </c>
      <c r="BG223">
        <v>7.7171699999999996E-2</v>
      </c>
      <c r="BH223">
        <v>2.5297460000000001E-2</v>
      </c>
      <c r="BI223">
        <v>2.1354959999999999E-2</v>
      </c>
      <c r="BJ223">
        <v>3.5802489999999999E-2</v>
      </c>
      <c r="BK223">
        <v>0.16805659000000001</v>
      </c>
      <c r="BL223">
        <v>0.12986039999999999</v>
      </c>
      <c r="BM223">
        <v>7.1479379999999995E-2</v>
      </c>
      <c r="BN223">
        <v>628</v>
      </c>
      <c r="BO223">
        <v>281.40571290000003</v>
      </c>
      <c r="BP223">
        <v>190</v>
      </c>
    </row>
    <row r="224" spans="1:68" x14ac:dyDescent="0.2">
      <c r="A224" t="s">
        <v>789</v>
      </c>
      <c r="B224">
        <v>18</v>
      </c>
      <c r="C224">
        <v>164</v>
      </c>
      <c r="D224">
        <v>1597</v>
      </c>
      <c r="E224">
        <v>1068</v>
      </c>
      <c r="F224">
        <v>737</v>
      </c>
      <c r="G224">
        <v>121</v>
      </c>
      <c r="H224">
        <v>85</v>
      </c>
      <c r="I224">
        <v>332</v>
      </c>
      <c r="J224">
        <v>343</v>
      </c>
      <c r="K224">
        <v>88</v>
      </c>
      <c r="L224">
        <v>146</v>
      </c>
      <c r="M224">
        <v>715</v>
      </c>
      <c r="N224">
        <v>418</v>
      </c>
      <c r="O224">
        <v>655</v>
      </c>
      <c r="P224">
        <v>371</v>
      </c>
      <c r="Q224">
        <v>82</v>
      </c>
      <c r="R224">
        <v>1551</v>
      </c>
      <c r="S224">
        <v>1661</v>
      </c>
      <c r="T224">
        <v>2084</v>
      </c>
      <c r="U224">
        <v>607</v>
      </c>
      <c r="V224">
        <v>191.3762887</v>
      </c>
      <c r="W224">
        <v>256.94048070000002</v>
      </c>
      <c r="X224">
        <v>189.78799710000001</v>
      </c>
      <c r="Y224">
        <v>157.23507319999999</v>
      </c>
      <c r="Z224">
        <v>112.8054683</v>
      </c>
      <c r="AA224">
        <v>65</v>
      </c>
      <c r="AB224">
        <v>269.32100020000001</v>
      </c>
      <c r="AC224">
        <v>257.72183539999997</v>
      </c>
      <c r="AD224">
        <v>218.32524939999999</v>
      </c>
      <c r="AE224">
        <v>158.43775389999999</v>
      </c>
      <c r="AF224">
        <v>117.8281726</v>
      </c>
      <c r="AG224">
        <v>55</v>
      </c>
      <c r="AH224">
        <v>313.5887113</v>
      </c>
      <c r="AI224">
        <v>220.10869769999999</v>
      </c>
      <c r="AJ224">
        <v>198.05877190000001</v>
      </c>
      <c r="AK224">
        <v>164.62644259999999</v>
      </c>
      <c r="AL224">
        <v>116.472819</v>
      </c>
      <c r="AM224">
        <v>55</v>
      </c>
      <c r="AN224">
        <v>286.66881890000002</v>
      </c>
      <c r="AO224">
        <v>189.93963640000001</v>
      </c>
      <c r="AP224">
        <v>188.27037100000001</v>
      </c>
      <c r="AQ224">
        <v>168.66371419999999</v>
      </c>
      <c r="AR224">
        <v>115.8854699</v>
      </c>
      <c r="AS224">
        <v>55</v>
      </c>
      <c r="AT224">
        <v>1.73821E-3</v>
      </c>
      <c r="AU224">
        <v>1.355466E-2</v>
      </c>
      <c r="AV224">
        <v>0.12760009999999999</v>
      </c>
      <c r="AW224">
        <v>8.5169079999999994E-2</v>
      </c>
      <c r="AX224">
        <v>5.6368210000000002E-2</v>
      </c>
      <c r="AY224">
        <v>9.2046799999999998E-3</v>
      </c>
      <c r="AZ224">
        <v>5.9861200000000002E-3</v>
      </c>
      <c r="BA224">
        <v>2.6215430000000001E-2</v>
      </c>
      <c r="BB224">
        <v>2.6832379999999999E-2</v>
      </c>
      <c r="BC224">
        <v>7.8921600000000005E-3</v>
      </c>
      <c r="BD224">
        <v>1.0915299999999999E-2</v>
      </c>
      <c r="BE224">
        <v>5.4048329999999999E-2</v>
      </c>
      <c r="BF224">
        <v>3.1276129999999999E-2</v>
      </c>
      <c r="BG224">
        <v>5.0598879999999999E-2</v>
      </c>
      <c r="BH224">
        <v>3.3763010000000003E-2</v>
      </c>
      <c r="BI224">
        <v>6.1437799999999997E-3</v>
      </c>
      <c r="BJ224">
        <v>0.11345339</v>
      </c>
      <c r="BK224">
        <v>0.12205481</v>
      </c>
      <c r="BL224">
        <v>0.16216781</v>
      </c>
      <c r="BM224">
        <v>5.5017530000000002E-2</v>
      </c>
      <c r="BN224">
        <v>1539</v>
      </c>
      <c r="BO224">
        <v>226.83308439999999</v>
      </c>
      <c r="BP224">
        <v>190</v>
      </c>
    </row>
    <row r="225" spans="1:68" x14ac:dyDescent="0.2">
      <c r="A225" t="s">
        <v>790</v>
      </c>
      <c r="B225">
        <v>10</v>
      </c>
      <c r="C225">
        <v>4</v>
      </c>
      <c r="D225">
        <v>111</v>
      </c>
      <c r="E225">
        <v>264</v>
      </c>
      <c r="F225">
        <v>536</v>
      </c>
      <c r="G225">
        <v>31</v>
      </c>
      <c r="H225">
        <v>85</v>
      </c>
      <c r="I225">
        <v>105</v>
      </c>
      <c r="J225">
        <v>195</v>
      </c>
      <c r="K225">
        <v>82</v>
      </c>
      <c r="L225">
        <v>169</v>
      </c>
      <c r="M225">
        <v>319</v>
      </c>
      <c r="N225">
        <v>582</v>
      </c>
      <c r="O225">
        <v>939</v>
      </c>
      <c r="P225">
        <v>450</v>
      </c>
      <c r="Q225">
        <v>258</v>
      </c>
      <c r="R225">
        <v>372</v>
      </c>
      <c r="S225">
        <v>752</v>
      </c>
      <c r="T225">
        <v>909</v>
      </c>
      <c r="U225">
        <v>473</v>
      </c>
      <c r="V225">
        <v>185.63939389999999</v>
      </c>
      <c r="W225">
        <v>291.5</v>
      </c>
      <c r="X225">
        <v>198.89556769999999</v>
      </c>
      <c r="Y225">
        <v>144.77003550000001</v>
      </c>
      <c r="Z225">
        <v>117.0668167</v>
      </c>
      <c r="AA225">
        <v>65</v>
      </c>
      <c r="AB225">
        <v>281.7516655</v>
      </c>
      <c r="AC225">
        <v>297.75594999999998</v>
      </c>
      <c r="AD225">
        <v>202.3726747</v>
      </c>
      <c r="AE225">
        <v>147.32515179999999</v>
      </c>
      <c r="AF225">
        <v>112.30626169999999</v>
      </c>
      <c r="AG225">
        <v>55</v>
      </c>
      <c r="AH225">
        <v>310.93857359999998</v>
      </c>
      <c r="AI225">
        <v>248.3463916</v>
      </c>
      <c r="AJ225">
        <v>205.95595660000001</v>
      </c>
      <c r="AK225">
        <v>156.56894579999999</v>
      </c>
      <c r="AL225">
        <v>116.9175784</v>
      </c>
      <c r="AM225">
        <v>55</v>
      </c>
      <c r="AN225">
        <v>283.19164999999998</v>
      </c>
      <c r="AO225">
        <v>235.5669212</v>
      </c>
      <c r="AP225">
        <v>195.1657132</v>
      </c>
      <c r="AQ225">
        <v>160.01369940000001</v>
      </c>
      <c r="AR225">
        <v>111.0885255</v>
      </c>
      <c r="AS225">
        <v>55</v>
      </c>
      <c r="AT225">
        <v>1.5937E-3</v>
      </c>
      <c r="AU225">
        <v>4.9421000000000003E-4</v>
      </c>
      <c r="AV225">
        <v>1.698585E-2</v>
      </c>
      <c r="AW225">
        <v>3.7840220000000001E-2</v>
      </c>
      <c r="AX225">
        <v>7.5117690000000001E-2</v>
      </c>
      <c r="AY225">
        <v>4.2848799999999996E-3</v>
      </c>
      <c r="AZ225">
        <v>1.054942E-2</v>
      </c>
      <c r="BA225">
        <v>1.4947810000000001E-2</v>
      </c>
      <c r="BB225">
        <v>2.742054E-2</v>
      </c>
      <c r="BC225">
        <v>1.0788209999999999E-2</v>
      </c>
      <c r="BD225">
        <v>2.8322190000000001E-2</v>
      </c>
      <c r="BE225">
        <v>4.6131850000000002E-2</v>
      </c>
      <c r="BF225">
        <v>9.3287800000000004E-2</v>
      </c>
      <c r="BG225">
        <v>0.14764155000000001</v>
      </c>
      <c r="BH225">
        <v>6.3214199999999998E-2</v>
      </c>
      <c r="BI225">
        <v>4.14075E-2</v>
      </c>
      <c r="BJ225">
        <v>6.004139E-2</v>
      </c>
      <c r="BK225">
        <v>0.11564992</v>
      </c>
      <c r="BL225">
        <v>0.14187325000000001</v>
      </c>
      <c r="BM225">
        <v>6.2407820000000003E-2</v>
      </c>
      <c r="BN225">
        <v>677</v>
      </c>
      <c r="BO225">
        <v>228.0092439</v>
      </c>
      <c r="BP225">
        <v>190</v>
      </c>
    </row>
    <row r="226" spans="1:68" x14ac:dyDescent="0.2">
      <c r="A226" t="s">
        <v>791</v>
      </c>
      <c r="B226">
        <v>21201</v>
      </c>
      <c r="C226">
        <v>14875</v>
      </c>
      <c r="D226">
        <v>20446</v>
      </c>
      <c r="E226">
        <v>13786</v>
      </c>
      <c r="F226">
        <v>17704</v>
      </c>
      <c r="G226">
        <v>494</v>
      </c>
      <c r="H226">
        <v>181</v>
      </c>
      <c r="I226">
        <v>460</v>
      </c>
      <c r="J226">
        <v>450</v>
      </c>
      <c r="K226">
        <v>913</v>
      </c>
      <c r="L226">
        <v>3415</v>
      </c>
      <c r="M226">
        <v>1859</v>
      </c>
      <c r="N226">
        <v>1900</v>
      </c>
      <c r="O226">
        <v>3534</v>
      </c>
      <c r="P226">
        <v>3788</v>
      </c>
      <c r="Q226">
        <v>22103</v>
      </c>
      <c r="R226">
        <v>4955</v>
      </c>
      <c r="S226">
        <v>5313</v>
      </c>
      <c r="T226">
        <v>10549</v>
      </c>
      <c r="U226">
        <v>9243</v>
      </c>
      <c r="V226">
        <v>247.4611706</v>
      </c>
      <c r="W226">
        <v>217.2922853</v>
      </c>
      <c r="X226">
        <v>168.01996639999999</v>
      </c>
      <c r="Y226">
        <v>149.16773040000001</v>
      </c>
      <c r="Z226">
        <v>115.127431</v>
      </c>
      <c r="AA226">
        <v>65</v>
      </c>
      <c r="AB226">
        <v>278.76805350000001</v>
      </c>
      <c r="AC226">
        <v>286.81500560000001</v>
      </c>
      <c r="AD226">
        <v>213.784121</v>
      </c>
      <c r="AE226">
        <v>137.31236100000001</v>
      </c>
      <c r="AF226">
        <v>117.4016177</v>
      </c>
      <c r="AG226">
        <v>55</v>
      </c>
      <c r="AH226">
        <v>282.94358820000002</v>
      </c>
      <c r="AI226">
        <v>237.1802721</v>
      </c>
      <c r="AJ226">
        <v>199.088829</v>
      </c>
      <c r="AK226">
        <v>140.33476450000001</v>
      </c>
      <c r="AL226">
        <v>116.2372926</v>
      </c>
      <c r="AM226">
        <v>55</v>
      </c>
      <c r="AN226">
        <v>268.02547709999999</v>
      </c>
      <c r="AO226">
        <v>224.94628489999999</v>
      </c>
      <c r="AP226">
        <v>187.99573720000001</v>
      </c>
      <c r="AQ226">
        <v>135.2611862</v>
      </c>
      <c r="AR226">
        <v>113.45492110000001</v>
      </c>
      <c r="AS226">
        <v>55</v>
      </c>
      <c r="AT226">
        <v>0.13448495999999999</v>
      </c>
      <c r="AU226">
        <v>9.3618880000000002E-2</v>
      </c>
      <c r="AV226">
        <v>0.13513557000000001</v>
      </c>
      <c r="AW226">
        <v>8.5748959999999999E-2</v>
      </c>
      <c r="AX226">
        <v>0.1188567</v>
      </c>
      <c r="AY226">
        <v>3.15315E-3</v>
      </c>
      <c r="AZ226">
        <v>1.0582899999999999E-3</v>
      </c>
      <c r="BA226">
        <v>2.9302299999999998E-3</v>
      </c>
      <c r="BB226">
        <v>2.7591899999999999E-3</v>
      </c>
      <c r="BC226">
        <v>5.8938100000000002E-3</v>
      </c>
      <c r="BD226">
        <v>2.0705330000000001E-2</v>
      </c>
      <c r="BE226">
        <v>1.188414E-2</v>
      </c>
      <c r="BF226">
        <v>1.200409E-2</v>
      </c>
      <c r="BG226">
        <v>2.1849339999999998E-2</v>
      </c>
      <c r="BH226">
        <v>2.574651E-2</v>
      </c>
      <c r="BI226">
        <v>0.13343682000000001</v>
      </c>
      <c r="BJ226">
        <v>3.0880990000000001E-2</v>
      </c>
      <c r="BK226">
        <v>3.3121409999999997E-2</v>
      </c>
      <c r="BL226">
        <v>6.5371830000000006E-2</v>
      </c>
      <c r="BM226">
        <v>6.1359799999999999E-2</v>
      </c>
      <c r="BN226">
        <v>9204</v>
      </c>
      <c r="BO226">
        <v>205.8678749</v>
      </c>
      <c r="BP226">
        <v>190</v>
      </c>
    </row>
    <row r="227" spans="1:68" x14ac:dyDescent="0.2">
      <c r="A227" t="s">
        <v>792</v>
      </c>
      <c r="B227">
        <v>427</v>
      </c>
      <c r="C227">
        <v>509</v>
      </c>
      <c r="D227">
        <v>2036</v>
      </c>
      <c r="E227">
        <v>1581</v>
      </c>
      <c r="F227">
        <v>623</v>
      </c>
      <c r="G227">
        <v>952</v>
      </c>
      <c r="H227">
        <v>1084</v>
      </c>
      <c r="I227">
        <v>1012</v>
      </c>
      <c r="J227">
        <v>639</v>
      </c>
      <c r="K227">
        <v>278</v>
      </c>
      <c r="L227">
        <v>1533</v>
      </c>
      <c r="M227">
        <v>1684</v>
      </c>
      <c r="N227">
        <v>2777</v>
      </c>
      <c r="O227">
        <v>1445</v>
      </c>
      <c r="P227">
        <v>373</v>
      </c>
      <c r="Q227">
        <v>148</v>
      </c>
      <c r="R227">
        <v>483</v>
      </c>
      <c r="S227">
        <v>2583</v>
      </c>
      <c r="T227">
        <v>1362</v>
      </c>
      <c r="U227">
        <v>274</v>
      </c>
      <c r="V227">
        <v>255.6212764</v>
      </c>
      <c r="W227">
        <v>219.20276480000001</v>
      </c>
      <c r="X227">
        <v>174.7597385</v>
      </c>
      <c r="Y227">
        <v>165.20860579999999</v>
      </c>
      <c r="Z227">
        <v>117.8906219</v>
      </c>
      <c r="AA227">
        <v>65</v>
      </c>
      <c r="AB227">
        <v>305.98793210000002</v>
      </c>
      <c r="AC227">
        <v>271.22432759999998</v>
      </c>
      <c r="AD227">
        <v>220.44712699999999</v>
      </c>
      <c r="AE227">
        <v>173.44742600000001</v>
      </c>
      <c r="AF227">
        <v>122.43139979999999</v>
      </c>
      <c r="AG227">
        <v>55</v>
      </c>
      <c r="AH227">
        <v>293.06561909999999</v>
      </c>
      <c r="AI227">
        <v>247.8110087</v>
      </c>
      <c r="AJ227">
        <v>212.37736330000001</v>
      </c>
      <c r="AK227">
        <v>186.66507480000001</v>
      </c>
      <c r="AL227">
        <v>118.4229892</v>
      </c>
      <c r="AM227">
        <v>55</v>
      </c>
      <c r="AN227">
        <v>256.32284279999999</v>
      </c>
      <c r="AO227">
        <v>198.43904879999999</v>
      </c>
      <c r="AP227">
        <v>190.79806529999999</v>
      </c>
      <c r="AQ227">
        <v>174.60522710000001</v>
      </c>
      <c r="AR227">
        <v>113.4695328</v>
      </c>
      <c r="AS227">
        <v>55</v>
      </c>
      <c r="AT227">
        <v>1.7612570000000001E-2</v>
      </c>
      <c r="AU227">
        <v>2.0467920000000001E-2</v>
      </c>
      <c r="AV227">
        <v>9.199301E-2</v>
      </c>
      <c r="AW227">
        <v>7.4380669999999996E-2</v>
      </c>
      <c r="AX227">
        <v>2.7392260000000002E-2</v>
      </c>
      <c r="AY227">
        <v>4.3110250000000003E-2</v>
      </c>
      <c r="AZ227">
        <v>5.128257E-2</v>
      </c>
      <c r="BA227">
        <v>4.8273870000000003E-2</v>
      </c>
      <c r="BB227">
        <v>2.9671349999999999E-2</v>
      </c>
      <c r="BC227">
        <v>1.245725E-2</v>
      </c>
      <c r="BD227">
        <v>6.9152710000000006E-2</v>
      </c>
      <c r="BE227">
        <v>7.8285690000000005E-2</v>
      </c>
      <c r="BF227">
        <v>0.12927632999999999</v>
      </c>
      <c r="BG227">
        <v>6.7882709999999999E-2</v>
      </c>
      <c r="BH227">
        <v>1.714181E-2</v>
      </c>
      <c r="BI227">
        <v>6.5835099999999999E-3</v>
      </c>
      <c r="BJ227">
        <v>2.265847E-2</v>
      </c>
      <c r="BK227">
        <v>0.11601015000000001</v>
      </c>
      <c r="BL227">
        <v>6.322651E-2</v>
      </c>
      <c r="BM227">
        <v>1.314039E-2</v>
      </c>
      <c r="BN227">
        <v>3961</v>
      </c>
      <c r="BO227">
        <v>296.47989999999999</v>
      </c>
      <c r="BP227">
        <v>190</v>
      </c>
    </row>
    <row r="228" spans="1:68" x14ac:dyDescent="0.2">
      <c r="A228" t="s">
        <v>793</v>
      </c>
      <c r="B228">
        <v>91</v>
      </c>
      <c r="C228">
        <v>272</v>
      </c>
      <c r="D228">
        <v>950</v>
      </c>
      <c r="E228">
        <v>1209</v>
      </c>
      <c r="F228">
        <v>934</v>
      </c>
      <c r="G228">
        <v>398</v>
      </c>
      <c r="H228">
        <v>227</v>
      </c>
      <c r="I228">
        <v>460</v>
      </c>
      <c r="J228">
        <v>591</v>
      </c>
      <c r="K228">
        <v>154</v>
      </c>
      <c r="L228">
        <v>809</v>
      </c>
      <c r="M228">
        <v>1003</v>
      </c>
      <c r="N228">
        <v>1670</v>
      </c>
      <c r="O228">
        <v>789</v>
      </c>
      <c r="P228">
        <v>199</v>
      </c>
      <c r="Q228">
        <v>163</v>
      </c>
      <c r="R228">
        <v>1202</v>
      </c>
      <c r="S228">
        <v>2280</v>
      </c>
      <c r="T228">
        <v>1028</v>
      </c>
      <c r="U228">
        <v>335</v>
      </c>
      <c r="V228">
        <v>229.15246859999999</v>
      </c>
      <c r="W228">
        <v>228.9525778</v>
      </c>
      <c r="X228">
        <v>159.78588379999999</v>
      </c>
      <c r="Y228">
        <v>154.9086835</v>
      </c>
      <c r="Z228">
        <v>114.6258842</v>
      </c>
      <c r="AA228">
        <v>65</v>
      </c>
      <c r="AB228">
        <v>283.73305310000001</v>
      </c>
      <c r="AC228">
        <v>265.52499540000002</v>
      </c>
      <c r="AD228">
        <v>217.98345900000001</v>
      </c>
      <c r="AE228">
        <v>158.47378449999999</v>
      </c>
      <c r="AF228">
        <v>119.3242278</v>
      </c>
      <c r="AG228">
        <v>55</v>
      </c>
      <c r="AH228">
        <v>297.88605460000002</v>
      </c>
      <c r="AI228">
        <v>243.29470599999999</v>
      </c>
      <c r="AJ228">
        <v>201.2020235</v>
      </c>
      <c r="AK228">
        <v>168.51692449999999</v>
      </c>
      <c r="AL228">
        <v>117.3511359</v>
      </c>
      <c r="AM228">
        <v>55</v>
      </c>
      <c r="AN228">
        <v>282.499075</v>
      </c>
      <c r="AO228">
        <v>225.50402389999999</v>
      </c>
      <c r="AP228">
        <v>177.45180970000001</v>
      </c>
      <c r="AQ228">
        <v>162.55793929999999</v>
      </c>
      <c r="AR228">
        <v>116.2806545</v>
      </c>
      <c r="AS228">
        <v>55</v>
      </c>
      <c r="AT228">
        <v>5.6895299999999999E-3</v>
      </c>
      <c r="AU228">
        <v>1.8583260000000001E-2</v>
      </c>
      <c r="AV228">
        <v>6.6427070000000005E-2</v>
      </c>
      <c r="AW228">
        <v>8.3203369999999999E-2</v>
      </c>
      <c r="AX228">
        <v>6.8002999999999994E-2</v>
      </c>
      <c r="AY228">
        <v>2.5458419999999999E-2</v>
      </c>
      <c r="AZ228">
        <v>1.530566E-2</v>
      </c>
      <c r="BA228">
        <v>3.0662289999999998E-2</v>
      </c>
      <c r="BB228">
        <v>3.8154159999999999E-2</v>
      </c>
      <c r="BC228">
        <v>1.117449E-2</v>
      </c>
      <c r="BD228">
        <v>5.1726559999999998E-2</v>
      </c>
      <c r="BE228">
        <v>6.6491519999999998E-2</v>
      </c>
      <c r="BF228">
        <v>0.11164763</v>
      </c>
      <c r="BG228">
        <v>5.1492700000000002E-2</v>
      </c>
      <c r="BH228">
        <v>1.5756869999999999E-2</v>
      </c>
      <c r="BI228">
        <v>1.0882920000000001E-2</v>
      </c>
      <c r="BJ228">
        <v>7.9756199999999999E-2</v>
      </c>
      <c r="BK228">
        <v>0.15591393000000001</v>
      </c>
      <c r="BL228">
        <v>6.8301500000000001E-2</v>
      </c>
      <c r="BM228">
        <v>2.536892E-2</v>
      </c>
      <c r="BN228">
        <v>1635</v>
      </c>
      <c r="BO228">
        <v>232.10164409999999</v>
      </c>
      <c r="BP228">
        <v>190</v>
      </c>
    </row>
    <row r="229" spans="1:68" x14ac:dyDescent="0.2">
      <c r="A229" t="s">
        <v>794</v>
      </c>
      <c r="B229">
        <v>191</v>
      </c>
      <c r="C229">
        <v>1658</v>
      </c>
      <c r="D229">
        <v>4502</v>
      </c>
      <c r="E229">
        <v>2674</v>
      </c>
      <c r="F229">
        <v>1975</v>
      </c>
      <c r="G229">
        <v>274</v>
      </c>
      <c r="H229">
        <v>142</v>
      </c>
      <c r="I229">
        <v>287</v>
      </c>
      <c r="J229">
        <v>702</v>
      </c>
      <c r="K229">
        <v>217</v>
      </c>
      <c r="L229">
        <v>1475</v>
      </c>
      <c r="M229">
        <v>780</v>
      </c>
      <c r="N229">
        <v>1666</v>
      </c>
      <c r="O229">
        <v>1904</v>
      </c>
      <c r="P229">
        <v>736</v>
      </c>
      <c r="Q229">
        <v>522</v>
      </c>
      <c r="R229">
        <v>879</v>
      </c>
      <c r="S229">
        <v>2971</v>
      </c>
      <c r="T229">
        <v>3696</v>
      </c>
      <c r="U229">
        <v>1146</v>
      </c>
      <c r="V229">
        <v>262.60800019999999</v>
      </c>
      <c r="W229">
        <v>242.28453859999999</v>
      </c>
      <c r="X229">
        <v>226.9796795</v>
      </c>
      <c r="Y229">
        <v>148.56170660000001</v>
      </c>
      <c r="Z229">
        <v>126.25164220000001</v>
      </c>
      <c r="AA229">
        <v>65</v>
      </c>
      <c r="AB229">
        <v>310.58053860000001</v>
      </c>
      <c r="AC229">
        <v>267.0195506</v>
      </c>
      <c r="AD229">
        <v>209.5737939</v>
      </c>
      <c r="AE229">
        <v>151.56750360000001</v>
      </c>
      <c r="AF229">
        <v>115.5203827</v>
      </c>
      <c r="AG229">
        <v>55</v>
      </c>
      <c r="AH229">
        <v>292.75754990000001</v>
      </c>
      <c r="AI229">
        <v>256.02445</v>
      </c>
      <c r="AJ229">
        <v>207.99946299999999</v>
      </c>
      <c r="AK229">
        <v>161.1799547</v>
      </c>
      <c r="AL229">
        <v>117.666747</v>
      </c>
      <c r="AM229">
        <v>55</v>
      </c>
      <c r="AN229">
        <v>276.70601640000001</v>
      </c>
      <c r="AO229">
        <v>235.1424882</v>
      </c>
      <c r="AP229">
        <v>193.55058550000001</v>
      </c>
      <c r="AQ229">
        <v>160.52692289999999</v>
      </c>
      <c r="AR229">
        <v>122.6253828</v>
      </c>
      <c r="AS229">
        <v>55</v>
      </c>
      <c r="AT229">
        <v>6.3585500000000001E-3</v>
      </c>
      <c r="AU229">
        <v>5.6880689999999998E-2</v>
      </c>
      <c r="AV229">
        <v>0.15986742000000001</v>
      </c>
      <c r="AW229">
        <v>9.5412150000000001E-2</v>
      </c>
      <c r="AX229">
        <v>6.4329940000000002E-2</v>
      </c>
      <c r="AY229">
        <v>1.032829E-2</v>
      </c>
      <c r="AZ229">
        <v>4.9844299999999998E-3</v>
      </c>
      <c r="BA229">
        <v>9.7688099999999993E-3</v>
      </c>
      <c r="BB229">
        <v>2.4335869999999999E-2</v>
      </c>
      <c r="BC229">
        <v>7.3682299999999999E-3</v>
      </c>
      <c r="BD229">
        <v>5.644035E-2</v>
      </c>
      <c r="BE229">
        <v>2.7367820000000001E-2</v>
      </c>
      <c r="BF229">
        <v>5.8622809999999997E-2</v>
      </c>
      <c r="BG229">
        <v>6.8008849999999996E-2</v>
      </c>
      <c r="BH229">
        <v>2.339954E-2</v>
      </c>
      <c r="BI229">
        <v>1.9087699999999999E-2</v>
      </c>
      <c r="BJ229">
        <v>3.2130209999999999E-2</v>
      </c>
      <c r="BK229">
        <v>0.10671025000000001</v>
      </c>
      <c r="BL229">
        <v>0.13175329</v>
      </c>
      <c r="BM229">
        <v>3.6844799999999997E-2</v>
      </c>
      <c r="BN229">
        <v>2699</v>
      </c>
      <c r="BO229">
        <v>219.91389150000001</v>
      </c>
      <c r="BP229">
        <v>190</v>
      </c>
    </row>
    <row r="230" spans="1:68" x14ac:dyDescent="0.2">
      <c r="A230" t="s">
        <v>795</v>
      </c>
      <c r="B230">
        <v>128</v>
      </c>
      <c r="C230">
        <v>135</v>
      </c>
      <c r="D230">
        <v>353</v>
      </c>
      <c r="E230">
        <v>234</v>
      </c>
      <c r="F230">
        <v>368</v>
      </c>
      <c r="G230">
        <v>1164</v>
      </c>
      <c r="H230">
        <v>478</v>
      </c>
      <c r="I230">
        <v>1169</v>
      </c>
      <c r="J230">
        <v>795</v>
      </c>
      <c r="K230">
        <v>408</v>
      </c>
      <c r="L230">
        <v>569</v>
      </c>
      <c r="M230">
        <v>722</v>
      </c>
      <c r="N230">
        <v>1132</v>
      </c>
      <c r="O230">
        <v>680</v>
      </c>
      <c r="P230">
        <v>276</v>
      </c>
      <c r="Q230">
        <v>248</v>
      </c>
      <c r="R230">
        <v>447</v>
      </c>
      <c r="S230">
        <v>1191</v>
      </c>
      <c r="T230">
        <v>300</v>
      </c>
      <c r="U230">
        <v>137</v>
      </c>
      <c r="V230">
        <v>221.24213979999999</v>
      </c>
      <c r="W230">
        <v>254.30342200000001</v>
      </c>
      <c r="X230">
        <v>193.12593860000001</v>
      </c>
      <c r="Y230">
        <v>150.32201939999999</v>
      </c>
      <c r="Z230">
        <v>112.53131879999999</v>
      </c>
      <c r="AA230">
        <v>65</v>
      </c>
      <c r="AB230">
        <v>306.7832985</v>
      </c>
      <c r="AC230">
        <v>279.42336870000003</v>
      </c>
      <c r="AD230">
        <v>223.69717840000001</v>
      </c>
      <c r="AE230">
        <v>155.8242147</v>
      </c>
      <c r="AF230">
        <v>118.8043598</v>
      </c>
      <c r="AG230">
        <v>55</v>
      </c>
      <c r="AH230">
        <v>300.38285050000002</v>
      </c>
      <c r="AI230">
        <v>267.20828</v>
      </c>
      <c r="AJ230">
        <v>206.1629069</v>
      </c>
      <c r="AK230">
        <v>156.9409957</v>
      </c>
      <c r="AL230">
        <v>116.94840170000001</v>
      </c>
      <c r="AM230">
        <v>55</v>
      </c>
      <c r="AN230">
        <v>269.37959080000002</v>
      </c>
      <c r="AO230">
        <v>246.17856080000001</v>
      </c>
      <c r="AP230">
        <v>178.1355408</v>
      </c>
      <c r="AQ230">
        <v>150.19069920000001</v>
      </c>
      <c r="AR230">
        <v>117.2549163</v>
      </c>
      <c r="AS230">
        <v>55</v>
      </c>
      <c r="AT230">
        <v>1.339836E-2</v>
      </c>
      <c r="AU230">
        <v>1.299869E-2</v>
      </c>
      <c r="AV230">
        <v>3.1109649999999999E-2</v>
      </c>
      <c r="AW230">
        <v>1.8535139999999999E-2</v>
      </c>
      <c r="AX230">
        <v>3.7028199999999997E-2</v>
      </c>
      <c r="AY230">
        <v>0.10775422</v>
      </c>
      <c r="AZ230">
        <v>4.4425550000000001E-2</v>
      </c>
      <c r="BA230">
        <v>0.10905575000000001</v>
      </c>
      <c r="BB230">
        <v>7.1932969999999999E-2</v>
      </c>
      <c r="BC230">
        <v>3.9353409999999998E-2</v>
      </c>
      <c r="BD230">
        <v>5.0376280000000002E-2</v>
      </c>
      <c r="BE230">
        <v>6.5460000000000004E-2</v>
      </c>
      <c r="BF230">
        <v>0.10253845</v>
      </c>
      <c r="BG230">
        <v>5.92916E-2</v>
      </c>
      <c r="BH230">
        <v>2.8427600000000001E-2</v>
      </c>
      <c r="BI230">
        <v>2.333812E-2</v>
      </c>
      <c r="BJ230">
        <v>4.1272759999999999E-2</v>
      </c>
      <c r="BK230">
        <v>0.10372756</v>
      </c>
      <c r="BL230">
        <v>2.613234E-2</v>
      </c>
      <c r="BM230">
        <v>1.3843350000000001E-2</v>
      </c>
      <c r="BN230">
        <v>5509</v>
      </c>
      <c r="BO230">
        <v>291.08730120000001</v>
      </c>
      <c r="BP230">
        <v>190</v>
      </c>
    </row>
    <row r="231" spans="1:68" x14ac:dyDescent="0.2">
      <c r="A231" t="s">
        <v>796</v>
      </c>
      <c r="B231">
        <v>50</v>
      </c>
      <c r="C231">
        <v>57</v>
      </c>
      <c r="D231">
        <v>1583</v>
      </c>
      <c r="E231">
        <v>1252</v>
      </c>
      <c r="F231">
        <v>1044</v>
      </c>
      <c r="G231">
        <v>300</v>
      </c>
      <c r="H231">
        <v>514</v>
      </c>
      <c r="I231">
        <v>770</v>
      </c>
      <c r="J231">
        <v>1095</v>
      </c>
      <c r="K231">
        <v>355</v>
      </c>
      <c r="L231">
        <v>309</v>
      </c>
      <c r="M231">
        <v>1261</v>
      </c>
      <c r="N231">
        <v>2108</v>
      </c>
      <c r="O231">
        <v>1377</v>
      </c>
      <c r="P231">
        <v>396</v>
      </c>
      <c r="Q231">
        <v>49</v>
      </c>
      <c r="R231">
        <v>2037</v>
      </c>
      <c r="S231">
        <v>2770</v>
      </c>
      <c r="T231">
        <v>1866</v>
      </c>
      <c r="U231">
        <v>732</v>
      </c>
      <c r="V231">
        <v>277.73881230000001</v>
      </c>
      <c r="W231">
        <v>220.0309335</v>
      </c>
      <c r="X231">
        <v>177.20554240000001</v>
      </c>
      <c r="Y231">
        <v>138.14934149999999</v>
      </c>
      <c r="Z231">
        <v>112.97103490000001</v>
      </c>
      <c r="AA231">
        <v>65</v>
      </c>
      <c r="AB231">
        <v>287.82622479999998</v>
      </c>
      <c r="AC231">
        <v>254.7200307</v>
      </c>
      <c r="AD231">
        <v>205.53933169999999</v>
      </c>
      <c r="AE231">
        <v>151.73768050000001</v>
      </c>
      <c r="AF231">
        <v>121.99006900000001</v>
      </c>
      <c r="AG231">
        <v>55</v>
      </c>
      <c r="AH231">
        <v>300.8597863</v>
      </c>
      <c r="AI231">
        <v>221.0139135</v>
      </c>
      <c r="AJ231">
        <v>192.1945541</v>
      </c>
      <c r="AK231">
        <v>168.80746350000001</v>
      </c>
      <c r="AL231">
        <v>121.7937134</v>
      </c>
      <c r="AM231">
        <v>55</v>
      </c>
      <c r="AN231">
        <v>285.3742092</v>
      </c>
      <c r="AO231">
        <v>195.52231040000001</v>
      </c>
      <c r="AP231">
        <v>172.56252570000001</v>
      </c>
      <c r="AQ231">
        <v>161.68593379999999</v>
      </c>
      <c r="AR231">
        <v>114.4030453</v>
      </c>
      <c r="AS231">
        <v>55</v>
      </c>
      <c r="AT231">
        <v>2.94437E-3</v>
      </c>
      <c r="AU231">
        <v>2.9632299999999999E-3</v>
      </c>
      <c r="AV231">
        <v>8.1946599999999994E-2</v>
      </c>
      <c r="AW231">
        <v>5.9838189999999999E-2</v>
      </c>
      <c r="AX231">
        <v>5.419645E-2</v>
      </c>
      <c r="AY231">
        <v>1.554818E-2</v>
      </c>
      <c r="AZ231">
        <v>2.5349409999999999E-2</v>
      </c>
      <c r="BA231">
        <v>3.6434389999999997E-2</v>
      </c>
      <c r="BB231">
        <v>5.3391010000000003E-2</v>
      </c>
      <c r="BC231">
        <v>1.9608420000000001E-2</v>
      </c>
      <c r="BD231">
        <v>1.6201440000000001E-2</v>
      </c>
      <c r="BE231">
        <v>6.3052979999999995E-2</v>
      </c>
      <c r="BF231">
        <v>0.10305992999999999</v>
      </c>
      <c r="BG231">
        <v>6.9639930000000003E-2</v>
      </c>
      <c r="BH231">
        <v>2.2202989999999999E-2</v>
      </c>
      <c r="BI231">
        <v>2.5283599999999999E-3</v>
      </c>
      <c r="BJ231">
        <v>0.10130777000000001</v>
      </c>
      <c r="BK231">
        <v>0.13692038000000001</v>
      </c>
      <c r="BL231">
        <v>9.4247460000000005E-2</v>
      </c>
      <c r="BM231">
        <v>3.8618510000000002E-2</v>
      </c>
      <c r="BN231">
        <v>2217</v>
      </c>
      <c r="BO231">
        <v>236.79143120000001</v>
      </c>
      <c r="BP231">
        <v>190</v>
      </c>
    </row>
    <row r="232" spans="1:68" x14ac:dyDescent="0.2">
      <c r="A232" t="s">
        <v>797</v>
      </c>
      <c r="B232">
        <v>442</v>
      </c>
      <c r="C232">
        <v>3753</v>
      </c>
      <c r="D232">
        <v>3769</v>
      </c>
      <c r="E232">
        <v>2342</v>
      </c>
      <c r="F232">
        <v>1601</v>
      </c>
      <c r="G232">
        <v>373</v>
      </c>
      <c r="H232">
        <v>138</v>
      </c>
      <c r="I232">
        <v>60</v>
      </c>
      <c r="J232">
        <v>100</v>
      </c>
      <c r="K232">
        <v>28</v>
      </c>
      <c r="L232">
        <v>2788</v>
      </c>
      <c r="M232">
        <v>1789</v>
      </c>
      <c r="N232">
        <v>340</v>
      </c>
      <c r="O232">
        <v>1341</v>
      </c>
      <c r="P232">
        <v>271</v>
      </c>
      <c r="Q232">
        <v>4067</v>
      </c>
      <c r="R232">
        <v>2704</v>
      </c>
      <c r="S232">
        <v>697</v>
      </c>
      <c r="T232">
        <v>3943</v>
      </c>
      <c r="U232">
        <v>826</v>
      </c>
      <c r="V232">
        <v>248.29827589999999</v>
      </c>
      <c r="W232">
        <v>235.3907394</v>
      </c>
      <c r="X232">
        <v>210.65671620000001</v>
      </c>
      <c r="Y232">
        <v>168.261033</v>
      </c>
      <c r="Z232">
        <v>116.7068325</v>
      </c>
      <c r="AA232">
        <v>65</v>
      </c>
      <c r="AB232">
        <v>305.69491790000001</v>
      </c>
      <c r="AC232">
        <v>267.26756010000003</v>
      </c>
      <c r="AD232">
        <v>220.95243919999999</v>
      </c>
      <c r="AE232">
        <v>166.674485</v>
      </c>
      <c r="AF232">
        <v>120.5487782</v>
      </c>
      <c r="AG232">
        <v>55</v>
      </c>
      <c r="AH232">
        <v>305.77061370000001</v>
      </c>
      <c r="AI232">
        <v>255.85718940000001</v>
      </c>
      <c r="AJ232">
        <v>213.3891477</v>
      </c>
      <c r="AK232">
        <v>169.44442079999999</v>
      </c>
      <c r="AL232">
        <v>117.65917349999999</v>
      </c>
      <c r="AM232">
        <v>55</v>
      </c>
      <c r="AN232">
        <v>284.53537699999998</v>
      </c>
      <c r="AO232">
        <v>241.2697288</v>
      </c>
      <c r="AP232">
        <v>198.52270350000001</v>
      </c>
      <c r="AQ232">
        <v>161.17085789999999</v>
      </c>
      <c r="AR232">
        <v>116.5166986</v>
      </c>
      <c r="AS232">
        <v>55</v>
      </c>
      <c r="AT232">
        <v>1.42574E-2</v>
      </c>
      <c r="AU232">
        <v>0.11791529000000001</v>
      </c>
      <c r="AV232">
        <v>0.12650517</v>
      </c>
      <c r="AW232">
        <v>7.1152240000000005E-2</v>
      </c>
      <c r="AX232">
        <v>4.6068049999999999E-2</v>
      </c>
      <c r="AY232">
        <v>1.244635E-2</v>
      </c>
      <c r="AZ232">
        <v>4.5368099999999996E-3</v>
      </c>
      <c r="BA232">
        <v>1.8393299999999999E-3</v>
      </c>
      <c r="BB232">
        <v>2.9746400000000002E-3</v>
      </c>
      <c r="BC232">
        <v>8.6740999999999999E-4</v>
      </c>
      <c r="BD232">
        <v>9.0346380000000004E-2</v>
      </c>
      <c r="BE232">
        <v>5.849012E-2</v>
      </c>
      <c r="BF232">
        <v>1.2049839999999999E-2</v>
      </c>
      <c r="BG232">
        <v>4.1232640000000001E-2</v>
      </c>
      <c r="BH232">
        <v>7.7348900000000003E-3</v>
      </c>
      <c r="BI232">
        <v>0.13642325999999999</v>
      </c>
      <c r="BJ232">
        <v>8.7388759999999996E-2</v>
      </c>
      <c r="BK232">
        <v>2.4836899999999999E-2</v>
      </c>
      <c r="BL232">
        <v>0.1192617</v>
      </c>
      <c r="BM232">
        <v>2.3672820000000001E-2</v>
      </c>
      <c r="BN232">
        <v>5083</v>
      </c>
      <c r="BO232">
        <v>279.06597299999999</v>
      </c>
      <c r="BP232">
        <v>190</v>
      </c>
    </row>
    <row r="233" spans="1:68" x14ac:dyDescent="0.2">
      <c r="A233" t="s">
        <v>798</v>
      </c>
      <c r="B233">
        <v>2392</v>
      </c>
      <c r="C233">
        <v>7560</v>
      </c>
      <c r="D233">
        <v>7970</v>
      </c>
      <c r="E233">
        <v>2173</v>
      </c>
      <c r="F233">
        <v>1565</v>
      </c>
      <c r="G233">
        <v>131</v>
      </c>
      <c r="H233">
        <v>46</v>
      </c>
      <c r="I233">
        <v>64</v>
      </c>
      <c r="J233">
        <v>23</v>
      </c>
      <c r="K233">
        <v>38</v>
      </c>
      <c r="L233">
        <v>1071</v>
      </c>
      <c r="M233">
        <v>874</v>
      </c>
      <c r="N233">
        <v>1047</v>
      </c>
      <c r="O233">
        <v>585</v>
      </c>
      <c r="P233">
        <v>426</v>
      </c>
      <c r="Q233">
        <v>2660</v>
      </c>
      <c r="R233">
        <v>1746</v>
      </c>
      <c r="S233">
        <v>2275</v>
      </c>
      <c r="T233">
        <v>1682</v>
      </c>
      <c r="U233">
        <v>1015</v>
      </c>
      <c r="V233">
        <v>264.2099953</v>
      </c>
      <c r="W233">
        <v>209.05503970000001</v>
      </c>
      <c r="X233">
        <v>181.08119120000001</v>
      </c>
      <c r="Y233">
        <v>170.4221718</v>
      </c>
      <c r="Z233">
        <v>113.58789950000001</v>
      </c>
      <c r="AA233">
        <v>65</v>
      </c>
      <c r="AB233">
        <v>296.11390280000001</v>
      </c>
      <c r="AC233">
        <v>253.25565900000001</v>
      </c>
      <c r="AD233">
        <v>247.3807219</v>
      </c>
      <c r="AE233">
        <v>157.0743057</v>
      </c>
      <c r="AF233">
        <v>113.9004412</v>
      </c>
      <c r="AG233">
        <v>55</v>
      </c>
      <c r="AH233">
        <v>299.78247909999999</v>
      </c>
      <c r="AI233">
        <v>240.98009709999999</v>
      </c>
      <c r="AJ233">
        <v>220.7911345</v>
      </c>
      <c r="AK233">
        <v>160.68924860000001</v>
      </c>
      <c r="AL233">
        <v>117.62094039999999</v>
      </c>
      <c r="AM233">
        <v>55</v>
      </c>
      <c r="AN233">
        <v>274.74413520000002</v>
      </c>
      <c r="AO233">
        <v>232.69348729999999</v>
      </c>
      <c r="AP233">
        <v>204.1813329</v>
      </c>
      <c r="AQ233">
        <v>156.7487591</v>
      </c>
      <c r="AR233">
        <v>117.3595431</v>
      </c>
      <c r="AS233">
        <v>55</v>
      </c>
      <c r="AT233">
        <v>6.6319249999999996E-2</v>
      </c>
      <c r="AU233">
        <v>0.21681918</v>
      </c>
      <c r="AV233">
        <v>0.22547350999999999</v>
      </c>
      <c r="AW233">
        <v>5.9498170000000003E-2</v>
      </c>
      <c r="AX233">
        <v>4.03501E-2</v>
      </c>
      <c r="AY233">
        <v>3.78919E-3</v>
      </c>
      <c r="AZ233">
        <v>1.4754600000000001E-3</v>
      </c>
      <c r="BA233">
        <v>1.74697E-3</v>
      </c>
      <c r="BB233">
        <v>6.4316999999999998E-4</v>
      </c>
      <c r="BC233">
        <v>1.0487199999999999E-3</v>
      </c>
      <c r="BD233">
        <v>3.112639E-2</v>
      </c>
      <c r="BE233">
        <v>2.561927E-2</v>
      </c>
      <c r="BF233">
        <v>3.0956359999999999E-2</v>
      </c>
      <c r="BG233">
        <v>1.5689450000000001E-2</v>
      </c>
      <c r="BH233">
        <v>1.103789E-2</v>
      </c>
      <c r="BI233">
        <v>7.7753859999999994E-2</v>
      </c>
      <c r="BJ233">
        <v>5.1720809999999999E-2</v>
      </c>
      <c r="BK233">
        <v>6.7307870000000006E-2</v>
      </c>
      <c r="BL233">
        <v>4.5287550000000003E-2</v>
      </c>
      <c r="BM233">
        <v>2.6336829999999999E-2</v>
      </c>
      <c r="BN233">
        <v>3636</v>
      </c>
      <c r="BO233">
        <v>276.0399008</v>
      </c>
      <c r="BP233">
        <v>190</v>
      </c>
    </row>
    <row r="234" spans="1:68" x14ac:dyDescent="0.2">
      <c r="A234" t="s">
        <v>799</v>
      </c>
      <c r="B234">
        <v>20</v>
      </c>
      <c r="C234">
        <v>15</v>
      </c>
      <c r="D234">
        <v>17</v>
      </c>
      <c r="E234">
        <v>24</v>
      </c>
      <c r="F234">
        <v>30</v>
      </c>
      <c r="G234">
        <v>26</v>
      </c>
      <c r="H234">
        <v>11</v>
      </c>
      <c r="I234">
        <v>21</v>
      </c>
      <c r="J234">
        <v>17</v>
      </c>
      <c r="K234">
        <v>16</v>
      </c>
      <c r="L234">
        <v>44</v>
      </c>
      <c r="M234">
        <v>87</v>
      </c>
      <c r="N234">
        <v>29</v>
      </c>
      <c r="O234">
        <v>45</v>
      </c>
      <c r="P234">
        <v>10</v>
      </c>
      <c r="Q234">
        <v>45</v>
      </c>
      <c r="R234">
        <v>62</v>
      </c>
      <c r="S234">
        <v>15</v>
      </c>
      <c r="T234">
        <v>31</v>
      </c>
      <c r="U234">
        <v>10</v>
      </c>
      <c r="V234">
        <v>162.90065150000001</v>
      </c>
      <c r="W234">
        <v>302.93</v>
      </c>
      <c r="X234">
        <v>270</v>
      </c>
      <c r="Y234">
        <v>124.9219331</v>
      </c>
      <c r="Z234">
        <v>91.31</v>
      </c>
      <c r="AA234">
        <v>65</v>
      </c>
      <c r="AB234">
        <v>329.45770160000001</v>
      </c>
      <c r="AC234">
        <v>205.8193277</v>
      </c>
      <c r="AD234">
        <v>241.3239633</v>
      </c>
      <c r="AE234">
        <v>126.3480062</v>
      </c>
      <c r="AF234">
        <v>172.7610392</v>
      </c>
      <c r="AG234">
        <v>55</v>
      </c>
      <c r="AH234">
        <v>285.91359319999998</v>
      </c>
      <c r="AI234">
        <v>208.5283704</v>
      </c>
      <c r="AJ234">
        <v>207.9596809</v>
      </c>
      <c r="AK234">
        <v>183.3865744</v>
      </c>
      <c r="AL234">
        <v>204.64835160000001</v>
      </c>
      <c r="AM234">
        <v>55</v>
      </c>
      <c r="AN234">
        <v>263.02547729999998</v>
      </c>
      <c r="AO234">
        <v>159.23745890000001</v>
      </c>
      <c r="AP234">
        <v>161.01572329999999</v>
      </c>
      <c r="AQ234">
        <v>152.82477499999999</v>
      </c>
      <c r="AR234">
        <v>118</v>
      </c>
      <c r="AS234">
        <v>55</v>
      </c>
      <c r="AT234">
        <v>2.470988E-2</v>
      </c>
      <c r="AU234">
        <v>2.7484669999999999E-2</v>
      </c>
      <c r="AV234">
        <v>2.8721630000000001E-2</v>
      </c>
      <c r="AW234">
        <v>3.2896359999999999E-2</v>
      </c>
      <c r="AX234">
        <v>6.0251480000000003E-2</v>
      </c>
      <c r="AY234">
        <v>4.2883949999999997E-2</v>
      </c>
      <c r="AZ234">
        <v>1.626849E-2</v>
      </c>
      <c r="BA234">
        <v>3.8629820000000002E-2</v>
      </c>
      <c r="BB234">
        <v>3.1007489999999999E-2</v>
      </c>
      <c r="BC234">
        <v>2.7513929999999999E-2</v>
      </c>
      <c r="BD234">
        <v>7.3883080000000004E-2</v>
      </c>
      <c r="BE234">
        <v>0.14716022000000001</v>
      </c>
      <c r="BF234">
        <v>5.343987E-2</v>
      </c>
      <c r="BG234">
        <v>6.9382399999999997E-2</v>
      </c>
      <c r="BH234">
        <v>1.9319090000000001E-2</v>
      </c>
      <c r="BI234">
        <v>9.1977749999999997E-2</v>
      </c>
      <c r="BJ234">
        <v>0.10996377</v>
      </c>
      <c r="BK234">
        <v>2.8997439999999999E-2</v>
      </c>
      <c r="BL234">
        <v>5.72176E-2</v>
      </c>
      <c r="BM234">
        <v>1.8291080000000001E-2</v>
      </c>
      <c r="BN234">
        <v>630</v>
      </c>
      <c r="BO234">
        <v>239.36778820000001</v>
      </c>
      <c r="BP234">
        <v>190</v>
      </c>
    </row>
    <row r="235" spans="1:68" x14ac:dyDescent="0.2">
      <c r="A235" t="s">
        <v>800</v>
      </c>
      <c r="B235">
        <v>1278</v>
      </c>
      <c r="C235">
        <v>1923</v>
      </c>
      <c r="D235">
        <v>2606</v>
      </c>
      <c r="E235">
        <v>1704</v>
      </c>
      <c r="F235">
        <v>722</v>
      </c>
      <c r="G235">
        <v>240</v>
      </c>
      <c r="H235">
        <v>305</v>
      </c>
      <c r="I235">
        <v>429</v>
      </c>
      <c r="J235">
        <v>443</v>
      </c>
      <c r="K235">
        <v>118</v>
      </c>
      <c r="L235">
        <v>841</v>
      </c>
      <c r="M235">
        <v>1008</v>
      </c>
      <c r="N235">
        <v>1721</v>
      </c>
      <c r="O235">
        <v>675</v>
      </c>
      <c r="P235">
        <v>162</v>
      </c>
      <c r="Q235">
        <v>1741</v>
      </c>
      <c r="R235">
        <v>1623</v>
      </c>
      <c r="S235">
        <v>3543</v>
      </c>
      <c r="T235">
        <v>1233</v>
      </c>
      <c r="U235">
        <v>410</v>
      </c>
      <c r="V235">
        <v>261.79710949999998</v>
      </c>
      <c r="W235">
        <v>239.84015149999999</v>
      </c>
      <c r="X235">
        <v>213.73423289999999</v>
      </c>
      <c r="Y235">
        <v>166.35702739999999</v>
      </c>
      <c r="Z235">
        <v>123.73485169999999</v>
      </c>
      <c r="AA235">
        <v>65</v>
      </c>
      <c r="AB235">
        <v>300.33318000000003</v>
      </c>
      <c r="AC235">
        <v>283.43009840000002</v>
      </c>
      <c r="AD235">
        <v>216.5806906</v>
      </c>
      <c r="AE235">
        <v>134.06150220000001</v>
      </c>
      <c r="AF235">
        <v>118.2762378</v>
      </c>
      <c r="AG235">
        <v>55</v>
      </c>
      <c r="AH235">
        <v>286.41595760000001</v>
      </c>
      <c r="AI235">
        <v>220.5415265</v>
      </c>
      <c r="AJ235">
        <v>199.18923599999999</v>
      </c>
      <c r="AK235">
        <v>152.4440453</v>
      </c>
      <c r="AL235">
        <v>114.47377710000001</v>
      </c>
      <c r="AM235">
        <v>55</v>
      </c>
      <c r="AN235">
        <v>279.04008210000001</v>
      </c>
      <c r="AO235">
        <v>203.93948449999999</v>
      </c>
      <c r="AP235">
        <v>180.05978970000001</v>
      </c>
      <c r="AQ235">
        <v>145.87729160000001</v>
      </c>
      <c r="AR235">
        <v>114.6196389</v>
      </c>
      <c r="AS235">
        <v>55</v>
      </c>
      <c r="AT235">
        <v>5.3420599999999999E-2</v>
      </c>
      <c r="AU235">
        <v>8.945111E-2</v>
      </c>
      <c r="AV235">
        <v>0.11876588</v>
      </c>
      <c r="AW235">
        <v>6.7721480000000001E-2</v>
      </c>
      <c r="AX235">
        <v>3.336397E-2</v>
      </c>
      <c r="AY235">
        <v>1.0469920000000001E-2</v>
      </c>
      <c r="AZ235">
        <v>1.4254070000000001E-2</v>
      </c>
      <c r="BA235">
        <v>1.8453520000000001E-2</v>
      </c>
      <c r="BB235">
        <v>1.9054390000000001E-2</v>
      </c>
      <c r="BC235">
        <v>4.8124700000000001E-3</v>
      </c>
      <c r="BD235">
        <v>3.6785760000000001E-2</v>
      </c>
      <c r="BE235">
        <v>4.6263140000000001E-2</v>
      </c>
      <c r="BF235">
        <v>7.3910030000000002E-2</v>
      </c>
      <c r="BG235">
        <v>3.0986429999999999E-2</v>
      </c>
      <c r="BH235">
        <v>6.7496300000000004E-3</v>
      </c>
      <c r="BI235">
        <v>7.6270060000000001E-2</v>
      </c>
      <c r="BJ235">
        <v>7.3490159999999999E-2</v>
      </c>
      <c r="BK235">
        <v>0.15379872</v>
      </c>
      <c r="BL235">
        <v>5.4791880000000001E-2</v>
      </c>
      <c r="BM235">
        <v>1.7186779999999999E-2</v>
      </c>
      <c r="BN235">
        <v>3586</v>
      </c>
      <c r="BO235">
        <v>284.87760170000001</v>
      </c>
      <c r="BP235">
        <v>190</v>
      </c>
    </row>
    <row r="236" spans="1:68" x14ac:dyDescent="0.2">
      <c r="A236" t="s">
        <v>801</v>
      </c>
      <c r="B236">
        <v>124</v>
      </c>
      <c r="C236">
        <v>724</v>
      </c>
      <c r="D236">
        <v>1578</v>
      </c>
      <c r="E236">
        <v>729</v>
      </c>
      <c r="F236">
        <v>902</v>
      </c>
      <c r="G236">
        <v>109</v>
      </c>
      <c r="H236">
        <v>65</v>
      </c>
      <c r="I236">
        <v>86</v>
      </c>
      <c r="J236">
        <v>73</v>
      </c>
      <c r="K236">
        <v>84</v>
      </c>
      <c r="L236">
        <v>492</v>
      </c>
      <c r="M236">
        <v>680</v>
      </c>
      <c r="N236">
        <v>790</v>
      </c>
      <c r="O236">
        <v>300</v>
      </c>
      <c r="P236">
        <v>184</v>
      </c>
      <c r="Q236">
        <v>696</v>
      </c>
      <c r="R236">
        <v>1255</v>
      </c>
      <c r="S236">
        <v>1504</v>
      </c>
      <c r="T236">
        <v>812</v>
      </c>
      <c r="U236">
        <v>311</v>
      </c>
      <c r="V236">
        <v>285.68344180000003</v>
      </c>
      <c r="W236">
        <v>259.78872790000003</v>
      </c>
      <c r="X236">
        <v>193.96487339999999</v>
      </c>
      <c r="Y236">
        <v>172.53262989999999</v>
      </c>
      <c r="Z236">
        <v>113.3327161</v>
      </c>
      <c r="AA236">
        <v>65</v>
      </c>
      <c r="AB236">
        <v>332.97254900000001</v>
      </c>
      <c r="AC236">
        <v>262.07611359999999</v>
      </c>
      <c r="AD236">
        <v>210.01048689999999</v>
      </c>
      <c r="AE236">
        <v>140.27013830000001</v>
      </c>
      <c r="AF236">
        <v>117.8993672</v>
      </c>
      <c r="AG236">
        <v>55</v>
      </c>
      <c r="AH236">
        <v>298.70126210000001</v>
      </c>
      <c r="AI236">
        <v>250.41798800000001</v>
      </c>
      <c r="AJ236">
        <v>209.8877699</v>
      </c>
      <c r="AK236">
        <v>164.4828526</v>
      </c>
      <c r="AL236">
        <v>114.555966</v>
      </c>
      <c r="AM236">
        <v>55</v>
      </c>
      <c r="AN236">
        <v>283.32930820000001</v>
      </c>
      <c r="AO236">
        <v>241.7559119</v>
      </c>
      <c r="AP236">
        <v>194.30356560000001</v>
      </c>
      <c r="AQ236">
        <v>156.8436609</v>
      </c>
      <c r="AR236">
        <v>107.53404279999999</v>
      </c>
      <c r="AS236">
        <v>55</v>
      </c>
      <c r="AT236">
        <v>8.2845599999999998E-3</v>
      </c>
      <c r="AU236">
        <v>6.1267410000000001E-2</v>
      </c>
      <c r="AV236">
        <v>0.14411874</v>
      </c>
      <c r="AW236">
        <v>5.9206780000000001E-2</v>
      </c>
      <c r="AX236">
        <v>7.7130009999999999E-2</v>
      </c>
      <c r="AY236">
        <v>9.7648600000000002E-3</v>
      </c>
      <c r="AZ236">
        <v>6.5186200000000001E-3</v>
      </c>
      <c r="BA236">
        <v>7.8183000000000002E-3</v>
      </c>
      <c r="BB236">
        <v>6.2305900000000003E-3</v>
      </c>
      <c r="BC236">
        <v>6.5523600000000001E-3</v>
      </c>
      <c r="BD236">
        <v>4.1768819999999998E-2</v>
      </c>
      <c r="BE236">
        <v>5.8559439999999997E-2</v>
      </c>
      <c r="BF236">
        <v>6.9645600000000002E-2</v>
      </c>
      <c r="BG236">
        <v>2.6877479999999999E-2</v>
      </c>
      <c r="BH236">
        <v>1.6040840000000001E-2</v>
      </c>
      <c r="BI236">
        <v>6.1402859999999997E-2</v>
      </c>
      <c r="BJ236">
        <v>0.10626465</v>
      </c>
      <c r="BK236">
        <v>0.13747297999999999</v>
      </c>
      <c r="BL236">
        <v>6.8553619999999996E-2</v>
      </c>
      <c r="BM236">
        <v>2.652148E-2</v>
      </c>
      <c r="BN236">
        <v>1514</v>
      </c>
      <c r="BO236">
        <v>266.21683730000001</v>
      </c>
      <c r="BP236">
        <v>190</v>
      </c>
    </row>
    <row r="237" spans="1:68" x14ac:dyDescent="0.2">
      <c r="A237" t="s">
        <v>802</v>
      </c>
      <c r="B237">
        <v>389</v>
      </c>
      <c r="C237">
        <v>85</v>
      </c>
      <c r="D237">
        <v>307</v>
      </c>
      <c r="E237">
        <v>444</v>
      </c>
      <c r="F237">
        <v>467</v>
      </c>
      <c r="G237">
        <v>1506</v>
      </c>
      <c r="H237">
        <v>402</v>
      </c>
      <c r="I237">
        <v>682</v>
      </c>
      <c r="J237">
        <v>700</v>
      </c>
      <c r="K237">
        <v>425</v>
      </c>
      <c r="L237">
        <v>688</v>
      </c>
      <c r="M237">
        <v>528</v>
      </c>
      <c r="N237">
        <v>966</v>
      </c>
      <c r="O237">
        <v>578</v>
      </c>
      <c r="P237">
        <v>435</v>
      </c>
      <c r="Q237">
        <v>40</v>
      </c>
      <c r="R237">
        <v>295</v>
      </c>
      <c r="S237">
        <v>1043</v>
      </c>
      <c r="T237">
        <v>542</v>
      </c>
      <c r="U237">
        <v>168</v>
      </c>
      <c r="V237">
        <v>274.22638080000002</v>
      </c>
      <c r="W237">
        <v>210.45270640000001</v>
      </c>
      <c r="X237">
        <v>197.76274459999999</v>
      </c>
      <c r="Y237">
        <v>150.1682691</v>
      </c>
      <c r="Z237">
        <v>103.417692</v>
      </c>
      <c r="AA237">
        <v>65</v>
      </c>
      <c r="AB237">
        <v>315.6565774</v>
      </c>
      <c r="AC237">
        <v>279.26363650000002</v>
      </c>
      <c r="AD237">
        <v>210.93737669999999</v>
      </c>
      <c r="AE237">
        <v>150.94013960000001</v>
      </c>
      <c r="AF237">
        <v>118.7765576</v>
      </c>
      <c r="AG237">
        <v>55</v>
      </c>
      <c r="AH237">
        <v>301.93930870000003</v>
      </c>
      <c r="AI237">
        <v>258.43366070000002</v>
      </c>
      <c r="AJ237">
        <v>201.52692759999999</v>
      </c>
      <c r="AK237">
        <v>173.9558112</v>
      </c>
      <c r="AL237">
        <v>114.7889175</v>
      </c>
      <c r="AM237">
        <v>55</v>
      </c>
      <c r="AN237">
        <v>254.67887189999999</v>
      </c>
      <c r="AO237">
        <v>228.4026653</v>
      </c>
      <c r="AP237">
        <v>187.0163034</v>
      </c>
      <c r="AQ237">
        <v>168.08869559999999</v>
      </c>
      <c r="AR237">
        <v>109.3766888</v>
      </c>
      <c r="AS237">
        <v>55</v>
      </c>
      <c r="AT237">
        <v>3.61357E-2</v>
      </c>
      <c r="AU237">
        <v>8.5786300000000003E-3</v>
      </c>
      <c r="AV237">
        <v>2.789668E-2</v>
      </c>
      <c r="AW237">
        <v>3.5792049999999999E-2</v>
      </c>
      <c r="AX237">
        <v>4.3890489999999997E-2</v>
      </c>
      <c r="AY237">
        <v>0.14860366</v>
      </c>
      <c r="AZ237">
        <v>3.9456150000000002E-2</v>
      </c>
      <c r="BA237">
        <v>6.5444160000000001E-2</v>
      </c>
      <c r="BB237">
        <v>6.304593E-2</v>
      </c>
      <c r="BC237">
        <v>4.361334E-2</v>
      </c>
      <c r="BD237">
        <v>6.7263809999999993E-2</v>
      </c>
      <c r="BE237">
        <v>5.1325889999999999E-2</v>
      </c>
      <c r="BF237">
        <v>8.5785570000000005E-2</v>
      </c>
      <c r="BG237">
        <v>5.1304139999999998E-2</v>
      </c>
      <c r="BH237">
        <v>4.466705E-2</v>
      </c>
      <c r="BI237">
        <v>3.7715600000000002E-3</v>
      </c>
      <c r="BJ237">
        <v>2.9267230000000002E-2</v>
      </c>
      <c r="BK237">
        <v>8.788667E-2</v>
      </c>
      <c r="BL237">
        <v>4.8887710000000001E-2</v>
      </c>
      <c r="BM237">
        <v>1.7383579999999999E-2</v>
      </c>
      <c r="BN237">
        <v>1030</v>
      </c>
      <c r="BO237">
        <v>235.34447549999999</v>
      </c>
      <c r="BP237">
        <v>190</v>
      </c>
    </row>
    <row r="238" spans="1:68" x14ac:dyDescent="0.2">
      <c r="A238" t="s">
        <v>803</v>
      </c>
      <c r="B238">
        <v>407</v>
      </c>
      <c r="C238">
        <v>601</v>
      </c>
      <c r="D238">
        <v>1275</v>
      </c>
      <c r="E238">
        <v>1341</v>
      </c>
      <c r="F238">
        <v>1429</v>
      </c>
      <c r="G238">
        <v>832</v>
      </c>
      <c r="H238">
        <v>430</v>
      </c>
      <c r="I238">
        <v>974</v>
      </c>
      <c r="J238">
        <v>1067</v>
      </c>
      <c r="K238">
        <v>253</v>
      </c>
      <c r="L238">
        <v>889</v>
      </c>
      <c r="M238">
        <v>1076</v>
      </c>
      <c r="N238">
        <v>2454</v>
      </c>
      <c r="O238">
        <v>1129</v>
      </c>
      <c r="P238">
        <v>461</v>
      </c>
      <c r="Q238">
        <v>371</v>
      </c>
      <c r="R238">
        <v>1229</v>
      </c>
      <c r="S238">
        <v>3242</v>
      </c>
      <c r="T238">
        <v>1595</v>
      </c>
      <c r="U238">
        <v>783</v>
      </c>
      <c r="V238">
        <v>270.46354050000002</v>
      </c>
      <c r="W238">
        <v>201.7010866</v>
      </c>
      <c r="X238">
        <v>200.91282609999999</v>
      </c>
      <c r="Y238">
        <v>160.43127910000001</v>
      </c>
      <c r="Z238">
        <v>111.1974039</v>
      </c>
      <c r="AA238">
        <v>65</v>
      </c>
      <c r="AB238">
        <v>303.76131679999997</v>
      </c>
      <c r="AC238">
        <v>278.91770129999998</v>
      </c>
      <c r="AD238">
        <v>222.67424170000001</v>
      </c>
      <c r="AE238">
        <v>159.16875379999999</v>
      </c>
      <c r="AF238">
        <v>123.3075911</v>
      </c>
      <c r="AG238">
        <v>55</v>
      </c>
      <c r="AH238">
        <v>306.98371040000001</v>
      </c>
      <c r="AI238">
        <v>246.5316996</v>
      </c>
      <c r="AJ238">
        <v>194.8895143</v>
      </c>
      <c r="AK238">
        <v>159.5826563</v>
      </c>
      <c r="AL238">
        <v>114.2806745</v>
      </c>
      <c r="AM238">
        <v>55</v>
      </c>
      <c r="AN238">
        <v>301.65224139999998</v>
      </c>
      <c r="AO238">
        <v>212.67698519999999</v>
      </c>
      <c r="AP238">
        <v>171.99829349999999</v>
      </c>
      <c r="AQ238">
        <v>153.052412</v>
      </c>
      <c r="AR238">
        <v>113.8210785</v>
      </c>
      <c r="AS238">
        <v>55</v>
      </c>
      <c r="AT238">
        <v>1.767825E-2</v>
      </c>
      <c r="AU238">
        <v>2.2972659999999999E-2</v>
      </c>
      <c r="AV238">
        <v>5.7447779999999997E-2</v>
      </c>
      <c r="AW238">
        <v>6.6126389999999993E-2</v>
      </c>
      <c r="AX238">
        <v>6.5817349999999997E-2</v>
      </c>
      <c r="AY238">
        <v>3.8028300000000001E-2</v>
      </c>
      <c r="AZ238">
        <v>1.9347369999999999E-2</v>
      </c>
      <c r="BA238">
        <v>4.4652160000000003E-2</v>
      </c>
      <c r="BB238">
        <v>5.4352110000000002E-2</v>
      </c>
      <c r="BC238">
        <v>1.0802259999999999E-2</v>
      </c>
      <c r="BD238">
        <v>3.8717790000000002E-2</v>
      </c>
      <c r="BE238">
        <v>4.8861309999999998E-2</v>
      </c>
      <c r="BF238">
        <v>0.11015414</v>
      </c>
      <c r="BG238">
        <v>5.7496730000000003E-2</v>
      </c>
      <c r="BH238">
        <v>2.0761249999999998E-2</v>
      </c>
      <c r="BI238">
        <v>1.443169E-2</v>
      </c>
      <c r="BJ238">
        <v>5.5251920000000003E-2</v>
      </c>
      <c r="BK238">
        <v>0.14324890000000001</v>
      </c>
      <c r="BL238">
        <v>7.9696160000000002E-2</v>
      </c>
      <c r="BM238">
        <v>3.4155480000000002E-2</v>
      </c>
      <c r="BN238">
        <v>2162</v>
      </c>
      <c r="BO238">
        <v>252.26901520000001</v>
      </c>
      <c r="BP238">
        <v>190</v>
      </c>
    </row>
    <row r="239" spans="1:68" x14ac:dyDescent="0.2">
      <c r="A239" t="s">
        <v>804</v>
      </c>
      <c r="B239">
        <v>47</v>
      </c>
      <c r="C239">
        <v>791</v>
      </c>
      <c r="D239">
        <v>1756</v>
      </c>
      <c r="E239">
        <v>780</v>
      </c>
      <c r="F239">
        <v>561</v>
      </c>
      <c r="G239">
        <v>191</v>
      </c>
      <c r="H239">
        <v>66</v>
      </c>
      <c r="I239">
        <v>232</v>
      </c>
      <c r="J239">
        <v>188</v>
      </c>
      <c r="K239">
        <v>204</v>
      </c>
      <c r="L239">
        <v>337</v>
      </c>
      <c r="M239">
        <v>400</v>
      </c>
      <c r="N239">
        <v>775</v>
      </c>
      <c r="O239">
        <v>667</v>
      </c>
      <c r="P239">
        <v>388</v>
      </c>
      <c r="Q239">
        <v>221</v>
      </c>
      <c r="R239">
        <v>899</v>
      </c>
      <c r="S239">
        <v>1731</v>
      </c>
      <c r="T239">
        <v>1368</v>
      </c>
      <c r="U239">
        <v>796</v>
      </c>
      <c r="V239">
        <v>251.97772860000001</v>
      </c>
      <c r="W239">
        <v>242.769463</v>
      </c>
      <c r="X239">
        <v>218.34172409999999</v>
      </c>
      <c r="Y239">
        <v>162.95970449999999</v>
      </c>
      <c r="Z239">
        <v>114.3650825</v>
      </c>
      <c r="AA239">
        <v>65</v>
      </c>
      <c r="AB239">
        <v>325.85111030000002</v>
      </c>
      <c r="AC239">
        <v>319.66168240000002</v>
      </c>
      <c r="AD239">
        <v>213.26622760000001</v>
      </c>
      <c r="AE239">
        <v>157.56750579999999</v>
      </c>
      <c r="AF239">
        <v>119.2056922</v>
      </c>
      <c r="AG239">
        <v>55</v>
      </c>
      <c r="AH239">
        <v>312.45533369999998</v>
      </c>
      <c r="AI239">
        <v>264.08648169999998</v>
      </c>
      <c r="AJ239">
        <v>202.22158039999999</v>
      </c>
      <c r="AK239">
        <v>170.30027989999999</v>
      </c>
      <c r="AL239">
        <v>116.5943955</v>
      </c>
      <c r="AM239">
        <v>55</v>
      </c>
      <c r="AN239">
        <v>284.91010260000002</v>
      </c>
      <c r="AO239">
        <v>254.85052210000001</v>
      </c>
      <c r="AP239">
        <v>195.3025159</v>
      </c>
      <c r="AQ239">
        <v>167.65180040000001</v>
      </c>
      <c r="AR239">
        <v>116.3016847</v>
      </c>
      <c r="AS239">
        <v>55</v>
      </c>
      <c r="AT239">
        <v>4.2726600000000002E-3</v>
      </c>
      <c r="AU239">
        <v>6.2309530000000002E-2</v>
      </c>
      <c r="AV239">
        <v>0.13475275</v>
      </c>
      <c r="AW239">
        <v>6.7383520000000002E-2</v>
      </c>
      <c r="AX239">
        <v>4.3899359999999998E-2</v>
      </c>
      <c r="AY239">
        <v>1.452323E-2</v>
      </c>
      <c r="AZ239">
        <v>5.2822199999999998E-3</v>
      </c>
      <c r="BA239">
        <v>1.8443069999999999E-2</v>
      </c>
      <c r="BB239">
        <v>1.523863E-2</v>
      </c>
      <c r="BC239">
        <v>1.805431E-2</v>
      </c>
      <c r="BD239">
        <v>2.7834089999999999E-2</v>
      </c>
      <c r="BE239">
        <v>3.1426849999999999E-2</v>
      </c>
      <c r="BF239">
        <v>6.0115729999999999E-2</v>
      </c>
      <c r="BG239">
        <v>5.3076959999999999E-2</v>
      </c>
      <c r="BH239">
        <v>3.5884149999999997E-2</v>
      </c>
      <c r="BI239">
        <v>1.8126819999999998E-2</v>
      </c>
      <c r="BJ239">
        <v>7.1006150000000004E-2</v>
      </c>
      <c r="BK239">
        <v>0.13398281000000001</v>
      </c>
      <c r="BL239">
        <v>0.11156600999999999</v>
      </c>
      <c r="BM239">
        <v>7.2821150000000001E-2</v>
      </c>
      <c r="BN239">
        <v>1443</v>
      </c>
      <c r="BO239">
        <v>271.99717920000001</v>
      </c>
      <c r="BP239">
        <v>190</v>
      </c>
    </row>
    <row r="240" spans="1:68" x14ac:dyDescent="0.2">
      <c r="A240" t="s">
        <v>805</v>
      </c>
      <c r="B240">
        <v>368</v>
      </c>
      <c r="C240">
        <v>1511</v>
      </c>
      <c r="D240">
        <v>4147</v>
      </c>
      <c r="E240">
        <v>892</v>
      </c>
      <c r="F240">
        <v>2160</v>
      </c>
      <c r="G240">
        <v>397</v>
      </c>
      <c r="H240">
        <v>255</v>
      </c>
      <c r="I240">
        <v>230</v>
      </c>
      <c r="J240">
        <v>252</v>
      </c>
      <c r="K240">
        <v>125</v>
      </c>
      <c r="L240">
        <v>840</v>
      </c>
      <c r="M240">
        <v>738</v>
      </c>
      <c r="N240">
        <v>688</v>
      </c>
      <c r="O240">
        <v>701</v>
      </c>
      <c r="P240">
        <v>460</v>
      </c>
      <c r="Q240">
        <v>534</v>
      </c>
      <c r="R240">
        <v>409</v>
      </c>
      <c r="S240">
        <v>1099</v>
      </c>
      <c r="T240">
        <v>1023</v>
      </c>
      <c r="U240">
        <v>903</v>
      </c>
      <c r="V240">
        <v>212.91616540000001</v>
      </c>
      <c r="W240">
        <v>241.83541289999999</v>
      </c>
      <c r="X240">
        <v>185.17961249999999</v>
      </c>
      <c r="Y240">
        <v>181.36825769999999</v>
      </c>
      <c r="Z240">
        <v>130.09324720000001</v>
      </c>
      <c r="AA240">
        <v>65</v>
      </c>
      <c r="AB240">
        <v>292.28176009999999</v>
      </c>
      <c r="AC240">
        <v>266.8976045</v>
      </c>
      <c r="AD240">
        <v>208.35601370000001</v>
      </c>
      <c r="AE240">
        <v>141.06573979999999</v>
      </c>
      <c r="AF240">
        <v>117.0998786</v>
      </c>
      <c r="AG240">
        <v>55</v>
      </c>
      <c r="AH240">
        <v>266.10764230000001</v>
      </c>
      <c r="AI240">
        <v>226.3501613</v>
      </c>
      <c r="AJ240">
        <v>196.8218573</v>
      </c>
      <c r="AK240">
        <v>153.63118</v>
      </c>
      <c r="AL240">
        <v>113.47746789999999</v>
      </c>
      <c r="AM240">
        <v>55</v>
      </c>
      <c r="AN240">
        <v>255.0381458</v>
      </c>
      <c r="AO240">
        <v>193.99337410000001</v>
      </c>
      <c r="AP240">
        <v>179.17444639999999</v>
      </c>
      <c r="AQ240">
        <v>151.100223</v>
      </c>
      <c r="AR240">
        <v>110.3165343</v>
      </c>
      <c r="AS240">
        <v>55</v>
      </c>
      <c r="AT240">
        <v>1.9742039999999999E-2</v>
      </c>
      <c r="AU240">
        <v>8.7609000000000006E-2</v>
      </c>
      <c r="AV240">
        <v>0.23726491</v>
      </c>
      <c r="AW240">
        <v>4.572408E-2</v>
      </c>
      <c r="AX240">
        <v>0.13253380000000001</v>
      </c>
      <c r="AY240">
        <v>2.1307469999999998E-2</v>
      </c>
      <c r="AZ240">
        <v>1.442096E-2</v>
      </c>
      <c r="BA240">
        <v>1.1858169999999999E-2</v>
      </c>
      <c r="BB240">
        <v>1.3350529999999999E-2</v>
      </c>
      <c r="BC240">
        <v>7.5053799999999999E-3</v>
      </c>
      <c r="BD240">
        <v>4.3863390000000002E-2</v>
      </c>
      <c r="BE240">
        <v>3.729259E-2</v>
      </c>
      <c r="BF240">
        <v>3.7763190000000002E-2</v>
      </c>
      <c r="BG240">
        <v>3.766543E-2</v>
      </c>
      <c r="BH240">
        <v>2.924001E-2</v>
      </c>
      <c r="BI240">
        <v>2.6609790000000001E-2</v>
      </c>
      <c r="BJ240">
        <v>2.2825930000000001E-2</v>
      </c>
      <c r="BK240">
        <v>6.1150429999999999E-2</v>
      </c>
      <c r="BL240">
        <v>5.502949E-2</v>
      </c>
      <c r="BM240">
        <v>5.7243410000000002E-2</v>
      </c>
      <c r="BN240">
        <v>1767</v>
      </c>
      <c r="BO240">
        <v>259.30374599999999</v>
      </c>
      <c r="BP240">
        <v>190</v>
      </c>
    </row>
    <row r="241" spans="1:68" x14ac:dyDescent="0.2">
      <c r="A241" t="s">
        <v>806</v>
      </c>
      <c r="B241">
        <v>244</v>
      </c>
      <c r="C241">
        <v>543</v>
      </c>
      <c r="D241">
        <v>1258</v>
      </c>
      <c r="E241">
        <v>916</v>
      </c>
      <c r="F241">
        <v>376</v>
      </c>
      <c r="G241">
        <v>753</v>
      </c>
      <c r="H241">
        <v>244</v>
      </c>
      <c r="I241">
        <v>197</v>
      </c>
      <c r="J241">
        <v>190</v>
      </c>
      <c r="K241">
        <v>117</v>
      </c>
      <c r="L241">
        <v>1682</v>
      </c>
      <c r="M241">
        <v>488</v>
      </c>
      <c r="N241">
        <v>704</v>
      </c>
      <c r="O241">
        <v>217</v>
      </c>
      <c r="P241">
        <v>93</v>
      </c>
      <c r="Q241">
        <v>1597</v>
      </c>
      <c r="R241">
        <v>776</v>
      </c>
      <c r="S241">
        <v>1327</v>
      </c>
      <c r="T241">
        <v>399</v>
      </c>
      <c r="U241">
        <v>109</v>
      </c>
      <c r="V241">
        <v>213.57442399999999</v>
      </c>
      <c r="W241">
        <v>230.92983100000001</v>
      </c>
      <c r="X241">
        <v>177.26820190000001</v>
      </c>
      <c r="Y241">
        <v>152.31882590000001</v>
      </c>
      <c r="Z241">
        <v>120.2466082</v>
      </c>
      <c r="AA241">
        <v>65</v>
      </c>
      <c r="AB241">
        <v>301.63857359999997</v>
      </c>
      <c r="AC241">
        <v>264.79656949999998</v>
      </c>
      <c r="AD241">
        <v>205.37042930000001</v>
      </c>
      <c r="AE241">
        <v>156.30362249999999</v>
      </c>
      <c r="AF241">
        <v>98.825775759999999</v>
      </c>
      <c r="AG241">
        <v>55</v>
      </c>
      <c r="AH241">
        <v>299.46805649999999</v>
      </c>
      <c r="AI241">
        <v>247.8571761</v>
      </c>
      <c r="AJ241">
        <v>201.25135549999999</v>
      </c>
      <c r="AK241">
        <v>169.2640936</v>
      </c>
      <c r="AL241">
        <v>112.8368238</v>
      </c>
      <c r="AM241">
        <v>55</v>
      </c>
      <c r="AN241">
        <v>262.02860399999997</v>
      </c>
      <c r="AO241">
        <v>185.85000669999999</v>
      </c>
      <c r="AP241">
        <v>185.34061510000001</v>
      </c>
      <c r="AQ241">
        <v>169.56574330000001</v>
      </c>
      <c r="AR241">
        <v>114.0020439</v>
      </c>
      <c r="AS241">
        <v>55</v>
      </c>
      <c r="AT241">
        <v>2.3626899999999999E-2</v>
      </c>
      <c r="AU241">
        <v>4.7776029999999997E-2</v>
      </c>
      <c r="AV241">
        <v>9.7875089999999998E-2</v>
      </c>
      <c r="AW241">
        <v>7.6042180000000001E-2</v>
      </c>
      <c r="AX241">
        <v>3.3121940000000002E-2</v>
      </c>
      <c r="AY241">
        <v>6.3819840000000003E-2</v>
      </c>
      <c r="AZ241">
        <v>2.0157100000000001E-2</v>
      </c>
      <c r="BA241">
        <v>1.791241E-2</v>
      </c>
      <c r="BB241">
        <v>1.503546E-2</v>
      </c>
      <c r="BC241">
        <v>1.111474E-2</v>
      </c>
      <c r="BD241">
        <v>0.13424920000000001</v>
      </c>
      <c r="BE241">
        <v>3.8757E-2</v>
      </c>
      <c r="BF241">
        <v>5.8816380000000001E-2</v>
      </c>
      <c r="BG241">
        <v>1.794894E-2</v>
      </c>
      <c r="BH241">
        <v>8.8282299999999994E-3</v>
      </c>
      <c r="BI241">
        <v>0.12375461</v>
      </c>
      <c r="BJ241">
        <v>6.0115439999999999E-2</v>
      </c>
      <c r="BK241">
        <v>0.10843416</v>
      </c>
      <c r="BL241">
        <v>3.263978E-2</v>
      </c>
      <c r="BM241">
        <v>9.9745700000000003E-3</v>
      </c>
      <c r="BN241">
        <v>1442</v>
      </c>
      <c r="BO241">
        <v>263.47289749999999</v>
      </c>
      <c r="BP241">
        <v>190</v>
      </c>
    </row>
    <row r="242" spans="1:68" x14ac:dyDescent="0.2">
      <c r="A242" t="s">
        <v>807</v>
      </c>
      <c r="B242">
        <v>74</v>
      </c>
      <c r="C242">
        <v>16</v>
      </c>
      <c r="D242">
        <v>518</v>
      </c>
      <c r="E242">
        <v>194</v>
      </c>
      <c r="F242">
        <v>298</v>
      </c>
      <c r="G242">
        <v>477</v>
      </c>
      <c r="H242">
        <v>142</v>
      </c>
      <c r="I242">
        <v>203</v>
      </c>
      <c r="J242">
        <v>197</v>
      </c>
      <c r="K242">
        <v>112</v>
      </c>
      <c r="L242">
        <v>452</v>
      </c>
      <c r="M242">
        <v>352</v>
      </c>
      <c r="N242">
        <v>910</v>
      </c>
      <c r="O242">
        <v>389</v>
      </c>
      <c r="P242">
        <v>114</v>
      </c>
      <c r="Q242">
        <v>367</v>
      </c>
      <c r="R242">
        <v>513</v>
      </c>
      <c r="S242">
        <v>1492</v>
      </c>
      <c r="T242">
        <v>494</v>
      </c>
      <c r="U242">
        <v>67</v>
      </c>
      <c r="V242">
        <v>222.18040239999999</v>
      </c>
      <c r="W242">
        <v>233.25751109999999</v>
      </c>
      <c r="X242">
        <v>168.91069909999999</v>
      </c>
      <c r="Y242">
        <v>181.67871790000001</v>
      </c>
      <c r="Z242">
        <v>121.3922164</v>
      </c>
      <c r="AA242">
        <v>65</v>
      </c>
      <c r="AB242">
        <v>280.33639640000001</v>
      </c>
      <c r="AC242">
        <v>289.24386939999999</v>
      </c>
      <c r="AD242">
        <v>218.5763307</v>
      </c>
      <c r="AE242">
        <v>149.07607400000001</v>
      </c>
      <c r="AF242">
        <v>120.24402379999999</v>
      </c>
      <c r="AG242">
        <v>55</v>
      </c>
      <c r="AH242">
        <v>285.2176255</v>
      </c>
      <c r="AI242">
        <v>226.47553160000001</v>
      </c>
      <c r="AJ242">
        <v>201.0777033</v>
      </c>
      <c r="AK242">
        <v>189.77220840000001</v>
      </c>
      <c r="AL242">
        <v>117.626529</v>
      </c>
      <c r="AM242">
        <v>55</v>
      </c>
      <c r="AN242">
        <v>289.62534349999999</v>
      </c>
      <c r="AO242">
        <v>192.451359</v>
      </c>
      <c r="AP242">
        <v>182.60779640000001</v>
      </c>
      <c r="AQ242">
        <v>181.8245666</v>
      </c>
      <c r="AR242">
        <v>113.60221679999999</v>
      </c>
      <c r="AS242">
        <v>55</v>
      </c>
      <c r="AT242">
        <v>1.0683659999999999E-2</v>
      </c>
      <c r="AU242">
        <v>2.1218299999999999E-3</v>
      </c>
      <c r="AV242">
        <v>6.832829E-2</v>
      </c>
      <c r="AW242">
        <v>2.7161870000000001E-2</v>
      </c>
      <c r="AX242">
        <v>4.6077229999999997E-2</v>
      </c>
      <c r="AY242">
        <v>6.4211900000000002E-2</v>
      </c>
      <c r="AZ242">
        <v>1.8805789999999999E-2</v>
      </c>
      <c r="BA242">
        <v>2.5597979999999999E-2</v>
      </c>
      <c r="BB242">
        <v>2.6447720000000001E-2</v>
      </c>
      <c r="BC242">
        <v>1.471038E-2</v>
      </c>
      <c r="BD242">
        <v>6.1764989999999999E-2</v>
      </c>
      <c r="BE242">
        <v>4.8532810000000003E-2</v>
      </c>
      <c r="BF242">
        <v>0.12052514</v>
      </c>
      <c r="BG242">
        <v>5.5267869999999997E-2</v>
      </c>
      <c r="BH242">
        <v>1.746319E-2</v>
      </c>
      <c r="BI242">
        <v>4.8071059999999999E-2</v>
      </c>
      <c r="BJ242">
        <v>6.6811400000000007E-2</v>
      </c>
      <c r="BK242">
        <v>0.19579061</v>
      </c>
      <c r="BL242">
        <v>7.2300400000000001E-2</v>
      </c>
      <c r="BM242">
        <v>9.3258799999999999E-3</v>
      </c>
      <c r="BN242">
        <v>879</v>
      </c>
      <c r="BO242">
        <v>283.36666609999997</v>
      </c>
      <c r="BP242">
        <v>190</v>
      </c>
    </row>
    <row r="243" spans="1:68" x14ac:dyDescent="0.2">
      <c r="A243" t="s">
        <v>808</v>
      </c>
      <c r="B243">
        <v>356</v>
      </c>
      <c r="C243">
        <v>1136</v>
      </c>
      <c r="D243">
        <v>1936</v>
      </c>
      <c r="E243">
        <v>460</v>
      </c>
      <c r="F243">
        <v>373</v>
      </c>
      <c r="G243">
        <v>124</v>
      </c>
      <c r="H243">
        <v>35</v>
      </c>
      <c r="I243">
        <v>44</v>
      </c>
      <c r="J243">
        <v>41</v>
      </c>
      <c r="K243">
        <v>36</v>
      </c>
      <c r="L243">
        <v>328</v>
      </c>
      <c r="M243">
        <v>311</v>
      </c>
      <c r="N243">
        <v>352</v>
      </c>
      <c r="O243">
        <v>197</v>
      </c>
      <c r="P243">
        <v>234</v>
      </c>
      <c r="Q243">
        <v>698</v>
      </c>
      <c r="R243">
        <v>567</v>
      </c>
      <c r="S243">
        <v>1076</v>
      </c>
      <c r="T243">
        <v>426</v>
      </c>
      <c r="U243">
        <v>460</v>
      </c>
      <c r="V243">
        <v>245.34182419999999</v>
      </c>
      <c r="W243">
        <v>229.38131730000001</v>
      </c>
      <c r="X243">
        <v>198.76144160000001</v>
      </c>
      <c r="Y243">
        <v>137.45878189999999</v>
      </c>
      <c r="Z243">
        <v>114.8937432</v>
      </c>
      <c r="AA243">
        <v>65</v>
      </c>
      <c r="AB243">
        <v>267.30891400000002</v>
      </c>
      <c r="AC243">
        <v>227.32499820000001</v>
      </c>
      <c r="AD243">
        <v>212.28822579999999</v>
      </c>
      <c r="AE243">
        <v>156.8762945</v>
      </c>
      <c r="AF243">
        <v>119.3840134</v>
      </c>
      <c r="AG243">
        <v>55</v>
      </c>
      <c r="AH243">
        <v>282.16027509999998</v>
      </c>
      <c r="AI243">
        <v>220.98147270000001</v>
      </c>
      <c r="AJ243">
        <v>208.3374857</v>
      </c>
      <c r="AK243">
        <v>164.2085817</v>
      </c>
      <c r="AL243">
        <v>117.0997721</v>
      </c>
      <c r="AM243">
        <v>55</v>
      </c>
      <c r="AN243">
        <v>281.41081759999997</v>
      </c>
      <c r="AO243">
        <v>192.40332520000001</v>
      </c>
      <c r="AP243">
        <v>191.919725</v>
      </c>
      <c r="AQ243">
        <v>162.03525550000001</v>
      </c>
      <c r="AR243">
        <v>116.5729465</v>
      </c>
      <c r="AS243">
        <v>55</v>
      </c>
      <c r="AT243">
        <v>3.8126720000000003E-2</v>
      </c>
      <c r="AU243">
        <v>0.12434919999999999</v>
      </c>
      <c r="AV243">
        <v>0.20657238</v>
      </c>
      <c r="AW243">
        <v>5.1662100000000002E-2</v>
      </c>
      <c r="AX243">
        <v>3.6313749999999999E-2</v>
      </c>
      <c r="AY243">
        <v>1.3665989999999999E-2</v>
      </c>
      <c r="AZ243">
        <v>4.0902600000000001E-3</v>
      </c>
      <c r="BA243">
        <v>4.7394100000000003E-3</v>
      </c>
      <c r="BB243">
        <v>4.4716399999999998E-3</v>
      </c>
      <c r="BC243">
        <v>3.75509E-3</v>
      </c>
      <c r="BD243">
        <v>3.3965790000000003E-2</v>
      </c>
      <c r="BE243">
        <v>3.2967459999999997E-2</v>
      </c>
      <c r="BF243">
        <v>4.0075979999999997E-2</v>
      </c>
      <c r="BG243">
        <v>2.1508949999999999E-2</v>
      </c>
      <c r="BH243">
        <v>2.4427029999999999E-2</v>
      </c>
      <c r="BI243">
        <v>7.4982850000000004E-2</v>
      </c>
      <c r="BJ243">
        <v>6.3549099999999997E-2</v>
      </c>
      <c r="BK243">
        <v>0.12536662000000001</v>
      </c>
      <c r="BL243">
        <v>4.7747480000000002E-2</v>
      </c>
      <c r="BM243">
        <v>4.7662200000000002E-2</v>
      </c>
      <c r="BN243">
        <v>0</v>
      </c>
      <c r="BO243">
        <v>235.73776140000001</v>
      </c>
      <c r="BP243">
        <v>190</v>
      </c>
    </row>
    <row r="244" spans="1:68" x14ac:dyDescent="0.2">
      <c r="A244" t="s">
        <v>809</v>
      </c>
      <c r="B244">
        <v>100</v>
      </c>
      <c r="C244">
        <v>93</v>
      </c>
      <c r="D244">
        <v>216</v>
      </c>
      <c r="E244">
        <v>211</v>
      </c>
      <c r="F244">
        <v>350</v>
      </c>
      <c r="G244">
        <v>1166</v>
      </c>
      <c r="H244">
        <v>523</v>
      </c>
      <c r="I244">
        <v>788</v>
      </c>
      <c r="J244">
        <v>513</v>
      </c>
      <c r="K244">
        <v>283</v>
      </c>
      <c r="L244">
        <v>260</v>
      </c>
      <c r="M244">
        <v>413</v>
      </c>
      <c r="N244">
        <v>1036</v>
      </c>
      <c r="O244">
        <v>563</v>
      </c>
      <c r="P244">
        <v>335</v>
      </c>
      <c r="Q244">
        <v>37</v>
      </c>
      <c r="R244">
        <v>123</v>
      </c>
      <c r="S244">
        <v>483</v>
      </c>
      <c r="T244">
        <v>431</v>
      </c>
      <c r="U244">
        <v>261</v>
      </c>
      <c r="V244">
        <v>265.88507679999998</v>
      </c>
      <c r="W244">
        <v>246.72151740000001</v>
      </c>
      <c r="X244">
        <v>179.8231868</v>
      </c>
      <c r="Y244">
        <v>136.1333181</v>
      </c>
      <c r="Z244">
        <v>122.2907579</v>
      </c>
      <c r="AA244">
        <v>65</v>
      </c>
      <c r="AB244">
        <v>307.82382000000001</v>
      </c>
      <c r="AC244">
        <v>286.58870080000003</v>
      </c>
      <c r="AD244">
        <v>227.3446017</v>
      </c>
      <c r="AE244">
        <v>149.8884726</v>
      </c>
      <c r="AF244">
        <v>132.9951925</v>
      </c>
      <c r="AG244">
        <v>55</v>
      </c>
      <c r="AH244">
        <v>310.84999599999998</v>
      </c>
      <c r="AI244">
        <v>262.45465840000003</v>
      </c>
      <c r="AJ244">
        <v>199.2236298</v>
      </c>
      <c r="AK244">
        <v>149.0690979</v>
      </c>
      <c r="AL244">
        <v>121.15955750000001</v>
      </c>
      <c r="AM244">
        <v>55</v>
      </c>
      <c r="AN244">
        <v>248.85447740000001</v>
      </c>
      <c r="AO244">
        <v>222.58510530000001</v>
      </c>
      <c r="AP244">
        <v>178.27147350000001</v>
      </c>
      <c r="AQ244">
        <v>145.1237419</v>
      </c>
      <c r="AR244">
        <v>116.5287862</v>
      </c>
      <c r="AS244">
        <v>55</v>
      </c>
      <c r="AT244">
        <v>1.1042990000000001E-2</v>
      </c>
      <c r="AU244">
        <v>7.6816999999999996E-3</v>
      </c>
      <c r="AV244">
        <v>2.6050819999999999E-2</v>
      </c>
      <c r="AW244">
        <v>2.3224390000000001E-2</v>
      </c>
      <c r="AX244">
        <v>4.0549269999999998E-2</v>
      </c>
      <c r="AY244">
        <v>0.14507126000000001</v>
      </c>
      <c r="AZ244">
        <v>6.4591689999999993E-2</v>
      </c>
      <c r="BA244">
        <v>9.7324209999999994E-2</v>
      </c>
      <c r="BB244">
        <v>6.6194249999999996E-2</v>
      </c>
      <c r="BC244">
        <v>3.089503E-2</v>
      </c>
      <c r="BD244">
        <v>3.3197659999999997E-2</v>
      </c>
      <c r="BE244">
        <v>5.1815109999999998E-2</v>
      </c>
      <c r="BF244">
        <v>0.12878459</v>
      </c>
      <c r="BG244">
        <v>7.3718110000000003E-2</v>
      </c>
      <c r="BH244">
        <v>3.7345820000000002E-2</v>
      </c>
      <c r="BI244">
        <v>4.5241700000000001E-3</v>
      </c>
      <c r="BJ244">
        <v>1.5477339999999999E-2</v>
      </c>
      <c r="BK244">
        <v>6.019588E-2</v>
      </c>
      <c r="BL244">
        <v>5.5493430000000003E-2</v>
      </c>
      <c r="BM244">
        <v>2.682228E-2</v>
      </c>
      <c r="BN244">
        <v>642</v>
      </c>
      <c r="BO244">
        <v>287.1700803</v>
      </c>
      <c r="BP244">
        <v>190</v>
      </c>
    </row>
    <row r="245" spans="1:68" x14ac:dyDescent="0.2">
      <c r="A245" t="s">
        <v>810</v>
      </c>
      <c r="B245">
        <v>200</v>
      </c>
      <c r="C245">
        <v>30</v>
      </c>
      <c r="D245">
        <v>131</v>
      </c>
      <c r="E245">
        <v>313</v>
      </c>
      <c r="F245">
        <v>89</v>
      </c>
      <c r="G245">
        <v>1319</v>
      </c>
      <c r="H245">
        <v>753</v>
      </c>
      <c r="I245">
        <v>990</v>
      </c>
      <c r="J245">
        <v>946</v>
      </c>
      <c r="K245">
        <v>186</v>
      </c>
      <c r="L245">
        <v>177</v>
      </c>
      <c r="M245">
        <v>363</v>
      </c>
      <c r="N245">
        <v>1036</v>
      </c>
      <c r="O245">
        <v>858</v>
      </c>
      <c r="P245">
        <v>176</v>
      </c>
      <c r="Q245">
        <v>27</v>
      </c>
      <c r="R245">
        <v>18</v>
      </c>
      <c r="S245">
        <v>524</v>
      </c>
      <c r="T245">
        <v>213</v>
      </c>
      <c r="U245">
        <v>65</v>
      </c>
      <c r="V245">
        <v>268.15816460000002</v>
      </c>
      <c r="W245">
        <v>259.37002949999999</v>
      </c>
      <c r="X245">
        <v>178.82730290000001</v>
      </c>
      <c r="Y245">
        <v>131.15076780000001</v>
      </c>
      <c r="Z245">
        <v>112.6051836</v>
      </c>
      <c r="AA245">
        <v>65</v>
      </c>
      <c r="AB245">
        <v>303.16592650000001</v>
      </c>
      <c r="AC245">
        <v>270.82677899999999</v>
      </c>
      <c r="AD245">
        <v>225.69783620000001</v>
      </c>
      <c r="AE245">
        <v>158.72060500000001</v>
      </c>
      <c r="AF245">
        <v>124.23798909999999</v>
      </c>
      <c r="AG245">
        <v>55</v>
      </c>
      <c r="AH245">
        <v>276.89448329999999</v>
      </c>
      <c r="AI245">
        <v>249.22067559999999</v>
      </c>
      <c r="AJ245">
        <v>192.04308349999999</v>
      </c>
      <c r="AK245">
        <v>164.090732</v>
      </c>
      <c r="AL245">
        <v>116.496313</v>
      </c>
      <c r="AM245">
        <v>55</v>
      </c>
      <c r="AN245">
        <v>247.06238210000001</v>
      </c>
      <c r="AO245">
        <v>168.45626429999999</v>
      </c>
      <c r="AP245">
        <v>165.46336249999999</v>
      </c>
      <c r="AQ245">
        <v>156.5273856</v>
      </c>
      <c r="AR245">
        <v>113.45280529999999</v>
      </c>
      <c r="AS245">
        <v>55</v>
      </c>
      <c r="AT245">
        <v>2.4330830000000001E-2</v>
      </c>
      <c r="AU245">
        <v>3.6228599999999999E-3</v>
      </c>
      <c r="AV245">
        <v>1.411304E-2</v>
      </c>
      <c r="AW245">
        <v>3.7498579999999997E-2</v>
      </c>
      <c r="AX245">
        <v>1.001167E-2</v>
      </c>
      <c r="AY245">
        <v>0.15596871000000001</v>
      </c>
      <c r="AZ245">
        <v>8.7936399999999998E-2</v>
      </c>
      <c r="BA245">
        <v>0.11874253</v>
      </c>
      <c r="BB245">
        <v>0.11272102000000001</v>
      </c>
      <c r="BC245">
        <v>2.0794119999999999E-2</v>
      </c>
      <c r="BD245">
        <v>2.141272E-2</v>
      </c>
      <c r="BE245">
        <v>4.0776220000000002E-2</v>
      </c>
      <c r="BF245">
        <v>0.12544179999999999</v>
      </c>
      <c r="BG245">
        <v>0.10615177000000001</v>
      </c>
      <c r="BH245">
        <v>2.061988E-2</v>
      </c>
      <c r="BI245">
        <v>2.98248E-3</v>
      </c>
      <c r="BJ245">
        <v>2.2959399999999998E-3</v>
      </c>
      <c r="BK245">
        <v>6.0934500000000003E-2</v>
      </c>
      <c r="BL245">
        <v>2.4815830000000001E-2</v>
      </c>
      <c r="BM245">
        <v>8.8290999999999994E-3</v>
      </c>
      <c r="BN245">
        <v>1827</v>
      </c>
      <c r="BO245">
        <v>303.73033930000003</v>
      </c>
      <c r="BP245">
        <v>190</v>
      </c>
    </row>
    <row r="246" spans="1:68" x14ac:dyDescent="0.2">
      <c r="A246" t="s">
        <v>811</v>
      </c>
      <c r="B246">
        <v>19</v>
      </c>
      <c r="C246">
        <v>4</v>
      </c>
      <c r="D246">
        <v>321</v>
      </c>
      <c r="E246">
        <v>246</v>
      </c>
      <c r="F246">
        <v>278</v>
      </c>
      <c r="G246">
        <v>139</v>
      </c>
      <c r="H246">
        <v>76</v>
      </c>
      <c r="I246">
        <v>174</v>
      </c>
      <c r="J246">
        <v>172</v>
      </c>
      <c r="K246">
        <v>45</v>
      </c>
      <c r="L246">
        <v>131</v>
      </c>
      <c r="M246">
        <v>205</v>
      </c>
      <c r="N246">
        <v>1028</v>
      </c>
      <c r="O246">
        <v>599</v>
      </c>
      <c r="P246">
        <v>142</v>
      </c>
      <c r="Q246">
        <v>5</v>
      </c>
      <c r="R246">
        <v>34</v>
      </c>
      <c r="S246">
        <v>1886</v>
      </c>
      <c r="T246">
        <v>1103</v>
      </c>
      <c r="U246">
        <v>123</v>
      </c>
      <c r="V246">
        <v>346.77419350000002</v>
      </c>
      <c r="W246">
        <v>0</v>
      </c>
      <c r="X246">
        <v>135.48043340000001</v>
      </c>
      <c r="Y246">
        <v>166.75119659999999</v>
      </c>
      <c r="Z246">
        <v>113.8841164</v>
      </c>
      <c r="AA246">
        <v>65</v>
      </c>
      <c r="AB246">
        <v>318.98946389999998</v>
      </c>
      <c r="AC246">
        <v>252.4927361</v>
      </c>
      <c r="AD246">
        <v>201.16826589999999</v>
      </c>
      <c r="AE246">
        <v>137.22705060000001</v>
      </c>
      <c r="AF246">
        <v>111.0409751</v>
      </c>
      <c r="AG246">
        <v>55</v>
      </c>
      <c r="AH246">
        <v>294.79323470000003</v>
      </c>
      <c r="AI246">
        <v>177.66391379999999</v>
      </c>
      <c r="AJ246">
        <v>202.56272580000001</v>
      </c>
      <c r="AK246">
        <v>176.63434319999999</v>
      </c>
      <c r="AL246">
        <v>120.86224730000001</v>
      </c>
      <c r="AM246">
        <v>55</v>
      </c>
      <c r="AN246">
        <v>188.2033898</v>
      </c>
      <c r="AO246">
        <v>187.5131279</v>
      </c>
      <c r="AP246">
        <v>191.18342849999999</v>
      </c>
      <c r="AQ246">
        <v>177.6691218</v>
      </c>
      <c r="AR246">
        <v>128.19981870000001</v>
      </c>
      <c r="AS246">
        <v>55</v>
      </c>
      <c r="AT246">
        <v>2.8214400000000001E-3</v>
      </c>
      <c r="AU246">
        <v>9.4848000000000003E-4</v>
      </c>
      <c r="AV246">
        <v>4.7488250000000003E-2</v>
      </c>
      <c r="AW246">
        <v>4.0641780000000002E-2</v>
      </c>
      <c r="AX246">
        <v>5.1233399999999998E-2</v>
      </c>
      <c r="AY246">
        <v>2.0476640000000001E-2</v>
      </c>
      <c r="AZ246">
        <v>9.6047300000000006E-3</v>
      </c>
      <c r="BA246">
        <v>2.6492189999999999E-2</v>
      </c>
      <c r="BB246">
        <v>2.690205E-2</v>
      </c>
      <c r="BC246">
        <v>7.4750600000000004E-3</v>
      </c>
      <c r="BD246">
        <v>1.9006740000000001E-2</v>
      </c>
      <c r="BE246">
        <v>2.842913E-2</v>
      </c>
      <c r="BF246">
        <v>0.14770417999999999</v>
      </c>
      <c r="BG246">
        <v>9.0948280000000006E-2</v>
      </c>
      <c r="BH246">
        <v>2.1478299999999999E-2</v>
      </c>
      <c r="BI246">
        <v>6.0738999999999997E-4</v>
      </c>
      <c r="BJ246">
        <v>4.4228999999999996E-3</v>
      </c>
      <c r="BK246">
        <v>0.27025131000000002</v>
      </c>
      <c r="BL246">
        <v>0.16666853000000001</v>
      </c>
      <c r="BM246">
        <v>1.6399219999999999E-2</v>
      </c>
      <c r="BN246">
        <v>330</v>
      </c>
      <c r="BO246">
        <v>293.40019239999998</v>
      </c>
      <c r="BP246">
        <v>190</v>
      </c>
    </row>
    <row r="247" spans="1:68" x14ac:dyDescent="0.2">
      <c r="A247" t="s">
        <v>812</v>
      </c>
      <c r="B247">
        <v>427</v>
      </c>
      <c r="C247">
        <v>440</v>
      </c>
      <c r="D247">
        <v>3253</v>
      </c>
      <c r="E247">
        <v>3396</v>
      </c>
      <c r="F247">
        <v>3175</v>
      </c>
      <c r="G247">
        <v>1080</v>
      </c>
      <c r="H247">
        <v>809</v>
      </c>
      <c r="I247">
        <v>1621</v>
      </c>
      <c r="J247">
        <v>1158</v>
      </c>
      <c r="K247">
        <v>785</v>
      </c>
      <c r="L247">
        <v>1554</v>
      </c>
      <c r="M247">
        <v>1523</v>
      </c>
      <c r="N247">
        <v>2909</v>
      </c>
      <c r="O247">
        <v>2231</v>
      </c>
      <c r="P247">
        <v>1667</v>
      </c>
      <c r="Q247">
        <v>1775</v>
      </c>
      <c r="R247">
        <v>2902</v>
      </c>
      <c r="S247">
        <v>6938</v>
      </c>
      <c r="T247">
        <v>4908</v>
      </c>
      <c r="U247">
        <v>2769</v>
      </c>
      <c r="V247">
        <v>245.28641150000001</v>
      </c>
      <c r="W247">
        <v>243.4581675</v>
      </c>
      <c r="X247">
        <v>184.09576440000001</v>
      </c>
      <c r="Y247">
        <v>160.70449310000001</v>
      </c>
      <c r="Z247">
        <v>116.1836935</v>
      </c>
      <c r="AA247">
        <v>65</v>
      </c>
      <c r="AB247">
        <v>312.40223300000002</v>
      </c>
      <c r="AC247">
        <v>282.36592419999999</v>
      </c>
      <c r="AD247">
        <v>231.44460359999999</v>
      </c>
      <c r="AE247">
        <v>157.2516339</v>
      </c>
      <c r="AF247">
        <v>116.2112553</v>
      </c>
      <c r="AG247">
        <v>55</v>
      </c>
      <c r="AH247">
        <v>296.37997810000002</v>
      </c>
      <c r="AI247">
        <v>249.7390441</v>
      </c>
      <c r="AJ247">
        <v>208.4096318</v>
      </c>
      <c r="AK247">
        <v>158.61219109999999</v>
      </c>
      <c r="AL247">
        <v>116.7189662</v>
      </c>
      <c r="AM247">
        <v>55</v>
      </c>
      <c r="AN247">
        <v>281.71461679999999</v>
      </c>
      <c r="AO247">
        <v>224.99555090000001</v>
      </c>
      <c r="AP247">
        <v>190.93065999999999</v>
      </c>
      <c r="AQ247">
        <v>157.86844500000001</v>
      </c>
      <c r="AR247">
        <v>113.997614</v>
      </c>
      <c r="AS247">
        <v>55</v>
      </c>
      <c r="AT247">
        <v>9.1231000000000003E-3</v>
      </c>
      <c r="AU247">
        <v>1.010991E-2</v>
      </c>
      <c r="AV247">
        <v>7.2750579999999995E-2</v>
      </c>
      <c r="AW247">
        <v>7.4707469999999998E-2</v>
      </c>
      <c r="AX247">
        <v>6.764771E-2</v>
      </c>
      <c r="AY247">
        <v>2.4747160000000001E-2</v>
      </c>
      <c r="AZ247">
        <v>1.864352E-2</v>
      </c>
      <c r="BA247">
        <v>3.5917449999999997E-2</v>
      </c>
      <c r="BB247">
        <v>2.5437379999999999E-2</v>
      </c>
      <c r="BC247">
        <v>1.6605740000000001E-2</v>
      </c>
      <c r="BD247">
        <v>3.4688370000000003E-2</v>
      </c>
      <c r="BE247">
        <v>3.3562290000000002E-2</v>
      </c>
      <c r="BF247">
        <v>6.5979899999999994E-2</v>
      </c>
      <c r="BG247">
        <v>4.8865510000000001E-2</v>
      </c>
      <c r="BH247">
        <v>3.4421739999999999E-2</v>
      </c>
      <c r="BI247">
        <v>4.0804689999999998E-2</v>
      </c>
      <c r="BJ247">
        <v>6.4873539999999993E-2</v>
      </c>
      <c r="BK247">
        <v>0.15840449000000001</v>
      </c>
      <c r="BL247">
        <v>0.10529068</v>
      </c>
      <c r="BM247">
        <v>5.7418770000000001E-2</v>
      </c>
      <c r="BN247">
        <v>4353</v>
      </c>
      <c r="BO247">
        <v>219.63191710000001</v>
      </c>
      <c r="BP247">
        <v>190</v>
      </c>
    </row>
    <row r="248" spans="1:68" x14ac:dyDescent="0.2">
      <c r="A248" t="s">
        <v>813</v>
      </c>
      <c r="B248">
        <v>69</v>
      </c>
      <c r="C248">
        <v>38</v>
      </c>
      <c r="D248">
        <v>351</v>
      </c>
      <c r="E248">
        <v>487</v>
      </c>
      <c r="F248">
        <v>314</v>
      </c>
      <c r="G248">
        <v>2463</v>
      </c>
      <c r="H248">
        <v>472</v>
      </c>
      <c r="I248">
        <v>740</v>
      </c>
      <c r="J248">
        <v>862</v>
      </c>
      <c r="K248">
        <v>335</v>
      </c>
      <c r="L248">
        <v>380</v>
      </c>
      <c r="M248">
        <v>638</v>
      </c>
      <c r="N248">
        <v>1317</v>
      </c>
      <c r="O248">
        <v>632</v>
      </c>
      <c r="P248">
        <v>340</v>
      </c>
      <c r="Q248">
        <v>41</v>
      </c>
      <c r="R248">
        <v>414</v>
      </c>
      <c r="S248">
        <v>1323</v>
      </c>
      <c r="T248">
        <v>199</v>
      </c>
      <c r="U248">
        <v>187</v>
      </c>
      <c r="V248">
        <v>235.0566134</v>
      </c>
      <c r="W248">
        <v>199.70216049999999</v>
      </c>
      <c r="X248">
        <v>191.66424459999999</v>
      </c>
      <c r="Y248">
        <v>132.27520250000001</v>
      </c>
      <c r="Z248">
        <v>114.4249951</v>
      </c>
      <c r="AA248">
        <v>65</v>
      </c>
      <c r="AB248">
        <v>298.96621900000002</v>
      </c>
      <c r="AC248">
        <v>290.59792720000002</v>
      </c>
      <c r="AD248">
        <v>222.8975092</v>
      </c>
      <c r="AE248">
        <v>146.52254160000001</v>
      </c>
      <c r="AF248">
        <v>116.22877699999999</v>
      </c>
      <c r="AG248">
        <v>55</v>
      </c>
      <c r="AH248">
        <v>293.18394480000001</v>
      </c>
      <c r="AI248">
        <v>226.6189291</v>
      </c>
      <c r="AJ248">
        <v>205.31576440000001</v>
      </c>
      <c r="AK248">
        <v>160.42550120000001</v>
      </c>
      <c r="AL248">
        <v>117.2860735</v>
      </c>
      <c r="AM248">
        <v>55</v>
      </c>
      <c r="AN248">
        <v>255.00604569999999</v>
      </c>
      <c r="AO248">
        <v>199.9695461</v>
      </c>
      <c r="AP248">
        <v>182.42823189999999</v>
      </c>
      <c r="AQ248">
        <v>160.6583359</v>
      </c>
      <c r="AR248">
        <v>113.8449803</v>
      </c>
      <c r="AS248">
        <v>55</v>
      </c>
      <c r="AT248">
        <v>5.4500299999999998E-3</v>
      </c>
      <c r="AU248">
        <v>2.9058500000000002E-3</v>
      </c>
      <c r="AV248">
        <v>2.8497539999999998E-2</v>
      </c>
      <c r="AW248">
        <v>4.3287060000000002E-2</v>
      </c>
      <c r="AX248">
        <v>2.327951E-2</v>
      </c>
      <c r="AY248">
        <v>0.21860508000000001</v>
      </c>
      <c r="AZ248">
        <v>4.0956300000000001E-2</v>
      </c>
      <c r="BA248">
        <v>6.4737509999999998E-2</v>
      </c>
      <c r="BB248">
        <v>7.9791280000000006E-2</v>
      </c>
      <c r="BC248">
        <v>2.8482250000000001E-2</v>
      </c>
      <c r="BD248">
        <v>2.9664449999999998E-2</v>
      </c>
      <c r="BE248">
        <v>5.5460620000000002E-2</v>
      </c>
      <c r="BF248">
        <v>0.11207615</v>
      </c>
      <c r="BG248">
        <v>5.6906369999999998E-2</v>
      </c>
      <c r="BH248">
        <v>2.8990519999999999E-2</v>
      </c>
      <c r="BI248">
        <v>3.1557500000000001E-3</v>
      </c>
      <c r="BJ248">
        <v>3.5036360000000003E-2</v>
      </c>
      <c r="BK248">
        <v>0.11161799999999999</v>
      </c>
      <c r="BL248">
        <v>1.666635E-2</v>
      </c>
      <c r="BM248">
        <v>1.443302E-2</v>
      </c>
      <c r="BN248">
        <v>1322</v>
      </c>
      <c r="BO248">
        <v>244.4152947</v>
      </c>
      <c r="BP248">
        <v>190</v>
      </c>
    </row>
    <row r="249" spans="1:68" x14ac:dyDescent="0.2">
      <c r="A249" t="s">
        <v>814</v>
      </c>
      <c r="B249">
        <v>54</v>
      </c>
      <c r="C249">
        <v>41</v>
      </c>
      <c r="D249">
        <v>321</v>
      </c>
      <c r="E249">
        <v>304</v>
      </c>
      <c r="F249">
        <v>460</v>
      </c>
      <c r="G249">
        <v>890</v>
      </c>
      <c r="H249">
        <v>417</v>
      </c>
      <c r="I249">
        <v>504</v>
      </c>
      <c r="J249">
        <v>400</v>
      </c>
      <c r="K249">
        <v>298</v>
      </c>
      <c r="L249">
        <v>162</v>
      </c>
      <c r="M249">
        <v>265</v>
      </c>
      <c r="N249">
        <v>592</v>
      </c>
      <c r="O249">
        <v>282</v>
      </c>
      <c r="P249">
        <v>82</v>
      </c>
      <c r="Q249">
        <v>30</v>
      </c>
      <c r="R249">
        <v>213</v>
      </c>
      <c r="S249">
        <v>1005</v>
      </c>
      <c r="T249">
        <v>435</v>
      </c>
      <c r="U249">
        <v>121</v>
      </c>
      <c r="V249">
        <v>336.69062680000002</v>
      </c>
      <c r="W249">
        <v>189.5521368</v>
      </c>
      <c r="X249">
        <v>178.45236180000001</v>
      </c>
      <c r="Y249">
        <v>164.39974559999999</v>
      </c>
      <c r="Z249">
        <v>85.923495090000003</v>
      </c>
      <c r="AA249">
        <v>65</v>
      </c>
      <c r="AB249">
        <v>311.90831800000001</v>
      </c>
      <c r="AC249">
        <v>277.05706839999999</v>
      </c>
      <c r="AD249">
        <v>220.27909389999999</v>
      </c>
      <c r="AE249">
        <v>153.59338980000001</v>
      </c>
      <c r="AF249">
        <v>115.36847899999999</v>
      </c>
      <c r="AG249">
        <v>55</v>
      </c>
      <c r="AH249">
        <v>308.97263329999998</v>
      </c>
      <c r="AI249">
        <v>267.82524430000001</v>
      </c>
      <c r="AJ249">
        <v>212.4653534</v>
      </c>
      <c r="AK249">
        <v>166.97485019999999</v>
      </c>
      <c r="AL249">
        <v>116.84042479999999</v>
      </c>
      <c r="AM249">
        <v>55</v>
      </c>
      <c r="AN249">
        <v>245.01787429999999</v>
      </c>
      <c r="AO249">
        <v>250.83568510000001</v>
      </c>
      <c r="AP249">
        <v>204.99741449999999</v>
      </c>
      <c r="AQ249">
        <v>165.5187616</v>
      </c>
      <c r="AR249">
        <v>113.2959402</v>
      </c>
      <c r="AS249">
        <v>55</v>
      </c>
      <c r="AT249">
        <v>6.3412E-3</v>
      </c>
      <c r="AU249">
        <v>6.4756400000000004E-3</v>
      </c>
      <c r="AV249">
        <v>4.8854990000000001E-2</v>
      </c>
      <c r="AW249">
        <v>3.1696219999999997E-2</v>
      </c>
      <c r="AX249">
        <v>6.9629389999999999E-2</v>
      </c>
      <c r="AY249">
        <v>0.12967115000000001</v>
      </c>
      <c r="AZ249">
        <v>6.0582240000000002E-2</v>
      </c>
      <c r="BA249">
        <v>7.7993010000000002E-2</v>
      </c>
      <c r="BB249">
        <v>5.4801900000000001E-2</v>
      </c>
      <c r="BC249">
        <v>4.2543959999999999E-2</v>
      </c>
      <c r="BD249">
        <v>2.4788669999999999E-2</v>
      </c>
      <c r="BE249">
        <v>4.0409059999999997E-2</v>
      </c>
      <c r="BF249">
        <v>9.0870999999999993E-2</v>
      </c>
      <c r="BG249">
        <v>3.9851329999999997E-2</v>
      </c>
      <c r="BH249">
        <v>1.2131339999999999E-2</v>
      </c>
      <c r="BI249">
        <v>4.8541799999999996E-3</v>
      </c>
      <c r="BJ249">
        <v>3.05694E-2</v>
      </c>
      <c r="BK249">
        <v>0.15111303000000001</v>
      </c>
      <c r="BL249">
        <v>5.8354839999999998E-2</v>
      </c>
      <c r="BM249">
        <v>1.846745E-2</v>
      </c>
      <c r="BN249">
        <v>0</v>
      </c>
      <c r="BO249">
        <v>0</v>
      </c>
      <c r="BP249">
        <v>190</v>
      </c>
    </row>
    <row r="250" spans="1:68" x14ac:dyDescent="0.2">
      <c r="A250" t="s">
        <v>815</v>
      </c>
      <c r="B250">
        <v>102</v>
      </c>
      <c r="C250">
        <v>78</v>
      </c>
      <c r="D250">
        <v>216</v>
      </c>
      <c r="E250">
        <v>460</v>
      </c>
      <c r="F250">
        <v>503</v>
      </c>
      <c r="G250">
        <v>633</v>
      </c>
      <c r="H250">
        <v>383</v>
      </c>
      <c r="I250">
        <v>852</v>
      </c>
      <c r="J250">
        <v>841</v>
      </c>
      <c r="K250">
        <v>416</v>
      </c>
      <c r="L250">
        <v>311</v>
      </c>
      <c r="M250">
        <v>647</v>
      </c>
      <c r="N250">
        <v>1645</v>
      </c>
      <c r="O250">
        <v>783</v>
      </c>
      <c r="P250">
        <v>249</v>
      </c>
      <c r="Q250">
        <v>30</v>
      </c>
      <c r="R250">
        <v>222</v>
      </c>
      <c r="S250">
        <v>798</v>
      </c>
      <c r="T250">
        <v>490</v>
      </c>
      <c r="U250">
        <v>215</v>
      </c>
      <c r="V250">
        <v>266.41577740000002</v>
      </c>
      <c r="W250">
        <v>297.77790160000001</v>
      </c>
      <c r="X250">
        <v>177.78608399999999</v>
      </c>
      <c r="Y250">
        <v>153.4321253</v>
      </c>
      <c r="Z250">
        <v>123.7531877</v>
      </c>
      <c r="AA250">
        <v>65</v>
      </c>
      <c r="AB250">
        <v>306.84017549999999</v>
      </c>
      <c r="AC250">
        <v>261.67885699999999</v>
      </c>
      <c r="AD250">
        <v>214.66746119999999</v>
      </c>
      <c r="AE250">
        <v>154.1331582</v>
      </c>
      <c r="AF250">
        <v>117.920233</v>
      </c>
      <c r="AG250">
        <v>55</v>
      </c>
      <c r="AH250">
        <v>307.53510119999999</v>
      </c>
      <c r="AI250">
        <v>259.73597169999999</v>
      </c>
      <c r="AJ250">
        <v>194.59825670000001</v>
      </c>
      <c r="AK250">
        <v>164.1256727</v>
      </c>
      <c r="AL250">
        <v>117.6671863</v>
      </c>
      <c r="AM250">
        <v>55</v>
      </c>
      <c r="AN250">
        <v>298.08277440000001</v>
      </c>
      <c r="AO250">
        <v>247.48602080000001</v>
      </c>
      <c r="AP250">
        <v>178.04214210000001</v>
      </c>
      <c r="AQ250">
        <v>156.39614510000001</v>
      </c>
      <c r="AR250">
        <v>115.0697219</v>
      </c>
      <c r="AS250">
        <v>55</v>
      </c>
      <c r="AT250">
        <v>1.023376E-2</v>
      </c>
      <c r="AU250">
        <v>8.0182799999999992E-3</v>
      </c>
      <c r="AV250">
        <v>2.1364480000000002E-2</v>
      </c>
      <c r="AW250">
        <v>4.7480120000000001E-2</v>
      </c>
      <c r="AX250">
        <v>5.0857189999999997E-2</v>
      </c>
      <c r="AY250">
        <v>6.5801860000000004E-2</v>
      </c>
      <c r="AZ250">
        <v>4.3992780000000002E-2</v>
      </c>
      <c r="BA250">
        <v>8.2916719999999999E-2</v>
      </c>
      <c r="BB250">
        <v>8.3636230000000006E-2</v>
      </c>
      <c r="BC250">
        <v>4.4442089999999997E-2</v>
      </c>
      <c r="BD250">
        <v>3.310254E-2</v>
      </c>
      <c r="BE250">
        <v>7.3164489999999999E-2</v>
      </c>
      <c r="BF250">
        <v>0.16329915</v>
      </c>
      <c r="BG250">
        <v>7.2652129999999995E-2</v>
      </c>
      <c r="BH250">
        <v>2.5333080000000001E-2</v>
      </c>
      <c r="BI250">
        <v>3.4687400000000001E-3</v>
      </c>
      <c r="BJ250">
        <v>2.5871539999999998E-2</v>
      </c>
      <c r="BK250">
        <v>7.8009780000000001E-2</v>
      </c>
      <c r="BL250">
        <v>4.6232420000000003E-2</v>
      </c>
      <c r="BM250">
        <v>2.0122620000000001E-2</v>
      </c>
      <c r="BN250">
        <v>1420</v>
      </c>
      <c r="BO250">
        <v>280.76700319999998</v>
      </c>
      <c r="BP250">
        <v>190</v>
      </c>
    </row>
    <row r="251" spans="1:68" x14ac:dyDescent="0.2">
      <c r="A251" t="s">
        <v>816</v>
      </c>
      <c r="B251">
        <v>108</v>
      </c>
      <c r="C251">
        <v>86</v>
      </c>
      <c r="D251">
        <v>1309</v>
      </c>
      <c r="E251">
        <v>635</v>
      </c>
      <c r="F251">
        <v>1048</v>
      </c>
      <c r="G251">
        <v>599</v>
      </c>
      <c r="H251">
        <v>383</v>
      </c>
      <c r="I251">
        <v>915</v>
      </c>
      <c r="J251">
        <v>836</v>
      </c>
      <c r="K251">
        <v>291</v>
      </c>
      <c r="L251">
        <v>336</v>
      </c>
      <c r="M251">
        <v>654</v>
      </c>
      <c r="N251">
        <v>2271</v>
      </c>
      <c r="O251">
        <v>1582</v>
      </c>
      <c r="P251">
        <v>474</v>
      </c>
      <c r="Q251">
        <v>43</v>
      </c>
      <c r="R251">
        <v>377</v>
      </c>
      <c r="S251">
        <v>3103</v>
      </c>
      <c r="T251">
        <v>2388</v>
      </c>
      <c r="U251">
        <v>557</v>
      </c>
      <c r="V251">
        <v>241.12108599999999</v>
      </c>
      <c r="W251">
        <v>141.2190014</v>
      </c>
      <c r="X251">
        <v>170.5551116</v>
      </c>
      <c r="Y251">
        <v>136.23474210000001</v>
      </c>
      <c r="Z251">
        <v>108.64041279999999</v>
      </c>
      <c r="AA251">
        <v>65</v>
      </c>
      <c r="AB251">
        <v>310.42573820000001</v>
      </c>
      <c r="AC251">
        <v>270.87681989999999</v>
      </c>
      <c r="AD251">
        <v>216.05251250000001</v>
      </c>
      <c r="AE251">
        <v>147.66485900000001</v>
      </c>
      <c r="AF251">
        <v>117.5835457</v>
      </c>
      <c r="AG251">
        <v>55</v>
      </c>
      <c r="AH251">
        <v>301.43281919999998</v>
      </c>
      <c r="AI251">
        <v>205.44891749999999</v>
      </c>
      <c r="AJ251">
        <v>179.59803840000001</v>
      </c>
      <c r="AK251">
        <v>162.79810459999999</v>
      </c>
      <c r="AL251">
        <v>116.2388656</v>
      </c>
      <c r="AM251">
        <v>55</v>
      </c>
      <c r="AN251">
        <v>281.5023443</v>
      </c>
      <c r="AO251">
        <v>199.41571669999999</v>
      </c>
      <c r="AP251">
        <v>162.61785639999999</v>
      </c>
      <c r="AQ251">
        <v>159.49354339999999</v>
      </c>
      <c r="AR251">
        <v>116.0188836</v>
      </c>
      <c r="AS251">
        <v>55</v>
      </c>
      <c r="AT251">
        <v>6.0853900000000004E-3</v>
      </c>
      <c r="AU251">
        <v>5.2462799999999999E-3</v>
      </c>
      <c r="AV251">
        <v>7.084406E-2</v>
      </c>
      <c r="AW251">
        <v>3.5599609999999997E-2</v>
      </c>
      <c r="AX251">
        <v>6.1507840000000001E-2</v>
      </c>
      <c r="AY251">
        <v>3.419734E-2</v>
      </c>
      <c r="AZ251">
        <v>2.1014310000000001E-2</v>
      </c>
      <c r="BA251">
        <v>5.134582E-2</v>
      </c>
      <c r="BB251">
        <v>4.716791E-2</v>
      </c>
      <c r="BC251">
        <v>1.6722330000000001E-2</v>
      </c>
      <c r="BD251">
        <v>1.8468769999999999E-2</v>
      </c>
      <c r="BE251">
        <v>3.4120780000000003E-2</v>
      </c>
      <c r="BF251">
        <v>0.12451102</v>
      </c>
      <c r="BG251">
        <v>9.1269790000000003E-2</v>
      </c>
      <c r="BH251">
        <v>2.7412479999999999E-2</v>
      </c>
      <c r="BI251">
        <v>2.57333E-3</v>
      </c>
      <c r="BJ251">
        <v>2.1257890000000002E-2</v>
      </c>
      <c r="BK251">
        <v>0.16731206000000001</v>
      </c>
      <c r="BL251">
        <v>0.13286392</v>
      </c>
      <c r="BM251">
        <v>3.047907E-2</v>
      </c>
      <c r="BN251">
        <v>1664</v>
      </c>
      <c r="BO251">
        <v>225.54783860000001</v>
      </c>
      <c r="BP251">
        <v>190</v>
      </c>
    </row>
    <row r="252" spans="1:68" x14ac:dyDescent="0.2">
      <c r="A252" t="s">
        <v>817</v>
      </c>
      <c r="B252">
        <v>243</v>
      </c>
      <c r="C252">
        <v>75</v>
      </c>
      <c r="D252">
        <v>454</v>
      </c>
      <c r="E252">
        <v>421</v>
      </c>
      <c r="F252">
        <v>475</v>
      </c>
      <c r="G252">
        <v>654</v>
      </c>
      <c r="H252">
        <v>253</v>
      </c>
      <c r="I252">
        <v>354</v>
      </c>
      <c r="J252">
        <v>461</v>
      </c>
      <c r="K252">
        <v>237</v>
      </c>
      <c r="L252">
        <v>632</v>
      </c>
      <c r="M252">
        <v>928</v>
      </c>
      <c r="N252">
        <v>1016</v>
      </c>
      <c r="O252">
        <v>584</v>
      </c>
      <c r="P252">
        <v>175</v>
      </c>
      <c r="Q252">
        <v>268</v>
      </c>
      <c r="R252">
        <v>988</v>
      </c>
      <c r="S252">
        <v>1634</v>
      </c>
      <c r="T252">
        <v>587</v>
      </c>
      <c r="U252">
        <v>238</v>
      </c>
      <c r="V252">
        <v>276.02850960000001</v>
      </c>
      <c r="W252">
        <v>248.54085000000001</v>
      </c>
      <c r="X252">
        <v>176.8124096</v>
      </c>
      <c r="Y252">
        <v>155.1394286</v>
      </c>
      <c r="Z252">
        <v>117.8980543</v>
      </c>
      <c r="AA252">
        <v>65</v>
      </c>
      <c r="AB252">
        <v>281.0207671</v>
      </c>
      <c r="AC252">
        <v>268.11706370000002</v>
      </c>
      <c r="AD252">
        <v>213.44943180000001</v>
      </c>
      <c r="AE252">
        <v>157.06047430000001</v>
      </c>
      <c r="AF252">
        <v>117.3113393</v>
      </c>
      <c r="AG252">
        <v>55</v>
      </c>
      <c r="AH252">
        <v>277.64977670000002</v>
      </c>
      <c r="AI252">
        <v>244.31454199999999</v>
      </c>
      <c r="AJ252">
        <v>202.99849219999999</v>
      </c>
      <c r="AK252">
        <v>170.4366569</v>
      </c>
      <c r="AL252">
        <v>120.30812469999999</v>
      </c>
      <c r="AM252">
        <v>55</v>
      </c>
      <c r="AN252">
        <v>294.33821949999998</v>
      </c>
      <c r="AO252">
        <v>228.23988270000001</v>
      </c>
      <c r="AP252">
        <v>178.97742439999999</v>
      </c>
      <c r="AQ252">
        <v>172.4474361</v>
      </c>
      <c r="AR252">
        <v>116.74918169999999</v>
      </c>
      <c r="AS252">
        <v>55</v>
      </c>
      <c r="AT252">
        <v>2.4360300000000001E-2</v>
      </c>
      <c r="AU252">
        <v>6.1322099999999999E-3</v>
      </c>
      <c r="AV252">
        <v>4.6668420000000002E-2</v>
      </c>
      <c r="AW252">
        <v>4.2864869999999999E-2</v>
      </c>
      <c r="AX252">
        <v>4.6592880000000003E-2</v>
      </c>
      <c r="AY252">
        <v>6.2547580000000005E-2</v>
      </c>
      <c r="AZ252">
        <v>2.4344589999999999E-2</v>
      </c>
      <c r="BA252">
        <v>3.1558879999999997E-2</v>
      </c>
      <c r="BB252">
        <v>4.4362060000000002E-2</v>
      </c>
      <c r="BC252">
        <v>2.3531369999999999E-2</v>
      </c>
      <c r="BD252">
        <v>6.0810650000000001E-2</v>
      </c>
      <c r="BE252">
        <v>8.4481909999999993E-2</v>
      </c>
      <c r="BF252">
        <v>8.7876190000000007E-2</v>
      </c>
      <c r="BG252">
        <v>5.3370809999999998E-2</v>
      </c>
      <c r="BH252">
        <v>1.8901680000000001E-2</v>
      </c>
      <c r="BI252">
        <v>2.7262950000000001E-2</v>
      </c>
      <c r="BJ252">
        <v>9.0818109999999994E-2</v>
      </c>
      <c r="BK252">
        <v>0.14316106000000001</v>
      </c>
      <c r="BL252">
        <v>5.5410830000000001E-2</v>
      </c>
      <c r="BM252">
        <v>2.494265E-2</v>
      </c>
      <c r="BN252">
        <v>2414</v>
      </c>
      <c r="BO252">
        <v>286.19058209999997</v>
      </c>
      <c r="BP252">
        <v>190</v>
      </c>
    </row>
    <row r="253" spans="1:68" x14ac:dyDescent="0.2">
      <c r="A253" t="s">
        <v>818</v>
      </c>
      <c r="B253">
        <v>129</v>
      </c>
      <c r="C253">
        <v>38</v>
      </c>
      <c r="D253">
        <v>581</v>
      </c>
      <c r="E253">
        <v>524</v>
      </c>
      <c r="F253">
        <v>377</v>
      </c>
      <c r="G253">
        <v>260</v>
      </c>
      <c r="H253">
        <v>116</v>
      </c>
      <c r="I253">
        <v>222</v>
      </c>
      <c r="J253">
        <v>251</v>
      </c>
      <c r="K253">
        <v>130</v>
      </c>
      <c r="L253">
        <v>296</v>
      </c>
      <c r="M253">
        <v>231</v>
      </c>
      <c r="N253">
        <v>1238</v>
      </c>
      <c r="O253">
        <v>749</v>
      </c>
      <c r="P253">
        <v>233</v>
      </c>
      <c r="Q253">
        <v>232</v>
      </c>
      <c r="R253">
        <v>107</v>
      </c>
      <c r="S253">
        <v>2460</v>
      </c>
      <c r="T253">
        <v>1621</v>
      </c>
      <c r="U253">
        <v>328</v>
      </c>
      <c r="V253">
        <v>282.4962769</v>
      </c>
      <c r="W253">
        <v>222.59765630000001</v>
      </c>
      <c r="X253">
        <v>148.24635749999999</v>
      </c>
      <c r="Y253">
        <v>148.7713972</v>
      </c>
      <c r="Z253">
        <v>117.1381646</v>
      </c>
      <c r="AA253">
        <v>65</v>
      </c>
      <c r="AB253">
        <v>298.08739550000001</v>
      </c>
      <c r="AC253">
        <v>304.95910229999998</v>
      </c>
      <c r="AD253">
        <v>228.47520560000001</v>
      </c>
      <c r="AE253">
        <v>153.89343120000001</v>
      </c>
      <c r="AF253">
        <v>115.1880254</v>
      </c>
      <c r="AG253">
        <v>55</v>
      </c>
      <c r="AH253">
        <v>291.64872380000003</v>
      </c>
      <c r="AI253">
        <v>262.61806150000001</v>
      </c>
      <c r="AJ253">
        <v>200.46121740000001</v>
      </c>
      <c r="AK253">
        <v>168.0177975</v>
      </c>
      <c r="AL253">
        <v>113.58721799999999</v>
      </c>
      <c r="AM253">
        <v>55</v>
      </c>
      <c r="AN253">
        <v>302.13709180000001</v>
      </c>
      <c r="AO253">
        <v>239.9232331</v>
      </c>
      <c r="AP253">
        <v>194.46667719999999</v>
      </c>
      <c r="AQ253">
        <v>163.65466259999999</v>
      </c>
      <c r="AR253">
        <v>112.26453239999999</v>
      </c>
      <c r="AS253">
        <v>55</v>
      </c>
      <c r="AT253">
        <v>1.3801620000000001E-2</v>
      </c>
      <c r="AU253">
        <v>3.1865700000000001E-3</v>
      </c>
      <c r="AV253">
        <v>5.9511830000000002E-2</v>
      </c>
      <c r="AW253">
        <v>5.4702969999999997E-2</v>
      </c>
      <c r="AX253">
        <v>3.7489479999999999E-2</v>
      </c>
      <c r="AY253">
        <v>2.6915149999999999E-2</v>
      </c>
      <c r="AZ253">
        <v>1.104168E-2</v>
      </c>
      <c r="BA253">
        <v>2.2719909999999999E-2</v>
      </c>
      <c r="BB253">
        <v>2.3559389999999999E-2</v>
      </c>
      <c r="BC253">
        <v>1.2406810000000001E-2</v>
      </c>
      <c r="BD253">
        <v>2.7843949999999999E-2</v>
      </c>
      <c r="BE253">
        <v>2.2519959999999999E-2</v>
      </c>
      <c r="BF253">
        <v>0.12474378</v>
      </c>
      <c r="BG253">
        <v>6.8610379999999999E-2</v>
      </c>
      <c r="BH253">
        <v>2.2539389999999999E-2</v>
      </c>
      <c r="BI253">
        <v>2.2956830000000001E-2</v>
      </c>
      <c r="BJ253">
        <v>1.0207330000000001E-2</v>
      </c>
      <c r="BK253">
        <v>0.25261341999999998</v>
      </c>
      <c r="BL253">
        <v>0.15006579</v>
      </c>
      <c r="BM253">
        <v>3.2563759999999997E-2</v>
      </c>
      <c r="BN253">
        <v>669</v>
      </c>
      <c r="BO253">
        <v>279.52092069999998</v>
      </c>
      <c r="BP253">
        <v>190</v>
      </c>
    </row>
    <row r="254" spans="1:68" x14ac:dyDescent="0.2">
      <c r="A254" t="s">
        <v>819</v>
      </c>
      <c r="B254">
        <v>662</v>
      </c>
      <c r="C254">
        <v>121</v>
      </c>
      <c r="D254">
        <v>816</v>
      </c>
      <c r="E254">
        <v>733</v>
      </c>
      <c r="F254">
        <v>515</v>
      </c>
      <c r="G254">
        <v>1320</v>
      </c>
      <c r="H254">
        <v>339</v>
      </c>
      <c r="I254">
        <v>390</v>
      </c>
      <c r="J254">
        <v>418</v>
      </c>
      <c r="K254">
        <v>248</v>
      </c>
      <c r="L254">
        <v>1391</v>
      </c>
      <c r="M254">
        <v>866</v>
      </c>
      <c r="N254">
        <v>1101</v>
      </c>
      <c r="O254">
        <v>624</v>
      </c>
      <c r="P254">
        <v>216</v>
      </c>
      <c r="Q254">
        <v>435</v>
      </c>
      <c r="R254">
        <v>762</v>
      </c>
      <c r="S254">
        <v>1444</v>
      </c>
      <c r="T254">
        <v>430</v>
      </c>
      <c r="U254">
        <v>162</v>
      </c>
      <c r="V254">
        <v>275.9404341</v>
      </c>
      <c r="W254">
        <v>215.88988140000001</v>
      </c>
      <c r="X254">
        <v>260.0415122</v>
      </c>
      <c r="Y254">
        <v>138.77326489999999</v>
      </c>
      <c r="Z254">
        <v>109.1286774</v>
      </c>
      <c r="AA254">
        <v>65</v>
      </c>
      <c r="AB254">
        <v>307.82400089999999</v>
      </c>
      <c r="AC254">
        <v>290.96179790000002</v>
      </c>
      <c r="AD254">
        <v>232.121679</v>
      </c>
      <c r="AE254">
        <v>151.15498650000001</v>
      </c>
      <c r="AF254">
        <v>118.80135439999999</v>
      </c>
      <c r="AG254">
        <v>55</v>
      </c>
      <c r="AH254">
        <v>303.97113059999998</v>
      </c>
      <c r="AI254">
        <v>270.29107779999998</v>
      </c>
      <c r="AJ254">
        <v>216.47284809999999</v>
      </c>
      <c r="AK254">
        <v>160.6357659</v>
      </c>
      <c r="AL254">
        <v>116.0186357</v>
      </c>
      <c r="AM254">
        <v>55</v>
      </c>
      <c r="AN254">
        <v>284.44826369999998</v>
      </c>
      <c r="AO254">
        <v>245.830388</v>
      </c>
      <c r="AP254">
        <v>204.35969510000001</v>
      </c>
      <c r="AQ254">
        <v>161.84156619999999</v>
      </c>
      <c r="AR254">
        <v>110.9667894</v>
      </c>
      <c r="AS254">
        <v>55</v>
      </c>
      <c r="AT254">
        <v>5.3084109999999997E-2</v>
      </c>
      <c r="AU254">
        <v>8.7640300000000008E-3</v>
      </c>
      <c r="AV254">
        <v>6.4514249999999995E-2</v>
      </c>
      <c r="AW254">
        <v>5.2579500000000001E-2</v>
      </c>
      <c r="AX254">
        <v>4.1336989999999997E-2</v>
      </c>
      <c r="AY254">
        <v>0.1023476</v>
      </c>
      <c r="AZ254">
        <v>2.6240530000000001E-2</v>
      </c>
      <c r="BA254">
        <v>2.9817650000000001E-2</v>
      </c>
      <c r="BB254">
        <v>3.1799059999999997E-2</v>
      </c>
      <c r="BC254">
        <v>2.1358100000000001E-2</v>
      </c>
      <c r="BD254">
        <v>0.1060745</v>
      </c>
      <c r="BE254">
        <v>6.5947870000000006E-2</v>
      </c>
      <c r="BF254">
        <v>8.4455909999999995E-2</v>
      </c>
      <c r="BG254">
        <v>4.6866270000000002E-2</v>
      </c>
      <c r="BH254">
        <v>1.7986439999999999E-2</v>
      </c>
      <c r="BI254">
        <v>3.2877660000000003E-2</v>
      </c>
      <c r="BJ254">
        <v>5.6286139999999998E-2</v>
      </c>
      <c r="BK254">
        <v>0.11585349</v>
      </c>
      <c r="BL254">
        <v>3.0295860000000001E-2</v>
      </c>
      <c r="BM254">
        <v>1.151404E-2</v>
      </c>
      <c r="BN254">
        <v>1719</v>
      </c>
      <c r="BO254">
        <v>250.10011979999999</v>
      </c>
      <c r="BP254">
        <v>190</v>
      </c>
    </row>
    <row r="255" spans="1:68" x14ac:dyDescent="0.2">
      <c r="A255" t="s">
        <v>820</v>
      </c>
      <c r="B255">
        <v>416</v>
      </c>
      <c r="C255">
        <v>222</v>
      </c>
      <c r="D255">
        <v>2118</v>
      </c>
      <c r="E255">
        <v>1699</v>
      </c>
      <c r="F255">
        <v>1666</v>
      </c>
      <c r="G255">
        <v>651</v>
      </c>
      <c r="H255">
        <v>254</v>
      </c>
      <c r="I255">
        <v>378</v>
      </c>
      <c r="J255">
        <v>576</v>
      </c>
      <c r="K255">
        <v>365</v>
      </c>
      <c r="L255">
        <v>785</v>
      </c>
      <c r="M255">
        <v>789</v>
      </c>
      <c r="N255">
        <v>1764</v>
      </c>
      <c r="O255">
        <v>1406</v>
      </c>
      <c r="P255">
        <v>328</v>
      </c>
      <c r="Q255">
        <v>901</v>
      </c>
      <c r="R255">
        <v>895</v>
      </c>
      <c r="S255">
        <v>3683</v>
      </c>
      <c r="T255">
        <v>2472</v>
      </c>
      <c r="U255">
        <v>758</v>
      </c>
      <c r="V255">
        <v>239.87792279999999</v>
      </c>
      <c r="W255">
        <v>220.1986335</v>
      </c>
      <c r="X255">
        <v>147.05195209999999</v>
      </c>
      <c r="Y255">
        <v>147.13558269999999</v>
      </c>
      <c r="Z255">
        <v>117.3931336</v>
      </c>
      <c r="AA255">
        <v>65</v>
      </c>
      <c r="AB255">
        <v>302.11727130000003</v>
      </c>
      <c r="AC255">
        <v>271.15297839999999</v>
      </c>
      <c r="AD255">
        <v>218.62813829999999</v>
      </c>
      <c r="AE255">
        <v>148.8169814</v>
      </c>
      <c r="AF255">
        <v>114.27085630000001</v>
      </c>
      <c r="AG255">
        <v>55</v>
      </c>
      <c r="AH255">
        <v>298.03643779999999</v>
      </c>
      <c r="AI255">
        <v>230.97707779999999</v>
      </c>
      <c r="AJ255">
        <v>192.27218339999999</v>
      </c>
      <c r="AK255">
        <v>159.99100490000001</v>
      </c>
      <c r="AL255">
        <v>115.6921997</v>
      </c>
      <c r="AM255">
        <v>55</v>
      </c>
      <c r="AN255">
        <v>295.99949340000001</v>
      </c>
      <c r="AO255">
        <v>212.92211030000001</v>
      </c>
      <c r="AP255">
        <v>183.0677584</v>
      </c>
      <c r="AQ255">
        <v>155.38821960000001</v>
      </c>
      <c r="AR255">
        <v>114.2021424</v>
      </c>
      <c r="AS255">
        <v>55</v>
      </c>
      <c r="AT255">
        <v>1.8551620000000001E-2</v>
      </c>
      <c r="AU255">
        <v>1.006166E-2</v>
      </c>
      <c r="AV255">
        <v>9.3277490000000005E-2</v>
      </c>
      <c r="AW255">
        <v>7.3412359999999996E-2</v>
      </c>
      <c r="AX255">
        <v>7.4659719999999999E-2</v>
      </c>
      <c r="AY255">
        <v>3.2840290000000001E-2</v>
      </c>
      <c r="AZ255">
        <v>1.29406E-2</v>
      </c>
      <c r="BA255">
        <v>1.8377959999999999E-2</v>
      </c>
      <c r="BB255">
        <v>2.5673310000000001E-2</v>
      </c>
      <c r="BC255">
        <v>1.541448E-2</v>
      </c>
      <c r="BD255">
        <v>3.3921489999999999E-2</v>
      </c>
      <c r="BE255">
        <v>3.990904E-2</v>
      </c>
      <c r="BF255">
        <v>8.0243439999999999E-2</v>
      </c>
      <c r="BG255">
        <v>6.4332399999999998E-2</v>
      </c>
      <c r="BH255">
        <v>1.351143E-2</v>
      </c>
      <c r="BI255">
        <v>3.831474E-2</v>
      </c>
      <c r="BJ255">
        <v>4.1917059999999999E-2</v>
      </c>
      <c r="BK255">
        <v>0.16528072999999999</v>
      </c>
      <c r="BL255">
        <v>0.11212461999999999</v>
      </c>
      <c r="BM255">
        <v>3.5235559999999999E-2</v>
      </c>
      <c r="BN255">
        <v>2229</v>
      </c>
      <c r="BO255">
        <v>248.56791029999999</v>
      </c>
      <c r="BP255">
        <v>190</v>
      </c>
    </row>
    <row r="256" spans="1:68" x14ac:dyDescent="0.2">
      <c r="A256" t="s">
        <v>821</v>
      </c>
      <c r="B256">
        <v>74</v>
      </c>
      <c r="C256">
        <v>175</v>
      </c>
      <c r="D256">
        <v>550</v>
      </c>
      <c r="E256">
        <v>464</v>
      </c>
      <c r="F256">
        <v>389</v>
      </c>
      <c r="G256">
        <v>422</v>
      </c>
      <c r="H256">
        <v>78</v>
      </c>
      <c r="I256">
        <v>205</v>
      </c>
      <c r="J256">
        <v>238</v>
      </c>
      <c r="K256">
        <v>125</v>
      </c>
      <c r="L256">
        <v>359</v>
      </c>
      <c r="M256">
        <v>316</v>
      </c>
      <c r="N256">
        <v>557</v>
      </c>
      <c r="O256">
        <v>463</v>
      </c>
      <c r="P256">
        <v>108</v>
      </c>
      <c r="Q256">
        <v>130</v>
      </c>
      <c r="R256">
        <v>392</v>
      </c>
      <c r="S256">
        <v>895</v>
      </c>
      <c r="T256">
        <v>744</v>
      </c>
      <c r="U256">
        <v>217</v>
      </c>
      <c r="V256">
        <v>229.92170200000001</v>
      </c>
      <c r="W256">
        <v>226.40042829999999</v>
      </c>
      <c r="X256">
        <v>279.12421990000001</v>
      </c>
      <c r="Y256">
        <v>178.85471749999999</v>
      </c>
      <c r="Z256">
        <v>112.4966617</v>
      </c>
      <c r="AA256">
        <v>65</v>
      </c>
      <c r="AB256">
        <v>293.92702109999999</v>
      </c>
      <c r="AC256">
        <v>248.9279861</v>
      </c>
      <c r="AD256">
        <v>209.43890149999999</v>
      </c>
      <c r="AE256">
        <v>152.8011558</v>
      </c>
      <c r="AF256">
        <v>121.425397</v>
      </c>
      <c r="AG256">
        <v>55</v>
      </c>
      <c r="AH256">
        <v>289.65427590000002</v>
      </c>
      <c r="AI256">
        <v>264.7899936</v>
      </c>
      <c r="AJ256">
        <v>216.19514040000001</v>
      </c>
      <c r="AK256">
        <v>168.89307790000001</v>
      </c>
      <c r="AL256">
        <v>116.9420611</v>
      </c>
      <c r="AM256">
        <v>55</v>
      </c>
      <c r="AN256">
        <v>278.06713630000002</v>
      </c>
      <c r="AO256">
        <v>245.32650190000001</v>
      </c>
      <c r="AP256">
        <v>203.46507930000001</v>
      </c>
      <c r="AQ256">
        <v>166.16795389999999</v>
      </c>
      <c r="AR256">
        <v>116.3663031</v>
      </c>
      <c r="AS256">
        <v>55</v>
      </c>
      <c r="AT256">
        <v>9.9211500000000001E-3</v>
      </c>
      <c r="AU256">
        <v>2.1760270000000002E-2</v>
      </c>
      <c r="AV256">
        <v>7.6213429999999999E-2</v>
      </c>
      <c r="AW256">
        <v>6.5739329999999999E-2</v>
      </c>
      <c r="AX256">
        <v>6.1749270000000002E-2</v>
      </c>
      <c r="AY256">
        <v>6.1424189999999997E-2</v>
      </c>
      <c r="AZ256">
        <v>1.146957E-2</v>
      </c>
      <c r="BA256">
        <v>3.045962E-2</v>
      </c>
      <c r="BB256">
        <v>3.5143130000000002E-2</v>
      </c>
      <c r="BC256">
        <v>1.9836840000000001E-2</v>
      </c>
      <c r="BD256">
        <v>5.0509520000000002E-2</v>
      </c>
      <c r="BE256">
        <v>4.6174090000000001E-2</v>
      </c>
      <c r="BF256">
        <v>7.843617E-2</v>
      </c>
      <c r="BG256">
        <v>6.9997879999999998E-2</v>
      </c>
      <c r="BH256">
        <v>1.7922380000000002E-2</v>
      </c>
      <c r="BI256">
        <v>1.80734E-2</v>
      </c>
      <c r="BJ256">
        <v>5.590676E-2</v>
      </c>
      <c r="BK256">
        <v>0.12664022</v>
      </c>
      <c r="BL256">
        <v>0.10856136</v>
      </c>
      <c r="BM256">
        <v>3.4061420000000002E-2</v>
      </c>
      <c r="BN256">
        <v>907</v>
      </c>
      <c r="BO256">
        <v>248.26239519999999</v>
      </c>
      <c r="BP256">
        <v>190</v>
      </c>
    </row>
    <row r="257" spans="1:68" x14ac:dyDescent="0.2">
      <c r="A257" t="s">
        <v>822</v>
      </c>
      <c r="B257">
        <v>28</v>
      </c>
      <c r="C257">
        <v>35</v>
      </c>
      <c r="D257">
        <v>80</v>
      </c>
      <c r="E257">
        <v>384</v>
      </c>
      <c r="F257">
        <v>316</v>
      </c>
      <c r="G257">
        <v>208</v>
      </c>
      <c r="H257">
        <v>97</v>
      </c>
      <c r="I257">
        <v>179</v>
      </c>
      <c r="J257">
        <v>190</v>
      </c>
      <c r="K257">
        <v>150</v>
      </c>
      <c r="L257">
        <v>185</v>
      </c>
      <c r="M257">
        <v>302</v>
      </c>
      <c r="N257">
        <v>612</v>
      </c>
      <c r="O257">
        <v>381</v>
      </c>
      <c r="P257">
        <v>237</v>
      </c>
      <c r="Q257">
        <v>27</v>
      </c>
      <c r="R257">
        <v>197</v>
      </c>
      <c r="S257">
        <v>876</v>
      </c>
      <c r="T257">
        <v>387</v>
      </c>
      <c r="U257">
        <v>315</v>
      </c>
      <c r="V257">
        <v>197.09356009999999</v>
      </c>
      <c r="W257">
        <v>173.30277609999999</v>
      </c>
      <c r="X257">
        <v>251.30641449999999</v>
      </c>
      <c r="Y257">
        <v>150.38956580000001</v>
      </c>
      <c r="Z257">
        <v>128.90403259999999</v>
      </c>
      <c r="AA257">
        <v>65</v>
      </c>
      <c r="AB257">
        <v>267.49216089999999</v>
      </c>
      <c r="AC257">
        <v>291.59718459999999</v>
      </c>
      <c r="AD257">
        <v>228.3497907</v>
      </c>
      <c r="AE257">
        <v>152.71449659999999</v>
      </c>
      <c r="AF257">
        <v>109.86270949999999</v>
      </c>
      <c r="AG257">
        <v>55</v>
      </c>
      <c r="AH257">
        <v>289.88799619999998</v>
      </c>
      <c r="AI257">
        <v>244.56786</v>
      </c>
      <c r="AJ257">
        <v>202.37880089999999</v>
      </c>
      <c r="AK257">
        <v>158.8865064</v>
      </c>
      <c r="AL257">
        <v>116.9896655</v>
      </c>
      <c r="AM257">
        <v>55</v>
      </c>
      <c r="AN257">
        <v>272.1565645</v>
      </c>
      <c r="AO257">
        <v>214.63439969999999</v>
      </c>
      <c r="AP257">
        <v>191.59803550000001</v>
      </c>
      <c r="AQ257">
        <v>149.46515360000001</v>
      </c>
      <c r="AR257">
        <v>116.7194319</v>
      </c>
      <c r="AS257">
        <v>55</v>
      </c>
      <c r="AT257">
        <v>4.2960100000000003E-3</v>
      </c>
      <c r="AU257">
        <v>7.69114E-3</v>
      </c>
      <c r="AV257">
        <v>1.4775379999999999E-2</v>
      </c>
      <c r="AW257">
        <v>7.7515280000000006E-2</v>
      </c>
      <c r="AX257">
        <v>5.9090070000000001E-2</v>
      </c>
      <c r="AY257">
        <v>3.987243E-2</v>
      </c>
      <c r="AZ257">
        <v>1.981459E-2</v>
      </c>
      <c r="BA257">
        <v>3.4427800000000001E-2</v>
      </c>
      <c r="BB257">
        <v>3.5297849999999999E-2</v>
      </c>
      <c r="BC257">
        <v>2.9613939999999998E-2</v>
      </c>
      <c r="BD257">
        <v>3.5251579999999998E-2</v>
      </c>
      <c r="BE257">
        <v>5.832499E-2</v>
      </c>
      <c r="BF257">
        <v>0.12004909</v>
      </c>
      <c r="BG257">
        <v>7.564833E-2</v>
      </c>
      <c r="BH257">
        <v>4.4040099999999999E-2</v>
      </c>
      <c r="BI257">
        <v>4.9068899999999997E-3</v>
      </c>
      <c r="BJ257">
        <v>3.859547E-2</v>
      </c>
      <c r="BK257">
        <v>0.16820662</v>
      </c>
      <c r="BL257">
        <v>7.3273980000000002E-2</v>
      </c>
      <c r="BM257">
        <v>5.930846E-2</v>
      </c>
      <c r="BN257">
        <v>611</v>
      </c>
      <c r="BO257">
        <v>264.02766589999999</v>
      </c>
      <c r="BP257">
        <v>190</v>
      </c>
    </row>
    <row r="258" spans="1:68" x14ac:dyDescent="0.2">
      <c r="A258" t="s">
        <v>823</v>
      </c>
      <c r="B258">
        <v>1874</v>
      </c>
      <c r="C258">
        <v>4832</v>
      </c>
      <c r="D258">
        <v>9826</v>
      </c>
      <c r="E258">
        <v>4548</v>
      </c>
      <c r="F258">
        <v>3873</v>
      </c>
      <c r="G258">
        <v>1894</v>
      </c>
      <c r="H258">
        <v>288</v>
      </c>
      <c r="I258">
        <v>517</v>
      </c>
      <c r="J258">
        <v>530</v>
      </c>
      <c r="K258">
        <v>368</v>
      </c>
      <c r="L258">
        <v>5621</v>
      </c>
      <c r="M258">
        <v>1895</v>
      </c>
      <c r="N258">
        <v>3382</v>
      </c>
      <c r="O258">
        <v>2644</v>
      </c>
      <c r="P258">
        <v>1646</v>
      </c>
      <c r="Q258">
        <v>4437</v>
      </c>
      <c r="R258">
        <v>3550</v>
      </c>
      <c r="S258">
        <v>7456</v>
      </c>
      <c r="T258">
        <v>6447</v>
      </c>
      <c r="U258">
        <v>3263</v>
      </c>
      <c r="V258">
        <v>254.76246689999999</v>
      </c>
      <c r="W258">
        <v>198.49446459999999</v>
      </c>
      <c r="X258">
        <v>185.36377479999999</v>
      </c>
      <c r="Y258">
        <v>157.22940399999999</v>
      </c>
      <c r="Z258">
        <v>117.518518</v>
      </c>
      <c r="AA258">
        <v>65</v>
      </c>
      <c r="AB258">
        <v>307.68113319999998</v>
      </c>
      <c r="AC258">
        <v>283.1966438</v>
      </c>
      <c r="AD258">
        <v>216.2944694</v>
      </c>
      <c r="AE258">
        <v>147.79772489999999</v>
      </c>
      <c r="AF258">
        <v>116.9229957</v>
      </c>
      <c r="AG258">
        <v>55</v>
      </c>
      <c r="AH258">
        <v>297.5871669</v>
      </c>
      <c r="AI258">
        <v>227.39250240000001</v>
      </c>
      <c r="AJ258">
        <v>204.19468939999999</v>
      </c>
      <c r="AK258">
        <v>158.80574780000001</v>
      </c>
      <c r="AL258">
        <v>116.7539057</v>
      </c>
      <c r="AM258">
        <v>55</v>
      </c>
      <c r="AN258">
        <v>271.4518855</v>
      </c>
      <c r="AO258">
        <v>195.15166809999999</v>
      </c>
      <c r="AP258">
        <v>187.0918029</v>
      </c>
      <c r="AQ258">
        <v>153.3784248</v>
      </c>
      <c r="AR258">
        <v>115.1616746</v>
      </c>
      <c r="AS258">
        <v>55</v>
      </c>
      <c r="AT258">
        <v>2.601301E-2</v>
      </c>
      <c r="AU258">
        <v>7.4060760000000003E-2</v>
      </c>
      <c r="AV258">
        <v>0.14810272999999999</v>
      </c>
      <c r="AW258">
        <v>6.8069350000000001E-2</v>
      </c>
      <c r="AX258">
        <v>5.2992980000000002E-2</v>
      </c>
      <c r="AY258">
        <v>2.7646009999999999E-2</v>
      </c>
      <c r="AZ258">
        <v>4.5074599999999996E-3</v>
      </c>
      <c r="BA258">
        <v>7.8919999999999997E-3</v>
      </c>
      <c r="BB258">
        <v>7.8253000000000003E-3</v>
      </c>
      <c r="BC258">
        <v>4.9498299999999997E-3</v>
      </c>
      <c r="BD258">
        <v>8.1592349999999994E-2</v>
      </c>
      <c r="BE258">
        <v>2.8600520000000001E-2</v>
      </c>
      <c r="BF258">
        <v>4.8214670000000001E-2</v>
      </c>
      <c r="BG258">
        <v>3.7214709999999998E-2</v>
      </c>
      <c r="BH258">
        <v>2.255834E-2</v>
      </c>
      <c r="BI258">
        <v>6.3214199999999998E-2</v>
      </c>
      <c r="BJ258">
        <v>5.4597010000000001E-2</v>
      </c>
      <c r="BK258">
        <v>0.10655792</v>
      </c>
      <c r="BL258">
        <v>9.0726459999999995E-2</v>
      </c>
      <c r="BM258">
        <v>4.4664389999999998E-2</v>
      </c>
      <c r="BN258">
        <v>7170</v>
      </c>
      <c r="BO258">
        <v>241.43961959999999</v>
      </c>
      <c r="BP258">
        <v>190</v>
      </c>
    </row>
    <row r="259" spans="1:68" x14ac:dyDescent="0.2">
      <c r="A259" t="s">
        <v>824</v>
      </c>
      <c r="B259">
        <v>159</v>
      </c>
      <c r="C259">
        <v>41</v>
      </c>
      <c r="D259">
        <v>95</v>
      </c>
      <c r="E259">
        <v>479</v>
      </c>
      <c r="F259">
        <v>649</v>
      </c>
      <c r="G259">
        <v>933</v>
      </c>
      <c r="H259">
        <v>488</v>
      </c>
      <c r="I259">
        <v>608</v>
      </c>
      <c r="J259">
        <v>774</v>
      </c>
      <c r="K259">
        <v>352</v>
      </c>
      <c r="L259">
        <v>331</v>
      </c>
      <c r="M259">
        <v>436</v>
      </c>
      <c r="N259">
        <v>1118</v>
      </c>
      <c r="O259">
        <v>844</v>
      </c>
      <c r="P259">
        <v>540</v>
      </c>
      <c r="Q259">
        <v>458</v>
      </c>
      <c r="R259">
        <v>249</v>
      </c>
      <c r="S259">
        <v>1444</v>
      </c>
      <c r="T259">
        <v>935</v>
      </c>
      <c r="U259">
        <v>642</v>
      </c>
      <c r="V259">
        <v>263.858248</v>
      </c>
      <c r="W259">
        <v>241.08597209999999</v>
      </c>
      <c r="X259">
        <v>175.94833650000001</v>
      </c>
      <c r="Y259">
        <v>168.9598416</v>
      </c>
      <c r="Z259">
        <v>122.39006500000001</v>
      </c>
      <c r="AA259">
        <v>65</v>
      </c>
      <c r="AB259">
        <v>295.35958640000001</v>
      </c>
      <c r="AC259">
        <v>290.14330699999999</v>
      </c>
      <c r="AD259">
        <v>228.8201535</v>
      </c>
      <c r="AE259">
        <v>161.11161899999999</v>
      </c>
      <c r="AF259">
        <v>120.2432544</v>
      </c>
      <c r="AG259">
        <v>55</v>
      </c>
      <c r="AH259">
        <v>293.1824403</v>
      </c>
      <c r="AI259">
        <v>263.41569629999998</v>
      </c>
      <c r="AJ259">
        <v>204.71788369999999</v>
      </c>
      <c r="AK259">
        <v>158.43740500000001</v>
      </c>
      <c r="AL259">
        <v>118.63575520000001</v>
      </c>
      <c r="AM259">
        <v>55</v>
      </c>
      <c r="AN259">
        <v>286.51880319999998</v>
      </c>
      <c r="AO259">
        <v>238.5461794</v>
      </c>
      <c r="AP259">
        <v>186.5955826</v>
      </c>
      <c r="AQ259">
        <v>157.02204929999999</v>
      </c>
      <c r="AR259">
        <v>117.0917994</v>
      </c>
      <c r="AS259">
        <v>55</v>
      </c>
      <c r="AT259">
        <v>1.5101699999999999E-2</v>
      </c>
      <c r="AU259">
        <v>3.5468100000000001E-3</v>
      </c>
      <c r="AV259">
        <v>7.2383300000000003E-3</v>
      </c>
      <c r="AW259">
        <v>3.8565250000000002E-2</v>
      </c>
      <c r="AX259">
        <v>5.5050429999999997E-2</v>
      </c>
      <c r="AY259">
        <v>8.7414339999999993E-2</v>
      </c>
      <c r="AZ259">
        <v>4.3923289999999997E-2</v>
      </c>
      <c r="BA259">
        <v>5.3603079999999997E-2</v>
      </c>
      <c r="BB259">
        <v>6.8830409999999995E-2</v>
      </c>
      <c r="BC259">
        <v>3.2461030000000002E-2</v>
      </c>
      <c r="BD259">
        <v>2.793495E-2</v>
      </c>
      <c r="BE259">
        <v>3.9974170000000003E-2</v>
      </c>
      <c r="BF259">
        <v>9.6833459999999996E-2</v>
      </c>
      <c r="BG259">
        <v>7.2381219999999996E-2</v>
      </c>
      <c r="BH259">
        <v>4.6617400000000003E-2</v>
      </c>
      <c r="BI259">
        <v>3.8536969999999997E-2</v>
      </c>
      <c r="BJ259">
        <v>2.1413330000000001E-2</v>
      </c>
      <c r="BK259">
        <v>0.11991449</v>
      </c>
      <c r="BL259">
        <v>7.4782849999999998E-2</v>
      </c>
      <c r="BM259">
        <v>5.5876490000000001E-2</v>
      </c>
      <c r="BN259">
        <v>1145</v>
      </c>
      <c r="BO259">
        <v>221.2865572</v>
      </c>
      <c r="BP259">
        <v>190</v>
      </c>
    </row>
    <row r="260" spans="1:68" x14ac:dyDescent="0.2">
      <c r="A260" t="s">
        <v>825</v>
      </c>
      <c r="B260">
        <v>509</v>
      </c>
      <c r="C260">
        <v>1058</v>
      </c>
      <c r="D260">
        <v>2076</v>
      </c>
      <c r="E260">
        <v>885</v>
      </c>
      <c r="F260">
        <v>444</v>
      </c>
      <c r="G260">
        <v>191</v>
      </c>
      <c r="H260">
        <v>194</v>
      </c>
      <c r="I260">
        <v>84</v>
      </c>
      <c r="J260">
        <v>71</v>
      </c>
      <c r="K260">
        <v>118</v>
      </c>
      <c r="L260">
        <v>587</v>
      </c>
      <c r="M260">
        <v>557</v>
      </c>
      <c r="N260">
        <v>152</v>
      </c>
      <c r="O260">
        <v>389</v>
      </c>
      <c r="P260">
        <v>29</v>
      </c>
      <c r="Q260">
        <v>729</v>
      </c>
      <c r="R260">
        <v>587</v>
      </c>
      <c r="S260">
        <v>343</v>
      </c>
      <c r="T260">
        <v>642</v>
      </c>
      <c r="U260">
        <v>56</v>
      </c>
      <c r="V260">
        <v>267.84814790000001</v>
      </c>
      <c r="W260">
        <v>264.56383929999998</v>
      </c>
      <c r="X260">
        <v>246.03046879999999</v>
      </c>
      <c r="Y260">
        <v>148.8302319</v>
      </c>
      <c r="Z260">
        <v>92.684917979999994</v>
      </c>
      <c r="AA260">
        <v>65</v>
      </c>
      <c r="AB260">
        <v>307.07287539999999</v>
      </c>
      <c r="AC260">
        <v>287.44018149999999</v>
      </c>
      <c r="AD260">
        <v>216.6090422</v>
      </c>
      <c r="AE260">
        <v>163.08538179999999</v>
      </c>
      <c r="AF260">
        <v>113.92415459999999</v>
      </c>
      <c r="AG260">
        <v>55</v>
      </c>
      <c r="AH260">
        <v>307.3989393</v>
      </c>
      <c r="AI260">
        <v>278.8450507</v>
      </c>
      <c r="AJ260">
        <v>239.02667679999999</v>
      </c>
      <c r="AK260">
        <v>160.9862569</v>
      </c>
      <c r="AL260">
        <v>118</v>
      </c>
      <c r="AM260">
        <v>55</v>
      </c>
      <c r="AN260">
        <v>289.70842649999997</v>
      </c>
      <c r="AO260">
        <v>270.09014250000001</v>
      </c>
      <c r="AP260">
        <v>234.22400730000001</v>
      </c>
      <c r="AQ260">
        <v>149.52258499999999</v>
      </c>
      <c r="AR260">
        <v>118</v>
      </c>
      <c r="AS260">
        <v>55</v>
      </c>
      <c r="AT260">
        <v>5.0185229999999997E-2</v>
      </c>
      <c r="AU260">
        <v>0.11415636</v>
      </c>
      <c r="AV260">
        <v>0.22977300000000001</v>
      </c>
      <c r="AW260">
        <v>8.2529759999999994E-2</v>
      </c>
      <c r="AX260">
        <v>4.2338689999999998E-2</v>
      </c>
      <c r="AY260">
        <v>1.7789050000000001E-2</v>
      </c>
      <c r="AZ260">
        <v>2.2653739999999999E-2</v>
      </c>
      <c r="BA260">
        <v>8.6223900000000006E-3</v>
      </c>
      <c r="BB260">
        <v>7.1649399999999999E-3</v>
      </c>
      <c r="BC260">
        <v>1.084063E-2</v>
      </c>
      <c r="BD260">
        <v>5.8629979999999998E-2</v>
      </c>
      <c r="BE260">
        <v>5.9821819999999998E-2</v>
      </c>
      <c r="BF260">
        <v>1.615113E-2</v>
      </c>
      <c r="BG260">
        <v>3.7316200000000001E-2</v>
      </c>
      <c r="BH260">
        <v>2.3944600000000002E-3</v>
      </c>
      <c r="BI260">
        <v>7.4885530000000006E-2</v>
      </c>
      <c r="BJ260">
        <v>6.0117789999999997E-2</v>
      </c>
      <c r="BK260">
        <v>3.7369840000000001E-2</v>
      </c>
      <c r="BL260">
        <v>6.2461460000000003E-2</v>
      </c>
      <c r="BM260">
        <v>4.7980000000000002E-3</v>
      </c>
      <c r="BN260">
        <v>2029</v>
      </c>
      <c r="BO260">
        <v>293.70811029999999</v>
      </c>
      <c r="BP260">
        <v>190</v>
      </c>
    </row>
    <row r="261" spans="1:68" x14ac:dyDescent="0.2">
      <c r="A261" t="s">
        <v>826</v>
      </c>
      <c r="B261">
        <v>0</v>
      </c>
      <c r="C261">
        <v>0</v>
      </c>
      <c r="D261">
        <v>10</v>
      </c>
      <c r="E261">
        <v>720</v>
      </c>
      <c r="F261">
        <v>479</v>
      </c>
      <c r="G261">
        <v>0</v>
      </c>
      <c r="H261">
        <v>3</v>
      </c>
      <c r="I261">
        <v>180</v>
      </c>
      <c r="J261">
        <v>712</v>
      </c>
      <c r="K261">
        <v>169</v>
      </c>
      <c r="L261">
        <v>0</v>
      </c>
      <c r="M261">
        <v>4</v>
      </c>
      <c r="N261">
        <v>96</v>
      </c>
      <c r="O261">
        <v>1628</v>
      </c>
      <c r="P261">
        <v>555</v>
      </c>
      <c r="Q261">
        <v>0</v>
      </c>
      <c r="R261">
        <v>1</v>
      </c>
      <c r="S261">
        <v>280</v>
      </c>
      <c r="T261">
        <v>3170</v>
      </c>
      <c r="U261">
        <v>759</v>
      </c>
      <c r="V261">
        <v>0</v>
      </c>
      <c r="W261">
        <v>0</v>
      </c>
      <c r="X261">
        <v>220</v>
      </c>
      <c r="Y261">
        <v>132.7832598</v>
      </c>
      <c r="Z261">
        <v>104.7061112</v>
      </c>
      <c r="AA261">
        <v>65</v>
      </c>
      <c r="AB261">
        <v>0</v>
      </c>
      <c r="AC261">
        <v>290.07</v>
      </c>
      <c r="AD261">
        <v>196.9106184</v>
      </c>
      <c r="AE261">
        <v>156.2466747</v>
      </c>
      <c r="AF261">
        <v>113.33672129999999</v>
      </c>
      <c r="AG261">
        <v>55</v>
      </c>
      <c r="AH261">
        <v>0</v>
      </c>
      <c r="AI261">
        <v>0</v>
      </c>
      <c r="AJ261">
        <v>208.8594123</v>
      </c>
      <c r="AK261">
        <v>157.6832647</v>
      </c>
      <c r="AL261">
        <v>115.7564527</v>
      </c>
      <c r="AM261">
        <v>55</v>
      </c>
      <c r="AN261">
        <v>0</v>
      </c>
      <c r="AO261">
        <v>0</v>
      </c>
      <c r="AP261">
        <v>208.594157</v>
      </c>
      <c r="AQ261">
        <v>153.75162069999999</v>
      </c>
      <c r="AR261">
        <v>106.260769</v>
      </c>
      <c r="AS261">
        <v>55</v>
      </c>
      <c r="AT261">
        <v>0</v>
      </c>
      <c r="AU261">
        <v>0</v>
      </c>
      <c r="AV261">
        <v>1.2003700000000001E-3</v>
      </c>
      <c r="AW261">
        <v>7.955102E-2</v>
      </c>
      <c r="AX261">
        <v>5.5087209999999998E-2</v>
      </c>
      <c r="AY261">
        <v>0</v>
      </c>
      <c r="AZ261">
        <v>2.8253000000000002E-4</v>
      </c>
      <c r="BA261">
        <v>1.9395430000000002E-2</v>
      </c>
      <c r="BB261">
        <v>8.5617499999999999E-2</v>
      </c>
      <c r="BC261">
        <v>1.9005190000000002E-2</v>
      </c>
      <c r="BD261">
        <v>0</v>
      </c>
      <c r="BE261">
        <v>4.4205999999999998E-4</v>
      </c>
      <c r="BF261">
        <v>1.1667790000000001E-2</v>
      </c>
      <c r="BG261">
        <v>0.18892492999999999</v>
      </c>
      <c r="BH261">
        <v>6.008753E-2</v>
      </c>
      <c r="BI261">
        <v>0</v>
      </c>
      <c r="BJ261">
        <v>1.1988E-4</v>
      </c>
      <c r="BK261">
        <v>3.3967209999999998E-2</v>
      </c>
      <c r="BL261">
        <v>0.36173148999999999</v>
      </c>
      <c r="BM261">
        <v>8.2919859999999998E-2</v>
      </c>
      <c r="BN261">
        <v>2088</v>
      </c>
      <c r="BO261">
        <v>200.63522810000001</v>
      </c>
      <c r="BP261">
        <v>190</v>
      </c>
    </row>
    <row r="262" spans="1:68" x14ac:dyDescent="0.2">
      <c r="A262" t="s">
        <v>827</v>
      </c>
      <c r="B262">
        <v>681</v>
      </c>
      <c r="C262">
        <v>2473</v>
      </c>
      <c r="D262">
        <v>5846</v>
      </c>
      <c r="E262">
        <v>2445</v>
      </c>
      <c r="F262">
        <v>1621</v>
      </c>
      <c r="G262">
        <v>1020</v>
      </c>
      <c r="H262">
        <v>305</v>
      </c>
      <c r="I262">
        <v>173</v>
      </c>
      <c r="J262">
        <v>253</v>
      </c>
      <c r="K262">
        <v>330</v>
      </c>
      <c r="L262">
        <v>4106</v>
      </c>
      <c r="M262">
        <v>1057</v>
      </c>
      <c r="N262">
        <v>1061</v>
      </c>
      <c r="O262">
        <v>712</v>
      </c>
      <c r="P262">
        <v>632</v>
      </c>
      <c r="Q262">
        <v>1517</v>
      </c>
      <c r="R262">
        <v>956</v>
      </c>
      <c r="S262">
        <v>2442</v>
      </c>
      <c r="T262">
        <v>945</v>
      </c>
      <c r="U262">
        <v>762</v>
      </c>
      <c r="V262">
        <v>258.69267300000001</v>
      </c>
      <c r="W262">
        <v>250.46089789999999</v>
      </c>
      <c r="X262">
        <v>211.7329488</v>
      </c>
      <c r="Y262">
        <v>172.3770188</v>
      </c>
      <c r="Z262">
        <v>110.418021</v>
      </c>
      <c r="AA262">
        <v>65</v>
      </c>
      <c r="AB262">
        <v>308.49711780000001</v>
      </c>
      <c r="AC262">
        <v>274.57408179999999</v>
      </c>
      <c r="AD262">
        <v>219.4367278</v>
      </c>
      <c r="AE262">
        <v>160.94042400000001</v>
      </c>
      <c r="AF262">
        <v>113.921003</v>
      </c>
      <c r="AG262">
        <v>55</v>
      </c>
      <c r="AH262">
        <v>294.19902289999999</v>
      </c>
      <c r="AI262">
        <v>234.1889979</v>
      </c>
      <c r="AJ262">
        <v>191.15992370000001</v>
      </c>
      <c r="AK262">
        <v>158.63069089999999</v>
      </c>
      <c r="AL262">
        <v>114.082218</v>
      </c>
      <c r="AM262">
        <v>55</v>
      </c>
      <c r="AN262">
        <v>272.14125840000003</v>
      </c>
      <c r="AO262">
        <v>206.41900000000001</v>
      </c>
      <c r="AP262">
        <v>175.7893191</v>
      </c>
      <c r="AQ262">
        <v>156.78677930000001</v>
      </c>
      <c r="AR262">
        <v>112.44060500000001</v>
      </c>
      <c r="AS262">
        <v>55</v>
      </c>
      <c r="AT262">
        <v>2.2746579999999999E-2</v>
      </c>
      <c r="AU262">
        <v>8.7855890000000006E-2</v>
      </c>
      <c r="AV262">
        <v>0.19747555999999999</v>
      </c>
      <c r="AW262">
        <v>8.2652299999999998E-2</v>
      </c>
      <c r="AX262">
        <v>5.1090209999999997E-2</v>
      </c>
      <c r="AY262">
        <v>3.4818719999999997E-2</v>
      </c>
      <c r="AZ262">
        <v>1.0655019999999999E-2</v>
      </c>
      <c r="BA262">
        <v>6.5423199999999999E-3</v>
      </c>
      <c r="BB262">
        <v>8.79513E-3</v>
      </c>
      <c r="BC262">
        <v>1.0941970000000001E-2</v>
      </c>
      <c r="BD262">
        <v>0.14361947999999999</v>
      </c>
      <c r="BE262">
        <v>3.7428360000000001E-2</v>
      </c>
      <c r="BF262">
        <v>3.6290030000000001E-2</v>
      </c>
      <c r="BG262">
        <v>2.475917E-2</v>
      </c>
      <c r="BH262">
        <v>1.9913650000000001E-2</v>
      </c>
      <c r="BI262">
        <v>5.3116789999999997E-2</v>
      </c>
      <c r="BJ262">
        <v>3.2511199999999997E-2</v>
      </c>
      <c r="BK262">
        <v>8.1877190000000002E-2</v>
      </c>
      <c r="BL262">
        <v>3.2659380000000002E-2</v>
      </c>
      <c r="BM262">
        <v>2.425105E-2</v>
      </c>
      <c r="BN262">
        <v>2942</v>
      </c>
      <c r="BO262">
        <v>272.26581529999999</v>
      </c>
      <c r="BP262">
        <v>190</v>
      </c>
    </row>
    <row r="263" spans="1:68" x14ac:dyDescent="0.2">
      <c r="A263" t="s">
        <v>828</v>
      </c>
      <c r="B263">
        <v>240</v>
      </c>
      <c r="C263">
        <v>119</v>
      </c>
      <c r="D263">
        <v>1091</v>
      </c>
      <c r="E263">
        <v>1400</v>
      </c>
      <c r="F263">
        <v>619</v>
      </c>
      <c r="G263">
        <v>811</v>
      </c>
      <c r="H263">
        <v>342</v>
      </c>
      <c r="I263">
        <v>650</v>
      </c>
      <c r="J263">
        <v>1162</v>
      </c>
      <c r="K263">
        <v>255</v>
      </c>
      <c r="L263">
        <v>609</v>
      </c>
      <c r="M263">
        <v>1240</v>
      </c>
      <c r="N263">
        <v>2787</v>
      </c>
      <c r="O263">
        <v>1368</v>
      </c>
      <c r="P263">
        <v>526</v>
      </c>
      <c r="Q263">
        <v>174</v>
      </c>
      <c r="R263">
        <v>948</v>
      </c>
      <c r="S263">
        <v>3838</v>
      </c>
      <c r="T263">
        <v>1284</v>
      </c>
      <c r="U263">
        <v>523</v>
      </c>
      <c r="V263">
        <v>237.03586749999999</v>
      </c>
      <c r="W263">
        <v>203.25523699999999</v>
      </c>
      <c r="X263">
        <v>190.24425099999999</v>
      </c>
      <c r="Y263">
        <v>140.38525799999999</v>
      </c>
      <c r="Z263">
        <v>120.560755</v>
      </c>
      <c r="AA263">
        <v>65</v>
      </c>
      <c r="AB263">
        <v>298.46623460000001</v>
      </c>
      <c r="AC263">
        <v>288.51059950000001</v>
      </c>
      <c r="AD263">
        <v>224.66066090000001</v>
      </c>
      <c r="AE263">
        <v>147.3661007</v>
      </c>
      <c r="AF263">
        <v>113.5042854</v>
      </c>
      <c r="AG263">
        <v>55</v>
      </c>
      <c r="AH263">
        <v>313.00407150000001</v>
      </c>
      <c r="AI263">
        <v>248.3399532</v>
      </c>
      <c r="AJ263">
        <v>212.02113349999999</v>
      </c>
      <c r="AK263">
        <v>155.57209510000001</v>
      </c>
      <c r="AL263">
        <v>116.5212298</v>
      </c>
      <c r="AM263">
        <v>55</v>
      </c>
      <c r="AN263">
        <v>286.59609110000002</v>
      </c>
      <c r="AO263">
        <v>230.062533</v>
      </c>
      <c r="AP263">
        <v>196.1911499</v>
      </c>
      <c r="AQ263">
        <v>145.9626595</v>
      </c>
      <c r="AR263">
        <v>115.2722534</v>
      </c>
      <c r="AS263">
        <v>55</v>
      </c>
      <c r="AT263">
        <v>1.173127E-2</v>
      </c>
      <c r="AU263">
        <v>6.4769800000000002E-3</v>
      </c>
      <c r="AV263">
        <v>5.4517410000000002E-2</v>
      </c>
      <c r="AW263">
        <v>7.1619530000000001E-2</v>
      </c>
      <c r="AX263">
        <v>3.033448E-2</v>
      </c>
      <c r="AY263">
        <v>4.0202759999999997E-2</v>
      </c>
      <c r="AZ263">
        <v>1.692741E-2</v>
      </c>
      <c r="BA263">
        <v>3.2325619999999999E-2</v>
      </c>
      <c r="BB263">
        <v>5.372764E-2</v>
      </c>
      <c r="BC263">
        <v>1.382358E-2</v>
      </c>
      <c r="BD263">
        <v>2.9315500000000001E-2</v>
      </c>
      <c r="BE263">
        <v>6.2290369999999998E-2</v>
      </c>
      <c r="BF263">
        <v>0.13900803</v>
      </c>
      <c r="BG263">
        <v>6.8937639999999994E-2</v>
      </c>
      <c r="BH263">
        <v>2.919163E-2</v>
      </c>
      <c r="BI263">
        <v>9.3342100000000008E-3</v>
      </c>
      <c r="BJ263">
        <v>4.5447220000000003E-2</v>
      </c>
      <c r="BK263">
        <v>0.19281488999999999</v>
      </c>
      <c r="BL263">
        <v>6.3776440000000004E-2</v>
      </c>
      <c r="BM263">
        <v>2.8197389999999999E-2</v>
      </c>
      <c r="BN263">
        <v>1864</v>
      </c>
      <c r="BO263">
        <v>232.73543950000001</v>
      </c>
      <c r="BP263">
        <v>190</v>
      </c>
    </row>
    <row r="264" spans="1:68" x14ac:dyDescent="0.2">
      <c r="A264" t="s">
        <v>829</v>
      </c>
      <c r="B264">
        <v>61</v>
      </c>
      <c r="C264">
        <v>523</v>
      </c>
      <c r="D264">
        <v>13298</v>
      </c>
      <c r="E264">
        <v>6748</v>
      </c>
      <c r="F264">
        <v>3347</v>
      </c>
      <c r="G264">
        <v>144</v>
      </c>
      <c r="H264">
        <v>49</v>
      </c>
      <c r="I264">
        <v>237</v>
      </c>
      <c r="J264">
        <v>392</v>
      </c>
      <c r="K264">
        <v>468</v>
      </c>
      <c r="L264">
        <v>338</v>
      </c>
      <c r="M264">
        <v>363</v>
      </c>
      <c r="N264">
        <v>3406</v>
      </c>
      <c r="O264">
        <v>2817</v>
      </c>
      <c r="P264">
        <v>1116</v>
      </c>
      <c r="Q264">
        <v>142</v>
      </c>
      <c r="R264">
        <v>446</v>
      </c>
      <c r="S264">
        <v>10093</v>
      </c>
      <c r="T264">
        <v>9748</v>
      </c>
      <c r="U264">
        <v>2510</v>
      </c>
      <c r="V264">
        <v>270.2337938</v>
      </c>
      <c r="W264">
        <v>270.44284279999999</v>
      </c>
      <c r="X264">
        <v>237.98622660000001</v>
      </c>
      <c r="Y264">
        <v>167.93515389999999</v>
      </c>
      <c r="Z264">
        <v>109.8404809</v>
      </c>
      <c r="AA264">
        <v>65</v>
      </c>
      <c r="AB264">
        <v>287.69200380000001</v>
      </c>
      <c r="AC264">
        <v>241.25325749999999</v>
      </c>
      <c r="AD264">
        <v>214.14640679999999</v>
      </c>
      <c r="AE264">
        <v>146.81257260000001</v>
      </c>
      <c r="AF264">
        <v>115.0743454</v>
      </c>
      <c r="AG264">
        <v>55</v>
      </c>
      <c r="AH264">
        <v>298.8460245</v>
      </c>
      <c r="AI264">
        <v>247.4585974</v>
      </c>
      <c r="AJ264">
        <v>211.1421412</v>
      </c>
      <c r="AK264">
        <v>157.01056370000001</v>
      </c>
      <c r="AL264">
        <v>115.5700599</v>
      </c>
      <c r="AM264">
        <v>55</v>
      </c>
      <c r="AN264">
        <v>294.88550300000003</v>
      </c>
      <c r="AO264">
        <v>226.4951212</v>
      </c>
      <c r="AP264">
        <v>195.05093959999999</v>
      </c>
      <c r="AQ264">
        <v>156.0076368</v>
      </c>
      <c r="AR264">
        <v>111.5326551</v>
      </c>
      <c r="AS264">
        <v>55</v>
      </c>
      <c r="AT264">
        <v>1.0870999999999999E-3</v>
      </c>
      <c r="AU264">
        <v>9.6149500000000006E-3</v>
      </c>
      <c r="AV264">
        <v>0.23793428</v>
      </c>
      <c r="AW264">
        <v>0.12068433000000001</v>
      </c>
      <c r="AX264">
        <v>5.8041570000000001E-2</v>
      </c>
      <c r="AY264">
        <v>2.56552E-3</v>
      </c>
      <c r="AZ264">
        <v>9.0184E-4</v>
      </c>
      <c r="BA264">
        <v>4.0721899999999998E-3</v>
      </c>
      <c r="BB264">
        <v>6.8910400000000002E-3</v>
      </c>
      <c r="BC264">
        <v>8.1758000000000004E-3</v>
      </c>
      <c r="BD264">
        <v>6.3470999999999996E-3</v>
      </c>
      <c r="BE264">
        <v>6.9232E-3</v>
      </c>
      <c r="BF264">
        <v>6.0861390000000001E-2</v>
      </c>
      <c r="BG264">
        <v>5.0464099999999998E-2</v>
      </c>
      <c r="BH264">
        <v>1.8904440000000002E-2</v>
      </c>
      <c r="BI264">
        <v>2.5868900000000001E-3</v>
      </c>
      <c r="BJ264">
        <v>8.2108900000000002E-3</v>
      </c>
      <c r="BK264">
        <v>0.17873936000000001</v>
      </c>
      <c r="BL264">
        <v>0.17298649999999999</v>
      </c>
      <c r="BM264">
        <v>4.400751E-2</v>
      </c>
      <c r="BN264">
        <v>4582</v>
      </c>
      <c r="BO264">
        <v>209.39416869999999</v>
      </c>
      <c r="BP264">
        <v>190</v>
      </c>
    </row>
    <row r="265" spans="1:68" x14ac:dyDescent="0.2">
      <c r="A265" t="s">
        <v>830</v>
      </c>
      <c r="B265">
        <v>36</v>
      </c>
      <c r="C265">
        <v>8</v>
      </c>
      <c r="D265">
        <v>190</v>
      </c>
      <c r="E265">
        <v>233</v>
      </c>
      <c r="F265">
        <v>268</v>
      </c>
      <c r="G265">
        <v>145</v>
      </c>
      <c r="H265">
        <v>28</v>
      </c>
      <c r="I265">
        <v>71</v>
      </c>
      <c r="J265">
        <v>75</v>
      </c>
      <c r="K265">
        <v>51</v>
      </c>
      <c r="L265">
        <v>200</v>
      </c>
      <c r="M265">
        <v>99</v>
      </c>
      <c r="N265">
        <v>375</v>
      </c>
      <c r="O265">
        <v>162</v>
      </c>
      <c r="P265">
        <v>74</v>
      </c>
      <c r="Q265">
        <v>99</v>
      </c>
      <c r="R265">
        <v>168</v>
      </c>
      <c r="S265">
        <v>816</v>
      </c>
      <c r="T265">
        <v>327</v>
      </c>
      <c r="U265">
        <v>105</v>
      </c>
      <c r="V265">
        <v>294.36092719999999</v>
      </c>
      <c r="W265">
        <v>173.3538293</v>
      </c>
      <c r="X265">
        <v>208.52190820000001</v>
      </c>
      <c r="Y265">
        <v>121.492743</v>
      </c>
      <c r="Z265">
        <v>107.4502482</v>
      </c>
      <c r="AA265">
        <v>65</v>
      </c>
      <c r="AB265">
        <v>339.76806629999999</v>
      </c>
      <c r="AC265">
        <v>264.40636810000001</v>
      </c>
      <c r="AD265">
        <v>205.17370220000001</v>
      </c>
      <c r="AE265">
        <v>150.17407549999999</v>
      </c>
      <c r="AF265">
        <v>118</v>
      </c>
      <c r="AG265">
        <v>55</v>
      </c>
      <c r="AH265">
        <v>298.11389830000002</v>
      </c>
      <c r="AI265">
        <v>205.63367830000001</v>
      </c>
      <c r="AJ265">
        <v>207.3357613</v>
      </c>
      <c r="AK265">
        <v>174.14838259999999</v>
      </c>
      <c r="AL265">
        <v>116.34020529999999</v>
      </c>
      <c r="AM265">
        <v>55</v>
      </c>
      <c r="AN265">
        <v>271.49358690000003</v>
      </c>
      <c r="AO265">
        <v>205.51923389999999</v>
      </c>
      <c r="AP265">
        <v>193.14860880000001</v>
      </c>
      <c r="AQ265">
        <v>165.64185979999999</v>
      </c>
      <c r="AR265">
        <v>117.4369052</v>
      </c>
      <c r="AS265">
        <v>55</v>
      </c>
      <c r="AT265">
        <v>9.2971500000000006E-3</v>
      </c>
      <c r="AU265">
        <v>2.33118E-3</v>
      </c>
      <c r="AV265">
        <v>5.1386809999999998E-2</v>
      </c>
      <c r="AW265">
        <v>6.2398420000000003E-2</v>
      </c>
      <c r="AX265">
        <v>7.3871480000000003E-2</v>
      </c>
      <c r="AY265">
        <v>4.2107800000000001E-2</v>
      </c>
      <c r="AZ265">
        <v>8.1957699999999998E-3</v>
      </c>
      <c r="BA265">
        <v>2.1637960000000001E-2</v>
      </c>
      <c r="BB265">
        <v>2.3323409999999999E-2</v>
      </c>
      <c r="BC265">
        <v>1.4285279999999999E-2</v>
      </c>
      <c r="BD265">
        <v>5.753291E-2</v>
      </c>
      <c r="BE265">
        <v>2.773981E-2</v>
      </c>
      <c r="BF265">
        <v>0.10954587</v>
      </c>
      <c r="BG265">
        <v>4.59648E-2</v>
      </c>
      <c r="BH265">
        <v>2.1066229999999998E-2</v>
      </c>
      <c r="BI265">
        <v>2.455684E-2</v>
      </c>
      <c r="BJ265">
        <v>4.5335029999999998E-2</v>
      </c>
      <c r="BK265">
        <v>0.23717597000000001</v>
      </c>
      <c r="BL265">
        <v>9.4562610000000005E-2</v>
      </c>
      <c r="BM265">
        <v>2.7684670000000001E-2</v>
      </c>
      <c r="BN265">
        <v>518</v>
      </c>
      <c r="BO265">
        <v>273.2346953</v>
      </c>
      <c r="BP265">
        <v>190</v>
      </c>
    </row>
    <row r="266" spans="1:68" x14ac:dyDescent="0.2">
      <c r="A266" t="s">
        <v>831</v>
      </c>
      <c r="B266">
        <v>35</v>
      </c>
      <c r="C266">
        <v>323</v>
      </c>
      <c r="D266">
        <v>1691</v>
      </c>
      <c r="E266">
        <v>876</v>
      </c>
      <c r="F266">
        <v>903</v>
      </c>
      <c r="G266">
        <v>455</v>
      </c>
      <c r="H266">
        <v>242</v>
      </c>
      <c r="I266">
        <v>511</v>
      </c>
      <c r="J266">
        <v>609</v>
      </c>
      <c r="K266">
        <v>314</v>
      </c>
      <c r="L266">
        <v>484</v>
      </c>
      <c r="M266">
        <v>644</v>
      </c>
      <c r="N266">
        <v>1611</v>
      </c>
      <c r="O266">
        <v>1168</v>
      </c>
      <c r="P266">
        <v>626</v>
      </c>
      <c r="Q266">
        <v>123</v>
      </c>
      <c r="R266">
        <v>919</v>
      </c>
      <c r="S266">
        <v>3441</v>
      </c>
      <c r="T266">
        <v>2081</v>
      </c>
      <c r="U266">
        <v>1002</v>
      </c>
      <c r="V266">
        <v>291.77395949999999</v>
      </c>
      <c r="W266">
        <v>247.51636859999999</v>
      </c>
      <c r="X266">
        <v>134.21757220000001</v>
      </c>
      <c r="Y266">
        <v>125.30330619999999</v>
      </c>
      <c r="Z266">
        <v>103.642411</v>
      </c>
      <c r="AA266">
        <v>65</v>
      </c>
      <c r="AB266">
        <v>299.35263880000002</v>
      </c>
      <c r="AC266">
        <v>273.95848310000002</v>
      </c>
      <c r="AD266">
        <v>218.05526829999999</v>
      </c>
      <c r="AE266">
        <v>154.9019476</v>
      </c>
      <c r="AF266">
        <v>115.0551562</v>
      </c>
      <c r="AG266">
        <v>55</v>
      </c>
      <c r="AH266">
        <v>286.7236327</v>
      </c>
      <c r="AI266">
        <v>239.9738467</v>
      </c>
      <c r="AJ266">
        <v>205.03611509999999</v>
      </c>
      <c r="AK266">
        <v>159.27813990000001</v>
      </c>
      <c r="AL266">
        <v>115.5458309</v>
      </c>
      <c r="AM266">
        <v>55</v>
      </c>
      <c r="AN266">
        <v>269.82733560000003</v>
      </c>
      <c r="AO266">
        <v>212.9575232</v>
      </c>
      <c r="AP266">
        <v>186.29979800000001</v>
      </c>
      <c r="AQ266">
        <v>152.0137579</v>
      </c>
      <c r="AR266">
        <v>113.21330450000001</v>
      </c>
      <c r="AS266">
        <v>55</v>
      </c>
      <c r="AT266">
        <v>2.53353E-3</v>
      </c>
      <c r="AU266">
        <v>1.7294839999999999E-2</v>
      </c>
      <c r="AV266">
        <v>9.1795559999999998E-2</v>
      </c>
      <c r="AW266">
        <v>4.5642299999999997E-2</v>
      </c>
      <c r="AX266">
        <v>5.1076259999999998E-2</v>
      </c>
      <c r="AY266">
        <v>2.494832E-2</v>
      </c>
      <c r="AZ266">
        <v>1.355978E-2</v>
      </c>
      <c r="BA266">
        <v>2.8972379999999999E-2</v>
      </c>
      <c r="BB266">
        <v>3.2486180000000003E-2</v>
      </c>
      <c r="BC266">
        <v>1.8074799999999999E-2</v>
      </c>
      <c r="BD266">
        <v>2.588236E-2</v>
      </c>
      <c r="BE266">
        <v>3.5744430000000001E-2</v>
      </c>
      <c r="BF266">
        <v>8.6635630000000005E-2</v>
      </c>
      <c r="BG266">
        <v>6.2836779999999995E-2</v>
      </c>
      <c r="BH266">
        <v>3.9877999999999997E-2</v>
      </c>
      <c r="BI266">
        <v>6.6571099999999999E-3</v>
      </c>
      <c r="BJ266">
        <v>5.0349850000000002E-2</v>
      </c>
      <c r="BK266">
        <v>0.18455167</v>
      </c>
      <c r="BL266">
        <v>0.11669197000000001</v>
      </c>
      <c r="BM266">
        <v>6.4388249999999994E-2</v>
      </c>
      <c r="BN266">
        <v>2255</v>
      </c>
      <c r="BO266">
        <v>243.555609</v>
      </c>
      <c r="BP266">
        <v>190</v>
      </c>
    </row>
    <row r="267" spans="1:68" x14ac:dyDescent="0.2">
      <c r="A267" t="s">
        <v>832</v>
      </c>
      <c r="B267">
        <v>991</v>
      </c>
      <c r="C267">
        <v>875</v>
      </c>
      <c r="D267">
        <v>2570</v>
      </c>
      <c r="E267">
        <v>1190</v>
      </c>
      <c r="F267">
        <v>1229</v>
      </c>
      <c r="G267">
        <v>394</v>
      </c>
      <c r="H267">
        <v>252</v>
      </c>
      <c r="I267">
        <v>215</v>
      </c>
      <c r="J267">
        <v>461</v>
      </c>
      <c r="K267">
        <v>137</v>
      </c>
      <c r="L267">
        <v>1361</v>
      </c>
      <c r="M267">
        <v>940</v>
      </c>
      <c r="N267">
        <v>1492</v>
      </c>
      <c r="O267">
        <v>1217</v>
      </c>
      <c r="P267">
        <v>418</v>
      </c>
      <c r="Q267">
        <v>2098</v>
      </c>
      <c r="R267">
        <v>980</v>
      </c>
      <c r="S267">
        <v>2741</v>
      </c>
      <c r="T267">
        <v>2071</v>
      </c>
      <c r="U267">
        <v>620</v>
      </c>
      <c r="V267">
        <v>265.2835551</v>
      </c>
      <c r="W267">
        <v>214.63378420000001</v>
      </c>
      <c r="X267">
        <v>161.3992385</v>
      </c>
      <c r="Y267">
        <v>153.62335590000001</v>
      </c>
      <c r="Z267">
        <v>125.5096848</v>
      </c>
      <c r="AA267">
        <v>65</v>
      </c>
      <c r="AB267">
        <v>319.34692849999999</v>
      </c>
      <c r="AC267">
        <v>272.46344370000003</v>
      </c>
      <c r="AD267">
        <v>221.71431759999999</v>
      </c>
      <c r="AE267">
        <v>148.90576129999999</v>
      </c>
      <c r="AF267">
        <v>119.5310113</v>
      </c>
      <c r="AG267">
        <v>55</v>
      </c>
      <c r="AH267">
        <v>284.47285040000003</v>
      </c>
      <c r="AI267">
        <v>206.20982649999999</v>
      </c>
      <c r="AJ267">
        <v>194.42116960000001</v>
      </c>
      <c r="AK267">
        <v>152.55493709999999</v>
      </c>
      <c r="AL267">
        <v>117.29754389999999</v>
      </c>
      <c r="AM267">
        <v>55</v>
      </c>
      <c r="AN267">
        <v>258.31725619999997</v>
      </c>
      <c r="AO267">
        <v>161.25529349999999</v>
      </c>
      <c r="AP267">
        <v>188.21758109999999</v>
      </c>
      <c r="AQ267">
        <v>146.4070638</v>
      </c>
      <c r="AR267">
        <v>114.39075440000001</v>
      </c>
      <c r="AS267">
        <v>55</v>
      </c>
      <c r="AT267">
        <v>4.4479079999999997E-2</v>
      </c>
      <c r="AU267">
        <v>3.6516170000000001E-2</v>
      </c>
      <c r="AV267">
        <v>0.11173605</v>
      </c>
      <c r="AW267">
        <v>5.6946799999999999E-2</v>
      </c>
      <c r="AX267">
        <v>5.9022169999999999E-2</v>
      </c>
      <c r="AY267">
        <v>1.708486E-2</v>
      </c>
      <c r="AZ267">
        <v>1.014341E-2</v>
      </c>
      <c r="BA267">
        <v>9.3762900000000007E-3</v>
      </c>
      <c r="BB267">
        <v>2.2196380000000002E-2</v>
      </c>
      <c r="BC267">
        <v>6.0181399999999999E-3</v>
      </c>
      <c r="BD267">
        <v>5.9690269999999997E-2</v>
      </c>
      <c r="BE267">
        <v>3.5670670000000002E-2</v>
      </c>
      <c r="BF267">
        <v>6.5433160000000004E-2</v>
      </c>
      <c r="BG267">
        <v>5.9602580000000002E-2</v>
      </c>
      <c r="BH267">
        <v>1.8125180000000001E-2</v>
      </c>
      <c r="BI267">
        <v>9.3080259999999998E-2</v>
      </c>
      <c r="BJ267">
        <v>3.7815040000000001E-2</v>
      </c>
      <c r="BK267">
        <v>0.12183413</v>
      </c>
      <c r="BL267">
        <v>0.10691386</v>
      </c>
      <c r="BM267">
        <v>2.83155E-2</v>
      </c>
      <c r="BN267">
        <v>2565</v>
      </c>
      <c r="BO267">
        <v>260.4581177</v>
      </c>
      <c r="BP267">
        <v>190</v>
      </c>
    </row>
    <row r="268" spans="1:68" x14ac:dyDescent="0.2">
      <c r="A268" t="s">
        <v>833</v>
      </c>
      <c r="B268">
        <v>71</v>
      </c>
      <c r="C268">
        <v>64</v>
      </c>
      <c r="D268">
        <v>130</v>
      </c>
      <c r="E268">
        <v>410</v>
      </c>
      <c r="F268">
        <v>334</v>
      </c>
      <c r="G268">
        <v>261</v>
      </c>
      <c r="H268">
        <v>167</v>
      </c>
      <c r="I268">
        <v>338</v>
      </c>
      <c r="J268">
        <v>517</v>
      </c>
      <c r="K268">
        <v>173</v>
      </c>
      <c r="L268">
        <v>416</v>
      </c>
      <c r="M268">
        <v>424</v>
      </c>
      <c r="N268">
        <v>1031</v>
      </c>
      <c r="O268">
        <v>1029</v>
      </c>
      <c r="P268">
        <v>339</v>
      </c>
      <c r="Q268">
        <v>506</v>
      </c>
      <c r="R268">
        <v>410</v>
      </c>
      <c r="S268">
        <v>1364</v>
      </c>
      <c r="T268">
        <v>618</v>
      </c>
      <c r="U268">
        <v>308</v>
      </c>
      <c r="V268">
        <v>264.2426724</v>
      </c>
      <c r="W268">
        <v>244.71836010000001</v>
      </c>
      <c r="X268">
        <v>158.914185</v>
      </c>
      <c r="Y268">
        <v>192.11218700000001</v>
      </c>
      <c r="Z268">
        <v>121.4372979</v>
      </c>
      <c r="AA268">
        <v>65</v>
      </c>
      <c r="AB268">
        <v>296.88379450000002</v>
      </c>
      <c r="AC268">
        <v>291.1097795</v>
      </c>
      <c r="AD268">
        <v>211.6946063</v>
      </c>
      <c r="AE268">
        <v>152.76129420000001</v>
      </c>
      <c r="AF268">
        <v>122.2547364</v>
      </c>
      <c r="AG268">
        <v>55</v>
      </c>
      <c r="AH268">
        <v>300.12516410000001</v>
      </c>
      <c r="AI268">
        <v>260.33331049999998</v>
      </c>
      <c r="AJ268">
        <v>212.23833880000001</v>
      </c>
      <c r="AK268">
        <v>157.34529019999999</v>
      </c>
      <c r="AL268">
        <v>112.6833462</v>
      </c>
      <c r="AM268">
        <v>55</v>
      </c>
      <c r="AN268">
        <v>281.11384190000001</v>
      </c>
      <c r="AO268">
        <v>247.34785059999999</v>
      </c>
      <c r="AP268">
        <v>205.35571590000001</v>
      </c>
      <c r="AQ268">
        <v>165.1734294</v>
      </c>
      <c r="AR268">
        <v>111.4227015</v>
      </c>
      <c r="AS268">
        <v>55</v>
      </c>
      <c r="AT268">
        <v>7.7920999999999997E-3</v>
      </c>
      <c r="AU268">
        <v>6.7443599999999996E-3</v>
      </c>
      <c r="AV268">
        <v>1.558297E-2</v>
      </c>
      <c r="AW268">
        <v>4.919751E-2</v>
      </c>
      <c r="AX268">
        <v>3.3399390000000001E-2</v>
      </c>
      <c r="AY268">
        <v>3.0169519999999998E-2</v>
      </c>
      <c r="AZ268">
        <v>1.8909659999999998E-2</v>
      </c>
      <c r="BA268">
        <v>3.780211E-2</v>
      </c>
      <c r="BB268">
        <v>6.1455009999999997E-2</v>
      </c>
      <c r="BC268">
        <v>1.885249E-2</v>
      </c>
      <c r="BD268">
        <v>4.6317079999999997E-2</v>
      </c>
      <c r="BE268">
        <v>4.6171089999999998E-2</v>
      </c>
      <c r="BF268">
        <v>0.11557494</v>
      </c>
      <c r="BG268">
        <v>0.11548551</v>
      </c>
      <c r="BH268">
        <v>3.9350820000000002E-2</v>
      </c>
      <c r="BI268">
        <v>5.6043910000000002E-2</v>
      </c>
      <c r="BJ268">
        <v>4.668282E-2</v>
      </c>
      <c r="BK268">
        <v>0.15119276000000001</v>
      </c>
      <c r="BL268">
        <v>6.7924300000000007E-2</v>
      </c>
      <c r="BM268">
        <v>3.5351649999999998E-2</v>
      </c>
      <c r="BN268">
        <v>1006</v>
      </c>
      <c r="BO268">
        <v>251.6855789</v>
      </c>
      <c r="BP268">
        <v>190</v>
      </c>
    </row>
    <row r="269" spans="1:68" x14ac:dyDescent="0.2">
      <c r="A269" t="s">
        <v>834</v>
      </c>
      <c r="B269">
        <v>72</v>
      </c>
      <c r="C269">
        <v>2041</v>
      </c>
      <c r="D269">
        <v>3730</v>
      </c>
      <c r="E269">
        <v>1382</v>
      </c>
      <c r="F269">
        <v>804</v>
      </c>
      <c r="G269">
        <v>184</v>
      </c>
      <c r="H269">
        <v>97</v>
      </c>
      <c r="I269">
        <v>205</v>
      </c>
      <c r="J269">
        <v>145</v>
      </c>
      <c r="K269">
        <v>42</v>
      </c>
      <c r="L269">
        <v>587</v>
      </c>
      <c r="M269">
        <v>1126</v>
      </c>
      <c r="N269">
        <v>1552</v>
      </c>
      <c r="O269">
        <v>788</v>
      </c>
      <c r="P269">
        <v>74</v>
      </c>
      <c r="Q269">
        <v>623</v>
      </c>
      <c r="R269">
        <v>1955</v>
      </c>
      <c r="S269">
        <v>3340</v>
      </c>
      <c r="T269">
        <v>1618</v>
      </c>
      <c r="U269">
        <v>184</v>
      </c>
      <c r="V269">
        <v>233.931343</v>
      </c>
      <c r="W269">
        <v>236.44653740000001</v>
      </c>
      <c r="X269">
        <v>162.59754910000001</v>
      </c>
      <c r="Y269">
        <v>170.21416669999999</v>
      </c>
      <c r="Z269">
        <v>131.42137059999999</v>
      </c>
      <c r="AA269">
        <v>65</v>
      </c>
      <c r="AB269">
        <v>308.34920499999998</v>
      </c>
      <c r="AC269">
        <v>282.15630069999997</v>
      </c>
      <c r="AD269">
        <v>213.79730860000001</v>
      </c>
      <c r="AE269">
        <v>158.54960130000001</v>
      </c>
      <c r="AF269">
        <v>126.77876879999999</v>
      </c>
      <c r="AG269">
        <v>55</v>
      </c>
      <c r="AH269">
        <v>299.38347549999997</v>
      </c>
      <c r="AI269">
        <v>250.5855028</v>
      </c>
      <c r="AJ269">
        <v>212.7870159</v>
      </c>
      <c r="AK269">
        <v>174.01944030000001</v>
      </c>
      <c r="AL269">
        <v>114.90722049999999</v>
      </c>
      <c r="AM269">
        <v>55</v>
      </c>
      <c r="AN269">
        <v>276.26767319999999</v>
      </c>
      <c r="AO269">
        <v>237.4109905</v>
      </c>
      <c r="AP269">
        <v>200.49523740000001</v>
      </c>
      <c r="AQ269">
        <v>165.3727993</v>
      </c>
      <c r="AR269">
        <v>116.62091940000001</v>
      </c>
      <c r="AS269">
        <v>55</v>
      </c>
      <c r="AT269">
        <v>3.6407200000000001E-3</v>
      </c>
      <c r="AU269">
        <v>0.10184488999999999</v>
      </c>
      <c r="AV269">
        <v>0.18247037999999999</v>
      </c>
      <c r="AW269">
        <v>6.9309129999999997E-2</v>
      </c>
      <c r="AX269">
        <v>4.0846689999999998E-2</v>
      </c>
      <c r="AY269">
        <v>9.42665E-3</v>
      </c>
      <c r="AZ269">
        <v>4.7657300000000001E-3</v>
      </c>
      <c r="BA269">
        <v>1.0934869999999999E-2</v>
      </c>
      <c r="BB269">
        <v>7.6067799999999996E-3</v>
      </c>
      <c r="BC269">
        <v>2.0611900000000001E-3</v>
      </c>
      <c r="BD269">
        <v>2.7808679999999999E-2</v>
      </c>
      <c r="BE269">
        <v>5.4759839999999997E-2</v>
      </c>
      <c r="BF269">
        <v>7.4227020000000005E-2</v>
      </c>
      <c r="BG269">
        <v>3.8310810000000001E-2</v>
      </c>
      <c r="BH269">
        <v>3.8211299999999998E-3</v>
      </c>
      <c r="BI269">
        <v>2.9528499999999999E-2</v>
      </c>
      <c r="BJ269">
        <v>9.297329E-2</v>
      </c>
      <c r="BK269">
        <v>0.16007935000000001</v>
      </c>
      <c r="BL269">
        <v>7.6401339999999998E-2</v>
      </c>
      <c r="BM269">
        <v>9.1830100000000001E-3</v>
      </c>
      <c r="BN269">
        <v>2579</v>
      </c>
      <c r="BO269">
        <v>234.6205932</v>
      </c>
      <c r="BP269">
        <v>190</v>
      </c>
    </row>
    <row r="270" spans="1:68" x14ac:dyDescent="0.2">
      <c r="A270" t="s">
        <v>835</v>
      </c>
      <c r="B270">
        <v>2143</v>
      </c>
      <c r="C270">
        <v>3079</v>
      </c>
      <c r="D270">
        <v>5990</v>
      </c>
      <c r="E270">
        <v>5458</v>
      </c>
      <c r="F270">
        <v>3797</v>
      </c>
      <c r="G270">
        <v>609</v>
      </c>
      <c r="H270">
        <v>341</v>
      </c>
      <c r="I270">
        <v>605</v>
      </c>
      <c r="J270">
        <v>887</v>
      </c>
      <c r="K270">
        <v>693</v>
      </c>
      <c r="L270">
        <v>1636</v>
      </c>
      <c r="M270">
        <v>1156</v>
      </c>
      <c r="N270">
        <v>3588</v>
      </c>
      <c r="O270">
        <v>3089</v>
      </c>
      <c r="P270">
        <v>1632</v>
      </c>
      <c r="Q270">
        <v>4938</v>
      </c>
      <c r="R270">
        <v>1695</v>
      </c>
      <c r="S270">
        <v>6723</v>
      </c>
      <c r="T270">
        <v>6973</v>
      </c>
      <c r="U270">
        <v>3594</v>
      </c>
      <c r="V270">
        <v>248.5854076</v>
      </c>
      <c r="W270">
        <v>183.9193329</v>
      </c>
      <c r="X270">
        <v>186.9558949</v>
      </c>
      <c r="Y270">
        <v>157.35315259999999</v>
      </c>
      <c r="Z270">
        <v>116.09182250000001</v>
      </c>
      <c r="AA270">
        <v>65</v>
      </c>
      <c r="AB270">
        <v>288.96128720000002</v>
      </c>
      <c r="AC270">
        <v>275.87682990000002</v>
      </c>
      <c r="AD270">
        <v>203.5517054</v>
      </c>
      <c r="AE270">
        <v>152.92991119999999</v>
      </c>
      <c r="AF270">
        <v>116.1985384</v>
      </c>
      <c r="AG270">
        <v>55</v>
      </c>
      <c r="AH270">
        <v>292.60880850000001</v>
      </c>
      <c r="AI270">
        <v>215.82254750000001</v>
      </c>
      <c r="AJ270">
        <v>193.49349989999999</v>
      </c>
      <c r="AK270">
        <v>162.24515869999999</v>
      </c>
      <c r="AL270">
        <v>116.1121771</v>
      </c>
      <c r="AM270">
        <v>55</v>
      </c>
      <c r="AN270">
        <v>260.83275880000002</v>
      </c>
      <c r="AO270">
        <v>196.42516760000001</v>
      </c>
      <c r="AP270">
        <v>186.1346389</v>
      </c>
      <c r="AQ270">
        <v>152.5121614</v>
      </c>
      <c r="AR270">
        <v>112.45516739999999</v>
      </c>
      <c r="AS270">
        <v>55</v>
      </c>
      <c r="AT270">
        <v>3.5549070000000002E-2</v>
      </c>
      <c r="AU270">
        <v>5.1826240000000003E-2</v>
      </c>
      <c r="AV270">
        <v>0.10322257999999999</v>
      </c>
      <c r="AW270">
        <v>9.3922859999999997E-2</v>
      </c>
      <c r="AX270">
        <v>6.2958040000000007E-2</v>
      </c>
      <c r="AY270">
        <v>1.077348E-2</v>
      </c>
      <c r="AZ270">
        <v>5.9808400000000003E-3</v>
      </c>
      <c r="BA270">
        <v>1.072042E-2</v>
      </c>
      <c r="BB270">
        <v>1.508611E-2</v>
      </c>
      <c r="BC270">
        <v>1.164518E-2</v>
      </c>
      <c r="BD270">
        <v>2.743013E-2</v>
      </c>
      <c r="BE270">
        <v>1.9981769999999999E-2</v>
      </c>
      <c r="BF270">
        <v>6.2176250000000002E-2</v>
      </c>
      <c r="BG270">
        <v>5.306056E-2</v>
      </c>
      <c r="BH270">
        <v>2.665207E-2</v>
      </c>
      <c r="BI270">
        <v>8.4619379999999994E-2</v>
      </c>
      <c r="BJ270">
        <v>2.9404710000000001E-2</v>
      </c>
      <c r="BK270">
        <v>0.11634659</v>
      </c>
      <c r="BL270">
        <v>0.11918972999999999</v>
      </c>
      <c r="BM270">
        <v>5.9453989999999998E-2</v>
      </c>
      <c r="BN270">
        <v>6368</v>
      </c>
      <c r="BO270">
        <v>222.81474299999999</v>
      </c>
      <c r="BP270">
        <v>190</v>
      </c>
    </row>
    <row r="271" spans="1:68" x14ac:dyDescent="0.2">
      <c r="A271" t="s">
        <v>836</v>
      </c>
      <c r="B271">
        <v>489</v>
      </c>
      <c r="C271">
        <v>359</v>
      </c>
      <c r="D271">
        <v>1170</v>
      </c>
      <c r="E271">
        <v>1847</v>
      </c>
      <c r="F271">
        <v>1771</v>
      </c>
      <c r="G271">
        <v>1108</v>
      </c>
      <c r="H271">
        <v>1115</v>
      </c>
      <c r="I271">
        <v>2138</v>
      </c>
      <c r="J271">
        <v>2181</v>
      </c>
      <c r="K271">
        <v>892</v>
      </c>
      <c r="L271">
        <v>1080</v>
      </c>
      <c r="M271">
        <v>2030</v>
      </c>
      <c r="N271">
        <v>3823</v>
      </c>
      <c r="O271">
        <v>2270</v>
      </c>
      <c r="P271">
        <v>1064</v>
      </c>
      <c r="Q271">
        <v>245</v>
      </c>
      <c r="R271">
        <v>1470</v>
      </c>
      <c r="S271">
        <v>5316</v>
      </c>
      <c r="T271">
        <v>2728</v>
      </c>
      <c r="U271">
        <v>1427</v>
      </c>
      <c r="V271">
        <v>265.48351559999998</v>
      </c>
      <c r="W271">
        <v>188.60338920000001</v>
      </c>
      <c r="X271">
        <v>197.00245140000001</v>
      </c>
      <c r="Y271">
        <v>150.6085463</v>
      </c>
      <c r="Z271">
        <v>111.81336229999999</v>
      </c>
      <c r="AA271">
        <v>65</v>
      </c>
      <c r="AB271">
        <v>311.82596160000003</v>
      </c>
      <c r="AC271">
        <v>277.44917880000003</v>
      </c>
      <c r="AD271">
        <v>219.30881500000001</v>
      </c>
      <c r="AE271">
        <v>153.25580479999999</v>
      </c>
      <c r="AF271">
        <v>116.01824120000001</v>
      </c>
      <c r="AG271">
        <v>55</v>
      </c>
      <c r="AH271">
        <v>299.11416250000002</v>
      </c>
      <c r="AI271">
        <v>250.16121670000001</v>
      </c>
      <c r="AJ271">
        <v>206.67738600000001</v>
      </c>
      <c r="AK271">
        <v>159.41804210000001</v>
      </c>
      <c r="AL271">
        <v>115.0594756</v>
      </c>
      <c r="AM271">
        <v>55</v>
      </c>
      <c r="AN271">
        <v>294.45622700000001</v>
      </c>
      <c r="AO271">
        <v>229.17185549999999</v>
      </c>
      <c r="AP271">
        <v>190.51868719999999</v>
      </c>
      <c r="AQ271">
        <v>156.30694030000001</v>
      </c>
      <c r="AR271">
        <v>113.8617098</v>
      </c>
      <c r="AS271">
        <v>55</v>
      </c>
      <c r="AT271">
        <v>1.446749E-2</v>
      </c>
      <c r="AU271">
        <v>9.8869000000000005E-3</v>
      </c>
      <c r="AV271">
        <v>2.9576829999999998E-2</v>
      </c>
      <c r="AW271">
        <v>5.2048079999999997E-2</v>
      </c>
      <c r="AX271">
        <v>5.3017290000000002E-2</v>
      </c>
      <c r="AY271">
        <v>3.2667149999999999E-2</v>
      </c>
      <c r="AZ271">
        <v>3.258573E-2</v>
      </c>
      <c r="BA271">
        <v>6.1053690000000001E-2</v>
      </c>
      <c r="BB271">
        <v>6.3036900000000007E-2</v>
      </c>
      <c r="BC271">
        <v>2.5423279999999999E-2</v>
      </c>
      <c r="BD271">
        <v>3.1363639999999998E-2</v>
      </c>
      <c r="BE271">
        <v>6.1475990000000001E-2</v>
      </c>
      <c r="BF271">
        <v>0.1124772</v>
      </c>
      <c r="BG271">
        <v>6.5016580000000004E-2</v>
      </c>
      <c r="BH271">
        <v>2.981787E-2</v>
      </c>
      <c r="BI271">
        <v>7.1864600000000004E-3</v>
      </c>
      <c r="BJ271">
        <v>4.4907950000000002E-2</v>
      </c>
      <c r="BK271">
        <v>0.15509408999999999</v>
      </c>
      <c r="BL271">
        <v>7.8507450000000006E-2</v>
      </c>
      <c r="BM271">
        <v>4.0389429999999997E-2</v>
      </c>
      <c r="BN271">
        <v>3617</v>
      </c>
      <c r="BO271">
        <v>245.27409779999999</v>
      </c>
      <c r="BP271">
        <v>190</v>
      </c>
    </row>
    <row r="272" spans="1:68" x14ac:dyDescent="0.2">
      <c r="A272" t="s">
        <v>837</v>
      </c>
      <c r="B272">
        <v>156</v>
      </c>
      <c r="C272">
        <v>82</v>
      </c>
      <c r="D272">
        <v>333</v>
      </c>
      <c r="E272">
        <v>616</v>
      </c>
      <c r="F272">
        <v>456</v>
      </c>
      <c r="G272">
        <v>3071</v>
      </c>
      <c r="H272">
        <v>738</v>
      </c>
      <c r="I272">
        <v>1053</v>
      </c>
      <c r="J272">
        <v>1243</v>
      </c>
      <c r="K272">
        <v>256</v>
      </c>
      <c r="L272">
        <v>296</v>
      </c>
      <c r="M272">
        <v>913</v>
      </c>
      <c r="N272">
        <v>918</v>
      </c>
      <c r="O272">
        <v>412</v>
      </c>
      <c r="P272">
        <v>138</v>
      </c>
      <c r="Q272">
        <v>9</v>
      </c>
      <c r="R272">
        <v>262</v>
      </c>
      <c r="S272">
        <v>639</v>
      </c>
      <c r="T272">
        <v>159</v>
      </c>
      <c r="U272">
        <v>11</v>
      </c>
      <c r="V272">
        <v>297.3229225</v>
      </c>
      <c r="W272">
        <v>269.48459530000002</v>
      </c>
      <c r="X272">
        <v>200.45930630000001</v>
      </c>
      <c r="Y272">
        <v>154.8078423</v>
      </c>
      <c r="Z272">
        <v>154.87149590000001</v>
      </c>
      <c r="AA272">
        <v>65</v>
      </c>
      <c r="AB272">
        <v>315.11478249999999</v>
      </c>
      <c r="AC272">
        <v>300.7658558</v>
      </c>
      <c r="AD272">
        <v>225.862414</v>
      </c>
      <c r="AE272">
        <v>149.36671960000001</v>
      </c>
      <c r="AF272">
        <v>128.8411304</v>
      </c>
      <c r="AG272">
        <v>55</v>
      </c>
      <c r="AH272">
        <v>322.33803440000003</v>
      </c>
      <c r="AI272">
        <v>281.79657730000002</v>
      </c>
      <c r="AJ272">
        <v>213.58253260000001</v>
      </c>
      <c r="AK272">
        <v>175.05080140000001</v>
      </c>
      <c r="AL272">
        <v>130.40831539999999</v>
      </c>
      <c r="AM272">
        <v>55</v>
      </c>
      <c r="AN272">
        <v>222.15210010000001</v>
      </c>
      <c r="AO272">
        <v>206.8647569</v>
      </c>
      <c r="AP272">
        <v>193.63908240000001</v>
      </c>
      <c r="AQ272">
        <v>192.2408514</v>
      </c>
      <c r="AR272">
        <v>118</v>
      </c>
      <c r="AS272">
        <v>55</v>
      </c>
      <c r="AT272">
        <v>1.4089900000000001E-2</v>
      </c>
      <c r="AU272">
        <v>6.1853100000000003E-3</v>
      </c>
      <c r="AV272">
        <v>2.3172689999999999E-2</v>
      </c>
      <c r="AW272">
        <v>5.1858130000000002E-2</v>
      </c>
      <c r="AX272">
        <v>4.1830260000000001E-2</v>
      </c>
      <c r="AY272">
        <v>0.26581606000000002</v>
      </c>
      <c r="AZ272">
        <v>6.2971830000000006E-2</v>
      </c>
      <c r="BA272">
        <v>9.1832520000000001E-2</v>
      </c>
      <c r="BB272">
        <v>0.10877220999999999</v>
      </c>
      <c r="BC272">
        <v>1.9705899999999998E-2</v>
      </c>
      <c r="BD272">
        <v>2.6159080000000001E-2</v>
      </c>
      <c r="BE272">
        <v>7.9648269999999993E-2</v>
      </c>
      <c r="BF272">
        <v>8.0569500000000002E-2</v>
      </c>
      <c r="BG272">
        <v>3.2488860000000001E-2</v>
      </c>
      <c r="BH272">
        <v>9.39627E-3</v>
      </c>
      <c r="BI272">
        <v>6.1746999999999995E-4</v>
      </c>
      <c r="BJ272">
        <v>1.9846200000000001E-2</v>
      </c>
      <c r="BK272">
        <v>5.2159110000000002E-2</v>
      </c>
      <c r="BL272">
        <v>1.175269E-2</v>
      </c>
      <c r="BM272">
        <v>1.1277399999999999E-3</v>
      </c>
      <c r="BN272">
        <v>1238</v>
      </c>
      <c r="BO272">
        <v>250.0535103</v>
      </c>
      <c r="BP272">
        <v>190</v>
      </c>
    </row>
    <row r="273" spans="1:68" x14ac:dyDescent="0.2">
      <c r="A273" t="s">
        <v>838</v>
      </c>
      <c r="B273">
        <v>261</v>
      </c>
      <c r="C273">
        <v>863</v>
      </c>
      <c r="D273">
        <v>1836</v>
      </c>
      <c r="E273">
        <v>1717</v>
      </c>
      <c r="F273">
        <v>947</v>
      </c>
      <c r="G273">
        <v>4341</v>
      </c>
      <c r="H273">
        <v>757</v>
      </c>
      <c r="I273">
        <v>1264</v>
      </c>
      <c r="J273">
        <v>1987</v>
      </c>
      <c r="K273">
        <v>566</v>
      </c>
      <c r="L273">
        <v>1521</v>
      </c>
      <c r="M273">
        <v>1453</v>
      </c>
      <c r="N273">
        <v>2543</v>
      </c>
      <c r="O273">
        <v>1808</v>
      </c>
      <c r="P273">
        <v>676</v>
      </c>
      <c r="Q273">
        <v>150</v>
      </c>
      <c r="R273">
        <v>828</v>
      </c>
      <c r="S273">
        <v>3124</v>
      </c>
      <c r="T273">
        <v>729</v>
      </c>
      <c r="U273">
        <v>354</v>
      </c>
      <c r="V273">
        <v>252.86100999999999</v>
      </c>
      <c r="W273">
        <v>292.0652116</v>
      </c>
      <c r="X273">
        <v>220.25532430000001</v>
      </c>
      <c r="Y273">
        <v>147.42342479999999</v>
      </c>
      <c r="Z273">
        <v>120.0933574</v>
      </c>
      <c r="AA273">
        <v>65</v>
      </c>
      <c r="AB273">
        <v>304.93355450000001</v>
      </c>
      <c r="AC273">
        <v>286.78916359999999</v>
      </c>
      <c r="AD273">
        <v>217.3759465</v>
      </c>
      <c r="AE273">
        <v>143.43151750000001</v>
      </c>
      <c r="AF273">
        <v>115.865379</v>
      </c>
      <c r="AG273">
        <v>55</v>
      </c>
      <c r="AH273">
        <v>303.98604699999999</v>
      </c>
      <c r="AI273">
        <v>254.7704597</v>
      </c>
      <c r="AJ273">
        <v>210.9531408</v>
      </c>
      <c r="AK273">
        <v>153.6746741</v>
      </c>
      <c r="AL273">
        <v>117.2246916</v>
      </c>
      <c r="AM273">
        <v>55</v>
      </c>
      <c r="AN273">
        <v>285.48972680000003</v>
      </c>
      <c r="AO273">
        <v>234.49803800000001</v>
      </c>
      <c r="AP273">
        <v>201.18068600000001</v>
      </c>
      <c r="AQ273">
        <v>153.72888309999999</v>
      </c>
      <c r="AR273">
        <v>116.7808902</v>
      </c>
      <c r="AS273">
        <v>55</v>
      </c>
      <c r="AT273">
        <v>9.9045000000000001E-3</v>
      </c>
      <c r="AU273">
        <v>2.9400900000000001E-2</v>
      </c>
      <c r="AV273">
        <v>5.7848730000000001E-2</v>
      </c>
      <c r="AW273">
        <v>6.6125279999999995E-2</v>
      </c>
      <c r="AX273">
        <v>3.7666169999999999E-2</v>
      </c>
      <c r="AY273">
        <v>0.16094870999999999</v>
      </c>
      <c r="AZ273">
        <v>2.873562E-2</v>
      </c>
      <c r="BA273">
        <v>4.5363599999999997E-2</v>
      </c>
      <c r="BB273">
        <v>7.3106909999999997E-2</v>
      </c>
      <c r="BC273">
        <v>1.9422189999999999E-2</v>
      </c>
      <c r="BD273">
        <v>5.4946179999999997E-2</v>
      </c>
      <c r="BE273">
        <v>5.235389E-2</v>
      </c>
      <c r="BF273">
        <v>8.9391150000000003E-2</v>
      </c>
      <c r="BG273">
        <v>6.5562090000000003E-2</v>
      </c>
      <c r="BH273">
        <v>2.4030240000000001E-2</v>
      </c>
      <c r="BI273">
        <v>5.4290099999999997E-3</v>
      </c>
      <c r="BJ273">
        <v>2.8531270000000001E-2</v>
      </c>
      <c r="BK273">
        <v>0.10941438000000001</v>
      </c>
      <c r="BL273">
        <v>2.675435E-2</v>
      </c>
      <c r="BM273">
        <v>1.506483E-2</v>
      </c>
      <c r="BN273">
        <v>2986</v>
      </c>
      <c r="BO273">
        <v>261.27632210000002</v>
      </c>
      <c r="BP273">
        <v>190</v>
      </c>
    </row>
    <row r="274" spans="1:68" x14ac:dyDescent="0.2">
      <c r="A274" t="s">
        <v>839</v>
      </c>
      <c r="B274">
        <v>462</v>
      </c>
      <c r="C274">
        <v>400</v>
      </c>
      <c r="D274">
        <v>1445</v>
      </c>
      <c r="E274">
        <v>1064</v>
      </c>
      <c r="F274">
        <v>1419</v>
      </c>
      <c r="G274">
        <v>1238</v>
      </c>
      <c r="H274">
        <v>492</v>
      </c>
      <c r="I274">
        <v>836</v>
      </c>
      <c r="J274">
        <v>619</v>
      </c>
      <c r="K274">
        <v>387</v>
      </c>
      <c r="L274">
        <v>1208</v>
      </c>
      <c r="M274">
        <v>945</v>
      </c>
      <c r="N274">
        <v>2405</v>
      </c>
      <c r="O274">
        <v>1244</v>
      </c>
      <c r="P274">
        <v>763</v>
      </c>
      <c r="Q274">
        <v>824</v>
      </c>
      <c r="R274">
        <v>1138</v>
      </c>
      <c r="S274">
        <v>4089</v>
      </c>
      <c r="T274">
        <v>1783</v>
      </c>
      <c r="U274">
        <v>1001</v>
      </c>
      <c r="V274">
        <v>273.48400620000001</v>
      </c>
      <c r="W274">
        <v>216.84772659999999</v>
      </c>
      <c r="X274">
        <v>172.0662628</v>
      </c>
      <c r="Y274">
        <v>141.82495829999999</v>
      </c>
      <c r="Z274">
        <v>118.9725991</v>
      </c>
      <c r="AA274">
        <v>65</v>
      </c>
      <c r="AB274">
        <v>311.77354480000002</v>
      </c>
      <c r="AC274">
        <v>295.4336591</v>
      </c>
      <c r="AD274">
        <v>220.4261108</v>
      </c>
      <c r="AE274">
        <v>151.33432619999999</v>
      </c>
      <c r="AF274">
        <v>116.65616009999999</v>
      </c>
      <c r="AG274">
        <v>55</v>
      </c>
      <c r="AH274">
        <v>316.55238989999998</v>
      </c>
      <c r="AI274">
        <v>224.32968410000001</v>
      </c>
      <c r="AJ274">
        <v>195.1126549</v>
      </c>
      <c r="AK274">
        <v>163.92017150000001</v>
      </c>
      <c r="AL274">
        <v>116.0353509</v>
      </c>
      <c r="AM274">
        <v>55</v>
      </c>
      <c r="AN274">
        <v>282.41426610000002</v>
      </c>
      <c r="AO274">
        <v>191.7381594</v>
      </c>
      <c r="AP274">
        <v>177.9011059</v>
      </c>
      <c r="AQ274">
        <v>158.32733569999999</v>
      </c>
      <c r="AR274">
        <v>115.4783314</v>
      </c>
      <c r="AS274">
        <v>55</v>
      </c>
      <c r="AT274">
        <v>1.8803790000000001E-2</v>
      </c>
      <c r="AU274">
        <v>1.7992319999999999E-2</v>
      </c>
      <c r="AV274">
        <v>6.6534560000000006E-2</v>
      </c>
      <c r="AW274">
        <v>4.6081619999999997E-2</v>
      </c>
      <c r="AX274">
        <v>5.8077429999999999E-2</v>
      </c>
      <c r="AY274">
        <v>5.0660879999999998E-2</v>
      </c>
      <c r="AZ274">
        <v>1.9942229999999998E-2</v>
      </c>
      <c r="BA274">
        <v>3.3632700000000001E-2</v>
      </c>
      <c r="BB274">
        <v>2.515887E-2</v>
      </c>
      <c r="BC274">
        <v>1.6307189999999999E-2</v>
      </c>
      <c r="BD274">
        <v>4.9102729999999997E-2</v>
      </c>
      <c r="BE274">
        <v>3.9350200000000002E-2</v>
      </c>
      <c r="BF274">
        <v>9.80544E-2</v>
      </c>
      <c r="BG274">
        <v>5.482269E-2</v>
      </c>
      <c r="BH274">
        <v>3.3607430000000001E-2</v>
      </c>
      <c r="BI274">
        <v>3.3571139999999999E-2</v>
      </c>
      <c r="BJ274">
        <v>4.5832150000000002E-2</v>
      </c>
      <c r="BK274">
        <v>0.17079670999999999</v>
      </c>
      <c r="BL274">
        <v>7.9338619999999999E-2</v>
      </c>
      <c r="BM274">
        <v>4.2332340000000003E-2</v>
      </c>
      <c r="BN274">
        <v>2358</v>
      </c>
      <c r="BO274">
        <v>226.03683910000001</v>
      </c>
      <c r="BP274">
        <v>190</v>
      </c>
    </row>
    <row r="275" spans="1:68" x14ac:dyDescent="0.2">
      <c r="A275" t="s">
        <v>840</v>
      </c>
      <c r="B275">
        <v>227</v>
      </c>
      <c r="C275">
        <v>22</v>
      </c>
      <c r="D275">
        <v>230</v>
      </c>
      <c r="E275">
        <v>747</v>
      </c>
      <c r="F275">
        <v>666</v>
      </c>
      <c r="G275">
        <v>2400</v>
      </c>
      <c r="H275">
        <v>967</v>
      </c>
      <c r="I275">
        <v>1455</v>
      </c>
      <c r="J275">
        <v>1305</v>
      </c>
      <c r="K275">
        <v>601</v>
      </c>
      <c r="L275">
        <v>910</v>
      </c>
      <c r="M275">
        <v>1202</v>
      </c>
      <c r="N275">
        <v>2322</v>
      </c>
      <c r="O275">
        <v>1638</v>
      </c>
      <c r="P275">
        <v>602</v>
      </c>
      <c r="Q275">
        <v>320</v>
      </c>
      <c r="R275">
        <v>628</v>
      </c>
      <c r="S275">
        <v>2245</v>
      </c>
      <c r="T275">
        <v>1651</v>
      </c>
      <c r="U275">
        <v>690</v>
      </c>
      <c r="V275">
        <v>274.09805540000002</v>
      </c>
      <c r="W275">
        <v>204.8722818</v>
      </c>
      <c r="X275">
        <v>210.55015080000001</v>
      </c>
      <c r="Y275">
        <v>140.8922896</v>
      </c>
      <c r="Z275">
        <v>110.91371940000001</v>
      </c>
      <c r="AA275">
        <v>65</v>
      </c>
      <c r="AB275">
        <v>300.6270366</v>
      </c>
      <c r="AC275">
        <v>284.9691277</v>
      </c>
      <c r="AD275">
        <v>219.69037839999999</v>
      </c>
      <c r="AE275">
        <v>151.19106740000001</v>
      </c>
      <c r="AF275">
        <v>115.85891340000001</v>
      </c>
      <c r="AG275">
        <v>55</v>
      </c>
      <c r="AH275">
        <v>308.87731059999999</v>
      </c>
      <c r="AI275">
        <v>233.98311290000001</v>
      </c>
      <c r="AJ275">
        <v>189.1164742</v>
      </c>
      <c r="AK275">
        <v>164.02549010000001</v>
      </c>
      <c r="AL275">
        <v>118.1226502</v>
      </c>
      <c r="AM275">
        <v>55</v>
      </c>
      <c r="AN275">
        <v>292.83792360000001</v>
      </c>
      <c r="AO275">
        <v>203.333237</v>
      </c>
      <c r="AP275">
        <v>170.2941318</v>
      </c>
      <c r="AQ275">
        <v>156.4843066</v>
      </c>
      <c r="AR275">
        <v>116.7267215</v>
      </c>
      <c r="AS275">
        <v>55</v>
      </c>
      <c r="AT275">
        <v>1.1160740000000001E-2</v>
      </c>
      <c r="AU275">
        <v>9.2016999999999999E-4</v>
      </c>
      <c r="AV275">
        <v>1.09038E-2</v>
      </c>
      <c r="AW275">
        <v>3.5726819999999999E-2</v>
      </c>
      <c r="AX275">
        <v>3.4669819999999997E-2</v>
      </c>
      <c r="AY275">
        <v>0.11221638</v>
      </c>
      <c r="AZ275">
        <v>4.6034539999999999E-2</v>
      </c>
      <c r="BA275">
        <v>6.8858719999999998E-2</v>
      </c>
      <c r="BB275">
        <v>6.2997449999999997E-2</v>
      </c>
      <c r="BC275">
        <v>2.9634489999999999E-2</v>
      </c>
      <c r="BD275">
        <v>4.1929870000000001E-2</v>
      </c>
      <c r="BE275">
        <v>5.9296540000000002E-2</v>
      </c>
      <c r="BF275">
        <v>0.11008202</v>
      </c>
      <c r="BG275">
        <v>7.9451060000000004E-2</v>
      </c>
      <c r="BH275">
        <v>3.1166030000000001E-2</v>
      </c>
      <c r="BI275">
        <v>1.454153E-2</v>
      </c>
      <c r="BJ275">
        <v>2.975821E-2</v>
      </c>
      <c r="BK275">
        <v>0.10467555000000001</v>
      </c>
      <c r="BL275">
        <v>7.9600050000000006E-2</v>
      </c>
      <c r="BM275">
        <v>3.6376209999999999E-2</v>
      </c>
      <c r="BN275">
        <v>1704</v>
      </c>
      <c r="BO275">
        <v>233.5683665</v>
      </c>
      <c r="BP275">
        <v>190</v>
      </c>
    </row>
    <row r="276" spans="1:68" x14ac:dyDescent="0.2">
      <c r="A276" t="s">
        <v>841</v>
      </c>
      <c r="B276">
        <v>192</v>
      </c>
      <c r="C276">
        <v>82</v>
      </c>
      <c r="D276">
        <v>441</v>
      </c>
      <c r="E276">
        <v>1008</v>
      </c>
      <c r="F276">
        <v>409</v>
      </c>
      <c r="G276">
        <v>5119</v>
      </c>
      <c r="H276">
        <v>719</v>
      </c>
      <c r="I276">
        <v>1046</v>
      </c>
      <c r="J276">
        <v>1854</v>
      </c>
      <c r="K276">
        <v>507</v>
      </c>
      <c r="L276">
        <v>1118</v>
      </c>
      <c r="M276">
        <v>1423</v>
      </c>
      <c r="N276">
        <v>2732</v>
      </c>
      <c r="O276">
        <v>1209</v>
      </c>
      <c r="P276">
        <v>611</v>
      </c>
      <c r="Q276">
        <v>171</v>
      </c>
      <c r="R276">
        <v>380</v>
      </c>
      <c r="S276">
        <v>2510</v>
      </c>
      <c r="T276">
        <v>540</v>
      </c>
      <c r="U276">
        <v>192</v>
      </c>
      <c r="V276">
        <v>264.95815679999998</v>
      </c>
      <c r="W276">
        <v>259.95380119999999</v>
      </c>
      <c r="X276">
        <v>219.5281641</v>
      </c>
      <c r="Y276">
        <v>155.1082936</v>
      </c>
      <c r="Z276">
        <v>120.2210984</v>
      </c>
      <c r="AA276">
        <v>65</v>
      </c>
      <c r="AB276">
        <v>308.35392589999998</v>
      </c>
      <c r="AC276">
        <v>297.8554398</v>
      </c>
      <c r="AD276">
        <v>224.30466680000001</v>
      </c>
      <c r="AE276">
        <v>150.0221765</v>
      </c>
      <c r="AF276">
        <v>117.62833019999999</v>
      </c>
      <c r="AG276">
        <v>55</v>
      </c>
      <c r="AH276">
        <v>290.39129600000001</v>
      </c>
      <c r="AI276">
        <v>277.27103449999998</v>
      </c>
      <c r="AJ276">
        <v>209.82597000000001</v>
      </c>
      <c r="AK276">
        <v>157.0129771</v>
      </c>
      <c r="AL276">
        <v>115.4106197</v>
      </c>
      <c r="AM276">
        <v>55</v>
      </c>
      <c r="AN276">
        <v>296.67178860000001</v>
      </c>
      <c r="AO276">
        <v>247.11625599999999</v>
      </c>
      <c r="AP276">
        <v>191.87714589999999</v>
      </c>
      <c r="AQ276">
        <v>168.2411592</v>
      </c>
      <c r="AR276">
        <v>116.6074141</v>
      </c>
      <c r="AS276">
        <v>55</v>
      </c>
      <c r="AT276">
        <v>8.8286700000000003E-3</v>
      </c>
      <c r="AU276">
        <v>3.4704499999999999E-3</v>
      </c>
      <c r="AV276">
        <v>1.8117069999999999E-2</v>
      </c>
      <c r="AW276">
        <v>4.7889470000000003E-2</v>
      </c>
      <c r="AX276">
        <v>1.8568870000000001E-2</v>
      </c>
      <c r="AY276">
        <v>0.23207748</v>
      </c>
      <c r="AZ276">
        <v>3.2439639999999999E-2</v>
      </c>
      <c r="BA276">
        <v>4.5436709999999998E-2</v>
      </c>
      <c r="BB276">
        <v>8.2457249999999996E-2</v>
      </c>
      <c r="BC276">
        <v>2.344974E-2</v>
      </c>
      <c r="BD276">
        <v>5.0039300000000002E-2</v>
      </c>
      <c r="BE276">
        <v>6.3751909999999995E-2</v>
      </c>
      <c r="BF276">
        <v>0.12149466</v>
      </c>
      <c r="BG276">
        <v>5.5849650000000001E-2</v>
      </c>
      <c r="BH276">
        <v>2.6627479999999999E-2</v>
      </c>
      <c r="BI276">
        <v>7.2336099999999997E-3</v>
      </c>
      <c r="BJ276">
        <v>1.609033E-2</v>
      </c>
      <c r="BK276">
        <v>0.11327537999999999</v>
      </c>
      <c r="BL276">
        <v>2.5000290000000001E-2</v>
      </c>
      <c r="BM276">
        <v>7.9020400000000008E-3</v>
      </c>
      <c r="BN276">
        <v>1958</v>
      </c>
      <c r="BO276">
        <v>269.01687939999999</v>
      </c>
      <c r="BP276">
        <v>190</v>
      </c>
    </row>
    <row r="277" spans="1:68" x14ac:dyDescent="0.2">
      <c r="A277" t="s">
        <v>842</v>
      </c>
      <c r="B277">
        <v>108</v>
      </c>
      <c r="C277">
        <v>54</v>
      </c>
      <c r="D277">
        <v>219</v>
      </c>
      <c r="E277">
        <v>996</v>
      </c>
      <c r="F277">
        <v>1121</v>
      </c>
      <c r="G277">
        <v>1836</v>
      </c>
      <c r="H277">
        <v>1109</v>
      </c>
      <c r="I277">
        <v>1457</v>
      </c>
      <c r="J277">
        <v>1363</v>
      </c>
      <c r="K277">
        <v>702</v>
      </c>
      <c r="L277">
        <v>810</v>
      </c>
      <c r="M277">
        <v>1772</v>
      </c>
      <c r="N277">
        <v>2862</v>
      </c>
      <c r="O277">
        <v>1424</v>
      </c>
      <c r="P277">
        <v>763</v>
      </c>
      <c r="Q277">
        <v>329</v>
      </c>
      <c r="R277">
        <v>677</v>
      </c>
      <c r="S277">
        <v>2866</v>
      </c>
      <c r="T277">
        <v>1268</v>
      </c>
      <c r="U277">
        <v>694</v>
      </c>
      <c r="V277">
        <v>233.48312300000001</v>
      </c>
      <c r="W277">
        <v>214.22810459999999</v>
      </c>
      <c r="X277">
        <v>174.0672941</v>
      </c>
      <c r="Y277">
        <v>139.31658830000001</v>
      </c>
      <c r="Z277">
        <v>109.083827</v>
      </c>
      <c r="AA277">
        <v>65</v>
      </c>
      <c r="AB277">
        <v>303.27337269999998</v>
      </c>
      <c r="AC277">
        <v>290.55382830000002</v>
      </c>
      <c r="AD277">
        <v>227.13521560000001</v>
      </c>
      <c r="AE277">
        <v>153.529045</v>
      </c>
      <c r="AF277">
        <v>114.76126480000001</v>
      </c>
      <c r="AG277">
        <v>55</v>
      </c>
      <c r="AH277">
        <v>307.45152180000002</v>
      </c>
      <c r="AI277">
        <v>250.6483006</v>
      </c>
      <c r="AJ277">
        <v>196.9001963</v>
      </c>
      <c r="AK277">
        <v>160.92464279999999</v>
      </c>
      <c r="AL277">
        <v>117.0659431</v>
      </c>
      <c r="AM277">
        <v>55</v>
      </c>
      <c r="AN277">
        <v>300.24725089999998</v>
      </c>
      <c r="AO277">
        <v>212.90307279999999</v>
      </c>
      <c r="AP277">
        <v>182.9922425</v>
      </c>
      <c r="AQ277">
        <v>158.24166410000001</v>
      </c>
      <c r="AR277">
        <v>114.0907816</v>
      </c>
      <c r="AS277">
        <v>55</v>
      </c>
      <c r="AT277">
        <v>5.0983900000000004E-3</v>
      </c>
      <c r="AU277">
        <v>2.5160500000000001E-3</v>
      </c>
      <c r="AV277">
        <v>9.1894400000000001E-3</v>
      </c>
      <c r="AW277">
        <v>4.5005919999999998E-2</v>
      </c>
      <c r="AX277">
        <v>5.2190920000000002E-2</v>
      </c>
      <c r="AY277">
        <v>8.0541559999999998E-2</v>
      </c>
      <c r="AZ277">
        <v>4.7591979999999999E-2</v>
      </c>
      <c r="BA277">
        <v>6.2801579999999996E-2</v>
      </c>
      <c r="BB277">
        <v>5.8899489999999999E-2</v>
      </c>
      <c r="BC277">
        <v>3.140333E-2</v>
      </c>
      <c r="BD277">
        <v>3.551704E-2</v>
      </c>
      <c r="BE277">
        <v>7.8975459999999997E-2</v>
      </c>
      <c r="BF277">
        <v>0.12676993</v>
      </c>
      <c r="BG277">
        <v>6.4153799999999997E-2</v>
      </c>
      <c r="BH277">
        <v>3.6880080000000003E-2</v>
      </c>
      <c r="BI277">
        <v>1.478761E-2</v>
      </c>
      <c r="BJ277">
        <v>3.2589140000000003E-2</v>
      </c>
      <c r="BK277">
        <v>0.12519313000000001</v>
      </c>
      <c r="BL277">
        <v>5.7985269999999998E-2</v>
      </c>
      <c r="BM277">
        <v>3.1909880000000002E-2</v>
      </c>
      <c r="BN277">
        <v>1964</v>
      </c>
      <c r="BO277">
        <v>257.79095219999999</v>
      </c>
      <c r="BP277">
        <v>190</v>
      </c>
    </row>
    <row r="278" spans="1:68" x14ac:dyDescent="0.2">
      <c r="A278" t="s">
        <v>843</v>
      </c>
      <c r="B278">
        <v>257</v>
      </c>
      <c r="C278">
        <v>135</v>
      </c>
      <c r="D278">
        <v>1759</v>
      </c>
      <c r="E278">
        <v>1905</v>
      </c>
      <c r="F278">
        <v>1864</v>
      </c>
      <c r="G278">
        <v>2899</v>
      </c>
      <c r="H278">
        <v>814</v>
      </c>
      <c r="I278">
        <v>1099</v>
      </c>
      <c r="J278">
        <v>1426</v>
      </c>
      <c r="K278">
        <v>593</v>
      </c>
      <c r="L278">
        <v>1587</v>
      </c>
      <c r="M278">
        <v>1463</v>
      </c>
      <c r="N278">
        <v>4292</v>
      </c>
      <c r="O278">
        <v>2288</v>
      </c>
      <c r="P278">
        <v>854</v>
      </c>
      <c r="Q278">
        <v>523</v>
      </c>
      <c r="R278">
        <v>1733</v>
      </c>
      <c r="S278">
        <v>7982</v>
      </c>
      <c r="T278">
        <v>3208</v>
      </c>
      <c r="U278">
        <v>1114</v>
      </c>
      <c r="V278">
        <v>273.12889189999999</v>
      </c>
      <c r="W278">
        <v>188.70364910000001</v>
      </c>
      <c r="X278">
        <v>212.22012810000001</v>
      </c>
      <c r="Y278">
        <v>143.85904350000001</v>
      </c>
      <c r="Z278">
        <v>115.3688786</v>
      </c>
      <c r="AA278">
        <v>65</v>
      </c>
      <c r="AB278">
        <v>303.9719647</v>
      </c>
      <c r="AC278">
        <v>285.34742890000001</v>
      </c>
      <c r="AD278">
        <v>219.79167620000001</v>
      </c>
      <c r="AE278">
        <v>150.4503594</v>
      </c>
      <c r="AF278">
        <v>115.0557518</v>
      </c>
      <c r="AG278">
        <v>55</v>
      </c>
      <c r="AH278">
        <v>310.39548239999999</v>
      </c>
      <c r="AI278">
        <v>238.37683799999999</v>
      </c>
      <c r="AJ278">
        <v>215.3638249</v>
      </c>
      <c r="AK278">
        <v>158.78637660000001</v>
      </c>
      <c r="AL278">
        <v>116.55866810000001</v>
      </c>
      <c r="AM278">
        <v>55</v>
      </c>
      <c r="AN278">
        <v>294.83499080000001</v>
      </c>
      <c r="AO278">
        <v>207.1322083</v>
      </c>
      <c r="AP278">
        <v>200.0353149</v>
      </c>
      <c r="AQ278">
        <v>157.96615270000001</v>
      </c>
      <c r="AR278">
        <v>114.28984869999999</v>
      </c>
      <c r="AS278">
        <v>55</v>
      </c>
      <c r="AT278">
        <v>6.7581000000000004E-3</v>
      </c>
      <c r="AU278">
        <v>3.5595900000000001E-3</v>
      </c>
      <c r="AV278">
        <v>4.7200310000000002E-2</v>
      </c>
      <c r="AW278">
        <v>5.1418909999999998E-2</v>
      </c>
      <c r="AX278">
        <v>4.825422E-2</v>
      </c>
      <c r="AY278">
        <v>7.5677049999999996E-2</v>
      </c>
      <c r="AZ278">
        <v>2.151219E-2</v>
      </c>
      <c r="BA278">
        <v>2.926074E-2</v>
      </c>
      <c r="BB278">
        <v>3.7710059999999997E-2</v>
      </c>
      <c r="BC278">
        <v>1.5494569999999999E-2</v>
      </c>
      <c r="BD278">
        <v>4.1886409999999999E-2</v>
      </c>
      <c r="BE278">
        <v>3.9250300000000002E-2</v>
      </c>
      <c r="BF278">
        <v>0.1142618</v>
      </c>
      <c r="BG278">
        <v>6.0373870000000003E-2</v>
      </c>
      <c r="BH278">
        <v>2.2324839999999999E-2</v>
      </c>
      <c r="BI278">
        <v>1.384961E-2</v>
      </c>
      <c r="BJ278">
        <v>4.6974700000000001E-2</v>
      </c>
      <c r="BK278">
        <v>0.21096849000000001</v>
      </c>
      <c r="BL278">
        <v>8.4190100000000004E-2</v>
      </c>
      <c r="BM278">
        <v>2.9074139999999998E-2</v>
      </c>
      <c r="BN278">
        <v>3370</v>
      </c>
      <c r="BO278">
        <v>251.1080705</v>
      </c>
      <c r="BP278">
        <v>190</v>
      </c>
    </row>
    <row r="279" spans="1:68" x14ac:dyDescent="0.2">
      <c r="A279" t="s">
        <v>844</v>
      </c>
      <c r="B279">
        <v>265</v>
      </c>
      <c r="C279">
        <v>51</v>
      </c>
      <c r="D279">
        <v>527</v>
      </c>
      <c r="E279">
        <v>245</v>
      </c>
      <c r="F279">
        <v>746</v>
      </c>
      <c r="G279">
        <v>1357</v>
      </c>
      <c r="H279">
        <v>385</v>
      </c>
      <c r="I279">
        <v>996</v>
      </c>
      <c r="J279">
        <v>1033</v>
      </c>
      <c r="K279">
        <v>484</v>
      </c>
      <c r="L279">
        <v>1026</v>
      </c>
      <c r="M279">
        <v>969</v>
      </c>
      <c r="N279">
        <v>1927</v>
      </c>
      <c r="O279">
        <v>929</v>
      </c>
      <c r="P279">
        <v>364</v>
      </c>
      <c r="Q279">
        <v>281</v>
      </c>
      <c r="R279">
        <v>1022</v>
      </c>
      <c r="S279">
        <v>3047</v>
      </c>
      <c r="T279">
        <v>1126</v>
      </c>
      <c r="U279">
        <v>407</v>
      </c>
      <c r="V279">
        <v>290.6190004</v>
      </c>
      <c r="W279">
        <v>161.7026726</v>
      </c>
      <c r="X279">
        <v>157.79721520000001</v>
      </c>
      <c r="Y279">
        <v>155.12423029999999</v>
      </c>
      <c r="Z279">
        <v>113.239025</v>
      </c>
      <c r="AA279">
        <v>65</v>
      </c>
      <c r="AB279">
        <v>303.8624696</v>
      </c>
      <c r="AC279">
        <v>282.01529110000001</v>
      </c>
      <c r="AD279">
        <v>209.90840230000001</v>
      </c>
      <c r="AE279">
        <v>155.0992502</v>
      </c>
      <c r="AF279">
        <v>116.2290694</v>
      </c>
      <c r="AG279">
        <v>55</v>
      </c>
      <c r="AH279">
        <v>300.72283320000003</v>
      </c>
      <c r="AI279">
        <v>235.94571020000001</v>
      </c>
      <c r="AJ279">
        <v>200.22949149999999</v>
      </c>
      <c r="AK279">
        <v>165.48561720000001</v>
      </c>
      <c r="AL279">
        <v>115.70597290000001</v>
      </c>
      <c r="AM279">
        <v>55</v>
      </c>
      <c r="AN279">
        <v>289.50117210000002</v>
      </c>
      <c r="AO279">
        <v>201.03332140000001</v>
      </c>
      <c r="AP279">
        <v>182.1150447</v>
      </c>
      <c r="AQ279">
        <v>161.38427340000001</v>
      </c>
      <c r="AR279">
        <v>110.52873200000001</v>
      </c>
      <c r="AS279">
        <v>55</v>
      </c>
      <c r="AT279">
        <v>1.581424E-2</v>
      </c>
      <c r="AU279">
        <v>2.6642200000000001E-3</v>
      </c>
      <c r="AV279">
        <v>3.2015849999999998E-2</v>
      </c>
      <c r="AW279">
        <v>1.4264580000000001E-2</v>
      </c>
      <c r="AX279">
        <v>4.7499479999999997E-2</v>
      </c>
      <c r="AY279">
        <v>7.7258939999999998E-2</v>
      </c>
      <c r="AZ279">
        <v>2.146408E-2</v>
      </c>
      <c r="BA279">
        <v>5.4807300000000003E-2</v>
      </c>
      <c r="BB279">
        <v>5.7261189999999997E-2</v>
      </c>
      <c r="BC279">
        <v>2.9848199999999998E-2</v>
      </c>
      <c r="BD279">
        <v>6.0290740000000002E-2</v>
      </c>
      <c r="BE279">
        <v>5.4651699999999998E-2</v>
      </c>
      <c r="BF279">
        <v>0.11107346999999999</v>
      </c>
      <c r="BG279">
        <v>5.3528100000000002E-2</v>
      </c>
      <c r="BH279">
        <v>2.4493629999999999E-2</v>
      </c>
      <c r="BI279">
        <v>1.638334E-2</v>
      </c>
      <c r="BJ279">
        <v>5.7623899999999999E-2</v>
      </c>
      <c r="BK279">
        <v>0.17740099000000001</v>
      </c>
      <c r="BL279">
        <v>6.4797419999999994E-2</v>
      </c>
      <c r="BM279">
        <v>2.6858630000000001E-2</v>
      </c>
      <c r="BN279">
        <v>1688</v>
      </c>
      <c r="BO279">
        <v>256.7240736</v>
      </c>
      <c r="BP279">
        <v>190</v>
      </c>
    </row>
    <row r="280" spans="1:68" x14ac:dyDescent="0.2">
      <c r="A280" t="s">
        <v>845</v>
      </c>
      <c r="B280">
        <v>303</v>
      </c>
      <c r="C280">
        <v>152</v>
      </c>
      <c r="D280">
        <v>657</v>
      </c>
      <c r="E280">
        <v>541</v>
      </c>
      <c r="F280">
        <v>345</v>
      </c>
      <c r="G280">
        <v>3713</v>
      </c>
      <c r="H280">
        <v>687</v>
      </c>
      <c r="I280">
        <v>1099</v>
      </c>
      <c r="J280">
        <v>1937</v>
      </c>
      <c r="K280">
        <v>559</v>
      </c>
      <c r="L280">
        <v>1250</v>
      </c>
      <c r="M280">
        <v>1199</v>
      </c>
      <c r="N280">
        <v>3159</v>
      </c>
      <c r="O280">
        <v>973</v>
      </c>
      <c r="P280">
        <v>353</v>
      </c>
      <c r="Q280">
        <v>572</v>
      </c>
      <c r="R280">
        <v>376</v>
      </c>
      <c r="S280">
        <v>2100</v>
      </c>
      <c r="T280">
        <v>284</v>
      </c>
      <c r="U280">
        <v>137</v>
      </c>
      <c r="V280">
        <v>209.64173400000001</v>
      </c>
      <c r="W280">
        <v>240.5208433</v>
      </c>
      <c r="X280">
        <v>200.80680709999999</v>
      </c>
      <c r="Y280">
        <v>148.4985307</v>
      </c>
      <c r="Z280">
        <v>98.081065749999993</v>
      </c>
      <c r="AA280">
        <v>65</v>
      </c>
      <c r="AB280">
        <v>318.24086679999999</v>
      </c>
      <c r="AC280">
        <v>293.0796489</v>
      </c>
      <c r="AD280">
        <v>222.39943239999999</v>
      </c>
      <c r="AE280">
        <v>145.330893</v>
      </c>
      <c r="AF280">
        <v>114.6817001</v>
      </c>
      <c r="AG280">
        <v>55</v>
      </c>
      <c r="AH280">
        <v>311.63994550000001</v>
      </c>
      <c r="AI280">
        <v>236.04952410000001</v>
      </c>
      <c r="AJ280">
        <v>203.01563530000001</v>
      </c>
      <c r="AK280">
        <v>162.5651628</v>
      </c>
      <c r="AL280">
        <v>112.4652499</v>
      </c>
      <c r="AM280">
        <v>55</v>
      </c>
      <c r="AN280">
        <v>300.49030770000002</v>
      </c>
      <c r="AO280">
        <v>215.8347771</v>
      </c>
      <c r="AP280">
        <v>185.2959611</v>
      </c>
      <c r="AQ280">
        <v>164.0728211</v>
      </c>
      <c r="AR280">
        <v>117.4917758</v>
      </c>
      <c r="AS280">
        <v>55</v>
      </c>
      <c r="AT280">
        <v>1.467561E-2</v>
      </c>
      <c r="AU280">
        <v>7.5649200000000002E-3</v>
      </c>
      <c r="AV280">
        <v>3.4480780000000003E-2</v>
      </c>
      <c r="AW280">
        <v>2.777843E-2</v>
      </c>
      <c r="AX280">
        <v>1.6568409999999999E-2</v>
      </c>
      <c r="AY280">
        <v>0.18112499000000001</v>
      </c>
      <c r="AZ280">
        <v>3.4594640000000003E-2</v>
      </c>
      <c r="BA280">
        <v>5.44742E-2</v>
      </c>
      <c r="BB280">
        <v>9.9859779999999995E-2</v>
      </c>
      <c r="BC280">
        <v>2.9233780000000001E-2</v>
      </c>
      <c r="BD280">
        <v>5.8793610000000003E-2</v>
      </c>
      <c r="BE280">
        <v>5.7801499999999999E-2</v>
      </c>
      <c r="BF280">
        <v>0.15135235</v>
      </c>
      <c r="BG280">
        <v>4.7906070000000002E-2</v>
      </c>
      <c r="BH280">
        <v>1.859852E-2</v>
      </c>
      <c r="BI280">
        <v>2.5531939999999999E-2</v>
      </c>
      <c r="BJ280">
        <v>1.681268E-2</v>
      </c>
      <c r="BK280">
        <v>0.10233117</v>
      </c>
      <c r="BL280">
        <v>1.373803E-2</v>
      </c>
      <c r="BM280">
        <v>6.7785900000000001E-3</v>
      </c>
      <c r="BN280">
        <v>2486</v>
      </c>
      <c r="BO280">
        <v>284.74519780000003</v>
      </c>
      <c r="BP280">
        <v>190</v>
      </c>
    </row>
    <row r="281" spans="1:68" x14ac:dyDescent="0.2">
      <c r="A281" t="s">
        <v>846</v>
      </c>
      <c r="B281">
        <v>137</v>
      </c>
      <c r="C281">
        <v>482</v>
      </c>
      <c r="D281">
        <v>667</v>
      </c>
      <c r="E281">
        <v>1440</v>
      </c>
      <c r="F281">
        <v>476</v>
      </c>
      <c r="G281">
        <v>2719</v>
      </c>
      <c r="H281">
        <v>470</v>
      </c>
      <c r="I281">
        <v>755</v>
      </c>
      <c r="J281">
        <v>940</v>
      </c>
      <c r="K281">
        <v>277</v>
      </c>
      <c r="L281">
        <v>422</v>
      </c>
      <c r="M281">
        <v>664</v>
      </c>
      <c r="N281">
        <v>1218</v>
      </c>
      <c r="O281">
        <v>1029</v>
      </c>
      <c r="P281">
        <v>202</v>
      </c>
      <c r="Q281">
        <v>21</v>
      </c>
      <c r="R281">
        <v>902</v>
      </c>
      <c r="S281">
        <v>1816</v>
      </c>
      <c r="T281">
        <v>412</v>
      </c>
      <c r="U281">
        <v>99</v>
      </c>
      <c r="V281">
        <v>318.03639190000001</v>
      </c>
      <c r="W281">
        <v>243.37096969999999</v>
      </c>
      <c r="X281">
        <v>222.2701979</v>
      </c>
      <c r="Y281">
        <v>155.4537048</v>
      </c>
      <c r="Z281">
        <v>127.4717462</v>
      </c>
      <c r="AA281">
        <v>65</v>
      </c>
      <c r="AB281">
        <v>317.12334129999999</v>
      </c>
      <c r="AC281">
        <v>299.64662070000003</v>
      </c>
      <c r="AD281">
        <v>218.22672320000001</v>
      </c>
      <c r="AE281">
        <v>147.12074659999999</v>
      </c>
      <c r="AF281">
        <v>119.92923380000001</v>
      </c>
      <c r="AG281">
        <v>55</v>
      </c>
      <c r="AH281">
        <v>315.96013729999999</v>
      </c>
      <c r="AI281">
        <v>261.12884409999998</v>
      </c>
      <c r="AJ281">
        <v>222.74170910000001</v>
      </c>
      <c r="AK281">
        <v>165.70620729999999</v>
      </c>
      <c r="AL281">
        <v>119.48072209999999</v>
      </c>
      <c r="AM281">
        <v>55</v>
      </c>
      <c r="AN281">
        <v>267.48902609999999</v>
      </c>
      <c r="AO281">
        <v>244.3655205</v>
      </c>
      <c r="AP281">
        <v>211.06205510000001</v>
      </c>
      <c r="AQ281">
        <v>162.78956959999999</v>
      </c>
      <c r="AR281">
        <v>118</v>
      </c>
      <c r="AS281">
        <v>55</v>
      </c>
      <c r="AT281">
        <v>1.014688E-2</v>
      </c>
      <c r="AU281">
        <v>2.8581990000000002E-2</v>
      </c>
      <c r="AV281">
        <v>3.6814659999999999E-2</v>
      </c>
      <c r="AW281">
        <v>0.10367075000000001</v>
      </c>
      <c r="AX281">
        <v>3.3950840000000003E-2</v>
      </c>
      <c r="AY281">
        <v>0.18390132000000001</v>
      </c>
      <c r="AZ281">
        <v>3.218903E-2</v>
      </c>
      <c r="BA281">
        <v>4.8959170000000003E-2</v>
      </c>
      <c r="BB281">
        <v>6.0206170000000003E-2</v>
      </c>
      <c r="BC281">
        <v>2.106071E-2</v>
      </c>
      <c r="BD281">
        <v>2.9128089999999999E-2</v>
      </c>
      <c r="BE281">
        <v>4.2866880000000003E-2</v>
      </c>
      <c r="BF281">
        <v>8.1376619999999997E-2</v>
      </c>
      <c r="BG281">
        <v>6.5209690000000001E-2</v>
      </c>
      <c r="BH281">
        <v>1.2749089999999999E-2</v>
      </c>
      <c r="BI281">
        <v>1.8027500000000001E-3</v>
      </c>
      <c r="BJ281">
        <v>5.7694090000000003E-2</v>
      </c>
      <c r="BK281">
        <v>0.11791935000000001</v>
      </c>
      <c r="BL281">
        <v>2.5582279999999999E-2</v>
      </c>
      <c r="BM281">
        <v>6.1896399999999997E-3</v>
      </c>
      <c r="BN281">
        <v>1995</v>
      </c>
      <c r="BO281">
        <v>254.9080793</v>
      </c>
      <c r="BP281">
        <v>190</v>
      </c>
    </row>
    <row r="282" spans="1:68" x14ac:dyDescent="0.2">
      <c r="A282" t="s">
        <v>847</v>
      </c>
      <c r="B282">
        <v>216</v>
      </c>
      <c r="C282">
        <v>479</v>
      </c>
      <c r="D282">
        <v>875</v>
      </c>
      <c r="E282">
        <v>902</v>
      </c>
      <c r="F282">
        <v>153</v>
      </c>
      <c r="G282">
        <v>1674</v>
      </c>
      <c r="H282">
        <v>161</v>
      </c>
      <c r="I282">
        <v>519</v>
      </c>
      <c r="J282">
        <v>829</v>
      </c>
      <c r="K282">
        <v>232</v>
      </c>
      <c r="L282">
        <v>799</v>
      </c>
      <c r="M282">
        <v>658</v>
      </c>
      <c r="N282">
        <v>1418</v>
      </c>
      <c r="O282">
        <v>656</v>
      </c>
      <c r="P282">
        <v>204</v>
      </c>
      <c r="Q282">
        <v>98</v>
      </c>
      <c r="R282">
        <v>459</v>
      </c>
      <c r="S282">
        <v>2127</v>
      </c>
      <c r="T282">
        <v>318</v>
      </c>
      <c r="U282">
        <v>53</v>
      </c>
      <c r="V282">
        <v>220.8231571</v>
      </c>
      <c r="W282">
        <v>256.9065784</v>
      </c>
      <c r="X282">
        <v>187.40217100000001</v>
      </c>
      <c r="Y282">
        <v>143.59288520000001</v>
      </c>
      <c r="Z282">
        <v>123.5773032</v>
      </c>
      <c r="AA282">
        <v>65</v>
      </c>
      <c r="AB282">
        <v>311.52084530000002</v>
      </c>
      <c r="AC282">
        <v>300.48038650000001</v>
      </c>
      <c r="AD282">
        <v>205.60127069999999</v>
      </c>
      <c r="AE282">
        <v>143.78418959999999</v>
      </c>
      <c r="AF282">
        <v>116.1774535</v>
      </c>
      <c r="AG282">
        <v>55</v>
      </c>
      <c r="AH282">
        <v>303.88146610000001</v>
      </c>
      <c r="AI282">
        <v>259.11591520000002</v>
      </c>
      <c r="AJ282">
        <v>216.67043340000001</v>
      </c>
      <c r="AK282">
        <v>161.4674842</v>
      </c>
      <c r="AL282">
        <v>111.8221219</v>
      </c>
      <c r="AM282">
        <v>55</v>
      </c>
      <c r="AN282">
        <v>254.71431759999999</v>
      </c>
      <c r="AO282">
        <v>235.9892753</v>
      </c>
      <c r="AP282">
        <v>203.50311160000001</v>
      </c>
      <c r="AQ282">
        <v>176.12978219999999</v>
      </c>
      <c r="AR282">
        <v>113.7595397</v>
      </c>
      <c r="AS282">
        <v>55</v>
      </c>
      <c r="AT282">
        <v>1.841982E-2</v>
      </c>
      <c r="AU282">
        <v>3.8011389999999999E-2</v>
      </c>
      <c r="AV282">
        <v>6.8893609999999994E-2</v>
      </c>
      <c r="AW282">
        <v>7.2516490000000003E-2</v>
      </c>
      <c r="AX282">
        <v>1.422988E-2</v>
      </c>
      <c r="AY282">
        <v>0.12869025000000001</v>
      </c>
      <c r="AZ282">
        <v>1.3181770000000001E-2</v>
      </c>
      <c r="BA282">
        <v>4.0119460000000003E-2</v>
      </c>
      <c r="BB282">
        <v>6.2763719999999995E-2</v>
      </c>
      <c r="BC282">
        <v>2.0108770000000002E-2</v>
      </c>
      <c r="BD282">
        <v>6.1210670000000002E-2</v>
      </c>
      <c r="BE282">
        <v>4.9997739999999999E-2</v>
      </c>
      <c r="BF282">
        <v>0.10969400999999999</v>
      </c>
      <c r="BG282">
        <v>5.1175709999999999E-2</v>
      </c>
      <c r="BH282">
        <v>1.7735979999999998E-2</v>
      </c>
      <c r="BI282">
        <v>7.5719799999999999E-3</v>
      </c>
      <c r="BJ282">
        <v>3.4884940000000003E-2</v>
      </c>
      <c r="BK282">
        <v>0.16271035</v>
      </c>
      <c r="BL282">
        <v>2.3864010000000001E-2</v>
      </c>
      <c r="BM282">
        <v>4.2194499999999996E-3</v>
      </c>
      <c r="BN282">
        <v>1773</v>
      </c>
      <c r="BO282">
        <v>269.07629489999999</v>
      </c>
      <c r="BP282">
        <v>190</v>
      </c>
    </row>
    <row r="283" spans="1:68" x14ac:dyDescent="0.2">
      <c r="A283" t="s">
        <v>848</v>
      </c>
      <c r="B283">
        <v>119</v>
      </c>
      <c r="C283">
        <v>17</v>
      </c>
      <c r="D283">
        <v>313</v>
      </c>
      <c r="E283">
        <v>644</v>
      </c>
      <c r="F283">
        <v>570</v>
      </c>
      <c r="G283">
        <v>2466</v>
      </c>
      <c r="H283">
        <v>701</v>
      </c>
      <c r="I283">
        <v>1002</v>
      </c>
      <c r="J283">
        <v>1503</v>
      </c>
      <c r="K283">
        <v>423</v>
      </c>
      <c r="L283">
        <v>310</v>
      </c>
      <c r="M283">
        <v>675</v>
      </c>
      <c r="N283">
        <v>1466</v>
      </c>
      <c r="O283">
        <v>727</v>
      </c>
      <c r="P283">
        <v>379</v>
      </c>
      <c r="Q283">
        <v>64</v>
      </c>
      <c r="R283">
        <v>145</v>
      </c>
      <c r="S283">
        <v>1032</v>
      </c>
      <c r="T283">
        <v>224</v>
      </c>
      <c r="U283">
        <v>187</v>
      </c>
      <c r="V283">
        <v>234.9672401</v>
      </c>
      <c r="W283">
        <v>331.32210029999999</v>
      </c>
      <c r="X283">
        <v>203.57332969999999</v>
      </c>
      <c r="Y283">
        <v>163.5173992</v>
      </c>
      <c r="Z283">
        <v>122.6469268</v>
      </c>
      <c r="AA283">
        <v>65</v>
      </c>
      <c r="AB283">
        <v>306.21191290000002</v>
      </c>
      <c r="AC283">
        <v>275.6574718</v>
      </c>
      <c r="AD283">
        <v>225.1638643</v>
      </c>
      <c r="AE283">
        <v>149.0352753</v>
      </c>
      <c r="AF283">
        <v>118.2859873</v>
      </c>
      <c r="AG283">
        <v>55</v>
      </c>
      <c r="AH283">
        <v>300.6229783</v>
      </c>
      <c r="AI283">
        <v>253.55682350000001</v>
      </c>
      <c r="AJ283">
        <v>216.68493340000001</v>
      </c>
      <c r="AK283">
        <v>167.49981249999999</v>
      </c>
      <c r="AL283">
        <v>115.5067912</v>
      </c>
      <c r="AM283">
        <v>55</v>
      </c>
      <c r="AN283">
        <v>301.85374940000003</v>
      </c>
      <c r="AO283">
        <v>224.50169700000001</v>
      </c>
      <c r="AP283">
        <v>205.8176661</v>
      </c>
      <c r="AQ283">
        <v>175.90199000000001</v>
      </c>
      <c r="AR283">
        <v>114.9135096</v>
      </c>
      <c r="AS283">
        <v>55</v>
      </c>
      <c r="AT283">
        <v>1.0397399999999999E-2</v>
      </c>
      <c r="AU283">
        <v>1.37116E-3</v>
      </c>
      <c r="AV283">
        <v>2.5195169999999999E-2</v>
      </c>
      <c r="AW283">
        <v>5.2657059999999999E-2</v>
      </c>
      <c r="AX283">
        <v>4.9780230000000002E-2</v>
      </c>
      <c r="AY283">
        <v>0.18445333</v>
      </c>
      <c r="AZ283">
        <v>5.2637759999999999E-2</v>
      </c>
      <c r="BA283">
        <v>7.7066540000000003E-2</v>
      </c>
      <c r="BB283">
        <v>0.11253117</v>
      </c>
      <c r="BC283">
        <v>3.537941E-2</v>
      </c>
      <c r="BD283">
        <v>2.4704159999999999E-2</v>
      </c>
      <c r="BE283">
        <v>5.098896E-2</v>
      </c>
      <c r="BF283">
        <v>0.10806324</v>
      </c>
      <c r="BG283">
        <v>5.6726409999999998E-2</v>
      </c>
      <c r="BH283">
        <v>3.1194039999999999E-2</v>
      </c>
      <c r="BI283">
        <v>4.8535999999999996E-3</v>
      </c>
      <c r="BJ283">
        <v>1.089744E-2</v>
      </c>
      <c r="BK283">
        <v>7.773149E-2</v>
      </c>
      <c r="BL283">
        <v>1.7813840000000001E-2</v>
      </c>
      <c r="BM283">
        <v>1.555759E-2</v>
      </c>
      <c r="BN283">
        <v>986</v>
      </c>
      <c r="BO283">
        <v>284.99993910000001</v>
      </c>
      <c r="BP283">
        <v>190</v>
      </c>
    </row>
    <row r="284" spans="1:68" x14ac:dyDescent="0.2">
      <c r="A284" t="s">
        <v>849</v>
      </c>
      <c r="B284">
        <v>380</v>
      </c>
      <c r="C284">
        <v>1215</v>
      </c>
      <c r="D284">
        <v>3152</v>
      </c>
      <c r="E284">
        <v>1823</v>
      </c>
      <c r="F284">
        <v>2580</v>
      </c>
      <c r="G284">
        <v>843</v>
      </c>
      <c r="H284">
        <v>256</v>
      </c>
      <c r="I284">
        <v>534</v>
      </c>
      <c r="J284">
        <v>1157</v>
      </c>
      <c r="K284">
        <v>570</v>
      </c>
      <c r="L284">
        <v>1029</v>
      </c>
      <c r="M284">
        <v>993</v>
      </c>
      <c r="N284">
        <v>2789</v>
      </c>
      <c r="O284">
        <v>3316</v>
      </c>
      <c r="P284">
        <v>1049</v>
      </c>
      <c r="Q284">
        <v>222</v>
      </c>
      <c r="R284">
        <v>1192</v>
      </c>
      <c r="S284">
        <v>4135</v>
      </c>
      <c r="T284">
        <v>3659</v>
      </c>
      <c r="U284">
        <v>1261</v>
      </c>
      <c r="V284">
        <v>183.6989634</v>
      </c>
      <c r="W284">
        <v>223.2860484</v>
      </c>
      <c r="X284">
        <v>208.6560613</v>
      </c>
      <c r="Y284">
        <v>148.6662685</v>
      </c>
      <c r="Z284">
        <v>115.27599429999999</v>
      </c>
      <c r="AA284">
        <v>65</v>
      </c>
      <c r="AB284">
        <v>300.81896</v>
      </c>
      <c r="AC284">
        <v>263.81713430000002</v>
      </c>
      <c r="AD284">
        <v>206.1958621</v>
      </c>
      <c r="AE284">
        <v>141.76831179999999</v>
      </c>
      <c r="AF284">
        <v>116.9402967</v>
      </c>
      <c r="AG284">
        <v>55</v>
      </c>
      <c r="AH284">
        <v>302.8556605</v>
      </c>
      <c r="AI284">
        <v>228.76471860000001</v>
      </c>
      <c r="AJ284">
        <v>201.75165730000001</v>
      </c>
      <c r="AK284">
        <v>156.53002430000001</v>
      </c>
      <c r="AL284">
        <v>117.5546968</v>
      </c>
      <c r="AM284">
        <v>55</v>
      </c>
      <c r="AN284">
        <v>318.22234159999999</v>
      </c>
      <c r="AO284">
        <v>217.96635810000001</v>
      </c>
      <c r="AP284">
        <v>192.76308950000001</v>
      </c>
      <c r="AQ284">
        <v>158.02706599999999</v>
      </c>
      <c r="AR284">
        <v>115.95749929999999</v>
      </c>
      <c r="AS284">
        <v>55</v>
      </c>
      <c r="AT284">
        <v>1.147755E-2</v>
      </c>
      <c r="AU284">
        <v>4.1820000000000003E-2</v>
      </c>
      <c r="AV284">
        <v>9.8364359999999998E-2</v>
      </c>
      <c r="AW284">
        <v>5.5722840000000003E-2</v>
      </c>
      <c r="AX284">
        <v>7.8084600000000004E-2</v>
      </c>
      <c r="AY284">
        <v>2.6961639999999999E-2</v>
      </c>
      <c r="AZ284">
        <v>7.9828E-3</v>
      </c>
      <c r="BA284">
        <v>1.745145E-2</v>
      </c>
      <c r="BB284">
        <v>3.596158E-2</v>
      </c>
      <c r="BC284">
        <v>1.7145239999999999E-2</v>
      </c>
      <c r="BD284">
        <v>3.2604519999999998E-2</v>
      </c>
      <c r="BE284">
        <v>3.054314E-2</v>
      </c>
      <c r="BF284">
        <v>8.7102020000000002E-2</v>
      </c>
      <c r="BG284">
        <v>0.10303710000000001</v>
      </c>
      <c r="BH284">
        <v>3.1378450000000002E-2</v>
      </c>
      <c r="BI284">
        <v>6.8832299999999997E-3</v>
      </c>
      <c r="BJ284">
        <v>3.654789E-2</v>
      </c>
      <c r="BK284">
        <v>0.12726372999999999</v>
      </c>
      <c r="BL284">
        <v>0.11648217</v>
      </c>
      <c r="BM284">
        <v>3.718569E-2</v>
      </c>
      <c r="BN284">
        <v>3520</v>
      </c>
      <c r="BO284">
        <v>229.96836709999999</v>
      </c>
      <c r="BP284">
        <v>190</v>
      </c>
    </row>
    <row r="285" spans="1:68" x14ac:dyDescent="0.2">
      <c r="A285" t="s">
        <v>850</v>
      </c>
      <c r="B285">
        <v>212</v>
      </c>
      <c r="C285">
        <v>61</v>
      </c>
      <c r="D285">
        <v>658</v>
      </c>
      <c r="E285">
        <v>854</v>
      </c>
      <c r="F285">
        <v>162</v>
      </c>
      <c r="G285">
        <v>1644</v>
      </c>
      <c r="H285">
        <v>822</v>
      </c>
      <c r="I285">
        <v>1351</v>
      </c>
      <c r="J285">
        <v>1431</v>
      </c>
      <c r="K285">
        <v>454</v>
      </c>
      <c r="L285">
        <v>387</v>
      </c>
      <c r="M285">
        <v>872</v>
      </c>
      <c r="N285">
        <v>1997</v>
      </c>
      <c r="O285">
        <v>1471</v>
      </c>
      <c r="P285">
        <v>461</v>
      </c>
      <c r="Q285">
        <v>119</v>
      </c>
      <c r="R285">
        <v>369</v>
      </c>
      <c r="S285">
        <v>1625</v>
      </c>
      <c r="T285">
        <v>374</v>
      </c>
      <c r="U285">
        <v>159</v>
      </c>
      <c r="V285">
        <v>224.68714919999999</v>
      </c>
      <c r="W285">
        <v>241.16399000000001</v>
      </c>
      <c r="X285">
        <v>196.0969207</v>
      </c>
      <c r="Y285">
        <v>170.0872426</v>
      </c>
      <c r="Z285">
        <v>124.61346020000001</v>
      </c>
      <c r="AA285">
        <v>65</v>
      </c>
      <c r="AB285">
        <v>293.46701919999998</v>
      </c>
      <c r="AC285">
        <v>267.51669149999998</v>
      </c>
      <c r="AD285">
        <v>216.63099159999999</v>
      </c>
      <c r="AE285">
        <v>149.49917529999999</v>
      </c>
      <c r="AF285">
        <v>115.4066823</v>
      </c>
      <c r="AG285">
        <v>55</v>
      </c>
      <c r="AH285">
        <v>288.54325019999999</v>
      </c>
      <c r="AI285">
        <v>226.7075189</v>
      </c>
      <c r="AJ285">
        <v>191.87859409999999</v>
      </c>
      <c r="AK285">
        <v>162.39942260000001</v>
      </c>
      <c r="AL285">
        <v>117.4733241</v>
      </c>
      <c r="AM285">
        <v>55</v>
      </c>
      <c r="AN285">
        <v>278.02960430000002</v>
      </c>
      <c r="AO285">
        <v>226.0816524</v>
      </c>
      <c r="AP285">
        <v>178.7649533</v>
      </c>
      <c r="AQ285">
        <v>161.0020457</v>
      </c>
      <c r="AR285">
        <v>115.8704412</v>
      </c>
      <c r="AS285">
        <v>55</v>
      </c>
      <c r="AT285">
        <v>1.4430159999999999E-2</v>
      </c>
      <c r="AU285">
        <v>4.4224199999999998E-3</v>
      </c>
      <c r="AV285">
        <v>4.3965829999999997E-2</v>
      </c>
      <c r="AW285">
        <v>5.6461259999999999E-2</v>
      </c>
      <c r="AX285">
        <v>1.333648E-2</v>
      </c>
      <c r="AY285">
        <v>0.10150824</v>
      </c>
      <c r="AZ285">
        <v>4.9296510000000002E-2</v>
      </c>
      <c r="BA285">
        <v>8.1581870000000001E-2</v>
      </c>
      <c r="BB285">
        <v>9.0833010000000006E-2</v>
      </c>
      <c r="BC285">
        <v>3.2204940000000001E-2</v>
      </c>
      <c r="BD285">
        <v>2.6445550000000002E-2</v>
      </c>
      <c r="BE285">
        <v>5.5683589999999998E-2</v>
      </c>
      <c r="BF285">
        <v>0.12488356</v>
      </c>
      <c r="BG285">
        <v>9.3156829999999996E-2</v>
      </c>
      <c r="BH285">
        <v>3.4698300000000001E-2</v>
      </c>
      <c r="BI285">
        <v>8.4132800000000004E-3</v>
      </c>
      <c r="BJ285">
        <v>2.6042079999999999E-2</v>
      </c>
      <c r="BK285">
        <v>0.10596510000000001</v>
      </c>
      <c r="BL285">
        <v>2.5545809999999999E-2</v>
      </c>
      <c r="BM285">
        <v>1.112518E-2</v>
      </c>
      <c r="BN285">
        <v>2798</v>
      </c>
      <c r="BO285">
        <v>275.61307900000003</v>
      </c>
      <c r="BP285">
        <v>190</v>
      </c>
    </row>
    <row r="286" spans="1:68" x14ac:dyDescent="0.2">
      <c r="A286" t="s">
        <v>851</v>
      </c>
      <c r="B286">
        <v>211</v>
      </c>
      <c r="C286">
        <v>738</v>
      </c>
      <c r="D286">
        <v>3773</v>
      </c>
      <c r="E286">
        <v>3361</v>
      </c>
      <c r="F286">
        <v>1506</v>
      </c>
      <c r="G286">
        <v>3713</v>
      </c>
      <c r="H286">
        <v>1704</v>
      </c>
      <c r="I286">
        <v>2352</v>
      </c>
      <c r="J286">
        <v>3412</v>
      </c>
      <c r="K286">
        <v>993</v>
      </c>
      <c r="L286">
        <v>1188</v>
      </c>
      <c r="M286">
        <v>3366</v>
      </c>
      <c r="N286">
        <v>5161</v>
      </c>
      <c r="O286">
        <v>4204</v>
      </c>
      <c r="P286">
        <v>892</v>
      </c>
      <c r="Q286">
        <v>69</v>
      </c>
      <c r="R286">
        <v>2432</v>
      </c>
      <c r="S286">
        <v>7198</v>
      </c>
      <c r="T286">
        <v>2303</v>
      </c>
      <c r="U286">
        <v>594</v>
      </c>
      <c r="V286">
        <v>243.84405889999999</v>
      </c>
      <c r="W286">
        <v>258.97362650000002</v>
      </c>
      <c r="X286">
        <v>207.68860470000001</v>
      </c>
      <c r="Y286">
        <v>170.0820794</v>
      </c>
      <c r="Z286">
        <v>117.7036279</v>
      </c>
      <c r="AA286">
        <v>65</v>
      </c>
      <c r="AB286">
        <v>297.89419909999998</v>
      </c>
      <c r="AC286">
        <v>286.0179698</v>
      </c>
      <c r="AD286">
        <v>213.78858339999999</v>
      </c>
      <c r="AE286">
        <v>148.8536311</v>
      </c>
      <c r="AF286">
        <v>121.6685183</v>
      </c>
      <c r="AG286">
        <v>55</v>
      </c>
      <c r="AH286">
        <v>311.36444399999999</v>
      </c>
      <c r="AI286">
        <v>242.03065459999999</v>
      </c>
      <c r="AJ286">
        <v>215.93378609999999</v>
      </c>
      <c r="AK286">
        <v>166.91842539999999</v>
      </c>
      <c r="AL286">
        <v>118.4280201</v>
      </c>
      <c r="AM286">
        <v>55</v>
      </c>
      <c r="AN286">
        <v>290.00070970000002</v>
      </c>
      <c r="AO286">
        <v>221.47151969999999</v>
      </c>
      <c r="AP286">
        <v>197.83852279999999</v>
      </c>
      <c r="AQ286">
        <v>170.81761689999999</v>
      </c>
      <c r="AR286">
        <v>117.7989886</v>
      </c>
      <c r="AS286">
        <v>55</v>
      </c>
      <c r="AT286">
        <v>3.80752E-3</v>
      </c>
      <c r="AU286">
        <v>1.481639E-2</v>
      </c>
      <c r="AV286">
        <v>7.7211230000000006E-2</v>
      </c>
      <c r="AW286">
        <v>6.6885630000000001E-2</v>
      </c>
      <c r="AX286">
        <v>2.973924E-2</v>
      </c>
      <c r="AY286">
        <v>7.5968690000000005E-2</v>
      </c>
      <c r="AZ286">
        <v>3.469063E-2</v>
      </c>
      <c r="BA286">
        <v>4.7492600000000003E-2</v>
      </c>
      <c r="BB286">
        <v>6.976309E-2</v>
      </c>
      <c r="BC286">
        <v>1.959646E-2</v>
      </c>
      <c r="BD286">
        <v>2.4017179999999999E-2</v>
      </c>
      <c r="BE286">
        <v>6.8762539999999997E-2</v>
      </c>
      <c r="BF286">
        <v>0.10587974999999999</v>
      </c>
      <c r="BG286">
        <v>8.5111309999999996E-2</v>
      </c>
      <c r="BH286">
        <v>1.770126E-2</v>
      </c>
      <c r="BI286">
        <v>1.51929E-3</v>
      </c>
      <c r="BJ286">
        <v>4.9920119999999998E-2</v>
      </c>
      <c r="BK286">
        <v>0.14777124</v>
      </c>
      <c r="BL286">
        <v>4.7341050000000003E-2</v>
      </c>
      <c r="BM286">
        <v>1.200478E-2</v>
      </c>
      <c r="BN286">
        <v>6165</v>
      </c>
      <c r="BO286">
        <v>229.7552207</v>
      </c>
      <c r="BP286">
        <v>190</v>
      </c>
    </row>
    <row r="287" spans="1:68" x14ac:dyDescent="0.2">
      <c r="A287" t="s">
        <v>852</v>
      </c>
      <c r="B287">
        <v>151</v>
      </c>
      <c r="C287">
        <v>697</v>
      </c>
      <c r="D287">
        <v>2380</v>
      </c>
      <c r="E287">
        <v>1860</v>
      </c>
      <c r="F287">
        <v>1265</v>
      </c>
      <c r="G287">
        <v>913</v>
      </c>
      <c r="H287">
        <v>664</v>
      </c>
      <c r="I287">
        <v>1183</v>
      </c>
      <c r="J287">
        <v>1315</v>
      </c>
      <c r="K287">
        <v>556</v>
      </c>
      <c r="L287">
        <v>719</v>
      </c>
      <c r="M287">
        <v>1668</v>
      </c>
      <c r="N287">
        <v>2379</v>
      </c>
      <c r="O287">
        <v>1863</v>
      </c>
      <c r="P287">
        <v>580</v>
      </c>
      <c r="Q287">
        <v>170</v>
      </c>
      <c r="R287">
        <v>1358</v>
      </c>
      <c r="S287">
        <v>3743</v>
      </c>
      <c r="T287">
        <v>1234</v>
      </c>
      <c r="U287">
        <v>638</v>
      </c>
      <c r="V287">
        <v>309.61691009999998</v>
      </c>
      <c r="W287">
        <v>203.56840500000001</v>
      </c>
      <c r="X287">
        <v>229.16196919999999</v>
      </c>
      <c r="Y287">
        <v>157.74241069999999</v>
      </c>
      <c r="Z287">
        <v>120.1101252</v>
      </c>
      <c r="AA287">
        <v>65</v>
      </c>
      <c r="AB287">
        <v>302.01055810000003</v>
      </c>
      <c r="AC287">
        <v>282.59318569999999</v>
      </c>
      <c r="AD287">
        <v>213.4497748</v>
      </c>
      <c r="AE287">
        <v>153.4912593</v>
      </c>
      <c r="AF287">
        <v>117.1874584</v>
      </c>
      <c r="AG287">
        <v>55</v>
      </c>
      <c r="AH287">
        <v>296.3093025</v>
      </c>
      <c r="AI287">
        <v>249.22330439999999</v>
      </c>
      <c r="AJ287">
        <v>207.08256660000001</v>
      </c>
      <c r="AK287">
        <v>166.32372559999999</v>
      </c>
      <c r="AL287">
        <v>117.78144380000001</v>
      </c>
      <c r="AM287">
        <v>55</v>
      </c>
      <c r="AN287">
        <v>289.13056949999998</v>
      </c>
      <c r="AO287">
        <v>211.6512098</v>
      </c>
      <c r="AP287">
        <v>194.5066673</v>
      </c>
      <c r="AQ287">
        <v>161.44487140000001</v>
      </c>
      <c r="AR287">
        <v>116.1063588</v>
      </c>
      <c r="AS287">
        <v>55</v>
      </c>
      <c r="AT287">
        <v>5.3861200000000003E-3</v>
      </c>
      <c r="AU287">
        <v>2.459739E-2</v>
      </c>
      <c r="AV287">
        <v>8.8218099999999994E-2</v>
      </c>
      <c r="AW287">
        <v>7.8997289999999998E-2</v>
      </c>
      <c r="AX287">
        <v>4.6071599999999997E-2</v>
      </c>
      <c r="AY287">
        <v>3.4715070000000001E-2</v>
      </c>
      <c r="AZ287">
        <v>2.426975E-2</v>
      </c>
      <c r="BA287">
        <v>4.2969750000000001E-2</v>
      </c>
      <c r="BB287">
        <v>5.9304170000000003E-2</v>
      </c>
      <c r="BC287">
        <v>2.149504E-2</v>
      </c>
      <c r="BD287">
        <v>2.8341379999999999E-2</v>
      </c>
      <c r="BE287">
        <v>6.2667619999999993E-2</v>
      </c>
      <c r="BF287">
        <v>8.9219320000000005E-2</v>
      </c>
      <c r="BG287">
        <v>8.7941939999999996E-2</v>
      </c>
      <c r="BH287">
        <v>2.220128E-2</v>
      </c>
      <c r="BI287">
        <v>6.7253E-3</v>
      </c>
      <c r="BJ287">
        <v>5.2545500000000002E-2</v>
      </c>
      <c r="BK287">
        <v>0.14287121</v>
      </c>
      <c r="BL287">
        <v>5.6381100000000003E-2</v>
      </c>
      <c r="BM287">
        <v>2.508107E-2</v>
      </c>
      <c r="BN287">
        <v>2684</v>
      </c>
      <c r="BO287">
        <v>237.69285189999999</v>
      </c>
      <c r="BP287">
        <v>190</v>
      </c>
    </row>
    <row r="288" spans="1:68" x14ac:dyDescent="0.2">
      <c r="A288" t="s">
        <v>853</v>
      </c>
      <c r="B288">
        <v>260</v>
      </c>
      <c r="C288">
        <v>466</v>
      </c>
      <c r="D288">
        <v>1379</v>
      </c>
      <c r="E288">
        <v>1189</v>
      </c>
      <c r="F288">
        <v>701</v>
      </c>
      <c r="G288">
        <v>683</v>
      </c>
      <c r="H288">
        <v>134</v>
      </c>
      <c r="I288">
        <v>311</v>
      </c>
      <c r="J288">
        <v>629</v>
      </c>
      <c r="K288">
        <v>395</v>
      </c>
      <c r="L288">
        <v>1114</v>
      </c>
      <c r="M288">
        <v>511</v>
      </c>
      <c r="N288">
        <v>1256</v>
      </c>
      <c r="O288">
        <v>1052</v>
      </c>
      <c r="P288">
        <v>777</v>
      </c>
      <c r="Q288">
        <v>709</v>
      </c>
      <c r="R288">
        <v>842</v>
      </c>
      <c r="S288">
        <v>1730</v>
      </c>
      <c r="T288">
        <v>1064</v>
      </c>
      <c r="U288">
        <v>648</v>
      </c>
      <c r="V288">
        <v>218.02049170000001</v>
      </c>
      <c r="W288">
        <v>213.9876299</v>
      </c>
      <c r="X288">
        <v>259.03196359999998</v>
      </c>
      <c r="Y288">
        <v>166.22910400000001</v>
      </c>
      <c r="Z288">
        <v>103.7153765</v>
      </c>
      <c r="AA288">
        <v>65</v>
      </c>
      <c r="AB288">
        <v>309.40309020000001</v>
      </c>
      <c r="AC288">
        <v>262.93133699999998</v>
      </c>
      <c r="AD288">
        <v>217.63620309999999</v>
      </c>
      <c r="AE288">
        <v>150.55965069999999</v>
      </c>
      <c r="AF288">
        <v>114.6775439</v>
      </c>
      <c r="AG288">
        <v>55</v>
      </c>
      <c r="AH288">
        <v>300.48443150000003</v>
      </c>
      <c r="AI288">
        <v>210.4288761</v>
      </c>
      <c r="AJ288">
        <v>198.16152030000001</v>
      </c>
      <c r="AK288">
        <v>162.1548746</v>
      </c>
      <c r="AL288">
        <v>115.7014937</v>
      </c>
      <c r="AM288">
        <v>55</v>
      </c>
      <c r="AN288">
        <v>276.64592929999998</v>
      </c>
      <c r="AO288">
        <v>195.7529299</v>
      </c>
      <c r="AP288">
        <v>184.6759969</v>
      </c>
      <c r="AQ288">
        <v>161.9608614</v>
      </c>
      <c r="AR288">
        <v>117.6122641</v>
      </c>
      <c r="AS288">
        <v>55</v>
      </c>
      <c r="AT288">
        <v>1.5594780000000001E-2</v>
      </c>
      <c r="AU288">
        <v>2.5388600000000001E-2</v>
      </c>
      <c r="AV288">
        <v>8.2182370000000005E-2</v>
      </c>
      <c r="AW288">
        <v>7.6049729999999996E-2</v>
      </c>
      <c r="AX288">
        <v>4.9278240000000001E-2</v>
      </c>
      <c r="AY288">
        <v>4.243123E-2</v>
      </c>
      <c r="AZ288">
        <v>8.7602900000000004E-3</v>
      </c>
      <c r="BA288">
        <v>1.8431050000000001E-2</v>
      </c>
      <c r="BB288">
        <v>3.9895149999999997E-2</v>
      </c>
      <c r="BC288">
        <v>2.702543E-2</v>
      </c>
      <c r="BD288">
        <v>7.203917E-2</v>
      </c>
      <c r="BE288">
        <v>3.1885240000000002E-2</v>
      </c>
      <c r="BF288">
        <v>7.5144950000000002E-2</v>
      </c>
      <c r="BG288">
        <v>6.7500980000000002E-2</v>
      </c>
      <c r="BH288">
        <v>5.4101499999999997E-2</v>
      </c>
      <c r="BI288">
        <v>4.5795139999999998E-2</v>
      </c>
      <c r="BJ288">
        <v>5.2465489999999997E-2</v>
      </c>
      <c r="BK288">
        <v>0.10449069</v>
      </c>
      <c r="BL288">
        <v>6.6646360000000002E-2</v>
      </c>
      <c r="BM288">
        <v>4.489361E-2</v>
      </c>
      <c r="BN288">
        <v>1621</v>
      </c>
      <c r="BO288">
        <v>249.18200350000001</v>
      </c>
      <c r="BP288">
        <v>190</v>
      </c>
    </row>
    <row r="289" spans="1:68" x14ac:dyDescent="0.2">
      <c r="A289" t="s">
        <v>854</v>
      </c>
      <c r="B289">
        <v>37</v>
      </c>
      <c r="C289">
        <v>34</v>
      </c>
      <c r="D289">
        <v>264</v>
      </c>
      <c r="E289">
        <v>326</v>
      </c>
      <c r="F289">
        <v>269</v>
      </c>
      <c r="G289">
        <v>338</v>
      </c>
      <c r="H289">
        <v>383</v>
      </c>
      <c r="I289">
        <v>535</v>
      </c>
      <c r="J289">
        <v>480</v>
      </c>
      <c r="K289">
        <v>236</v>
      </c>
      <c r="L289">
        <v>198</v>
      </c>
      <c r="M289">
        <v>337</v>
      </c>
      <c r="N289">
        <v>842</v>
      </c>
      <c r="O289">
        <v>555</v>
      </c>
      <c r="P289">
        <v>144</v>
      </c>
      <c r="Q289">
        <v>58</v>
      </c>
      <c r="R289">
        <v>249</v>
      </c>
      <c r="S289">
        <v>952</v>
      </c>
      <c r="T289">
        <v>488</v>
      </c>
      <c r="U289">
        <v>162</v>
      </c>
      <c r="V289">
        <v>118</v>
      </c>
      <c r="W289">
        <v>167.18610910000001</v>
      </c>
      <c r="X289">
        <v>167.19967650000001</v>
      </c>
      <c r="Y289">
        <v>157.0788149</v>
      </c>
      <c r="Z289">
        <v>112.2049775</v>
      </c>
      <c r="AA289">
        <v>65</v>
      </c>
      <c r="AB289">
        <v>297.03109230000001</v>
      </c>
      <c r="AC289">
        <v>270.6206856</v>
      </c>
      <c r="AD289">
        <v>223.47217029999999</v>
      </c>
      <c r="AE289">
        <v>157.7130784</v>
      </c>
      <c r="AF289">
        <v>118.70921149999999</v>
      </c>
      <c r="AG289">
        <v>55</v>
      </c>
      <c r="AH289">
        <v>313.5555713</v>
      </c>
      <c r="AI289">
        <v>245.48052870000001</v>
      </c>
      <c r="AJ289">
        <v>200.57704770000001</v>
      </c>
      <c r="AK289">
        <v>166.88377610000001</v>
      </c>
      <c r="AL289">
        <v>111.97953680000001</v>
      </c>
      <c r="AM289">
        <v>55</v>
      </c>
      <c r="AN289">
        <v>319.11163340000002</v>
      </c>
      <c r="AO289">
        <v>204.58680519999999</v>
      </c>
      <c r="AP289">
        <v>189.05094980000001</v>
      </c>
      <c r="AQ289">
        <v>168.21525449999999</v>
      </c>
      <c r="AR289">
        <v>108.8258258</v>
      </c>
      <c r="AS289">
        <v>55</v>
      </c>
      <c r="AT289">
        <v>7.00659E-3</v>
      </c>
      <c r="AU289">
        <v>5.08356E-3</v>
      </c>
      <c r="AV289">
        <v>4.118459E-2</v>
      </c>
      <c r="AW289">
        <v>3.5098530000000003E-2</v>
      </c>
      <c r="AX289">
        <v>4.041202E-2</v>
      </c>
      <c r="AY289">
        <v>4.6504730000000001E-2</v>
      </c>
      <c r="AZ289">
        <v>5.3876710000000001E-2</v>
      </c>
      <c r="BA289">
        <v>7.3779990000000004E-2</v>
      </c>
      <c r="BB289">
        <v>7.0113510000000004E-2</v>
      </c>
      <c r="BC289">
        <v>3.4754599999999997E-2</v>
      </c>
      <c r="BD289">
        <v>2.7294780000000001E-2</v>
      </c>
      <c r="BE289">
        <v>5.3408259999999999E-2</v>
      </c>
      <c r="BF289">
        <v>0.12376615000000001</v>
      </c>
      <c r="BG289">
        <v>7.8438809999999998E-2</v>
      </c>
      <c r="BH289">
        <v>2.2521960000000001E-2</v>
      </c>
      <c r="BI289">
        <v>8.1660299999999995E-3</v>
      </c>
      <c r="BJ289">
        <v>3.8625630000000001E-2</v>
      </c>
      <c r="BK289">
        <v>0.14123616</v>
      </c>
      <c r="BL289">
        <v>7.3343149999999996E-2</v>
      </c>
      <c r="BM289">
        <v>2.5384239999999999E-2</v>
      </c>
      <c r="BN289">
        <v>711</v>
      </c>
      <c r="BO289">
        <v>260.97868590000002</v>
      </c>
      <c r="BP289">
        <v>190</v>
      </c>
    </row>
    <row r="290" spans="1:68" x14ac:dyDescent="0.2">
      <c r="A290" t="s">
        <v>855</v>
      </c>
      <c r="B290">
        <v>14</v>
      </c>
      <c r="C290">
        <v>131</v>
      </c>
      <c r="D290">
        <v>714</v>
      </c>
      <c r="E290">
        <v>1251</v>
      </c>
      <c r="F290">
        <v>391</v>
      </c>
      <c r="G290">
        <v>109</v>
      </c>
      <c r="H290">
        <v>230</v>
      </c>
      <c r="I290">
        <v>363</v>
      </c>
      <c r="J290">
        <v>828</v>
      </c>
      <c r="K290">
        <v>154</v>
      </c>
      <c r="L290">
        <v>220</v>
      </c>
      <c r="M290">
        <v>623</v>
      </c>
      <c r="N290">
        <v>983</v>
      </c>
      <c r="O290">
        <v>1183</v>
      </c>
      <c r="P290">
        <v>331</v>
      </c>
      <c r="Q290">
        <v>35</v>
      </c>
      <c r="R290">
        <v>1067</v>
      </c>
      <c r="S290">
        <v>1617</v>
      </c>
      <c r="T290">
        <v>2079</v>
      </c>
      <c r="U290">
        <v>368</v>
      </c>
      <c r="V290">
        <v>118</v>
      </c>
      <c r="W290">
        <v>241.69500289999999</v>
      </c>
      <c r="X290">
        <v>171.15791490000001</v>
      </c>
      <c r="Y290">
        <v>144.6298534</v>
      </c>
      <c r="Z290">
        <v>99.996002189999999</v>
      </c>
      <c r="AA290">
        <v>65</v>
      </c>
      <c r="AB290">
        <v>263.56990259999998</v>
      </c>
      <c r="AC290">
        <v>280.76017680000001</v>
      </c>
      <c r="AD290">
        <v>212.4062692</v>
      </c>
      <c r="AE290">
        <v>150.7574371</v>
      </c>
      <c r="AF290">
        <v>108.097835</v>
      </c>
      <c r="AG290">
        <v>55</v>
      </c>
      <c r="AH290">
        <v>301.71018880000003</v>
      </c>
      <c r="AI290">
        <v>265.501509</v>
      </c>
      <c r="AJ290">
        <v>206.834418</v>
      </c>
      <c r="AK290">
        <v>159.2306117</v>
      </c>
      <c r="AL290">
        <v>114.3288754</v>
      </c>
      <c r="AM290">
        <v>55</v>
      </c>
      <c r="AN290">
        <v>286.64128040000003</v>
      </c>
      <c r="AO290">
        <v>236.832606</v>
      </c>
      <c r="AP290">
        <v>200.00482160000001</v>
      </c>
      <c r="AQ290">
        <v>154.8015029</v>
      </c>
      <c r="AR290">
        <v>111.1799022</v>
      </c>
      <c r="AS290">
        <v>55</v>
      </c>
      <c r="AT290">
        <v>9.6027999999999999E-4</v>
      </c>
      <c r="AU290">
        <v>9.9130299999999998E-3</v>
      </c>
      <c r="AV290">
        <v>5.4485449999999998E-2</v>
      </c>
      <c r="AW290">
        <v>0.10264869</v>
      </c>
      <c r="AX290">
        <v>3.536181E-2</v>
      </c>
      <c r="AY290">
        <v>7.8047200000000002E-3</v>
      </c>
      <c r="AZ290">
        <v>1.8201249999999999E-2</v>
      </c>
      <c r="BA290">
        <v>2.7804010000000001E-2</v>
      </c>
      <c r="BB290">
        <v>6.2506129999999993E-2</v>
      </c>
      <c r="BC290">
        <v>1.3310829999999999E-2</v>
      </c>
      <c r="BD290">
        <v>1.510887E-2</v>
      </c>
      <c r="BE290">
        <v>4.9882139999999998E-2</v>
      </c>
      <c r="BF290">
        <v>7.7036779999999999E-2</v>
      </c>
      <c r="BG290">
        <v>8.8450420000000002E-2</v>
      </c>
      <c r="BH290">
        <v>3.1280959999999997E-2</v>
      </c>
      <c r="BI290">
        <v>2.50425E-3</v>
      </c>
      <c r="BJ290">
        <v>8.8032589999999994E-2</v>
      </c>
      <c r="BK290">
        <v>0.12337061000000001</v>
      </c>
      <c r="BL290">
        <v>0.15775110000000001</v>
      </c>
      <c r="BM290">
        <v>3.3586079999999997E-2</v>
      </c>
      <c r="BN290">
        <v>1349</v>
      </c>
      <c r="BO290">
        <v>241.0954557</v>
      </c>
      <c r="BP290">
        <v>190</v>
      </c>
    </row>
    <row r="291" spans="1:68" x14ac:dyDescent="0.2">
      <c r="A291" t="s">
        <v>856</v>
      </c>
      <c r="B291">
        <v>159</v>
      </c>
      <c r="C291">
        <v>120</v>
      </c>
      <c r="D291">
        <v>292</v>
      </c>
      <c r="E291">
        <v>650</v>
      </c>
      <c r="F291">
        <v>818</v>
      </c>
      <c r="G291">
        <v>696</v>
      </c>
      <c r="H291">
        <v>803</v>
      </c>
      <c r="I291">
        <v>1348</v>
      </c>
      <c r="J291">
        <v>965</v>
      </c>
      <c r="K291">
        <v>288</v>
      </c>
      <c r="L291">
        <v>380</v>
      </c>
      <c r="M291">
        <v>708</v>
      </c>
      <c r="N291">
        <v>1549</v>
      </c>
      <c r="O291">
        <v>949</v>
      </c>
      <c r="P291">
        <v>296</v>
      </c>
      <c r="Q291">
        <v>132</v>
      </c>
      <c r="R291">
        <v>300</v>
      </c>
      <c r="S291">
        <v>980</v>
      </c>
      <c r="T291">
        <v>821</v>
      </c>
      <c r="U291">
        <v>294</v>
      </c>
      <c r="V291">
        <v>268.38891619999998</v>
      </c>
      <c r="W291">
        <v>249.40433770000001</v>
      </c>
      <c r="X291">
        <v>174.40749070000001</v>
      </c>
      <c r="Y291">
        <v>134.7178677</v>
      </c>
      <c r="Z291">
        <v>106.0635211</v>
      </c>
      <c r="AA291">
        <v>65</v>
      </c>
      <c r="AB291">
        <v>303.31016829999999</v>
      </c>
      <c r="AC291">
        <v>276.67132520000001</v>
      </c>
      <c r="AD291">
        <v>211.39814799999999</v>
      </c>
      <c r="AE291">
        <v>144.83020379999999</v>
      </c>
      <c r="AF291">
        <v>116.92597960000001</v>
      </c>
      <c r="AG291">
        <v>55</v>
      </c>
      <c r="AH291">
        <v>272.60005360000002</v>
      </c>
      <c r="AI291">
        <v>256.57070210000001</v>
      </c>
      <c r="AJ291">
        <v>196.0466389</v>
      </c>
      <c r="AK291">
        <v>147.9118034</v>
      </c>
      <c r="AL291">
        <v>108.3148932</v>
      </c>
      <c r="AM291">
        <v>55</v>
      </c>
      <c r="AN291">
        <v>266.68640479999999</v>
      </c>
      <c r="AO291">
        <v>233.21011619999999</v>
      </c>
      <c r="AP291">
        <v>180.07206350000001</v>
      </c>
      <c r="AQ291">
        <v>133.41809470000001</v>
      </c>
      <c r="AR291">
        <v>103.0992529</v>
      </c>
      <c r="AS291">
        <v>55</v>
      </c>
      <c r="AT291">
        <v>1.4279190000000001E-2</v>
      </c>
      <c r="AU291">
        <v>9.1029000000000006E-3</v>
      </c>
      <c r="AV291">
        <v>2.13408E-2</v>
      </c>
      <c r="AW291">
        <v>5.243954E-2</v>
      </c>
      <c r="AX291">
        <v>6.8416069999999995E-2</v>
      </c>
      <c r="AY291">
        <v>5.3605380000000001E-2</v>
      </c>
      <c r="AZ291">
        <v>6.2673919999999994E-2</v>
      </c>
      <c r="BA291">
        <v>0.10825433</v>
      </c>
      <c r="BB291">
        <v>7.4860620000000003E-2</v>
      </c>
      <c r="BC291">
        <v>2.2977540000000001E-2</v>
      </c>
      <c r="BD291">
        <v>2.940417E-2</v>
      </c>
      <c r="BE291">
        <v>5.6381069999999998E-2</v>
      </c>
      <c r="BF291">
        <v>0.11974224999999999</v>
      </c>
      <c r="BG291">
        <v>7.6471330000000004E-2</v>
      </c>
      <c r="BH291">
        <v>2.7132449999999999E-2</v>
      </c>
      <c r="BI291">
        <v>1.0151810000000001E-2</v>
      </c>
      <c r="BJ291">
        <v>2.3838270000000002E-2</v>
      </c>
      <c r="BK291">
        <v>7.6814640000000003E-2</v>
      </c>
      <c r="BL291">
        <v>6.6333600000000006E-2</v>
      </c>
      <c r="BM291">
        <v>2.578012E-2</v>
      </c>
      <c r="BN291">
        <v>0</v>
      </c>
      <c r="BO291">
        <v>252.9450185</v>
      </c>
      <c r="BP291">
        <v>190</v>
      </c>
    </row>
    <row r="292" spans="1:68" x14ac:dyDescent="0.2">
      <c r="A292" t="s">
        <v>857</v>
      </c>
      <c r="B292">
        <v>378</v>
      </c>
      <c r="C292">
        <v>360</v>
      </c>
      <c r="D292">
        <v>1075</v>
      </c>
      <c r="E292">
        <v>970</v>
      </c>
      <c r="F292">
        <v>790</v>
      </c>
      <c r="G292">
        <v>429</v>
      </c>
      <c r="H292">
        <v>269</v>
      </c>
      <c r="I292">
        <v>654</v>
      </c>
      <c r="J292">
        <v>529</v>
      </c>
      <c r="K292">
        <v>163</v>
      </c>
      <c r="L292">
        <v>526</v>
      </c>
      <c r="M292">
        <v>602</v>
      </c>
      <c r="N292">
        <v>1648</v>
      </c>
      <c r="O292">
        <v>679</v>
      </c>
      <c r="P292">
        <v>152</v>
      </c>
      <c r="Q292">
        <v>234</v>
      </c>
      <c r="R292">
        <v>460</v>
      </c>
      <c r="S292">
        <v>2288</v>
      </c>
      <c r="T292">
        <v>846</v>
      </c>
      <c r="U292">
        <v>357</v>
      </c>
      <c r="V292">
        <v>235.21017520000001</v>
      </c>
      <c r="W292">
        <v>174.7253604</v>
      </c>
      <c r="X292">
        <v>211.59403019999999</v>
      </c>
      <c r="Y292">
        <v>179.0980418</v>
      </c>
      <c r="Z292">
        <v>120.74047210000001</v>
      </c>
      <c r="AA292">
        <v>65</v>
      </c>
      <c r="AB292">
        <v>276.46071210000002</v>
      </c>
      <c r="AC292">
        <v>260.8283131</v>
      </c>
      <c r="AD292">
        <v>208.57110890000001</v>
      </c>
      <c r="AE292">
        <v>146.05827980000001</v>
      </c>
      <c r="AF292">
        <v>113.44345819999999</v>
      </c>
      <c r="AG292">
        <v>55</v>
      </c>
      <c r="AH292">
        <v>299.73181069999998</v>
      </c>
      <c r="AI292">
        <v>234.94300799999999</v>
      </c>
      <c r="AJ292">
        <v>202.48921379999999</v>
      </c>
      <c r="AK292">
        <v>166.9303626</v>
      </c>
      <c r="AL292">
        <v>117.855164</v>
      </c>
      <c r="AM292">
        <v>55</v>
      </c>
      <c r="AN292">
        <v>292.49587309999998</v>
      </c>
      <c r="AO292">
        <v>184.76761769999999</v>
      </c>
      <c r="AP292">
        <v>180.95748499999999</v>
      </c>
      <c r="AQ292">
        <v>166.08477869999999</v>
      </c>
      <c r="AR292">
        <v>109.8324002</v>
      </c>
      <c r="AS292">
        <v>55</v>
      </c>
      <c r="AT292">
        <v>2.8899069999999999E-2</v>
      </c>
      <c r="AU292">
        <v>2.6668009999999999E-2</v>
      </c>
      <c r="AV292">
        <v>8.0418530000000002E-2</v>
      </c>
      <c r="AW292">
        <v>6.8957060000000001E-2</v>
      </c>
      <c r="AX292">
        <v>6.168411E-2</v>
      </c>
      <c r="AY292">
        <v>3.1898530000000001E-2</v>
      </c>
      <c r="AZ292">
        <v>1.970533E-2</v>
      </c>
      <c r="BA292">
        <v>4.8205739999999997E-2</v>
      </c>
      <c r="BB292">
        <v>4.0711850000000001E-2</v>
      </c>
      <c r="BC292">
        <v>1.2482099999999999E-2</v>
      </c>
      <c r="BD292">
        <v>4.0170919999999999E-2</v>
      </c>
      <c r="BE292">
        <v>4.3855949999999998E-2</v>
      </c>
      <c r="BF292">
        <v>0.12116842</v>
      </c>
      <c r="BG292">
        <v>5.1643090000000003E-2</v>
      </c>
      <c r="BH292">
        <v>1.1588080000000001E-2</v>
      </c>
      <c r="BI292">
        <v>1.6665840000000001E-2</v>
      </c>
      <c r="BJ292">
        <v>3.3639799999999997E-2</v>
      </c>
      <c r="BK292">
        <v>0.17134250000000001</v>
      </c>
      <c r="BL292">
        <v>6.3017779999999995E-2</v>
      </c>
      <c r="BM292">
        <v>2.7277289999999999E-2</v>
      </c>
      <c r="BN292">
        <v>1271</v>
      </c>
      <c r="BO292">
        <v>283.39218299999999</v>
      </c>
      <c r="BP292">
        <v>190</v>
      </c>
    </row>
    <row r="293" spans="1:68" x14ac:dyDescent="0.2">
      <c r="A293" t="s">
        <v>858</v>
      </c>
      <c r="B293">
        <v>219</v>
      </c>
      <c r="C293">
        <v>140</v>
      </c>
      <c r="D293">
        <v>188</v>
      </c>
      <c r="E293">
        <v>328</v>
      </c>
      <c r="F293">
        <v>437</v>
      </c>
      <c r="G293">
        <v>284</v>
      </c>
      <c r="H293">
        <v>606</v>
      </c>
      <c r="I293">
        <v>1008</v>
      </c>
      <c r="J293">
        <v>588</v>
      </c>
      <c r="K293">
        <v>290</v>
      </c>
      <c r="L293">
        <v>163</v>
      </c>
      <c r="M293">
        <v>349</v>
      </c>
      <c r="N293">
        <v>1200</v>
      </c>
      <c r="O293">
        <v>608</v>
      </c>
      <c r="P293">
        <v>340</v>
      </c>
      <c r="Q293">
        <v>13</v>
      </c>
      <c r="R293">
        <v>65</v>
      </c>
      <c r="S293">
        <v>753</v>
      </c>
      <c r="T293">
        <v>510</v>
      </c>
      <c r="U293">
        <v>304</v>
      </c>
      <c r="V293">
        <v>282.2409892</v>
      </c>
      <c r="W293">
        <v>199.67992849999999</v>
      </c>
      <c r="X293">
        <v>147.09555449999999</v>
      </c>
      <c r="Y293">
        <v>128.6593594</v>
      </c>
      <c r="Z293">
        <v>106.9685269</v>
      </c>
      <c r="AA293">
        <v>65</v>
      </c>
      <c r="AB293">
        <v>318.30513760000002</v>
      </c>
      <c r="AC293">
        <v>271.91960110000002</v>
      </c>
      <c r="AD293">
        <v>213.43179929999999</v>
      </c>
      <c r="AE293">
        <v>152.9686317</v>
      </c>
      <c r="AF293">
        <v>115.4798723</v>
      </c>
      <c r="AG293">
        <v>55</v>
      </c>
      <c r="AH293">
        <v>300.72975229999997</v>
      </c>
      <c r="AI293">
        <v>254.97789940000001</v>
      </c>
      <c r="AJ293">
        <v>198.0490058</v>
      </c>
      <c r="AK293">
        <v>160.52850169999999</v>
      </c>
      <c r="AL293">
        <v>115.55629740000001</v>
      </c>
      <c r="AM293">
        <v>55</v>
      </c>
      <c r="AN293">
        <v>166.90577049999999</v>
      </c>
      <c r="AO293">
        <v>257.75500629999999</v>
      </c>
      <c r="AP293">
        <v>194.13811620000001</v>
      </c>
      <c r="AQ293">
        <v>151.47729699999999</v>
      </c>
      <c r="AR293">
        <v>114.8609555</v>
      </c>
      <c r="AS293">
        <v>55</v>
      </c>
      <c r="AT293">
        <v>2.6486989999999998E-2</v>
      </c>
      <c r="AU293">
        <v>1.7735649999999999E-2</v>
      </c>
      <c r="AV293">
        <v>1.994516E-2</v>
      </c>
      <c r="AW293">
        <v>3.864952E-2</v>
      </c>
      <c r="AX293">
        <v>5.3487180000000002E-2</v>
      </c>
      <c r="AY293">
        <v>3.4158830000000001E-2</v>
      </c>
      <c r="AZ293">
        <v>6.5043980000000001E-2</v>
      </c>
      <c r="BA293">
        <v>0.12521636</v>
      </c>
      <c r="BB293">
        <v>7.1454500000000004E-2</v>
      </c>
      <c r="BC293">
        <v>3.1398660000000002E-2</v>
      </c>
      <c r="BD293">
        <v>2.1349190000000001E-2</v>
      </c>
      <c r="BE293">
        <v>3.7522119999999999E-2</v>
      </c>
      <c r="BF293">
        <v>0.14306735000000001</v>
      </c>
      <c r="BG293">
        <v>7.7556449999999999E-2</v>
      </c>
      <c r="BH293">
        <v>3.9047039999999998E-2</v>
      </c>
      <c r="BI293">
        <v>1.7653899999999999E-3</v>
      </c>
      <c r="BJ293">
        <v>6.3981400000000001E-3</v>
      </c>
      <c r="BK293">
        <v>8.6299319999999999E-2</v>
      </c>
      <c r="BL293">
        <v>6.6389359999999994E-2</v>
      </c>
      <c r="BM293">
        <v>3.7028810000000002E-2</v>
      </c>
      <c r="BN293">
        <v>1056</v>
      </c>
      <c r="BO293">
        <v>255.64399330000001</v>
      </c>
      <c r="BP293">
        <v>190</v>
      </c>
    </row>
    <row r="294" spans="1:68" x14ac:dyDescent="0.2">
      <c r="A294" t="s">
        <v>859</v>
      </c>
      <c r="B294">
        <v>3388</v>
      </c>
      <c r="C294">
        <v>7895</v>
      </c>
      <c r="D294">
        <v>13515</v>
      </c>
      <c r="E294">
        <v>10633</v>
      </c>
      <c r="F294">
        <v>8460</v>
      </c>
      <c r="G294">
        <v>515</v>
      </c>
      <c r="H294">
        <v>366</v>
      </c>
      <c r="I294">
        <v>706</v>
      </c>
      <c r="J294">
        <v>2015</v>
      </c>
      <c r="K294">
        <v>738</v>
      </c>
      <c r="L294">
        <v>3692</v>
      </c>
      <c r="M294">
        <v>4351</v>
      </c>
      <c r="N294">
        <v>5148</v>
      </c>
      <c r="O294">
        <v>3240</v>
      </c>
      <c r="P294">
        <v>1340</v>
      </c>
      <c r="Q294">
        <v>8657</v>
      </c>
      <c r="R294">
        <v>11939</v>
      </c>
      <c r="S294">
        <v>14155</v>
      </c>
      <c r="T294">
        <v>8689</v>
      </c>
      <c r="U294">
        <v>3537</v>
      </c>
      <c r="V294">
        <v>206.06097510000001</v>
      </c>
      <c r="W294">
        <v>233.10171679999999</v>
      </c>
      <c r="X294">
        <v>198.24878390000001</v>
      </c>
      <c r="Y294">
        <v>156.01707709999999</v>
      </c>
      <c r="Z294">
        <v>116.2341392</v>
      </c>
      <c r="AA294">
        <v>65</v>
      </c>
      <c r="AB294">
        <v>282.20542899999998</v>
      </c>
      <c r="AC294">
        <v>259.42267140000001</v>
      </c>
      <c r="AD294">
        <v>205.022538</v>
      </c>
      <c r="AE294">
        <v>147.9266916</v>
      </c>
      <c r="AF294">
        <v>116.2840473</v>
      </c>
      <c r="AG294">
        <v>55</v>
      </c>
      <c r="AH294">
        <v>277.80929099999997</v>
      </c>
      <c r="AI294">
        <v>240.51772410000001</v>
      </c>
      <c r="AJ294">
        <v>209.19132070000001</v>
      </c>
      <c r="AK294">
        <v>159.8697105</v>
      </c>
      <c r="AL294">
        <v>118.37007250000001</v>
      </c>
      <c r="AM294">
        <v>55</v>
      </c>
      <c r="AN294">
        <v>251.29987109999999</v>
      </c>
      <c r="AO294">
        <v>225.91992540000001</v>
      </c>
      <c r="AP294">
        <v>201.57530370000001</v>
      </c>
      <c r="AQ294">
        <v>153.45343969999999</v>
      </c>
      <c r="AR294">
        <v>113.4895241</v>
      </c>
      <c r="AS294">
        <v>55</v>
      </c>
      <c r="AT294">
        <v>2.6560759999999999E-2</v>
      </c>
      <c r="AU294">
        <v>7.0705770000000001E-2</v>
      </c>
      <c r="AV294">
        <v>0.11947120999999999</v>
      </c>
      <c r="AW294">
        <v>9.5446009999999998E-2</v>
      </c>
      <c r="AX294">
        <v>6.8375130000000006E-2</v>
      </c>
      <c r="AY294">
        <v>4.5835099999999998E-3</v>
      </c>
      <c r="AZ294">
        <v>3.4017000000000001E-3</v>
      </c>
      <c r="BA294">
        <v>6.4496900000000001E-3</v>
      </c>
      <c r="BB294">
        <v>1.866191E-2</v>
      </c>
      <c r="BC294">
        <v>5.7852800000000003E-3</v>
      </c>
      <c r="BD294">
        <v>3.365249E-2</v>
      </c>
      <c r="BE294">
        <v>3.920622E-2</v>
      </c>
      <c r="BF294">
        <v>4.6089829999999998E-2</v>
      </c>
      <c r="BG294">
        <v>2.931804E-2</v>
      </c>
      <c r="BH294">
        <v>1.0528269999999999E-2</v>
      </c>
      <c r="BI294">
        <v>7.8287179999999998E-2</v>
      </c>
      <c r="BJ294">
        <v>0.1083963</v>
      </c>
      <c r="BK294">
        <v>0.12789923</v>
      </c>
      <c r="BL294">
        <v>7.8726340000000006E-2</v>
      </c>
      <c r="BM294">
        <v>2.8455129999999999E-2</v>
      </c>
      <c r="BN294">
        <v>14530</v>
      </c>
      <c r="BO294">
        <v>234.09338349999999</v>
      </c>
      <c r="BP294">
        <v>190</v>
      </c>
    </row>
    <row r="295" spans="1:68" x14ac:dyDescent="0.2">
      <c r="A295" t="s">
        <v>860</v>
      </c>
      <c r="B295">
        <v>156</v>
      </c>
      <c r="C295">
        <v>69</v>
      </c>
      <c r="D295">
        <v>235</v>
      </c>
      <c r="E295">
        <v>165</v>
      </c>
      <c r="F295">
        <v>361</v>
      </c>
      <c r="G295">
        <v>185</v>
      </c>
      <c r="H295">
        <v>151</v>
      </c>
      <c r="I295">
        <v>324</v>
      </c>
      <c r="J295">
        <v>241</v>
      </c>
      <c r="K295">
        <v>44</v>
      </c>
      <c r="L295">
        <v>122</v>
      </c>
      <c r="M295">
        <v>325</v>
      </c>
      <c r="N295">
        <v>785</v>
      </c>
      <c r="O295">
        <v>372</v>
      </c>
      <c r="P295">
        <v>43</v>
      </c>
      <c r="Q295">
        <v>114</v>
      </c>
      <c r="R295">
        <v>359</v>
      </c>
      <c r="S295">
        <v>982</v>
      </c>
      <c r="T295">
        <v>355</v>
      </c>
      <c r="U295">
        <v>71</v>
      </c>
      <c r="V295">
        <v>283.68825149999998</v>
      </c>
      <c r="W295">
        <v>231.34612329999999</v>
      </c>
      <c r="X295">
        <v>186.37394069999999</v>
      </c>
      <c r="Y295">
        <v>150.42262220000001</v>
      </c>
      <c r="Z295">
        <v>115.26815449999999</v>
      </c>
      <c r="AA295">
        <v>65</v>
      </c>
      <c r="AB295">
        <v>294.36315810000002</v>
      </c>
      <c r="AC295">
        <v>289.5560499</v>
      </c>
      <c r="AD295">
        <v>230.2067303</v>
      </c>
      <c r="AE295">
        <v>147.62306950000001</v>
      </c>
      <c r="AF295">
        <v>118</v>
      </c>
      <c r="AG295">
        <v>55</v>
      </c>
      <c r="AH295">
        <v>297.29864909999998</v>
      </c>
      <c r="AI295">
        <v>216.62806570000001</v>
      </c>
      <c r="AJ295">
        <v>202.88990200000001</v>
      </c>
      <c r="AK295">
        <v>162.31430399999999</v>
      </c>
      <c r="AL295">
        <v>115.6182707</v>
      </c>
      <c r="AM295">
        <v>55</v>
      </c>
      <c r="AN295">
        <v>311.4768191</v>
      </c>
      <c r="AO295">
        <v>193.58736490000001</v>
      </c>
      <c r="AP295">
        <v>190.63295529999999</v>
      </c>
      <c r="AQ295">
        <v>150.5928763</v>
      </c>
      <c r="AR295">
        <v>115.02689650000001</v>
      </c>
      <c r="AS295">
        <v>55</v>
      </c>
      <c r="AT295">
        <v>2.721295E-2</v>
      </c>
      <c r="AU295">
        <v>1.186483E-2</v>
      </c>
      <c r="AV295">
        <v>4.6071870000000001E-2</v>
      </c>
      <c r="AW295">
        <v>2.9921280000000001E-2</v>
      </c>
      <c r="AX295">
        <v>5.2592380000000001E-2</v>
      </c>
      <c r="AY295">
        <v>3.5846700000000002E-2</v>
      </c>
      <c r="AZ295">
        <v>2.956634E-2</v>
      </c>
      <c r="BA295">
        <v>6.1790369999999997E-2</v>
      </c>
      <c r="BB295">
        <v>4.5535609999999997E-2</v>
      </c>
      <c r="BC295">
        <v>6.1704000000000004E-3</v>
      </c>
      <c r="BD295">
        <v>2.5165320000000001E-2</v>
      </c>
      <c r="BE295">
        <v>5.9214179999999998E-2</v>
      </c>
      <c r="BF295">
        <v>0.14624606000000001</v>
      </c>
      <c r="BG295">
        <v>6.9401740000000003E-2</v>
      </c>
      <c r="BH295">
        <v>5.8347599999999996E-3</v>
      </c>
      <c r="BI295">
        <v>2.1768820000000001E-2</v>
      </c>
      <c r="BJ295">
        <v>6.4132659999999994E-2</v>
      </c>
      <c r="BK295">
        <v>0.18185935</v>
      </c>
      <c r="BL295">
        <v>7.0359489999999997E-2</v>
      </c>
      <c r="BM295">
        <v>9.4448899999999992E-3</v>
      </c>
      <c r="BN295">
        <v>0</v>
      </c>
      <c r="BO295">
        <v>252.9450185</v>
      </c>
      <c r="BP295">
        <v>190</v>
      </c>
    </row>
    <row r="296" spans="1:68" x14ac:dyDescent="0.2">
      <c r="A296" t="s">
        <v>861</v>
      </c>
      <c r="B296">
        <v>223</v>
      </c>
      <c r="C296">
        <v>1373</v>
      </c>
      <c r="D296">
        <v>2572</v>
      </c>
      <c r="E296">
        <v>3591</v>
      </c>
      <c r="F296">
        <v>2391</v>
      </c>
      <c r="G296">
        <v>431</v>
      </c>
      <c r="H296">
        <v>389</v>
      </c>
      <c r="I296">
        <v>576</v>
      </c>
      <c r="J296">
        <v>1329</v>
      </c>
      <c r="K296">
        <v>478</v>
      </c>
      <c r="L296">
        <v>997</v>
      </c>
      <c r="M296">
        <v>1738</v>
      </c>
      <c r="N296">
        <v>2458</v>
      </c>
      <c r="O296">
        <v>3460</v>
      </c>
      <c r="P296">
        <v>837</v>
      </c>
      <c r="Q296">
        <v>1206</v>
      </c>
      <c r="R296">
        <v>2845</v>
      </c>
      <c r="S296">
        <v>5075</v>
      </c>
      <c r="T296">
        <v>6931</v>
      </c>
      <c r="U296">
        <v>1969</v>
      </c>
      <c r="V296">
        <v>216.51567080000001</v>
      </c>
      <c r="W296">
        <v>222.1413086</v>
      </c>
      <c r="X296">
        <v>153.4972013</v>
      </c>
      <c r="Y296">
        <v>164.38643740000001</v>
      </c>
      <c r="Z296">
        <v>104.5611753</v>
      </c>
      <c r="AA296">
        <v>65</v>
      </c>
      <c r="AB296">
        <v>313.2529548</v>
      </c>
      <c r="AC296">
        <v>277.630675</v>
      </c>
      <c r="AD296">
        <v>216.16283960000001</v>
      </c>
      <c r="AE296">
        <v>145.5636403</v>
      </c>
      <c r="AF296">
        <v>115.7934219</v>
      </c>
      <c r="AG296">
        <v>55</v>
      </c>
      <c r="AH296">
        <v>281.79860230000003</v>
      </c>
      <c r="AI296">
        <v>226.81489289999999</v>
      </c>
      <c r="AJ296">
        <v>196.02763060000001</v>
      </c>
      <c r="AK296">
        <v>157.58972349999999</v>
      </c>
      <c r="AL296">
        <v>115.22501579999999</v>
      </c>
      <c r="AM296">
        <v>55</v>
      </c>
      <c r="AN296">
        <v>244.2951668</v>
      </c>
      <c r="AO296">
        <v>198.8569627</v>
      </c>
      <c r="AP296">
        <v>172.61021349999999</v>
      </c>
      <c r="AQ296">
        <v>152.740701</v>
      </c>
      <c r="AR296">
        <v>110.6657467</v>
      </c>
      <c r="AS296">
        <v>55</v>
      </c>
      <c r="AT296">
        <v>5.5495500000000003E-3</v>
      </c>
      <c r="AU296">
        <v>3.5457950000000002E-2</v>
      </c>
      <c r="AV296">
        <v>6.2482749999999997E-2</v>
      </c>
      <c r="AW296">
        <v>9.3627799999999997E-2</v>
      </c>
      <c r="AX296">
        <v>5.6657150000000003E-2</v>
      </c>
      <c r="AY296">
        <v>1.120878E-2</v>
      </c>
      <c r="AZ296">
        <v>9.8186699999999998E-3</v>
      </c>
      <c r="BA296">
        <v>1.4286210000000001E-2</v>
      </c>
      <c r="BB296">
        <v>3.098105E-2</v>
      </c>
      <c r="BC296">
        <v>1.135248E-2</v>
      </c>
      <c r="BD296">
        <v>2.4526340000000001E-2</v>
      </c>
      <c r="BE296">
        <v>4.2759690000000003E-2</v>
      </c>
      <c r="BF296">
        <v>6.1030269999999998E-2</v>
      </c>
      <c r="BG296">
        <v>8.2007919999999998E-2</v>
      </c>
      <c r="BH296">
        <v>1.8959170000000001E-2</v>
      </c>
      <c r="BI296">
        <v>3.0583840000000001E-2</v>
      </c>
      <c r="BJ296">
        <v>7.2252999999999998E-2</v>
      </c>
      <c r="BK296">
        <v>0.12588226</v>
      </c>
      <c r="BL296">
        <v>0.16491104000000001</v>
      </c>
      <c r="BM296">
        <v>4.5664080000000003E-2</v>
      </c>
      <c r="BN296">
        <v>4496</v>
      </c>
      <c r="BO296">
        <v>237.98498839999999</v>
      </c>
      <c r="BP296">
        <v>190</v>
      </c>
    </row>
    <row r="297" spans="1:68" x14ac:dyDescent="0.2">
      <c r="A297" t="s">
        <v>862</v>
      </c>
      <c r="B297">
        <v>52</v>
      </c>
      <c r="C297">
        <v>53</v>
      </c>
      <c r="D297">
        <v>64</v>
      </c>
      <c r="E297">
        <v>110</v>
      </c>
      <c r="F297">
        <v>141</v>
      </c>
      <c r="G297">
        <v>289</v>
      </c>
      <c r="H297">
        <v>428</v>
      </c>
      <c r="I297">
        <v>545</v>
      </c>
      <c r="J297">
        <v>396</v>
      </c>
      <c r="K297">
        <v>114</v>
      </c>
      <c r="L297">
        <v>286</v>
      </c>
      <c r="M297">
        <v>319</v>
      </c>
      <c r="N297">
        <v>590</v>
      </c>
      <c r="O297">
        <v>304</v>
      </c>
      <c r="P297">
        <v>126</v>
      </c>
      <c r="Q297">
        <v>20</v>
      </c>
      <c r="R297">
        <v>114</v>
      </c>
      <c r="S297">
        <v>320</v>
      </c>
      <c r="T297">
        <v>264</v>
      </c>
      <c r="U297">
        <v>82</v>
      </c>
      <c r="V297">
        <v>290.59385109999999</v>
      </c>
      <c r="W297">
        <v>214.04207700000001</v>
      </c>
      <c r="X297">
        <v>209.57605760000001</v>
      </c>
      <c r="Y297">
        <v>149.7254839</v>
      </c>
      <c r="Z297">
        <v>119.4940131</v>
      </c>
      <c r="AA297">
        <v>65</v>
      </c>
      <c r="AB297">
        <v>317.40370189999999</v>
      </c>
      <c r="AC297">
        <v>280.69933029999999</v>
      </c>
      <c r="AD297">
        <v>214.90545940000001</v>
      </c>
      <c r="AE297">
        <v>156.51773069999999</v>
      </c>
      <c r="AF297">
        <v>117.4089484</v>
      </c>
      <c r="AG297">
        <v>55</v>
      </c>
      <c r="AH297">
        <v>301.45681990000003</v>
      </c>
      <c r="AI297">
        <v>276.1326459</v>
      </c>
      <c r="AJ297">
        <v>218.8130927</v>
      </c>
      <c r="AK297">
        <v>162.1475217</v>
      </c>
      <c r="AL297">
        <v>113.93541860000001</v>
      </c>
      <c r="AM297">
        <v>55</v>
      </c>
      <c r="AN297">
        <v>253.11295749999999</v>
      </c>
      <c r="AO297">
        <v>268.93884309999999</v>
      </c>
      <c r="AP297">
        <v>216.79615200000001</v>
      </c>
      <c r="AQ297">
        <v>149.39801890000001</v>
      </c>
      <c r="AR297">
        <v>113.33461939999999</v>
      </c>
      <c r="AS297">
        <v>55</v>
      </c>
      <c r="AT297">
        <v>1.002553E-2</v>
      </c>
      <c r="AU297">
        <v>1.385641E-2</v>
      </c>
      <c r="AV297">
        <v>1.109068E-2</v>
      </c>
      <c r="AW297">
        <v>2.3237069999999999E-2</v>
      </c>
      <c r="AX297">
        <v>2.991649E-2</v>
      </c>
      <c r="AY297">
        <v>5.9723470000000001E-2</v>
      </c>
      <c r="AZ297">
        <v>9.3663189999999993E-2</v>
      </c>
      <c r="BA297">
        <v>0.11698531</v>
      </c>
      <c r="BB297">
        <v>8.922136E-2</v>
      </c>
      <c r="BC297">
        <v>2.5893269999999999E-2</v>
      </c>
      <c r="BD297">
        <v>6.3823969999999994E-2</v>
      </c>
      <c r="BE297">
        <v>7.2564760000000006E-2</v>
      </c>
      <c r="BF297">
        <v>0.12864526000000001</v>
      </c>
      <c r="BG297">
        <v>6.6111600000000006E-2</v>
      </c>
      <c r="BH297">
        <v>2.471249E-2</v>
      </c>
      <c r="BI297">
        <v>3.9259400000000002E-3</v>
      </c>
      <c r="BJ297">
        <v>2.48776E-2</v>
      </c>
      <c r="BK297">
        <v>6.6550780000000004E-2</v>
      </c>
      <c r="BL297">
        <v>5.8055139999999998E-2</v>
      </c>
      <c r="BM297">
        <v>1.7119680000000002E-2</v>
      </c>
      <c r="BN297">
        <v>0</v>
      </c>
      <c r="BO297">
        <v>252.9450185</v>
      </c>
      <c r="BP297">
        <v>190</v>
      </c>
    </row>
    <row r="298" spans="1:68" x14ac:dyDescent="0.2">
      <c r="A298" t="s">
        <v>863</v>
      </c>
      <c r="B298">
        <v>22</v>
      </c>
      <c r="C298">
        <v>12</v>
      </c>
      <c r="D298">
        <v>465</v>
      </c>
      <c r="E298">
        <v>394</v>
      </c>
      <c r="F298">
        <v>431</v>
      </c>
      <c r="G298">
        <v>165</v>
      </c>
      <c r="H298">
        <v>277</v>
      </c>
      <c r="I298">
        <v>739</v>
      </c>
      <c r="J298">
        <v>790</v>
      </c>
      <c r="K298">
        <v>140</v>
      </c>
      <c r="L298">
        <v>232</v>
      </c>
      <c r="M298">
        <v>410</v>
      </c>
      <c r="N298">
        <v>1223</v>
      </c>
      <c r="O298">
        <v>734</v>
      </c>
      <c r="P298">
        <v>273</v>
      </c>
      <c r="Q298">
        <v>83</v>
      </c>
      <c r="R298">
        <v>222</v>
      </c>
      <c r="S298">
        <v>2141</v>
      </c>
      <c r="T298">
        <v>1206</v>
      </c>
      <c r="U298">
        <v>329</v>
      </c>
      <c r="V298">
        <v>164.8129093</v>
      </c>
      <c r="W298">
        <v>220</v>
      </c>
      <c r="X298">
        <v>142.87928109999999</v>
      </c>
      <c r="Y298">
        <v>125.8297156</v>
      </c>
      <c r="Z298">
        <v>96.782651799999996</v>
      </c>
      <c r="AA298">
        <v>65</v>
      </c>
      <c r="AB298">
        <v>303.49143079999999</v>
      </c>
      <c r="AC298">
        <v>281.49275189999997</v>
      </c>
      <c r="AD298">
        <v>208.50745929999999</v>
      </c>
      <c r="AE298">
        <v>155.99216519999999</v>
      </c>
      <c r="AF298">
        <v>117.1711799</v>
      </c>
      <c r="AG298">
        <v>55</v>
      </c>
      <c r="AH298">
        <v>290.03108379999998</v>
      </c>
      <c r="AI298">
        <v>261.10529739999998</v>
      </c>
      <c r="AJ298">
        <v>197.14775900000001</v>
      </c>
      <c r="AK298">
        <v>158.9987644</v>
      </c>
      <c r="AL298">
        <v>114.5133431</v>
      </c>
      <c r="AM298">
        <v>55</v>
      </c>
      <c r="AN298">
        <v>288.42781020000001</v>
      </c>
      <c r="AO298">
        <v>259.16570730000001</v>
      </c>
      <c r="AP298">
        <v>187.76042749999999</v>
      </c>
      <c r="AQ298">
        <v>148.50427690000001</v>
      </c>
      <c r="AR298">
        <v>113.46957569999999</v>
      </c>
      <c r="AS298">
        <v>55</v>
      </c>
      <c r="AT298">
        <v>2.2482600000000002E-3</v>
      </c>
      <c r="AU298">
        <v>1.3259999999999999E-3</v>
      </c>
      <c r="AV298">
        <v>4.9141020000000001E-2</v>
      </c>
      <c r="AW298">
        <v>3.742492E-2</v>
      </c>
      <c r="AX298">
        <v>3.854519E-2</v>
      </c>
      <c r="AY298">
        <v>1.4461679999999999E-2</v>
      </c>
      <c r="AZ298">
        <v>2.6043110000000001E-2</v>
      </c>
      <c r="BA298">
        <v>7.3936589999999996E-2</v>
      </c>
      <c r="BB298">
        <v>7.8342190000000006E-2</v>
      </c>
      <c r="BC298">
        <v>1.502765E-2</v>
      </c>
      <c r="BD298">
        <v>2.0098370000000001E-2</v>
      </c>
      <c r="BE298">
        <v>4.060764E-2</v>
      </c>
      <c r="BF298">
        <v>0.11645582</v>
      </c>
      <c r="BG298">
        <v>7.2328000000000003E-2</v>
      </c>
      <c r="BH298">
        <v>2.853897E-2</v>
      </c>
      <c r="BI298">
        <v>7.0833099999999998E-3</v>
      </c>
      <c r="BJ298">
        <v>2.122396E-2</v>
      </c>
      <c r="BK298">
        <v>0.20396813999999999</v>
      </c>
      <c r="BL298">
        <v>0.12068195</v>
      </c>
      <c r="BM298">
        <v>3.2517230000000001E-2</v>
      </c>
      <c r="BN298">
        <v>788</v>
      </c>
      <c r="BO298">
        <v>234.60072890000001</v>
      </c>
      <c r="BP298">
        <v>190</v>
      </c>
    </row>
    <row r="299" spans="1:68" x14ac:dyDescent="0.2">
      <c r="A299" t="s">
        <v>864</v>
      </c>
      <c r="B299">
        <v>168</v>
      </c>
      <c r="C299">
        <v>52</v>
      </c>
      <c r="D299">
        <v>128</v>
      </c>
      <c r="E299">
        <v>522</v>
      </c>
      <c r="F299">
        <v>259</v>
      </c>
      <c r="G299">
        <v>437</v>
      </c>
      <c r="H299">
        <v>494</v>
      </c>
      <c r="I299">
        <v>924</v>
      </c>
      <c r="J299">
        <v>633</v>
      </c>
      <c r="K299">
        <v>310</v>
      </c>
      <c r="L299">
        <v>262</v>
      </c>
      <c r="M299">
        <v>345</v>
      </c>
      <c r="N299">
        <v>889</v>
      </c>
      <c r="O299">
        <v>460</v>
      </c>
      <c r="P299">
        <v>279</v>
      </c>
      <c r="Q299">
        <v>81</v>
      </c>
      <c r="R299">
        <v>165</v>
      </c>
      <c r="S299">
        <v>848</v>
      </c>
      <c r="T299">
        <v>411</v>
      </c>
      <c r="U299">
        <v>276</v>
      </c>
      <c r="V299">
        <v>236.28976700000001</v>
      </c>
      <c r="W299">
        <v>170.77754999999999</v>
      </c>
      <c r="X299">
        <v>118.7742442</v>
      </c>
      <c r="Y299">
        <v>154.27702059999999</v>
      </c>
      <c r="Z299">
        <v>118.5371116</v>
      </c>
      <c r="AA299">
        <v>65</v>
      </c>
      <c r="AB299">
        <v>319.27337890000001</v>
      </c>
      <c r="AC299">
        <v>262.87560000000002</v>
      </c>
      <c r="AD299">
        <v>227.2175805</v>
      </c>
      <c r="AE299">
        <v>159.22469000000001</v>
      </c>
      <c r="AF299">
        <v>115.92651669999999</v>
      </c>
      <c r="AG299">
        <v>55</v>
      </c>
      <c r="AH299">
        <v>285.92901540000003</v>
      </c>
      <c r="AI299">
        <v>257.62698089999998</v>
      </c>
      <c r="AJ299">
        <v>212.89269100000001</v>
      </c>
      <c r="AK299">
        <v>165.13250919999999</v>
      </c>
      <c r="AL299">
        <v>117.06865139999999</v>
      </c>
      <c r="AM299">
        <v>55</v>
      </c>
      <c r="AN299">
        <v>286.59699219999999</v>
      </c>
      <c r="AO299">
        <v>264.26013010000003</v>
      </c>
      <c r="AP299">
        <v>200.0790456</v>
      </c>
      <c r="AQ299">
        <v>172.16027990000001</v>
      </c>
      <c r="AR299">
        <v>116.5284049</v>
      </c>
      <c r="AS299">
        <v>55</v>
      </c>
      <c r="AT299">
        <v>1.910746E-2</v>
      </c>
      <c r="AU299">
        <v>5.5484799999999997E-3</v>
      </c>
      <c r="AV299">
        <v>1.9581370000000001E-2</v>
      </c>
      <c r="AW299">
        <v>5.3612510000000002E-2</v>
      </c>
      <c r="AX299">
        <v>3.40308E-2</v>
      </c>
      <c r="AY299">
        <v>5.7641989999999997E-2</v>
      </c>
      <c r="AZ299">
        <v>6.4329369999999997E-2</v>
      </c>
      <c r="BA299">
        <v>0.12381994</v>
      </c>
      <c r="BB299">
        <v>8.344886E-2</v>
      </c>
      <c r="BC299">
        <v>3.6581820000000001E-2</v>
      </c>
      <c r="BD299">
        <v>3.4053470000000002E-2</v>
      </c>
      <c r="BE299">
        <v>4.1493490000000001E-2</v>
      </c>
      <c r="BF299">
        <v>0.1123721</v>
      </c>
      <c r="BG299">
        <v>6.0307109999999997E-2</v>
      </c>
      <c r="BH299">
        <v>3.3257889999999998E-2</v>
      </c>
      <c r="BI299">
        <v>1.154166E-2</v>
      </c>
      <c r="BJ299">
        <v>1.8841119999999999E-2</v>
      </c>
      <c r="BK299">
        <v>0.10579743</v>
      </c>
      <c r="BL299">
        <v>5.2424110000000003E-2</v>
      </c>
      <c r="BM299">
        <v>3.2209019999999998E-2</v>
      </c>
      <c r="BN299">
        <v>852</v>
      </c>
      <c r="BO299">
        <v>252.04471649999999</v>
      </c>
      <c r="BP299">
        <v>190</v>
      </c>
    </row>
    <row r="300" spans="1:68" x14ac:dyDescent="0.2">
      <c r="A300" t="s">
        <v>865</v>
      </c>
      <c r="B300">
        <v>282</v>
      </c>
      <c r="C300">
        <v>1111</v>
      </c>
      <c r="D300">
        <v>2634</v>
      </c>
      <c r="E300">
        <v>2995</v>
      </c>
      <c r="F300">
        <v>1752</v>
      </c>
      <c r="G300">
        <v>1208</v>
      </c>
      <c r="H300">
        <v>1298</v>
      </c>
      <c r="I300">
        <v>2339</v>
      </c>
      <c r="J300">
        <v>1839</v>
      </c>
      <c r="K300">
        <v>1001</v>
      </c>
      <c r="L300">
        <v>960</v>
      </c>
      <c r="M300">
        <v>2648</v>
      </c>
      <c r="N300">
        <v>4242</v>
      </c>
      <c r="O300">
        <v>2044</v>
      </c>
      <c r="P300">
        <v>1028</v>
      </c>
      <c r="Q300">
        <v>364</v>
      </c>
      <c r="R300">
        <v>2347</v>
      </c>
      <c r="S300">
        <v>6204</v>
      </c>
      <c r="T300">
        <v>2981</v>
      </c>
      <c r="U300">
        <v>1113</v>
      </c>
      <c r="V300">
        <v>271.98990529999998</v>
      </c>
      <c r="W300">
        <v>217.61648690000001</v>
      </c>
      <c r="X300">
        <v>164.05667829999999</v>
      </c>
      <c r="Y300">
        <v>156.45602679999999</v>
      </c>
      <c r="Z300">
        <v>123.14108229999999</v>
      </c>
      <c r="AA300">
        <v>65</v>
      </c>
      <c r="AB300">
        <v>308.79548940000001</v>
      </c>
      <c r="AC300">
        <v>271.31955570000002</v>
      </c>
      <c r="AD300">
        <v>217.24933809999999</v>
      </c>
      <c r="AE300">
        <v>153.57766720000001</v>
      </c>
      <c r="AF300">
        <v>117.1628789</v>
      </c>
      <c r="AG300">
        <v>55</v>
      </c>
      <c r="AH300">
        <v>296.81274869999999</v>
      </c>
      <c r="AI300">
        <v>225.68086120000001</v>
      </c>
      <c r="AJ300">
        <v>197.1647936</v>
      </c>
      <c r="AK300">
        <v>158.4195718</v>
      </c>
      <c r="AL300">
        <v>116.7347225</v>
      </c>
      <c r="AM300">
        <v>55</v>
      </c>
      <c r="AN300">
        <v>286.74922299999997</v>
      </c>
      <c r="AO300">
        <v>191.82944509999999</v>
      </c>
      <c r="AP300">
        <v>177.46248900000001</v>
      </c>
      <c r="AQ300">
        <v>155.1689939</v>
      </c>
      <c r="AR300">
        <v>114.4716382</v>
      </c>
      <c r="AS300">
        <v>55</v>
      </c>
      <c r="AT300">
        <v>6.7151299999999997E-3</v>
      </c>
      <c r="AU300">
        <v>2.7926050000000001E-2</v>
      </c>
      <c r="AV300">
        <v>6.6067020000000004E-2</v>
      </c>
      <c r="AW300">
        <v>7.532788E-2</v>
      </c>
      <c r="AX300">
        <v>4.0216740000000001E-2</v>
      </c>
      <c r="AY300">
        <v>3.0126050000000001E-2</v>
      </c>
      <c r="AZ300">
        <v>3.2322999999999998E-2</v>
      </c>
      <c r="BA300">
        <v>5.8198569999999998E-2</v>
      </c>
      <c r="BB300">
        <v>4.5206070000000001E-2</v>
      </c>
      <c r="BC300">
        <v>2.421719E-2</v>
      </c>
      <c r="BD300">
        <v>2.4295690000000002E-2</v>
      </c>
      <c r="BE300">
        <v>6.567452E-2</v>
      </c>
      <c r="BF300">
        <v>0.10617593</v>
      </c>
      <c r="BG300">
        <v>4.991748E-2</v>
      </c>
      <c r="BH300">
        <v>2.4623800000000001E-2</v>
      </c>
      <c r="BI300">
        <v>9.1826900000000003E-3</v>
      </c>
      <c r="BJ300">
        <v>5.817605E-2</v>
      </c>
      <c r="BK300">
        <v>0.15667511000000001</v>
      </c>
      <c r="BL300">
        <v>7.2718290000000005E-2</v>
      </c>
      <c r="BM300">
        <v>2.6236740000000001E-2</v>
      </c>
      <c r="BN300">
        <v>3517</v>
      </c>
      <c r="BO300">
        <v>258.75676240000001</v>
      </c>
      <c r="BP300">
        <v>190</v>
      </c>
    </row>
    <row r="301" spans="1:68" x14ac:dyDescent="0.2">
      <c r="A301" t="s">
        <v>866</v>
      </c>
      <c r="B301">
        <v>96</v>
      </c>
      <c r="C301">
        <v>71</v>
      </c>
      <c r="D301">
        <v>258</v>
      </c>
      <c r="E301">
        <v>532</v>
      </c>
      <c r="F301">
        <v>516</v>
      </c>
      <c r="G301">
        <v>584</v>
      </c>
      <c r="H301">
        <v>580</v>
      </c>
      <c r="I301">
        <v>1174</v>
      </c>
      <c r="J301">
        <v>684</v>
      </c>
      <c r="K301">
        <v>361</v>
      </c>
      <c r="L301">
        <v>576</v>
      </c>
      <c r="M301">
        <v>811</v>
      </c>
      <c r="N301">
        <v>1653</v>
      </c>
      <c r="O301">
        <v>958</v>
      </c>
      <c r="P301">
        <v>311</v>
      </c>
      <c r="Q301">
        <v>88</v>
      </c>
      <c r="R301">
        <v>394</v>
      </c>
      <c r="S301">
        <v>1224</v>
      </c>
      <c r="T301">
        <v>917</v>
      </c>
      <c r="U301">
        <v>376</v>
      </c>
      <c r="V301">
        <v>288.76794189999998</v>
      </c>
      <c r="W301">
        <v>233.3900883</v>
      </c>
      <c r="X301">
        <v>141.45181579999999</v>
      </c>
      <c r="Y301">
        <v>142.04041459999999</v>
      </c>
      <c r="Z301">
        <v>117.6457983</v>
      </c>
      <c r="AA301">
        <v>65</v>
      </c>
      <c r="AB301">
        <v>296.5838301</v>
      </c>
      <c r="AC301">
        <v>262.64285760000001</v>
      </c>
      <c r="AD301">
        <v>210.06996269999999</v>
      </c>
      <c r="AE301">
        <v>157.677649</v>
      </c>
      <c r="AF301">
        <v>114.5969729</v>
      </c>
      <c r="AG301">
        <v>55</v>
      </c>
      <c r="AH301">
        <v>288.8126062</v>
      </c>
      <c r="AI301">
        <v>253.65915079999999</v>
      </c>
      <c r="AJ301">
        <v>194.52292869999999</v>
      </c>
      <c r="AK301">
        <v>168.84213779999999</v>
      </c>
      <c r="AL301">
        <v>117.25622970000001</v>
      </c>
      <c r="AM301">
        <v>55</v>
      </c>
      <c r="AN301">
        <v>289.86945789999999</v>
      </c>
      <c r="AO301">
        <v>249.54354180000001</v>
      </c>
      <c r="AP301">
        <v>184.72697059999999</v>
      </c>
      <c r="AQ301">
        <v>166.28667429999999</v>
      </c>
      <c r="AR301">
        <v>116.943167</v>
      </c>
      <c r="AS301">
        <v>55</v>
      </c>
      <c r="AT301">
        <v>8.38473E-3</v>
      </c>
      <c r="AU301">
        <v>6.1766299999999998E-3</v>
      </c>
      <c r="AV301">
        <v>2.2786440000000002E-2</v>
      </c>
      <c r="AW301">
        <v>4.5330290000000002E-2</v>
      </c>
      <c r="AX301">
        <v>4.1871319999999997E-2</v>
      </c>
      <c r="AY301">
        <v>4.8369040000000002E-2</v>
      </c>
      <c r="AZ301">
        <v>4.7720449999999998E-2</v>
      </c>
      <c r="BA301">
        <v>9.1689240000000005E-2</v>
      </c>
      <c r="BB301">
        <v>5.5769020000000002E-2</v>
      </c>
      <c r="BC301">
        <v>3.0519250000000001E-2</v>
      </c>
      <c r="BD301">
        <v>4.8616949999999999E-2</v>
      </c>
      <c r="BE301">
        <v>6.4450670000000002E-2</v>
      </c>
      <c r="BF301">
        <v>0.13906221999999999</v>
      </c>
      <c r="BG301">
        <v>7.6600139999999997E-2</v>
      </c>
      <c r="BH301">
        <v>2.7843929999999999E-2</v>
      </c>
      <c r="BI301">
        <v>7.8352600000000001E-3</v>
      </c>
      <c r="BJ301">
        <v>2.8371230000000001E-2</v>
      </c>
      <c r="BK301">
        <v>0.1017734</v>
      </c>
      <c r="BL301">
        <v>7.1509160000000002E-2</v>
      </c>
      <c r="BM301">
        <v>3.5320629999999999E-2</v>
      </c>
      <c r="BN301">
        <v>762</v>
      </c>
      <c r="BO301">
        <v>284.86505820000002</v>
      </c>
      <c r="BP301">
        <v>190</v>
      </c>
    </row>
    <row r="302" spans="1:68" x14ac:dyDescent="0.2">
      <c r="A302" t="s">
        <v>867</v>
      </c>
      <c r="B302">
        <v>33</v>
      </c>
      <c r="C302">
        <v>33</v>
      </c>
      <c r="D302">
        <v>215</v>
      </c>
      <c r="E302">
        <v>477</v>
      </c>
      <c r="F302">
        <v>240</v>
      </c>
      <c r="G302">
        <v>303</v>
      </c>
      <c r="H302">
        <v>541</v>
      </c>
      <c r="I302">
        <v>765</v>
      </c>
      <c r="J302">
        <v>539</v>
      </c>
      <c r="K302">
        <v>401</v>
      </c>
      <c r="L302">
        <v>154</v>
      </c>
      <c r="M302">
        <v>505</v>
      </c>
      <c r="N302">
        <v>986</v>
      </c>
      <c r="O302">
        <v>427</v>
      </c>
      <c r="P302">
        <v>382</v>
      </c>
      <c r="Q302">
        <v>10</v>
      </c>
      <c r="R302">
        <v>58</v>
      </c>
      <c r="S302">
        <v>1148</v>
      </c>
      <c r="T302">
        <v>515</v>
      </c>
      <c r="U302">
        <v>352</v>
      </c>
      <c r="V302">
        <v>181.5933489</v>
      </c>
      <c r="W302">
        <v>223.95306769999999</v>
      </c>
      <c r="X302">
        <v>172.6442457</v>
      </c>
      <c r="Y302">
        <v>178.3575926</v>
      </c>
      <c r="Z302">
        <v>96.874987009999998</v>
      </c>
      <c r="AA302">
        <v>65</v>
      </c>
      <c r="AB302">
        <v>302.40231349999999</v>
      </c>
      <c r="AC302">
        <v>282.71751499999999</v>
      </c>
      <c r="AD302">
        <v>219.0189905</v>
      </c>
      <c r="AE302">
        <v>147.665941</v>
      </c>
      <c r="AF302">
        <v>117.04585609999999</v>
      </c>
      <c r="AG302">
        <v>55</v>
      </c>
      <c r="AH302">
        <v>276.38912529999999</v>
      </c>
      <c r="AI302">
        <v>259.2321359</v>
      </c>
      <c r="AJ302">
        <v>189.74414060000001</v>
      </c>
      <c r="AK302">
        <v>163.03047269999999</v>
      </c>
      <c r="AL302">
        <v>118.7500809</v>
      </c>
      <c r="AM302">
        <v>55</v>
      </c>
      <c r="AN302">
        <v>276.59363960000002</v>
      </c>
      <c r="AO302">
        <v>278.13540219999999</v>
      </c>
      <c r="AP302">
        <v>178.8966704</v>
      </c>
      <c r="AQ302">
        <v>161.42907310000001</v>
      </c>
      <c r="AR302">
        <v>113.1858527</v>
      </c>
      <c r="AS302">
        <v>55</v>
      </c>
      <c r="AT302">
        <v>3.4467999999999999E-3</v>
      </c>
      <c r="AU302">
        <v>3.5082199999999998E-3</v>
      </c>
      <c r="AV302">
        <v>2.5846419999999998E-2</v>
      </c>
      <c r="AW302">
        <v>5.181297E-2</v>
      </c>
      <c r="AX302">
        <v>2.557154E-2</v>
      </c>
      <c r="AY302">
        <v>3.984911E-2</v>
      </c>
      <c r="AZ302">
        <v>7.0576769999999997E-2</v>
      </c>
      <c r="BA302">
        <v>9.8009669999999993E-2</v>
      </c>
      <c r="BB302">
        <v>7.1591440000000006E-2</v>
      </c>
      <c r="BC302">
        <v>4.5327609999999997E-2</v>
      </c>
      <c r="BD302">
        <v>2.132862E-2</v>
      </c>
      <c r="BE302">
        <v>6.6356589999999993E-2</v>
      </c>
      <c r="BF302">
        <v>0.12427518999999999</v>
      </c>
      <c r="BG302">
        <v>5.289042E-2</v>
      </c>
      <c r="BH302">
        <v>4.3389909999999997E-2</v>
      </c>
      <c r="BI302">
        <v>1.3665699999999999E-3</v>
      </c>
      <c r="BJ302">
        <v>8.2530499999999996E-3</v>
      </c>
      <c r="BK302">
        <v>0.14343569</v>
      </c>
      <c r="BL302">
        <v>6.3317349999999994E-2</v>
      </c>
      <c r="BM302">
        <v>3.9846060000000003E-2</v>
      </c>
      <c r="BN302">
        <v>773</v>
      </c>
      <c r="BO302">
        <v>203.91331980000001</v>
      </c>
      <c r="BP302">
        <v>190</v>
      </c>
    </row>
    <row r="303" spans="1:68" x14ac:dyDescent="0.2">
      <c r="A303" t="s">
        <v>868</v>
      </c>
      <c r="B303">
        <v>0</v>
      </c>
      <c r="C303">
        <v>21</v>
      </c>
      <c r="D303">
        <v>148</v>
      </c>
      <c r="E303">
        <v>315</v>
      </c>
      <c r="F303">
        <v>375</v>
      </c>
      <c r="G303">
        <v>112</v>
      </c>
      <c r="H303">
        <v>252</v>
      </c>
      <c r="I303">
        <v>459</v>
      </c>
      <c r="J303">
        <v>287</v>
      </c>
      <c r="K303">
        <v>130</v>
      </c>
      <c r="L303">
        <v>93</v>
      </c>
      <c r="M303">
        <v>633</v>
      </c>
      <c r="N303">
        <v>905</v>
      </c>
      <c r="O303">
        <v>302</v>
      </c>
      <c r="P303">
        <v>271</v>
      </c>
      <c r="Q303">
        <v>12</v>
      </c>
      <c r="R303">
        <v>370</v>
      </c>
      <c r="S303">
        <v>1615</v>
      </c>
      <c r="T303">
        <v>625</v>
      </c>
      <c r="U303">
        <v>296</v>
      </c>
      <c r="V303">
        <v>0</v>
      </c>
      <c r="W303">
        <v>201.0838651</v>
      </c>
      <c r="X303">
        <v>169.33083540000001</v>
      </c>
      <c r="Y303">
        <v>146.764229</v>
      </c>
      <c r="Z303">
        <v>116.6857449</v>
      </c>
      <c r="AA303">
        <v>65</v>
      </c>
      <c r="AB303">
        <v>319.86231149999998</v>
      </c>
      <c r="AC303">
        <v>242.2312953</v>
      </c>
      <c r="AD303">
        <v>215.14228230000001</v>
      </c>
      <c r="AE303">
        <v>145.95426209999999</v>
      </c>
      <c r="AF303">
        <v>115.0427414</v>
      </c>
      <c r="AG303">
        <v>55</v>
      </c>
      <c r="AH303">
        <v>302.87647270000002</v>
      </c>
      <c r="AI303">
        <v>227.9139098</v>
      </c>
      <c r="AJ303">
        <v>211.72629789999999</v>
      </c>
      <c r="AK303">
        <v>152.91512940000001</v>
      </c>
      <c r="AL303">
        <v>116.28370649999999</v>
      </c>
      <c r="AM303">
        <v>55</v>
      </c>
      <c r="AN303">
        <v>297.57535209999998</v>
      </c>
      <c r="AO303">
        <v>209.32530120000001</v>
      </c>
      <c r="AP303">
        <v>202.70786759999999</v>
      </c>
      <c r="AQ303">
        <v>161.7246864</v>
      </c>
      <c r="AR303">
        <v>116.3305395</v>
      </c>
      <c r="AS303">
        <v>55</v>
      </c>
      <c r="AT303">
        <v>0</v>
      </c>
      <c r="AU303">
        <v>1.9803799999999999E-3</v>
      </c>
      <c r="AV303">
        <v>2.2559610000000001E-2</v>
      </c>
      <c r="AW303">
        <v>3.2393730000000003E-2</v>
      </c>
      <c r="AX303">
        <v>5.6794850000000001E-2</v>
      </c>
      <c r="AY303">
        <v>1.608507E-2</v>
      </c>
      <c r="AZ303">
        <v>3.4231549999999999E-2</v>
      </c>
      <c r="BA303">
        <v>6.4689109999999994E-2</v>
      </c>
      <c r="BB303">
        <v>3.2538869999999998E-2</v>
      </c>
      <c r="BC303">
        <v>1.9222139999999999E-2</v>
      </c>
      <c r="BD303">
        <v>1.497626E-2</v>
      </c>
      <c r="BE303">
        <v>8.7832229999999997E-2</v>
      </c>
      <c r="BF303">
        <v>0.13442715999999999</v>
      </c>
      <c r="BG303">
        <v>3.792856E-2</v>
      </c>
      <c r="BH303">
        <v>3.8042020000000003E-2</v>
      </c>
      <c r="BI303">
        <v>2.4868999999999998E-3</v>
      </c>
      <c r="BJ303">
        <v>5.3440059999999998E-2</v>
      </c>
      <c r="BK303">
        <v>0.23458039999999999</v>
      </c>
      <c r="BL303">
        <v>7.4623430000000004E-2</v>
      </c>
      <c r="BM303">
        <v>4.1167670000000003E-2</v>
      </c>
      <c r="BN303">
        <v>860</v>
      </c>
      <c r="BO303">
        <v>203.04394429999999</v>
      </c>
      <c r="BP303">
        <v>190</v>
      </c>
    </row>
    <row r="304" spans="1:68" x14ac:dyDescent="0.2">
      <c r="A304" t="s">
        <v>869</v>
      </c>
      <c r="B304">
        <v>206</v>
      </c>
      <c r="C304">
        <v>133</v>
      </c>
      <c r="D304">
        <v>1432</v>
      </c>
      <c r="E304">
        <v>1923</v>
      </c>
      <c r="F304">
        <v>915</v>
      </c>
      <c r="G304">
        <v>373</v>
      </c>
      <c r="H304">
        <v>460</v>
      </c>
      <c r="I304">
        <v>898</v>
      </c>
      <c r="J304">
        <v>782</v>
      </c>
      <c r="K304">
        <v>365</v>
      </c>
      <c r="L304">
        <v>146</v>
      </c>
      <c r="M304">
        <v>899</v>
      </c>
      <c r="N304">
        <v>2018</v>
      </c>
      <c r="O304">
        <v>1085</v>
      </c>
      <c r="P304">
        <v>470</v>
      </c>
      <c r="Q304">
        <v>39</v>
      </c>
      <c r="R304">
        <v>1049</v>
      </c>
      <c r="S304">
        <v>3469</v>
      </c>
      <c r="T304">
        <v>1639</v>
      </c>
      <c r="U304">
        <v>671</v>
      </c>
      <c r="V304">
        <v>215.94359270000001</v>
      </c>
      <c r="W304">
        <v>147.1470726</v>
      </c>
      <c r="X304">
        <v>234.94862560000001</v>
      </c>
      <c r="Y304">
        <v>160.7873803</v>
      </c>
      <c r="Z304">
        <v>118.8006342</v>
      </c>
      <c r="AA304">
        <v>65</v>
      </c>
      <c r="AB304">
        <v>300.44997849999999</v>
      </c>
      <c r="AC304">
        <v>271.1567465</v>
      </c>
      <c r="AD304">
        <v>223.3281308</v>
      </c>
      <c r="AE304">
        <v>160.31354930000001</v>
      </c>
      <c r="AF304">
        <v>117.6942413</v>
      </c>
      <c r="AG304">
        <v>55</v>
      </c>
      <c r="AH304">
        <v>287.01319969999997</v>
      </c>
      <c r="AI304">
        <v>230.7375644</v>
      </c>
      <c r="AJ304">
        <v>208.57846369999999</v>
      </c>
      <c r="AK304">
        <v>163.43138630000001</v>
      </c>
      <c r="AL304">
        <v>112.4874068</v>
      </c>
      <c r="AM304">
        <v>55</v>
      </c>
      <c r="AN304">
        <v>230.8956877</v>
      </c>
      <c r="AO304">
        <v>203.126024</v>
      </c>
      <c r="AP304">
        <v>188.41820179999999</v>
      </c>
      <c r="AQ304">
        <v>155.92544670000001</v>
      </c>
      <c r="AR304">
        <v>108.3351795</v>
      </c>
      <c r="AS304">
        <v>55</v>
      </c>
      <c r="AT304">
        <v>1.056119E-2</v>
      </c>
      <c r="AU304">
        <v>6.7098399999999999E-3</v>
      </c>
      <c r="AV304">
        <v>7.8596830000000006E-2</v>
      </c>
      <c r="AW304">
        <v>0.10025906</v>
      </c>
      <c r="AX304">
        <v>4.6275370000000003E-2</v>
      </c>
      <c r="AY304">
        <v>2.1005349999999999E-2</v>
      </c>
      <c r="AZ304">
        <v>2.4736330000000001E-2</v>
      </c>
      <c r="BA304">
        <v>5.177673E-2</v>
      </c>
      <c r="BB304">
        <v>4.3900269999999998E-2</v>
      </c>
      <c r="BC304">
        <v>1.8166390000000001E-2</v>
      </c>
      <c r="BD304">
        <v>8.0254599999999999E-3</v>
      </c>
      <c r="BE304">
        <v>4.414879E-2</v>
      </c>
      <c r="BF304">
        <v>0.10700755000000001</v>
      </c>
      <c r="BG304">
        <v>5.7552289999999999E-2</v>
      </c>
      <c r="BH304">
        <v>2.346993E-2</v>
      </c>
      <c r="BI304">
        <v>2.28802E-3</v>
      </c>
      <c r="BJ304">
        <v>4.9657510000000002E-2</v>
      </c>
      <c r="BK304">
        <v>0.18621792000000001</v>
      </c>
      <c r="BL304">
        <v>8.6257539999999994E-2</v>
      </c>
      <c r="BM304">
        <v>3.3387630000000001E-2</v>
      </c>
      <c r="BN304">
        <v>0</v>
      </c>
      <c r="BO304">
        <v>215.23220800000001</v>
      </c>
      <c r="BP304">
        <v>190</v>
      </c>
    </row>
    <row r="305" spans="1:68" x14ac:dyDescent="0.2">
      <c r="A305" t="s">
        <v>870</v>
      </c>
      <c r="B305">
        <v>231</v>
      </c>
      <c r="C305">
        <v>57</v>
      </c>
      <c r="D305">
        <v>624</v>
      </c>
      <c r="E305">
        <v>1105</v>
      </c>
      <c r="F305">
        <v>653</v>
      </c>
      <c r="G305">
        <v>345</v>
      </c>
      <c r="H305">
        <v>217</v>
      </c>
      <c r="I305">
        <v>415</v>
      </c>
      <c r="J305">
        <v>379</v>
      </c>
      <c r="K305">
        <v>178</v>
      </c>
      <c r="L305">
        <v>941</v>
      </c>
      <c r="M305">
        <v>748</v>
      </c>
      <c r="N305">
        <v>902</v>
      </c>
      <c r="O305">
        <v>555</v>
      </c>
      <c r="P305">
        <v>209</v>
      </c>
      <c r="Q305">
        <v>535</v>
      </c>
      <c r="R305">
        <v>850</v>
      </c>
      <c r="S305">
        <v>1430</v>
      </c>
      <c r="T305">
        <v>938</v>
      </c>
      <c r="U305">
        <v>190</v>
      </c>
      <c r="V305">
        <v>265.5280861</v>
      </c>
      <c r="W305">
        <v>245.35965390000001</v>
      </c>
      <c r="X305">
        <v>196.81191920000001</v>
      </c>
      <c r="Y305">
        <v>141.90411710000001</v>
      </c>
      <c r="Z305">
        <v>89.162103700000003</v>
      </c>
      <c r="AA305">
        <v>65</v>
      </c>
      <c r="AB305">
        <v>319.17567450000001</v>
      </c>
      <c r="AC305">
        <v>265.85627849999997</v>
      </c>
      <c r="AD305">
        <v>221.5218376</v>
      </c>
      <c r="AE305">
        <v>164.6898008</v>
      </c>
      <c r="AF305">
        <v>110.9244968</v>
      </c>
      <c r="AG305">
        <v>55</v>
      </c>
      <c r="AH305">
        <v>299.3624848</v>
      </c>
      <c r="AI305">
        <v>262.09728369999999</v>
      </c>
      <c r="AJ305">
        <v>195.1183174</v>
      </c>
      <c r="AK305">
        <v>155.12025170000001</v>
      </c>
      <c r="AL305">
        <v>116.9810169</v>
      </c>
      <c r="AM305">
        <v>55</v>
      </c>
      <c r="AN305">
        <v>273.23531550000001</v>
      </c>
      <c r="AO305">
        <v>235.26251619999999</v>
      </c>
      <c r="AP305">
        <v>181.55366430000001</v>
      </c>
      <c r="AQ305">
        <v>147.93741969999999</v>
      </c>
      <c r="AR305">
        <v>114.4908423</v>
      </c>
      <c r="AS305">
        <v>55</v>
      </c>
      <c r="AT305">
        <v>1.8750119999999999E-2</v>
      </c>
      <c r="AU305">
        <v>5.3581599999999998E-3</v>
      </c>
      <c r="AV305">
        <v>5.7491899999999999E-2</v>
      </c>
      <c r="AW305">
        <v>9.4849929999999999E-2</v>
      </c>
      <c r="AX305">
        <v>6.0512070000000001E-2</v>
      </c>
      <c r="AY305">
        <v>3.0485269999999998E-2</v>
      </c>
      <c r="AZ305">
        <v>1.8621909999999998E-2</v>
      </c>
      <c r="BA305">
        <v>3.5225630000000001E-2</v>
      </c>
      <c r="BB305">
        <v>3.3321650000000001E-2</v>
      </c>
      <c r="BC305">
        <v>1.489088E-2</v>
      </c>
      <c r="BD305">
        <v>8.3688180000000001E-2</v>
      </c>
      <c r="BE305">
        <v>6.3533160000000005E-2</v>
      </c>
      <c r="BF305">
        <v>8.1465560000000006E-2</v>
      </c>
      <c r="BG305">
        <v>4.8168130000000003E-2</v>
      </c>
      <c r="BH305">
        <v>1.5062539999999999E-2</v>
      </c>
      <c r="BI305">
        <v>4.2754170000000001E-2</v>
      </c>
      <c r="BJ305">
        <v>7.0334439999999998E-2</v>
      </c>
      <c r="BK305">
        <v>0.12708912</v>
      </c>
      <c r="BL305">
        <v>8.197699E-2</v>
      </c>
      <c r="BM305">
        <v>1.6420190000000001E-2</v>
      </c>
      <c r="BN305">
        <v>1622</v>
      </c>
      <c r="BO305">
        <v>262.4734378</v>
      </c>
      <c r="BP305">
        <v>190</v>
      </c>
    </row>
    <row r="306" spans="1:68" x14ac:dyDescent="0.2">
      <c r="A306" t="s">
        <v>871</v>
      </c>
      <c r="B306">
        <v>20</v>
      </c>
      <c r="C306">
        <v>99</v>
      </c>
      <c r="D306">
        <v>454</v>
      </c>
      <c r="E306">
        <v>359</v>
      </c>
      <c r="F306">
        <v>377</v>
      </c>
      <c r="G306">
        <v>235</v>
      </c>
      <c r="H306">
        <v>337</v>
      </c>
      <c r="I306">
        <v>337</v>
      </c>
      <c r="J306">
        <v>302</v>
      </c>
      <c r="K306">
        <v>142</v>
      </c>
      <c r="L306">
        <v>344</v>
      </c>
      <c r="M306">
        <v>577</v>
      </c>
      <c r="N306">
        <v>973</v>
      </c>
      <c r="O306">
        <v>421</v>
      </c>
      <c r="P306">
        <v>179</v>
      </c>
      <c r="Q306">
        <v>145</v>
      </c>
      <c r="R306">
        <v>425</v>
      </c>
      <c r="S306">
        <v>1111</v>
      </c>
      <c r="T306">
        <v>743</v>
      </c>
      <c r="U306">
        <v>201</v>
      </c>
      <c r="V306">
        <v>247.0045413</v>
      </c>
      <c r="W306">
        <v>157.33802059999999</v>
      </c>
      <c r="X306">
        <v>192.26302229999999</v>
      </c>
      <c r="Y306">
        <v>143.96833140000001</v>
      </c>
      <c r="Z306">
        <v>110.8577239</v>
      </c>
      <c r="AA306">
        <v>65</v>
      </c>
      <c r="AB306">
        <v>270.87325759999999</v>
      </c>
      <c r="AC306">
        <v>266.1535624</v>
      </c>
      <c r="AD306">
        <v>214.91876730000001</v>
      </c>
      <c r="AE306">
        <v>151.22672220000001</v>
      </c>
      <c r="AF306">
        <v>119.03137390000001</v>
      </c>
      <c r="AG306">
        <v>55</v>
      </c>
      <c r="AH306">
        <v>295.67992759999998</v>
      </c>
      <c r="AI306">
        <v>254.05018620000001</v>
      </c>
      <c r="AJ306">
        <v>206.01180769999999</v>
      </c>
      <c r="AK306">
        <v>165.79977270000001</v>
      </c>
      <c r="AL306">
        <v>114.5310763</v>
      </c>
      <c r="AM306">
        <v>55</v>
      </c>
      <c r="AN306">
        <v>290.59917030000003</v>
      </c>
      <c r="AO306">
        <v>245.27513880000001</v>
      </c>
      <c r="AP306">
        <v>185.34519890000001</v>
      </c>
      <c r="AQ306">
        <v>157.76513790000001</v>
      </c>
      <c r="AR306">
        <v>113.308757</v>
      </c>
      <c r="AS306">
        <v>55</v>
      </c>
      <c r="AT306">
        <v>2.10831E-3</v>
      </c>
      <c r="AU306">
        <v>1.269413E-2</v>
      </c>
      <c r="AV306">
        <v>5.0326059999999999E-2</v>
      </c>
      <c r="AW306">
        <v>4.6890080000000001E-2</v>
      </c>
      <c r="AX306">
        <v>4.6961900000000001E-2</v>
      </c>
      <c r="AY306">
        <v>3.0937079999999999E-2</v>
      </c>
      <c r="AZ306">
        <v>4.3190859999999998E-2</v>
      </c>
      <c r="BA306">
        <v>4.6235310000000002E-2</v>
      </c>
      <c r="BB306">
        <v>3.6479980000000002E-2</v>
      </c>
      <c r="BC306">
        <v>1.5501839999999999E-2</v>
      </c>
      <c r="BD306">
        <v>4.2655329999999998E-2</v>
      </c>
      <c r="BE306">
        <v>7.5368459999999998E-2</v>
      </c>
      <c r="BF306">
        <v>0.12800400000000001</v>
      </c>
      <c r="BG306">
        <v>5.3551460000000002E-2</v>
      </c>
      <c r="BH306">
        <v>2.6400750000000001E-2</v>
      </c>
      <c r="BI306">
        <v>1.722454E-2</v>
      </c>
      <c r="BJ306">
        <v>5.668376E-2</v>
      </c>
      <c r="BK306">
        <v>0.14727477999999999</v>
      </c>
      <c r="BL306">
        <v>9.1699390000000006E-2</v>
      </c>
      <c r="BM306">
        <v>2.9811979999999998E-2</v>
      </c>
      <c r="BN306">
        <v>623</v>
      </c>
      <c r="BO306">
        <v>241.21045939999999</v>
      </c>
      <c r="BP306">
        <v>190</v>
      </c>
    </row>
    <row r="307" spans="1:68" x14ac:dyDescent="0.2">
      <c r="A307" t="s">
        <v>872</v>
      </c>
      <c r="B307">
        <v>34</v>
      </c>
      <c r="C307">
        <v>29</v>
      </c>
      <c r="D307">
        <v>226</v>
      </c>
      <c r="E307">
        <v>431</v>
      </c>
      <c r="F307">
        <v>303</v>
      </c>
      <c r="G307">
        <v>623</v>
      </c>
      <c r="H307">
        <v>596</v>
      </c>
      <c r="I307">
        <v>1124</v>
      </c>
      <c r="J307">
        <v>667</v>
      </c>
      <c r="K307">
        <v>252</v>
      </c>
      <c r="L307">
        <v>317</v>
      </c>
      <c r="M307">
        <v>713</v>
      </c>
      <c r="N307">
        <v>1203</v>
      </c>
      <c r="O307">
        <v>522</v>
      </c>
      <c r="P307">
        <v>137</v>
      </c>
      <c r="Q307">
        <v>62</v>
      </c>
      <c r="R307">
        <v>507</v>
      </c>
      <c r="S307">
        <v>1334</v>
      </c>
      <c r="T307">
        <v>521</v>
      </c>
      <c r="U307">
        <v>279</v>
      </c>
      <c r="V307">
        <v>268.2833862</v>
      </c>
      <c r="W307">
        <v>262.50287229999998</v>
      </c>
      <c r="X307">
        <v>171.89581910000001</v>
      </c>
      <c r="Y307">
        <v>103.4957433</v>
      </c>
      <c r="Z307">
        <v>86.116346609999994</v>
      </c>
      <c r="AA307">
        <v>65</v>
      </c>
      <c r="AB307">
        <v>303.37666719999999</v>
      </c>
      <c r="AC307">
        <v>286.97057539999997</v>
      </c>
      <c r="AD307">
        <v>221.6324127</v>
      </c>
      <c r="AE307">
        <v>151.10009439999999</v>
      </c>
      <c r="AF307">
        <v>113.841677</v>
      </c>
      <c r="AG307">
        <v>55</v>
      </c>
      <c r="AH307">
        <v>313.0840197</v>
      </c>
      <c r="AI307">
        <v>242.7801671</v>
      </c>
      <c r="AJ307">
        <v>207.76549199999999</v>
      </c>
      <c r="AK307">
        <v>164.34080969999999</v>
      </c>
      <c r="AL307">
        <v>106.4184035</v>
      </c>
      <c r="AM307">
        <v>55</v>
      </c>
      <c r="AN307">
        <v>321.42415360000001</v>
      </c>
      <c r="AO307">
        <v>196.34444479999999</v>
      </c>
      <c r="AP307">
        <v>182.74097470000001</v>
      </c>
      <c r="AQ307">
        <v>142.92214899999999</v>
      </c>
      <c r="AR307">
        <v>106.1875778</v>
      </c>
      <c r="AS307">
        <v>55</v>
      </c>
      <c r="AT307">
        <v>3.61057E-3</v>
      </c>
      <c r="AU307">
        <v>2.9222499999999999E-3</v>
      </c>
      <c r="AV307">
        <v>2.1156250000000001E-2</v>
      </c>
      <c r="AW307">
        <v>4.1896339999999997E-2</v>
      </c>
      <c r="AX307">
        <v>2.8101899999999999E-2</v>
      </c>
      <c r="AY307">
        <v>6.3312820000000006E-2</v>
      </c>
      <c r="AZ307">
        <v>6.0590890000000001E-2</v>
      </c>
      <c r="BA307">
        <v>0.11399615</v>
      </c>
      <c r="BB307">
        <v>6.2735470000000002E-2</v>
      </c>
      <c r="BC307">
        <v>2.5365519999999999E-2</v>
      </c>
      <c r="BD307">
        <v>3.1499100000000002E-2</v>
      </c>
      <c r="BE307">
        <v>7.4478829999999996E-2</v>
      </c>
      <c r="BF307">
        <v>0.12989967999999999</v>
      </c>
      <c r="BG307">
        <v>5.0074630000000002E-2</v>
      </c>
      <c r="BH307">
        <v>1.164126E-2</v>
      </c>
      <c r="BI307">
        <v>6.6715300000000002E-3</v>
      </c>
      <c r="BJ307">
        <v>5.2208400000000002E-2</v>
      </c>
      <c r="BK307">
        <v>0.14723395</v>
      </c>
      <c r="BL307">
        <v>5.0046050000000002E-2</v>
      </c>
      <c r="BM307">
        <v>2.2558410000000001E-2</v>
      </c>
      <c r="BN307">
        <v>2066</v>
      </c>
      <c r="BO307">
        <v>284.64261420000003</v>
      </c>
      <c r="BP307">
        <v>190</v>
      </c>
    </row>
    <row r="308" spans="1:68" x14ac:dyDescent="0.2">
      <c r="A308" t="s">
        <v>873</v>
      </c>
      <c r="B308">
        <v>54</v>
      </c>
      <c r="C308">
        <v>35</v>
      </c>
      <c r="D308">
        <v>161</v>
      </c>
      <c r="E308">
        <v>574</v>
      </c>
      <c r="F308">
        <v>294</v>
      </c>
      <c r="G308">
        <v>607</v>
      </c>
      <c r="H308">
        <v>687</v>
      </c>
      <c r="I308">
        <v>1064</v>
      </c>
      <c r="J308">
        <v>1181</v>
      </c>
      <c r="K308">
        <v>322</v>
      </c>
      <c r="L308">
        <v>325</v>
      </c>
      <c r="M308">
        <v>705</v>
      </c>
      <c r="N308">
        <v>995</v>
      </c>
      <c r="O308">
        <v>582</v>
      </c>
      <c r="P308">
        <v>258</v>
      </c>
      <c r="Q308">
        <v>70</v>
      </c>
      <c r="R308">
        <v>136</v>
      </c>
      <c r="S308">
        <v>809</v>
      </c>
      <c r="T308">
        <v>402</v>
      </c>
      <c r="U308">
        <v>287</v>
      </c>
      <c r="V308">
        <v>250.0154661</v>
      </c>
      <c r="W308">
        <v>201.5529545</v>
      </c>
      <c r="X308">
        <v>183.98109890000001</v>
      </c>
      <c r="Y308">
        <v>124.77338930000001</v>
      </c>
      <c r="Z308">
        <v>113.4906692</v>
      </c>
      <c r="AA308">
        <v>65</v>
      </c>
      <c r="AB308">
        <v>304.98578800000001</v>
      </c>
      <c r="AC308">
        <v>290.21648640000001</v>
      </c>
      <c r="AD308">
        <v>225.70289769999999</v>
      </c>
      <c r="AE308">
        <v>161.48823820000001</v>
      </c>
      <c r="AF308">
        <v>122.92918419999999</v>
      </c>
      <c r="AG308">
        <v>55</v>
      </c>
      <c r="AH308">
        <v>313.46983390000003</v>
      </c>
      <c r="AI308">
        <v>261.93573420000001</v>
      </c>
      <c r="AJ308">
        <v>206.31648079999999</v>
      </c>
      <c r="AK308">
        <v>167.44312500000001</v>
      </c>
      <c r="AL308">
        <v>116.6482378</v>
      </c>
      <c r="AM308">
        <v>55</v>
      </c>
      <c r="AN308">
        <v>288.8973555</v>
      </c>
      <c r="AO308">
        <v>236.10036339999999</v>
      </c>
      <c r="AP308">
        <v>180.37536119999999</v>
      </c>
      <c r="AQ308">
        <v>162.05089169999999</v>
      </c>
      <c r="AR308">
        <v>117.1781539</v>
      </c>
      <c r="AS308">
        <v>55</v>
      </c>
      <c r="AT308">
        <v>5.53134E-3</v>
      </c>
      <c r="AU308">
        <v>3.3611499999999998E-3</v>
      </c>
      <c r="AV308">
        <v>1.6134900000000001E-2</v>
      </c>
      <c r="AW308">
        <v>6.089079E-2</v>
      </c>
      <c r="AX308">
        <v>3.1204829999999999E-2</v>
      </c>
      <c r="AY308">
        <v>6.2908800000000001E-2</v>
      </c>
      <c r="AZ308">
        <v>7.1430770000000005E-2</v>
      </c>
      <c r="BA308">
        <v>0.11241959999999999</v>
      </c>
      <c r="BB308">
        <v>0.11885279</v>
      </c>
      <c r="BC308">
        <v>3.2054340000000001E-2</v>
      </c>
      <c r="BD308">
        <v>3.5091860000000002E-2</v>
      </c>
      <c r="BE308">
        <v>7.8779619999999995E-2</v>
      </c>
      <c r="BF308">
        <v>0.10715435</v>
      </c>
      <c r="BG308">
        <v>6.0619220000000001E-2</v>
      </c>
      <c r="BH308">
        <v>2.7140049999999999E-2</v>
      </c>
      <c r="BI308">
        <v>7.5415899999999999E-3</v>
      </c>
      <c r="BJ308">
        <v>1.6039970000000001E-2</v>
      </c>
      <c r="BK308">
        <v>8.5203319999999999E-2</v>
      </c>
      <c r="BL308">
        <v>3.8710189999999998E-2</v>
      </c>
      <c r="BM308">
        <v>2.8930520000000001E-2</v>
      </c>
      <c r="BN308">
        <v>827</v>
      </c>
      <c r="BO308">
        <v>264.66070079999997</v>
      </c>
      <c r="BP308">
        <v>190</v>
      </c>
    </row>
    <row r="309" spans="1:68" x14ac:dyDescent="0.2">
      <c r="A309" t="s">
        <v>874</v>
      </c>
      <c r="B309">
        <v>270</v>
      </c>
      <c r="C309">
        <v>518</v>
      </c>
      <c r="D309">
        <v>1427</v>
      </c>
      <c r="E309">
        <v>1091</v>
      </c>
      <c r="F309">
        <v>729</v>
      </c>
      <c r="G309">
        <v>261</v>
      </c>
      <c r="H309">
        <v>422</v>
      </c>
      <c r="I309">
        <v>715</v>
      </c>
      <c r="J309">
        <v>543</v>
      </c>
      <c r="K309">
        <v>101</v>
      </c>
      <c r="L309">
        <v>1123</v>
      </c>
      <c r="M309">
        <v>2129</v>
      </c>
      <c r="N309">
        <v>2281</v>
      </c>
      <c r="O309">
        <v>553</v>
      </c>
      <c r="P309">
        <v>195</v>
      </c>
      <c r="Q309">
        <v>893</v>
      </c>
      <c r="R309">
        <v>1426</v>
      </c>
      <c r="S309">
        <v>2212</v>
      </c>
      <c r="T309">
        <v>895</v>
      </c>
      <c r="U309">
        <v>343</v>
      </c>
      <c r="V309">
        <v>259.64212479999998</v>
      </c>
      <c r="W309">
        <v>229.97501349999999</v>
      </c>
      <c r="X309">
        <v>179.05396379999999</v>
      </c>
      <c r="Y309">
        <v>133.11463190000001</v>
      </c>
      <c r="Z309">
        <v>106.2185066</v>
      </c>
      <c r="AA309">
        <v>65</v>
      </c>
      <c r="AB309">
        <v>318.43961059999998</v>
      </c>
      <c r="AC309">
        <v>280.22532960000001</v>
      </c>
      <c r="AD309">
        <v>224.4518343</v>
      </c>
      <c r="AE309">
        <v>143.8407986</v>
      </c>
      <c r="AF309">
        <v>118.40459199999999</v>
      </c>
      <c r="AG309">
        <v>55</v>
      </c>
      <c r="AH309">
        <v>313.51899420000001</v>
      </c>
      <c r="AI309">
        <v>237.79357519999999</v>
      </c>
      <c r="AJ309">
        <v>210.2685798</v>
      </c>
      <c r="AK309">
        <v>162.30083769999999</v>
      </c>
      <c r="AL309">
        <v>106.9879875</v>
      </c>
      <c r="AM309">
        <v>55</v>
      </c>
      <c r="AN309">
        <v>278.19874590000001</v>
      </c>
      <c r="AO309">
        <v>209.48370879999999</v>
      </c>
      <c r="AP309">
        <v>190.75934559999999</v>
      </c>
      <c r="AQ309">
        <v>153.35364179999999</v>
      </c>
      <c r="AR309">
        <v>105.1001043</v>
      </c>
      <c r="AS309">
        <v>55</v>
      </c>
      <c r="AT309">
        <v>1.5930900000000001E-2</v>
      </c>
      <c r="AU309">
        <v>2.8894199999999998E-2</v>
      </c>
      <c r="AV309">
        <v>8.6261459999999998E-2</v>
      </c>
      <c r="AW309">
        <v>6.2134839999999997E-2</v>
      </c>
      <c r="AX309">
        <v>4.2633709999999998E-2</v>
      </c>
      <c r="AY309">
        <v>1.5447290000000001E-2</v>
      </c>
      <c r="AZ309">
        <v>2.3760079999999999E-2</v>
      </c>
      <c r="BA309">
        <v>3.8799220000000002E-2</v>
      </c>
      <c r="BB309">
        <v>3.0393139999999999E-2</v>
      </c>
      <c r="BC309">
        <v>5.6518799999999998E-3</v>
      </c>
      <c r="BD309">
        <v>6.1463530000000002E-2</v>
      </c>
      <c r="BE309">
        <v>0.1140328</v>
      </c>
      <c r="BF309">
        <v>0.12185588999999999</v>
      </c>
      <c r="BG309">
        <v>2.995403E-2</v>
      </c>
      <c r="BH309">
        <v>1.0445019999999999E-2</v>
      </c>
      <c r="BI309">
        <v>4.9069120000000001E-2</v>
      </c>
      <c r="BJ309">
        <v>7.5574139999999998E-2</v>
      </c>
      <c r="BK309">
        <v>0.11930873</v>
      </c>
      <c r="BL309">
        <v>4.9837319999999997E-2</v>
      </c>
      <c r="BM309">
        <v>1.8552699999999998E-2</v>
      </c>
      <c r="BN309">
        <v>1750</v>
      </c>
      <c r="BO309">
        <v>251.71186309999999</v>
      </c>
      <c r="BP309">
        <v>190</v>
      </c>
    </row>
    <row r="310" spans="1:68" x14ac:dyDescent="0.2">
      <c r="A310" t="s">
        <v>875</v>
      </c>
      <c r="B310">
        <v>145</v>
      </c>
      <c r="C310">
        <v>351</v>
      </c>
      <c r="D310">
        <v>622</v>
      </c>
      <c r="E310">
        <v>476</v>
      </c>
      <c r="F310">
        <v>102</v>
      </c>
      <c r="G310">
        <v>259</v>
      </c>
      <c r="H310">
        <v>315</v>
      </c>
      <c r="I310">
        <v>493</v>
      </c>
      <c r="J310">
        <v>228</v>
      </c>
      <c r="K310">
        <v>58</v>
      </c>
      <c r="L310">
        <v>513</v>
      </c>
      <c r="M310">
        <v>780</v>
      </c>
      <c r="N310">
        <v>1077</v>
      </c>
      <c r="O310">
        <v>347</v>
      </c>
      <c r="P310">
        <v>41</v>
      </c>
      <c r="Q310">
        <v>283</v>
      </c>
      <c r="R310">
        <v>389</v>
      </c>
      <c r="S310">
        <v>514</v>
      </c>
      <c r="T310">
        <v>440</v>
      </c>
      <c r="U310">
        <v>51</v>
      </c>
      <c r="V310">
        <v>239.86720410000001</v>
      </c>
      <c r="W310">
        <v>275.71360499999997</v>
      </c>
      <c r="X310">
        <v>122.9628597</v>
      </c>
      <c r="Y310">
        <v>131.38553250000001</v>
      </c>
      <c r="Z310">
        <v>81.629662839999995</v>
      </c>
      <c r="AA310">
        <v>65</v>
      </c>
      <c r="AB310">
        <v>340.39929949999998</v>
      </c>
      <c r="AC310">
        <v>289.73263150000002</v>
      </c>
      <c r="AD310">
        <v>225.7216281</v>
      </c>
      <c r="AE310">
        <v>143.21475469999999</v>
      </c>
      <c r="AF310">
        <v>115.95510659999999</v>
      </c>
      <c r="AG310">
        <v>55</v>
      </c>
      <c r="AH310">
        <v>298.18050790000001</v>
      </c>
      <c r="AI310">
        <v>249.96078410000001</v>
      </c>
      <c r="AJ310">
        <v>209.0769469</v>
      </c>
      <c r="AK310">
        <v>162.9449525</v>
      </c>
      <c r="AL310">
        <v>109.89973070000001</v>
      </c>
      <c r="AM310">
        <v>55</v>
      </c>
      <c r="AN310">
        <v>279.05807010000001</v>
      </c>
      <c r="AO310">
        <v>235.97189230000001</v>
      </c>
      <c r="AP310">
        <v>199.54774320000001</v>
      </c>
      <c r="AQ310">
        <v>157.8603718</v>
      </c>
      <c r="AR310">
        <v>104.8132035</v>
      </c>
      <c r="AS310">
        <v>55</v>
      </c>
      <c r="AT310">
        <v>2.0415780000000001E-2</v>
      </c>
      <c r="AU310">
        <v>5.0123620000000001E-2</v>
      </c>
      <c r="AV310">
        <v>8.4292820000000004E-2</v>
      </c>
      <c r="AW310">
        <v>6.7541799999999999E-2</v>
      </c>
      <c r="AX310">
        <v>1.521073E-2</v>
      </c>
      <c r="AY310">
        <v>2.9043530000000001E-2</v>
      </c>
      <c r="AZ310">
        <v>3.9629520000000001E-2</v>
      </c>
      <c r="BA310">
        <v>6.3836630000000005E-2</v>
      </c>
      <c r="BB310">
        <v>3.3397990000000002E-2</v>
      </c>
      <c r="BC310">
        <v>9.1225799999999999E-3</v>
      </c>
      <c r="BD310">
        <v>6.176649E-2</v>
      </c>
      <c r="BE310">
        <v>0.10000340000000001</v>
      </c>
      <c r="BF310">
        <v>0.14515938</v>
      </c>
      <c r="BG310">
        <v>4.7093129999999997E-2</v>
      </c>
      <c r="BH310">
        <v>5.8160699999999996E-3</v>
      </c>
      <c r="BI310">
        <v>3.7223289999999999E-2</v>
      </c>
      <c r="BJ310">
        <v>5.0635260000000001E-2</v>
      </c>
      <c r="BK310">
        <v>7.2189439999999994E-2</v>
      </c>
      <c r="BL310">
        <v>5.9693129999999997E-2</v>
      </c>
      <c r="BM310">
        <v>7.8054099999999996E-3</v>
      </c>
      <c r="BN310">
        <v>924</v>
      </c>
      <c r="BO310">
        <v>219.2415542</v>
      </c>
      <c r="BP310">
        <v>190</v>
      </c>
    </row>
    <row r="311" spans="1:68" x14ac:dyDescent="0.2">
      <c r="A311" t="s">
        <v>876</v>
      </c>
      <c r="B311">
        <v>72</v>
      </c>
      <c r="C311">
        <v>21</v>
      </c>
      <c r="D311">
        <v>118</v>
      </c>
      <c r="E311">
        <v>285</v>
      </c>
      <c r="F311">
        <v>274</v>
      </c>
      <c r="G311">
        <v>293</v>
      </c>
      <c r="H311">
        <v>187</v>
      </c>
      <c r="I311">
        <v>446</v>
      </c>
      <c r="J311">
        <v>288</v>
      </c>
      <c r="K311">
        <v>113</v>
      </c>
      <c r="L311">
        <v>234</v>
      </c>
      <c r="M311">
        <v>722</v>
      </c>
      <c r="N311">
        <v>754</v>
      </c>
      <c r="O311">
        <v>379</v>
      </c>
      <c r="P311">
        <v>90</v>
      </c>
      <c r="Q311">
        <v>51</v>
      </c>
      <c r="R311">
        <v>216</v>
      </c>
      <c r="S311">
        <v>772</v>
      </c>
      <c r="T311">
        <v>558</v>
      </c>
      <c r="U311">
        <v>92</v>
      </c>
      <c r="V311">
        <v>239.46511129999999</v>
      </c>
      <c r="W311">
        <v>268.95131090000001</v>
      </c>
      <c r="X311">
        <v>204.84347220000001</v>
      </c>
      <c r="Y311">
        <v>144.38541119999999</v>
      </c>
      <c r="Z311">
        <v>124.4358423</v>
      </c>
      <c r="AA311">
        <v>65</v>
      </c>
      <c r="AB311">
        <v>301.36543820000003</v>
      </c>
      <c r="AC311">
        <v>299.74294600000002</v>
      </c>
      <c r="AD311">
        <v>218.23790969999999</v>
      </c>
      <c r="AE311">
        <v>147.55132699999999</v>
      </c>
      <c r="AF311">
        <v>117.153183</v>
      </c>
      <c r="AG311">
        <v>55</v>
      </c>
      <c r="AH311">
        <v>302.33237659999998</v>
      </c>
      <c r="AI311">
        <v>242.98527580000001</v>
      </c>
      <c r="AJ311">
        <v>214.7376419</v>
      </c>
      <c r="AK311">
        <v>162.16013770000001</v>
      </c>
      <c r="AL311">
        <v>117.34844560000001</v>
      </c>
      <c r="AM311">
        <v>55</v>
      </c>
      <c r="AN311">
        <v>301.14223800000002</v>
      </c>
      <c r="AO311">
        <v>230.9567868</v>
      </c>
      <c r="AP311">
        <v>212.17794470000001</v>
      </c>
      <c r="AQ311">
        <v>163.16827119999999</v>
      </c>
      <c r="AR311">
        <v>119.6304736</v>
      </c>
      <c r="AS311">
        <v>55</v>
      </c>
      <c r="AT311">
        <v>1.2862490000000001E-2</v>
      </c>
      <c r="AU311">
        <v>3.0330299999999999E-3</v>
      </c>
      <c r="AV311">
        <v>2.0366559999999999E-2</v>
      </c>
      <c r="AW311">
        <v>4.9549139999999998E-2</v>
      </c>
      <c r="AX311">
        <v>4.2249380000000003E-2</v>
      </c>
      <c r="AY311">
        <v>4.819031E-2</v>
      </c>
      <c r="AZ311">
        <v>3.2835870000000003E-2</v>
      </c>
      <c r="BA311">
        <v>7.5590850000000001E-2</v>
      </c>
      <c r="BB311">
        <v>4.8633549999999998E-2</v>
      </c>
      <c r="BC311">
        <v>1.676561E-2</v>
      </c>
      <c r="BD311">
        <v>3.9142650000000001E-2</v>
      </c>
      <c r="BE311">
        <v>0.12674183</v>
      </c>
      <c r="BF311">
        <v>0.12525602999999999</v>
      </c>
      <c r="BG311">
        <v>6.3477859999999997E-2</v>
      </c>
      <c r="BH311">
        <v>1.2168969999999999E-2</v>
      </c>
      <c r="BI311">
        <v>8.2130599999999995E-3</v>
      </c>
      <c r="BJ311">
        <v>3.359765E-2</v>
      </c>
      <c r="BK311">
        <v>0.13391188000000001</v>
      </c>
      <c r="BL311">
        <v>9.4542600000000004E-2</v>
      </c>
      <c r="BM311">
        <v>1.2870680000000001E-2</v>
      </c>
      <c r="BN311">
        <v>1017</v>
      </c>
      <c r="BO311">
        <v>274.29754759999997</v>
      </c>
      <c r="BP311">
        <v>190</v>
      </c>
    </row>
    <row r="312" spans="1:68" x14ac:dyDescent="0.2">
      <c r="A312" t="s">
        <v>877</v>
      </c>
      <c r="B312">
        <v>29</v>
      </c>
      <c r="C312">
        <v>28</v>
      </c>
      <c r="D312">
        <v>67</v>
      </c>
      <c r="E312">
        <v>148</v>
      </c>
      <c r="F312">
        <v>94</v>
      </c>
      <c r="G312">
        <v>487</v>
      </c>
      <c r="H312">
        <v>607</v>
      </c>
      <c r="I312">
        <v>581</v>
      </c>
      <c r="J312">
        <v>302</v>
      </c>
      <c r="K312">
        <v>172</v>
      </c>
      <c r="L312">
        <v>112</v>
      </c>
      <c r="M312">
        <v>452</v>
      </c>
      <c r="N312">
        <v>1271</v>
      </c>
      <c r="O312">
        <v>407</v>
      </c>
      <c r="P312">
        <v>115</v>
      </c>
      <c r="Q312">
        <v>24</v>
      </c>
      <c r="R312">
        <v>54</v>
      </c>
      <c r="S312">
        <v>479</v>
      </c>
      <c r="T312">
        <v>200</v>
      </c>
      <c r="U312">
        <v>104</v>
      </c>
      <c r="V312">
        <v>173.16656950000001</v>
      </c>
      <c r="W312">
        <v>209.4554239</v>
      </c>
      <c r="X312">
        <v>160.6595672</v>
      </c>
      <c r="Y312">
        <v>138.5203329</v>
      </c>
      <c r="Z312">
        <v>115.45398350000001</v>
      </c>
      <c r="AA312">
        <v>65</v>
      </c>
      <c r="AB312">
        <v>301.47877240000003</v>
      </c>
      <c r="AC312">
        <v>284.66243680000002</v>
      </c>
      <c r="AD312">
        <v>223.4331895</v>
      </c>
      <c r="AE312">
        <v>150.21504139999999</v>
      </c>
      <c r="AF312">
        <v>115.64827409999999</v>
      </c>
      <c r="AG312">
        <v>55</v>
      </c>
      <c r="AH312">
        <v>316.1022069</v>
      </c>
      <c r="AI312">
        <v>232.5247349</v>
      </c>
      <c r="AJ312">
        <v>186.33972449999999</v>
      </c>
      <c r="AK312">
        <v>166.29414890000001</v>
      </c>
      <c r="AL312">
        <v>114.99715689999999</v>
      </c>
      <c r="AM312">
        <v>55</v>
      </c>
      <c r="AN312">
        <v>290.06352049999998</v>
      </c>
      <c r="AO312">
        <v>226.9627696</v>
      </c>
      <c r="AP312">
        <v>147.84674559999999</v>
      </c>
      <c r="AQ312">
        <v>157.77912230000001</v>
      </c>
      <c r="AR312">
        <v>112.8599663</v>
      </c>
      <c r="AS312">
        <v>55</v>
      </c>
      <c r="AT312">
        <v>4.5017499999999997E-3</v>
      </c>
      <c r="AU312">
        <v>3.37725E-3</v>
      </c>
      <c r="AV312">
        <v>9.3254500000000008E-3</v>
      </c>
      <c r="AW312">
        <v>1.9461409999999998E-2</v>
      </c>
      <c r="AX312">
        <v>1.115937E-2</v>
      </c>
      <c r="AY312">
        <v>8.542421E-2</v>
      </c>
      <c r="AZ312">
        <v>0.10767792</v>
      </c>
      <c r="BA312">
        <v>0.1068384</v>
      </c>
      <c r="BB312">
        <v>5.379076E-2</v>
      </c>
      <c r="BC312">
        <v>2.227664E-2</v>
      </c>
      <c r="BD312">
        <v>1.8128200000000001E-2</v>
      </c>
      <c r="BE312">
        <v>8.0823720000000002E-2</v>
      </c>
      <c r="BF312">
        <v>0.23119571999999999</v>
      </c>
      <c r="BG312">
        <v>7.5960700000000006E-2</v>
      </c>
      <c r="BH312">
        <v>1.5706520000000002E-2</v>
      </c>
      <c r="BI312">
        <v>4.5345100000000003E-3</v>
      </c>
      <c r="BJ312">
        <v>9.6605100000000006E-3</v>
      </c>
      <c r="BK312">
        <v>8.8411180000000006E-2</v>
      </c>
      <c r="BL312">
        <v>3.6447790000000001E-2</v>
      </c>
      <c r="BM312">
        <v>1.5297989999999999E-2</v>
      </c>
      <c r="BN312">
        <v>312</v>
      </c>
      <c r="BO312">
        <v>276.13179960000002</v>
      </c>
      <c r="BP312">
        <v>190</v>
      </c>
    </row>
    <row r="313" spans="1:68" x14ac:dyDescent="0.2">
      <c r="A313" t="s">
        <v>878</v>
      </c>
      <c r="B313">
        <v>164</v>
      </c>
      <c r="C313">
        <v>445</v>
      </c>
      <c r="D313">
        <v>1614</v>
      </c>
      <c r="E313">
        <v>1588</v>
      </c>
      <c r="F313">
        <v>421</v>
      </c>
      <c r="G313">
        <v>131</v>
      </c>
      <c r="H313">
        <v>288</v>
      </c>
      <c r="I313">
        <v>405</v>
      </c>
      <c r="J313">
        <v>336</v>
      </c>
      <c r="K313">
        <v>39</v>
      </c>
      <c r="L313">
        <v>1349</v>
      </c>
      <c r="M313">
        <v>1592</v>
      </c>
      <c r="N313">
        <v>1069</v>
      </c>
      <c r="O313">
        <v>410</v>
      </c>
      <c r="P313">
        <v>138</v>
      </c>
      <c r="Q313">
        <v>1202</v>
      </c>
      <c r="R313">
        <v>970</v>
      </c>
      <c r="S313">
        <v>1075</v>
      </c>
      <c r="T313">
        <v>787</v>
      </c>
      <c r="U313">
        <v>301</v>
      </c>
      <c r="V313">
        <v>273.61946790000002</v>
      </c>
      <c r="W313">
        <v>308.3881389</v>
      </c>
      <c r="X313">
        <v>193.99436639999999</v>
      </c>
      <c r="Y313">
        <v>143.75511789999999</v>
      </c>
      <c r="Z313">
        <v>104.7562836</v>
      </c>
      <c r="AA313">
        <v>65</v>
      </c>
      <c r="AB313">
        <v>324.74902800000001</v>
      </c>
      <c r="AC313">
        <v>289.35337579999998</v>
      </c>
      <c r="AD313">
        <v>222.70714340000001</v>
      </c>
      <c r="AE313">
        <v>137.92433729999999</v>
      </c>
      <c r="AF313">
        <v>116.9466291</v>
      </c>
      <c r="AG313">
        <v>55</v>
      </c>
      <c r="AH313">
        <v>308.09606350000001</v>
      </c>
      <c r="AI313">
        <v>271.31033359999998</v>
      </c>
      <c r="AJ313">
        <v>215.3636473</v>
      </c>
      <c r="AK313">
        <v>164.1258526</v>
      </c>
      <c r="AL313">
        <v>111.9914122</v>
      </c>
      <c r="AM313">
        <v>55</v>
      </c>
      <c r="AN313">
        <v>264.02685600000001</v>
      </c>
      <c r="AO313">
        <v>243.9433459</v>
      </c>
      <c r="AP313">
        <v>198.2989115</v>
      </c>
      <c r="AQ313">
        <v>154.92039689999999</v>
      </c>
      <c r="AR313">
        <v>105.3111518</v>
      </c>
      <c r="AS313">
        <v>55</v>
      </c>
      <c r="AT313">
        <v>1.192345E-2</v>
      </c>
      <c r="AU313">
        <v>3.0934199999999999E-2</v>
      </c>
      <c r="AV313">
        <v>0.11425781</v>
      </c>
      <c r="AW313">
        <v>0.11166729</v>
      </c>
      <c r="AX313">
        <v>3.257003E-2</v>
      </c>
      <c r="AY313">
        <v>8.20275E-3</v>
      </c>
      <c r="AZ313">
        <v>1.8905709999999999E-2</v>
      </c>
      <c r="BA313">
        <v>2.6274079999999998E-2</v>
      </c>
      <c r="BB313">
        <v>2.2706239999999999E-2</v>
      </c>
      <c r="BC313">
        <v>3.0873699999999999E-3</v>
      </c>
      <c r="BD313">
        <v>9.3655189999999999E-2</v>
      </c>
      <c r="BE313">
        <v>0.11349664</v>
      </c>
      <c r="BF313">
        <v>7.1678110000000003E-2</v>
      </c>
      <c r="BG313">
        <v>2.8520440000000001E-2</v>
      </c>
      <c r="BH313">
        <v>1.01811E-2</v>
      </c>
      <c r="BI313">
        <v>8.4689609999999999E-2</v>
      </c>
      <c r="BJ313">
        <v>7.0541870000000007E-2</v>
      </c>
      <c r="BK313">
        <v>7.1883950000000002E-2</v>
      </c>
      <c r="BL313">
        <v>5.3456129999999998E-2</v>
      </c>
      <c r="BM313">
        <v>2.136803E-2</v>
      </c>
      <c r="BN313">
        <v>1481</v>
      </c>
      <c r="BO313">
        <v>285.57244730000002</v>
      </c>
      <c r="BP313">
        <v>190</v>
      </c>
    </row>
    <row r="314" spans="1:68" x14ac:dyDescent="0.2">
      <c r="A314" t="s">
        <v>879</v>
      </c>
      <c r="B314">
        <v>36</v>
      </c>
      <c r="C314">
        <v>45</v>
      </c>
      <c r="D314">
        <v>271</v>
      </c>
      <c r="E314">
        <v>200</v>
      </c>
      <c r="F314">
        <v>328</v>
      </c>
      <c r="G314">
        <v>281</v>
      </c>
      <c r="H314">
        <v>547</v>
      </c>
      <c r="I314">
        <v>685</v>
      </c>
      <c r="J314">
        <v>389</v>
      </c>
      <c r="K314">
        <v>189</v>
      </c>
      <c r="L314">
        <v>252</v>
      </c>
      <c r="M314">
        <v>539</v>
      </c>
      <c r="N314">
        <v>1026</v>
      </c>
      <c r="O314">
        <v>401</v>
      </c>
      <c r="P314">
        <v>275</v>
      </c>
      <c r="Q314">
        <v>140</v>
      </c>
      <c r="R314">
        <v>236</v>
      </c>
      <c r="S314">
        <v>769</v>
      </c>
      <c r="T314">
        <v>565</v>
      </c>
      <c r="U314">
        <v>274</v>
      </c>
      <c r="V314">
        <v>240.10742569999999</v>
      </c>
      <c r="W314">
        <v>217.46401510000001</v>
      </c>
      <c r="X314">
        <v>186.20660799999999</v>
      </c>
      <c r="Y314">
        <v>151.77602139999999</v>
      </c>
      <c r="Z314">
        <v>98.192716680000004</v>
      </c>
      <c r="AA314">
        <v>65</v>
      </c>
      <c r="AB314">
        <v>312.68255779999998</v>
      </c>
      <c r="AC314">
        <v>277.89238110000002</v>
      </c>
      <c r="AD314">
        <v>223.0274216</v>
      </c>
      <c r="AE314">
        <v>154.19011939999999</v>
      </c>
      <c r="AF314">
        <v>116.4093383</v>
      </c>
      <c r="AG314">
        <v>55</v>
      </c>
      <c r="AH314">
        <v>295.46915760000002</v>
      </c>
      <c r="AI314">
        <v>218.9398358</v>
      </c>
      <c r="AJ314">
        <v>201.204958</v>
      </c>
      <c r="AK314">
        <v>158.61707670000001</v>
      </c>
      <c r="AL314">
        <v>118.015485</v>
      </c>
      <c r="AM314">
        <v>55</v>
      </c>
      <c r="AN314">
        <v>267.29778019999998</v>
      </c>
      <c r="AO314">
        <v>217.28175820000001</v>
      </c>
      <c r="AP314">
        <v>182.57602</v>
      </c>
      <c r="AQ314">
        <v>159.69256559999999</v>
      </c>
      <c r="AR314">
        <v>115.0188248</v>
      </c>
      <c r="AS314">
        <v>55</v>
      </c>
      <c r="AT314">
        <v>4.9559199999999999E-3</v>
      </c>
      <c r="AU314">
        <v>5.7579900000000002E-3</v>
      </c>
      <c r="AV314">
        <v>3.7961450000000001E-2</v>
      </c>
      <c r="AW314">
        <v>2.9500129999999999E-2</v>
      </c>
      <c r="AX314">
        <v>5.3446100000000003E-2</v>
      </c>
      <c r="AY314">
        <v>3.642012E-2</v>
      </c>
      <c r="AZ314">
        <v>6.8838899999999995E-2</v>
      </c>
      <c r="BA314">
        <v>8.767105E-2</v>
      </c>
      <c r="BB314">
        <v>4.7216569999999999E-2</v>
      </c>
      <c r="BC314">
        <v>2.3310790000000001E-2</v>
      </c>
      <c r="BD314">
        <v>3.4037980000000002E-2</v>
      </c>
      <c r="BE314">
        <v>7.2949700000000006E-2</v>
      </c>
      <c r="BF314">
        <v>0.13748832</v>
      </c>
      <c r="BG314">
        <v>5.2802300000000003E-2</v>
      </c>
      <c r="BH314">
        <v>3.5177369999999999E-2</v>
      </c>
      <c r="BI314">
        <v>1.8976059999999999E-2</v>
      </c>
      <c r="BJ314">
        <v>3.4171119999999999E-2</v>
      </c>
      <c r="BK314">
        <v>0.10318263</v>
      </c>
      <c r="BL314">
        <v>7.8787709999999997E-2</v>
      </c>
      <c r="BM314">
        <v>3.7347789999999999E-2</v>
      </c>
      <c r="BN314">
        <v>1339</v>
      </c>
      <c r="BO314">
        <v>287.4886439</v>
      </c>
      <c r="BP314">
        <v>190</v>
      </c>
    </row>
    <row r="315" spans="1:68" x14ac:dyDescent="0.2">
      <c r="A315" t="s">
        <v>880</v>
      </c>
      <c r="B315">
        <v>1439</v>
      </c>
      <c r="C315">
        <v>3254</v>
      </c>
      <c r="D315">
        <v>8012</v>
      </c>
      <c r="E315">
        <v>2627</v>
      </c>
      <c r="F315">
        <v>1158</v>
      </c>
      <c r="G315">
        <v>456</v>
      </c>
      <c r="H315">
        <v>483</v>
      </c>
      <c r="I315">
        <v>673</v>
      </c>
      <c r="J315">
        <v>450</v>
      </c>
      <c r="K315">
        <v>167</v>
      </c>
      <c r="L315">
        <v>2802</v>
      </c>
      <c r="M315">
        <v>3434</v>
      </c>
      <c r="N315">
        <v>2966</v>
      </c>
      <c r="O315">
        <v>1416</v>
      </c>
      <c r="P315">
        <v>249</v>
      </c>
      <c r="Q315">
        <v>3851</v>
      </c>
      <c r="R315">
        <v>3532</v>
      </c>
      <c r="S315">
        <v>5057</v>
      </c>
      <c r="T315">
        <v>3377</v>
      </c>
      <c r="U315">
        <v>521</v>
      </c>
      <c r="V315">
        <v>268.7231367</v>
      </c>
      <c r="W315">
        <v>253.34857969999999</v>
      </c>
      <c r="X315">
        <v>184.96420430000001</v>
      </c>
      <c r="Y315">
        <v>143.20693660000001</v>
      </c>
      <c r="Z315">
        <v>106.9831441</v>
      </c>
      <c r="AA315">
        <v>65</v>
      </c>
      <c r="AB315">
        <v>328.39649029999998</v>
      </c>
      <c r="AC315">
        <v>293.3778595</v>
      </c>
      <c r="AD315">
        <v>216.4169794</v>
      </c>
      <c r="AE315">
        <v>147.34522960000001</v>
      </c>
      <c r="AF315">
        <v>119.0854374</v>
      </c>
      <c r="AG315">
        <v>55</v>
      </c>
      <c r="AH315">
        <v>304.65221279999997</v>
      </c>
      <c r="AI315">
        <v>269.60783830000003</v>
      </c>
      <c r="AJ315">
        <v>213.15234459999999</v>
      </c>
      <c r="AK315">
        <v>171.71753749999999</v>
      </c>
      <c r="AL315">
        <v>116.3692191</v>
      </c>
      <c r="AM315">
        <v>55</v>
      </c>
      <c r="AN315">
        <v>286.02754270000003</v>
      </c>
      <c r="AO315">
        <v>248.3197571</v>
      </c>
      <c r="AP315">
        <v>195.10611170000001</v>
      </c>
      <c r="AQ315">
        <v>170.79681110000001</v>
      </c>
      <c r="AR315">
        <v>110.8721585</v>
      </c>
      <c r="AS315">
        <v>55</v>
      </c>
      <c r="AT315">
        <v>2.9557190000000001E-2</v>
      </c>
      <c r="AU315">
        <v>7.2150519999999996E-2</v>
      </c>
      <c r="AV315">
        <v>0.17656754</v>
      </c>
      <c r="AW315">
        <v>5.4539770000000001E-2</v>
      </c>
      <c r="AX315">
        <v>2.3518089999999998E-2</v>
      </c>
      <c r="AY315">
        <v>9.86071E-3</v>
      </c>
      <c r="AZ315">
        <v>1.045157E-2</v>
      </c>
      <c r="BA315">
        <v>1.4490050000000001E-2</v>
      </c>
      <c r="BB315">
        <v>9.6068200000000003E-3</v>
      </c>
      <c r="BC315">
        <v>3.3797100000000002E-3</v>
      </c>
      <c r="BD315">
        <v>6.1290959999999998E-2</v>
      </c>
      <c r="BE315">
        <v>7.6295260000000004E-2</v>
      </c>
      <c r="BF315">
        <v>6.4266980000000001E-2</v>
      </c>
      <c r="BG315">
        <v>3.0567690000000002E-2</v>
      </c>
      <c r="BH315">
        <v>5.1053399999999999E-3</v>
      </c>
      <c r="BI315">
        <v>8.5726449999999996E-2</v>
      </c>
      <c r="BJ315">
        <v>8.1679440000000006E-2</v>
      </c>
      <c r="BK315">
        <v>0.10792459</v>
      </c>
      <c r="BL315">
        <v>7.2545739999999997E-2</v>
      </c>
      <c r="BM315">
        <v>1.047558E-2</v>
      </c>
      <c r="BN315">
        <v>6728</v>
      </c>
      <c r="BO315">
        <v>262.70478789999999</v>
      </c>
      <c r="BP315">
        <v>190</v>
      </c>
    </row>
    <row r="316" spans="1:68" x14ac:dyDescent="0.2">
      <c r="A316" t="s">
        <v>881</v>
      </c>
      <c r="B316">
        <v>907</v>
      </c>
      <c r="C316">
        <v>1373</v>
      </c>
      <c r="D316">
        <v>3187</v>
      </c>
      <c r="E316">
        <v>2134</v>
      </c>
      <c r="F316">
        <v>736</v>
      </c>
      <c r="G316">
        <v>301</v>
      </c>
      <c r="H316">
        <v>238</v>
      </c>
      <c r="I316">
        <v>437</v>
      </c>
      <c r="J316">
        <v>384</v>
      </c>
      <c r="K316">
        <v>64</v>
      </c>
      <c r="L316">
        <v>1497</v>
      </c>
      <c r="M316">
        <v>1923</v>
      </c>
      <c r="N316">
        <v>1649</v>
      </c>
      <c r="O316">
        <v>818</v>
      </c>
      <c r="P316">
        <v>216</v>
      </c>
      <c r="Q316">
        <v>2171</v>
      </c>
      <c r="R316">
        <v>1586</v>
      </c>
      <c r="S316">
        <v>2647</v>
      </c>
      <c r="T316">
        <v>1277</v>
      </c>
      <c r="U316">
        <v>329</v>
      </c>
      <c r="V316">
        <v>290.35826580000003</v>
      </c>
      <c r="W316">
        <v>226.50481809999999</v>
      </c>
      <c r="X316">
        <v>207.52077969999999</v>
      </c>
      <c r="Y316">
        <v>157.3582073</v>
      </c>
      <c r="Z316">
        <v>119.8720197</v>
      </c>
      <c r="AA316">
        <v>65</v>
      </c>
      <c r="AB316">
        <v>318.24609820000001</v>
      </c>
      <c r="AC316">
        <v>296.39281549999998</v>
      </c>
      <c r="AD316">
        <v>218.12861760000001</v>
      </c>
      <c r="AE316">
        <v>148.92661709999999</v>
      </c>
      <c r="AF316">
        <v>123.7624663</v>
      </c>
      <c r="AG316">
        <v>55</v>
      </c>
      <c r="AH316">
        <v>313.65094140000002</v>
      </c>
      <c r="AI316">
        <v>237.361086</v>
      </c>
      <c r="AJ316">
        <v>202.61963689999999</v>
      </c>
      <c r="AK316">
        <v>161.79276440000001</v>
      </c>
      <c r="AL316">
        <v>114.16176470000001</v>
      </c>
      <c r="AM316">
        <v>55</v>
      </c>
      <c r="AN316">
        <v>285.50317580000001</v>
      </c>
      <c r="AO316">
        <v>194.51519819999999</v>
      </c>
      <c r="AP316">
        <v>179.93509349999999</v>
      </c>
      <c r="AQ316">
        <v>160.6063379</v>
      </c>
      <c r="AR316">
        <v>111.27707650000001</v>
      </c>
      <c r="AS316">
        <v>55</v>
      </c>
      <c r="AT316">
        <v>3.5732659999999999E-2</v>
      </c>
      <c r="AU316">
        <v>6.0108700000000001E-2</v>
      </c>
      <c r="AV316">
        <v>0.12905258</v>
      </c>
      <c r="AW316">
        <v>8.9423020000000006E-2</v>
      </c>
      <c r="AX316">
        <v>2.6902820000000001E-2</v>
      </c>
      <c r="AY316">
        <v>1.2838799999999999E-2</v>
      </c>
      <c r="AZ316">
        <v>1.0152410000000001E-2</v>
      </c>
      <c r="BA316">
        <v>2.0001049999999999E-2</v>
      </c>
      <c r="BB316">
        <v>1.510594E-2</v>
      </c>
      <c r="BC316">
        <v>2.3253599999999998E-3</v>
      </c>
      <c r="BD316">
        <v>6.3257729999999998E-2</v>
      </c>
      <c r="BE316">
        <v>8.1439129999999998E-2</v>
      </c>
      <c r="BF316">
        <v>6.9243379999999993E-2</v>
      </c>
      <c r="BG316">
        <v>3.6034400000000001E-2</v>
      </c>
      <c r="BH316">
        <v>8.3954600000000004E-3</v>
      </c>
      <c r="BI316">
        <v>9.1671509999999998E-2</v>
      </c>
      <c r="BJ316">
        <v>6.9953180000000004E-2</v>
      </c>
      <c r="BK316">
        <v>0.10945915000000001</v>
      </c>
      <c r="BL316">
        <v>5.6280789999999997E-2</v>
      </c>
      <c r="BM316">
        <v>1.262193E-2</v>
      </c>
      <c r="BN316">
        <v>4004</v>
      </c>
      <c r="BO316">
        <v>272.72981470000002</v>
      </c>
      <c r="BP316">
        <v>190</v>
      </c>
    </row>
    <row r="317" spans="1:68" x14ac:dyDescent="0.2">
      <c r="A317" t="s">
        <v>882</v>
      </c>
      <c r="B317">
        <v>7671</v>
      </c>
      <c r="C317">
        <v>4847</v>
      </c>
      <c r="D317">
        <v>7846</v>
      </c>
      <c r="E317">
        <v>7272</v>
      </c>
      <c r="F317">
        <v>2094</v>
      </c>
      <c r="G317">
        <v>313</v>
      </c>
      <c r="H317">
        <v>297</v>
      </c>
      <c r="I317">
        <v>483</v>
      </c>
      <c r="J317">
        <v>421</v>
      </c>
      <c r="K317">
        <v>108</v>
      </c>
      <c r="L317">
        <v>1709</v>
      </c>
      <c r="M317">
        <v>2846</v>
      </c>
      <c r="N317">
        <v>3691</v>
      </c>
      <c r="O317">
        <v>1619</v>
      </c>
      <c r="P317">
        <v>459</v>
      </c>
      <c r="Q317">
        <v>5447</v>
      </c>
      <c r="R317">
        <v>4319</v>
      </c>
      <c r="S317">
        <v>6586</v>
      </c>
      <c r="T317">
        <v>3540</v>
      </c>
      <c r="U317">
        <v>679</v>
      </c>
      <c r="V317">
        <v>254.54306600000001</v>
      </c>
      <c r="W317">
        <v>230.3784953</v>
      </c>
      <c r="X317">
        <v>211.4134823</v>
      </c>
      <c r="Y317">
        <v>161.15279319999999</v>
      </c>
      <c r="Z317">
        <v>120.8528244</v>
      </c>
      <c r="AA317">
        <v>65</v>
      </c>
      <c r="AB317">
        <v>305.69617629999999</v>
      </c>
      <c r="AC317">
        <v>277.90583400000003</v>
      </c>
      <c r="AD317">
        <v>232.6679139</v>
      </c>
      <c r="AE317">
        <v>136.25130229999999</v>
      </c>
      <c r="AF317">
        <v>116.0625934</v>
      </c>
      <c r="AG317">
        <v>55</v>
      </c>
      <c r="AH317">
        <v>283.11911250000003</v>
      </c>
      <c r="AI317">
        <v>242.68809669999999</v>
      </c>
      <c r="AJ317">
        <v>209.67788429999999</v>
      </c>
      <c r="AK317">
        <v>160.20091099999999</v>
      </c>
      <c r="AL317">
        <v>118.3583074</v>
      </c>
      <c r="AM317">
        <v>55</v>
      </c>
      <c r="AN317">
        <v>268.38542660000002</v>
      </c>
      <c r="AO317">
        <v>214.2902325</v>
      </c>
      <c r="AP317">
        <v>195.0271765</v>
      </c>
      <c r="AQ317">
        <v>159.20877300000001</v>
      </c>
      <c r="AR317">
        <v>115.0961839</v>
      </c>
      <c r="AS317">
        <v>55</v>
      </c>
      <c r="AT317">
        <v>0.11903345999999999</v>
      </c>
      <c r="AU317">
        <v>7.9209840000000004E-2</v>
      </c>
      <c r="AV317">
        <v>0.13054052999999999</v>
      </c>
      <c r="AW317">
        <v>0.11557283</v>
      </c>
      <c r="AX317">
        <v>3.2062100000000003E-2</v>
      </c>
      <c r="AY317">
        <v>4.7971799999999998E-3</v>
      </c>
      <c r="AZ317">
        <v>4.6941800000000001E-3</v>
      </c>
      <c r="BA317">
        <v>7.3209299999999998E-3</v>
      </c>
      <c r="BB317">
        <v>6.90494E-3</v>
      </c>
      <c r="BC317">
        <v>1.63634E-3</v>
      </c>
      <c r="BD317">
        <v>2.6685730000000001E-2</v>
      </c>
      <c r="BE317">
        <v>4.5646680000000002E-2</v>
      </c>
      <c r="BF317">
        <v>6.0732750000000002E-2</v>
      </c>
      <c r="BG317">
        <v>2.5618200000000001E-2</v>
      </c>
      <c r="BH317">
        <v>6.8588E-3</v>
      </c>
      <c r="BI317">
        <v>8.535566E-2</v>
      </c>
      <c r="BJ317">
        <v>7.0126320000000006E-2</v>
      </c>
      <c r="BK317">
        <v>0.11074294</v>
      </c>
      <c r="BL317">
        <v>5.5830659999999997E-2</v>
      </c>
      <c r="BM317">
        <v>1.0629929999999999E-2</v>
      </c>
      <c r="BN317">
        <v>7982</v>
      </c>
      <c r="BO317">
        <v>261.49330079999999</v>
      </c>
      <c r="BP317">
        <v>190</v>
      </c>
    </row>
    <row r="318" spans="1:68" x14ac:dyDescent="0.2">
      <c r="A318" t="s">
        <v>883</v>
      </c>
      <c r="B318">
        <v>325</v>
      </c>
      <c r="C318">
        <v>133</v>
      </c>
      <c r="D318">
        <v>465</v>
      </c>
      <c r="E318">
        <v>306</v>
      </c>
      <c r="F318">
        <v>164</v>
      </c>
      <c r="G318">
        <v>360</v>
      </c>
      <c r="H318">
        <v>419</v>
      </c>
      <c r="I318">
        <v>813</v>
      </c>
      <c r="J318">
        <v>341</v>
      </c>
      <c r="K318">
        <v>78</v>
      </c>
      <c r="L318">
        <v>532</v>
      </c>
      <c r="M318">
        <v>797</v>
      </c>
      <c r="N318">
        <v>1434</v>
      </c>
      <c r="O318">
        <v>346</v>
      </c>
      <c r="P318">
        <v>43</v>
      </c>
      <c r="Q318">
        <v>385</v>
      </c>
      <c r="R318">
        <v>478</v>
      </c>
      <c r="S318">
        <v>716</v>
      </c>
      <c r="T318">
        <v>467</v>
      </c>
      <c r="U318">
        <v>27</v>
      </c>
      <c r="V318">
        <v>231.39950759999999</v>
      </c>
      <c r="W318">
        <v>220.4449668</v>
      </c>
      <c r="X318">
        <v>196.7581979</v>
      </c>
      <c r="Y318">
        <v>153.8250721</v>
      </c>
      <c r="Z318">
        <v>115.7054736</v>
      </c>
      <c r="AA318">
        <v>65</v>
      </c>
      <c r="AB318">
        <v>304.30463889999999</v>
      </c>
      <c r="AC318">
        <v>284.27784780000002</v>
      </c>
      <c r="AD318">
        <v>232.9483065</v>
      </c>
      <c r="AE318">
        <v>155.1638284</v>
      </c>
      <c r="AF318">
        <v>115.70816019999999</v>
      </c>
      <c r="AG318">
        <v>55</v>
      </c>
      <c r="AH318">
        <v>301.44636709999997</v>
      </c>
      <c r="AI318">
        <v>239.54973279999999</v>
      </c>
      <c r="AJ318">
        <v>213.01888349999999</v>
      </c>
      <c r="AK318">
        <v>170.3072602</v>
      </c>
      <c r="AL318">
        <v>116.03260469999999</v>
      </c>
      <c r="AM318">
        <v>55</v>
      </c>
      <c r="AN318">
        <v>261.50890770000001</v>
      </c>
      <c r="AO318">
        <v>194.1017544</v>
      </c>
      <c r="AP318">
        <v>196.5908086</v>
      </c>
      <c r="AQ318">
        <v>164.71346840000001</v>
      </c>
      <c r="AR318">
        <v>120.9031564</v>
      </c>
      <c r="AS318">
        <v>55</v>
      </c>
      <c r="AT318">
        <v>3.9544580000000003E-2</v>
      </c>
      <c r="AU318">
        <v>1.351754E-2</v>
      </c>
      <c r="AV318">
        <v>5.1313570000000003E-2</v>
      </c>
      <c r="AW318">
        <v>3.2925900000000001E-2</v>
      </c>
      <c r="AX318">
        <v>1.865677E-2</v>
      </c>
      <c r="AY318">
        <v>4.085337E-2</v>
      </c>
      <c r="AZ318">
        <v>4.6602360000000002E-2</v>
      </c>
      <c r="BA318">
        <v>9.6932920000000006E-2</v>
      </c>
      <c r="BB318">
        <v>3.6103219999999998E-2</v>
      </c>
      <c r="BC318">
        <v>8.8325999999999995E-3</v>
      </c>
      <c r="BD318">
        <v>6.3091120000000001E-2</v>
      </c>
      <c r="BE318">
        <v>9.5397449999999995E-2</v>
      </c>
      <c r="BF318">
        <v>0.16896965999999999</v>
      </c>
      <c r="BG318">
        <v>3.8989910000000003E-2</v>
      </c>
      <c r="BH318">
        <v>4.1720500000000001E-3</v>
      </c>
      <c r="BI318">
        <v>4.8222679999999997E-2</v>
      </c>
      <c r="BJ318">
        <v>5.8012660000000001E-2</v>
      </c>
      <c r="BK318">
        <v>8.3773769999999997E-2</v>
      </c>
      <c r="BL318">
        <v>5.1164769999999998E-2</v>
      </c>
      <c r="BM318">
        <v>2.9231000000000001E-3</v>
      </c>
      <c r="BN318">
        <v>587</v>
      </c>
      <c r="BO318">
        <v>292.03714660000003</v>
      </c>
      <c r="BP318">
        <v>190</v>
      </c>
    </row>
    <row r="319" spans="1:68" x14ac:dyDescent="0.2">
      <c r="A319" t="s">
        <v>884</v>
      </c>
      <c r="B319">
        <v>8</v>
      </c>
      <c r="C319">
        <v>17</v>
      </c>
      <c r="D319">
        <v>101</v>
      </c>
      <c r="E319">
        <v>253</v>
      </c>
      <c r="F319">
        <v>84</v>
      </c>
      <c r="G319">
        <v>93</v>
      </c>
      <c r="H319">
        <v>289</v>
      </c>
      <c r="I319">
        <v>372</v>
      </c>
      <c r="J319">
        <v>291</v>
      </c>
      <c r="K319">
        <v>90</v>
      </c>
      <c r="L319">
        <v>54</v>
      </c>
      <c r="M319">
        <v>263</v>
      </c>
      <c r="N319">
        <v>391</v>
      </c>
      <c r="O319">
        <v>287</v>
      </c>
      <c r="P319">
        <v>50</v>
      </c>
      <c r="Q319">
        <v>8</v>
      </c>
      <c r="R319">
        <v>47</v>
      </c>
      <c r="S319">
        <v>518</v>
      </c>
      <c r="T319">
        <v>327</v>
      </c>
      <c r="U319">
        <v>43</v>
      </c>
      <c r="V319">
        <v>220</v>
      </c>
      <c r="W319">
        <v>223.9317045</v>
      </c>
      <c r="X319">
        <v>211.77629569999999</v>
      </c>
      <c r="Y319">
        <v>135.9586089</v>
      </c>
      <c r="Z319">
        <v>119.2487053</v>
      </c>
      <c r="AA319">
        <v>65</v>
      </c>
      <c r="AB319">
        <v>293.08691049999999</v>
      </c>
      <c r="AC319">
        <v>278.13938100000001</v>
      </c>
      <c r="AD319">
        <v>214.02036720000001</v>
      </c>
      <c r="AE319">
        <v>153.22452229999999</v>
      </c>
      <c r="AF319">
        <v>123.73630970000001</v>
      </c>
      <c r="AG319">
        <v>55</v>
      </c>
      <c r="AH319">
        <v>270.77885240000001</v>
      </c>
      <c r="AI319">
        <v>247.40898809999999</v>
      </c>
      <c r="AJ319">
        <v>199.20982570000001</v>
      </c>
      <c r="AK319">
        <v>170.91490160000001</v>
      </c>
      <c r="AL319">
        <v>113.95243240000001</v>
      </c>
      <c r="AM319">
        <v>55</v>
      </c>
      <c r="AN319">
        <v>193.16456310000001</v>
      </c>
      <c r="AO319">
        <v>242.17862020000001</v>
      </c>
      <c r="AP319">
        <v>189.7279873</v>
      </c>
      <c r="AQ319">
        <v>166.47725149999999</v>
      </c>
      <c r="AR319">
        <v>115.47709500000001</v>
      </c>
      <c r="AS319">
        <v>55</v>
      </c>
      <c r="AT319">
        <v>1.7815299999999999E-3</v>
      </c>
      <c r="AU319">
        <v>3.5018100000000002E-3</v>
      </c>
      <c r="AV319">
        <v>2.6997239999999999E-2</v>
      </c>
      <c r="AW319">
        <v>6.8847249999999999E-2</v>
      </c>
      <c r="AX319">
        <v>2.4026840000000001E-2</v>
      </c>
      <c r="AY319">
        <v>2.5502779999999999E-2</v>
      </c>
      <c r="AZ319">
        <v>8.1759620000000005E-2</v>
      </c>
      <c r="BA319">
        <v>0.10134153</v>
      </c>
      <c r="BB319">
        <v>7.8760720000000006E-2</v>
      </c>
      <c r="BC319">
        <v>2.71682E-2</v>
      </c>
      <c r="BD319">
        <v>1.5782350000000001E-2</v>
      </c>
      <c r="BE319">
        <v>7.0969270000000001E-2</v>
      </c>
      <c r="BF319">
        <v>0.11557170999999999</v>
      </c>
      <c r="BG319">
        <v>7.5706259999999997E-2</v>
      </c>
      <c r="BH319">
        <v>1.635292E-2</v>
      </c>
      <c r="BI319">
        <v>2.2709000000000002E-3</v>
      </c>
      <c r="BJ319">
        <v>1.413901E-2</v>
      </c>
      <c r="BK319">
        <v>0.14313169000000001</v>
      </c>
      <c r="BL319">
        <v>9.1042680000000001E-2</v>
      </c>
      <c r="BM319">
        <v>1.534569E-2</v>
      </c>
      <c r="BN319">
        <v>372</v>
      </c>
      <c r="BO319">
        <v>316.04033779999997</v>
      </c>
      <c r="BP319">
        <v>190</v>
      </c>
    </row>
    <row r="320" spans="1:68" x14ac:dyDescent="0.2">
      <c r="A320" t="s">
        <v>885</v>
      </c>
      <c r="B320">
        <v>38</v>
      </c>
      <c r="C320">
        <v>49</v>
      </c>
      <c r="D320">
        <v>88</v>
      </c>
      <c r="E320">
        <v>353</v>
      </c>
      <c r="F320">
        <v>332</v>
      </c>
      <c r="G320">
        <v>363</v>
      </c>
      <c r="H320">
        <v>590</v>
      </c>
      <c r="I320">
        <v>828</v>
      </c>
      <c r="J320">
        <v>587</v>
      </c>
      <c r="K320">
        <v>345</v>
      </c>
      <c r="L320">
        <v>170</v>
      </c>
      <c r="M320">
        <v>401</v>
      </c>
      <c r="N320">
        <v>1083</v>
      </c>
      <c r="O320">
        <v>430</v>
      </c>
      <c r="P320">
        <v>249</v>
      </c>
      <c r="Q320">
        <v>31</v>
      </c>
      <c r="R320">
        <v>98</v>
      </c>
      <c r="S320">
        <v>809</v>
      </c>
      <c r="T320">
        <v>390</v>
      </c>
      <c r="U320">
        <v>194</v>
      </c>
      <c r="V320">
        <v>334.88478029999999</v>
      </c>
      <c r="W320">
        <v>245.36653699999999</v>
      </c>
      <c r="X320">
        <v>185.93512920000001</v>
      </c>
      <c r="Y320">
        <v>145.23582260000001</v>
      </c>
      <c r="Z320">
        <v>124.02801959999999</v>
      </c>
      <c r="AA320">
        <v>65</v>
      </c>
      <c r="AB320">
        <v>296.91076240000001</v>
      </c>
      <c r="AC320">
        <v>290.41712100000001</v>
      </c>
      <c r="AD320">
        <v>219.32312569999999</v>
      </c>
      <c r="AE320">
        <v>150.12711089999999</v>
      </c>
      <c r="AF320">
        <v>115.22259579999999</v>
      </c>
      <c r="AG320">
        <v>55</v>
      </c>
      <c r="AH320">
        <v>270.89040199999999</v>
      </c>
      <c r="AI320">
        <v>252.27902639999999</v>
      </c>
      <c r="AJ320">
        <v>189.96180960000001</v>
      </c>
      <c r="AK320">
        <v>162.8191234</v>
      </c>
      <c r="AL320">
        <v>117.9550244</v>
      </c>
      <c r="AM320">
        <v>55</v>
      </c>
      <c r="AN320">
        <v>287.33727850000002</v>
      </c>
      <c r="AO320">
        <v>260.83919839999999</v>
      </c>
      <c r="AP320">
        <v>181.38625500000001</v>
      </c>
      <c r="AQ320">
        <v>156.89511279999999</v>
      </c>
      <c r="AR320">
        <v>115.79031550000001</v>
      </c>
      <c r="AS320">
        <v>55</v>
      </c>
      <c r="AT320">
        <v>5.3616799999999997E-3</v>
      </c>
      <c r="AU320">
        <v>6.3738800000000002E-3</v>
      </c>
      <c r="AV320">
        <v>1.188376E-2</v>
      </c>
      <c r="AW320">
        <v>4.2516140000000001E-2</v>
      </c>
      <c r="AX320">
        <v>4.8155160000000002E-2</v>
      </c>
      <c r="AY320">
        <v>4.9509419999999998E-2</v>
      </c>
      <c r="AZ320">
        <v>8.3732689999999999E-2</v>
      </c>
      <c r="BA320">
        <v>0.10907425</v>
      </c>
      <c r="BB320">
        <v>7.9289680000000001E-2</v>
      </c>
      <c r="BC320">
        <v>4.6855920000000002E-2</v>
      </c>
      <c r="BD320">
        <v>2.3238040000000001E-2</v>
      </c>
      <c r="BE320">
        <v>5.3794889999999998E-2</v>
      </c>
      <c r="BF320">
        <v>0.14698732</v>
      </c>
      <c r="BG320">
        <v>5.5736540000000001E-2</v>
      </c>
      <c r="BH320">
        <v>3.369954E-2</v>
      </c>
      <c r="BI320">
        <v>3.65599E-3</v>
      </c>
      <c r="BJ320">
        <v>1.207943E-2</v>
      </c>
      <c r="BK320">
        <v>0.10860233</v>
      </c>
      <c r="BL320">
        <v>5.1767260000000002E-2</v>
      </c>
      <c r="BM320">
        <v>2.7686079999999998E-2</v>
      </c>
      <c r="BN320">
        <v>470</v>
      </c>
      <c r="BO320">
        <v>248.60340980000001</v>
      </c>
      <c r="BP320">
        <v>190</v>
      </c>
    </row>
    <row r="321" spans="1:68" x14ac:dyDescent="0.2">
      <c r="A321" t="s">
        <v>886</v>
      </c>
      <c r="B321">
        <v>1052</v>
      </c>
      <c r="C321">
        <v>1174</v>
      </c>
      <c r="D321">
        <v>1981</v>
      </c>
      <c r="E321">
        <v>2749</v>
      </c>
      <c r="F321">
        <v>1729</v>
      </c>
      <c r="G321">
        <v>708</v>
      </c>
      <c r="H321">
        <v>578</v>
      </c>
      <c r="I321">
        <v>826</v>
      </c>
      <c r="J321">
        <v>769</v>
      </c>
      <c r="K321">
        <v>453</v>
      </c>
      <c r="L321">
        <v>1040</v>
      </c>
      <c r="M321">
        <v>1831</v>
      </c>
      <c r="N321">
        <v>2374</v>
      </c>
      <c r="O321">
        <v>996</v>
      </c>
      <c r="P321">
        <v>466</v>
      </c>
      <c r="Q321">
        <v>1647</v>
      </c>
      <c r="R321">
        <v>1141</v>
      </c>
      <c r="S321">
        <v>3486</v>
      </c>
      <c r="T321">
        <v>1791</v>
      </c>
      <c r="U321">
        <v>823</v>
      </c>
      <c r="V321">
        <v>267.64333399999998</v>
      </c>
      <c r="W321">
        <v>193.7800522</v>
      </c>
      <c r="X321">
        <v>208.35312930000001</v>
      </c>
      <c r="Y321">
        <v>151.76505739999999</v>
      </c>
      <c r="Z321">
        <v>113.3816151</v>
      </c>
      <c r="AA321">
        <v>65</v>
      </c>
      <c r="AB321">
        <v>312.26788269999997</v>
      </c>
      <c r="AC321">
        <v>285.38470599999999</v>
      </c>
      <c r="AD321">
        <v>215.56578669999999</v>
      </c>
      <c r="AE321">
        <v>150.36606649999999</v>
      </c>
      <c r="AF321">
        <v>115.038613</v>
      </c>
      <c r="AG321">
        <v>55</v>
      </c>
      <c r="AH321">
        <v>306.31893339999999</v>
      </c>
      <c r="AI321">
        <v>260.16837340000001</v>
      </c>
      <c r="AJ321">
        <v>201.22088410000001</v>
      </c>
      <c r="AK321">
        <v>157.3984087</v>
      </c>
      <c r="AL321">
        <v>115.8000914</v>
      </c>
      <c r="AM321">
        <v>55</v>
      </c>
      <c r="AN321">
        <v>265.8133704</v>
      </c>
      <c r="AO321">
        <v>221.0730011</v>
      </c>
      <c r="AP321">
        <v>177.9463145</v>
      </c>
      <c r="AQ321">
        <v>156.8174066</v>
      </c>
      <c r="AR321">
        <v>108.9493013</v>
      </c>
      <c r="AS321">
        <v>55</v>
      </c>
      <c r="AT321">
        <v>3.6285060000000001E-2</v>
      </c>
      <c r="AU321">
        <v>4.1287619999999997E-2</v>
      </c>
      <c r="AV321">
        <v>7.2592009999999998E-2</v>
      </c>
      <c r="AW321">
        <v>9.5479110000000006E-2</v>
      </c>
      <c r="AX321">
        <v>5.9183960000000001E-2</v>
      </c>
      <c r="AY321">
        <v>2.7199640000000001E-2</v>
      </c>
      <c r="AZ321">
        <v>2.2129619999999999E-2</v>
      </c>
      <c r="BA321">
        <v>2.975622E-2</v>
      </c>
      <c r="BB321">
        <v>2.8243420000000002E-2</v>
      </c>
      <c r="BC321">
        <v>1.5365749999999999E-2</v>
      </c>
      <c r="BD321">
        <v>3.815574E-2</v>
      </c>
      <c r="BE321">
        <v>7.0971049999999994E-2</v>
      </c>
      <c r="BF321">
        <v>8.6609820000000004E-2</v>
      </c>
      <c r="BG321">
        <v>3.791332E-2</v>
      </c>
      <c r="BH321">
        <v>1.533965E-2</v>
      </c>
      <c r="BI321">
        <v>5.858141E-2</v>
      </c>
      <c r="BJ321">
        <v>4.3300419999999999E-2</v>
      </c>
      <c r="BK321">
        <v>0.12627638999999999</v>
      </c>
      <c r="BL321">
        <v>6.8052299999999996E-2</v>
      </c>
      <c r="BM321">
        <v>2.7277490000000001E-2</v>
      </c>
      <c r="BN321">
        <v>2800</v>
      </c>
      <c r="BO321">
        <v>275.52059809999997</v>
      </c>
      <c r="BP321">
        <v>190</v>
      </c>
    </row>
    <row r="322" spans="1:68" x14ac:dyDescent="0.2">
      <c r="A322" t="s">
        <v>887</v>
      </c>
      <c r="B322">
        <v>165</v>
      </c>
      <c r="C322">
        <v>222</v>
      </c>
      <c r="D322">
        <v>486</v>
      </c>
      <c r="E322">
        <v>144</v>
      </c>
      <c r="F322">
        <v>147</v>
      </c>
      <c r="G322">
        <v>149</v>
      </c>
      <c r="H322">
        <v>143</v>
      </c>
      <c r="I322">
        <v>337</v>
      </c>
      <c r="J322">
        <v>142</v>
      </c>
      <c r="K322">
        <v>96</v>
      </c>
      <c r="L322">
        <v>357</v>
      </c>
      <c r="M322">
        <v>461</v>
      </c>
      <c r="N322">
        <v>668</v>
      </c>
      <c r="O322">
        <v>213</v>
      </c>
      <c r="P322">
        <v>56</v>
      </c>
      <c r="Q322">
        <v>348</v>
      </c>
      <c r="R322">
        <v>381</v>
      </c>
      <c r="S322">
        <v>390</v>
      </c>
      <c r="T322">
        <v>220</v>
      </c>
      <c r="U322">
        <v>48</v>
      </c>
      <c r="V322">
        <v>273.91338990000003</v>
      </c>
      <c r="W322">
        <v>266.46941229999999</v>
      </c>
      <c r="X322">
        <v>239.27850430000001</v>
      </c>
      <c r="Y322">
        <v>181.3943553</v>
      </c>
      <c r="Z322">
        <v>131.27961089999999</v>
      </c>
      <c r="AA322">
        <v>65</v>
      </c>
      <c r="AB322">
        <v>326.38683020000002</v>
      </c>
      <c r="AC322">
        <v>283.09721039999999</v>
      </c>
      <c r="AD322">
        <v>227.30636910000001</v>
      </c>
      <c r="AE322">
        <v>172.24296810000001</v>
      </c>
      <c r="AF322">
        <v>125.7941951</v>
      </c>
      <c r="AG322">
        <v>55</v>
      </c>
      <c r="AH322">
        <v>318.4638721</v>
      </c>
      <c r="AI322">
        <v>270.40263420000002</v>
      </c>
      <c r="AJ322">
        <v>217.4192687</v>
      </c>
      <c r="AK322">
        <v>182.70072690000001</v>
      </c>
      <c r="AL322">
        <v>166.45480760000001</v>
      </c>
      <c r="AM322">
        <v>55</v>
      </c>
      <c r="AN322">
        <v>305.11398250000002</v>
      </c>
      <c r="AO322">
        <v>200.40315380000001</v>
      </c>
      <c r="AP322">
        <v>196.20981159999999</v>
      </c>
      <c r="AQ322">
        <v>166.7975649</v>
      </c>
      <c r="AR322">
        <v>139.57208360000001</v>
      </c>
      <c r="AS322">
        <v>55</v>
      </c>
      <c r="AT322">
        <v>3.047799E-2</v>
      </c>
      <c r="AU322">
        <v>4.466817E-2</v>
      </c>
      <c r="AV322">
        <v>9.7688520000000001E-2</v>
      </c>
      <c r="AW322">
        <v>2.5287710000000001E-2</v>
      </c>
      <c r="AX322">
        <v>3.2481980000000001E-2</v>
      </c>
      <c r="AY322">
        <v>2.8721159999999999E-2</v>
      </c>
      <c r="AZ322">
        <v>2.7603579999999999E-2</v>
      </c>
      <c r="BA322">
        <v>6.2841359999999999E-2</v>
      </c>
      <c r="BB322">
        <v>2.676802E-2</v>
      </c>
      <c r="BC322">
        <v>1.757479E-2</v>
      </c>
      <c r="BD322">
        <v>6.7976830000000002E-2</v>
      </c>
      <c r="BE322">
        <v>9.0265579999999998E-2</v>
      </c>
      <c r="BF322">
        <v>0.12793731</v>
      </c>
      <c r="BG322">
        <v>4.097663E-2</v>
      </c>
      <c r="BH322">
        <v>1.104422E-2</v>
      </c>
      <c r="BI322">
        <v>6.6448199999999999E-2</v>
      </c>
      <c r="BJ322">
        <v>7.6116260000000005E-2</v>
      </c>
      <c r="BK322">
        <v>7.5989699999999993E-2</v>
      </c>
      <c r="BL322">
        <v>4.1163970000000001E-2</v>
      </c>
      <c r="BM322">
        <v>7.9680199999999993E-3</v>
      </c>
      <c r="BN322">
        <v>860</v>
      </c>
      <c r="BO322">
        <v>289.45684929999999</v>
      </c>
      <c r="BP322">
        <v>190</v>
      </c>
    </row>
    <row r="323" spans="1:68" x14ac:dyDescent="0.2">
      <c r="A323" t="s">
        <v>888</v>
      </c>
      <c r="B323">
        <v>99</v>
      </c>
      <c r="C323">
        <v>166</v>
      </c>
      <c r="D323">
        <v>576</v>
      </c>
      <c r="E323">
        <v>686</v>
      </c>
      <c r="F323">
        <v>400</v>
      </c>
      <c r="G323">
        <v>374</v>
      </c>
      <c r="H323">
        <v>397</v>
      </c>
      <c r="I323">
        <v>1081</v>
      </c>
      <c r="J323">
        <v>539</v>
      </c>
      <c r="K323">
        <v>107</v>
      </c>
      <c r="L323">
        <v>706</v>
      </c>
      <c r="M323">
        <v>1701</v>
      </c>
      <c r="N323">
        <v>1725</v>
      </c>
      <c r="O323">
        <v>471</v>
      </c>
      <c r="P323">
        <v>84</v>
      </c>
      <c r="Q323">
        <v>251</v>
      </c>
      <c r="R323">
        <v>675</v>
      </c>
      <c r="S323">
        <v>1134</v>
      </c>
      <c r="T323">
        <v>555</v>
      </c>
      <c r="U323">
        <v>74</v>
      </c>
      <c r="V323">
        <v>289.10955139999999</v>
      </c>
      <c r="W323">
        <v>178.74367330000001</v>
      </c>
      <c r="X323">
        <v>171.11388450000001</v>
      </c>
      <c r="Y323">
        <v>117.0520616</v>
      </c>
      <c r="Z323">
        <v>96.770569879999996</v>
      </c>
      <c r="AA323">
        <v>65</v>
      </c>
      <c r="AB323">
        <v>302.95986799999997</v>
      </c>
      <c r="AC323">
        <v>292.05875680000003</v>
      </c>
      <c r="AD323">
        <v>224.09951760000001</v>
      </c>
      <c r="AE323">
        <v>148.23267989999999</v>
      </c>
      <c r="AF323">
        <v>119.0864924</v>
      </c>
      <c r="AG323">
        <v>55</v>
      </c>
      <c r="AH323">
        <v>326.71412700000002</v>
      </c>
      <c r="AI323">
        <v>270.00960980000002</v>
      </c>
      <c r="AJ323">
        <v>205.3101762</v>
      </c>
      <c r="AK323">
        <v>151.80366520000001</v>
      </c>
      <c r="AL323">
        <v>119.07709730000001</v>
      </c>
      <c r="AM323">
        <v>55</v>
      </c>
      <c r="AN323">
        <v>315.54698780000001</v>
      </c>
      <c r="AO323">
        <v>249.27917199999999</v>
      </c>
      <c r="AP323">
        <v>175.69117460000001</v>
      </c>
      <c r="AQ323">
        <v>146.6054905</v>
      </c>
      <c r="AR323">
        <v>118.9121123</v>
      </c>
      <c r="AS323">
        <v>55</v>
      </c>
      <c r="AT323">
        <v>8.98061E-3</v>
      </c>
      <c r="AU323">
        <v>1.37629E-2</v>
      </c>
      <c r="AV323">
        <v>4.9831800000000002E-2</v>
      </c>
      <c r="AW323">
        <v>5.9410909999999997E-2</v>
      </c>
      <c r="AX323">
        <v>2.9122060000000002E-2</v>
      </c>
      <c r="AY323">
        <v>3.3568309999999997E-2</v>
      </c>
      <c r="AZ323">
        <v>3.647251E-2</v>
      </c>
      <c r="BA323">
        <v>8.5071770000000005E-2</v>
      </c>
      <c r="BB323">
        <v>4.8110769999999997E-2</v>
      </c>
      <c r="BC323">
        <v>8.3680300000000003E-3</v>
      </c>
      <c r="BD323">
        <v>6.0878000000000002E-2</v>
      </c>
      <c r="BE323">
        <v>0.15165693</v>
      </c>
      <c r="BF323">
        <v>0.13540427999999999</v>
      </c>
      <c r="BG323">
        <v>4.220227E-2</v>
      </c>
      <c r="BH323">
        <v>7.6297600000000002E-3</v>
      </c>
      <c r="BI323">
        <v>2.2768190000000001E-2</v>
      </c>
      <c r="BJ323">
        <v>6.093105E-2</v>
      </c>
      <c r="BK323">
        <v>9.0995039999999999E-2</v>
      </c>
      <c r="BL323">
        <v>4.8595109999999997E-2</v>
      </c>
      <c r="BM323">
        <v>6.2396999999999999E-3</v>
      </c>
      <c r="BN323">
        <v>1011</v>
      </c>
      <c r="BO323">
        <v>268.76797069999998</v>
      </c>
      <c r="BP323">
        <v>190</v>
      </c>
    </row>
    <row r="324" spans="1:68" x14ac:dyDescent="0.2">
      <c r="A324" t="s">
        <v>889</v>
      </c>
      <c r="B324">
        <v>545</v>
      </c>
      <c r="C324">
        <v>311</v>
      </c>
      <c r="D324">
        <v>769</v>
      </c>
      <c r="E324">
        <v>394</v>
      </c>
      <c r="F324">
        <v>703</v>
      </c>
      <c r="G324">
        <v>125</v>
      </c>
      <c r="H324">
        <v>191</v>
      </c>
      <c r="I324">
        <v>197</v>
      </c>
      <c r="J324">
        <v>162</v>
      </c>
      <c r="K324">
        <v>45</v>
      </c>
      <c r="L324">
        <v>199</v>
      </c>
      <c r="M324">
        <v>352</v>
      </c>
      <c r="N324">
        <v>410</v>
      </c>
      <c r="O324">
        <v>259</v>
      </c>
      <c r="P324">
        <v>48</v>
      </c>
      <c r="Q324">
        <v>184</v>
      </c>
      <c r="R324">
        <v>225</v>
      </c>
      <c r="S324">
        <v>404</v>
      </c>
      <c r="T324">
        <v>224</v>
      </c>
      <c r="U324">
        <v>68</v>
      </c>
      <c r="V324">
        <v>272.3201876</v>
      </c>
      <c r="W324">
        <v>242.50144</v>
      </c>
      <c r="X324">
        <v>206.5260835</v>
      </c>
      <c r="Y324">
        <v>154.37498500000001</v>
      </c>
      <c r="Z324">
        <v>121.361445</v>
      </c>
      <c r="AA324">
        <v>65</v>
      </c>
      <c r="AB324">
        <v>325.83585900000003</v>
      </c>
      <c r="AC324">
        <v>287.22311919999999</v>
      </c>
      <c r="AD324">
        <v>247.53670149999999</v>
      </c>
      <c r="AE324">
        <v>156.665054</v>
      </c>
      <c r="AF324">
        <v>113.2207408</v>
      </c>
      <c r="AG324">
        <v>55</v>
      </c>
      <c r="AH324">
        <v>314.37547590000003</v>
      </c>
      <c r="AI324">
        <v>293.15401550000001</v>
      </c>
      <c r="AJ324">
        <v>224.64628010000001</v>
      </c>
      <c r="AK324">
        <v>172.82564830000001</v>
      </c>
      <c r="AL324">
        <v>118</v>
      </c>
      <c r="AM324">
        <v>55</v>
      </c>
      <c r="AN324">
        <v>287.84596690000001</v>
      </c>
      <c r="AO324">
        <v>296.81348480000003</v>
      </c>
      <c r="AP324">
        <v>219.75670270000001</v>
      </c>
      <c r="AQ324">
        <v>158.9950293</v>
      </c>
      <c r="AR324">
        <v>125.9824216</v>
      </c>
      <c r="AS324">
        <v>55</v>
      </c>
      <c r="AT324">
        <v>0.10253005</v>
      </c>
      <c r="AU324">
        <v>5.1394950000000002E-2</v>
      </c>
      <c r="AV324">
        <v>0.14221821000000001</v>
      </c>
      <c r="AW324">
        <v>6.7032369999999994E-2</v>
      </c>
      <c r="AX324">
        <v>9.1946349999999996E-2</v>
      </c>
      <c r="AY324">
        <v>2.0498800000000001E-2</v>
      </c>
      <c r="AZ324">
        <v>3.3675940000000001E-2</v>
      </c>
      <c r="BA324">
        <v>3.4911860000000003E-2</v>
      </c>
      <c r="BB324">
        <v>2.9795249999999999E-2</v>
      </c>
      <c r="BC324">
        <v>8.3393400000000006E-3</v>
      </c>
      <c r="BD324">
        <v>3.3807249999999997E-2</v>
      </c>
      <c r="BE324">
        <v>6.7651030000000001E-2</v>
      </c>
      <c r="BF324">
        <v>7.4512159999999994E-2</v>
      </c>
      <c r="BG324">
        <v>4.6419830000000002E-2</v>
      </c>
      <c r="BH324">
        <v>6.7279699999999998E-3</v>
      </c>
      <c r="BI324">
        <v>3.0566949999999999E-2</v>
      </c>
      <c r="BJ324">
        <v>4.1750799999999998E-2</v>
      </c>
      <c r="BK324">
        <v>7.0565820000000001E-2</v>
      </c>
      <c r="BL324">
        <v>3.7846070000000002E-2</v>
      </c>
      <c r="BM324">
        <v>7.809E-3</v>
      </c>
      <c r="BN324">
        <v>1110</v>
      </c>
      <c r="BO324">
        <v>320.39127769999999</v>
      </c>
      <c r="BP324">
        <v>190</v>
      </c>
    </row>
    <row r="325" spans="1:68" x14ac:dyDescent="0.2">
      <c r="A325" t="s">
        <v>890</v>
      </c>
      <c r="B325">
        <v>1339</v>
      </c>
      <c r="C325">
        <v>2558</v>
      </c>
      <c r="D325">
        <v>5021</v>
      </c>
      <c r="E325">
        <v>3759</v>
      </c>
      <c r="F325">
        <v>1927</v>
      </c>
      <c r="G325">
        <v>900</v>
      </c>
      <c r="H325">
        <v>806</v>
      </c>
      <c r="I325">
        <v>1505</v>
      </c>
      <c r="J325">
        <v>1185</v>
      </c>
      <c r="K325">
        <v>543</v>
      </c>
      <c r="L325">
        <v>1962</v>
      </c>
      <c r="M325">
        <v>2848</v>
      </c>
      <c r="N325">
        <v>3688</v>
      </c>
      <c r="O325">
        <v>2382</v>
      </c>
      <c r="P325">
        <v>506</v>
      </c>
      <c r="Q325">
        <v>2295</v>
      </c>
      <c r="R325">
        <v>3349</v>
      </c>
      <c r="S325">
        <v>6209</v>
      </c>
      <c r="T325">
        <v>3974</v>
      </c>
      <c r="U325">
        <v>733</v>
      </c>
      <c r="V325">
        <v>268.36431570000002</v>
      </c>
      <c r="W325">
        <v>212.53495760000001</v>
      </c>
      <c r="X325">
        <v>186.40227010000001</v>
      </c>
      <c r="Y325">
        <v>157.561575</v>
      </c>
      <c r="Z325">
        <v>100.55540360000001</v>
      </c>
      <c r="AA325">
        <v>65</v>
      </c>
      <c r="AB325">
        <v>304.53285369999998</v>
      </c>
      <c r="AC325">
        <v>281.69400919999998</v>
      </c>
      <c r="AD325">
        <v>216.59045800000001</v>
      </c>
      <c r="AE325">
        <v>156.63883469999999</v>
      </c>
      <c r="AF325">
        <v>125.1132994</v>
      </c>
      <c r="AG325">
        <v>55</v>
      </c>
      <c r="AH325">
        <v>303.53788020000002</v>
      </c>
      <c r="AI325">
        <v>246.92272320000001</v>
      </c>
      <c r="AJ325">
        <v>202.45647869999999</v>
      </c>
      <c r="AK325">
        <v>169.7383317</v>
      </c>
      <c r="AL325">
        <v>119.92108589999999</v>
      </c>
      <c r="AM325">
        <v>55</v>
      </c>
      <c r="AN325">
        <v>271.62343729999998</v>
      </c>
      <c r="AO325">
        <v>224.10131770000001</v>
      </c>
      <c r="AP325">
        <v>188.5676722</v>
      </c>
      <c r="AQ325">
        <v>162.84211490000001</v>
      </c>
      <c r="AR325">
        <v>115.4447608</v>
      </c>
      <c r="AS325">
        <v>55</v>
      </c>
      <c r="AT325">
        <v>2.8108919999999999E-2</v>
      </c>
      <c r="AU325">
        <v>5.418079E-2</v>
      </c>
      <c r="AV325">
        <v>0.10847094</v>
      </c>
      <c r="AW325">
        <v>7.757182E-2</v>
      </c>
      <c r="AX325">
        <v>3.806731E-2</v>
      </c>
      <c r="AY325">
        <v>1.828784E-2</v>
      </c>
      <c r="AZ325">
        <v>1.648463E-2</v>
      </c>
      <c r="BA325">
        <v>3.1585630000000003E-2</v>
      </c>
      <c r="BB325">
        <v>2.4498949999999999E-2</v>
      </c>
      <c r="BC325">
        <v>1.0919470000000001E-2</v>
      </c>
      <c r="BD325">
        <v>4.1586289999999998E-2</v>
      </c>
      <c r="BE325">
        <v>6.0186700000000003E-2</v>
      </c>
      <c r="BF325">
        <v>7.8433409999999995E-2</v>
      </c>
      <c r="BG325">
        <v>4.9743629999999997E-2</v>
      </c>
      <c r="BH325">
        <v>1.012594E-2</v>
      </c>
      <c r="BI325">
        <v>4.8983470000000001E-2</v>
      </c>
      <c r="BJ325">
        <v>7.1810189999999996E-2</v>
      </c>
      <c r="BK325">
        <v>0.13420623000000001</v>
      </c>
      <c r="BL325">
        <v>8.2272880000000007E-2</v>
      </c>
      <c r="BM325">
        <v>1.447496E-2</v>
      </c>
      <c r="BN325">
        <v>6503</v>
      </c>
      <c r="BO325">
        <v>249.04008719999999</v>
      </c>
      <c r="BP325">
        <v>190</v>
      </c>
    </row>
    <row r="326" spans="1:68" x14ac:dyDescent="0.2">
      <c r="A326" t="s">
        <v>891</v>
      </c>
      <c r="B326">
        <v>106</v>
      </c>
      <c r="C326">
        <v>110</v>
      </c>
      <c r="D326">
        <v>1396</v>
      </c>
      <c r="E326">
        <v>767</v>
      </c>
      <c r="F326">
        <v>1073</v>
      </c>
      <c r="G326">
        <v>773</v>
      </c>
      <c r="H326">
        <v>751</v>
      </c>
      <c r="I326">
        <v>1250</v>
      </c>
      <c r="J326">
        <v>1151</v>
      </c>
      <c r="K326">
        <v>535</v>
      </c>
      <c r="L326">
        <v>480</v>
      </c>
      <c r="M326">
        <v>936</v>
      </c>
      <c r="N326">
        <v>2262</v>
      </c>
      <c r="O326">
        <v>1116</v>
      </c>
      <c r="P326">
        <v>423</v>
      </c>
      <c r="Q326">
        <v>107</v>
      </c>
      <c r="R326">
        <v>641</v>
      </c>
      <c r="S326">
        <v>2943</v>
      </c>
      <c r="T326">
        <v>1842</v>
      </c>
      <c r="U326">
        <v>409</v>
      </c>
      <c r="V326">
        <v>188.6032611</v>
      </c>
      <c r="W326">
        <v>160.85956590000001</v>
      </c>
      <c r="X326">
        <v>154.9014348</v>
      </c>
      <c r="Y326">
        <v>122.1463459</v>
      </c>
      <c r="Z326">
        <v>111.9148897</v>
      </c>
      <c r="AA326">
        <v>65</v>
      </c>
      <c r="AB326">
        <v>305.5385465</v>
      </c>
      <c r="AC326">
        <v>273.0351627</v>
      </c>
      <c r="AD326">
        <v>213.21189949999999</v>
      </c>
      <c r="AE326">
        <v>148.09309830000001</v>
      </c>
      <c r="AF326">
        <v>114.7704963</v>
      </c>
      <c r="AG326">
        <v>55</v>
      </c>
      <c r="AH326">
        <v>292.48049839999999</v>
      </c>
      <c r="AI326">
        <v>221.1574458</v>
      </c>
      <c r="AJ326">
        <v>192.20575260000001</v>
      </c>
      <c r="AK326">
        <v>152.04531499999999</v>
      </c>
      <c r="AL326">
        <v>116.5861136</v>
      </c>
      <c r="AM326">
        <v>55</v>
      </c>
      <c r="AN326">
        <v>303.7945393</v>
      </c>
      <c r="AO326">
        <v>183.09437919999999</v>
      </c>
      <c r="AP326">
        <v>166.44234850000001</v>
      </c>
      <c r="AQ326">
        <v>147.9850874</v>
      </c>
      <c r="AR326">
        <v>116.00826790000001</v>
      </c>
      <c r="AS326">
        <v>55</v>
      </c>
      <c r="AT326">
        <v>5.7067000000000003E-3</v>
      </c>
      <c r="AU326">
        <v>4.8314500000000002E-3</v>
      </c>
      <c r="AV326">
        <v>7.5674050000000007E-2</v>
      </c>
      <c r="AW326">
        <v>4.1064860000000002E-2</v>
      </c>
      <c r="AX326">
        <v>5.9584600000000001E-2</v>
      </c>
      <c r="AY326">
        <v>4.4016350000000003E-2</v>
      </c>
      <c r="AZ326">
        <v>4.2474339999999999E-2</v>
      </c>
      <c r="BA326">
        <v>6.9839479999999995E-2</v>
      </c>
      <c r="BB326">
        <v>6.2681520000000004E-2</v>
      </c>
      <c r="BC326">
        <v>2.694467E-2</v>
      </c>
      <c r="BD326">
        <v>2.4743370000000001E-2</v>
      </c>
      <c r="BE326">
        <v>4.7171270000000001E-2</v>
      </c>
      <c r="BF326">
        <v>0.11842342</v>
      </c>
      <c r="BG326">
        <v>5.8783059999999998E-2</v>
      </c>
      <c r="BH326">
        <v>2.011377E-2</v>
      </c>
      <c r="BI326">
        <v>4.7798199999999997E-3</v>
      </c>
      <c r="BJ326">
        <v>3.2305819999999999E-2</v>
      </c>
      <c r="BK326">
        <v>0.15069943999999999</v>
      </c>
      <c r="BL326">
        <v>8.9909729999999993E-2</v>
      </c>
      <c r="BM326">
        <v>2.0252280000000001E-2</v>
      </c>
      <c r="BN326">
        <v>1573</v>
      </c>
      <c r="BO326">
        <v>261.88960520000001</v>
      </c>
      <c r="BP326">
        <v>190</v>
      </c>
    </row>
    <row r="327" spans="1:68" x14ac:dyDescent="0.2">
      <c r="A327" t="s">
        <v>892</v>
      </c>
      <c r="B327">
        <v>129</v>
      </c>
      <c r="C327">
        <v>24</v>
      </c>
      <c r="D327">
        <v>97</v>
      </c>
      <c r="E327">
        <v>289</v>
      </c>
      <c r="F327">
        <v>103</v>
      </c>
      <c r="G327">
        <v>207</v>
      </c>
      <c r="H327">
        <v>260</v>
      </c>
      <c r="I327">
        <v>544</v>
      </c>
      <c r="J327">
        <v>239</v>
      </c>
      <c r="K327">
        <v>73</v>
      </c>
      <c r="L327">
        <v>375</v>
      </c>
      <c r="M327">
        <v>757</v>
      </c>
      <c r="N327">
        <v>876</v>
      </c>
      <c r="O327">
        <v>290</v>
      </c>
      <c r="P327">
        <v>101</v>
      </c>
      <c r="Q327">
        <v>200</v>
      </c>
      <c r="R327">
        <v>233</v>
      </c>
      <c r="S327">
        <v>557</v>
      </c>
      <c r="T327">
        <v>332</v>
      </c>
      <c r="U327">
        <v>116</v>
      </c>
      <c r="V327">
        <v>275.00926290000001</v>
      </c>
      <c r="W327">
        <v>264.00867410000001</v>
      </c>
      <c r="X327">
        <v>153.01486249999999</v>
      </c>
      <c r="Y327">
        <v>142.0847014</v>
      </c>
      <c r="Z327">
        <v>101.8095004</v>
      </c>
      <c r="AA327">
        <v>65</v>
      </c>
      <c r="AB327">
        <v>304.14958710000002</v>
      </c>
      <c r="AC327">
        <v>280.87914749999999</v>
      </c>
      <c r="AD327">
        <v>220.9976662</v>
      </c>
      <c r="AE327">
        <v>158.9486929</v>
      </c>
      <c r="AF327">
        <v>117.006309</v>
      </c>
      <c r="AG327">
        <v>55</v>
      </c>
      <c r="AH327">
        <v>299.52326440000002</v>
      </c>
      <c r="AI327">
        <v>206.3244886</v>
      </c>
      <c r="AJ327">
        <v>192.68693619999999</v>
      </c>
      <c r="AK327">
        <v>164.34022949999999</v>
      </c>
      <c r="AL327">
        <v>115.74933009999999</v>
      </c>
      <c r="AM327">
        <v>55</v>
      </c>
      <c r="AN327">
        <v>304.90585220000003</v>
      </c>
      <c r="AO327">
        <v>208.59839819999999</v>
      </c>
      <c r="AP327">
        <v>167.69667319999999</v>
      </c>
      <c r="AQ327">
        <v>162.30056350000001</v>
      </c>
      <c r="AR327">
        <v>105.331265</v>
      </c>
      <c r="AS327">
        <v>55</v>
      </c>
      <c r="AT327">
        <v>2.2316240000000001E-2</v>
      </c>
      <c r="AU327">
        <v>3.6487300000000002E-3</v>
      </c>
      <c r="AV327">
        <v>1.7016119999999999E-2</v>
      </c>
      <c r="AW327">
        <v>4.2563259999999999E-2</v>
      </c>
      <c r="AX327">
        <v>1.7131130000000001E-2</v>
      </c>
      <c r="AY327">
        <v>3.7789490000000002E-2</v>
      </c>
      <c r="AZ327">
        <v>4.4332440000000001E-2</v>
      </c>
      <c r="BA327">
        <v>9.8028299999999999E-2</v>
      </c>
      <c r="BB327">
        <v>4.0932740000000002E-2</v>
      </c>
      <c r="BC327">
        <v>1.016061E-2</v>
      </c>
      <c r="BD327">
        <v>6.6024009999999994E-2</v>
      </c>
      <c r="BE327">
        <v>0.12945153000000001</v>
      </c>
      <c r="BF327">
        <v>0.16143911999999999</v>
      </c>
      <c r="BG327">
        <v>5.1881240000000002E-2</v>
      </c>
      <c r="BH327">
        <v>1.447759E-2</v>
      </c>
      <c r="BI327">
        <v>3.2424439999999999E-2</v>
      </c>
      <c r="BJ327">
        <v>3.9512289999999999E-2</v>
      </c>
      <c r="BK327">
        <v>9.7338250000000001E-2</v>
      </c>
      <c r="BL327">
        <v>5.6974530000000002E-2</v>
      </c>
      <c r="BM327">
        <v>1.655794E-2</v>
      </c>
      <c r="BN327">
        <v>417</v>
      </c>
      <c r="BO327">
        <v>264.37082529999998</v>
      </c>
      <c r="BP327">
        <v>190</v>
      </c>
    </row>
    <row r="328" spans="1:68" x14ac:dyDescent="0.2">
      <c r="A328" t="s">
        <v>893</v>
      </c>
      <c r="B328">
        <v>187</v>
      </c>
      <c r="C328">
        <v>156</v>
      </c>
      <c r="D328">
        <v>137</v>
      </c>
      <c r="E328">
        <v>490</v>
      </c>
      <c r="F328">
        <v>1117</v>
      </c>
      <c r="G328">
        <v>63</v>
      </c>
      <c r="H328">
        <v>217</v>
      </c>
      <c r="I328">
        <v>344</v>
      </c>
      <c r="J328">
        <v>360</v>
      </c>
      <c r="K328">
        <v>437</v>
      </c>
      <c r="L328">
        <v>45</v>
      </c>
      <c r="M328">
        <v>150</v>
      </c>
      <c r="N328">
        <v>348</v>
      </c>
      <c r="O328">
        <v>343</v>
      </c>
      <c r="P328">
        <v>358</v>
      </c>
      <c r="Q328">
        <v>12</v>
      </c>
      <c r="R328">
        <v>50</v>
      </c>
      <c r="S328">
        <v>232</v>
      </c>
      <c r="T328">
        <v>376</v>
      </c>
      <c r="U328">
        <v>336</v>
      </c>
      <c r="V328">
        <v>249.164691</v>
      </c>
      <c r="W328">
        <v>119.58257519999999</v>
      </c>
      <c r="X328">
        <v>187.99399249999999</v>
      </c>
      <c r="Y328">
        <v>159.9265432</v>
      </c>
      <c r="Z328">
        <v>114.4073001</v>
      </c>
      <c r="AA328">
        <v>65</v>
      </c>
      <c r="AB328">
        <v>287.9949264</v>
      </c>
      <c r="AC328">
        <v>267.29359929999998</v>
      </c>
      <c r="AD328">
        <v>215.942522</v>
      </c>
      <c r="AE328">
        <v>143.82123540000001</v>
      </c>
      <c r="AF328">
        <v>115.0709198</v>
      </c>
      <c r="AG328">
        <v>55</v>
      </c>
      <c r="AH328">
        <v>271.28616950000003</v>
      </c>
      <c r="AI328">
        <v>261.15469330000002</v>
      </c>
      <c r="AJ328">
        <v>212.73868189999999</v>
      </c>
      <c r="AK328">
        <v>150.0255654</v>
      </c>
      <c r="AL328">
        <v>116.2248613</v>
      </c>
      <c r="AM328">
        <v>55</v>
      </c>
      <c r="AN328">
        <v>220</v>
      </c>
      <c r="AO328">
        <v>240.269589</v>
      </c>
      <c r="AP328">
        <v>196.97325090000001</v>
      </c>
      <c r="AQ328">
        <v>145.84674509999999</v>
      </c>
      <c r="AR328">
        <v>114.9753326</v>
      </c>
      <c r="AS328">
        <v>55</v>
      </c>
      <c r="AT328">
        <v>3.3298170000000002E-2</v>
      </c>
      <c r="AU328">
        <v>2.602701E-2</v>
      </c>
      <c r="AV328">
        <v>2.6585649999999999E-2</v>
      </c>
      <c r="AW328">
        <v>8.6767410000000003E-2</v>
      </c>
      <c r="AX328">
        <v>0.18338832999999999</v>
      </c>
      <c r="AY328">
        <v>1.16332E-2</v>
      </c>
      <c r="AZ328">
        <v>3.8838940000000002E-2</v>
      </c>
      <c r="BA328">
        <v>6.4140649999999994E-2</v>
      </c>
      <c r="BB328">
        <v>6.4979540000000002E-2</v>
      </c>
      <c r="BC328">
        <v>6.3739829999999997E-2</v>
      </c>
      <c r="BD328">
        <v>9.5043200000000001E-3</v>
      </c>
      <c r="BE328">
        <v>2.694411E-2</v>
      </c>
      <c r="BF328">
        <v>6.724716E-2</v>
      </c>
      <c r="BG328">
        <v>6.421048E-2</v>
      </c>
      <c r="BH328">
        <v>5.6192609999999997E-2</v>
      </c>
      <c r="BI328">
        <v>1.92731E-3</v>
      </c>
      <c r="BJ328">
        <v>9.6435099999999992E-3</v>
      </c>
      <c r="BK328">
        <v>4.2671670000000002E-2</v>
      </c>
      <c r="BL328">
        <v>6.9197270000000005E-2</v>
      </c>
      <c r="BM328">
        <v>5.3062829999999998E-2</v>
      </c>
      <c r="BN328">
        <v>2543</v>
      </c>
      <c r="BO328">
        <v>275.36036589999998</v>
      </c>
      <c r="BP328">
        <v>190</v>
      </c>
    </row>
    <row r="329" spans="1:68" x14ac:dyDescent="0.2">
      <c r="A329" t="s">
        <v>894</v>
      </c>
      <c r="B329">
        <v>669</v>
      </c>
      <c r="C329">
        <v>442</v>
      </c>
      <c r="D329">
        <v>742</v>
      </c>
      <c r="E329">
        <v>534</v>
      </c>
      <c r="F329">
        <v>383</v>
      </c>
      <c r="G329">
        <v>393</v>
      </c>
      <c r="H329">
        <v>341</v>
      </c>
      <c r="I329">
        <v>539</v>
      </c>
      <c r="J329">
        <v>274</v>
      </c>
      <c r="K329">
        <v>37</v>
      </c>
      <c r="L329">
        <v>523</v>
      </c>
      <c r="M329">
        <v>630</v>
      </c>
      <c r="N329">
        <v>979</v>
      </c>
      <c r="O329">
        <v>264</v>
      </c>
      <c r="P329">
        <v>27</v>
      </c>
      <c r="Q329">
        <v>374</v>
      </c>
      <c r="R329">
        <v>327</v>
      </c>
      <c r="S329">
        <v>519</v>
      </c>
      <c r="T329">
        <v>271</v>
      </c>
      <c r="U329">
        <v>40</v>
      </c>
      <c r="V329">
        <v>264.67191309999998</v>
      </c>
      <c r="W329">
        <v>253.1518926</v>
      </c>
      <c r="X329">
        <v>167.16068000000001</v>
      </c>
      <c r="Y329">
        <v>135.41197210000001</v>
      </c>
      <c r="Z329">
        <v>107.9334415</v>
      </c>
      <c r="AA329">
        <v>65</v>
      </c>
      <c r="AB329">
        <v>329.84115700000001</v>
      </c>
      <c r="AC329">
        <v>285.34270839999999</v>
      </c>
      <c r="AD329">
        <v>219.71885280000001</v>
      </c>
      <c r="AE329">
        <v>146.4621679</v>
      </c>
      <c r="AF329">
        <v>122.06782629999999</v>
      </c>
      <c r="AG329">
        <v>55</v>
      </c>
      <c r="AH329">
        <v>302.5885869</v>
      </c>
      <c r="AI329">
        <v>259.93977799999999</v>
      </c>
      <c r="AJ329">
        <v>205.70081160000001</v>
      </c>
      <c r="AK329">
        <v>161.1386851</v>
      </c>
      <c r="AL329">
        <v>120.3289118</v>
      </c>
      <c r="AM329">
        <v>55</v>
      </c>
      <c r="AN329">
        <v>294.06476939999999</v>
      </c>
      <c r="AO329">
        <v>226.70069559999999</v>
      </c>
      <c r="AP329">
        <v>184.22877130000001</v>
      </c>
      <c r="AQ329">
        <v>146.04196580000001</v>
      </c>
      <c r="AR329">
        <v>112.9992666</v>
      </c>
      <c r="AS329">
        <v>55</v>
      </c>
      <c r="AT329">
        <v>7.8559000000000004E-2</v>
      </c>
      <c r="AU329">
        <v>5.3250859999999997E-2</v>
      </c>
      <c r="AV329">
        <v>8.6225800000000005E-2</v>
      </c>
      <c r="AW329">
        <v>6.5881140000000005E-2</v>
      </c>
      <c r="AX329">
        <v>4.5823349999999999E-2</v>
      </c>
      <c r="AY329">
        <v>4.7086749999999997E-2</v>
      </c>
      <c r="AZ329">
        <v>4.2205239999999998E-2</v>
      </c>
      <c r="BA329">
        <v>6.700014E-2</v>
      </c>
      <c r="BB329">
        <v>3.3845090000000001E-2</v>
      </c>
      <c r="BC329">
        <v>4.1379399999999997E-3</v>
      </c>
      <c r="BD329">
        <v>6.0758369999999999E-2</v>
      </c>
      <c r="BE329">
        <v>7.6806799999999995E-2</v>
      </c>
      <c r="BF329">
        <v>0.12190274</v>
      </c>
      <c r="BG329">
        <v>3.235727E-2</v>
      </c>
      <c r="BH329">
        <v>3.7288E-3</v>
      </c>
      <c r="BI329">
        <v>4.3410169999999998E-2</v>
      </c>
      <c r="BJ329">
        <v>3.6377560000000003E-2</v>
      </c>
      <c r="BK329">
        <v>6.153103E-2</v>
      </c>
      <c r="BL329">
        <v>3.3775689999999997E-2</v>
      </c>
      <c r="BM329">
        <v>5.3362599999999998E-3</v>
      </c>
      <c r="BN329">
        <v>1678</v>
      </c>
      <c r="BO329">
        <v>306.98264649999999</v>
      </c>
      <c r="BP329">
        <v>190</v>
      </c>
    </row>
    <row r="330" spans="1:68" x14ac:dyDescent="0.2">
      <c r="A330" t="s">
        <v>895</v>
      </c>
      <c r="B330">
        <v>124</v>
      </c>
      <c r="C330">
        <v>119</v>
      </c>
      <c r="D330">
        <v>407</v>
      </c>
      <c r="E330">
        <v>719</v>
      </c>
      <c r="F330">
        <v>545</v>
      </c>
      <c r="G330">
        <v>1250</v>
      </c>
      <c r="H330">
        <v>1243</v>
      </c>
      <c r="I330">
        <v>1626</v>
      </c>
      <c r="J330">
        <v>1309</v>
      </c>
      <c r="K330">
        <v>611</v>
      </c>
      <c r="L330">
        <v>598</v>
      </c>
      <c r="M330">
        <v>1010</v>
      </c>
      <c r="N330">
        <v>2376</v>
      </c>
      <c r="O330">
        <v>1160</v>
      </c>
      <c r="P330">
        <v>617</v>
      </c>
      <c r="Q330">
        <v>118</v>
      </c>
      <c r="R330">
        <v>205</v>
      </c>
      <c r="S330">
        <v>1990</v>
      </c>
      <c r="T330">
        <v>1282</v>
      </c>
      <c r="U330">
        <v>523</v>
      </c>
      <c r="V330">
        <v>262.9094293</v>
      </c>
      <c r="W330">
        <v>254.65916440000001</v>
      </c>
      <c r="X330">
        <v>153.71197140000001</v>
      </c>
      <c r="Y330">
        <v>167.74871340000001</v>
      </c>
      <c r="Z330">
        <v>104.42768599999999</v>
      </c>
      <c r="AA330">
        <v>65</v>
      </c>
      <c r="AB330">
        <v>298.15414440000001</v>
      </c>
      <c r="AC330">
        <v>276.29939180000002</v>
      </c>
      <c r="AD330">
        <v>216.36797730000001</v>
      </c>
      <c r="AE330">
        <v>145.60076330000001</v>
      </c>
      <c r="AF330">
        <v>113.3741923</v>
      </c>
      <c r="AG330">
        <v>55</v>
      </c>
      <c r="AH330">
        <v>287.82168810000002</v>
      </c>
      <c r="AI330">
        <v>248.07742949999999</v>
      </c>
      <c r="AJ330">
        <v>198.30031589999999</v>
      </c>
      <c r="AK330">
        <v>172.30550160000001</v>
      </c>
      <c r="AL330">
        <v>116.9562554</v>
      </c>
      <c r="AM330">
        <v>55</v>
      </c>
      <c r="AN330">
        <v>280.60569120000002</v>
      </c>
      <c r="AO330">
        <v>210.98822079999999</v>
      </c>
      <c r="AP330">
        <v>182.1464588</v>
      </c>
      <c r="AQ330">
        <v>168.4535266</v>
      </c>
      <c r="AR330">
        <v>116.88824870000001</v>
      </c>
      <c r="AS330">
        <v>55</v>
      </c>
      <c r="AT330">
        <v>7.7140300000000002E-3</v>
      </c>
      <c r="AU330">
        <v>7.1807599999999996E-3</v>
      </c>
      <c r="AV330">
        <v>2.2606020000000001E-2</v>
      </c>
      <c r="AW330">
        <v>3.9854500000000001E-2</v>
      </c>
      <c r="AX330">
        <v>3.525739E-2</v>
      </c>
      <c r="AY330">
        <v>7.2170349999999994E-2</v>
      </c>
      <c r="AZ330">
        <v>6.9979719999999995E-2</v>
      </c>
      <c r="BA330">
        <v>9.0773019999999996E-2</v>
      </c>
      <c r="BB330">
        <v>7.3282529999999999E-2</v>
      </c>
      <c r="BC330">
        <v>3.5763950000000003E-2</v>
      </c>
      <c r="BD330">
        <v>3.3139000000000002E-2</v>
      </c>
      <c r="BE330">
        <v>5.4846569999999997E-2</v>
      </c>
      <c r="BF330">
        <v>0.12980254999999999</v>
      </c>
      <c r="BG330">
        <v>6.3040689999999996E-2</v>
      </c>
      <c r="BH330">
        <v>3.7144030000000001E-2</v>
      </c>
      <c r="BI330">
        <v>5.9356000000000001E-3</v>
      </c>
      <c r="BJ330">
        <v>1.1859730000000001E-2</v>
      </c>
      <c r="BK330">
        <v>0.10991624</v>
      </c>
      <c r="BL330">
        <v>6.9193519999999994E-2</v>
      </c>
      <c r="BM330">
        <v>3.0539799999999999E-2</v>
      </c>
      <c r="BN330">
        <v>2965</v>
      </c>
      <c r="BO330">
        <v>245.9585744</v>
      </c>
      <c r="BP330">
        <v>190</v>
      </c>
    </row>
    <row r="331" spans="1:68" x14ac:dyDescent="0.2">
      <c r="A331" t="s">
        <v>896</v>
      </c>
      <c r="B331">
        <v>189</v>
      </c>
      <c r="C331">
        <v>99</v>
      </c>
      <c r="D331">
        <v>313</v>
      </c>
      <c r="E331">
        <v>756</v>
      </c>
      <c r="F331">
        <v>385</v>
      </c>
      <c r="G331">
        <v>1127</v>
      </c>
      <c r="H331">
        <v>930</v>
      </c>
      <c r="I331">
        <v>2083</v>
      </c>
      <c r="J331">
        <v>1462</v>
      </c>
      <c r="K331">
        <v>439</v>
      </c>
      <c r="L331">
        <v>576</v>
      </c>
      <c r="M331">
        <v>1069</v>
      </c>
      <c r="N331">
        <v>2274</v>
      </c>
      <c r="O331">
        <v>855</v>
      </c>
      <c r="P331">
        <v>309</v>
      </c>
      <c r="Q331">
        <v>124</v>
      </c>
      <c r="R331">
        <v>345</v>
      </c>
      <c r="S331">
        <v>1554</v>
      </c>
      <c r="T331">
        <v>795</v>
      </c>
      <c r="U331">
        <v>265</v>
      </c>
      <c r="V331">
        <v>249.9459234</v>
      </c>
      <c r="W331">
        <v>269.47107130000001</v>
      </c>
      <c r="X331">
        <v>193.86544169999999</v>
      </c>
      <c r="Y331">
        <v>147.34026489999999</v>
      </c>
      <c r="Z331">
        <v>116.4272398</v>
      </c>
      <c r="AA331">
        <v>65</v>
      </c>
      <c r="AB331">
        <v>300.93451920000001</v>
      </c>
      <c r="AC331">
        <v>275.25845950000001</v>
      </c>
      <c r="AD331">
        <v>215.7020426</v>
      </c>
      <c r="AE331">
        <v>149.21974280000001</v>
      </c>
      <c r="AF331">
        <v>121.42650070000001</v>
      </c>
      <c r="AG331">
        <v>55</v>
      </c>
      <c r="AH331">
        <v>305.99058730000002</v>
      </c>
      <c r="AI331">
        <v>271.19308919999997</v>
      </c>
      <c r="AJ331">
        <v>208.33338549999999</v>
      </c>
      <c r="AK331">
        <v>175.46288999999999</v>
      </c>
      <c r="AL331">
        <v>115.40620060000001</v>
      </c>
      <c r="AM331">
        <v>55</v>
      </c>
      <c r="AN331">
        <v>256.39364690000002</v>
      </c>
      <c r="AO331">
        <v>274.98475109999998</v>
      </c>
      <c r="AP331">
        <v>210.4733569</v>
      </c>
      <c r="AQ331">
        <v>168.58806269999999</v>
      </c>
      <c r="AR331">
        <v>114.5690211</v>
      </c>
      <c r="AS331">
        <v>55</v>
      </c>
      <c r="AT331">
        <v>1.215194E-2</v>
      </c>
      <c r="AU331">
        <v>6.5888500000000003E-3</v>
      </c>
      <c r="AV331">
        <v>2.0023550000000001E-2</v>
      </c>
      <c r="AW331">
        <v>4.955155E-2</v>
      </c>
      <c r="AX331">
        <v>2.9458069999999999E-2</v>
      </c>
      <c r="AY331">
        <v>7.1209700000000001E-2</v>
      </c>
      <c r="AZ331">
        <v>5.6163060000000001E-2</v>
      </c>
      <c r="BA331">
        <v>0.12884967999999999</v>
      </c>
      <c r="BB331">
        <v>8.8809159999999998E-2</v>
      </c>
      <c r="BC331">
        <v>3.175149E-2</v>
      </c>
      <c r="BD331">
        <v>3.5174499999999997E-2</v>
      </c>
      <c r="BE331">
        <v>6.3789239999999997E-2</v>
      </c>
      <c r="BF331">
        <v>0.13985032999999999</v>
      </c>
      <c r="BG331">
        <v>5.1117990000000002E-2</v>
      </c>
      <c r="BH331">
        <v>2.3092479999999999E-2</v>
      </c>
      <c r="BI331">
        <v>7.7742100000000001E-3</v>
      </c>
      <c r="BJ331">
        <v>2.0371690000000001E-2</v>
      </c>
      <c r="BK331">
        <v>9.6895990000000001E-2</v>
      </c>
      <c r="BL331">
        <v>4.779448E-2</v>
      </c>
      <c r="BM331">
        <v>1.9582039999999998E-2</v>
      </c>
      <c r="BN331">
        <v>1346</v>
      </c>
      <c r="BO331">
        <v>274.9495263</v>
      </c>
      <c r="BP331">
        <v>190</v>
      </c>
    </row>
    <row r="332" spans="1:68" x14ac:dyDescent="0.2">
      <c r="A332" t="s">
        <v>897</v>
      </c>
      <c r="B332">
        <v>133</v>
      </c>
      <c r="C332">
        <v>112</v>
      </c>
      <c r="D332">
        <v>240</v>
      </c>
      <c r="E332">
        <v>570</v>
      </c>
      <c r="F332">
        <v>174</v>
      </c>
      <c r="G332">
        <v>477</v>
      </c>
      <c r="H332">
        <v>607</v>
      </c>
      <c r="I332">
        <v>1258</v>
      </c>
      <c r="J332">
        <v>798</v>
      </c>
      <c r="K332">
        <v>158</v>
      </c>
      <c r="L332">
        <v>483</v>
      </c>
      <c r="M332">
        <v>1006</v>
      </c>
      <c r="N332">
        <v>1729</v>
      </c>
      <c r="O332">
        <v>623</v>
      </c>
      <c r="P332">
        <v>137</v>
      </c>
      <c r="Q332">
        <v>268</v>
      </c>
      <c r="R332">
        <v>391</v>
      </c>
      <c r="S332">
        <v>1067</v>
      </c>
      <c r="T332">
        <v>433</v>
      </c>
      <c r="U332">
        <v>182</v>
      </c>
      <c r="V332">
        <v>241.0061335</v>
      </c>
      <c r="W332">
        <v>247.66216259999999</v>
      </c>
      <c r="X332">
        <v>124.69325689999999</v>
      </c>
      <c r="Y332">
        <v>138.3346736</v>
      </c>
      <c r="Z332">
        <v>96.52635291</v>
      </c>
      <c r="AA332">
        <v>65</v>
      </c>
      <c r="AB332">
        <v>287.23631519999998</v>
      </c>
      <c r="AC332">
        <v>287.2941257</v>
      </c>
      <c r="AD332">
        <v>212.90664000000001</v>
      </c>
      <c r="AE332">
        <v>147.986042</v>
      </c>
      <c r="AF332">
        <v>116.91375840000001</v>
      </c>
      <c r="AG332">
        <v>55</v>
      </c>
      <c r="AH332">
        <v>288.96942730000001</v>
      </c>
      <c r="AI332">
        <v>273.63180149999999</v>
      </c>
      <c r="AJ332">
        <v>207.97045420000001</v>
      </c>
      <c r="AK332">
        <v>172.90543829999999</v>
      </c>
      <c r="AL332">
        <v>112.8506624</v>
      </c>
      <c r="AM332">
        <v>55</v>
      </c>
      <c r="AN332">
        <v>294.94308460000002</v>
      </c>
      <c r="AO332">
        <v>265.15658130000003</v>
      </c>
      <c r="AP332">
        <v>195.22837010000001</v>
      </c>
      <c r="AQ332">
        <v>158.2568957</v>
      </c>
      <c r="AR332">
        <v>112.196781</v>
      </c>
      <c r="AS332">
        <v>55</v>
      </c>
      <c r="AT332">
        <v>1.3204749999999999E-2</v>
      </c>
      <c r="AU332">
        <v>1.268817E-2</v>
      </c>
      <c r="AV332">
        <v>2.3072169999999999E-2</v>
      </c>
      <c r="AW332">
        <v>5.410947E-2</v>
      </c>
      <c r="AX332">
        <v>1.7080129999999999E-2</v>
      </c>
      <c r="AY332">
        <v>4.4942879999999998E-2</v>
      </c>
      <c r="AZ332">
        <v>5.5946179999999998E-2</v>
      </c>
      <c r="BA332">
        <v>0.11821001</v>
      </c>
      <c r="BB332">
        <v>7.452992E-2</v>
      </c>
      <c r="BC332">
        <v>1.6028250000000001E-2</v>
      </c>
      <c r="BD332">
        <v>4.4625499999999999E-2</v>
      </c>
      <c r="BE332">
        <v>9.1127600000000003E-2</v>
      </c>
      <c r="BF332">
        <v>0.15715335999999999</v>
      </c>
      <c r="BG332">
        <v>5.6926490000000003E-2</v>
      </c>
      <c r="BH332">
        <v>1.2709359999999999E-2</v>
      </c>
      <c r="BI332">
        <v>2.5275120000000002E-2</v>
      </c>
      <c r="BJ332">
        <v>3.315324E-2</v>
      </c>
      <c r="BK332">
        <v>9.4038609999999995E-2</v>
      </c>
      <c r="BL332">
        <v>3.8693539999999998E-2</v>
      </c>
      <c r="BM332">
        <v>1.648525E-2</v>
      </c>
      <c r="BN332">
        <v>1326</v>
      </c>
      <c r="BO332">
        <v>241.66595889999999</v>
      </c>
      <c r="BP332">
        <v>190</v>
      </c>
    </row>
    <row r="333" spans="1:68" x14ac:dyDescent="0.2">
      <c r="A333" t="s">
        <v>898</v>
      </c>
      <c r="B333">
        <v>94</v>
      </c>
      <c r="C333">
        <v>31</v>
      </c>
      <c r="D333">
        <v>545</v>
      </c>
      <c r="E333">
        <v>418</v>
      </c>
      <c r="F333">
        <v>598</v>
      </c>
      <c r="G333">
        <v>528</v>
      </c>
      <c r="H333">
        <v>532</v>
      </c>
      <c r="I333">
        <v>927</v>
      </c>
      <c r="J333">
        <v>1019</v>
      </c>
      <c r="K333">
        <v>530</v>
      </c>
      <c r="L333">
        <v>494</v>
      </c>
      <c r="M333">
        <v>698</v>
      </c>
      <c r="N333">
        <v>1631</v>
      </c>
      <c r="O333">
        <v>1004</v>
      </c>
      <c r="P333">
        <v>740</v>
      </c>
      <c r="Q333">
        <v>138</v>
      </c>
      <c r="R333">
        <v>412</v>
      </c>
      <c r="S333">
        <v>1000</v>
      </c>
      <c r="T333">
        <v>651</v>
      </c>
      <c r="U333">
        <v>505</v>
      </c>
      <c r="V333">
        <v>273.71710330000002</v>
      </c>
      <c r="W333">
        <v>271.08263069999998</v>
      </c>
      <c r="X333">
        <v>178.850819</v>
      </c>
      <c r="Y333">
        <v>146.0320882</v>
      </c>
      <c r="Z333">
        <v>111.0600362</v>
      </c>
      <c r="AA333">
        <v>65</v>
      </c>
      <c r="AB333">
        <v>305.52076060000002</v>
      </c>
      <c r="AC333">
        <v>275.65147309999998</v>
      </c>
      <c r="AD333">
        <v>220.5277993</v>
      </c>
      <c r="AE333">
        <v>155.3830447</v>
      </c>
      <c r="AF333">
        <v>117.0665377</v>
      </c>
      <c r="AG333">
        <v>55</v>
      </c>
      <c r="AH333">
        <v>253.10604599999999</v>
      </c>
      <c r="AI333">
        <v>224.6740978</v>
      </c>
      <c r="AJ333">
        <v>202.26100450000001</v>
      </c>
      <c r="AK333">
        <v>171.4252132</v>
      </c>
      <c r="AL333">
        <v>115.4183245</v>
      </c>
      <c r="AM333">
        <v>55</v>
      </c>
      <c r="AN333">
        <v>278.86826189999999</v>
      </c>
      <c r="AO333">
        <v>195.81417049999999</v>
      </c>
      <c r="AP333">
        <v>183.16722440000001</v>
      </c>
      <c r="AQ333">
        <v>167.5583139</v>
      </c>
      <c r="AR333">
        <v>113.19965569999999</v>
      </c>
      <c r="AS333">
        <v>55</v>
      </c>
      <c r="AT333">
        <v>8.0546799999999998E-3</v>
      </c>
      <c r="AU333">
        <v>2.2908999999999998E-3</v>
      </c>
      <c r="AV333">
        <v>3.9138249999999999E-2</v>
      </c>
      <c r="AW333">
        <v>3.3088810000000003E-2</v>
      </c>
      <c r="AX333">
        <v>4.9386510000000002E-2</v>
      </c>
      <c r="AY333">
        <v>4.0961129999999998E-2</v>
      </c>
      <c r="AZ333">
        <v>4.1509909999999997E-2</v>
      </c>
      <c r="BA333">
        <v>7.4450730000000007E-2</v>
      </c>
      <c r="BB333">
        <v>8.1445009999999998E-2</v>
      </c>
      <c r="BC333">
        <v>4.4735560000000001E-2</v>
      </c>
      <c r="BD333">
        <v>3.9522069999999999E-2</v>
      </c>
      <c r="BE333">
        <v>5.5235569999999998E-2</v>
      </c>
      <c r="BF333">
        <v>0.12999859999999999</v>
      </c>
      <c r="BG333">
        <v>8.1115099999999996E-2</v>
      </c>
      <c r="BH333">
        <v>6.1406370000000002E-2</v>
      </c>
      <c r="BI333">
        <v>1.1576950000000001E-2</v>
      </c>
      <c r="BJ333">
        <v>3.230355E-2</v>
      </c>
      <c r="BK333">
        <v>7.7194399999999996E-2</v>
      </c>
      <c r="BL333">
        <v>5.3961250000000002E-2</v>
      </c>
      <c r="BM333">
        <v>4.262465E-2</v>
      </c>
      <c r="BN333">
        <v>1425</v>
      </c>
      <c r="BO333">
        <v>254.73524380000001</v>
      </c>
      <c r="BP333">
        <v>190</v>
      </c>
    </row>
    <row r="334" spans="1:68" x14ac:dyDescent="0.2">
      <c r="A334" t="s">
        <v>899</v>
      </c>
      <c r="B334">
        <v>44</v>
      </c>
      <c r="C334">
        <v>19</v>
      </c>
      <c r="D334">
        <v>90</v>
      </c>
      <c r="E334">
        <v>192</v>
      </c>
      <c r="F334">
        <v>268</v>
      </c>
      <c r="G334">
        <v>331</v>
      </c>
      <c r="H334">
        <v>471</v>
      </c>
      <c r="I334">
        <v>781</v>
      </c>
      <c r="J334">
        <v>491</v>
      </c>
      <c r="K334">
        <v>229</v>
      </c>
      <c r="L334">
        <v>306</v>
      </c>
      <c r="M334">
        <v>403</v>
      </c>
      <c r="N334">
        <v>752</v>
      </c>
      <c r="O334">
        <v>475</v>
      </c>
      <c r="P334">
        <v>317</v>
      </c>
      <c r="Q334">
        <v>70</v>
      </c>
      <c r="R334">
        <v>139</v>
      </c>
      <c r="S334">
        <v>761</v>
      </c>
      <c r="T334">
        <v>474</v>
      </c>
      <c r="U334">
        <v>243</v>
      </c>
      <c r="V334">
        <v>264.97455669999999</v>
      </c>
      <c r="W334">
        <v>211.90994480000001</v>
      </c>
      <c r="X334">
        <v>178.86377859999999</v>
      </c>
      <c r="Y334">
        <v>149.80679169999999</v>
      </c>
      <c r="Z334">
        <v>116.0441245</v>
      </c>
      <c r="AA334">
        <v>65</v>
      </c>
      <c r="AB334">
        <v>302.421288</v>
      </c>
      <c r="AC334">
        <v>270.66959800000001</v>
      </c>
      <c r="AD334">
        <v>213.90195560000001</v>
      </c>
      <c r="AE334">
        <v>147.9803938</v>
      </c>
      <c r="AF334">
        <v>115.22568269999999</v>
      </c>
      <c r="AG334">
        <v>55</v>
      </c>
      <c r="AH334">
        <v>279.8922675</v>
      </c>
      <c r="AI334">
        <v>250.44812139999999</v>
      </c>
      <c r="AJ334">
        <v>192.5326402</v>
      </c>
      <c r="AK334">
        <v>172.85172069999999</v>
      </c>
      <c r="AL334">
        <v>114.4380307</v>
      </c>
      <c r="AM334">
        <v>55</v>
      </c>
      <c r="AN334">
        <v>251.7467264</v>
      </c>
      <c r="AO334">
        <v>238.43602609999999</v>
      </c>
      <c r="AP334">
        <v>174.4837976</v>
      </c>
      <c r="AQ334">
        <v>176.50347540000001</v>
      </c>
      <c r="AR334">
        <v>112.2739534</v>
      </c>
      <c r="AS334">
        <v>55</v>
      </c>
      <c r="AT334">
        <v>6.5586999999999998E-3</v>
      </c>
      <c r="AU334">
        <v>2.4184699999999998E-3</v>
      </c>
      <c r="AV334">
        <v>1.4089030000000001E-2</v>
      </c>
      <c r="AW334">
        <v>2.5253339999999999E-2</v>
      </c>
      <c r="AX334">
        <v>3.7022470000000002E-2</v>
      </c>
      <c r="AY334">
        <v>5.1741059999999998E-2</v>
      </c>
      <c r="AZ334">
        <v>6.8086359999999999E-2</v>
      </c>
      <c r="BA334">
        <v>0.11844459</v>
      </c>
      <c r="BB334">
        <v>6.2573119999999996E-2</v>
      </c>
      <c r="BC334">
        <v>3.2117590000000001E-2</v>
      </c>
      <c r="BD334">
        <v>4.7804659999999999E-2</v>
      </c>
      <c r="BE334">
        <v>6.0565849999999997E-2</v>
      </c>
      <c r="BF334">
        <v>0.11586471</v>
      </c>
      <c r="BG334">
        <v>6.3897819999999994E-2</v>
      </c>
      <c r="BH334">
        <v>4.4010830000000001E-2</v>
      </c>
      <c r="BI334">
        <v>1.132298E-2</v>
      </c>
      <c r="BJ334">
        <v>2.1384500000000001E-2</v>
      </c>
      <c r="BK334">
        <v>0.11945942</v>
      </c>
      <c r="BL334">
        <v>6.3450500000000007E-2</v>
      </c>
      <c r="BM334">
        <v>3.3933999999999999E-2</v>
      </c>
      <c r="BN334">
        <v>733</v>
      </c>
      <c r="BO334">
        <v>273.42279580000002</v>
      </c>
      <c r="BP334">
        <v>190</v>
      </c>
    </row>
    <row r="335" spans="1:68" x14ac:dyDescent="0.2">
      <c r="A335" t="s">
        <v>900</v>
      </c>
      <c r="B335">
        <v>41</v>
      </c>
      <c r="C335">
        <v>68</v>
      </c>
      <c r="D335">
        <v>221</v>
      </c>
      <c r="E335">
        <v>295</v>
      </c>
      <c r="F335">
        <v>435</v>
      </c>
      <c r="G335">
        <v>390</v>
      </c>
      <c r="H335">
        <v>396</v>
      </c>
      <c r="I335">
        <v>796</v>
      </c>
      <c r="J335">
        <v>635</v>
      </c>
      <c r="K335">
        <v>321</v>
      </c>
      <c r="L335">
        <v>338</v>
      </c>
      <c r="M335">
        <v>745</v>
      </c>
      <c r="N335">
        <v>1525</v>
      </c>
      <c r="O335">
        <v>661</v>
      </c>
      <c r="P335">
        <v>326</v>
      </c>
      <c r="Q335">
        <v>74</v>
      </c>
      <c r="R335">
        <v>245</v>
      </c>
      <c r="S335">
        <v>1129</v>
      </c>
      <c r="T335">
        <v>629</v>
      </c>
      <c r="U335">
        <v>328</v>
      </c>
      <c r="V335">
        <v>234.5669824</v>
      </c>
      <c r="W335">
        <v>167.6994353</v>
      </c>
      <c r="X335">
        <v>168.39883879999999</v>
      </c>
      <c r="Y335">
        <v>116.589951</v>
      </c>
      <c r="Z335">
        <v>96.96850173</v>
      </c>
      <c r="AA335">
        <v>65</v>
      </c>
      <c r="AB335">
        <v>297.26821280000001</v>
      </c>
      <c r="AC335">
        <v>273.50889869999997</v>
      </c>
      <c r="AD335">
        <v>215.99726010000001</v>
      </c>
      <c r="AE335">
        <v>150.25459309999999</v>
      </c>
      <c r="AF335">
        <v>115.9642928</v>
      </c>
      <c r="AG335">
        <v>55</v>
      </c>
      <c r="AH335">
        <v>276.85895390000002</v>
      </c>
      <c r="AI335">
        <v>256.94299230000001</v>
      </c>
      <c r="AJ335">
        <v>197.7292118</v>
      </c>
      <c r="AK335">
        <v>156.4192998</v>
      </c>
      <c r="AL335">
        <v>115.9431617</v>
      </c>
      <c r="AM335">
        <v>55</v>
      </c>
      <c r="AN335">
        <v>281.01869950000003</v>
      </c>
      <c r="AO335">
        <v>232.1116208</v>
      </c>
      <c r="AP335">
        <v>183.16593700000001</v>
      </c>
      <c r="AQ335">
        <v>143.16113999999999</v>
      </c>
      <c r="AR335">
        <v>113.5049099</v>
      </c>
      <c r="AS335">
        <v>55</v>
      </c>
      <c r="AT335">
        <v>4.5369E-3</v>
      </c>
      <c r="AU335">
        <v>6.8515199999999998E-3</v>
      </c>
      <c r="AV335">
        <v>2.1090029999999999E-2</v>
      </c>
      <c r="AW335">
        <v>3.2271170000000002E-2</v>
      </c>
      <c r="AX335">
        <v>4.4715390000000001E-2</v>
      </c>
      <c r="AY335">
        <v>4.2429649999999999E-2</v>
      </c>
      <c r="AZ335">
        <v>4.1640860000000002E-2</v>
      </c>
      <c r="BA335">
        <v>8.406537E-2</v>
      </c>
      <c r="BB335">
        <v>6.7040509999999998E-2</v>
      </c>
      <c r="BC335">
        <v>3.4689570000000003E-2</v>
      </c>
      <c r="BD335">
        <v>3.6621090000000002E-2</v>
      </c>
      <c r="BE335">
        <v>7.0128759999999998E-2</v>
      </c>
      <c r="BF335">
        <v>0.15791651000000001</v>
      </c>
      <c r="BG335">
        <v>7.1415870000000006E-2</v>
      </c>
      <c r="BH335">
        <v>3.4196400000000002E-2</v>
      </c>
      <c r="BI335">
        <v>7.7558100000000001E-3</v>
      </c>
      <c r="BJ335">
        <v>2.419344E-2</v>
      </c>
      <c r="BK335">
        <v>0.11577733</v>
      </c>
      <c r="BL335">
        <v>6.7827579999999998E-2</v>
      </c>
      <c r="BM335">
        <v>3.4836239999999997E-2</v>
      </c>
      <c r="BN335">
        <v>739</v>
      </c>
      <c r="BO335">
        <v>242.1986823</v>
      </c>
      <c r="BP335">
        <v>190</v>
      </c>
    </row>
    <row r="336" spans="1:68" x14ac:dyDescent="0.2">
      <c r="A336" t="s">
        <v>901</v>
      </c>
      <c r="B336">
        <v>47</v>
      </c>
      <c r="C336">
        <v>17</v>
      </c>
      <c r="D336">
        <v>88</v>
      </c>
      <c r="E336">
        <v>211</v>
      </c>
      <c r="F336">
        <v>194</v>
      </c>
      <c r="G336">
        <v>293</v>
      </c>
      <c r="H336">
        <v>335</v>
      </c>
      <c r="I336">
        <v>736</v>
      </c>
      <c r="J336">
        <v>501</v>
      </c>
      <c r="K336">
        <v>277</v>
      </c>
      <c r="L336">
        <v>175</v>
      </c>
      <c r="M336">
        <v>313</v>
      </c>
      <c r="N336">
        <v>807</v>
      </c>
      <c r="O336">
        <v>381</v>
      </c>
      <c r="P336">
        <v>262</v>
      </c>
      <c r="Q336">
        <v>16</v>
      </c>
      <c r="R336">
        <v>38</v>
      </c>
      <c r="S336">
        <v>327</v>
      </c>
      <c r="T336">
        <v>237</v>
      </c>
      <c r="U336">
        <v>205</v>
      </c>
      <c r="V336">
        <v>209.02011680000001</v>
      </c>
      <c r="W336">
        <v>258.00497050000001</v>
      </c>
      <c r="X336">
        <v>174.02909729999999</v>
      </c>
      <c r="Y336">
        <v>144.30578320000001</v>
      </c>
      <c r="Z336">
        <v>107.5293212</v>
      </c>
      <c r="AA336">
        <v>65</v>
      </c>
      <c r="AB336">
        <v>307.72241220000001</v>
      </c>
      <c r="AC336">
        <v>270.368019</v>
      </c>
      <c r="AD336">
        <v>216.53240640000001</v>
      </c>
      <c r="AE336">
        <v>160.75810910000001</v>
      </c>
      <c r="AF336">
        <v>117.9458944</v>
      </c>
      <c r="AG336">
        <v>55</v>
      </c>
      <c r="AH336">
        <v>283.96075889999997</v>
      </c>
      <c r="AI336">
        <v>257.64850860000001</v>
      </c>
      <c r="AJ336">
        <v>206.26719679999999</v>
      </c>
      <c r="AK336">
        <v>161.8909961</v>
      </c>
      <c r="AL336">
        <v>117.52815750000001</v>
      </c>
      <c r="AM336">
        <v>55</v>
      </c>
      <c r="AN336">
        <v>251.9218831</v>
      </c>
      <c r="AO336">
        <v>254.23491799999999</v>
      </c>
      <c r="AP336">
        <v>179.9201261</v>
      </c>
      <c r="AQ336">
        <v>149.2275501</v>
      </c>
      <c r="AR336">
        <v>107.43699549999999</v>
      </c>
      <c r="AS336">
        <v>55</v>
      </c>
      <c r="AT336">
        <v>7.8106900000000003E-3</v>
      </c>
      <c r="AU336">
        <v>2.8965100000000001E-3</v>
      </c>
      <c r="AV336">
        <v>1.2970880000000001E-2</v>
      </c>
      <c r="AW336">
        <v>3.7950820000000003E-2</v>
      </c>
      <c r="AX336">
        <v>2.9241989999999999E-2</v>
      </c>
      <c r="AY336">
        <v>5.287232E-2</v>
      </c>
      <c r="AZ336">
        <v>6.0515159999999998E-2</v>
      </c>
      <c r="BA336">
        <v>0.13794248000000001</v>
      </c>
      <c r="BB336">
        <v>9.3382980000000004E-2</v>
      </c>
      <c r="BC336">
        <v>4.4261889999999998E-2</v>
      </c>
      <c r="BD336">
        <v>3.2843219999999999E-2</v>
      </c>
      <c r="BE336">
        <v>5.738857E-2</v>
      </c>
      <c r="BF336">
        <v>0.15535868999999999</v>
      </c>
      <c r="BG336">
        <v>7.0734229999999995E-2</v>
      </c>
      <c r="BH336">
        <v>4.3594800000000003E-2</v>
      </c>
      <c r="BI336">
        <v>3.3272499999999999E-3</v>
      </c>
      <c r="BJ336">
        <v>7.5724099999999999E-3</v>
      </c>
      <c r="BK336">
        <v>6.3375500000000001E-2</v>
      </c>
      <c r="BL336">
        <v>4.6229399999999997E-2</v>
      </c>
      <c r="BM336">
        <v>3.9730210000000002E-2</v>
      </c>
      <c r="BN336">
        <v>589</v>
      </c>
      <c r="BO336">
        <v>267.25289350000003</v>
      </c>
      <c r="BP336">
        <v>190</v>
      </c>
    </row>
    <row r="337" spans="1:68" x14ac:dyDescent="0.2">
      <c r="A337" t="s">
        <v>902</v>
      </c>
      <c r="B337">
        <v>68</v>
      </c>
      <c r="C337">
        <v>78</v>
      </c>
      <c r="D337">
        <v>89</v>
      </c>
      <c r="E337">
        <v>280</v>
      </c>
      <c r="F337">
        <v>267</v>
      </c>
      <c r="G337">
        <v>514</v>
      </c>
      <c r="H337">
        <v>611</v>
      </c>
      <c r="I337">
        <v>1253</v>
      </c>
      <c r="J337">
        <v>675</v>
      </c>
      <c r="K337">
        <v>159</v>
      </c>
      <c r="L337">
        <v>282</v>
      </c>
      <c r="M337">
        <v>1031</v>
      </c>
      <c r="N337">
        <v>1937</v>
      </c>
      <c r="O337">
        <v>506</v>
      </c>
      <c r="P337">
        <v>134</v>
      </c>
      <c r="Q337">
        <v>53</v>
      </c>
      <c r="R337">
        <v>245</v>
      </c>
      <c r="S337">
        <v>715</v>
      </c>
      <c r="T337">
        <v>456</v>
      </c>
      <c r="U337">
        <v>140</v>
      </c>
      <c r="V337">
        <v>243.4547694</v>
      </c>
      <c r="W337">
        <v>232.39154400000001</v>
      </c>
      <c r="X337">
        <v>198.150811</v>
      </c>
      <c r="Y337">
        <v>127.78135380000001</v>
      </c>
      <c r="Z337">
        <v>98.952710069999995</v>
      </c>
      <c r="AA337">
        <v>65</v>
      </c>
      <c r="AB337">
        <v>325.18581180000001</v>
      </c>
      <c r="AC337">
        <v>292.67814379999999</v>
      </c>
      <c r="AD337">
        <v>217.4231125</v>
      </c>
      <c r="AE337">
        <v>153.3388104</v>
      </c>
      <c r="AF337">
        <v>113.5941194</v>
      </c>
      <c r="AG337">
        <v>55</v>
      </c>
      <c r="AH337">
        <v>315.37338210000001</v>
      </c>
      <c r="AI337">
        <v>243.10651519999999</v>
      </c>
      <c r="AJ337">
        <v>212.6419286</v>
      </c>
      <c r="AK337">
        <v>174.56575509999999</v>
      </c>
      <c r="AL337">
        <v>116.2692093</v>
      </c>
      <c r="AM337">
        <v>55</v>
      </c>
      <c r="AN337">
        <v>304.22917849999999</v>
      </c>
      <c r="AO337">
        <v>228.01569559999999</v>
      </c>
      <c r="AP337">
        <v>190.86302929999999</v>
      </c>
      <c r="AQ337">
        <v>168.5498523</v>
      </c>
      <c r="AR337">
        <v>117.6217114</v>
      </c>
      <c r="AS337">
        <v>55</v>
      </c>
      <c r="AT337">
        <v>7.1906299999999999E-3</v>
      </c>
      <c r="AU337">
        <v>8.3543100000000002E-3</v>
      </c>
      <c r="AV337">
        <v>8.5155100000000004E-3</v>
      </c>
      <c r="AW337">
        <v>2.9494309999999999E-2</v>
      </c>
      <c r="AX337">
        <v>2.8886200000000001E-2</v>
      </c>
      <c r="AY337">
        <v>5.3916760000000001E-2</v>
      </c>
      <c r="AZ337">
        <v>6.2104949999999999E-2</v>
      </c>
      <c r="BA337">
        <v>0.12987515999999999</v>
      </c>
      <c r="BB337">
        <v>7.2725369999999998E-2</v>
      </c>
      <c r="BC337">
        <v>1.6951000000000001E-2</v>
      </c>
      <c r="BD337">
        <v>2.9774249999999999E-2</v>
      </c>
      <c r="BE337">
        <v>0.10981448000000001</v>
      </c>
      <c r="BF337">
        <v>0.20482359</v>
      </c>
      <c r="BG337">
        <v>5.3538009999999997E-2</v>
      </c>
      <c r="BH337">
        <v>1.441449E-2</v>
      </c>
      <c r="BI337">
        <v>5.6274200000000002E-3</v>
      </c>
      <c r="BJ337">
        <v>2.5555499999999998E-2</v>
      </c>
      <c r="BK337">
        <v>7.5504840000000004E-2</v>
      </c>
      <c r="BL337">
        <v>4.7585009999999997E-2</v>
      </c>
      <c r="BM337">
        <v>1.5348209999999999E-2</v>
      </c>
      <c r="BN337">
        <v>976</v>
      </c>
      <c r="BO337">
        <v>226.1923908</v>
      </c>
      <c r="BP337">
        <v>190</v>
      </c>
    </row>
    <row r="338" spans="1:68" x14ac:dyDescent="0.2">
      <c r="A338" t="s">
        <v>903</v>
      </c>
      <c r="B338">
        <v>78</v>
      </c>
      <c r="C338">
        <v>24</v>
      </c>
      <c r="D338">
        <v>440</v>
      </c>
      <c r="E338">
        <v>891</v>
      </c>
      <c r="F338">
        <v>841</v>
      </c>
      <c r="G338">
        <v>431</v>
      </c>
      <c r="H338">
        <v>376</v>
      </c>
      <c r="I338">
        <v>671</v>
      </c>
      <c r="J338">
        <v>455</v>
      </c>
      <c r="K338">
        <v>288</v>
      </c>
      <c r="L338">
        <v>257</v>
      </c>
      <c r="M338">
        <v>665</v>
      </c>
      <c r="N338">
        <v>1307</v>
      </c>
      <c r="O338">
        <v>615</v>
      </c>
      <c r="P338">
        <v>363</v>
      </c>
      <c r="Q338">
        <v>49</v>
      </c>
      <c r="R338">
        <v>463</v>
      </c>
      <c r="S338">
        <v>1728</v>
      </c>
      <c r="T338">
        <v>901</v>
      </c>
      <c r="U338">
        <v>343</v>
      </c>
      <c r="V338">
        <v>273.49400789999999</v>
      </c>
      <c r="W338">
        <v>258.31170109999999</v>
      </c>
      <c r="X338">
        <v>177.36974520000001</v>
      </c>
      <c r="Y338">
        <v>146.03876099999999</v>
      </c>
      <c r="Z338">
        <v>129.75978889999999</v>
      </c>
      <c r="AA338">
        <v>65</v>
      </c>
      <c r="AB338">
        <v>301.91620180000001</v>
      </c>
      <c r="AC338">
        <v>274.2263087</v>
      </c>
      <c r="AD338">
        <v>216.38051720000001</v>
      </c>
      <c r="AE338">
        <v>150.70471979999999</v>
      </c>
      <c r="AF338">
        <v>114.7100638</v>
      </c>
      <c r="AG338">
        <v>55</v>
      </c>
      <c r="AH338">
        <v>253.4791032</v>
      </c>
      <c r="AI338">
        <v>262.75576669999998</v>
      </c>
      <c r="AJ338">
        <v>207.16991329999999</v>
      </c>
      <c r="AK338">
        <v>156.840405</v>
      </c>
      <c r="AL338">
        <v>117.2690492</v>
      </c>
      <c r="AM338">
        <v>55</v>
      </c>
      <c r="AN338">
        <v>288.89900390000003</v>
      </c>
      <c r="AO338">
        <v>242.18202429999999</v>
      </c>
      <c r="AP338">
        <v>198.25370810000001</v>
      </c>
      <c r="AQ338">
        <v>150.63106690000001</v>
      </c>
      <c r="AR338">
        <v>116.4327255</v>
      </c>
      <c r="AS338">
        <v>55</v>
      </c>
      <c r="AT338">
        <v>6.2596099999999997E-3</v>
      </c>
      <c r="AU338">
        <v>1.7553499999999999E-3</v>
      </c>
      <c r="AV338">
        <v>3.9086860000000001E-2</v>
      </c>
      <c r="AW338">
        <v>7.3889510000000005E-2</v>
      </c>
      <c r="AX338">
        <v>7.4854299999999999E-2</v>
      </c>
      <c r="AY338">
        <v>3.8023849999999998E-2</v>
      </c>
      <c r="AZ338">
        <v>3.3752320000000002E-2</v>
      </c>
      <c r="BA338">
        <v>6.3073500000000005E-2</v>
      </c>
      <c r="BB338">
        <v>4.1975400000000003E-2</v>
      </c>
      <c r="BC338">
        <v>2.6842040000000001E-2</v>
      </c>
      <c r="BD338">
        <v>2.2957749999999999E-2</v>
      </c>
      <c r="BE338">
        <v>5.8320179999999999E-2</v>
      </c>
      <c r="BF338">
        <v>0.12060653</v>
      </c>
      <c r="BG338">
        <v>5.5624890000000003E-2</v>
      </c>
      <c r="BH338">
        <v>3.3694809999999999E-2</v>
      </c>
      <c r="BI338">
        <v>4.4625899999999998E-3</v>
      </c>
      <c r="BJ338">
        <v>4.1445849999999999E-2</v>
      </c>
      <c r="BK338">
        <v>0.15616636</v>
      </c>
      <c r="BL338">
        <v>7.8432520000000006E-2</v>
      </c>
      <c r="BM338">
        <v>2.8775780000000001E-2</v>
      </c>
      <c r="BN338">
        <v>0</v>
      </c>
      <c r="BO338">
        <v>252.9450185</v>
      </c>
      <c r="BP338">
        <v>190</v>
      </c>
    </row>
    <row r="339" spans="1:68" x14ac:dyDescent="0.2">
      <c r="A339" t="s">
        <v>904</v>
      </c>
      <c r="B339">
        <v>40</v>
      </c>
      <c r="C339">
        <v>40</v>
      </c>
      <c r="D339">
        <v>266</v>
      </c>
      <c r="E339">
        <v>204</v>
      </c>
      <c r="F339">
        <v>195</v>
      </c>
      <c r="G339">
        <v>311</v>
      </c>
      <c r="H339">
        <v>493</v>
      </c>
      <c r="I339">
        <v>713</v>
      </c>
      <c r="J339">
        <v>527</v>
      </c>
      <c r="K339">
        <v>282</v>
      </c>
      <c r="L339">
        <v>259</v>
      </c>
      <c r="M339">
        <v>275</v>
      </c>
      <c r="N339">
        <v>805</v>
      </c>
      <c r="O339">
        <v>440</v>
      </c>
      <c r="P339">
        <v>265</v>
      </c>
      <c r="Q339">
        <v>16</v>
      </c>
      <c r="R339">
        <v>65</v>
      </c>
      <c r="S339">
        <v>545</v>
      </c>
      <c r="T339">
        <v>335</v>
      </c>
      <c r="U339">
        <v>314</v>
      </c>
      <c r="V339">
        <v>341.68091449999997</v>
      </c>
      <c r="W339">
        <v>179.11706989999999</v>
      </c>
      <c r="X339">
        <v>160.73472390000001</v>
      </c>
      <c r="Y339">
        <v>135.7681226</v>
      </c>
      <c r="Z339">
        <v>115.7845923</v>
      </c>
      <c r="AA339">
        <v>65</v>
      </c>
      <c r="AB339">
        <v>312.81756360000003</v>
      </c>
      <c r="AC339">
        <v>278.0376488</v>
      </c>
      <c r="AD339">
        <v>222.13345849999999</v>
      </c>
      <c r="AE339">
        <v>142.86756990000001</v>
      </c>
      <c r="AF339">
        <v>115.4234876</v>
      </c>
      <c r="AG339">
        <v>55</v>
      </c>
      <c r="AH339">
        <v>292.95307489999999</v>
      </c>
      <c r="AI339">
        <v>251.15779459999999</v>
      </c>
      <c r="AJ339">
        <v>212.47408709999999</v>
      </c>
      <c r="AK339">
        <v>168.09651030000001</v>
      </c>
      <c r="AL339">
        <v>120.69516900000001</v>
      </c>
      <c r="AM339">
        <v>55</v>
      </c>
      <c r="AN339">
        <v>368.40577439999998</v>
      </c>
      <c r="AO339">
        <v>239.43204890000001</v>
      </c>
      <c r="AP339">
        <v>183.74572710000001</v>
      </c>
      <c r="AQ339">
        <v>170.22392790000001</v>
      </c>
      <c r="AR339">
        <v>114.5188737</v>
      </c>
      <c r="AS339">
        <v>55</v>
      </c>
      <c r="AT339">
        <v>5.5107999999999997E-3</v>
      </c>
      <c r="AU339">
        <v>6.7774899999999997E-3</v>
      </c>
      <c r="AV339">
        <v>3.7721499999999998E-2</v>
      </c>
      <c r="AW339">
        <v>2.8660649999999999E-2</v>
      </c>
      <c r="AX339">
        <v>2.5234550000000001E-2</v>
      </c>
      <c r="AY339">
        <v>4.7030250000000003E-2</v>
      </c>
      <c r="AZ339">
        <v>7.8821970000000005E-2</v>
      </c>
      <c r="BA339">
        <v>0.11451863</v>
      </c>
      <c r="BB339">
        <v>8.6089330000000006E-2</v>
      </c>
      <c r="BC339">
        <v>4.1258389999999999E-2</v>
      </c>
      <c r="BD339">
        <v>4.153983E-2</v>
      </c>
      <c r="BE339">
        <v>4.402143E-2</v>
      </c>
      <c r="BF339">
        <v>0.13134222000000001</v>
      </c>
      <c r="BG339">
        <v>7.1236670000000002E-2</v>
      </c>
      <c r="BH339">
        <v>3.8809900000000001E-2</v>
      </c>
      <c r="BI339">
        <v>2.1381799999999999E-3</v>
      </c>
      <c r="BJ339">
        <v>1.059498E-2</v>
      </c>
      <c r="BK339">
        <v>8.800848E-2</v>
      </c>
      <c r="BL339">
        <v>5.3887119999999997E-2</v>
      </c>
      <c r="BM339">
        <v>4.679763E-2</v>
      </c>
      <c r="BN339">
        <v>0</v>
      </c>
      <c r="BO339">
        <v>215.23220800000001</v>
      </c>
      <c r="BP339">
        <v>190</v>
      </c>
    </row>
    <row r="340" spans="1:68" x14ac:dyDescent="0.2">
      <c r="A340" t="s">
        <v>905</v>
      </c>
      <c r="B340">
        <v>46</v>
      </c>
      <c r="C340">
        <v>18</v>
      </c>
      <c r="D340">
        <v>135</v>
      </c>
      <c r="E340">
        <v>185</v>
      </c>
      <c r="F340">
        <v>64</v>
      </c>
      <c r="G340">
        <v>517</v>
      </c>
      <c r="H340">
        <v>460</v>
      </c>
      <c r="I340">
        <v>850</v>
      </c>
      <c r="J340">
        <v>515</v>
      </c>
      <c r="K340">
        <v>196</v>
      </c>
      <c r="L340">
        <v>134</v>
      </c>
      <c r="M340">
        <v>170</v>
      </c>
      <c r="N340">
        <v>638</v>
      </c>
      <c r="O340">
        <v>426</v>
      </c>
      <c r="P340">
        <v>117</v>
      </c>
      <c r="Q340">
        <v>10</v>
      </c>
      <c r="R340">
        <v>20</v>
      </c>
      <c r="S340">
        <v>128</v>
      </c>
      <c r="T340">
        <v>147</v>
      </c>
      <c r="U340">
        <v>94</v>
      </c>
      <c r="V340">
        <v>292.95505250000002</v>
      </c>
      <c r="W340">
        <v>249.0498455</v>
      </c>
      <c r="X340">
        <v>173.80403530000001</v>
      </c>
      <c r="Y340">
        <v>139.8759714</v>
      </c>
      <c r="Z340">
        <v>98.880516240000006</v>
      </c>
      <c r="AA340">
        <v>65</v>
      </c>
      <c r="AB340">
        <v>298.47358880000002</v>
      </c>
      <c r="AC340">
        <v>273.65184290000002</v>
      </c>
      <c r="AD340">
        <v>208.06036119999999</v>
      </c>
      <c r="AE340">
        <v>146.08358290000001</v>
      </c>
      <c r="AF340">
        <v>116.578169</v>
      </c>
      <c r="AG340">
        <v>55</v>
      </c>
      <c r="AH340">
        <v>286.1268336</v>
      </c>
      <c r="AI340">
        <v>265.40462200000002</v>
      </c>
      <c r="AJ340">
        <v>194.74103439999999</v>
      </c>
      <c r="AK340">
        <v>146.81251549999999</v>
      </c>
      <c r="AL340">
        <v>114.31474040000001</v>
      </c>
      <c r="AM340">
        <v>55</v>
      </c>
      <c r="AN340">
        <v>122.82777780000001</v>
      </c>
      <c r="AO340">
        <v>294.71442789999998</v>
      </c>
      <c r="AP340">
        <v>188.93897720000001</v>
      </c>
      <c r="AQ340">
        <v>132.42957609999999</v>
      </c>
      <c r="AR340">
        <v>110.766947</v>
      </c>
      <c r="AS340">
        <v>55</v>
      </c>
      <c r="AT340">
        <v>1.0993589999999999E-2</v>
      </c>
      <c r="AU340">
        <v>4.6873000000000001E-3</v>
      </c>
      <c r="AV340">
        <v>2.9757450000000001E-2</v>
      </c>
      <c r="AW340">
        <v>3.5511330000000001E-2</v>
      </c>
      <c r="AX340">
        <v>1.504104E-2</v>
      </c>
      <c r="AY340">
        <v>0.10457363</v>
      </c>
      <c r="AZ340">
        <v>9.3558050000000004E-2</v>
      </c>
      <c r="BA340">
        <v>0.17423964</v>
      </c>
      <c r="BB340">
        <v>0.10268394</v>
      </c>
      <c r="BC340">
        <v>4.1577280000000001E-2</v>
      </c>
      <c r="BD340">
        <v>2.992239E-2</v>
      </c>
      <c r="BE340">
        <v>3.3495459999999998E-2</v>
      </c>
      <c r="BF340">
        <v>0.13423735000000001</v>
      </c>
      <c r="BG340">
        <v>8.5442710000000005E-2</v>
      </c>
      <c r="BH340">
        <v>2.5200529999999999E-2</v>
      </c>
      <c r="BI340">
        <v>2.0985999999999999E-3</v>
      </c>
      <c r="BJ340">
        <v>4.9815700000000003E-3</v>
      </c>
      <c r="BK340">
        <v>2.5019360000000001E-2</v>
      </c>
      <c r="BL340">
        <v>2.85008E-2</v>
      </c>
      <c r="BM340">
        <v>1.8477980000000001E-2</v>
      </c>
      <c r="BN340">
        <v>0</v>
      </c>
      <c r="BO340">
        <v>252.9450185</v>
      </c>
      <c r="BP340">
        <v>190</v>
      </c>
    </row>
    <row r="341" spans="1:68" x14ac:dyDescent="0.2">
      <c r="A341" t="s">
        <v>906</v>
      </c>
      <c r="B341">
        <v>49</v>
      </c>
      <c r="C341">
        <v>36</v>
      </c>
      <c r="D341">
        <v>239</v>
      </c>
      <c r="E341">
        <v>239</v>
      </c>
      <c r="F341">
        <v>170</v>
      </c>
      <c r="G341">
        <v>303</v>
      </c>
      <c r="H341">
        <v>438</v>
      </c>
      <c r="I341">
        <v>1241</v>
      </c>
      <c r="J341">
        <v>737</v>
      </c>
      <c r="K341">
        <v>287</v>
      </c>
      <c r="L341">
        <v>348</v>
      </c>
      <c r="M341">
        <v>615</v>
      </c>
      <c r="N341">
        <v>1403</v>
      </c>
      <c r="O341">
        <v>641</v>
      </c>
      <c r="P341">
        <v>160</v>
      </c>
      <c r="Q341">
        <v>112</v>
      </c>
      <c r="R341">
        <v>210</v>
      </c>
      <c r="S341">
        <v>1090</v>
      </c>
      <c r="T341">
        <v>605</v>
      </c>
      <c r="U341">
        <v>83</v>
      </c>
      <c r="V341">
        <v>318.96470249999999</v>
      </c>
      <c r="W341">
        <v>247.1510246</v>
      </c>
      <c r="X341">
        <v>196.640129</v>
      </c>
      <c r="Y341">
        <v>142.28815549999999</v>
      </c>
      <c r="Z341">
        <v>120.7787831</v>
      </c>
      <c r="AA341">
        <v>65</v>
      </c>
      <c r="AB341">
        <v>294.29031020000002</v>
      </c>
      <c r="AC341">
        <v>284.05077219999998</v>
      </c>
      <c r="AD341">
        <v>209.20410570000001</v>
      </c>
      <c r="AE341">
        <v>150.14206129999999</v>
      </c>
      <c r="AF341">
        <v>115.57730340000001</v>
      </c>
      <c r="AG341">
        <v>55</v>
      </c>
      <c r="AH341">
        <v>301.21922990000002</v>
      </c>
      <c r="AI341">
        <v>270.01370880000002</v>
      </c>
      <c r="AJ341">
        <v>195.78496910000001</v>
      </c>
      <c r="AK341">
        <v>169.89576510000001</v>
      </c>
      <c r="AL341">
        <v>118.69291269999999</v>
      </c>
      <c r="AM341">
        <v>55</v>
      </c>
      <c r="AN341">
        <v>311.25599130000001</v>
      </c>
      <c r="AO341">
        <v>232.6146119</v>
      </c>
      <c r="AP341">
        <v>188.6273018</v>
      </c>
      <c r="AQ341">
        <v>165.12129400000001</v>
      </c>
      <c r="AR341">
        <v>111.72276669999999</v>
      </c>
      <c r="AS341">
        <v>55</v>
      </c>
      <c r="AT341">
        <v>5.5069200000000002E-3</v>
      </c>
      <c r="AU341">
        <v>4.2751100000000004E-3</v>
      </c>
      <c r="AV341">
        <v>2.589644E-2</v>
      </c>
      <c r="AW341">
        <v>2.7563480000000001E-2</v>
      </c>
      <c r="AX341">
        <v>1.8723380000000001E-2</v>
      </c>
      <c r="AY341">
        <v>3.5275479999999998E-2</v>
      </c>
      <c r="AZ341">
        <v>5.0207050000000003E-2</v>
      </c>
      <c r="BA341">
        <v>0.13709352</v>
      </c>
      <c r="BB341">
        <v>8.6339310000000002E-2</v>
      </c>
      <c r="BC341">
        <v>3.099762E-2</v>
      </c>
      <c r="BD341">
        <v>4.1336249999999998E-2</v>
      </c>
      <c r="BE341">
        <v>6.8438029999999997E-2</v>
      </c>
      <c r="BF341">
        <v>0.15082645</v>
      </c>
      <c r="BG341">
        <v>6.8846199999999996E-2</v>
      </c>
      <c r="BH341">
        <v>1.788729E-2</v>
      </c>
      <c r="BI341">
        <v>1.4564469999999999E-2</v>
      </c>
      <c r="BJ341">
        <v>2.328624E-2</v>
      </c>
      <c r="BK341">
        <v>0.11794919</v>
      </c>
      <c r="BL341">
        <v>6.5913289999999999E-2</v>
      </c>
      <c r="BM341">
        <v>9.0742800000000005E-3</v>
      </c>
      <c r="BN341">
        <v>785</v>
      </c>
      <c r="BO341">
        <v>264.6820932</v>
      </c>
      <c r="BP341">
        <v>190</v>
      </c>
    </row>
    <row r="342" spans="1:68" x14ac:dyDescent="0.2">
      <c r="A342" t="s">
        <v>907</v>
      </c>
      <c r="B342">
        <v>218</v>
      </c>
      <c r="C342">
        <v>104</v>
      </c>
      <c r="D342">
        <v>754</v>
      </c>
      <c r="E342">
        <v>743</v>
      </c>
      <c r="F342">
        <v>335</v>
      </c>
      <c r="G342">
        <v>923</v>
      </c>
      <c r="H342">
        <v>666</v>
      </c>
      <c r="I342">
        <v>1324</v>
      </c>
      <c r="J342">
        <v>893</v>
      </c>
      <c r="K342">
        <v>255</v>
      </c>
      <c r="L342">
        <v>779</v>
      </c>
      <c r="M342">
        <v>1268</v>
      </c>
      <c r="N342">
        <v>2030</v>
      </c>
      <c r="O342">
        <v>720</v>
      </c>
      <c r="P342">
        <v>195</v>
      </c>
      <c r="Q342">
        <v>387</v>
      </c>
      <c r="R342">
        <v>532</v>
      </c>
      <c r="S342">
        <v>1327</v>
      </c>
      <c r="T342">
        <v>916</v>
      </c>
      <c r="U342">
        <v>265</v>
      </c>
      <c r="V342">
        <v>198.77308719999999</v>
      </c>
      <c r="W342">
        <v>206.267718</v>
      </c>
      <c r="X342">
        <v>191.9115755</v>
      </c>
      <c r="Y342">
        <v>138.49425740000001</v>
      </c>
      <c r="Z342">
        <v>108.66121750000001</v>
      </c>
      <c r="AA342">
        <v>65</v>
      </c>
      <c r="AB342">
        <v>308.69124900000003</v>
      </c>
      <c r="AC342">
        <v>296.6733026</v>
      </c>
      <c r="AD342">
        <v>225.08655440000001</v>
      </c>
      <c r="AE342">
        <v>151.25161639999999</v>
      </c>
      <c r="AF342">
        <v>123.577488</v>
      </c>
      <c r="AG342">
        <v>55</v>
      </c>
      <c r="AH342">
        <v>312.51531749999998</v>
      </c>
      <c r="AI342">
        <v>248.0478712</v>
      </c>
      <c r="AJ342">
        <v>197.31631709999999</v>
      </c>
      <c r="AK342">
        <v>162.0904707</v>
      </c>
      <c r="AL342">
        <v>122.16159159999999</v>
      </c>
      <c r="AM342">
        <v>55</v>
      </c>
      <c r="AN342">
        <v>298.10150370000002</v>
      </c>
      <c r="AO342">
        <v>188.1681256</v>
      </c>
      <c r="AP342">
        <v>170.54692929999999</v>
      </c>
      <c r="AQ342">
        <v>158.04154320000001</v>
      </c>
      <c r="AR342">
        <v>111.12675950000001</v>
      </c>
      <c r="AS342">
        <v>55</v>
      </c>
      <c r="AT342">
        <v>1.4980769999999999E-2</v>
      </c>
      <c r="AU342">
        <v>7.5128399999999998E-3</v>
      </c>
      <c r="AV342">
        <v>4.8842780000000002E-2</v>
      </c>
      <c r="AW342">
        <v>5.5581489999999997E-2</v>
      </c>
      <c r="AX342">
        <v>2.5861350000000002E-2</v>
      </c>
      <c r="AY342">
        <v>6.0689130000000001E-2</v>
      </c>
      <c r="AZ342">
        <v>4.4355159999999998E-2</v>
      </c>
      <c r="BA342">
        <v>8.8771929999999999E-2</v>
      </c>
      <c r="BB342">
        <v>6.0893889999999999E-2</v>
      </c>
      <c r="BC342">
        <v>1.929722E-2</v>
      </c>
      <c r="BD342">
        <v>5.2141369999999999E-2</v>
      </c>
      <c r="BE342">
        <v>8.5183629999999996E-2</v>
      </c>
      <c r="BF342">
        <v>0.13306045</v>
      </c>
      <c r="BG342">
        <v>5.025669E-2</v>
      </c>
      <c r="BH342">
        <v>1.5473270000000001E-2</v>
      </c>
      <c r="BI342">
        <v>2.5938760000000002E-2</v>
      </c>
      <c r="BJ342">
        <v>3.5489479999999997E-2</v>
      </c>
      <c r="BK342">
        <v>8.8471800000000003E-2</v>
      </c>
      <c r="BL342">
        <v>6.6441769999999997E-2</v>
      </c>
      <c r="BM342">
        <v>2.0756219999999999E-2</v>
      </c>
      <c r="BN342">
        <v>2081</v>
      </c>
      <c r="BO342">
        <v>244.84378889999999</v>
      </c>
      <c r="BP342">
        <v>190</v>
      </c>
    </row>
    <row r="343" spans="1:68" x14ac:dyDescent="0.2">
      <c r="A343" t="s">
        <v>908</v>
      </c>
      <c r="B343">
        <v>83</v>
      </c>
      <c r="C343">
        <v>43</v>
      </c>
      <c r="D343">
        <v>346</v>
      </c>
      <c r="E343">
        <v>502</v>
      </c>
      <c r="F343">
        <v>456</v>
      </c>
      <c r="G343">
        <v>492</v>
      </c>
      <c r="H343">
        <v>792</v>
      </c>
      <c r="I343">
        <v>1443</v>
      </c>
      <c r="J343">
        <v>1008</v>
      </c>
      <c r="K343">
        <v>477</v>
      </c>
      <c r="L343">
        <v>349</v>
      </c>
      <c r="M343">
        <v>624</v>
      </c>
      <c r="N343">
        <v>1644</v>
      </c>
      <c r="O343">
        <v>980</v>
      </c>
      <c r="P343">
        <v>520</v>
      </c>
      <c r="Q343">
        <v>21</v>
      </c>
      <c r="R343">
        <v>151</v>
      </c>
      <c r="S343">
        <v>1086</v>
      </c>
      <c r="T343">
        <v>1100</v>
      </c>
      <c r="U343">
        <v>576</v>
      </c>
      <c r="V343">
        <v>281.88318249999998</v>
      </c>
      <c r="W343">
        <v>236.0835142</v>
      </c>
      <c r="X343">
        <v>187.1696934</v>
      </c>
      <c r="Y343">
        <v>156.2523095</v>
      </c>
      <c r="Z343">
        <v>117.3563073</v>
      </c>
      <c r="AA343">
        <v>65</v>
      </c>
      <c r="AB343">
        <v>293.75140570000002</v>
      </c>
      <c r="AC343">
        <v>274.34518850000001</v>
      </c>
      <c r="AD343">
        <v>215.99680549999999</v>
      </c>
      <c r="AE343">
        <v>154.3920674</v>
      </c>
      <c r="AF343">
        <v>114.6025367</v>
      </c>
      <c r="AG343">
        <v>55</v>
      </c>
      <c r="AH343">
        <v>298.60591249999999</v>
      </c>
      <c r="AI343">
        <v>254.90739450000001</v>
      </c>
      <c r="AJ343">
        <v>197.89750430000001</v>
      </c>
      <c r="AK343">
        <v>162.1198431</v>
      </c>
      <c r="AL343">
        <v>115.55387039999999</v>
      </c>
      <c r="AM343">
        <v>55</v>
      </c>
      <c r="AN343">
        <v>314.70924150000002</v>
      </c>
      <c r="AO343">
        <v>246.31514619999999</v>
      </c>
      <c r="AP343">
        <v>181.38064399999999</v>
      </c>
      <c r="AQ343">
        <v>156.9118876</v>
      </c>
      <c r="AR343">
        <v>115.69382330000001</v>
      </c>
      <c r="AS343">
        <v>55</v>
      </c>
      <c r="AT343">
        <v>6.3641699999999997E-3</v>
      </c>
      <c r="AU343">
        <v>3.8852399999999999E-3</v>
      </c>
      <c r="AV343">
        <v>2.5921159999999999E-2</v>
      </c>
      <c r="AW343">
        <v>3.9232580000000003E-2</v>
      </c>
      <c r="AX343">
        <v>3.4283960000000002E-2</v>
      </c>
      <c r="AY343">
        <v>3.8323830000000003E-2</v>
      </c>
      <c r="AZ343">
        <v>6.2893240000000003E-2</v>
      </c>
      <c r="BA343">
        <v>0.1089926</v>
      </c>
      <c r="BB343">
        <v>8.4372000000000003E-2</v>
      </c>
      <c r="BC343">
        <v>4.2920010000000001E-2</v>
      </c>
      <c r="BD343">
        <v>2.7671029999999999E-2</v>
      </c>
      <c r="BE343">
        <v>4.6873919999999999E-2</v>
      </c>
      <c r="BF343">
        <v>0.1245999</v>
      </c>
      <c r="BG343">
        <v>7.5234620000000002E-2</v>
      </c>
      <c r="BH343">
        <v>4.5488260000000003E-2</v>
      </c>
      <c r="BI343">
        <v>1.53543E-3</v>
      </c>
      <c r="BJ343">
        <v>1.077287E-2</v>
      </c>
      <c r="BK343">
        <v>8.3977869999999996E-2</v>
      </c>
      <c r="BL343">
        <v>8.4952550000000002E-2</v>
      </c>
      <c r="BM343">
        <v>5.1704760000000002E-2</v>
      </c>
      <c r="BN343">
        <v>704</v>
      </c>
      <c r="BO343">
        <v>233.74794660000001</v>
      </c>
      <c r="BP343">
        <v>190</v>
      </c>
    </row>
    <row r="344" spans="1:68" x14ac:dyDescent="0.2">
      <c r="A344" t="s">
        <v>909</v>
      </c>
      <c r="B344">
        <v>303</v>
      </c>
      <c r="C344">
        <v>79</v>
      </c>
      <c r="D344">
        <v>206</v>
      </c>
      <c r="E344">
        <v>447</v>
      </c>
      <c r="F344">
        <v>286</v>
      </c>
      <c r="G344">
        <v>450</v>
      </c>
      <c r="H344">
        <v>321</v>
      </c>
      <c r="I344">
        <v>588</v>
      </c>
      <c r="J344">
        <v>359</v>
      </c>
      <c r="K344">
        <v>88</v>
      </c>
      <c r="L344">
        <v>586</v>
      </c>
      <c r="M344">
        <v>552</v>
      </c>
      <c r="N344">
        <v>817</v>
      </c>
      <c r="O344">
        <v>349</v>
      </c>
      <c r="P344">
        <v>57</v>
      </c>
      <c r="Q344">
        <v>314</v>
      </c>
      <c r="R344">
        <v>161</v>
      </c>
      <c r="S344">
        <v>504</v>
      </c>
      <c r="T344">
        <v>339</v>
      </c>
      <c r="U344">
        <v>49</v>
      </c>
      <c r="V344">
        <v>250.17394289999999</v>
      </c>
      <c r="W344">
        <v>250.7535048</v>
      </c>
      <c r="X344">
        <v>196.8638498</v>
      </c>
      <c r="Y344">
        <v>156.68047390000001</v>
      </c>
      <c r="Z344">
        <v>95.530346960000003</v>
      </c>
      <c r="AA344">
        <v>65</v>
      </c>
      <c r="AB344">
        <v>298.12496290000001</v>
      </c>
      <c r="AC344">
        <v>285.11440340000001</v>
      </c>
      <c r="AD344">
        <v>239.13893189999999</v>
      </c>
      <c r="AE344">
        <v>153.45170110000001</v>
      </c>
      <c r="AF344">
        <v>114.6271375</v>
      </c>
      <c r="AG344">
        <v>55</v>
      </c>
      <c r="AH344">
        <v>316.29236830000002</v>
      </c>
      <c r="AI344">
        <v>254.70383079999999</v>
      </c>
      <c r="AJ344">
        <v>210.65340180000001</v>
      </c>
      <c r="AK344">
        <v>169.26684750000001</v>
      </c>
      <c r="AL344">
        <v>111.5893839</v>
      </c>
      <c r="AM344">
        <v>55</v>
      </c>
      <c r="AN344">
        <v>287.399361</v>
      </c>
      <c r="AO344">
        <v>268.22674160000003</v>
      </c>
      <c r="AP344">
        <v>203.21987110000001</v>
      </c>
      <c r="AQ344">
        <v>170.85919870000001</v>
      </c>
      <c r="AR344">
        <v>114.1820335</v>
      </c>
      <c r="AS344">
        <v>55</v>
      </c>
      <c r="AT344">
        <v>4.0971929999999997E-2</v>
      </c>
      <c r="AU344">
        <v>1.0827170000000001E-2</v>
      </c>
      <c r="AV344">
        <v>2.9441450000000001E-2</v>
      </c>
      <c r="AW344">
        <v>6.4007330000000001E-2</v>
      </c>
      <c r="AX344">
        <v>5.1233000000000001E-2</v>
      </c>
      <c r="AY344">
        <v>6.7097329999999997E-2</v>
      </c>
      <c r="AZ344">
        <v>4.6198969999999999E-2</v>
      </c>
      <c r="BA344">
        <v>8.5333800000000001E-2</v>
      </c>
      <c r="BB344">
        <v>5.0138910000000002E-2</v>
      </c>
      <c r="BC344">
        <v>1.3918740000000001E-2</v>
      </c>
      <c r="BD344">
        <v>8.2222190000000001E-2</v>
      </c>
      <c r="BE344">
        <v>8.2634970000000002E-2</v>
      </c>
      <c r="BF344">
        <v>0.1174442</v>
      </c>
      <c r="BG344">
        <v>4.8228300000000002E-2</v>
      </c>
      <c r="BH344">
        <v>9.1260999999999998E-3</v>
      </c>
      <c r="BI344">
        <v>4.2227189999999998E-2</v>
      </c>
      <c r="BJ344">
        <v>2.3088870000000001E-2</v>
      </c>
      <c r="BK344">
        <v>8.0127589999999999E-2</v>
      </c>
      <c r="BL344">
        <v>4.767478E-2</v>
      </c>
      <c r="BM344">
        <v>8.0571800000000006E-3</v>
      </c>
      <c r="BN344">
        <v>767</v>
      </c>
      <c r="BO344">
        <v>318.31215309999999</v>
      </c>
      <c r="BP344">
        <v>190</v>
      </c>
    </row>
    <row r="345" spans="1:68" x14ac:dyDescent="0.2">
      <c r="A345" t="s">
        <v>910</v>
      </c>
      <c r="B345">
        <v>66</v>
      </c>
      <c r="C345">
        <v>112</v>
      </c>
      <c r="D345">
        <v>2213</v>
      </c>
      <c r="E345">
        <v>838</v>
      </c>
      <c r="F345">
        <v>519</v>
      </c>
      <c r="G345">
        <v>308</v>
      </c>
      <c r="H345">
        <v>340</v>
      </c>
      <c r="I345">
        <v>766</v>
      </c>
      <c r="J345">
        <v>560</v>
      </c>
      <c r="K345">
        <v>285</v>
      </c>
      <c r="L345">
        <v>441</v>
      </c>
      <c r="M345">
        <v>1006</v>
      </c>
      <c r="N345">
        <v>1727</v>
      </c>
      <c r="O345">
        <v>904</v>
      </c>
      <c r="P345">
        <v>389</v>
      </c>
      <c r="Q345">
        <v>167</v>
      </c>
      <c r="R345">
        <v>1639</v>
      </c>
      <c r="S345">
        <v>3152</v>
      </c>
      <c r="T345">
        <v>1811</v>
      </c>
      <c r="U345">
        <v>643</v>
      </c>
      <c r="V345">
        <v>200.91332259999999</v>
      </c>
      <c r="W345">
        <v>189.4136259</v>
      </c>
      <c r="X345">
        <v>174.9942815</v>
      </c>
      <c r="Y345">
        <v>151.1376449</v>
      </c>
      <c r="Z345">
        <v>135.7468264</v>
      </c>
      <c r="AA345">
        <v>65</v>
      </c>
      <c r="AB345">
        <v>300.59769399999999</v>
      </c>
      <c r="AC345">
        <v>256.06040969999998</v>
      </c>
      <c r="AD345">
        <v>211.50381110000001</v>
      </c>
      <c r="AE345">
        <v>147.5983444</v>
      </c>
      <c r="AF345">
        <v>118.2340454</v>
      </c>
      <c r="AG345">
        <v>55</v>
      </c>
      <c r="AH345">
        <v>302.35327599999999</v>
      </c>
      <c r="AI345">
        <v>259.81956439999999</v>
      </c>
      <c r="AJ345">
        <v>202.76729549999999</v>
      </c>
      <c r="AK345">
        <v>167.7906443</v>
      </c>
      <c r="AL345">
        <v>115.9175994</v>
      </c>
      <c r="AM345">
        <v>55</v>
      </c>
      <c r="AN345">
        <v>270.88511340000002</v>
      </c>
      <c r="AO345">
        <v>250.46870079999999</v>
      </c>
      <c r="AP345">
        <v>195.87020279999999</v>
      </c>
      <c r="AQ345">
        <v>159.861018</v>
      </c>
      <c r="AR345">
        <v>115.5866729</v>
      </c>
      <c r="AS345">
        <v>55</v>
      </c>
      <c r="AT345">
        <v>3.65175E-3</v>
      </c>
      <c r="AU345">
        <v>5.8891000000000004E-3</v>
      </c>
      <c r="AV345">
        <v>0.11733764000000001</v>
      </c>
      <c r="AW345">
        <v>4.724627E-2</v>
      </c>
      <c r="AX345">
        <v>3.1440049999999997E-2</v>
      </c>
      <c r="AY345">
        <v>1.7728649999999999E-2</v>
      </c>
      <c r="AZ345">
        <v>2.1048290000000001E-2</v>
      </c>
      <c r="BA345">
        <v>4.1928350000000003E-2</v>
      </c>
      <c r="BB345">
        <v>3.3944679999999998E-2</v>
      </c>
      <c r="BC345">
        <v>1.981664E-2</v>
      </c>
      <c r="BD345">
        <v>2.4691089999999999E-2</v>
      </c>
      <c r="BE345">
        <v>5.649651E-2</v>
      </c>
      <c r="BF345">
        <v>9.2714870000000005E-2</v>
      </c>
      <c r="BG345">
        <v>5.2589770000000001E-2</v>
      </c>
      <c r="BH345">
        <v>2.5119619999999999E-2</v>
      </c>
      <c r="BI345">
        <v>9.5774599999999994E-3</v>
      </c>
      <c r="BJ345">
        <v>9.0735860000000002E-2</v>
      </c>
      <c r="BK345">
        <v>0.16464106000000001</v>
      </c>
      <c r="BL345">
        <v>0.10103862</v>
      </c>
      <c r="BM345">
        <v>4.2363720000000001E-2</v>
      </c>
      <c r="BN345">
        <v>2026</v>
      </c>
      <c r="BO345">
        <v>269.6586203</v>
      </c>
      <c r="BP345">
        <v>190</v>
      </c>
    </row>
    <row r="346" spans="1:68" x14ac:dyDescent="0.2">
      <c r="A346" t="s">
        <v>911</v>
      </c>
      <c r="B346">
        <v>1561</v>
      </c>
      <c r="C346">
        <v>2825</v>
      </c>
      <c r="D346">
        <v>4839</v>
      </c>
      <c r="E346">
        <v>3174</v>
      </c>
      <c r="F346">
        <v>2013</v>
      </c>
      <c r="G346">
        <v>750</v>
      </c>
      <c r="H346">
        <v>974</v>
      </c>
      <c r="I346">
        <v>1561</v>
      </c>
      <c r="J346">
        <v>1421</v>
      </c>
      <c r="K346">
        <v>315</v>
      </c>
      <c r="L346">
        <v>2088</v>
      </c>
      <c r="M346">
        <v>5104</v>
      </c>
      <c r="N346">
        <v>4268</v>
      </c>
      <c r="O346">
        <v>2252</v>
      </c>
      <c r="P346">
        <v>452</v>
      </c>
      <c r="Q346">
        <v>1936</v>
      </c>
      <c r="R346">
        <v>3193</v>
      </c>
      <c r="S346">
        <v>3522</v>
      </c>
      <c r="T346">
        <v>3554</v>
      </c>
      <c r="U346">
        <v>862</v>
      </c>
      <c r="V346">
        <v>253.092342</v>
      </c>
      <c r="W346">
        <v>231.27861050000001</v>
      </c>
      <c r="X346">
        <v>195.45105219999999</v>
      </c>
      <c r="Y346">
        <v>150.76041269999999</v>
      </c>
      <c r="Z346">
        <v>114.7557418</v>
      </c>
      <c r="AA346">
        <v>65</v>
      </c>
      <c r="AB346">
        <v>311.32951480000003</v>
      </c>
      <c r="AC346">
        <v>288.48651899999999</v>
      </c>
      <c r="AD346">
        <v>225.39628930000001</v>
      </c>
      <c r="AE346">
        <v>149.15376079999999</v>
      </c>
      <c r="AF346">
        <v>116.6380637</v>
      </c>
      <c r="AG346">
        <v>55</v>
      </c>
      <c r="AH346">
        <v>308.68999050000002</v>
      </c>
      <c r="AI346">
        <v>261.10193809999998</v>
      </c>
      <c r="AJ346">
        <v>204.5941053</v>
      </c>
      <c r="AK346">
        <v>161.34874339999999</v>
      </c>
      <c r="AL346">
        <v>113.7020035</v>
      </c>
      <c r="AM346">
        <v>55</v>
      </c>
      <c r="AN346">
        <v>292.8034778</v>
      </c>
      <c r="AO346">
        <v>242.4540988</v>
      </c>
      <c r="AP346">
        <v>181.12357779999999</v>
      </c>
      <c r="AQ346">
        <v>158.35239519999999</v>
      </c>
      <c r="AR346">
        <v>114.1193487</v>
      </c>
      <c r="AS346">
        <v>55</v>
      </c>
      <c r="AT346">
        <v>3.2618479999999998E-2</v>
      </c>
      <c r="AU346">
        <v>6.1626E-2</v>
      </c>
      <c r="AV346">
        <v>9.8756949999999996E-2</v>
      </c>
      <c r="AW346">
        <v>6.6701040000000003E-2</v>
      </c>
      <c r="AX346">
        <v>4.0710839999999998E-2</v>
      </c>
      <c r="AY346">
        <v>1.5191609999999999E-2</v>
      </c>
      <c r="AZ346">
        <v>2.0459660000000001E-2</v>
      </c>
      <c r="BA346">
        <v>3.392966E-2</v>
      </c>
      <c r="BB346">
        <v>3.056273E-2</v>
      </c>
      <c r="BC346">
        <v>6.1937399999999997E-3</v>
      </c>
      <c r="BD346">
        <v>4.4721539999999997E-2</v>
      </c>
      <c r="BE346">
        <v>0.11143145</v>
      </c>
      <c r="BF346">
        <v>9.3821479999999999E-2</v>
      </c>
      <c r="BG346">
        <v>4.9296369999999999E-2</v>
      </c>
      <c r="BH346">
        <v>9.4098600000000008E-3</v>
      </c>
      <c r="BI346">
        <v>4.1302319999999997E-2</v>
      </c>
      <c r="BJ346">
        <v>7.0316169999999997E-2</v>
      </c>
      <c r="BK346">
        <v>7.6411480000000004E-2</v>
      </c>
      <c r="BL346">
        <v>7.8047770000000002E-2</v>
      </c>
      <c r="BM346">
        <v>1.849085E-2</v>
      </c>
      <c r="BN346">
        <v>5476</v>
      </c>
      <c r="BO346">
        <v>263.19485789999999</v>
      </c>
      <c r="BP346">
        <v>190</v>
      </c>
    </row>
    <row r="347" spans="1:68" x14ac:dyDescent="0.2">
      <c r="A347" t="s">
        <v>912</v>
      </c>
      <c r="B347">
        <v>340</v>
      </c>
      <c r="C347">
        <v>96</v>
      </c>
      <c r="D347">
        <v>575</v>
      </c>
      <c r="E347">
        <v>637</v>
      </c>
      <c r="F347">
        <v>701</v>
      </c>
      <c r="G347">
        <v>1074</v>
      </c>
      <c r="H347">
        <v>1084</v>
      </c>
      <c r="I347">
        <v>1824</v>
      </c>
      <c r="J347">
        <v>1434</v>
      </c>
      <c r="K347">
        <v>650</v>
      </c>
      <c r="L347">
        <v>488</v>
      </c>
      <c r="M347">
        <v>1226</v>
      </c>
      <c r="N347">
        <v>2537</v>
      </c>
      <c r="O347">
        <v>1317</v>
      </c>
      <c r="P347">
        <v>520</v>
      </c>
      <c r="Q347">
        <v>82</v>
      </c>
      <c r="R347">
        <v>194</v>
      </c>
      <c r="S347">
        <v>1804</v>
      </c>
      <c r="T347">
        <v>1349</v>
      </c>
      <c r="U347">
        <v>472</v>
      </c>
      <c r="V347">
        <v>264.59488700000003</v>
      </c>
      <c r="W347">
        <v>251.05238399999999</v>
      </c>
      <c r="X347">
        <v>174.25904829999999</v>
      </c>
      <c r="Y347">
        <v>125.6420164</v>
      </c>
      <c r="Z347">
        <v>104.5155932</v>
      </c>
      <c r="AA347">
        <v>65</v>
      </c>
      <c r="AB347">
        <v>305.2467413</v>
      </c>
      <c r="AC347">
        <v>271.68264140000002</v>
      </c>
      <c r="AD347">
        <v>218.33877889999999</v>
      </c>
      <c r="AE347">
        <v>154.98458840000001</v>
      </c>
      <c r="AF347">
        <v>115.26132269999999</v>
      </c>
      <c r="AG347">
        <v>55</v>
      </c>
      <c r="AH347">
        <v>274.73113059999997</v>
      </c>
      <c r="AI347">
        <v>217.9948249</v>
      </c>
      <c r="AJ347">
        <v>178.9379639</v>
      </c>
      <c r="AK347">
        <v>159.1990237</v>
      </c>
      <c r="AL347">
        <v>115.4744548</v>
      </c>
      <c r="AM347">
        <v>55</v>
      </c>
      <c r="AN347">
        <v>279.71866390000002</v>
      </c>
      <c r="AO347">
        <v>219.4491582</v>
      </c>
      <c r="AP347">
        <v>164.7320972</v>
      </c>
      <c r="AQ347">
        <v>162.92285089999999</v>
      </c>
      <c r="AR347">
        <v>117.1721582</v>
      </c>
      <c r="AS347">
        <v>55</v>
      </c>
      <c r="AT347">
        <v>1.7905790000000001E-2</v>
      </c>
      <c r="AU347">
        <v>4.3241499999999997E-3</v>
      </c>
      <c r="AV347">
        <v>3.0068439999999998E-2</v>
      </c>
      <c r="AW347">
        <v>3.5034080000000002E-2</v>
      </c>
      <c r="AX347">
        <v>4.321386E-2</v>
      </c>
      <c r="AY347">
        <v>6.0544800000000003E-2</v>
      </c>
      <c r="AZ347">
        <v>5.8218180000000001E-2</v>
      </c>
      <c r="BA347">
        <v>0.10043668</v>
      </c>
      <c r="BB347">
        <v>7.8023519999999999E-2</v>
      </c>
      <c r="BC347">
        <v>3.5321569999999997E-2</v>
      </c>
      <c r="BD347">
        <v>2.6186549999999999E-2</v>
      </c>
      <c r="BE347">
        <v>6.5774659999999999E-2</v>
      </c>
      <c r="BF347">
        <v>0.13595338000000001</v>
      </c>
      <c r="BG347">
        <v>7.1320889999999998E-2</v>
      </c>
      <c r="BH347">
        <v>2.8918200000000002E-2</v>
      </c>
      <c r="BI347">
        <v>4.3697199999999997E-3</v>
      </c>
      <c r="BJ347">
        <v>1.042744E-2</v>
      </c>
      <c r="BK347">
        <v>9.6078460000000004E-2</v>
      </c>
      <c r="BL347">
        <v>7.1709640000000005E-2</v>
      </c>
      <c r="BM347">
        <v>2.6169990000000001E-2</v>
      </c>
      <c r="BN347">
        <v>1759</v>
      </c>
      <c r="BO347">
        <v>238.78861420000001</v>
      </c>
      <c r="BP347">
        <v>190</v>
      </c>
    </row>
    <row r="348" spans="1:68" x14ac:dyDescent="0.2">
      <c r="A348" t="s">
        <v>913</v>
      </c>
      <c r="B348">
        <v>725</v>
      </c>
      <c r="C348">
        <v>1080</v>
      </c>
      <c r="D348">
        <v>2147</v>
      </c>
      <c r="E348">
        <v>1836</v>
      </c>
      <c r="F348">
        <v>1408</v>
      </c>
      <c r="G348">
        <v>3697</v>
      </c>
      <c r="H348">
        <v>897</v>
      </c>
      <c r="I348">
        <v>1479</v>
      </c>
      <c r="J348">
        <v>3704</v>
      </c>
      <c r="K348">
        <v>949</v>
      </c>
      <c r="L348">
        <v>2951</v>
      </c>
      <c r="M348">
        <v>1509</v>
      </c>
      <c r="N348">
        <v>4853</v>
      </c>
      <c r="O348">
        <v>2367</v>
      </c>
      <c r="P348">
        <v>1263</v>
      </c>
      <c r="Q348">
        <v>2655</v>
      </c>
      <c r="R348">
        <v>1264</v>
      </c>
      <c r="S348">
        <v>4809</v>
      </c>
      <c r="T348">
        <v>1449</v>
      </c>
      <c r="U348">
        <v>666</v>
      </c>
      <c r="V348">
        <v>233.34083999999999</v>
      </c>
      <c r="W348">
        <v>217.81459530000001</v>
      </c>
      <c r="X348">
        <v>195.357495</v>
      </c>
      <c r="Y348">
        <v>164.72246060000001</v>
      </c>
      <c r="Z348">
        <v>120.6161759</v>
      </c>
      <c r="AA348">
        <v>65</v>
      </c>
      <c r="AB348">
        <v>306.90495010000001</v>
      </c>
      <c r="AC348">
        <v>275.6267952</v>
      </c>
      <c r="AD348">
        <v>214.00163850000001</v>
      </c>
      <c r="AE348">
        <v>148.39991140000001</v>
      </c>
      <c r="AF348">
        <v>117.9389539</v>
      </c>
      <c r="AG348">
        <v>55</v>
      </c>
      <c r="AH348">
        <v>300.12823969999999</v>
      </c>
      <c r="AI348">
        <v>260.23815020000001</v>
      </c>
      <c r="AJ348">
        <v>208.1242025</v>
      </c>
      <c r="AK348">
        <v>157.6393109</v>
      </c>
      <c r="AL348">
        <v>117.6611922</v>
      </c>
      <c r="AM348">
        <v>55</v>
      </c>
      <c r="AN348">
        <v>285.12353150000001</v>
      </c>
      <c r="AO348">
        <v>231.8993413</v>
      </c>
      <c r="AP348">
        <v>197.50479619999999</v>
      </c>
      <c r="AQ348">
        <v>153.10367289999999</v>
      </c>
      <c r="AR348">
        <v>116.71815549999999</v>
      </c>
      <c r="AS348">
        <v>55</v>
      </c>
      <c r="AT348">
        <v>1.7174370000000001E-2</v>
      </c>
      <c r="AU348">
        <v>2.5595110000000001E-2</v>
      </c>
      <c r="AV348">
        <v>5.5820040000000001E-2</v>
      </c>
      <c r="AW348">
        <v>4.5560860000000002E-2</v>
      </c>
      <c r="AX348">
        <v>3.3741670000000001E-2</v>
      </c>
      <c r="AY348">
        <v>8.5181010000000001E-2</v>
      </c>
      <c r="AZ348">
        <v>2.159411E-2</v>
      </c>
      <c r="BA348">
        <v>3.5114890000000003E-2</v>
      </c>
      <c r="BB348">
        <v>8.8338840000000002E-2</v>
      </c>
      <c r="BC348">
        <v>2.344251E-2</v>
      </c>
      <c r="BD348">
        <v>7.0452459999999995E-2</v>
      </c>
      <c r="BE348">
        <v>3.5399420000000001E-2</v>
      </c>
      <c r="BF348">
        <v>0.1146648</v>
      </c>
      <c r="BG348">
        <v>5.5319449999999999E-2</v>
      </c>
      <c r="BH348">
        <v>2.8618169999999998E-2</v>
      </c>
      <c r="BI348">
        <v>6.6373329999999994E-2</v>
      </c>
      <c r="BJ348">
        <v>3.077071E-2</v>
      </c>
      <c r="BK348">
        <v>0.11733167999999999</v>
      </c>
      <c r="BL348">
        <v>3.4140919999999998E-2</v>
      </c>
      <c r="BM348">
        <v>1.536565E-2</v>
      </c>
      <c r="BN348">
        <v>4845</v>
      </c>
      <c r="BO348">
        <v>266.63907360000002</v>
      </c>
      <c r="BP348">
        <v>190</v>
      </c>
    </row>
    <row r="349" spans="1:68" x14ac:dyDescent="0.2">
      <c r="A349" t="s">
        <v>914</v>
      </c>
      <c r="B349">
        <v>495</v>
      </c>
      <c r="C349">
        <v>67</v>
      </c>
      <c r="D349">
        <v>146</v>
      </c>
      <c r="E349">
        <v>521</v>
      </c>
      <c r="F349">
        <v>328</v>
      </c>
      <c r="G349">
        <v>513</v>
      </c>
      <c r="H349">
        <v>371</v>
      </c>
      <c r="I349">
        <v>1110</v>
      </c>
      <c r="J349">
        <v>585</v>
      </c>
      <c r="K349">
        <v>234</v>
      </c>
      <c r="L349">
        <v>813</v>
      </c>
      <c r="M349">
        <v>736</v>
      </c>
      <c r="N349">
        <v>1614</v>
      </c>
      <c r="O349">
        <v>497</v>
      </c>
      <c r="P349">
        <v>284</v>
      </c>
      <c r="Q349">
        <v>421</v>
      </c>
      <c r="R349">
        <v>299</v>
      </c>
      <c r="S349">
        <v>1191</v>
      </c>
      <c r="T349">
        <v>605</v>
      </c>
      <c r="U349">
        <v>477</v>
      </c>
      <c r="V349">
        <v>263.10656160000002</v>
      </c>
      <c r="W349">
        <v>258.75620270000002</v>
      </c>
      <c r="X349">
        <v>197.50574219999999</v>
      </c>
      <c r="Y349">
        <v>153.28410980000001</v>
      </c>
      <c r="Z349">
        <v>118.1016743</v>
      </c>
      <c r="AA349">
        <v>65</v>
      </c>
      <c r="AB349">
        <v>304.83209629999999</v>
      </c>
      <c r="AC349">
        <v>278.75956689999998</v>
      </c>
      <c r="AD349">
        <v>221.48106340000001</v>
      </c>
      <c r="AE349">
        <v>148.20697279999999</v>
      </c>
      <c r="AF349">
        <v>112.04698620000001</v>
      </c>
      <c r="AG349">
        <v>55</v>
      </c>
      <c r="AH349">
        <v>302.29937089999999</v>
      </c>
      <c r="AI349">
        <v>281.77379619999999</v>
      </c>
      <c r="AJ349">
        <v>221.38116919999999</v>
      </c>
      <c r="AK349">
        <v>160.316866</v>
      </c>
      <c r="AL349">
        <v>117.3086517</v>
      </c>
      <c r="AM349">
        <v>55</v>
      </c>
      <c r="AN349">
        <v>294.37042480000002</v>
      </c>
      <c r="AO349">
        <v>264.10527980000001</v>
      </c>
      <c r="AP349">
        <v>197.59180520000001</v>
      </c>
      <c r="AQ349">
        <v>165.64803370000001</v>
      </c>
      <c r="AR349">
        <v>114.84796969999999</v>
      </c>
      <c r="AS349">
        <v>55</v>
      </c>
      <c r="AT349">
        <v>4.3271780000000003E-2</v>
      </c>
      <c r="AU349">
        <v>5.4279200000000001E-3</v>
      </c>
      <c r="AV349">
        <v>1.267166E-2</v>
      </c>
      <c r="AW349">
        <v>4.9308520000000002E-2</v>
      </c>
      <c r="AX349">
        <v>2.984966E-2</v>
      </c>
      <c r="AY349">
        <v>4.8444470000000003E-2</v>
      </c>
      <c r="AZ349">
        <v>3.2101270000000001E-2</v>
      </c>
      <c r="BA349">
        <v>9.5234799999999994E-2</v>
      </c>
      <c r="BB349">
        <v>5.2446890000000003E-2</v>
      </c>
      <c r="BC349">
        <v>1.966671E-2</v>
      </c>
      <c r="BD349">
        <v>7.6262479999999994E-2</v>
      </c>
      <c r="BE349">
        <v>6.1560120000000003E-2</v>
      </c>
      <c r="BF349">
        <v>0.1404377</v>
      </c>
      <c r="BG349">
        <v>4.3460060000000002E-2</v>
      </c>
      <c r="BH349">
        <v>2.4302359999999999E-2</v>
      </c>
      <c r="BI349">
        <v>4.0375349999999997E-2</v>
      </c>
      <c r="BJ349">
        <v>2.6551060000000001E-2</v>
      </c>
      <c r="BK349">
        <v>0.10585885</v>
      </c>
      <c r="BL349">
        <v>5.1673230000000001E-2</v>
      </c>
      <c r="BM349">
        <v>4.1095109999999997E-2</v>
      </c>
      <c r="BN349">
        <v>1141</v>
      </c>
      <c r="BO349">
        <v>277.70322800000002</v>
      </c>
      <c r="BP349">
        <v>190</v>
      </c>
    </row>
    <row r="350" spans="1:68" x14ac:dyDescent="0.2">
      <c r="A350" t="s">
        <v>915</v>
      </c>
      <c r="B350">
        <v>278</v>
      </c>
      <c r="C350">
        <v>70</v>
      </c>
      <c r="D350">
        <v>594</v>
      </c>
      <c r="E350">
        <v>781</v>
      </c>
      <c r="F350">
        <v>359</v>
      </c>
      <c r="G350">
        <v>3200</v>
      </c>
      <c r="H350">
        <v>535</v>
      </c>
      <c r="I350">
        <v>856</v>
      </c>
      <c r="J350">
        <v>1784</v>
      </c>
      <c r="K350">
        <v>509</v>
      </c>
      <c r="L350">
        <v>2043</v>
      </c>
      <c r="M350">
        <v>1268</v>
      </c>
      <c r="N350">
        <v>3740</v>
      </c>
      <c r="O350">
        <v>1060</v>
      </c>
      <c r="P350">
        <v>511</v>
      </c>
      <c r="Q350">
        <v>841</v>
      </c>
      <c r="R350">
        <v>552</v>
      </c>
      <c r="S350">
        <v>1645</v>
      </c>
      <c r="T350">
        <v>267</v>
      </c>
      <c r="U350">
        <v>178</v>
      </c>
      <c r="V350">
        <v>203.7211556</v>
      </c>
      <c r="W350">
        <v>195.46526119999999</v>
      </c>
      <c r="X350">
        <v>151.92300230000001</v>
      </c>
      <c r="Y350">
        <v>174.9834899</v>
      </c>
      <c r="Z350">
        <v>119.45750719999999</v>
      </c>
      <c r="AA350">
        <v>65</v>
      </c>
      <c r="AB350">
        <v>316.50520139999998</v>
      </c>
      <c r="AC350">
        <v>290.00859800000001</v>
      </c>
      <c r="AD350">
        <v>216.79918939999999</v>
      </c>
      <c r="AE350">
        <v>146.23366899999999</v>
      </c>
      <c r="AF350">
        <v>123.26052009999999</v>
      </c>
      <c r="AG350">
        <v>55</v>
      </c>
      <c r="AH350">
        <v>308.51616569999999</v>
      </c>
      <c r="AI350">
        <v>242.9095671</v>
      </c>
      <c r="AJ350">
        <v>198.197562</v>
      </c>
      <c r="AK350">
        <v>150.23648589999999</v>
      </c>
      <c r="AL350">
        <v>119.5402947</v>
      </c>
      <c r="AM350">
        <v>55</v>
      </c>
      <c r="AN350">
        <v>284.9844645</v>
      </c>
      <c r="AO350">
        <v>238.4966632</v>
      </c>
      <c r="AP350">
        <v>197.75519420000001</v>
      </c>
      <c r="AQ350">
        <v>150.38499970000001</v>
      </c>
      <c r="AR350">
        <v>119.8587153</v>
      </c>
      <c r="AS350">
        <v>55</v>
      </c>
      <c r="AT350">
        <v>1.375291E-2</v>
      </c>
      <c r="AU350">
        <v>3.2857400000000001E-3</v>
      </c>
      <c r="AV350">
        <v>2.6788360000000001E-2</v>
      </c>
      <c r="AW350">
        <v>3.6845009999999997E-2</v>
      </c>
      <c r="AX350">
        <v>1.739137E-2</v>
      </c>
      <c r="AY350">
        <v>0.15250493000000001</v>
      </c>
      <c r="AZ350">
        <v>2.557475E-2</v>
      </c>
      <c r="BA350">
        <v>4.183195E-2</v>
      </c>
      <c r="BB350">
        <v>8.4863720000000004E-2</v>
      </c>
      <c r="BC350">
        <v>2.4854190000000002E-2</v>
      </c>
      <c r="BD350">
        <v>9.5242889999999997E-2</v>
      </c>
      <c r="BE350">
        <v>5.9347009999999999E-2</v>
      </c>
      <c r="BF350">
        <v>0.18311537999999999</v>
      </c>
      <c r="BG350">
        <v>4.9959539999999997E-2</v>
      </c>
      <c r="BH350">
        <v>2.5322750000000002E-2</v>
      </c>
      <c r="BI350">
        <v>3.825949E-2</v>
      </c>
      <c r="BJ350">
        <v>2.4484929999999999E-2</v>
      </c>
      <c r="BK350">
        <v>7.4925039999999998E-2</v>
      </c>
      <c r="BL350">
        <v>1.2797009999999999E-2</v>
      </c>
      <c r="BM350">
        <v>8.8530299999999996E-3</v>
      </c>
      <c r="BN350">
        <v>1585</v>
      </c>
      <c r="BO350">
        <v>297.2423756</v>
      </c>
      <c r="BP350">
        <v>190</v>
      </c>
    </row>
    <row r="351" spans="1:68" x14ac:dyDescent="0.2">
      <c r="A351" t="s">
        <v>916</v>
      </c>
      <c r="B351">
        <v>437</v>
      </c>
      <c r="C351">
        <v>151</v>
      </c>
      <c r="D351">
        <v>930</v>
      </c>
      <c r="E351">
        <v>559</v>
      </c>
      <c r="F351">
        <v>247</v>
      </c>
      <c r="G351">
        <v>699</v>
      </c>
      <c r="H351">
        <v>645</v>
      </c>
      <c r="I351">
        <v>1587</v>
      </c>
      <c r="J351">
        <v>842</v>
      </c>
      <c r="K351">
        <v>242</v>
      </c>
      <c r="L351">
        <v>1265</v>
      </c>
      <c r="M351">
        <v>1820</v>
      </c>
      <c r="N351">
        <v>2563</v>
      </c>
      <c r="O351">
        <v>817</v>
      </c>
      <c r="P351">
        <v>122</v>
      </c>
      <c r="Q351">
        <v>860</v>
      </c>
      <c r="R351">
        <v>525</v>
      </c>
      <c r="S351">
        <v>1408</v>
      </c>
      <c r="T351">
        <v>768</v>
      </c>
      <c r="U351">
        <v>95</v>
      </c>
      <c r="V351">
        <v>293.2491187</v>
      </c>
      <c r="W351">
        <v>265.7800077</v>
      </c>
      <c r="X351">
        <v>190.8694021</v>
      </c>
      <c r="Y351">
        <v>140.76882520000001</v>
      </c>
      <c r="Z351">
        <v>110.3632497</v>
      </c>
      <c r="AA351">
        <v>65</v>
      </c>
      <c r="AB351">
        <v>319.08910730000002</v>
      </c>
      <c r="AC351">
        <v>283.80609459999999</v>
      </c>
      <c r="AD351">
        <v>218.8203206</v>
      </c>
      <c r="AE351">
        <v>149.97693989999999</v>
      </c>
      <c r="AF351">
        <v>113.0210912</v>
      </c>
      <c r="AG351">
        <v>55</v>
      </c>
      <c r="AH351">
        <v>310.91250070000001</v>
      </c>
      <c r="AI351">
        <v>269.44943560000002</v>
      </c>
      <c r="AJ351">
        <v>212.40461110000001</v>
      </c>
      <c r="AK351">
        <v>162.91337139999999</v>
      </c>
      <c r="AL351">
        <v>136.36908460000001</v>
      </c>
      <c r="AM351">
        <v>55</v>
      </c>
      <c r="AN351">
        <v>290.34199740000003</v>
      </c>
      <c r="AO351">
        <v>262.7507827</v>
      </c>
      <c r="AP351">
        <v>204.09578590000001</v>
      </c>
      <c r="AQ351">
        <v>156.75632630000001</v>
      </c>
      <c r="AR351">
        <v>119.6707305</v>
      </c>
      <c r="AS351">
        <v>55</v>
      </c>
      <c r="AT351">
        <v>2.8240189999999998E-2</v>
      </c>
      <c r="AU351">
        <v>9.3111099999999992E-3</v>
      </c>
      <c r="AV351">
        <v>5.7506469999999997E-2</v>
      </c>
      <c r="AW351">
        <v>3.7385660000000001E-2</v>
      </c>
      <c r="AX351">
        <v>1.6315710000000001E-2</v>
      </c>
      <c r="AY351">
        <v>4.2846009999999997E-2</v>
      </c>
      <c r="AZ351">
        <v>3.795954E-2</v>
      </c>
      <c r="BA351">
        <v>9.5281589999999999E-2</v>
      </c>
      <c r="BB351">
        <v>5.1747349999999998E-2</v>
      </c>
      <c r="BC351">
        <v>1.535679E-2</v>
      </c>
      <c r="BD351">
        <v>7.5476489999999993E-2</v>
      </c>
      <c r="BE351">
        <v>0.10029415999999999</v>
      </c>
      <c r="BF351">
        <v>0.15543504</v>
      </c>
      <c r="BG351">
        <v>5.0407229999999997E-2</v>
      </c>
      <c r="BH351">
        <v>7.8784700000000003E-3</v>
      </c>
      <c r="BI351">
        <v>5.1954680000000003E-2</v>
      </c>
      <c r="BJ351">
        <v>2.8804759999999999E-2</v>
      </c>
      <c r="BK351">
        <v>8.4177230000000006E-2</v>
      </c>
      <c r="BL351">
        <v>4.70531E-2</v>
      </c>
      <c r="BM351">
        <v>6.5684200000000002E-3</v>
      </c>
      <c r="BN351">
        <v>1291</v>
      </c>
      <c r="BO351">
        <v>299.86508789999999</v>
      </c>
      <c r="BP351">
        <v>190</v>
      </c>
    </row>
    <row r="352" spans="1:68" x14ac:dyDescent="0.2">
      <c r="A352" t="s">
        <v>917</v>
      </c>
      <c r="B352">
        <v>206</v>
      </c>
      <c r="C352">
        <v>192</v>
      </c>
      <c r="D352">
        <v>615</v>
      </c>
      <c r="E352">
        <v>761</v>
      </c>
      <c r="F352">
        <v>905</v>
      </c>
      <c r="G352">
        <v>4273</v>
      </c>
      <c r="H352">
        <v>1401</v>
      </c>
      <c r="I352">
        <v>2031</v>
      </c>
      <c r="J352">
        <v>2598</v>
      </c>
      <c r="K352">
        <v>1136</v>
      </c>
      <c r="L352">
        <v>678</v>
      </c>
      <c r="M352">
        <v>1123</v>
      </c>
      <c r="N352">
        <v>3119</v>
      </c>
      <c r="O352">
        <v>2148</v>
      </c>
      <c r="P352">
        <v>1245</v>
      </c>
      <c r="Q352">
        <v>120</v>
      </c>
      <c r="R352">
        <v>357</v>
      </c>
      <c r="S352">
        <v>2748</v>
      </c>
      <c r="T352">
        <v>840</v>
      </c>
      <c r="U352">
        <v>582</v>
      </c>
      <c r="V352">
        <v>201.3942314</v>
      </c>
      <c r="W352">
        <v>173.21302639999999</v>
      </c>
      <c r="X352">
        <v>162.4382344</v>
      </c>
      <c r="Y352">
        <v>149.54095849999999</v>
      </c>
      <c r="Z352">
        <v>82.654304940000003</v>
      </c>
      <c r="AA352">
        <v>65</v>
      </c>
      <c r="AB352">
        <v>315.54684930000002</v>
      </c>
      <c r="AC352">
        <v>280.6011709</v>
      </c>
      <c r="AD352">
        <v>220.95166459999999</v>
      </c>
      <c r="AE352">
        <v>144.28873279999999</v>
      </c>
      <c r="AF352">
        <v>116.94306</v>
      </c>
      <c r="AG352">
        <v>55</v>
      </c>
      <c r="AH352">
        <v>293.0177506</v>
      </c>
      <c r="AI352">
        <v>244.38743869999999</v>
      </c>
      <c r="AJ352">
        <v>197.82725590000001</v>
      </c>
      <c r="AK352">
        <v>161.55452940000001</v>
      </c>
      <c r="AL352">
        <v>113.70400050000001</v>
      </c>
      <c r="AM352">
        <v>55</v>
      </c>
      <c r="AN352">
        <v>306.96552329999997</v>
      </c>
      <c r="AO352">
        <v>213.74136780000001</v>
      </c>
      <c r="AP352">
        <v>190.5337049</v>
      </c>
      <c r="AQ352">
        <v>166.1565421</v>
      </c>
      <c r="AR352">
        <v>110.3278414</v>
      </c>
      <c r="AS352">
        <v>55</v>
      </c>
      <c r="AT352">
        <v>6.9695099999999999E-3</v>
      </c>
      <c r="AU352">
        <v>7.7381300000000002E-3</v>
      </c>
      <c r="AV352">
        <v>2.3207999999999999E-2</v>
      </c>
      <c r="AW352">
        <v>2.696511E-2</v>
      </c>
      <c r="AX352">
        <v>3.3703280000000002E-2</v>
      </c>
      <c r="AY352">
        <v>0.15941143999999999</v>
      </c>
      <c r="AZ352">
        <v>5.4358049999999998E-2</v>
      </c>
      <c r="BA352">
        <v>7.7050019999999997E-2</v>
      </c>
      <c r="BB352">
        <v>0.10110275000000001</v>
      </c>
      <c r="BC352">
        <v>4.0721729999999998E-2</v>
      </c>
      <c r="BD352">
        <v>2.4182450000000001E-2</v>
      </c>
      <c r="BE352">
        <v>4.2066010000000001E-2</v>
      </c>
      <c r="BF352">
        <v>0.11093682000000001</v>
      </c>
      <c r="BG352">
        <v>7.9918400000000001E-2</v>
      </c>
      <c r="BH352">
        <v>4.3357229999999997E-2</v>
      </c>
      <c r="BI352">
        <v>4.4796300000000001E-3</v>
      </c>
      <c r="BJ352">
        <v>1.3716519999999999E-2</v>
      </c>
      <c r="BK352">
        <v>9.7696809999999995E-2</v>
      </c>
      <c r="BL352">
        <v>3.0812119999999998E-2</v>
      </c>
      <c r="BM352">
        <v>2.1605989999999999E-2</v>
      </c>
      <c r="BN352">
        <v>1726</v>
      </c>
      <c r="BO352">
        <v>256.04283939999999</v>
      </c>
      <c r="BP352">
        <v>190</v>
      </c>
    </row>
    <row r="353" spans="1:68" x14ac:dyDescent="0.2">
      <c r="A353" t="s">
        <v>918</v>
      </c>
      <c r="B353">
        <v>234</v>
      </c>
      <c r="C353">
        <v>597</v>
      </c>
      <c r="D353">
        <v>1811</v>
      </c>
      <c r="E353">
        <v>1035</v>
      </c>
      <c r="F353">
        <v>986</v>
      </c>
      <c r="G353">
        <v>3589</v>
      </c>
      <c r="H353">
        <v>748</v>
      </c>
      <c r="I353">
        <v>923</v>
      </c>
      <c r="J353">
        <v>1270</v>
      </c>
      <c r="K353">
        <v>333</v>
      </c>
      <c r="L353">
        <v>1133</v>
      </c>
      <c r="M353">
        <v>1393</v>
      </c>
      <c r="N353">
        <v>2410</v>
      </c>
      <c r="O353">
        <v>862</v>
      </c>
      <c r="P353">
        <v>481</v>
      </c>
      <c r="Q353">
        <v>350</v>
      </c>
      <c r="R353">
        <v>418</v>
      </c>
      <c r="S353">
        <v>3361</v>
      </c>
      <c r="T353">
        <v>483</v>
      </c>
      <c r="U353">
        <v>189</v>
      </c>
      <c r="V353">
        <v>270.67658419999998</v>
      </c>
      <c r="W353">
        <v>262.90226369999999</v>
      </c>
      <c r="X353">
        <v>221.3725412</v>
      </c>
      <c r="Y353">
        <v>168.00015110000001</v>
      </c>
      <c r="Z353">
        <v>116.1649839</v>
      </c>
      <c r="AA353">
        <v>65</v>
      </c>
      <c r="AB353">
        <v>307.70941690000001</v>
      </c>
      <c r="AC353">
        <v>291.13249589999998</v>
      </c>
      <c r="AD353">
        <v>216.46129289999999</v>
      </c>
      <c r="AE353">
        <v>142.02934930000001</v>
      </c>
      <c r="AF353">
        <v>116.4899252</v>
      </c>
      <c r="AG353">
        <v>55</v>
      </c>
      <c r="AH353">
        <v>304.54158919999998</v>
      </c>
      <c r="AI353">
        <v>257.85005760000001</v>
      </c>
      <c r="AJ353">
        <v>214.9622986</v>
      </c>
      <c r="AK353">
        <v>161.89354650000001</v>
      </c>
      <c r="AL353">
        <v>116.0653579</v>
      </c>
      <c r="AM353">
        <v>55</v>
      </c>
      <c r="AN353">
        <v>294.1853979</v>
      </c>
      <c r="AO353">
        <v>261.86095840000002</v>
      </c>
      <c r="AP353">
        <v>204.54413270000001</v>
      </c>
      <c r="AQ353">
        <v>171.2492982</v>
      </c>
      <c r="AR353">
        <v>123.2673836</v>
      </c>
      <c r="AS353">
        <v>55</v>
      </c>
      <c r="AT353">
        <v>3.2026640000000002E-2</v>
      </c>
      <c r="AU353">
        <v>6.4462140000000001E-2</v>
      </c>
      <c r="AV353">
        <v>0.20675749800000001</v>
      </c>
      <c r="AW353">
        <v>0.128239466</v>
      </c>
      <c r="AX353">
        <v>0.106775616</v>
      </c>
      <c r="AY353">
        <v>0.57969424599999997</v>
      </c>
      <c r="AZ353">
        <v>0.10080529100000001</v>
      </c>
      <c r="BA353">
        <v>0.110160653</v>
      </c>
      <c r="BB353">
        <v>0.185204796</v>
      </c>
      <c r="BC353">
        <v>4.9295717000000003E-2</v>
      </c>
      <c r="BD353">
        <v>0.17925579799999999</v>
      </c>
      <c r="BE353">
        <v>0.19364858700000001</v>
      </c>
      <c r="BF353">
        <v>0.30074683499999999</v>
      </c>
      <c r="BG353">
        <v>0.116797018</v>
      </c>
      <c r="BH353">
        <v>6.3798612000000005E-2</v>
      </c>
      <c r="BI353">
        <v>5.3112482000000003E-2</v>
      </c>
      <c r="BJ353">
        <v>4.9656196999999999E-2</v>
      </c>
      <c r="BK353">
        <v>0.40105884400000003</v>
      </c>
      <c r="BL353">
        <v>5.4149095000000001E-2</v>
      </c>
      <c r="BM353">
        <v>2.4354468000000001E-2</v>
      </c>
      <c r="BN353">
        <v>0</v>
      </c>
      <c r="BO353">
        <v>270.58552730000002</v>
      </c>
      <c r="BP353">
        <v>190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37D8A-1325-D747-90B9-3D402087BEFF}">
  <dimension ref="A1:C16"/>
  <sheetViews>
    <sheetView zoomScale="125" workbookViewId="0">
      <pane xSplit="1" ySplit="12" topLeftCell="B13" activePane="bottomRight" state="frozen"/>
      <selection pane="topRight"/>
      <selection pane="bottomLeft"/>
      <selection pane="bottomRight" activeCell="W56" sqref="W56"/>
    </sheetView>
  </sheetViews>
  <sheetFormatPr baseColWidth="10" defaultColWidth="8.83203125" defaultRowHeight="11.25" customHeight="1" x14ac:dyDescent="0.2"/>
  <cols>
    <col min="1" max="1" width="12" style="10" customWidth="1"/>
    <col min="2" max="2" width="10" style="10" customWidth="1"/>
    <col min="3" max="3" width="5" style="10" customWidth="1"/>
    <col min="4" max="16384" width="8.83203125" style="10"/>
  </cols>
  <sheetData>
    <row r="1" spans="1:3" x14ac:dyDescent="0.2">
      <c r="A1" s="9" t="s">
        <v>458</v>
      </c>
    </row>
    <row r="2" spans="1:3" x14ac:dyDescent="0.2">
      <c r="A2" s="9" t="s">
        <v>459</v>
      </c>
      <c r="B2" s="11" t="s">
        <v>460</v>
      </c>
    </row>
    <row r="3" spans="1:3" x14ac:dyDescent="0.2">
      <c r="A3" s="9" t="s">
        <v>461</v>
      </c>
      <c r="B3" s="9" t="s">
        <v>462</v>
      </c>
    </row>
    <row r="4" spans="1:3" x14ac:dyDescent="0.2">
      <c r="A4" s="9"/>
      <c r="B4" s="9"/>
    </row>
    <row r="5" spans="1:3" x14ac:dyDescent="0.2">
      <c r="A5" s="9" t="s">
        <v>394</v>
      </c>
      <c r="B5" s="9" t="s">
        <v>463</v>
      </c>
    </row>
    <row r="6" spans="1:3" x14ac:dyDescent="0.2"/>
    <row r="7" spans="1:3" x14ac:dyDescent="0.2">
      <c r="A7" s="11" t="s">
        <v>464</v>
      </c>
      <c r="C7" s="9" t="s">
        <v>465</v>
      </c>
    </row>
    <row r="8" spans="1:3" x14ac:dyDescent="0.2">
      <c r="A8" s="11" t="s">
        <v>466</v>
      </c>
      <c r="C8" s="9" t="s">
        <v>467</v>
      </c>
    </row>
    <row r="9" spans="1:3" x14ac:dyDescent="0.2">
      <c r="A9" s="11" t="s">
        <v>468</v>
      </c>
      <c r="C9" s="9" t="s">
        <v>469</v>
      </c>
    </row>
    <row r="10" spans="1:3" x14ac:dyDescent="0.2"/>
    <row r="11" spans="1:3" x14ac:dyDescent="0.2">
      <c r="A11" s="12" t="s">
        <v>470</v>
      </c>
      <c r="B11" s="34" t="s">
        <v>471</v>
      </c>
      <c r="C11" s="34" t="s">
        <v>472</v>
      </c>
    </row>
    <row r="12" spans="1:3" x14ac:dyDescent="0.2">
      <c r="A12" s="13" t="s">
        <v>473</v>
      </c>
      <c r="B12" s="14" t="s">
        <v>472</v>
      </c>
      <c r="C12" s="14" t="s">
        <v>472</v>
      </c>
    </row>
    <row r="13" spans="1:3" x14ac:dyDescent="0.2">
      <c r="A13" s="15" t="s">
        <v>37</v>
      </c>
      <c r="B13" s="16">
        <v>9067393</v>
      </c>
      <c r="C13" s="16" t="s">
        <v>472</v>
      </c>
    </row>
    <row r="15" spans="1:3" x14ac:dyDescent="0.2">
      <c r="A15" s="11" t="s">
        <v>474</v>
      </c>
    </row>
    <row r="16" spans="1:3" x14ac:dyDescent="0.2">
      <c r="A16" s="11" t="s">
        <v>475</v>
      </c>
      <c r="B16" s="9" t="s">
        <v>476</v>
      </c>
    </row>
  </sheetData>
  <mergeCells count="1">
    <mergeCell ref="B11:C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41917-5A5F-004C-8FB4-B419A8009854}">
  <dimension ref="A1:C20"/>
  <sheetViews>
    <sheetView workbookViewId="0">
      <pane xSplit="1" ySplit="12" topLeftCell="B13" activePane="bottomRight" state="frozen"/>
      <selection pane="topRight"/>
      <selection pane="bottomLeft"/>
      <selection pane="bottomRight" activeCell="Z53" sqref="Z53"/>
    </sheetView>
  </sheetViews>
  <sheetFormatPr baseColWidth="10" defaultColWidth="8.83203125" defaultRowHeight="11.25" customHeight="1" x14ac:dyDescent="0.2"/>
  <cols>
    <col min="1" max="1" width="26.83203125" style="10" customWidth="1"/>
    <col min="2" max="2" width="10" style="10" customWidth="1"/>
    <col min="3" max="3" width="5" style="10" customWidth="1"/>
    <col min="4" max="16384" width="8.83203125" style="10"/>
  </cols>
  <sheetData>
    <row r="1" spans="1:3" x14ac:dyDescent="0.2">
      <c r="A1" s="9" t="s">
        <v>477</v>
      </c>
    </row>
    <row r="2" spans="1:3" x14ac:dyDescent="0.2">
      <c r="A2" s="9" t="s">
        <v>459</v>
      </c>
      <c r="B2" s="11" t="s">
        <v>478</v>
      </c>
    </row>
    <row r="3" spans="1:3" x14ac:dyDescent="0.2">
      <c r="A3" s="9" t="s">
        <v>461</v>
      </c>
      <c r="B3" s="9" t="s">
        <v>462</v>
      </c>
    </row>
    <row r="4" spans="1:3" x14ac:dyDescent="0.2">
      <c r="A4" s="9"/>
      <c r="B4" s="9"/>
    </row>
    <row r="5" spans="1:3" x14ac:dyDescent="0.2">
      <c r="A5" s="9" t="s">
        <v>394</v>
      </c>
      <c r="B5" s="17" t="s">
        <v>479</v>
      </c>
    </row>
    <row r="6" spans="1:3" x14ac:dyDescent="0.2"/>
    <row r="7" spans="1:3" x14ac:dyDescent="0.2">
      <c r="A7" s="11" t="s">
        <v>464</v>
      </c>
      <c r="C7" s="9" t="s">
        <v>465</v>
      </c>
    </row>
    <row r="8" spans="1:3" x14ac:dyDescent="0.2">
      <c r="A8" s="11" t="s">
        <v>466</v>
      </c>
      <c r="C8" s="9" t="s">
        <v>467</v>
      </c>
    </row>
    <row r="9" spans="1:3" x14ac:dyDescent="0.2">
      <c r="A9" s="11" t="s">
        <v>480</v>
      </c>
      <c r="C9" s="9" t="s">
        <v>37</v>
      </c>
    </row>
    <row r="10" spans="1:3" x14ac:dyDescent="0.2"/>
    <row r="11" spans="1:3" x14ac:dyDescent="0.2">
      <c r="A11" s="12" t="s">
        <v>470</v>
      </c>
      <c r="B11" s="34" t="s">
        <v>471</v>
      </c>
      <c r="C11" s="34" t="s">
        <v>472</v>
      </c>
    </row>
    <row r="12" spans="1:3" x14ac:dyDescent="0.2">
      <c r="A12" s="13" t="s">
        <v>481</v>
      </c>
      <c r="B12" s="14" t="s">
        <v>472</v>
      </c>
      <c r="C12" s="14" t="s">
        <v>472</v>
      </c>
    </row>
    <row r="13" spans="1:3" x14ac:dyDescent="0.2">
      <c r="A13" s="15" t="s">
        <v>469</v>
      </c>
      <c r="B13" s="16">
        <v>8675</v>
      </c>
      <c r="C13" s="16" t="s">
        <v>472</v>
      </c>
    </row>
    <row r="14" spans="1:3" x14ac:dyDescent="0.2">
      <c r="A14" s="15" t="s">
        <v>482</v>
      </c>
      <c r="B14" s="18" t="s">
        <v>475</v>
      </c>
      <c r="C14" s="18" t="s">
        <v>472</v>
      </c>
    </row>
    <row r="15" spans="1:3" x14ac:dyDescent="0.2">
      <c r="A15" s="15" t="s">
        <v>483</v>
      </c>
      <c r="B15" s="16" t="s">
        <v>475</v>
      </c>
      <c r="C15" s="16" t="s">
        <v>472</v>
      </c>
    </row>
    <row r="16" spans="1:3" x14ac:dyDescent="0.2">
      <c r="A16" s="15" t="s">
        <v>484</v>
      </c>
      <c r="B16" s="18" t="s">
        <v>475</v>
      </c>
      <c r="C16" s="18" t="s">
        <v>472</v>
      </c>
    </row>
    <row r="17" spans="1:3" x14ac:dyDescent="0.2">
      <c r="A17" s="15" t="s">
        <v>485</v>
      </c>
      <c r="B17" s="16" t="s">
        <v>475</v>
      </c>
      <c r="C17" s="16" t="s">
        <v>472</v>
      </c>
    </row>
    <row r="19" spans="1:3" x14ac:dyDescent="0.2">
      <c r="A19" s="11" t="s">
        <v>474</v>
      </c>
    </row>
    <row r="20" spans="1:3" x14ac:dyDescent="0.2">
      <c r="A20" s="11" t="s">
        <v>475</v>
      </c>
      <c r="B20" s="9" t="s">
        <v>476</v>
      </c>
    </row>
  </sheetData>
  <mergeCells count="1">
    <mergeCell ref="B11:C11"/>
  </mergeCells>
  <hyperlinks>
    <hyperlink ref="B5" r:id="rId1" xr:uid="{4CA9618E-AE04-0942-9722-AE994DDBBF8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FC032-1C19-074E-9300-823FB5A984E8}">
  <dimension ref="A1:C18"/>
  <sheetViews>
    <sheetView zoomScale="125" workbookViewId="0">
      <pane xSplit="1" ySplit="13" topLeftCell="B14" activePane="bottomRight" state="frozen"/>
      <selection pane="topRight"/>
      <selection pane="bottomLeft"/>
      <selection pane="bottomRight" activeCell="E31" sqref="E31"/>
    </sheetView>
  </sheetViews>
  <sheetFormatPr baseColWidth="10" defaultColWidth="8.83203125" defaultRowHeight="11.25" customHeight="1" x14ac:dyDescent="0.2"/>
  <cols>
    <col min="1" max="1" width="29.83203125" style="10" customWidth="1"/>
    <col min="2" max="2" width="10" style="10" customWidth="1"/>
    <col min="3" max="3" width="5" style="10" customWidth="1"/>
    <col min="4" max="16384" width="8.83203125" style="10"/>
  </cols>
  <sheetData>
    <row r="1" spans="1:3" x14ac:dyDescent="0.2">
      <c r="A1" s="9" t="s">
        <v>486</v>
      </c>
    </row>
    <row r="2" spans="1:3" x14ac:dyDescent="0.2">
      <c r="A2" s="9" t="s">
        <v>459</v>
      </c>
      <c r="B2" s="11" t="s">
        <v>487</v>
      </c>
    </row>
    <row r="3" spans="1:3" x14ac:dyDescent="0.2">
      <c r="A3" s="9" t="s">
        <v>461</v>
      </c>
      <c r="B3" s="9" t="s">
        <v>462</v>
      </c>
    </row>
    <row r="4" spans="1:3" x14ac:dyDescent="0.2">
      <c r="A4" s="9"/>
      <c r="B4" s="9"/>
    </row>
    <row r="5" spans="1:3" x14ac:dyDescent="0.2">
      <c r="A5" s="9" t="s">
        <v>394</v>
      </c>
      <c r="B5" s="9" t="s">
        <v>488</v>
      </c>
    </row>
    <row r="6" spans="1:3" x14ac:dyDescent="0.2"/>
    <row r="7" spans="1:3" x14ac:dyDescent="0.2">
      <c r="A7" s="11" t="s">
        <v>464</v>
      </c>
      <c r="C7" s="9" t="s">
        <v>465</v>
      </c>
    </row>
    <row r="8" spans="1:3" x14ac:dyDescent="0.2">
      <c r="A8" s="11" t="s">
        <v>466</v>
      </c>
      <c r="C8" s="9" t="s">
        <v>467</v>
      </c>
    </row>
    <row r="9" spans="1:3" x14ac:dyDescent="0.2">
      <c r="A9" s="11" t="s">
        <v>489</v>
      </c>
      <c r="C9" s="9" t="s">
        <v>469</v>
      </c>
    </row>
    <row r="10" spans="1:3" x14ac:dyDescent="0.2">
      <c r="A10" s="11" t="s">
        <v>480</v>
      </c>
      <c r="C10" s="9" t="s">
        <v>37</v>
      </c>
    </row>
    <row r="11" spans="1:3" x14ac:dyDescent="0.2"/>
    <row r="12" spans="1:3" x14ac:dyDescent="0.2">
      <c r="A12" s="12" t="s">
        <v>470</v>
      </c>
      <c r="B12" s="34" t="s">
        <v>471</v>
      </c>
      <c r="C12" s="34" t="s">
        <v>472</v>
      </c>
    </row>
    <row r="13" spans="1:3" x14ac:dyDescent="0.2">
      <c r="A13" s="13" t="s">
        <v>481</v>
      </c>
      <c r="B13" s="14" t="s">
        <v>472</v>
      </c>
      <c r="C13" s="14" t="s">
        <v>472</v>
      </c>
    </row>
    <row r="14" spans="1:3" x14ac:dyDescent="0.2">
      <c r="A14" s="15" t="s">
        <v>490</v>
      </c>
      <c r="B14" s="18">
        <v>61521</v>
      </c>
      <c r="C14" s="18" t="s">
        <v>472</v>
      </c>
    </row>
    <row r="15" spans="1:3" x14ac:dyDescent="0.2">
      <c r="A15" s="15" t="s">
        <v>491</v>
      </c>
      <c r="B15" s="16">
        <v>1006477</v>
      </c>
      <c r="C15" s="16" t="s">
        <v>472</v>
      </c>
    </row>
    <row r="17" spans="1:2" x14ac:dyDescent="0.2">
      <c r="A17" s="11" t="s">
        <v>474</v>
      </c>
    </row>
    <row r="18" spans="1:2" x14ac:dyDescent="0.2">
      <c r="A18" s="11" t="s">
        <v>475</v>
      </c>
      <c r="B18" s="9" t="s">
        <v>476</v>
      </c>
    </row>
  </sheetData>
  <mergeCells count="1">
    <mergeCell ref="B12:C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0004E-8F87-6942-BDB3-A72AC870E7D0}">
  <dimension ref="A1:P13"/>
  <sheetViews>
    <sheetView workbookViewId="0">
      <selection activeCell="C10" sqref="C10"/>
    </sheetView>
  </sheetViews>
  <sheetFormatPr baseColWidth="10" defaultRowHeight="16" x14ac:dyDescent="0.2"/>
  <cols>
    <col min="3" max="16" width="30.33203125" customWidth="1"/>
  </cols>
  <sheetData>
    <row r="1" spans="1:16" x14ac:dyDescent="0.2">
      <c r="A1" t="s">
        <v>424</v>
      </c>
    </row>
    <row r="3" spans="1:16" x14ac:dyDescent="0.2">
      <c r="C3" t="s">
        <v>425</v>
      </c>
    </row>
    <row r="4" spans="1:16" x14ac:dyDescent="0.2">
      <c r="C4" t="s">
        <v>426</v>
      </c>
      <c r="D4" t="s">
        <v>427</v>
      </c>
      <c r="E4" t="s">
        <v>428</v>
      </c>
      <c r="F4" t="s">
        <v>429</v>
      </c>
      <c r="G4" t="s">
        <v>430</v>
      </c>
      <c r="H4" t="s">
        <v>431</v>
      </c>
      <c r="I4" t="s">
        <v>432</v>
      </c>
      <c r="J4" t="s">
        <v>433</v>
      </c>
      <c r="K4" t="s">
        <v>434</v>
      </c>
      <c r="L4" t="s">
        <v>435</v>
      </c>
      <c r="M4" t="s">
        <v>436</v>
      </c>
      <c r="N4" t="s">
        <v>437</v>
      </c>
      <c r="O4" t="s">
        <v>438</v>
      </c>
      <c r="P4" t="s">
        <v>439</v>
      </c>
    </row>
    <row r="5" spans="1:16" x14ac:dyDescent="0.2">
      <c r="A5" t="s">
        <v>440</v>
      </c>
      <c r="B5" t="s">
        <v>441</v>
      </c>
      <c r="C5" t="s">
        <v>442</v>
      </c>
      <c r="D5" t="s">
        <v>443</v>
      </c>
      <c r="E5" t="s">
        <v>410</v>
      </c>
      <c r="F5" t="s">
        <v>410</v>
      </c>
      <c r="G5" t="s">
        <v>410</v>
      </c>
      <c r="H5" t="s">
        <v>410</v>
      </c>
      <c r="I5" t="s">
        <v>410</v>
      </c>
      <c r="J5" t="s">
        <v>410</v>
      </c>
      <c r="K5" t="s">
        <v>410</v>
      </c>
      <c r="L5" t="s">
        <v>444</v>
      </c>
      <c r="M5" t="s">
        <v>444</v>
      </c>
      <c r="N5" t="s">
        <v>444</v>
      </c>
      <c r="O5" t="s">
        <v>444</v>
      </c>
      <c r="P5" t="s">
        <v>444</v>
      </c>
    </row>
    <row r="6" spans="1:16" x14ac:dyDescent="0.2">
      <c r="A6" t="s">
        <v>445</v>
      </c>
      <c r="B6">
        <v>2019</v>
      </c>
      <c r="C6">
        <v>17282163</v>
      </c>
      <c r="D6">
        <v>181631846</v>
      </c>
      <c r="E6">
        <v>29.3</v>
      </c>
      <c r="F6">
        <v>5.0999999999999996</v>
      </c>
      <c r="G6">
        <v>0.5</v>
      </c>
      <c r="H6">
        <v>38</v>
      </c>
      <c r="I6">
        <v>4.2</v>
      </c>
      <c r="J6">
        <v>11.9</v>
      </c>
      <c r="K6">
        <v>10.9</v>
      </c>
      <c r="L6">
        <v>41543.379999999997</v>
      </c>
      <c r="M6">
        <v>33671.089999999997</v>
      </c>
      <c r="N6">
        <v>7872.28</v>
      </c>
      <c r="O6">
        <v>3719.65</v>
      </c>
      <c r="P6">
        <v>4152.6400000000003</v>
      </c>
    </row>
    <row r="7" spans="1:16" x14ac:dyDescent="0.2">
      <c r="A7" t="s">
        <v>445</v>
      </c>
      <c r="B7">
        <v>2020</v>
      </c>
      <c r="C7">
        <v>17407585</v>
      </c>
      <c r="D7">
        <v>181445084</v>
      </c>
      <c r="E7">
        <v>29</v>
      </c>
      <c r="F7">
        <v>5.0999999999999996</v>
      </c>
      <c r="G7">
        <v>0.6</v>
      </c>
      <c r="H7">
        <v>38.299999999999997</v>
      </c>
      <c r="I7">
        <v>4.3</v>
      </c>
      <c r="J7">
        <v>11.3</v>
      </c>
      <c r="K7">
        <v>11.4</v>
      </c>
      <c r="L7">
        <v>41543.379999999997</v>
      </c>
      <c r="M7">
        <v>33671.089999999997</v>
      </c>
      <c r="N7">
        <v>7872.28</v>
      </c>
      <c r="O7">
        <v>3719.65</v>
      </c>
      <c r="P7">
        <v>4152.6400000000003</v>
      </c>
    </row>
    <row r="8" spans="1:16" x14ac:dyDescent="0.2">
      <c r="A8" t="s">
        <v>445</v>
      </c>
      <c r="B8">
        <v>2021</v>
      </c>
      <c r="C8">
        <v>17475415</v>
      </c>
      <c r="D8">
        <v>181191192</v>
      </c>
      <c r="E8">
        <v>29</v>
      </c>
      <c r="F8">
        <v>5.2</v>
      </c>
      <c r="G8">
        <v>0.6</v>
      </c>
      <c r="H8">
        <v>38</v>
      </c>
      <c r="I8">
        <v>4.5</v>
      </c>
      <c r="J8">
        <v>11.7</v>
      </c>
      <c r="K8">
        <v>10.9</v>
      </c>
      <c r="L8">
        <v>41543.379999999997</v>
      </c>
      <c r="M8">
        <v>33671.089999999997</v>
      </c>
      <c r="N8">
        <v>7872.28</v>
      </c>
      <c r="O8">
        <v>3719.65</v>
      </c>
      <c r="P8">
        <v>4152.6400000000003</v>
      </c>
    </row>
    <row r="9" spans="1:16" x14ac:dyDescent="0.2">
      <c r="A9" t="s">
        <v>445</v>
      </c>
      <c r="B9">
        <v>2022</v>
      </c>
      <c r="C9">
        <v>17590672</v>
      </c>
      <c r="D9">
        <v>180436921</v>
      </c>
      <c r="E9">
        <v>29.6</v>
      </c>
      <c r="F9">
        <v>5.3</v>
      </c>
      <c r="G9">
        <v>0.6</v>
      </c>
      <c r="H9">
        <v>37.700000000000003</v>
      </c>
      <c r="I9">
        <v>4.5999999999999996</v>
      </c>
      <c r="J9">
        <v>11.4</v>
      </c>
      <c r="K9">
        <v>10.8</v>
      </c>
      <c r="L9">
        <v>41543.370000000003</v>
      </c>
      <c r="M9">
        <v>33647.230000000003</v>
      </c>
      <c r="N9">
        <v>7896.14</v>
      </c>
      <c r="O9">
        <v>3744.03</v>
      </c>
      <c r="P9">
        <v>4152.1099999999997</v>
      </c>
    </row>
    <row r="10" spans="1:16" x14ac:dyDescent="0.2">
      <c r="A10" t="s">
        <v>445</v>
      </c>
      <c r="B10">
        <v>2023</v>
      </c>
      <c r="C10">
        <v>17811291</v>
      </c>
      <c r="D10">
        <v>180300396</v>
      </c>
      <c r="E10">
        <v>30.4</v>
      </c>
      <c r="F10">
        <v>5.0999999999999996</v>
      </c>
      <c r="G10">
        <v>0.6</v>
      </c>
      <c r="H10">
        <v>37.1</v>
      </c>
      <c r="I10">
        <v>5</v>
      </c>
      <c r="J10">
        <v>11.1</v>
      </c>
      <c r="K10">
        <v>10.8</v>
      </c>
      <c r="L10">
        <v>41543.370000000003</v>
      </c>
      <c r="M10">
        <v>33647.230000000003</v>
      </c>
      <c r="N10">
        <v>7896.14</v>
      </c>
      <c r="O10">
        <v>3744.03</v>
      </c>
      <c r="P10">
        <v>4152.1099999999997</v>
      </c>
    </row>
    <row r="11" spans="1:16" x14ac:dyDescent="0.2">
      <c r="A11" t="s">
        <v>446</v>
      </c>
    </row>
    <row r="13" spans="1:16" x14ac:dyDescent="0.2">
      <c r="A13" t="s">
        <v>394</v>
      </c>
      <c r="B13" s="1" t="s">
        <v>447</v>
      </c>
    </row>
  </sheetData>
  <hyperlinks>
    <hyperlink ref="B13" r:id="rId1" location="/CBS/nl/dataset/70072ned/table?dl=C2207" xr:uid="{A2750A75-FCA0-454C-8B4D-54C52EC10D8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FF9A4-CE6F-7B4A-9CDB-8DBB6D22BD4C}">
  <dimension ref="A1:R593"/>
  <sheetViews>
    <sheetView topLeftCell="E1" workbookViewId="0">
      <pane ySplit="1" topLeftCell="A2" activePane="bottomLeft" state="frozen"/>
      <selection pane="bottomLeft" activeCell="L33" sqref="L33"/>
    </sheetView>
  </sheetViews>
  <sheetFormatPr baseColWidth="10" defaultRowHeight="16" x14ac:dyDescent="0.2"/>
  <cols>
    <col min="4" max="4" width="45.1640625" bestFit="1" customWidth="1"/>
    <col min="5" max="5" width="17.33203125" bestFit="1" customWidth="1"/>
    <col min="6" max="6" width="100.6640625" bestFit="1" customWidth="1"/>
    <col min="8" max="8" width="16.5" bestFit="1" customWidth="1"/>
  </cols>
  <sheetData>
    <row r="1" spans="1:18" x14ac:dyDescent="0.2">
      <c r="A1" t="s">
        <v>23</v>
      </c>
      <c r="B1" t="s">
        <v>24</v>
      </c>
      <c r="C1" t="s">
        <v>25</v>
      </c>
      <c r="D1" t="s">
        <v>26</v>
      </c>
      <c r="E1" t="s">
        <v>27</v>
      </c>
      <c r="F1" t="s">
        <v>28</v>
      </c>
      <c r="G1" t="s">
        <v>29</v>
      </c>
      <c r="H1" t="s">
        <v>30</v>
      </c>
      <c r="I1" t="s">
        <v>31</v>
      </c>
      <c r="J1" t="s">
        <v>32</v>
      </c>
      <c r="K1" t="s">
        <v>33</v>
      </c>
      <c r="L1" t="s">
        <v>34</v>
      </c>
      <c r="M1" t="s">
        <v>35</v>
      </c>
      <c r="O1" t="s">
        <v>421</v>
      </c>
      <c r="P1" t="s">
        <v>422</v>
      </c>
      <c r="R1" t="s">
        <v>390</v>
      </c>
    </row>
    <row r="2" spans="1:18" x14ac:dyDescent="0.2">
      <c r="A2" t="s">
        <v>36</v>
      </c>
      <c r="B2" t="s">
        <v>37</v>
      </c>
      <c r="C2" t="s">
        <v>38</v>
      </c>
      <c r="D2" t="s">
        <v>39</v>
      </c>
      <c r="E2">
        <v>1</v>
      </c>
      <c r="F2" t="s">
        <v>40</v>
      </c>
      <c r="G2" t="s">
        <v>41</v>
      </c>
      <c r="H2" t="s">
        <v>42</v>
      </c>
      <c r="I2">
        <v>2023</v>
      </c>
      <c r="J2">
        <v>76.274640000000005</v>
      </c>
      <c r="L2">
        <v>20250315</v>
      </c>
      <c r="M2" t="s">
        <v>43</v>
      </c>
      <c r="O2">
        <f>IF(OR(G2=2,G2=3,G2=5,G2=6),1,0)</f>
        <v>0</v>
      </c>
      <c r="R2" s="1" t="s">
        <v>391</v>
      </c>
    </row>
    <row r="3" spans="1:18" x14ac:dyDescent="0.2">
      <c r="A3" t="s">
        <v>36</v>
      </c>
      <c r="B3" t="s">
        <v>37</v>
      </c>
      <c r="C3" t="s">
        <v>38</v>
      </c>
      <c r="D3" t="s">
        <v>44</v>
      </c>
      <c r="E3">
        <v>1</v>
      </c>
      <c r="F3" t="s">
        <v>40</v>
      </c>
      <c r="G3" t="s">
        <v>41</v>
      </c>
      <c r="H3" t="s">
        <v>42</v>
      </c>
      <c r="I3">
        <v>2023</v>
      </c>
      <c r="J3">
        <v>105578.86401</v>
      </c>
      <c r="L3">
        <v>20250315</v>
      </c>
      <c r="M3" t="s">
        <v>43</v>
      </c>
      <c r="O3">
        <f t="shared" ref="O3:O66" si="0">IF(OR(G3=2,G3=3,G3=5,G3=6),1,0)</f>
        <v>0</v>
      </c>
    </row>
    <row r="4" spans="1:18" x14ac:dyDescent="0.2">
      <c r="A4" t="s">
        <v>36</v>
      </c>
      <c r="B4" t="s">
        <v>37</v>
      </c>
      <c r="C4" t="s">
        <v>38</v>
      </c>
      <c r="D4" t="s">
        <v>45</v>
      </c>
      <c r="E4">
        <v>1</v>
      </c>
      <c r="F4" t="s">
        <v>40</v>
      </c>
      <c r="G4" t="s">
        <v>41</v>
      </c>
      <c r="H4" t="s">
        <v>46</v>
      </c>
      <c r="I4">
        <v>2023</v>
      </c>
      <c r="J4">
        <v>108310.96831</v>
      </c>
      <c r="L4">
        <v>20250315</v>
      </c>
      <c r="M4" t="s">
        <v>43</v>
      </c>
      <c r="O4">
        <f t="shared" si="0"/>
        <v>0</v>
      </c>
    </row>
    <row r="5" spans="1:18" x14ac:dyDescent="0.2">
      <c r="A5" t="s">
        <v>36</v>
      </c>
      <c r="B5" t="s">
        <v>37</v>
      </c>
      <c r="C5" t="s">
        <v>38</v>
      </c>
      <c r="D5" t="s">
        <v>47</v>
      </c>
      <c r="E5">
        <v>1</v>
      </c>
      <c r="F5" t="s">
        <v>40</v>
      </c>
      <c r="G5" t="s">
        <v>41</v>
      </c>
      <c r="H5" t="s">
        <v>42</v>
      </c>
      <c r="I5">
        <v>2023</v>
      </c>
      <c r="J5">
        <v>2.2506200000000001</v>
      </c>
      <c r="L5">
        <v>20250315</v>
      </c>
      <c r="M5" t="s">
        <v>43</v>
      </c>
      <c r="O5">
        <f t="shared" si="0"/>
        <v>0</v>
      </c>
    </row>
    <row r="6" spans="1:18" x14ac:dyDescent="0.2">
      <c r="A6" t="s">
        <v>36</v>
      </c>
      <c r="B6" t="s">
        <v>37</v>
      </c>
      <c r="C6" t="s">
        <v>38</v>
      </c>
      <c r="D6" t="s">
        <v>48</v>
      </c>
      <c r="E6">
        <v>2</v>
      </c>
      <c r="F6" t="s">
        <v>49</v>
      </c>
      <c r="G6" t="s">
        <v>41</v>
      </c>
      <c r="H6" t="s">
        <v>46</v>
      </c>
      <c r="I6">
        <v>2023</v>
      </c>
      <c r="K6" t="s">
        <v>50</v>
      </c>
      <c r="L6">
        <v>20250315</v>
      </c>
      <c r="M6" t="s">
        <v>43</v>
      </c>
      <c r="O6">
        <f t="shared" si="0"/>
        <v>0</v>
      </c>
    </row>
    <row r="7" spans="1:18" x14ac:dyDescent="0.2">
      <c r="A7" t="s">
        <v>36</v>
      </c>
      <c r="B7" t="s">
        <v>37</v>
      </c>
      <c r="C7" t="s">
        <v>38</v>
      </c>
      <c r="D7" t="s">
        <v>51</v>
      </c>
      <c r="E7">
        <v>2</v>
      </c>
      <c r="F7" t="s">
        <v>49</v>
      </c>
      <c r="G7" t="s">
        <v>41</v>
      </c>
      <c r="H7" t="s">
        <v>46</v>
      </c>
      <c r="I7">
        <v>2023</v>
      </c>
      <c r="J7">
        <v>105.327</v>
      </c>
      <c r="K7" t="s">
        <v>50</v>
      </c>
      <c r="L7">
        <v>20250315</v>
      </c>
      <c r="M7" t="s">
        <v>43</v>
      </c>
      <c r="O7">
        <f t="shared" si="0"/>
        <v>0</v>
      </c>
    </row>
    <row r="8" spans="1:18" x14ac:dyDescent="0.2">
      <c r="A8" t="s">
        <v>36</v>
      </c>
      <c r="B8" t="s">
        <v>37</v>
      </c>
      <c r="C8" t="s">
        <v>38</v>
      </c>
      <c r="D8" t="s">
        <v>45</v>
      </c>
      <c r="E8">
        <v>2</v>
      </c>
      <c r="F8" t="s">
        <v>49</v>
      </c>
      <c r="G8" t="s">
        <v>41</v>
      </c>
      <c r="H8" t="s">
        <v>46</v>
      </c>
      <c r="I8">
        <v>2023</v>
      </c>
      <c r="J8">
        <v>13067.02469</v>
      </c>
      <c r="L8">
        <v>20250315</v>
      </c>
      <c r="M8" t="s">
        <v>43</v>
      </c>
      <c r="O8">
        <f t="shared" si="0"/>
        <v>0</v>
      </c>
    </row>
    <row r="9" spans="1:18" x14ac:dyDescent="0.2">
      <c r="A9" t="s">
        <v>36</v>
      </c>
      <c r="B9" t="s">
        <v>37</v>
      </c>
      <c r="C9" t="s">
        <v>38</v>
      </c>
      <c r="D9" t="s">
        <v>52</v>
      </c>
      <c r="E9">
        <v>2</v>
      </c>
      <c r="F9" t="s">
        <v>49</v>
      </c>
      <c r="G9" t="s">
        <v>41</v>
      </c>
      <c r="H9" t="s">
        <v>46</v>
      </c>
      <c r="I9">
        <v>2023</v>
      </c>
      <c r="J9">
        <v>688.44897000000003</v>
      </c>
      <c r="L9">
        <v>20250315</v>
      </c>
      <c r="M9" t="s">
        <v>43</v>
      </c>
      <c r="O9">
        <f t="shared" si="0"/>
        <v>0</v>
      </c>
    </row>
    <row r="10" spans="1:18" x14ac:dyDescent="0.2">
      <c r="A10" t="s">
        <v>36</v>
      </c>
      <c r="B10" t="s">
        <v>37</v>
      </c>
      <c r="C10" t="s">
        <v>38</v>
      </c>
      <c r="D10" t="s">
        <v>44</v>
      </c>
      <c r="E10">
        <v>2</v>
      </c>
      <c r="F10" t="s">
        <v>49</v>
      </c>
      <c r="G10" t="s">
        <v>41</v>
      </c>
      <c r="H10" t="s">
        <v>42</v>
      </c>
      <c r="I10">
        <v>2023</v>
      </c>
      <c r="J10">
        <v>11344.30975</v>
      </c>
      <c r="L10">
        <v>20250315</v>
      </c>
      <c r="M10" t="s">
        <v>43</v>
      </c>
      <c r="O10">
        <f t="shared" si="0"/>
        <v>0</v>
      </c>
    </row>
    <row r="11" spans="1:18" x14ac:dyDescent="0.2">
      <c r="A11" t="s">
        <v>36</v>
      </c>
      <c r="B11" t="s">
        <v>37</v>
      </c>
      <c r="C11" t="s">
        <v>38</v>
      </c>
      <c r="D11" t="s">
        <v>53</v>
      </c>
      <c r="E11">
        <v>2</v>
      </c>
      <c r="F11" t="s">
        <v>49</v>
      </c>
      <c r="G11" t="s">
        <v>41</v>
      </c>
      <c r="H11" t="s">
        <v>46</v>
      </c>
      <c r="I11">
        <v>2023</v>
      </c>
      <c r="K11" t="s">
        <v>54</v>
      </c>
      <c r="L11">
        <v>20250315</v>
      </c>
      <c r="M11" t="s">
        <v>43</v>
      </c>
      <c r="O11">
        <f t="shared" si="0"/>
        <v>0</v>
      </c>
    </row>
    <row r="12" spans="1:18" x14ac:dyDescent="0.2">
      <c r="A12" t="s">
        <v>36</v>
      </c>
      <c r="B12" t="s">
        <v>37</v>
      </c>
      <c r="C12" t="s">
        <v>38</v>
      </c>
      <c r="D12" t="s">
        <v>39</v>
      </c>
      <c r="E12">
        <v>2</v>
      </c>
      <c r="F12" t="s">
        <v>49</v>
      </c>
      <c r="G12" t="s">
        <v>41</v>
      </c>
      <c r="H12" t="s">
        <v>42</v>
      </c>
      <c r="I12">
        <v>2023</v>
      </c>
      <c r="J12">
        <v>14.850110000000001</v>
      </c>
      <c r="L12">
        <v>20250315</v>
      </c>
      <c r="M12" t="s">
        <v>43</v>
      </c>
      <c r="O12">
        <f t="shared" si="0"/>
        <v>0</v>
      </c>
    </row>
    <row r="13" spans="1:18" x14ac:dyDescent="0.2">
      <c r="A13" t="s">
        <v>36</v>
      </c>
      <c r="B13" t="s">
        <v>37</v>
      </c>
      <c r="C13" t="s">
        <v>38</v>
      </c>
      <c r="D13" t="s">
        <v>47</v>
      </c>
      <c r="E13">
        <v>2</v>
      </c>
      <c r="F13" t="s">
        <v>49</v>
      </c>
      <c r="G13" t="s">
        <v>41</v>
      </c>
      <c r="H13" t="s">
        <v>42</v>
      </c>
      <c r="I13">
        <v>2023</v>
      </c>
      <c r="J13">
        <v>1.7781899999999999</v>
      </c>
      <c r="L13">
        <v>20250315</v>
      </c>
      <c r="M13" t="s">
        <v>43</v>
      </c>
      <c r="O13">
        <f t="shared" si="0"/>
        <v>0</v>
      </c>
    </row>
    <row r="14" spans="1:18" x14ac:dyDescent="0.2">
      <c r="A14" t="s">
        <v>36</v>
      </c>
      <c r="B14" t="s">
        <v>37</v>
      </c>
      <c r="C14" t="s">
        <v>38</v>
      </c>
      <c r="D14" t="s">
        <v>55</v>
      </c>
      <c r="E14">
        <v>2</v>
      </c>
      <c r="F14" t="s">
        <v>49</v>
      </c>
      <c r="G14" t="s">
        <v>41</v>
      </c>
      <c r="H14" t="s">
        <v>46</v>
      </c>
      <c r="I14">
        <v>2023</v>
      </c>
      <c r="J14">
        <v>41.916020000000003</v>
      </c>
      <c r="L14">
        <v>20250315</v>
      </c>
      <c r="M14" t="s">
        <v>43</v>
      </c>
      <c r="O14">
        <f t="shared" si="0"/>
        <v>0</v>
      </c>
    </row>
    <row r="15" spans="1:18" x14ac:dyDescent="0.2">
      <c r="A15" t="s">
        <v>36</v>
      </c>
      <c r="B15" t="s">
        <v>37</v>
      </c>
      <c r="C15" t="s">
        <v>38</v>
      </c>
      <c r="D15" t="s">
        <v>39</v>
      </c>
      <c r="E15">
        <v>3</v>
      </c>
      <c r="F15" t="s">
        <v>56</v>
      </c>
      <c r="G15" t="s">
        <v>41</v>
      </c>
      <c r="H15" t="s">
        <v>42</v>
      </c>
      <c r="I15">
        <v>2023</v>
      </c>
      <c r="J15">
        <v>465.62630000000001</v>
      </c>
      <c r="L15">
        <v>20250315</v>
      </c>
      <c r="M15" t="s">
        <v>43</v>
      </c>
      <c r="O15">
        <f t="shared" si="0"/>
        <v>0</v>
      </c>
    </row>
    <row r="16" spans="1:18" x14ac:dyDescent="0.2">
      <c r="A16" t="s">
        <v>36</v>
      </c>
      <c r="B16" t="s">
        <v>37</v>
      </c>
      <c r="C16" t="s">
        <v>38</v>
      </c>
      <c r="D16" t="s">
        <v>47</v>
      </c>
      <c r="E16">
        <v>3</v>
      </c>
      <c r="F16" t="s">
        <v>56</v>
      </c>
      <c r="G16" t="s">
        <v>41</v>
      </c>
      <c r="H16" t="s">
        <v>42</v>
      </c>
      <c r="I16">
        <v>2023</v>
      </c>
      <c r="J16">
        <v>18.304069999999999</v>
      </c>
      <c r="L16">
        <v>20250315</v>
      </c>
      <c r="M16" t="s">
        <v>43</v>
      </c>
      <c r="O16">
        <f t="shared" si="0"/>
        <v>0</v>
      </c>
    </row>
    <row r="17" spans="1:15" x14ac:dyDescent="0.2">
      <c r="A17" t="s">
        <v>36</v>
      </c>
      <c r="B17" t="s">
        <v>37</v>
      </c>
      <c r="C17" t="s">
        <v>38</v>
      </c>
      <c r="D17" t="s">
        <v>45</v>
      </c>
      <c r="E17">
        <v>3</v>
      </c>
      <c r="F17" t="s">
        <v>56</v>
      </c>
      <c r="G17" t="s">
        <v>41</v>
      </c>
      <c r="H17" t="s">
        <v>46</v>
      </c>
      <c r="I17">
        <v>2023</v>
      </c>
      <c r="J17">
        <v>17981.328399999999</v>
      </c>
      <c r="L17">
        <v>20250315</v>
      </c>
      <c r="M17" t="s">
        <v>43</v>
      </c>
      <c r="O17">
        <f t="shared" si="0"/>
        <v>0</v>
      </c>
    </row>
    <row r="18" spans="1:15" x14ac:dyDescent="0.2">
      <c r="A18" t="s">
        <v>36</v>
      </c>
      <c r="B18" t="s">
        <v>37</v>
      </c>
      <c r="C18" t="s">
        <v>38</v>
      </c>
      <c r="D18" t="s">
        <v>44</v>
      </c>
      <c r="E18">
        <v>3</v>
      </c>
      <c r="F18" t="s">
        <v>56</v>
      </c>
      <c r="G18" t="s">
        <v>41</v>
      </c>
      <c r="H18" t="s">
        <v>42</v>
      </c>
      <c r="I18">
        <v>2023</v>
      </c>
      <c r="J18">
        <v>93.213279999999997</v>
      </c>
      <c r="L18">
        <v>20250315</v>
      </c>
      <c r="M18" t="s">
        <v>43</v>
      </c>
      <c r="O18">
        <f t="shared" si="0"/>
        <v>0</v>
      </c>
    </row>
    <row r="19" spans="1:15" x14ac:dyDescent="0.2">
      <c r="A19" t="s">
        <v>36</v>
      </c>
      <c r="B19" t="s">
        <v>37</v>
      </c>
      <c r="C19" t="s">
        <v>38</v>
      </c>
      <c r="D19" t="s">
        <v>45</v>
      </c>
      <c r="E19">
        <v>4</v>
      </c>
      <c r="F19" t="s">
        <v>57</v>
      </c>
      <c r="G19" t="s">
        <v>41</v>
      </c>
      <c r="H19" t="s">
        <v>46</v>
      </c>
      <c r="I19">
        <v>2023</v>
      </c>
      <c r="J19">
        <v>3804.4552600000002</v>
      </c>
      <c r="L19">
        <v>20250315</v>
      </c>
      <c r="M19" t="s">
        <v>43</v>
      </c>
      <c r="O19">
        <f t="shared" si="0"/>
        <v>0</v>
      </c>
    </row>
    <row r="20" spans="1:15" x14ac:dyDescent="0.2">
      <c r="A20" t="s">
        <v>36</v>
      </c>
      <c r="B20" t="s">
        <v>37</v>
      </c>
      <c r="C20" t="s">
        <v>38</v>
      </c>
      <c r="D20" t="s">
        <v>47</v>
      </c>
      <c r="E20">
        <v>4</v>
      </c>
      <c r="F20" t="s">
        <v>57</v>
      </c>
      <c r="G20" t="s">
        <v>41</v>
      </c>
      <c r="H20" t="s">
        <v>42</v>
      </c>
      <c r="I20">
        <v>2023</v>
      </c>
      <c r="J20">
        <v>0.38292999999999999</v>
      </c>
      <c r="L20">
        <v>20250315</v>
      </c>
      <c r="M20" t="s">
        <v>43</v>
      </c>
      <c r="O20">
        <f t="shared" si="0"/>
        <v>0</v>
      </c>
    </row>
    <row r="21" spans="1:15" x14ac:dyDescent="0.2">
      <c r="A21" t="s">
        <v>36</v>
      </c>
      <c r="B21" t="s">
        <v>37</v>
      </c>
      <c r="C21" t="s">
        <v>38</v>
      </c>
      <c r="D21" t="s">
        <v>44</v>
      </c>
      <c r="E21">
        <v>4</v>
      </c>
      <c r="F21" t="s">
        <v>57</v>
      </c>
      <c r="G21" t="s">
        <v>41</v>
      </c>
      <c r="H21" t="s">
        <v>42</v>
      </c>
      <c r="I21">
        <v>2023</v>
      </c>
      <c r="J21">
        <v>3114.54657</v>
      </c>
      <c r="L21">
        <v>20250315</v>
      </c>
      <c r="M21" t="s">
        <v>43</v>
      </c>
      <c r="O21">
        <f t="shared" si="0"/>
        <v>0</v>
      </c>
    </row>
    <row r="22" spans="1:15" x14ac:dyDescent="0.2">
      <c r="A22" t="s">
        <v>36</v>
      </c>
      <c r="B22" t="s">
        <v>37</v>
      </c>
      <c r="C22" t="s">
        <v>38</v>
      </c>
      <c r="D22" t="s">
        <v>39</v>
      </c>
      <c r="E22">
        <v>4</v>
      </c>
      <c r="F22" t="s">
        <v>57</v>
      </c>
      <c r="G22" t="s">
        <v>41</v>
      </c>
      <c r="H22" t="s">
        <v>42</v>
      </c>
      <c r="I22">
        <v>2023</v>
      </c>
      <c r="J22">
        <v>21.015409999999999</v>
      </c>
      <c r="L22">
        <v>20250315</v>
      </c>
      <c r="M22" t="s">
        <v>43</v>
      </c>
      <c r="O22">
        <f t="shared" si="0"/>
        <v>0</v>
      </c>
    </row>
    <row r="23" spans="1:15" x14ac:dyDescent="0.2">
      <c r="A23" t="s">
        <v>36</v>
      </c>
      <c r="B23" t="s">
        <v>37</v>
      </c>
      <c r="C23" t="s">
        <v>38</v>
      </c>
      <c r="D23" t="s">
        <v>47</v>
      </c>
      <c r="E23">
        <v>5</v>
      </c>
      <c r="F23" t="s">
        <v>58</v>
      </c>
      <c r="G23" t="s">
        <v>41</v>
      </c>
      <c r="H23" t="s">
        <v>42</v>
      </c>
      <c r="I23">
        <v>2023</v>
      </c>
      <c r="J23">
        <v>2.2000999999999999</v>
      </c>
      <c r="L23">
        <v>20250315</v>
      </c>
      <c r="M23" t="s">
        <v>43</v>
      </c>
      <c r="O23">
        <f t="shared" si="0"/>
        <v>0</v>
      </c>
    </row>
    <row r="24" spans="1:15" x14ac:dyDescent="0.2">
      <c r="A24" t="s">
        <v>36</v>
      </c>
      <c r="B24" t="s">
        <v>37</v>
      </c>
      <c r="C24" t="s">
        <v>38</v>
      </c>
      <c r="D24" t="s">
        <v>44</v>
      </c>
      <c r="E24">
        <v>5</v>
      </c>
      <c r="F24" t="s">
        <v>58</v>
      </c>
      <c r="G24" t="s">
        <v>41</v>
      </c>
      <c r="H24" t="s">
        <v>42</v>
      </c>
      <c r="I24">
        <v>2023</v>
      </c>
      <c r="K24" t="s">
        <v>50</v>
      </c>
      <c r="L24">
        <v>20250315</v>
      </c>
      <c r="M24" t="s">
        <v>43</v>
      </c>
      <c r="O24">
        <f t="shared" si="0"/>
        <v>0</v>
      </c>
    </row>
    <row r="25" spans="1:15" x14ac:dyDescent="0.2">
      <c r="A25" t="s">
        <v>36</v>
      </c>
      <c r="B25" t="s">
        <v>37</v>
      </c>
      <c r="C25" t="s">
        <v>38</v>
      </c>
      <c r="D25" t="s">
        <v>45</v>
      </c>
      <c r="E25">
        <v>5</v>
      </c>
      <c r="F25" t="s">
        <v>58</v>
      </c>
      <c r="G25" t="s">
        <v>41</v>
      </c>
      <c r="H25" t="s">
        <v>46</v>
      </c>
      <c r="I25">
        <v>2023</v>
      </c>
      <c r="J25">
        <v>2844.4752400000002</v>
      </c>
      <c r="L25">
        <v>20250315</v>
      </c>
      <c r="M25" t="s">
        <v>43</v>
      </c>
      <c r="O25">
        <f t="shared" si="0"/>
        <v>0</v>
      </c>
    </row>
    <row r="26" spans="1:15" x14ac:dyDescent="0.2">
      <c r="A26" t="s">
        <v>36</v>
      </c>
      <c r="B26" t="s">
        <v>37</v>
      </c>
      <c r="C26" t="s">
        <v>38</v>
      </c>
      <c r="D26" t="s">
        <v>39</v>
      </c>
      <c r="E26">
        <v>5</v>
      </c>
      <c r="F26" t="s">
        <v>58</v>
      </c>
      <c r="G26" t="s">
        <v>41</v>
      </c>
      <c r="H26" t="s">
        <v>42</v>
      </c>
      <c r="I26">
        <v>2023</v>
      </c>
      <c r="J26">
        <v>80.766069999999999</v>
      </c>
      <c r="L26">
        <v>20250315</v>
      </c>
      <c r="M26" t="s">
        <v>43</v>
      </c>
      <c r="O26">
        <f t="shared" si="0"/>
        <v>0</v>
      </c>
    </row>
    <row r="27" spans="1:15" x14ac:dyDescent="0.2">
      <c r="A27" t="s">
        <v>36</v>
      </c>
      <c r="B27" t="s">
        <v>37</v>
      </c>
      <c r="C27" t="s">
        <v>38</v>
      </c>
      <c r="D27" t="s">
        <v>39</v>
      </c>
      <c r="E27">
        <v>6</v>
      </c>
      <c r="F27" t="s">
        <v>59</v>
      </c>
      <c r="G27" t="s">
        <v>41</v>
      </c>
      <c r="H27" t="s">
        <v>42</v>
      </c>
      <c r="I27">
        <v>2023</v>
      </c>
      <c r="K27" t="s">
        <v>54</v>
      </c>
      <c r="L27">
        <v>20250315</v>
      </c>
      <c r="M27" t="s">
        <v>43</v>
      </c>
      <c r="O27">
        <f t="shared" si="0"/>
        <v>0</v>
      </c>
    </row>
    <row r="28" spans="1:15" x14ac:dyDescent="0.2">
      <c r="A28" t="s">
        <v>36</v>
      </c>
      <c r="B28" t="s">
        <v>37</v>
      </c>
      <c r="C28" t="s">
        <v>38</v>
      </c>
      <c r="D28" t="s">
        <v>45</v>
      </c>
      <c r="E28">
        <v>6</v>
      </c>
      <c r="F28" t="s">
        <v>59</v>
      </c>
      <c r="G28" t="s">
        <v>41</v>
      </c>
      <c r="H28" t="s">
        <v>46</v>
      </c>
      <c r="I28">
        <v>2023</v>
      </c>
      <c r="K28" t="s">
        <v>54</v>
      </c>
      <c r="L28">
        <v>20250315</v>
      </c>
      <c r="M28" t="s">
        <v>43</v>
      </c>
      <c r="O28">
        <f t="shared" si="0"/>
        <v>0</v>
      </c>
    </row>
    <row r="29" spans="1:15" x14ac:dyDescent="0.2">
      <c r="A29" t="s">
        <v>36</v>
      </c>
      <c r="B29" t="s">
        <v>37</v>
      </c>
      <c r="C29" t="s">
        <v>38</v>
      </c>
      <c r="D29" t="s">
        <v>48</v>
      </c>
      <c r="E29">
        <v>6</v>
      </c>
      <c r="F29" t="s">
        <v>59</v>
      </c>
      <c r="G29" t="s">
        <v>41</v>
      </c>
      <c r="H29" t="s">
        <v>46</v>
      </c>
      <c r="I29">
        <v>2023</v>
      </c>
      <c r="K29" t="s">
        <v>54</v>
      </c>
      <c r="L29">
        <v>20250315</v>
      </c>
      <c r="M29" t="s">
        <v>43</v>
      </c>
      <c r="O29">
        <f t="shared" si="0"/>
        <v>0</v>
      </c>
    </row>
    <row r="30" spans="1:15" x14ac:dyDescent="0.2">
      <c r="A30" t="s">
        <v>36</v>
      </c>
      <c r="B30" t="s">
        <v>37</v>
      </c>
      <c r="C30" t="s">
        <v>38</v>
      </c>
      <c r="D30" t="s">
        <v>52</v>
      </c>
      <c r="E30">
        <v>6</v>
      </c>
      <c r="F30" t="s">
        <v>59</v>
      </c>
      <c r="G30" t="s">
        <v>41</v>
      </c>
      <c r="H30" t="s">
        <v>46</v>
      </c>
      <c r="I30">
        <v>2023</v>
      </c>
      <c r="K30" t="s">
        <v>54</v>
      </c>
      <c r="L30">
        <v>20250315</v>
      </c>
      <c r="M30" t="s">
        <v>43</v>
      </c>
      <c r="O30">
        <f t="shared" si="0"/>
        <v>0</v>
      </c>
    </row>
    <row r="31" spans="1:15" x14ac:dyDescent="0.2">
      <c r="A31" t="s">
        <v>36</v>
      </c>
      <c r="B31" t="s">
        <v>37</v>
      </c>
      <c r="C31" t="s">
        <v>38</v>
      </c>
      <c r="D31" t="s">
        <v>51</v>
      </c>
      <c r="E31">
        <v>6</v>
      </c>
      <c r="F31" t="s">
        <v>59</v>
      </c>
      <c r="G31" t="s">
        <v>41</v>
      </c>
      <c r="H31" t="s">
        <v>46</v>
      </c>
      <c r="I31">
        <v>2023</v>
      </c>
      <c r="K31" t="s">
        <v>54</v>
      </c>
      <c r="L31">
        <v>20250315</v>
      </c>
      <c r="M31" t="s">
        <v>43</v>
      </c>
      <c r="O31">
        <f t="shared" si="0"/>
        <v>0</v>
      </c>
    </row>
    <row r="32" spans="1:15" x14ac:dyDescent="0.2">
      <c r="A32" t="s">
        <v>36</v>
      </c>
      <c r="B32" t="s">
        <v>37</v>
      </c>
      <c r="C32" t="s">
        <v>38</v>
      </c>
      <c r="D32" t="s">
        <v>44</v>
      </c>
      <c r="E32">
        <v>6</v>
      </c>
      <c r="F32" t="s">
        <v>59</v>
      </c>
      <c r="G32" t="s">
        <v>41</v>
      </c>
      <c r="H32" t="s">
        <v>42</v>
      </c>
      <c r="I32">
        <v>2023</v>
      </c>
      <c r="K32" t="s">
        <v>54</v>
      </c>
      <c r="L32">
        <v>20250315</v>
      </c>
      <c r="M32" t="s">
        <v>43</v>
      </c>
      <c r="O32">
        <f t="shared" si="0"/>
        <v>0</v>
      </c>
    </row>
    <row r="33" spans="1:15" x14ac:dyDescent="0.2">
      <c r="A33" t="s">
        <v>36</v>
      </c>
      <c r="B33" t="s">
        <v>37</v>
      </c>
      <c r="C33" t="s">
        <v>38</v>
      </c>
      <c r="D33" t="s">
        <v>47</v>
      </c>
      <c r="E33">
        <v>6</v>
      </c>
      <c r="F33" t="s">
        <v>59</v>
      </c>
      <c r="G33" t="s">
        <v>41</v>
      </c>
      <c r="H33" t="s">
        <v>42</v>
      </c>
      <c r="I33">
        <v>2023</v>
      </c>
      <c r="K33" t="s">
        <v>54</v>
      </c>
      <c r="L33">
        <v>20250315</v>
      </c>
      <c r="M33" t="s">
        <v>43</v>
      </c>
      <c r="O33">
        <f t="shared" si="0"/>
        <v>0</v>
      </c>
    </row>
    <row r="34" spans="1:15" x14ac:dyDescent="0.2">
      <c r="A34" t="s">
        <v>36</v>
      </c>
      <c r="B34" t="s">
        <v>37</v>
      </c>
      <c r="C34" t="s">
        <v>38</v>
      </c>
      <c r="D34" t="s">
        <v>55</v>
      </c>
      <c r="E34">
        <v>6</v>
      </c>
      <c r="F34" t="s">
        <v>59</v>
      </c>
      <c r="G34" t="s">
        <v>41</v>
      </c>
      <c r="H34" t="s">
        <v>46</v>
      </c>
      <c r="I34">
        <v>2023</v>
      </c>
      <c r="K34" t="s">
        <v>54</v>
      </c>
      <c r="L34">
        <v>20250315</v>
      </c>
      <c r="M34" t="s">
        <v>43</v>
      </c>
      <c r="O34">
        <f t="shared" si="0"/>
        <v>0</v>
      </c>
    </row>
    <row r="35" spans="1:15" x14ac:dyDescent="0.2">
      <c r="A35" t="s">
        <v>36</v>
      </c>
      <c r="B35" t="s">
        <v>37</v>
      </c>
      <c r="C35" t="s">
        <v>38</v>
      </c>
      <c r="D35" t="s">
        <v>53</v>
      </c>
      <c r="E35">
        <v>6</v>
      </c>
      <c r="F35" t="s">
        <v>59</v>
      </c>
      <c r="G35" t="s">
        <v>41</v>
      </c>
      <c r="H35" t="s">
        <v>46</v>
      </c>
      <c r="I35">
        <v>2023</v>
      </c>
      <c r="K35" t="s">
        <v>54</v>
      </c>
      <c r="L35">
        <v>20250315</v>
      </c>
      <c r="M35" t="s">
        <v>43</v>
      </c>
      <c r="O35">
        <f t="shared" si="0"/>
        <v>0</v>
      </c>
    </row>
    <row r="36" spans="1:15" x14ac:dyDescent="0.2">
      <c r="A36" t="s">
        <v>36</v>
      </c>
      <c r="B36" t="s">
        <v>37</v>
      </c>
      <c r="C36" t="s">
        <v>38</v>
      </c>
      <c r="D36" t="s">
        <v>45</v>
      </c>
      <c r="E36" t="s">
        <v>60</v>
      </c>
      <c r="F36" t="s">
        <v>61</v>
      </c>
      <c r="G36">
        <v>1</v>
      </c>
      <c r="H36" t="s">
        <v>46</v>
      </c>
      <c r="I36">
        <v>2023</v>
      </c>
      <c r="J36">
        <v>106786.9984</v>
      </c>
      <c r="L36">
        <v>20250315</v>
      </c>
      <c r="M36" t="s">
        <v>43</v>
      </c>
      <c r="O36">
        <f t="shared" si="0"/>
        <v>0</v>
      </c>
    </row>
    <row r="37" spans="1:15" x14ac:dyDescent="0.2">
      <c r="A37" t="s">
        <v>36</v>
      </c>
      <c r="B37" t="s">
        <v>37</v>
      </c>
      <c r="C37" t="s">
        <v>38</v>
      </c>
      <c r="D37" t="s">
        <v>39</v>
      </c>
      <c r="E37" t="s">
        <v>60</v>
      </c>
      <c r="F37" t="s">
        <v>61</v>
      </c>
      <c r="G37">
        <v>1</v>
      </c>
      <c r="H37" t="s">
        <v>42</v>
      </c>
      <c r="I37">
        <v>2023</v>
      </c>
      <c r="J37">
        <v>58.949460000000002</v>
      </c>
      <c r="L37">
        <v>20250315</v>
      </c>
      <c r="M37" t="s">
        <v>43</v>
      </c>
      <c r="O37">
        <f t="shared" si="0"/>
        <v>0</v>
      </c>
    </row>
    <row r="38" spans="1:15" x14ac:dyDescent="0.2">
      <c r="A38" t="s">
        <v>36</v>
      </c>
      <c r="B38" t="s">
        <v>37</v>
      </c>
      <c r="C38" t="s">
        <v>38</v>
      </c>
      <c r="D38" t="s">
        <v>44</v>
      </c>
      <c r="E38" t="s">
        <v>60</v>
      </c>
      <c r="F38" t="s">
        <v>61</v>
      </c>
      <c r="G38">
        <v>1</v>
      </c>
      <c r="H38" t="s">
        <v>42</v>
      </c>
      <c r="I38">
        <v>2023</v>
      </c>
      <c r="J38">
        <v>104539.99907000001</v>
      </c>
      <c r="L38">
        <v>20250315</v>
      </c>
      <c r="M38" t="s">
        <v>43</v>
      </c>
      <c r="O38">
        <f t="shared" si="0"/>
        <v>0</v>
      </c>
    </row>
    <row r="39" spans="1:15" x14ac:dyDescent="0.2">
      <c r="A39" t="s">
        <v>36</v>
      </c>
      <c r="B39" t="s">
        <v>37</v>
      </c>
      <c r="C39" t="s">
        <v>38</v>
      </c>
      <c r="D39" t="s">
        <v>47</v>
      </c>
      <c r="E39" t="s">
        <v>60</v>
      </c>
      <c r="F39" t="s">
        <v>61</v>
      </c>
      <c r="G39">
        <v>1</v>
      </c>
      <c r="H39" t="s">
        <v>42</v>
      </c>
      <c r="I39">
        <v>2023</v>
      </c>
      <c r="J39">
        <v>2.2506200000000001</v>
      </c>
      <c r="L39">
        <v>20250315</v>
      </c>
      <c r="M39" t="s">
        <v>43</v>
      </c>
      <c r="O39">
        <f t="shared" si="0"/>
        <v>0</v>
      </c>
    </row>
    <row r="40" spans="1:15" x14ac:dyDescent="0.2">
      <c r="A40" t="s">
        <v>36</v>
      </c>
      <c r="B40" t="s">
        <v>37</v>
      </c>
      <c r="C40" t="s">
        <v>38</v>
      </c>
      <c r="D40" t="s">
        <v>47</v>
      </c>
      <c r="E40" t="s">
        <v>62</v>
      </c>
      <c r="F40" t="s">
        <v>63</v>
      </c>
      <c r="G40" t="s">
        <v>64</v>
      </c>
      <c r="H40" t="s">
        <v>42</v>
      </c>
      <c r="I40">
        <v>2023</v>
      </c>
      <c r="J40">
        <v>0.77137</v>
      </c>
      <c r="L40">
        <v>20250315</v>
      </c>
      <c r="M40" t="s">
        <v>43</v>
      </c>
      <c r="O40">
        <f t="shared" si="0"/>
        <v>0</v>
      </c>
    </row>
    <row r="41" spans="1:15" x14ac:dyDescent="0.2">
      <c r="A41" t="s">
        <v>36</v>
      </c>
      <c r="B41" t="s">
        <v>37</v>
      </c>
      <c r="C41" t="s">
        <v>38</v>
      </c>
      <c r="D41" t="s">
        <v>39</v>
      </c>
      <c r="E41" t="s">
        <v>62</v>
      </c>
      <c r="F41" t="s">
        <v>63</v>
      </c>
      <c r="G41" t="s">
        <v>64</v>
      </c>
      <c r="H41" t="s">
        <v>42</v>
      </c>
      <c r="I41">
        <v>2023</v>
      </c>
      <c r="J41">
        <v>3.89201</v>
      </c>
      <c r="L41">
        <v>20250315</v>
      </c>
      <c r="M41" t="s">
        <v>43</v>
      </c>
      <c r="O41">
        <f t="shared" si="0"/>
        <v>0</v>
      </c>
    </row>
    <row r="42" spans="1:15" x14ac:dyDescent="0.2">
      <c r="A42" t="s">
        <v>36</v>
      </c>
      <c r="B42" t="s">
        <v>37</v>
      </c>
      <c r="C42" t="s">
        <v>38</v>
      </c>
      <c r="D42" t="s">
        <v>44</v>
      </c>
      <c r="E42" t="s">
        <v>62</v>
      </c>
      <c r="F42" t="s">
        <v>63</v>
      </c>
      <c r="G42" t="s">
        <v>64</v>
      </c>
      <c r="H42" t="s">
        <v>42</v>
      </c>
      <c r="I42">
        <v>2023</v>
      </c>
      <c r="J42">
        <v>37102.344799999999</v>
      </c>
      <c r="L42">
        <v>20250315</v>
      </c>
      <c r="M42" t="s">
        <v>43</v>
      </c>
      <c r="O42">
        <f t="shared" si="0"/>
        <v>0</v>
      </c>
    </row>
    <row r="43" spans="1:15" x14ac:dyDescent="0.2">
      <c r="A43" t="s">
        <v>36</v>
      </c>
      <c r="B43" t="s">
        <v>37</v>
      </c>
      <c r="C43" t="s">
        <v>38</v>
      </c>
      <c r="D43" t="s">
        <v>45</v>
      </c>
      <c r="E43" t="s">
        <v>62</v>
      </c>
      <c r="F43" t="s">
        <v>63</v>
      </c>
      <c r="G43" t="s">
        <v>64</v>
      </c>
      <c r="H43" t="s">
        <v>46</v>
      </c>
      <c r="I43">
        <v>2023</v>
      </c>
      <c r="J43">
        <v>37415.733390000001</v>
      </c>
      <c r="L43">
        <v>20250315</v>
      </c>
      <c r="M43" t="s">
        <v>43</v>
      </c>
      <c r="O43">
        <f t="shared" si="0"/>
        <v>0</v>
      </c>
    </row>
    <row r="44" spans="1:15" x14ac:dyDescent="0.2">
      <c r="A44" t="s">
        <v>36</v>
      </c>
      <c r="B44" t="s">
        <v>37</v>
      </c>
      <c r="C44" t="s">
        <v>38</v>
      </c>
      <c r="D44" t="s">
        <v>47</v>
      </c>
      <c r="E44" t="s">
        <v>65</v>
      </c>
      <c r="F44" t="s">
        <v>66</v>
      </c>
      <c r="G44" t="s">
        <v>62</v>
      </c>
      <c r="H44" t="s">
        <v>42</v>
      </c>
      <c r="I44">
        <v>2023</v>
      </c>
      <c r="J44">
        <v>0.69721</v>
      </c>
      <c r="L44">
        <v>20250315</v>
      </c>
      <c r="M44" t="s">
        <v>43</v>
      </c>
      <c r="O44">
        <f t="shared" si="0"/>
        <v>0</v>
      </c>
    </row>
    <row r="45" spans="1:15" x14ac:dyDescent="0.2">
      <c r="A45" t="s">
        <v>36</v>
      </c>
      <c r="B45" t="s">
        <v>37</v>
      </c>
      <c r="C45" t="s">
        <v>38</v>
      </c>
      <c r="D45" t="s">
        <v>45</v>
      </c>
      <c r="E45" t="s">
        <v>65</v>
      </c>
      <c r="F45" t="s">
        <v>66</v>
      </c>
      <c r="G45" t="s">
        <v>62</v>
      </c>
      <c r="H45" t="s">
        <v>46</v>
      </c>
      <c r="I45">
        <v>2023</v>
      </c>
      <c r="J45">
        <v>26477.439040000001</v>
      </c>
      <c r="L45">
        <v>20250315</v>
      </c>
      <c r="M45" t="s">
        <v>43</v>
      </c>
      <c r="O45">
        <f t="shared" si="0"/>
        <v>0</v>
      </c>
    </row>
    <row r="46" spans="1:15" x14ac:dyDescent="0.2">
      <c r="A46" t="s">
        <v>36</v>
      </c>
      <c r="B46" t="s">
        <v>37</v>
      </c>
      <c r="C46" t="s">
        <v>38</v>
      </c>
      <c r="D46" t="s">
        <v>39</v>
      </c>
      <c r="E46" t="s">
        <v>65</v>
      </c>
      <c r="F46" t="s">
        <v>66</v>
      </c>
      <c r="G46" t="s">
        <v>62</v>
      </c>
      <c r="H46" t="s">
        <v>42</v>
      </c>
      <c r="I46">
        <v>2023</v>
      </c>
      <c r="J46">
        <v>3.2542800000000001</v>
      </c>
      <c r="L46">
        <v>20250315</v>
      </c>
      <c r="M46" t="s">
        <v>43</v>
      </c>
      <c r="O46">
        <f t="shared" si="0"/>
        <v>0</v>
      </c>
    </row>
    <row r="47" spans="1:15" x14ac:dyDescent="0.2">
      <c r="A47" t="s">
        <v>36</v>
      </c>
      <c r="B47" t="s">
        <v>37</v>
      </c>
      <c r="C47" t="s">
        <v>38</v>
      </c>
      <c r="D47" t="s">
        <v>44</v>
      </c>
      <c r="E47" t="s">
        <v>65</v>
      </c>
      <c r="F47" t="s">
        <v>66</v>
      </c>
      <c r="G47" t="s">
        <v>62</v>
      </c>
      <c r="H47" t="s">
        <v>42</v>
      </c>
      <c r="I47">
        <v>2023</v>
      </c>
      <c r="J47">
        <v>26201.559509999999</v>
      </c>
      <c r="L47">
        <v>20250315</v>
      </c>
      <c r="M47" t="s">
        <v>43</v>
      </c>
      <c r="O47">
        <f t="shared" si="0"/>
        <v>0</v>
      </c>
    </row>
    <row r="48" spans="1:15" x14ac:dyDescent="0.2">
      <c r="A48" t="s">
        <v>36</v>
      </c>
      <c r="B48" t="s">
        <v>37</v>
      </c>
      <c r="C48" t="s">
        <v>38</v>
      </c>
      <c r="D48" t="s">
        <v>45</v>
      </c>
      <c r="E48" t="s">
        <v>67</v>
      </c>
      <c r="F48" t="s">
        <v>68</v>
      </c>
      <c r="G48" t="s">
        <v>62</v>
      </c>
      <c r="H48" t="s">
        <v>46</v>
      </c>
      <c r="I48">
        <v>2023</v>
      </c>
      <c r="J48">
        <v>9314.3032399999993</v>
      </c>
      <c r="L48">
        <v>20250315</v>
      </c>
      <c r="M48" t="s">
        <v>43</v>
      </c>
      <c r="O48">
        <f t="shared" si="0"/>
        <v>0</v>
      </c>
    </row>
    <row r="49" spans="1:15" x14ac:dyDescent="0.2">
      <c r="A49" t="s">
        <v>36</v>
      </c>
      <c r="B49" t="s">
        <v>37</v>
      </c>
      <c r="C49" t="s">
        <v>38</v>
      </c>
      <c r="D49" t="s">
        <v>39</v>
      </c>
      <c r="E49" t="s">
        <v>67</v>
      </c>
      <c r="F49" t="s">
        <v>68</v>
      </c>
      <c r="G49" t="s">
        <v>62</v>
      </c>
      <c r="H49" t="s">
        <v>42</v>
      </c>
      <c r="I49">
        <v>2023</v>
      </c>
      <c r="J49">
        <v>0.54032000000000002</v>
      </c>
      <c r="L49">
        <v>20250315</v>
      </c>
      <c r="M49" t="s">
        <v>43</v>
      </c>
      <c r="O49">
        <f t="shared" si="0"/>
        <v>0</v>
      </c>
    </row>
    <row r="50" spans="1:15" x14ac:dyDescent="0.2">
      <c r="A50" t="s">
        <v>36</v>
      </c>
      <c r="B50" t="s">
        <v>37</v>
      </c>
      <c r="C50" t="s">
        <v>38</v>
      </c>
      <c r="D50" t="s">
        <v>44</v>
      </c>
      <c r="E50" t="s">
        <v>67</v>
      </c>
      <c r="F50" t="s">
        <v>68</v>
      </c>
      <c r="G50" t="s">
        <v>62</v>
      </c>
      <c r="H50" t="s">
        <v>42</v>
      </c>
      <c r="I50">
        <v>2023</v>
      </c>
      <c r="J50">
        <v>9291.5392300000003</v>
      </c>
      <c r="L50">
        <v>20250315</v>
      </c>
      <c r="M50" t="s">
        <v>43</v>
      </c>
      <c r="O50">
        <f t="shared" si="0"/>
        <v>0</v>
      </c>
    </row>
    <row r="51" spans="1:15" x14ac:dyDescent="0.2">
      <c r="A51" t="s">
        <v>36</v>
      </c>
      <c r="B51" t="s">
        <v>37</v>
      </c>
      <c r="C51" t="s">
        <v>38</v>
      </c>
      <c r="D51" t="s">
        <v>47</v>
      </c>
      <c r="E51" t="s">
        <v>67</v>
      </c>
      <c r="F51" t="s">
        <v>68</v>
      </c>
      <c r="G51" t="s">
        <v>62</v>
      </c>
      <c r="H51" t="s">
        <v>42</v>
      </c>
      <c r="I51">
        <v>2023</v>
      </c>
      <c r="J51">
        <v>2.8809999999999999E-2</v>
      </c>
      <c r="L51">
        <v>20250315</v>
      </c>
      <c r="M51" t="s">
        <v>43</v>
      </c>
      <c r="O51">
        <f t="shared" si="0"/>
        <v>0</v>
      </c>
    </row>
    <row r="52" spans="1:15" x14ac:dyDescent="0.2">
      <c r="A52" t="s">
        <v>36</v>
      </c>
      <c r="B52" t="s">
        <v>37</v>
      </c>
      <c r="C52" t="s">
        <v>38</v>
      </c>
      <c r="D52" t="s">
        <v>44</v>
      </c>
      <c r="E52" t="s">
        <v>69</v>
      </c>
      <c r="F52" t="s">
        <v>70</v>
      </c>
      <c r="G52" t="s">
        <v>62</v>
      </c>
      <c r="H52" t="s">
        <v>42</v>
      </c>
      <c r="I52">
        <v>2023</v>
      </c>
      <c r="J52">
        <v>1609.2460699999999</v>
      </c>
      <c r="L52">
        <v>20250315</v>
      </c>
      <c r="M52" t="s">
        <v>43</v>
      </c>
      <c r="O52">
        <f t="shared" si="0"/>
        <v>0</v>
      </c>
    </row>
    <row r="53" spans="1:15" x14ac:dyDescent="0.2">
      <c r="A53" t="s">
        <v>36</v>
      </c>
      <c r="B53" t="s">
        <v>37</v>
      </c>
      <c r="C53" t="s">
        <v>38</v>
      </c>
      <c r="D53" t="s">
        <v>47</v>
      </c>
      <c r="E53" t="s">
        <v>69</v>
      </c>
      <c r="F53" t="s">
        <v>70</v>
      </c>
      <c r="G53" t="s">
        <v>62</v>
      </c>
      <c r="H53" t="s">
        <v>42</v>
      </c>
      <c r="I53">
        <v>2023</v>
      </c>
      <c r="J53">
        <v>4.5350000000000001E-2</v>
      </c>
      <c r="L53">
        <v>20250315</v>
      </c>
      <c r="M53" t="s">
        <v>43</v>
      </c>
      <c r="O53">
        <f t="shared" si="0"/>
        <v>0</v>
      </c>
    </row>
    <row r="54" spans="1:15" x14ac:dyDescent="0.2">
      <c r="A54" t="s">
        <v>36</v>
      </c>
      <c r="B54" t="s">
        <v>37</v>
      </c>
      <c r="C54" t="s">
        <v>38</v>
      </c>
      <c r="D54" t="s">
        <v>45</v>
      </c>
      <c r="E54" t="s">
        <v>69</v>
      </c>
      <c r="F54" t="s">
        <v>70</v>
      </c>
      <c r="G54" t="s">
        <v>62</v>
      </c>
      <c r="H54" t="s">
        <v>46</v>
      </c>
      <c r="I54">
        <v>2023</v>
      </c>
      <c r="J54">
        <v>1623.9911099999999</v>
      </c>
      <c r="L54">
        <v>20250315</v>
      </c>
      <c r="M54" t="s">
        <v>43</v>
      </c>
      <c r="O54">
        <f t="shared" si="0"/>
        <v>0</v>
      </c>
    </row>
    <row r="55" spans="1:15" x14ac:dyDescent="0.2">
      <c r="A55" t="s">
        <v>36</v>
      </c>
      <c r="B55" t="s">
        <v>37</v>
      </c>
      <c r="C55" t="s">
        <v>38</v>
      </c>
      <c r="D55" t="s">
        <v>39</v>
      </c>
      <c r="E55" t="s">
        <v>69</v>
      </c>
      <c r="F55" t="s">
        <v>70</v>
      </c>
      <c r="G55" t="s">
        <v>62</v>
      </c>
      <c r="H55" t="s">
        <v>42</v>
      </c>
      <c r="I55">
        <v>2023</v>
      </c>
      <c r="J55">
        <v>9.7409999999999997E-2</v>
      </c>
      <c r="L55">
        <v>20250315</v>
      </c>
      <c r="M55" t="s">
        <v>43</v>
      </c>
      <c r="O55">
        <f t="shared" si="0"/>
        <v>0</v>
      </c>
    </row>
    <row r="56" spans="1:15" x14ac:dyDescent="0.2">
      <c r="A56" t="s">
        <v>36</v>
      </c>
      <c r="B56" t="s">
        <v>37</v>
      </c>
      <c r="C56" t="s">
        <v>38</v>
      </c>
      <c r="D56" t="s">
        <v>39</v>
      </c>
      <c r="E56" t="s">
        <v>71</v>
      </c>
      <c r="F56" t="s">
        <v>72</v>
      </c>
      <c r="G56" t="s">
        <v>64</v>
      </c>
      <c r="H56" t="s">
        <v>42</v>
      </c>
      <c r="I56">
        <v>2023</v>
      </c>
      <c r="J56">
        <v>2.19312</v>
      </c>
      <c r="L56">
        <v>20250315</v>
      </c>
      <c r="M56" t="s">
        <v>43</v>
      </c>
      <c r="O56">
        <f t="shared" si="0"/>
        <v>0</v>
      </c>
    </row>
    <row r="57" spans="1:15" x14ac:dyDescent="0.2">
      <c r="A57" t="s">
        <v>36</v>
      </c>
      <c r="B57" t="s">
        <v>37</v>
      </c>
      <c r="C57" t="s">
        <v>38</v>
      </c>
      <c r="D57" t="s">
        <v>44</v>
      </c>
      <c r="E57" t="s">
        <v>71</v>
      </c>
      <c r="F57" t="s">
        <v>72</v>
      </c>
      <c r="G57" t="s">
        <v>64</v>
      </c>
      <c r="H57" t="s">
        <v>42</v>
      </c>
      <c r="I57">
        <v>2023</v>
      </c>
      <c r="J57">
        <v>16986.261139999999</v>
      </c>
      <c r="L57">
        <v>20250315</v>
      </c>
      <c r="M57" t="s">
        <v>43</v>
      </c>
      <c r="O57">
        <f t="shared" si="0"/>
        <v>0</v>
      </c>
    </row>
    <row r="58" spans="1:15" x14ac:dyDescent="0.2">
      <c r="A58" t="s">
        <v>36</v>
      </c>
      <c r="B58" t="s">
        <v>37</v>
      </c>
      <c r="C58" t="s">
        <v>38</v>
      </c>
      <c r="D58" t="s">
        <v>45</v>
      </c>
      <c r="E58" t="s">
        <v>71</v>
      </c>
      <c r="F58" t="s">
        <v>72</v>
      </c>
      <c r="G58" t="s">
        <v>64</v>
      </c>
      <c r="H58" t="s">
        <v>46</v>
      </c>
      <c r="I58">
        <v>2023</v>
      </c>
      <c r="J58">
        <v>17086.207549999999</v>
      </c>
      <c r="L58">
        <v>20250315</v>
      </c>
      <c r="M58" t="s">
        <v>43</v>
      </c>
      <c r="O58">
        <f t="shared" si="0"/>
        <v>0</v>
      </c>
    </row>
    <row r="59" spans="1:15" x14ac:dyDescent="0.2">
      <c r="A59" t="s">
        <v>36</v>
      </c>
      <c r="B59" t="s">
        <v>37</v>
      </c>
      <c r="C59" t="s">
        <v>38</v>
      </c>
      <c r="D59" t="s">
        <v>47</v>
      </c>
      <c r="E59" t="s">
        <v>71</v>
      </c>
      <c r="F59" t="s">
        <v>72</v>
      </c>
      <c r="G59" t="s">
        <v>64</v>
      </c>
      <c r="H59" t="s">
        <v>42</v>
      </c>
      <c r="I59">
        <v>2023</v>
      </c>
      <c r="J59">
        <v>0.14543</v>
      </c>
      <c r="L59">
        <v>20250315</v>
      </c>
      <c r="M59" t="s">
        <v>43</v>
      </c>
      <c r="O59">
        <f t="shared" si="0"/>
        <v>0</v>
      </c>
    </row>
    <row r="60" spans="1:15" x14ac:dyDescent="0.2">
      <c r="A60" t="s">
        <v>36</v>
      </c>
      <c r="B60" t="s">
        <v>37</v>
      </c>
      <c r="C60" t="s">
        <v>38</v>
      </c>
      <c r="D60" t="s">
        <v>45</v>
      </c>
      <c r="E60" t="s">
        <v>73</v>
      </c>
      <c r="F60" t="s">
        <v>74</v>
      </c>
      <c r="G60" t="s">
        <v>71</v>
      </c>
      <c r="H60" t="s">
        <v>46</v>
      </c>
      <c r="I60">
        <v>2023</v>
      </c>
      <c r="J60">
        <v>3613.8936600000002</v>
      </c>
      <c r="L60">
        <v>20250315</v>
      </c>
      <c r="M60" t="s">
        <v>43</v>
      </c>
      <c r="O60">
        <f t="shared" si="0"/>
        <v>0</v>
      </c>
    </row>
    <row r="61" spans="1:15" x14ac:dyDescent="0.2">
      <c r="A61" t="s">
        <v>36</v>
      </c>
      <c r="B61" t="s">
        <v>37</v>
      </c>
      <c r="C61" t="s">
        <v>38</v>
      </c>
      <c r="D61" t="s">
        <v>39</v>
      </c>
      <c r="E61" t="s">
        <v>73</v>
      </c>
      <c r="F61" t="s">
        <v>74</v>
      </c>
      <c r="G61" t="s">
        <v>71</v>
      </c>
      <c r="H61" t="s">
        <v>42</v>
      </c>
      <c r="I61">
        <v>2023</v>
      </c>
      <c r="J61">
        <v>7.349E-2</v>
      </c>
      <c r="L61">
        <v>20250315</v>
      </c>
      <c r="M61" t="s">
        <v>43</v>
      </c>
      <c r="O61">
        <f t="shared" si="0"/>
        <v>0</v>
      </c>
    </row>
    <row r="62" spans="1:15" x14ac:dyDescent="0.2">
      <c r="A62" t="s">
        <v>36</v>
      </c>
      <c r="B62" t="s">
        <v>37</v>
      </c>
      <c r="C62" t="s">
        <v>38</v>
      </c>
      <c r="D62" t="s">
        <v>44</v>
      </c>
      <c r="E62" t="s">
        <v>73</v>
      </c>
      <c r="F62" t="s">
        <v>74</v>
      </c>
      <c r="G62" t="s">
        <v>71</v>
      </c>
      <c r="H62" t="s">
        <v>42</v>
      </c>
      <c r="I62">
        <v>2023</v>
      </c>
      <c r="J62">
        <v>3607.4581600000001</v>
      </c>
      <c r="L62">
        <v>20250315</v>
      </c>
      <c r="M62" t="s">
        <v>43</v>
      </c>
      <c r="O62">
        <f t="shared" si="0"/>
        <v>0</v>
      </c>
    </row>
    <row r="63" spans="1:15" x14ac:dyDescent="0.2">
      <c r="A63" t="s">
        <v>36</v>
      </c>
      <c r="B63" t="s">
        <v>37</v>
      </c>
      <c r="C63" t="s">
        <v>38</v>
      </c>
      <c r="D63" t="s">
        <v>47</v>
      </c>
      <c r="E63" t="s">
        <v>73</v>
      </c>
      <c r="F63" t="s">
        <v>74</v>
      </c>
      <c r="G63" t="s">
        <v>71</v>
      </c>
      <c r="H63" t="s">
        <v>42</v>
      </c>
      <c r="I63">
        <v>2023</v>
      </c>
      <c r="J63">
        <v>1.652E-2</v>
      </c>
      <c r="L63">
        <v>20250315</v>
      </c>
      <c r="M63" t="s">
        <v>43</v>
      </c>
      <c r="O63">
        <f t="shared" si="0"/>
        <v>0</v>
      </c>
    </row>
    <row r="64" spans="1:15" x14ac:dyDescent="0.2">
      <c r="A64" t="s">
        <v>36</v>
      </c>
      <c r="B64" t="s">
        <v>37</v>
      </c>
      <c r="C64" t="s">
        <v>38</v>
      </c>
      <c r="D64" t="s">
        <v>45</v>
      </c>
      <c r="E64" t="s">
        <v>75</v>
      </c>
      <c r="F64" t="s">
        <v>76</v>
      </c>
      <c r="G64" t="s">
        <v>71</v>
      </c>
      <c r="H64" t="s">
        <v>46</v>
      </c>
      <c r="I64">
        <v>2023</v>
      </c>
      <c r="J64">
        <v>101.79509</v>
      </c>
      <c r="L64">
        <v>20250315</v>
      </c>
      <c r="M64" t="s">
        <v>43</v>
      </c>
      <c r="O64">
        <f t="shared" si="0"/>
        <v>0</v>
      </c>
    </row>
    <row r="65" spans="1:15" x14ac:dyDescent="0.2">
      <c r="A65" t="s">
        <v>36</v>
      </c>
      <c r="B65" t="s">
        <v>37</v>
      </c>
      <c r="C65" t="s">
        <v>38</v>
      </c>
      <c r="D65" t="s">
        <v>39</v>
      </c>
      <c r="E65" t="s">
        <v>75</v>
      </c>
      <c r="F65" t="s">
        <v>76</v>
      </c>
      <c r="G65" t="s">
        <v>71</v>
      </c>
      <c r="H65" t="s">
        <v>42</v>
      </c>
      <c r="I65">
        <v>2023</v>
      </c>
      <c r="J65">
        <v>1.038E-2</v>
      </c>
      <c r="L65">
        <v>20250315</v>
      </c>
      <c r="M65" t="s">
        <v>43</v>
      </c>
      <c r="O65">
        <f t="shared" si="0"/>
        <v>0</v>
      </c>
    </row>
    <row r="66" spans="1:15" x14ac:dyDescent="0.2">
      <c r="A66" t="s">
        <v>36</v>
      </c>
      <c r="B66" t="s">
        <v>37</v>
      </c>
      <c r="C66" t="s">
        <v>38</v>
      </c>
      <c r="D66" t="s">
        <v>44</v>
      </c>
      <c r="E66" t="s">
        <v>75</v>
      </c>
      <c r="F66" t="s">
        <v>76</v>
      </c>
      <c r="G66" t="s">
        <v>71</v>
      </c>
      <c r="H66" t="s">
        <v>42</v>
      </c>
      <c r="I66">
        <v>2023</v>
      </c>
      <c r="J66">
        <v>101.45617</v>
      </c>
      <c r="L66">
        <v>20250315</v>
      </c>
      <c r="M66" t="s">
        <v>43</v>
      </c>
      <c r="O66">
        <f t="shared" si="0"/>
        <v>0</v>
      </c>
    </row>
    <row r="67" spans="1:15" x14ac:dyDescent="0.2">
      <c r="A67" t="s">
        <v>36</v>
      </c>
      <c r="B67" t="s">
        <v>37</v>
      </c>
      <c r="C67" t="s">
        <v>38</v>
      </c>
      <c r="D67" t="s">
        <v>47</v>
      </c>
      <c r="E67" t="s">
        <v>75</v>
      </c>
      <c r="F67" t="s">
        <v>76</v>
      </c>
      <c r="G67" t="s">
        <v>71</v>
      </c>
      <c r="H67" t="s">
        <v>42</v>
      </c>
      <c r="I67">
        <v>2023</v>
      </c>
      <c r="J67">
        <v>1.8000000000000001E-4</v>
      </c>
      <c r="L67">
        <v>20250315</v>
      </c>
      <c r="M67" t="s">
        <v>43</v>
      </c>
      <c r="O67">
        <f t="shared" ref="O67:O130" si="1">IF(OR(G67=2,G67=3,G67=5,G67=6),1,0)</f>
        <v>0</v>
      </c>
    </row>
    <row r="68" spans="1:15" x14ac:dyDescent="0.2">
      <c r="A68" t="s">
        <v>36</v>
      </c>
      <c r="B68" t="s">
        <v>37</v>
      </c>
      <c r="C68" t="s">
        <v>38</v>
      </c>
      <c r="D68" t="s">
        <v>44</v>
      </c>
      <c r="E68" t="s">
        <v>77</v>
      </c>
      <c r="F68" t="s">
        <v>78</v>
      </c>
      <c r="G68" t="s">
        <v>71</v>
      </c>
      <c r="H68" t="s">
        <v>42</v>
      </c>
      <c r="I68">
        <v>2023</v>
      </c>
      <c r="J68">
        <v>5802.7649700000002</v>
      </c>
      <c r="L68">
        <v>20250315</v>
      </c>
      <c r="M68" t="s">
        <v>43</v>
      </c>
      <c r="O68">
        <f t="shared" si="1"/>
        <v>0</v>
      </c>
    </row>
    <row r="69" spans="1:15" x14ac:dyDescent="0.2">
      <c r="A69" t="s">
        <v>36</v>
      </c>
      <c r="B69" t="s">
        <v>37</v>
      </c>
      <c r="C69" t="s">
        <v>38</v>
      </c>
      <c r="D69" t="s">
        <v>39</v>
      </c>
      <c r="E69" t="s">
        <v>77</v>
      </c>
      <c r="F69" t="s">
        <v>78</v>
      </c>
      <c r="G69" t="s">
        <v>71</v>
      </c>
      <c r="H69" t="s">
        <v>42</v>
      </c>
      <c r="I69">
        <v>2023</v>
      </c>
      <c r="J69">
        <v>0.63090999999999997</v>
      </c>
      <c r="L69">
        <v>20250315</v>
      </c>
      <c r="M69" t="s">
        <v>43</v>
      </c>
      <c r="O69">
        <f t="shared" si="1"/>
        <v>0</v>
      </c>
    </row>
    <row r="70" spans="1:15" x14ac:dyDescent="0.2">
      <c r="A70" t="s">
        <v>36</v>
      </c>
      <c r="B70" t="s">
        <v>37</v>
      </c>
      <c r="C70" t="s">
        <v>38</v>
      </c>
      <c r="D70" t="s">
        <v>45</v>
      </c>
      <c r="E70" t="s">
        <v>77</v>
      </c>
      <c r="F70" t="s">
        <v>78</v>
      </c>
      <c r="G70" t="s">
        <v>71</v>
      </c>
      <c r="H70" t="s">
        <v>46</v>
      </c>
      <c r="I70">
        <v>2023</v>
      </c>
      <c r="J70">
        <v>5823.3316500000001</v>
      </c>
      <c r="L70">
        <v>20250315</v>
      </c>
      <c r="M70" t="s">
        <v>43</v>
      </c>
      <c r="O70">
        <f t="shared" si="1"/>
        <v>0</v>
      </c>
    </row>
    <row r="71" spans="1:15" x14ac:dyDescent="0.2">
      <c r="A71" t="s">
        <v>36</v>
      </c>
      <c r="B71" t="s">
        <v>37</v>
      </c>
      <c r="C71" t="s">
        <v>38</v>
      </c>
      <c r="D71" t="s">
        <v>47</v>
      </c>
      <c r="E71" t="s">
        <v>77</v>
      </c>
      <c r="F71" t="s">
        <v>78</v>
      </c>
      <c r="G71" t="s">
        <v>71</v>
      </c>
      <c r="H71" t="s">
        <v>42</v>
      </c>
      <c r="I71">
        <v>2023</v>
      </c>
      <c r="J71">
        <v>1.095E-2</v>
      </c>
      <c r="L71">
        <v>20250315</v>
      </c>
      <c r="M71" t="s">
        <v>43</v>
      </c>
      <c r="O71">
        <f t="shared" si="1"/>
        <v>0</v>
      </c>
    </row>
    <row r="72" spans="1:15" x14ac:dyDescent="0.2">
      <c r="A72" t="s">
        <v>36</v>
      </c>
      <c r="B72" t="s">
        <v>37</v>
      </c>
      <c r="C72" t="s">
        <v>38</v>
      </c>
      <c r="D72" t="s">
        <v>39</v>
      </c>
      <c r="E72" t="s">
        <v>79</v>
      </c>
      <c r="F72" t="s">
        <v>80</v>
      </c>
      <c r="G72" t="s">
        <v>71</v>
      </c>
      <c r="H72" t="s">
        <v>42</v>
      </c>
      <c r="I72">
        <v>2023</v>
      </c>
      <c r="J72">
        <v>6.7970000000000003E-2</v>
      </c>
      <c r="L72">
        <v>20250315</v>
      </c>
      <c r="M72" t="s">
        <v>43</v>
      </c>
      <c r="O72">
        <f t="shared" si="1"/>
        <v>0</v>
      </c>
    </row>
    <row r="73" spans="1:15" x14ac:dyDescent="0.2">
      <c r="A73" t="s">
        <v>36</v>
      </c>
      <c r="B73" t="s">
        <v>37</v>
      </c>
      <c r="C73" t="s">
        <v>38</v>
      </c>
      <c r="D73" t="s">
        <v>47</v>
      </c>
      <c r="E73" t="s">
        <v>79</v>
      </c>
      <c r="F73" t="s">
        <v>80</v>
      </c>
      <c r="G73" t="s">
        <v>71</v>
      </c>
      <c r="H73" t="s">
        <v>42</v>
      </c>
      <c r="I73">
        <v>2023</v>
      </c>
      <c r="J73">
        <v>1.1999999999999999E-3</v>
      </c>
      <c r="L73">
        <v>20250315</v>
      </c>
      <c r="M73" t="s">
        <v>43</v>
      </c>
      <c r="O73">
        <f t="shared" si="1"/>
        <v>0</v>
      </c>
    </row>
    <row r="74" spans="1:15" x14ac:dyDescent="0.2">
      <c r="A74" t="s">
        <v>36</v>
      </c>
      <c r="B74" t="s">
        <v>37</v>
      </c>
      <c r="C74" t="s">
        <v>38</v>
      </c>
      <c r="D74" t="s">
        <v>45</v>
      </c>
      <c r="E74" t="s">
        <v>79</v>
      </c>
      <c r="F74" t="s">
        <v>80</v>
      </c>
      <c r="G74" t="s">
        <v>71</v>
      </c>
      <c r="H74" t="s">
        <v>46</v>
      </c>
      <c r="I74">
        <v>2023</v>
      </c>
      <c r="J74">
        <v>647.45879000000002</v>
      </c>
      <c r="L74">
        <v>20250315</v>
      </c>
      <c r="M74" t="s">
        <v>43</v>
      </c>
      <c r="O74">
        <f t="shared" si="1"/>
        <v>0</v>
      </c>
    </row>
    <row r="75" spans="1:15" x14ac:dyDescent="0.2">
      <c r="A75" t="s">
        <v>36</v>
      </c>
      <c r="B75" t="s">
        <v>37</v>
      </c>
      <c r="C75" t="s">
        <v>38</v>
      </c>
      <c r="D75" t="s">
        <v>44</v>
      </c>
      <c r="E75" t="s">
        <v>79</v>
      </c>
      <c r="F75" t="s">
        <v>80</v>
      </c>
      <c r="G75" t="s">
        <v>71</v>
      </c>
      <c r="H75" t="s">
        <v>42</v>
      </c>
      <c r="I75">
        <v>2023</v>
      </c>
      <c r="J75">
        <v>645.23833000000002</v>
      </c>
      <c r="L75">
        <v>20250315</v>
      </c>
      <c r="M75" t="s">
        <v>43</v>
      </c>
      <c r="O75">
        <f t="shared" si="1"/>
        <v>0</v>
      </c>
    </row>
    <row r="76" spans="1:15" x14ac:dyDescent="0.2">
      <c r="A76" t="s">
        <v>36</v>
      </c>
      <c r="B76" t="s">
        <v>37</v>
      </c>
      <c r="C76" t="s">
        <v>38</v>
      </c>
      <c r="D76" t="s">
        <v>47</v>
      </c>
      <c r="E76" t="s">
        <v>81</v>
      </c>
      <c r="F76" t="s">
        <v>82</v>
      </c>
      <c r="G76" t="s">
        <v>71</v>
      </c>
      <c r="H76" t="s">
        <v>42</v>
      </c>
      <c r="I76">
        <v>2023</v>
      </c>
      <c r="J76">
        <v>6.2100000000000002E-3</v>
      </c>
      <c r="L76">
        <v>20250315</v>
      </c>
      <c r="M76" t="s">
        <v>43</v>
      </c>
      <c r="O76">
        <f t="shared" si="1"/>
        <v>0</v>
      </c>
    </row>
    <row r="77" spans="1:15" x14ac:dyDescent="0.2">
      <c r="A77" t="s">
        <v>36</v>
      </c>
      <c r="B77" t="s">
        <v>37</v>
      </c>
      <c r="C77" t="s">
        <v>38</v>
      </c>
      <c r="D77" t="s">
        <v>45</v>
      </c>
      <c r="E77" t="s">
        <v>81</v>
      </c>
      <c r="F77" t="s">
        <v>82</v>
      </c>
      <c r="G77" t="s">
        <v>71</v>
      </c>
      <c r="H77" t="s">
        <v>46</v>
      </c>
      <c r="I77">
        <v>2023</v>
      </c>
      <c r="J77">
        <v>3187.7868899999999</v>
      </c>
      <c r="L77">
        <v>20250315</v>
      </c>
      <c r="M77" t="s">
        <v>43</v>
      </c>
      <c r="O77">
        <f t="shared" si="1"/>
        <v>0</v>
      </c>
    </row>
    <row r="78" spans="1:15" x14ac:dyDescent="0.2">
      <c r="A78" t="s">
        <v>36</v>
      </c>
      <c r="B78" t="s">
        <v>37</v>
      </c>
      <c r="C78" t="s">
        <v>38</v>
      </c>
      <c r="D78" t="s">
        <v>39</v>
      </c>
      <c r="E78" t="s">
        <v>81</v>
      </c>
      <c r="F78" t="s">
        <v>82</v>
      </c>
      <c r="G78" t="s">
        <v>71</v>
      </c>
      <c r="H78" t="s">
        <v>42</v>
      </c>
      <c r="I78">
        <v>2023</v>
      </c>
      <c r="J78">
        <v>0.55486000000000002</v>
      </c>
      <c r="L78">
        <v>20250315</v>
      </c>
      <c r="M78" t="s">
        <v>43</v>
      </c>
      <c r="O78">
        <f t="shared" si="1"/>
        <v>0</v>
      </c>
    </row>
    <row r="79" spans="1:15" x14ac:dyDescent="0.2">
      <c r="A79" t="s">
        <v>36</v>
      </c>
      <c r="B79" t="s">
        <v>37</v>
      </c>
      <c r="C79" t="s">
        <v>38</v>
      </c>
      <c r="D79" t="s">
        <v>44</v>
      </c>
      <c r="E79" t="s">
        <v>81</v>
      </c>
      <c r="F79" t="s">
        <v>82</v>
      </c>
      <c r="G79" t="s">
        <v>71</v>
      </c>
      <c r="H79" t="s">
        <v>42</v>
      </c>
      <c r="I79">
        <v>2023</v>
      </c>
      <c r="J79">
        <v>3170.6060900000002</v>
      </c>
      <c r="L79">
        <v>20250315</v>
      </c>
      <c r="M79" t="s">
        <v>43</v>
      </c>
      <c r="O79">
        <f t="shared" si="1"/>
        <v>0</v>
      </c>
    </row>
    <row r="80" spans="1:15" x14ac:dyDescent="0.2">
      <c r="A80" t="s">
        <v>36</v>
      </c>
      <c r="B80" t="s">
        <v>37</v>
      </c>
      <c r="C80" t="s">
        <v>38</v>
      </c>
      <c r="D80" t="s">
        <v>39</v>
      </c>
      <c r="E80" t="s">
        <v>83</v>
      </c>
      <c r="F80" t="s">
        <v>84</v>
      </c>
      <c r="G80" t="s">
        <v>71</v>
      </c>
      <c r="H80" t="s">
        <v>42</v>
      </c>
      <c r="I80">
        <v>2023</v>
      </c>
      <c r="J80">
        <v>0.13300999999999999</v>
      </c>
      <c r="L80">
        <v>20250315</v>
      </c>
      <c r="M80" t="s">
        <v>43</v>
      </c>
      <c r="O80">
        <f t="shared" si="1"/>
        <v>0</v>
      </c>
    </row>
    <row r="81" spans="1:15" x14ac:dyDescent="0.2">
      <c r="A81" t="s">
        <v>36</v>
      </c>
      <c r="B81" t="s">
        <v>37</v>
      </c>
      <c r="C81" t="s">
        <v>38</v>
      </c>
      <c r="D81" t="s">
        <v>47</v>
      </c>
      <c r="E81" t="s">
        <v>83</v>
      </c>
      <c r="F81" t="s">
        <v>84</v>
      </c>
      <c r="G81" t="s">
        <v>71</v>
      </c>
      <c r="H81" t="s">
        <v>42</v>
      </c>
      <c r="I81">
        <v>2023</v>
      </c>
      <c r="J81">
        <v>2.7599999999999999E-3</v>
      </c>
      <c r="L81">
        <v>20250315</v>
      </c>
      <c r="M81" t="s">
        <v>43</v>
      </c>
      <c r="O81">
        <f t="shared" si="1"/>
        <v>0</v>
      </c>
    </row>
    <row r="82" spans="1:15" x14ac:dyDescent="0.2">
      <c r="A82" t="s">
        <v>36</v>
      </c>
      <c r="B82" t="s">
        <v>37</v>
      </c>
      <c r="C82" t="s">
        <v>38</v>
      </c>
      <c r="D82" t="s">
        <v>44</v>
      </c>
      <c r="E82" t="s">
        <v>83</v>
      </c>
      <c r="F82" t="s">
        <v>84</v>
      </c>
      <c r="G82" t="s">
        <v>71</v>
      </c>
      <c r="H82" t="s">
        <v>42</v>
      </c>
      <c r="I82">
        <v>2023</v>
      </c>
      <c r="J82">
        <v>1006.90796</v>
      </c>
      <c r="L82">
        <v>20250315</v>
      </c>
      <c r="M82" t="s">
        <v>43</v>
      </c>
      <c r="O82">
        <f t="shared" si="1"/>
        <v>0</v>
      </c>
    </row>
    <row r="83" spans="1:15" x14ac:dyDescent="0.2">
      <c r="A83" t="s">
        <v>36</v>
      </c>
      <c r="B83" t="s">
        <v>37</v>
      </c>
      <c r="C83" t="s">
        <v>38</v>
      </c>
      <c r="D83" t="s">
        <v>45</v>
      </c>
      <c r="E83" t="s">
        <v>83</v>
      </c>
      <c r="F83" t="s">
        <v>84</v>
      </c>
      <c r="G83" t="s">
        <v>71</v>
      </c>
      <c r="H83" t="s">
        <v>46</v>
      </c>
      <c r="I83">
        <v>2023</v>
      </c>
      <c r="J83">
        <v>1011.36434</v>
      </c>
      <c r="L83">
        <v>20250315</v>
      </c>
      <c r="M83" t="s">
        <v>43</v>
      </c>
      <c r="O83">
        <f t="shared" si="1"/>
        <v>0</v>
      </c>
    </row>
    <row r="84" spans="1:15" x14ac:dyDescent="0.2">
      <c r="A84" t="s">
        <v>36</v>
      </c>
      <c r="B84" t="s">
        <v>37</v>
      </c>
      <c r="C84" t="s">
        <v>38</v>
      </c>
      <c r="D84" t="s">
        <v>45</v>
      </c>
      <c r="E84" t="s">
        <v>85</v>
      </c>
      <c r="F84" t="s">
        <v>86</v>
      </c>
      <c r="G84" t="s">
        <v>71</v>
      </c>
      <c r="H84" t="s">
        <v>46</v>
      </c>
      <c r="I84">
        <v>2023</v>
      </c>
      <c r="J84">
        <v>2700.5771300000001</v>
      </c>
      <c r="L84">
        <v>20250315</v>
      </c>
      <c r="M84" t="s">
        <v>43</v>
      </c>
      <c r="O84">
        <f t="shared" si="1"/>
        <v>0</v>
      </c>
    </row>
    <row r="85" spans="1:15" x14ac:dyDescent="0.2">
      <c r="A85" t="s">
        <v>36</v>
      </c>
      <c r="B85" t="s">
        <v>37</v>
      </c>
      <c r="C85" t="s">
        <v>38</v>
      </c>
      <c r="D85" t="s">
        <v>47</v>
      </c>
      <c r="E85" t="s">
        <v>85</v>
      </c>
      <c r="F85" t="s">
        <v>86</v>
      </c>
      <c r="G85" t="s">
        <v>71</v>
      </c>
      <c r="H85" t="s">
        <v>42</v>
      </c>
      <c r="I85">
        <v>2023</v>
      </c>
      <c r="J85">
        <v>0.10761</v>
      </c>
      <c r="L85">
        <v>20250315</v>
      </c>
      <c r="M85" t="s">
        <v>43</v>
      </c>
      <c r="O85">
        <f t="shared" si="1"/>
        <v>0</v>
      </c>
    </row>
    <row r="86" spans="1:15" x14ac:dyDescent="0.2">
      <c r="A86" t="s">
        <v>36</v>
      </c>
      <c r="B86" t="s">
        <v>37</v>
      </c>
      <c r="C86" t="s">
        <v>38</v>
      </c>
      <c r="D86" t="s">
        <v>44</v>
      </c>
      <c r="E86" t="s">
        <v>85</v>
      </c>
      <c r="F86" t="s">
        <v>86</v>
      </c>
      <c r="G86" t="s">
        <v>71</v>
      </c>
      <c r="H86" t="s">
        <v>42</v>
      </c>
      <c r="I86">
        <v>2023</v>
      </c>
      <c r="J86">
        <v>2651.8294599999999</v>
      </c>
      <c r="L86">
        <v>20250315</v>
      </c>
      <c r="M86" t="s">
        <v>43</v>
      </c>
      <c r="O86">
        <f t="shared" si="1"/>
        <v>0</v>
      </c>
    </row>
    <row r="87" spans="1:15" x14ac:dyDescent="0.2">
      <c r="A87" t="s">
        <v>36</v>
      </c>
      <c r="B87" t="s">
        <v>37</v>
      </c>
      <c r="C87" t="s">
        <v>38</v>
      </c>
      <c r="D87" t="s">
        <v>39</v>
      </c>
      <c r="E87" t="s">
        <v>85</v>
      </c>
      <c r="F87" t="s">
        <v>86</v>
      </c>
      <c r="G87" t="s">
        <v>71</v>
      </c>
      <c r="H87" t="s">
        <v>42</v>
      </c>
      <c r="I87">
        <v>2023</v>
      </c>
      <c r="J87">
        <v>0.72250000000000003</v>
      </c>
      <c r="L87">
        <v>20250315</v>
      </c>
      <c r="M87" t="s">
        <v>43</v>
      </c>
      <c r="O87">
        <f t="shared" si="1"/>
        <v>0</v>
      </c>
    </row>
    <row r="88" spans="1:15" x14ac:dyDescent="0.2">
      <c r="A88" t="s">
        <v>36</v>
      </c>
      <c r="B88" t="s">
        <v>37</v>
      </c>
      <c r="C88" t="s">
        <v>38</v>
      </c>
      <c r="D88" t="s">
        <v>44</v>
      </c>
      <c r="E88" t="s">
        <v>87</v>
      </c>
      <c r="F88" t="s">
        <v>88</v>
      </c>
      <c r="G88" t="s">
        <v>64</v>
      </c>
      <c r="H88" t="s">
        <v>42</v>
      </c>
      <c r="I88">
        <v>2023</v>
      </c>
      <c r="J88">
        <v>26155.089769999999</v>
      </c>
      <c r="L88">
        <v>20250315</v>
      </c>
      <c r="M88" t="s">
        <v>43</v>
      </c>
      <c r="O88">
        <f t="shared" si="1"/>
        <v>0</v>
      </c>
    </row>
    <row r="89" spans="1:15" x14ac:dyDescent="0.2">
      <c r="A89" t="s">
        <v>36</v>
      </c>
      <c r="B89" t="s">
        <v>37</v>
      </c>
      <c r="C89" t="s">
        <v>38</v>
      </c>
      <c r="D89" t="s">
        <v>47</v>
      </c>
      <c r="E89" t="s">
        <v>87</v>
      </c>
      <c r="F89" t="s">
        <v>88</v>
      </c>
      <c r="G89" t="s">
        <v>64</v>
      </c>
      <c r="H89" t="s">
        <v>42</v>
      </c>
      <c r="I89">
        <v>2023</v>
      </c>
      <c r="J89">
        <v>1.1328199999999999</v>
      </c>
      <c r="L89">
        <v>20250315</v>
      </c>
      <c r="M89" t="s">
        <v>43</v>
      </c>
      <c r="O89">
        <f t="shared" si="1"/>
        <v>0</v>
      </c>
    </row>
    <row r="90" spans="1:15" x14ac:dyDescent="0.2">
      <c r="A90" t="s">
        <v>36</v>
      </c>
      <c r="B90" t="s">
        <v>37</v>
      </c>
      <c r="C90" t="s">
        <v>38</v>
      </c>
      <c r="D90" t="s">
        <v>45</v>
      </c>
      <c r="E90" t="s">
        <v>87</v>
      </c>
      <c r="F90" t="s">
        <v>88</v>
      </c>
      <c r="G90" t="s">
        <v>64</v>
      </c>
      <c r="H90" t="s">
        <v>46</v>
      </c>
      <c r="I90">
        <v>2023</v>
      </c>
      <c r="J90">
        <v>26522.409830000001</v>
      </c>
      <c r="L90">
        <v>20250315</v>
      </c>
      <c r="M90" t="s">
        <v>43</v>
      </c>
      <c r="O90">
        <f t="shared" si="1"/>
        <v>0</v>
      </c>
    </row>
    <row r="91" spans="1:15" x14ac:dyDescent="0.2">
      <c r="A91" t="s">
        <v>36</v>
      </c>
      <c r="B91" t="s">
        <v>37</v>
      </c>
      <c r="C91" t="s">
        <v>38</v>
      </c>
      <c r="D91" t="s">
        <v>39</v>
      </c>
      <c r="E91" t="s">
        <v>87</v>
      </c>
      <c r="F91" t="s">
        <v>88</v>
      </c>
      <c r="G91" t="s">
        <v>64</v>
      </c>
      <c r="H91" t="s">
        <v>42</v>
      </c>
      <c r="I91">
        <v>2023</v>
      </c>
      <c r="J91">
        <v>2.3972500000000001</v>
      </c>
      <c r="L91">
        <v>20250315</v>
      </c>
      <c r="M91" t="s">
        <v>43</v>
      </c>
      <c r="O91">
        <f t="shared" si="1"/>
        <v>0</v>
      </c>
    </row>
    <row r="92" spans="1:15" x14ac:dyDescent="0.2">
      <c r="A92" t="s">
        <v>36</v>
      </c>
      <c r="B92" t="s">
        <v>37</v>
      </c>
      <c r="C92" t="s">
        <v>38</v>
      </c>
      <c r="D92" t="s">
        <v>39</v>
      </c>
      <c r="E92" t="s">
        <v>89</v>
      </c>
      <c r="F92" t="s">
        <v>90</v>
      </c>
      <c r="G92" t="s">
        <v>87</v>
      </c>
      <c r="H92" t="s">
        <v>42</v>
      </c>
      <c r="I92">
        <v>2023</v>
      </c>
      <c r="J92">
        <v>2.0799999999999998E-3</v>
      </c>
      <c r="L92">
        <v>20250315</v>
      </c>
      <c r="M92" t="s">
        <v>43</v>
      </c>
      <c r="O92">
        <f t="shared" si="1"/>
        <v>0</v>
      </c>
    </row>
    <row r="93" spans="1:15" x14ac:dyDescent="0.2">
      <c r="A93" t="s">
        <v>36</v>
      </c>
      <c r="B93" t="s">
        <v>37</v>
      </c>
      <c r="C93" t="s">
        <v>38</v>
      </c>
      <c r="D93" t="s">
        <v>45</v>
      </c>
      <c r="E93" t="s">
        <v>89</v>
      </c>
      <c r="F93" t="s">
        <v>90</v>
      </c>
      <c r="G93" t="s">
        <v>87</v>
      </c>
      <c r="H93" t="s">
        <v>46</v>
      </c>
      <c r="I93">
        <v>2023</v>
      </c>
      <c r="J93">
        <v>29.370509999999999</v>
      </c>
      <c r="L93">
        <v>20250315</v>
      </c>
      <c r="M93" t="s">
        <v>43</v>
      </c>
      <c r="O93">
        <f t="shared" si="1"/>
        <v>0</v>
      </c>
    </row>
    <row r="94" spans="1:15" x14ac:dyDescent="0.2">
      <c r="A94" t="s">
        <v>36</v>
      </c>
      <c r="B94" t="s">
        <v>37</v>
      </c>
      <c r="C94" t="s">
        <v>38</v>
      </c>
      <c r="D94" t="s">
        <v>44</v>
      </c>
      <c r="E94" t="s">
        <v>89</v>
      </c>
      <c r="F94" t="s">
        <v>90</v>
      </c>
      <c r="G94" t="s">
        <v>87</v>
      </c>
      <c r="H94" t="s">
        <v>42</v>
      </c>
      <c r="I94">
        <v>2023</v>
      </c>
      <c r="J94">
        <v>29.096720000000001</v>
      </c>
      <c r="L94">
        <v>20250315</v>
      </c>
      <c r="M94" t="s">
        <v>43</v>
      </c>
      <c r="O94">
        <f t="shared" si="1"/>
        <v>0</v>
      </c>
    </row>
    <row r="95" spans="1:15" x14ac:dyDescent="0.2">
      <c r="A95" t="s">
        <v>36</v>
      </c>
      <c r="B95" t="s">
        <v>37</v>
      </c>
      <c r="C95" t="s">
        <v>38</v>
      </c>
      <c r="D95" t="s">
        <v>47</v>
      </c>
      <c r="E95" t="s">
        <v>89</v>
      </c>
      <c r="F95" t="s">
        <v>90</v>
      </c>
      <c r="G95" t="s">
        <v>87</v>
      </c>
      <c r="H95" t="s">
        <v>42</v>
      </c>
      <c r="I95">
        <v>2023</v>
      </c>
      <c r="J95">
        <v>8.0999999999999996E-4</v>
      </c>
      <c r="L95">
        <v>20250315</v>
      </c>
      <c r="M95" t="s">
        <v>43</v>
      </c>
      <c r="O95">
        <f t="shared" si="1"/>
        <v>0</v>
      </c>
    </row>
    <row r="96" spans="1:15" x14ac:dyDescent="0.2">
      <c r="A96" t="s">
        <v>36</v>
      </c>
      <c r="B96" t="s">
        <v>37</v>
      </c>
      <c r="C96" t="s">
        <v>38</v>
      </c>
      <c r="D96" t="s">
        <v>47</v>
      </c>
      <c r="E96" t="s">
        <v>91</v>
      </c>
      <c r="F96" t="s">
        <v>92</v>
      </c>
      <c r="G96" t="s">
        <v>87</v>
      </c>
      <c r="H96" t="s">
        <v>42</v>
      </c>
      <c r="I96">
        <v>2023</v>
      </c>
      <c r="J96">
        <v>1.10721</v>
      </c>
      <c r="L96">
        <v>20250315</v>
      </c>
      <c r="M96" t="s">
        <v>43</v>
      </c>
      <c r="O96">
        <f t="shared" si="1"/>
        <v>0</v>
      </c>
    </row>
    <row r="97" spans="1:15" x14ac:dyDescent="0.2">
      <c r="A97" t="s">
        <v>36</v>
      </c>
      <c r="B97" t="s">
        <v>37</v>
      </c>
      <c r="C97" t="s">
        <v>38</v>
      </c>
      <c r="D97" t="s">
        <v>44</v>
      </c>
      <c r="E97" t="s">
        <v>91</v>
      </c>
      <c r="F97" t="s">
        <v>92</v>
      </c>
      <c r="G97" t="s">
        <v>87</v>
      </c>
      <c r="H97" t="s">
        <v>42</v>
      </c>
      <c r="I97">
        <v>2023</v>
      </c>
      <c r="J97">
        <v>25070.38795</v>
      </c>
      <c r="L97">
        <v>20250315</v>
      </c>
      <c r="M97" t="s">
        <v>43</v>
      </c>
      <c r="O97">
        <f t="shared" si="1"/>
        <v>0</v>
      </c>
    </row>
    <row r="98" spans="1:15" x14ac:dyDescent="0.2">
      <c r="A98" t="s">
        <v>36</v>
      </c>
      <c r="B98" t="s">
        <v>37</v>
      </c>
      <c r="C98" t="s">
        <v>38</v>
      </c>
      <c r="D98" t="s">
        <v>45</v>
      </c>
      <c r="E98" t="s">
        <v>91</v>
      </c>
      <c r="F98" t="s">
        <v>92</v>
      </c>
      <c r="G98" t="s">
        <v>87</v>
      </c>
      <c r="H98" t="s">
        <v>46</v>
      </c>
      <c r="I98">
        <v>2023</v>
      </c>
      <c r="J98">
        <v>25422.658950000001</v>
      </c>
      <c r="L98">
        <v>20250315</v>
      </c>
      <c r="M98" t="s">
        <v>43</v>
      </c>
      <c r="O98">
        <f t="shared" si="1"/>
        <v>0</v>
      </c>
    </row>
    <row r="99" spans="1:15" x14ac:dyDescent="0.2">
      <c r="A99" t="s">
        <v>36</v>
      </c>
      <c r="B99" t="s">
        <v>37</v>
      </c>
      <c r="C99" t="s">
        <v>38</v>
      </c>
      <c r="D99" t="s">
        <v>39</v>
      </c>
      <c r="E99" t="s">
        <v>91</v>
      </c>
      <c r="F99" t="s">
        <v>92</v>
      </c>
      <c r="G99" t="s">
        <v>87</v>
      </c>
      <c r="H99" t="s">
        <v>42</v>
      </c>
      <c r="I99">
        <v>2023</v>
      </c>
      <c r="J99">
        <v>2.1021999999999998</v>
      </c>
      <c r="L99">
        <v>20250315</v>
      </c>
      <c r="M99" t="s">
        <v>43</v>
      </c>
      <c r="O99">
        <f t="shared" si="1"/>
        <v>0</v>
      </c>
    </row>
    <row r="100" spans="1:15" x14ac:dyDescent="0.2">
      <c r="A100" t="s">
        <v>36</v>
      </c>
      <c r="B100" t="s">
        <v>37</v>
      </c>
      <c r="C100" t="s">
        <v>38</v>
      </c>
      <c r="D100" t="s">
        <v>45</v>
      </c>
      <c r="E100" t="s">
        <v>93</v>
      </c>
      <c r="F100" t="s">
        <v>94</v>
      </c>
      <c r="G100" t="s">
        <v>91</v>
      </c>
      <c r="H100" t="s">
        <v>46</v>
      </c>
      <c r="I100">
        <v>2023</v>
      </c>
      <c r="J100">
        <v>14645.15437</v>
      </c>
      <c r="L100">
        <v>20250315</v>
      </c>
      <c r="M100" t="s">
        <v>43</v>
      </c>
      <c r="O100">
        <f t="shared" si="1"/>
        <v>0</v>
      </c>
    </row>
    <row r="101" spans="1:15" x14ac:dyDescent="0.2">
      <c r="A101" t="s">
        <v>36</v>
      </c>
      <c r="B101" t="s">
        <v>37</v>
      </c>
      <c r="C101" t="s">
        <v>38</v>
      </c>
      <c r="D101" t="s">
        <v>44</v>
      </c>
      <c r="E101" t="s">
        <v>93</v>
      </c>
      <c r="F101" t="s">
        <v>94</v>
      </c>
      <c r="G101" t="s">
        <v>91</v>
      </c>
      <c r="H101" t="s">
        <v>42</v>
      </c>
      <c r="I101">
        <v>2023</v>
      </c>
      <c r="J101">
        <v>14457.05343</v>
      </c>
      <c r="L101">
        <v>20250315</v>
      </c>
      <c r="M101" t="s">
        <v>43</v>
      </c>
      <c r="O101">
        <f t="shared" si="1"/>
        <v>0</v>
      </c>
    </row>
    <row r="102" spans="1:15" x14ac:dyDescent="0.2">
      <c r="A102" t="s">
        <v>36</v>
      </c>
      <c r="B102" t="s">
        <v>37</v>
      </c>
      <c r="C102" t="s">
        <v>38</v>
      </c>
      <c r="D102" t="s">
        <v>47</v>
      </c>
      <c r="E102" t="s">
        <v>93</v>
      </c>
      <c r="F102" t="s">
        <v>94</v>
      </c>
      <c r="G102" t="s">
        <v>91</v>
      </c>
      <c r="H102" t="s">
        <v>42</v>
      </c>
      <c r="I102">
        <v>2023</v>
      </c>
      <c r="J102">
        <v>0.56703000000000003</v>
      </c>
      <c r="L102">
        <v>20250315</v>
      </c>
      <c r="M102" t="s">
        <v>43</v>
      </c>
      <c r="O102">
        <f t="shared" si="1"/>
        <v>0</v>
      </c>
    </row>
    <row r="103" spans="1:15" x14ac:dyDescent="0.2">
      <c r="A103" t="s">
        <v>36</v>
      </c>
      <c r="B103" t="s">
        <v>37</v>
      </c>
      <c r="C103" t="s">
        <v>38</v>
      </c>
      <c r="D103" t="s">
        <v>39</v>
      </c>
      <c r="E103" t="s">
        <v>93</v>
      </c>
      <c r="F103" t="s">
        <v>94</v>
      </c>
      <c r="G103" t="s">
        <v>91</v>
      </c>
      <c r="H103" t="s">
        <v>42</v>
      </c>
      <c r="I103">
        <v>2023</v>
      </c>
      <c r="J103">
        <v>1.3513900000000001</v>
      </c>
      <c r="L103">
        <v>20250315</v>
      </c>
      <c r="M103" t="s">
        <v>43</v>
      </c>
      <c r="O103">
        <f t="shared" si="1"/>
        <v>0</v>
      </c>
    </row>
    <row r="104" spans="1:15" x14ac:dyDescent="0.2">
      <c r="A104" t="s">
        <v>36</v>
      </c>
      <c r="B104" t="s">
        <v>37</v>
      </c>
      <c r="C104" t="s">
        <v>38</v>
      </c>
      <c r="D104" t="s">
        <v>47</v>
      </c>
      <c r="E104" t="s">
        <v>95</v>
      </c>
      <c r="F104" t="s">
        <v>96</v>
      </c>
      <c r="G104" t="s">
        <v>91</v>
      </c>
      <c r="H104" t="s">
        <v>42</v>
      </c>
      <c r="I104">
        <v>2023</v>
      </c>
      <c r="J104">
        <v>0.12495000000000001</v>
      </c>
      <c r="L104">
        <v>20250315</v>
      </c>
      <c r="M104" t="s">
        <v>43</v>
      </c>
      <c r="O104">
        <f t="shared" si="1"/>
        <v>0</v>
      </c>
    </row>
    <row r="105" spans="1:15" x14ac:dyDescent="0.2">
      <c r="A105" t="s">
        <v>36</v>
      </c>
      <c r="B105" t="s">
        <v>37</v>
      </c>
      <c r="C105" t="s">
        <v>38</v>
      </c>
      <c r="D105" t="s">
        <v>44</v>
      </c>
      <c r="E105" t="s">
        <v>95</v>
      </c>
      <c r="F105" t="s">
        <v>96</v>
      </c>
      <c r="G105" t="s">
        <v>91</v>
      </c>
      <c r="H105" t="s">
        <v>42</v>
      </c>
      <c r="I105">
        <v>2023</v>
      </c>
      <c r="J105">
        <v>3726.3455800000002</v>
      </c>
      <c r="L105">
        <v>20250315</v>
      </c>
      <c r="M105" t="s">
        <v>43</v>
      </c>
      <c r="O105">
        <f t="shared" si="1"/>
        <v>0</v>
      </c>
    </row>
    <row r="106" spans="1:15" x14ac:dyDescent="0.2">
      <c r="A106" t="s">
        <v>36</v>
      </c>
      <c r="B106" t="s">
        <v>37</v>
      </c>
      <c r="C106" t="s">
        <v>38</v>
      </c>
      <c r="D106" t="s">
        <v>45</v>
      </c>
      <c r="E106" t="s">
        <v>95</v>
      </c>
      <c r="F106" t="s">
        <v>96</v>
      </c>
      <c r="G106" t="s">
        <v>91</v>
      </c>
      <c r="H106" t="s">
        <v>46</v>
      </c>
      <c r="I106">
        <v>2023</v>
      </c>
      <c r="J106">
        <v>3766.2231499999998</v>
      </c>
      <c r="L106">
        <v>20250315</v>
      </c>
      <c r="M106" t="s">
        <v>43</v>
      </c>
      <c r="O106">
        <f t="shared" si="1"/>
        <v>0</v>
      </c>
    </row>
    <row r="107" spans="1:15" x14ac:dyDescent="0.2">
      <c r="A107" t="s">
        <v>36</v>
      </c>
      <c r="B107" t="s">
        <v>37</v>
      </c>
      <c r="C107" t="s">
        <v>38</v>
      </c>
      <c r="D107" t="s">
        <v>39</v>
      </c>
      <c r="E107" t="s">
        <v>95</v>
      </c>
      <c r="F107" t="s">
        <v>96</v>
      </c>
      <c r="G107" t="s">
        <v>91</v>
      </c>
      <c r="H107" t="s">
        <v>42</v>
      </c>
      <c r="I107">
        <v>2023</v>
      </c>
      <c r="J107">
        <v>0.24160999999999999</v>
      </c>
      <c r="L107">
        <v>20250315</v>
      </c>
      <c r="M107" t="s">
        <v>43</v>
      </c>
      <c r="O107">
        <f t="shared" si="1"/>
        <v>0</v>
      </c>
    </row>
    <row r="108" spans="1:15" x14ac:dyDescent="0.2">
      <c r="A108" t="s">
        <v>36</v>
      </c>
      <c r="B108" t="s">
        <v>37</v>
      </c>
      <c r="C108" t="s">
        <v>38</v>
      </c>
      <c r="D108" t="s">
        <v>44</v>
      </c>
      <c r="E108" t="s">
        <v>97</v>
      </c>
      <c r="F108" t="s">
        <v>98</v>
      </c>
      <c r="G108" t="s">
        <v>91</v>
      </c>
      <c r="H108" t="s">
        <v>42</v>
      </c>
      <c r="I108">
        <v>2023</v>
      </c>
      <c r="J108">
        <v>6593.7567499999996</v>
      </c>
      <c r="L108">
        <v>20250315</v>
      </c>
      <c r="M108" t="s">
        <v>43</v>
      </c>
      <c r="O108">
        <f t="shared" si="1"/>
        <v>0</v>
      </c>
    </row>
    <row r="109" spans="1:15" x14ac:dyDescent="0.2">
      <c r="A109" t="s">
        <v>36</v>
      </c>
      <c r="B109" t="s">
        <v>37</v>
      </c>
      <c r="C109" t="s">
        <v>38</v>
      </c>
      <c r="D109" t="s">
        <v>45</v>
      </c>
      <c r="E109" t="s">
        <v>97</v>
      </c>
      <c r="F109" t="s">
        <v>98</v>
      </c>
      <c r="G109" t="s">
        <v>91</v>
      </c>
      <c r="H109" t="s">
        <v>46</v>
      </c>
      <c r="I109">
        <v>2023</v>
      </c>
      <c r="J109">
        <v>6712.8060299999997</v>
      </c>
      <c r="L109">
        <v>20250315</v>
      </c>
      <c r="M109" t="s">
        <v>43</v>
      </c>
      <c r="O109">
        <f t="shared" si="1"/>
        <v>0</v>
      </c>
    </row>
    <row r="110" spans="1:15" x14ac:dyDescent="0.2">
      <c r="A110" t="s">
        <v>36</v>
      </c>
      <c r="B110" t="s">
        <v>37</v>
      </c>
      <c r="C110" t="s">
        <v>38</v>
      </c>
      <c r="D110" t="s">
        <v>39</v>
      </c>
      <c r="E110" t="s">
        <v>97</v>
      </c>
      <c r="F110" t="s">
        <v>98</v>
      </c>
      <c r="G110" t="s">
        <v>91</v>
      </c>
      <c r="H110" t="s">
        <v>42</v>
      </c>
      <c r="I110">
        <v>2023</v>
      </c>
      <c r="J110">
        <v>0.37901000000000001</v>
      </c>
      <c r="L110">
        <v>20250315</v>
      </c>
      <c r="M110" t="s">
        <v>43</v>
      </c>
      <c r="O110">
        <f t="shared" si="1"/>
        <v>0</v>
      </c>
    </row>
    <row r="111" spans="1:15" x14ac:dyDescent="0.2">
      <c r="A111" t="s">
        <v>36</v>
      </c>
      <c r="B111" t="s">
        <v>37</v>
      </c>
      <c r="C111" t="s">
        <v>38</v>
      </c>
      <c r="D111" t="s">
        <v>47</v>
      </c>
      <c r="E111" t="s">
        <v>97</v>
      </c>
      <c r="F111" t="s">
        <v>98</v>
      </c>
      <c r="G111" t="s">
        <v>91</v>
      </c>
      <c r="H111" t="s">
        <v>42</v>
      </c>
      <c r="I111">
        <v>2023</v>
      </c>
      <c r="J111">
        <v>0.40920000000000001</v>
      </c>
      <c r="L111">
        <v>20250315</v>
      </c>
      <c r="M111" t="s">
        <v>43</v>
      </c>
      <c r="O111">
        <f t="shared" si="1"/>
        <v>0</v>
      </c>
    </row>
    <row r="112" spans="1:15" x14ac:dyDescent="0.2">
      <c r="A112" t="s">
        <v>36</v>
      </c>
      <c r="B112" t="s">
        <v>37</v>
      </c>
      <c r="C112" t="s">
        <v>38</v>
      </c>
      <c r="D112" t="s">
        <v>44</v>
      </c>
      <c r="E112" t="s">
        <v>99</v>
      </c>
      <c r="F112" t="s">
        <v>100</v>
      </c>
      <c r="G112" t="s">
        <v>91</v>
      </c>
      <c r="H112" t="s">
        <v>42</v>
      </c>
      <c r="I112">
        <v>2023</v>
      </c>
      <c r="J112">
        <v>293.23219</v>
      </c>
      <c r="L112">
        <v>20250315</v>
      </c>
      <c r="M112" t="s">
        <v>43</v>
      </c>
      <c r="O112">
        <f t="shared" si="1"/>
        <v>0</v>
      </c>
    </row>
    <row r="113" spans="1:15" x14ac:dyDescent="0.2">
      <c r="A113" t="s">
        <v>36</v>
      </c>
      <c r="B113" t="s">
        <v>37</v>
      </c>
      <c r="C113" t="s">
        <v>38</v>
      </c>
      <c r="D113" t="s">
        <v>47</v>
      </c>
      <c r="E113" t="s">
        <v>99</v>
      </c>
      <c r="F113" t="s">
        <v>100</v>
      </c>
      <c r="G113" t="s">
        <v>91</v>
      </c>
      <c r="H113" t="s">
        <v>42</v>
      </c>
      <c r="I113">
        <v>2023</v>
      </c>
      <c r="J113">
        <v>6.0299999999999998E-3</v>
      </c>
      <c r="L113">
        <v>20250315</v>
      </c>
      <c r="M113" t="s">
        <v>43</v>
      </c>
      <c r="O113">
        <f t="shared" si="1"/>
        <v>0</v>
      </c>
    </row>
    <row r="114" spans="1:15" x14ac:dyDescent="0.2">
      <c r="A114" t="s">
        <v>36</v>
      </c>
      <c r="B114" t="s">
        <v>37</v>
      </c>
      <c r="C114" t="s">
        <v>38</v>
      </c>
      <c r="D114" t="s">
        <v>39</v>
      </c>
      <c r="E114" t="s">
        <v>99</v>
      </c>
      <c r="F114" t="s">
        <v>100</v>
      </c>
      <c r="G114" t="s">
        <v>91</v>
      </c>
      <c r="H114" t="s">
        <v>42</v>
      </c>
      <c r="I114">
        <v>2023</v>
      </c>
      <c r="J114">
        <v>0.13019</v>
      </c>
      <c r="L114">
        <v>20250315</v>
      </c>
      <c r="M114" t="s">
        <v>43</v>
      </c>
      <c r="O114">
        <f t="shared" si="1"/>
        <v>0</v>
      </c>
    </row>
    <row r="115" spans="1:15" x14ac:dyDescent="0.2">
      <c r="A115" t="s">
        <v>36</v>
      </c>
      <c r="B115" t="s">
        <v>37</v>
      </c>
      <c r="C115" t="s">
        <v>38</v>
      </c>
      <c r="D115" t="s">
        <v>45</v>
      </c>
      <c r="E115" t="s">
        <v>99</v>
      </c>
      <c r="F115" t="s">
        <v>100</v>
      </c>
      <c r="G115" t="s">
        <v>91</v>
      </c>
      <c r="H115" t="s">
        <v>46</v>
      </c>
      <c r="I115">
        <v>2023</v>
      </c>
      <c r="J115">
        <v>298.47539999999998</v>
      </c>
      <c r="L115">
        <v>20250315</v>
      </c>
      <c r="M115" t="s">
        <v>43</v>
      </c>
      <c r="O115">
        <f t="shared" si="1"/>
        <v>0</v>
      </c>
    </row>
    <row r="116" spans="1:15" x14ac:dyDescent="0.2">
      <c r="A116" t="s">
        <v>36</v>
      </c>
      <c r="B116" t="s">
        <v>37</v>
      </c>
      <c r="C116" t="s">
        <v>38</v>
      </c>
      <c r="D116" t="s">
        <v>45</v>
      </c>
      <c r="E116" t="s">
        <v>101</v>
      </c>
      <c r="F116" t="s">
        <v>102</v>
      </c>
      <c r="G116" t="s">
        <v>91</v>
      </c>
      <c r="H116" t="s">
        <v>46</v>
      </c>
      <c r="I116">
        <v>2023</v>
      </c>
      <c r="K116" t="s">
        <v>103</v>
      </c>
      <c r="L116">
        <v>20250315</v>
      </c>
      <c r="M116" t="s">
        <v>43</v>
      </c>
      <c r="O116">
        <f t="shared" si="1"/>
        <v>0</v>
      </c>
    </row>
    <row r="117" spans="1:15" x14ac:dyDescent="0.2">
      <c r="A117" t="s">
        <v>36</v>
      </c>
      <c r="B117" t="s">
        <v>37</v>
      </c>
      <c r="C117" t="s">
        <v>38</v>
      </c>
      <c r="D117" t="s">
        <v>44</v>
      </c>
      <c r="E117" t="s">
        <v>101</v>
      </c>
      <c r="F117" t="s">
        <v>102</v>
      </c>
      <c r="G117" t="s">
        <v>91</v>
      </c>
      <c r="H117" t="s">
        <v>42</v>
      </c>
      <c r="I117">
        <v>2023</v>
      </c>
      <c r="K117" t="s">
        <v>104</v>
      </c>
      <c r="L117">
        <v>20250315</v>
      </c>
      <c r="M117" t="s">
        <v>43</v>
      </c>
      <c r="O117">
        <f t="shared" si="1"/>
        <v>0</v>
      </c>
    </row>
    <row r="118" spans="1:15" x14ac:dyDescent="0.2">
      <c r="A118" t="s">
        <v>36</v>
      </c>
      <c r="B118" t="s">
        <v>37</v>
      </c>
      <c r="C118" t="s">
        <v>38</v>
      </c>
      <c r="D118" t="s">
        <v>39</v>
      </c>
      <c r="E118" t="s">
        <v>101</v>
      </c>
      <c r="F118" t="s">
        <v>102</v>
      </c>
      <c r="G118" t="s">
        <v>91</v>
      </c>
      <c r="H118" t="s">
        <v>42</v>
      </c>
      <c r="I118">
        <v>2023</v>
      </c>
      <c r="K118" t="s">
        <v>104</v>
      </c>
      <c r="L118">
        <v>20250315</v>
      </c>
      <c r="M118" t="s">
        <v>43</v>
      </c>
      <c r="O118">
        <f t="shared" si="1"/>
        <v>0</v>
      </c>
    </row>
    <row r="119" spans="1:15" x14ac:dyDescent="0.2">
      <c r="A119" t="s">
        <v>36</v>
      </c>
      <c r="B119" t="s">
        <v>37</v>
      </c>
      <c r="C119" t="s">
        <v>38</v>
      </c>
      <c r="D119" t="s">
        <v>47</v>
      </c>
      <c r="E119" t="s">
        <v>101</v>
      </c>
      <c r="F119" t="s">
        <v>102</v>
      </c>
      <c r="G119" t="s">
        <v>91</v>
      </c>
      <c r="H119" t="s">
        <v>42</v>
      </c>
      <c r="I119">
        <v>2023</v>
      </c>
      <c r="K119" t="s">
        <v>104</v>
      </c>
      <c r="L119">
        <v>20250315</v>
      </c>
      <c r="M119" t="s">
        <v>43</v>
      </c>
      <c r="O119">
        <f t="shared" si="1"/>
        <v>0</v>
      </c>
    </row>
    <row r="120" spans="1:15" x14ac:dyDescent="0.2">
      <c r="A120" t="s">
        <v>36</v>
      </c>
      <c r="B120" t="s">
        <v>37</v>
      </c>
      <c r="C120" t="s">
        <v>38</v>
      </c>
      <c r="D120" t="s">
        <v>47</v>
      </c>
      <c r="E120" t="s">
        <v>105</v>
      </c>
      <c r="F120" t="s">
        <v>106</v>
      </c>
      <c r="G120" t="s">
        <v>87</v>
      </c>
      <c r="H120" t="s">
        <v>42</v>
      </c>
      <c r="I120">
        <v>2023</v>
      </c>
      <c r="J120">
        <v>5.5999999999999995E-4</v>
      </c>
      <c r="L120">
        <v>20250315</v>
      </c>
      <c r="M120" t="s">
        <v>43</v>
      </c>
      <c r="O120">
        <f t="shared" si="1"/>
        <v>0</v>
      </c>
    </row>
    <row r="121" spans="1:15" x14ac:dyDescent="0.2">
      <c r="A121" t="s">
        <v>36</v>
      </c>
      <c r="B121" t="s">
        <v>37</v>
      </c>
      <c r="C121" t="s">
        <v>38</v>
      </c>
      <c r="D121" t="s">
        <v>44</v>
      </c>
      <c r="E121" t="s">
        <v>105</v>
      </c>
      <c r="F121" t="s">
        <v>106</v>
      </c>
      <c r="G121" t="s">
        <v>87</v>
      </c>
      <c r="H121" t="s">
        <v>42</v>
      </c>
      <c r="I121">
        <v>2023</v>
      </c>
      <c r="J121">
        <v>67.610039999999998</v>
      </c>
      <c r="L121">
        <v>20250315</v>
      </c>
      <c r="M121" t="s">
        <v>43</v>
      </c>
      <c r="O121">
        <f t="shared" si="1"/>
        <v>0</v>
      </c>
    </row>
    <row r="122" spans="1:15" x14ac:dyDescent="0.2">
      <c r="A122" t="s">
        <v>36</v>
      </c>
      <c r="B122" t="s">
        <v>37</v>
      </c>
      <c r="C122" t="s">
        <v>38</v>
      </c>
      <c r="D122" t="s">
        <v>45</v>
      </c>
      <c r="E122" t="s">
        <v>105</v>
      </c>
      <c r="F122" t="s">
        <v>106</v>
      </c>
      <c r="G122" t="s">
        <v>87</v>
      </c>
      <c r="H122" t="s">
        <v>46</v>
      </c>
      <c r="I122">
        <v>2023</v>
      </c>
      <c r="J122">
        <v>67.877210000000005</v>
      </c>
      <c r="L122">
        <v>20250315</v>
      </c>
      <c r="M122" t="s">
        <v>43</v>
      </c>
      <c r="O122">
        <f t="shared" si="1"/>
        <v>0</v>
      </c>
    </row>
    <row r="123" spans="1:15" x14ac:dyDescent="0.2">
      <c r="A123" t="s">
        <v>36</v>
      </c>
      <c r="B123" t="s">
        <v>37</v>
      </c>
      <c r="C123" t="s">
        <v>38</v>
      </c>
      <c r="D123" t="s">
        <v>39</v>
      </c>
      <c r="E123" t="s">
        <v>105</v>
      </c>
      <c r="F123" t="s">
        <v>106</v>
      </c>
      <c r="G123" t="s">
        <v>87</v>
      </c>
      <c r="H123" t="s">
        <v>42</v>
      </c>
      <c r="I123">
        <v>2023</v>
      </c>
      <c r="J123">
        <v>4.2399999999999998E-3</v>
      </c>
      <c r="L123">
        <v>20250315</v>
      </c>
      <c r="M123" t="s">
        <v>43</v>
      </c>
      <c r="O123">
        <f t="shared" si="1"/>
        <v>0</v>
      </c>
    </row>
    <row r="124" spans="1:15" x14ac:dyDescent="0.2">
      <c r="A124" t="s">
        <v>36</v>
      </c>
      <c r="B124" t="s">
        <v>37</v>
      </c>
      <c r="C124" t="s">
        <v>38</v>
      </c>
      <c r="D124" t="s">
        <v>45</v>
      </c>
      <c r="E124" t="s">
        <v>107</v>
      </c>
      <c r="F124" t="s">
        <v>108</v>
      </c>
      <c r="G124" t="s">
        <v>87</v>
      </c>
      <c r="H124" t="s">
        <v>46</v>
      </c>
      <c r="I124">
        <v>2023</v>
      </c>
      <c r="J124">
        <v>929.36977000000002</v>
      </c>
      <c r="L124">
        <v>20250315</v>
      </c>
      <c r="M124" t="s">
        <v>43</v>
      </c>
      <c r="O124">
        <f t="shared" si="1"/>
        <v>0</v>
      </c>
    </row>
    <row r="125" spans="1:15" x14ac:dyDescent="0.2">
      <c r="A125" t="s">
        <v>36</v>
      </c>
      <c r="B125" t="s">
        <v>37</v>
      </c>
      <c r="C125" t="s">
        <v>38</v>
      </c>
      <c r="D125" t="s">
        <v>39</v>
      </c>
      <c r="E125" t="s">
        <v>107</v>
      </c>
      <c r="F125" t="s">
        <v>108</v>
      </c>
      <c r="G125" t="s">
        <v>87</v>
      </c>
      <c r="H125" t="s">
        <v>42</v>
      </c>
      <c r="I125">
        <v>2023</v>
      </c>
      <c r="J125">
        <v>0.28872999999999999</v>
      </c>
      <c r="L125">
        <v>20250315</v>
      </c>
      <c r="M125" t="s">
        <v>43</v>
      </c>
      <c r="O125">
        <f t="shared" si="1"/>
        <v>0</v>
      </c>
    </row>
    <row r="126" spans="1:15" x14ac:dyDescent="0.2">
      <c r="A126" t="s">
        <v>36</v>
      </c>
      <c r="B126" t="s">
        <v>37</v>
      </c>
      <c r="C126" t="s">
        <v>38</v>
      </c>
      <c r="D126" t="s">
        <v>44</v>
      </c>
      <c r="E126" t="s">
        <v>107</v>
      </c>
      <c r="F126" t="s">
        <v>108</v>
      </c>
      <c r="G126" t="s">
        <v>87</v>
      </c>
      <c r="H126" t="s">
        <v>42</v>
      </c>
      <c r="I126">
        <v>2023</v>
      </c>
      <c r="J126">
        <v>914.89504999999997</v>
      </c>
      <c r="L126">
        <v>20250315</v>
      </c>
      <c r="M126" t="s">
        <v>43</v>
      </c>
      <c r="O126">
        <f t="shared" si="1"/>
        <v>0</v>
      </c>
    </row>
    <row r="127" spans="1:15" x14ac:dyDescent="0.2">
      <c r="A127" t="s">
        <v>36</v>
      </c>
      <c r="B127" t="s">
        <v>37</v>
      </c>
      <c r="C127" t="s">
        <v>38</v>
      </c>
      <c r="D127" t="s">
        <v>47</v>
      </c>
      <c r="E127" t="s">
        <v>107</v>
      </c>
      <c r="F127" t="s">
        <v>108</v>
      </c>
      <c r="G127" t="s">
        <v>87</v>
      </c>
      <c r="H127" t="s">
        <v>42</v>
      </c>
      <c r="I127">
        <v>2023</v>
      </c>
      <c r="J127">
        <v>2.4109999999999999E-2</v>
      </c>
      <c r="L127">
        <v>20250315</v>
      </c>
      <c r="M127" t="s">
        <v>43</v>
      </c>
      <c r="O127">
        <f t="shared" si="1"/>
        <v>0</v>
      </c>
    </row>
    <row r="128" spans="1:15" x14ac:dyDescent="0.2">
      <c r="A128" t="s">
        <v>36</v>
      </c>
      <c r="B128" t="s">
        <v>37</v>
      </c>
      <c r="C128" t="s">
        <v>38</v>
      </c>
      <c r="D128" t="s">
        <v>45</v>
      </c>
      <c r="E128" t="s">
        <v>109</v>
      </c>
      <c r="F128" t="s">
        <v>110</v>
      </c>
      <c r="G128" t="s">
        <v>87</v>
      </c>
      <c r="H128" t="s">
        <v>46</v>
      </c>
      <c r="I128">
        <v>2023</v>
      </c>
      <c r="J128">
        <v>73.133390000000006</v>
      </c>
      <c r="L128">
        <v>20250315</v>
      </c>
      <c r="M128" t="s">
        <v>43</v>
      </c>
      <c r="O128">
        <f t="shared" si="1"/>
        <v>0</v>
      </c>
    </row>
    <row r="129" spans="1:15" x14ac:dyDescent="0.2">
      <c r="A129" t="s">
        <v>36</v>
      </c>
      <c r="B129" t="s">
        <v>37</v>
      </c>
      <c r="C129" t="s">
        <v>38</v>
      </c>
      <c r="D129" t="s">
        <v>39</v>
      </c>
      <c r="E129" t="s">
        <v>109</v>
      </c>
      <c r="F129" t="s">
        <v>110</v>
      </c>
      <c r="G129" t="s">
        <v>87</v>
      </c>
      <c r="H129" t="s">
        <v>42</v>
      </c>
      <c r="I129">
        <v>2023</v>
      </c>
      <c r="K129" t="s">
        <v>111</v>
      </c>
      <c r="L129">
        <v>20250315</v>
      </c>
      <c r="M129" t="s">
        <v>43</v>
      </c>
      <c r="O129">
        <f t="shared" si="1"/>
        <v>0</v>
      </c>
    </row>
    <row r="130" spans="1:15" x14ac:dyDescent="0.2">
      <c r="A130" t="s">
        <v>36</v>
      </c>
      <c r="B130" t="s">
        <v>37</v>
      </c>
      <c r="C130" t="s">
        <v>38</v>
      </c>
      <c r="D130" t="s">
        <v>44</v>
      </c>
      <c r="E130" t="s">
        <v>109</v>
      </c>
      <c r="F130" t="s">
        <v>110</v>
      </c>
      <c r="G130" t="s">
        <v>87</v>
      </c>
      <c r="H130" t="s">
        <v>42</v>
      </c>
      <c r="I130">
        <v>2023</v>
      </c>
      <c r="J130">
        <v>73.099999999999994</v>
      </c>
      <c r="L130">
        <v>20250315</v>
      </c>
      <c r="M130" t="s">
        <v>43</v>
      </c>
      <c r="O130">
        <f t="shared" si="1"/>
        <v>0</v>
      </c>
    </row>
    <row r="131" spans="1:15" x14ac:dyDescent="0.2">
      <c r="A131" t="s">
        <v>36</v>
      </c>
      <c r="B131" t="s">
        <v>37</v>
      </c>
      <c r="C131" t="s">
        <v>38</v>
      </c>
      <c r="D131" t="s">
        <v>47</v>
      </c>
      <c r="E131" t="s">
        <v>109</v>
      </c>
      <c r="F131" t="s">
        <v>110</v>
      </c>
      <c r="G131" t="s">
        <v>87</v>
      </c>
      <c r="H131" t="s">
        <v>42</v>
      </c>
      <c r="I131">
        <v>2023</v>
      </c>
      <c r="J131">
        <v>1.2999999999999999E-4</v>
      </c>
      <c r="L131">
        <v>20250315</v>
      </c>
      <c r="M131" t="s">
        <v>43</v>
      </c>
      <c r="O131">
        <f t="shared" ref="O131:O194" si="2">IF(OR(G131=2,G131=3,G131=5,G131=6),1,0)</f>
        <v>0</v>
      </c>
    </row>
    <row r="132" spans="1:15" x14ac:dyDescent="0.2">
      <c r="A132" t="s">
        <v>36</v>
      </c>
      <c r="B132" t="s">
        <v>37</v>
      </c>
      <c r="C132" t="s">
        <v>38</v>
      </c>
      <c r="D132" t="s">
        <v>45</v>
      </c>
      <c r="E132" t="s">
        <v>112</v>
      </c>
      <c r="F132" t="s">
        <v>113</v>
      </c>
      <c r="G132" t="s">
        <v>64</v>
      </c>
      <c r="H132" t="s">
        <v>46</v>
      </c>
      <c r="I132">
        <v>2023</v>
      </c>
      <c r="J132">
        <v>25534.610929999999</v>
      </c>
      <c r="L132">
        <v>20250315</v>
      </c>
      <c r="M132" t="s">
        <v>43</v>
      </c>
      <c r="O132">
        <f t="shared" si="2"/>
        <v>0</v>
      </c>
    </row>
    <row r="133" spans="1:15" x14ac:dyDescent="0.2">
      <c r="A133" t="s">
        <v>36</v>
      </c>
      <c r="B133" t="s">
        <v>37</v>
      </c>
      <c r="C133" t="s">
        <v>38</v>
      </c>
      <c r="D133" t="s">
        <v>44</v>
      </c>
      <c r="E133" t="s">
        <v>112</v>
      </c>
      <c r="F133" t="s">
        <v>113</v>
      </c>
      <c r="G133" t="s">
        <v>64</v>
      </c>
      <c r="H133" t="s">
        <v>42</v>
      </c>
      <c r="I133">
        <v>2023</v>
      </c>
      <c r="J133">
        <v>24071.97452</v>
      </c>
      <c r="L133">
        <v>20250315</v>
      </c>
      <c r="M133" t="s">
        <v>43</v>
      </c>
      <c r="O133">
        <f t="shared" si="2"/>
        <v>0</v>
      </c>
    </row>
    <row r="134" spans="1:15" x14ac:dyDescent="0.2">
      <c r="A134" t="s">
        <v>36</v>
      </c>
      <c r="B134" t="s">
        <v>37</v>
      </c>
      <c r="C134" t="s">
        <v>38</v>
      </c>
      <c r="D134" t="s">
        <v>47</v>
      </c>
      <c r="E134" t="s">
        <v>112</v>
      </c>
      <c r="F134" t="s">
        <v>113</v>
      </c>
      <c r="G134" t="s">
        <v>64</v>
      </c>
      <c r="H134" t="s">
        <v>42</v>
      </c>
      <c r="I134">
        <v>2023</v>
      </c>
      <c r="J134">
        <v>0.18909000000000001</v>
      </c>
      <c r="L134">
        <v>20250315</v>
      </c>
      <c r="M134" t="s">
        <v>43</v>
      </c>
      <c r="O134">
        <f t="shared" si="2"/>
        <v>0</v>
      </c>
    </row>
    <row r="135" spans="1:15" x14ac:dyDescent="0.2">
      <c r="A135" t="s">
        <v>36</v>
      </c>
      <c r="B135" t="s">
        <v>37</v>
      </c>
      <c r="C135" t="s">
        <v>38</v>
      </c>
      <c r="D135" t="s">
        <v>39</v>
      </c>
      <c r="E135" t="s">
        <v>112</v>
      </c>
      <c r="F135" t="s">
        <v>113</v>
      </c>
      <c r="G135" t="s">
        <v>64</v>
      </c>
      <c r="H135" t="s">
        <v>42</v>
      </c>
      <c r="I135">
        <v>2023</v>
      </c>
      <c r="J135">
        <v>50.447380000000003</v>
      </c>
      <c r="L135">
        <v>20250315</v>
      </c>
      <c r="M135" t="s">
        <v>43</v>
      </c>
      <c r="O135">
        <f t="shared" si="2"/>
        <v>0</v>
      </c>
    </row>
    <row r="136" spans="1:15" x14ac:dyDescent="0.2">
      <c r="A136" t="s">
        <v>36</v>
      </c>
      <c r="B136" t="s">
        <v>37</v>
      </c>
      <c r="C136" t="s">
        <v>38</v>
      </c>
      <c r="D136" t="s">
        <v>45</v>
      </c>
      <c r="E136" t="s">
        <v>114</v>
      </c>
      <c r="F136" t="s">
        <v>115</v>
      </c>
      <c r="G136" t="s">
        <v>112</v>
      </c>
      <c r="H136" t="s">
        <v>46</v>
      </c>
      <c r="I136">
        <v>2023</v>
      </c>
      <c r="J136">
        <v>5447.5056299999997</v>
      </c>
      <c r="L136">
        <v>20250315</v>
      </c>
      <c r="M136" t="s">
        <v>43</v>
      </c>
      <c r="O136">
        <f t="shared" si="2"/>
        <v>0</v>
      </c>
    </row>
    <row r="137" spans="1:15" x14ac:dyDescent="0.2">
      <c r="A137" t="s">
        <v>36</v>
      </c>
      <c r="B137" t="s">
        <v>37</v>
      </c>
      <c r="C137" t="s">
        <v>38</v>
      </c>
      <c r="D137" t="s">
        <v>44</v>
      </c>
      <c r="E137" t="s">
        <v>114</v>
      </c>
      <c r="F137" t="s">
        <v>115</v>
      </c>
      <c r="G137" t="s">
        <v>112</v>
      </c>
      <c r="H137" t="s">
        <v>42</v>
      </c>
      <c r="I137">
        <v>2023</v>
      </c>
      <c r="J137">
        <v>5380.1018100000001</v>
      </c>
      <c r="L137">
        <v>20250315</v>
      </c>
      <c r="M137" t="s">
        <v>43</v>
      </c>
      <c r="O137">
        <f t="shared" si="2"/>
        <v>0</v>
      </c>
    </row>
    <row r="138" spans="1:15" x14ac:dyDescent="0.2">
      <c r="A138" t="s">
        <v>36</v>
      </c>
      <c r="B138" t="s">
        <v>37</v>
      </c>
      <c r="C138" t="s">
        <v>38</v>
      </c>
      <c r="D138" t="s">
        <v>39</v>
      </c>
      <c r="E138" t="s">
        <v>114</v>
      </c>
      <c r="F138" t="s">
        <v>115</v>
      </c>
      <c r="G138" t="s">
        <v>112</v>
      </c>
      <c r="H138" t="s">
        <v>42</v>
      </c>
      <c r="I138">
        <v>2023</v>
      </c>
      <c r="J138">
        <v>2.13415</v>
      </c>
      <c r="L138">
        <v>20250315</v>
      </c>
      <c r="M138" t="s">
        <v>43</v>
      </c>
      <c r="O138">
        <f t="shared" si="2"/>
        <v>0</v>
      </c>
    </row>
    <row r="139" spans="1:15" x14ac:dyDescent="0.2">
      <c r="A139" t="s">
        <v>36</v>
      </c>
      <c r="B139" t="s">
        <v>37</v>
      </c>
      <c r="C139" t="s">
        <v>38</v>
      </c>
      <c r="D139" t="s">
        <v>47</v>
      </c>
      <c r="E139" t="s">
        <v>114</v>
      </c>
      <c r="F139" t="s">
        <v>115</v>
      </c>
      <c r="G139" t="s">
        <v>112</v>
      </c>
      <c r="H139" t="s">
        <v>42</v>
      </c>
      <c r="I139">
        <v>2023</v>
      </c>
      <c r="J139">
        <v>2.886E-2</v>
      </c>
      <c r="L139">
        <v>20250315</v>
      </c>
      <c r="M139" t="s">
        <v>43</v>
      </c>
      <c r="O139">
        <f t="shared" si="2"/>
        <v>0</v>
      </c>
    </row>
    <row r="140" spans="1:15" x14ac:dyDescent="0.2">
      <c r="A140" t="s">
        <v>36</v>
      </c>
      <c r="B140" t="s">
        <v>37</v>
      </c>
      <c r="C140" t="s">
        <v>38</v>
      </c>
      <c r="D140" t="s">
        <v>39</v>
      </c>
      <c r="E140" t="s">
        <v>116</v>
      </c>
      <c r="F140" t="s">
        <v>117</v>
      </c>
      <c r="G140" t="s">
        <v>112</v>
      </c>
      <c r="H140" t="s">
        <v>42</v>
      </c>
      <c r="I140">
        <v>2023</v>
      </c>
      <c r="J140">
        <v>10.704409999999999</v>
      </c>
      <c r="L140">
        <v>20250315</v>
      </c>
      <c r="M140" t="s">
        <v>43</v>
      </c>
      <c r="O140">
        <f t="shared" si="2"/>
        <v>0</v>
      </c>
    </row>
    <row r="141" spans="1:15" x14ac:dyDescent="0.2">
      <c r="A141" t="s">
        <v>36</v>
      </c>
      <c r="B141" t="s">
        <v>37</v>
      </c>
      <c r="C141" t="s">
        <v>38</v>
      </c>
      <c r="D141" t="s">
        <v>45</v>
      </c>
      <c r="E141" t="s">
        <v>116</v>
      </c>
      <c r="F141" t="s">
        <v>117</v>
      </c>
      <c r="G141" t="s">
        <v>112</v>
      </c>
      <c r="H141" t="s">
        <v>46</v>
      </c>
      <c r="I141">
        <v>2023</v>
      </c>
      <c r="J141">
        <v>11698.7878</v>
      </c>
      <c r="L141">
        <v>20250315</v>
      </c>
      <c r="M141" t="s">
        <v>43</v>
      </c>
      <c r="O141">
        <f t="shared" si="2"/>
        <v>0</v>
      </c>
    </row>
    <row r="142" spans="1:15" x14ac:dyDescent="0.2">
      <c r="A142" t="s">
        <v>36</v>
      </c>
      <c r="B142" t="s">
        <v>37</v>
      </c>
      <c r="C142" t="s">
        <v>38</v>
      </c>
      <c r="D142" t="s">
        <v>47</v>
      </c>
      <c r="E142" t="s">
        <v>116</v>
      </c>
      <c r="F142" t="s">
        <v>117</v>
      </c>
      <c r="G142" t="s">
        <v>112</v>
      </c>
      <c r="H142" t="s">
        <v>42</v>
      </c>
      <c r="I142">
        <v>2023</v>
      </c>
      <c r="J142">
        <v>9.1910000000000006E-2</v>
      </c>
      <c r="L142">
        <v>20250315</v>
      </c>
      <c r="M142" t="s">
        <v>43</v>
      </c>
      <c r="O142">
        <f t="shared" si="2"/>
        <v>0</v>
      </c>
    </row>
    <row r="143" spans="1:15" x14ac:dyDescent="0.2">
      <c r="A143" t="s">
        <v>36</v>
      </c>
      <c r="B143" t="s">
        <v>37</v>
      </c>
      <c r="C143" t="s">
        <v>38</v>
      </c>
      <c r="D143" t="s">
        <v>44</v>
      </c>
      <c r="E143" t="s">
        <v>116</v>
      </c>
      <c r="F143" t="s">
        <v>117</v>
      </c>
      <c r="G143" t="s">
        <v>112</v>
      </c>
      <c r="H143" t="s">
        <v>42</v>
      </c>
      <c r="I143">
        <v>2023</v>
      </c>
      <c r="J143">
        <v>11374.70775</v>
      </c>
      <c r="L143">
        <v>20250315</v>
      </c>
      <c r="M143" t="s">
        <v>43</v>
      </c>
      <c r="O143">
        <f t="shared" si="2"/>
        <v>0</v>
      </c>
    </row>
    <row r="144" spans="1:15" x14ac:dyDescent="0.2">
      <c r="A144" t="s">
        <v>36</v>
      </c>
      <c r="B144" t="s">
        <v>37</v>
      </c>
      <c r="C144" t="s">
        <v>38</v>
      </c>
      <c r="D144" t="s">
        <v>39</v>
      </c>
      <c r="E144" t="s">
        <v>118</v>
      </c>
      <c r="F144" t="s">
        <v>119</v>
      </c>
      <c r="G144" t="s">
        <v>112</v>
      </c>
      <c r="H144" t="s">
        <v>42</v>
      </c>
      <c r="I144">
        <v>2023</v>
      </c>
      <c r="J144">
        <v>37.608820000000001</v>
      </c>
      <c r="L144">
        <v>20250315</v>
      </c>
      <c r="M144" t="s">
        <v>43</v>
      </c>
      <c r="O144">
        <f t="shared" si="2"/>
        <v>0</v>
      </c>
    </row>
    <row r="145" spans="1:15" x14ac:dyDescent="0.2">
      <c r="A145" t="s">
        <v>36</v>
      </c>
      <c r="B145" t="s">
        <v>37</v>
      </c>
      <c r="C145" t="s">
        <v>38</v>
      </c>
      <c r="D145" t="s">
        <v>45</v>
      </c>
      <c r="E145" t="s">
        <v>118</v>
      </c>
      <c r="F145" t="s">
        <v>119</v>
      </c>
      <c r="G145" t="s">
        <v>112</v>
      </c>
      <c r="H145" t="s">
        <v>46</v>
      </c>
      <c r="I145">
        <v>2023</v>
      </c>
      <c r="J145">
        <v>8388.3174999999992</v>
      </c>
      <c r="L145">
        <v>20250315</v>
      </c>
      <c r="M145" t="s">
        <v>43</v>
      </c>
      <c r="O145">
        <f t="shared" si="2"/>
        <v>0</v>
      </c>
    </row>
    <row r="146" spans="1:15" x14ac:dyDescent="0.2">
      <c r="A146" t="s">
        <v>36</v>
      </c>
      <c r="B146" t="s">
        <v>37</v>
      </c>
      <c r="C146" t="s">
        <v>38</v>
      </c>
      <c r="D146" t="s">
        <v>44</v>
      </c>
      <c r="E146" t="s">
        <v>118</v>
      </c>
      <c r="F146" t="s">
        <v>119</v>
      </c>
      <c r="G146" t="s">
        <v>112</v>
      </c>
      <c r="H146" t="s">
        <v>42</v>
      </c>
      <c r="I146">
        <v>2023</v>
      </c>
      <c r="J146">
        <v>7317.1649600000001</v>
      </c>
      <c r="L146">
        <v>20250315</v>
      </c>
      <c r="M146" t="s">
        <v>43</v>
      </c>
      <c r="O146">
        <f t="shared" si="2"/>
        <v>0</v>
      </c>
    </row>
    <row r="147" spans="1:15" x14ac:dyDescent="0.2">
      <c r="A147" t="s">
        <v>36</v>
      </c>
      <c r="B147" t="s">
        <v>37</v>
      </c>
      <c r="C147" t="s">
        <v>38</v>
      </c>
      <c r="D147" t="s">
        <v>47</v>
      </c>
      <c r="E147" t="s">
        <v>118</v>
      </c>
      <c r="F147" t="s">
        <v>119</v>
      </c>
      <c r="G147" t="s">
        <v>112</v>
      </c>
      <c r="H147" t="s">
        <v>42</v>
      </c>
      <c r="I147">
        <v>2023</v>
      </c>
      <c r="J147">
        <v>6.8320000000000006E-2</v>
      </c>
      <c r="L147">
        <v>20250315</v>
      </c>
      <c r="M147" t="s">
        <v>43</v>
      </c>
      <c r="O147">
        <f t="shared" si="2"/>
        <v>0</v>
      </c>
    </row>
    <row r="148" spans="1:15" x14ac:dyDescent="0.2">
      <c r="A148" t="s">
        <v>36</v>
      </c>
      <c r="B148" t="s">
        <v>37</v>
      </c>
      <c r="C148" t="s">
        <v>38</v>
      </c>
      <c r="D148" t="s">
        <v>45</v>
      </c>
      <c r="E148" t="s">
        <v>120</v>
      </c>
      <c r="F148" t="s">
        <v>121</v>
      </c>
      <c r="G148" t="s">
        <v>64</v>
      </c>
      <c r="H148" t="s">
        <v>46</v>
      </c>
      <c r="I148">
        <v>2023</v>
      </c>
      <c r="J148">
        <v>228.0367</v>
      </c>
      <c r="L148">
        <v>20250315</v>
      </c>
      <c r="M148" t="s">
        <v>43</v>
      </c>
      <c r="O148">
        <f t="shared" si="2"/>
        <v>0</v>
      </c>
    </row>
    <row r="149" spans="1:15" x14ac:dyDescent="0.2">
      <c r="A149" t="s">
        <v>36</v>
      </c>
      <c r="B149" t="s">
        <v>37</v>
      </c>
      <c r="C149" t="s">
        <v>38</v>
      </c>
      <c r="D149" t="s">
        <v>39</v>
      </c>
      <c r="E149" t="s">
        <v>120</v>
      </c>
      <c r="F149" t="s">
        <v>121</v>
      </c>
      <c r="G149" t="s">
        <v>64</v>
      </c>
      <c r="H149" t="s">
        <v>42</v>
      </c>
      <c r="I149">
        <v>2023</v>
      </c>
      <c r="J149">
        <v>1.9689999999999999E-2</v>
      </c>
      <c r="L149">
        <v>20250315</v>
      </c>
      <c r="M149" t="s">
        <v>43</v>
      </c>
      <c r="O149">
        <f t="shared" si="2"/>
        <v>0</v>
      </c>
    </row>
    <row r="150" spans="1:15" x14ac:dyDescent="0.2">
      <c r="A150" t="s">
        <v>36</v>
      </c>
      <c r="B150" t="s">
        <v>37</v>
      </c>
      <c r="C150" t="s">
        <v>38</v>
      </c>
      <c r="D150" t="s">
        <v>44</v>
      </c>
      <c r="E150" t="s">
        <v>120</v>
      </c>
      <c r="F150" t="s">
        <v>121</v>
      </c>
      <c r="G150" t="s">
        <v>64</v>
      </c>
      <c r="H150" t="s">
        <v>42</v>
      </c>
      <c r="I150">
        <v>2023</v>
      </c>
      <c r="J150">
        <v>224.32884000000001</v>
      </c>
      <c r="L150">
        <v>20250315</v>
      </c>
      <c r="M150" t="s">
        <v>43</v>
      </c>
      <c r="O150">
        <f t="shared" si="2"/>
        <v>0</v>
      </c>
    </row>
    <row r="151" spans="1:15" x14ac:dyDescent="0.2">
      <c r="A151" t="s">
        <v>36</v>
      </c>
      <c r="B151" t="s">
        <v>37</v>
      </c>
      <c r="C151" t="s">
        <v>38</v>
      </c>
      <c r="D151" t="s">
        <v>47</v>
      </c>
      <c r="E151" t="s">
        <v>120</v>
      </c>
      <c r="F151" t="s">
        <v>121</v>
      </c>
      <c r="G151" t="s">
        <v>64</v>
      </c>
      <c r="H151" t="s">
        <v>42</v>
      </c>
      <c r="I151">
        <v>2023</v>
      </c>
      <c r="J151">
        <v>1.191E-2</v>
      </c>
      <c r="L151">
        <v>20250315</v>
      </c>
      <c r="M151" t="s">
        <v>43</v>
      </c>
      <c r="O151">
        <f t="shared" si="2"/>
        <v>0</v>
      </c>
    </row>
    <row r="152" spans="1:15" x14ac:dyDescent="0.2">
      <c r="A152" t="s">
        <v>36</v>
      </c>
      <c r="B152" t="s">
        <v>37</v>
      </c>
      <c r="C152" t="s">
        <v>38</v>
      </c>
      <c r="D152" t="s">
        <v>39</v>
      </c>
      <c r="E152" t="s">
        <v>122</v>
      </c>
      <c r="F152" t="s">
        <v>123</v>
      </c>
      <c r="G152" t="s">
        <v>120</v>
      </c>
      <c r="H152" t="s">
        <v>42</v>
      </c>
      <c r="I152">
        <v>2023</v>
      </c>
      <c r="K152" t="s">
        <v>54</v>
      </c>
      <c r="L152">
        <v>20250315</v>
      </c>
      <c r="M152" t="s">
        <v>43</v>
      </c>
      <c r="O152">
        <f t="shared" si="2"/>
        <v>0</v>
      </c>
    </row>
    <row r="153" spans="1:15" x14ac:dyDescent="0.2">
      <c r="A153" t="s">
        <v>36</v>
      </c>
      <c r="B153" t="s">
        <v>37</v>
      </c>
      <c r="C153" t="s">
        <v>38</v>
      </c>
      <c r="D153" t="s">
        <v>47</v>
      </c>
      <c r="E153" t="s">
        <v>122</v>
      </c>
      <c r="F153" t="s">
        <v>123</v>
      </c>
      <c r="G153" t="s">
        <v>120</v>
      </c>
      <c r="H153" t="s">
        <v>42</v>
      </c>
      <c r="I153">
        <v>2023</v>
      </c>
      <c r="K153" t="s">
        <v>54</v>
      </c>
      <c r="L153">
        <v>20250315</v>
      </c>
      <c r="M153" t="s">
        <v>43</v>
      </c>
      <c r="O153">
        <f t="shared" si="2"/>
        <v>0</v>
      </c>
    </row>
    <row r="154" spans="1:15" x14ac:dyDescent="0.2">
      <c r="A154" t="s">
        <v>36</v>
      </c>
      <c r="B154" t="s">
        <v>37</v>
      </c>
      <c r="C154" t="s">
        <v>38</v>
      </c>
      <c r="D154" t="s">
        <v>45</v>
      </c>
      <c r="E154" t="s">
        <v>122</v>
      </c>
      <c r="F154" t="s">
        <v>123</v>
      </c>
      <c r="G154" t="s">
        <v>120</v>
      </c>
      <c r="H154" t="s">
        <v>46</v>
      </c>
      <c r="I154">
        <v>2023</v>
      </c>
      <c r="K154" t="s">
        <v>103</v>
      </c>
      <c r="L154">
        <v>20250315</v>
      </c>
      <c r="M154" t="s">
        <v>43</v>
      </c>
      <c r="O154">
        <f t="shared" si="2"/>
        <v>0</v>
      </c>
    </row>
    <row r="155" spans="1:15" x14ac:dyDescent="0.2">
      <c r="A155" t="s">
        <v>36</v>
      </c>
      <c r="B155" t="s">
        <v>37</v>
      </c>
      <c r="C155" t="s">
        <v>38</v>
      </c>
      <c r="D155" t="s">
        <v>44</v>
      </c>
      <c r="E155" t="s">
        <v>122</v>
      </c>
      <c r="F155" t="s">
        <v>123</v>
      </c>
      <c r="G155" t="s">
        <v>120</v>
      </c>
      <c r="H155" t="s">
        <v>42</v>
      </c>
      <c r="I155">
        <v>2023</v>
      </c>
      <c r="K155" t="s">
        <v>54</v>
      </c>
      <c r="L155">
        <v>20250315</v>
      </c>
      <c r="M155" t="s">
        <v>43</v>
      </c>
      <c r="O155">
        <f t="shared" si="2"/>
        <v>0</v>
      </c>
    </row>
    <row r="156" spans="1:15" x14ac:dyDescent="0.2">
      <c r="A156" t="s">
        <v>36</v>
      </c>
      <c r="B156" t="s">
        <v>37</v>
      </c>
      <c r="C156" t="s">
        <v>38</v>
      </c>
      <c r="D156" t="s">
        <v>47</v>
      </c>
      <c r="E156" t="s">
        <v>124</v>
      </c>
      <c r="F156" t="s">
        <v>125</v>
      </c>
      <c r="G156" t="s">
        <v>120</v>
      </c>
      <c r="H156" t="s">
        <v>42</v>
      </c>
      <c r="I156">
        <v>2023</v>
      </c>
      <c r="J156">
        <v>1.191E-2</v>
      </c>
      <c r="L156">
        <v>20250315</v>
      </c>
      <c r="M156" t="s">
        <v>43</v>
      </c>
      <c r="O156">
        <f t="shared" si="2"/>
        <v>0</v>
      </c>
    </row>
    <row r="157" spans="1:15" x14ac:dyDescent="0.2">
      <c r="A157" t="s">
        <v>36</v>
      </c>
      <c r="B157" t="s">
        <v>37</v>
      </c>
      <c r="C157" t="s">
        <v>38</v>
      </c>
      <c r="D157" t="s">
        <v>45</v>
      </c>
      <c r="E157" t="s">
        <v>124</v>
      </c>
      <c r="F157" t="s">
        <v>125</v>
      </c>
      <c r="G157" t="s">
        <v>120</v>
      </c>
      <c r="H157" t="s">
        <v>46</v>
      </c>
      <c r="I157">
        <v>2023</v>
      </c>
      <c r="J157">
        <v>228.0367</v>
      </c>
      <c r="L157">
        <v>20250315</v>
      </c>
      <c r="M157" t="s">
        <v>43</v>
      </c>
      <c r="O157">
        <f t="shared" si="2"/>
        <v>0</v>
      </c>
    </row>
    <row r="158" spans="1:15" x14ac:dyDescent="0.2">
      <c r="A158" t="s">
        <v>36</v>
      </c>
      <c r="B158" t="s">
        <v>37</v>
      </c>
      <c r="C158" t="s">
        <v>38</v>
      </c>
      <c r="D158" t="s">
        <v>39</v>
      </c>
      <c r="E158" t="s">
        <v>124</v>
      </c>
      <c r="F158" t="s">
        <v>125</v>
      </c>
      <c r="G158" t="s">
        <v>120</v>
      </c>
      <c r="H158" t="s">
        <v>42</v>
      </c>
      <c r="I158">
        <v>2023</v>
      </c>
      <c r="J158">
        <v>1.9689999999999999E-2</v>
      </c>
      <c r="L158">
        <v>20250315</v>
      </c>
      <c r="M158" t="s">
        <v>43</v>
      </c>
      <c r="O158">
        <f t="shared" si="2"/>
        <v>0</v>
      </c>
    </row>
    <row r="159" spans="1:15" x14ac:dyDescent="0.2">
      <c r="A159" t="s">
        <v>36</v>
      </c>
      <c r="B159" t="s">
        <v>37</v>
      </c>
      <c r="C159" t="s">
        <v>38</v>
      </c>
      <c r="D159" t="s">
        <v>44</v>
      </c>
      <c r="E159" t="s">
        <v>124</v>
      </c>
      <c r="F159" t="s">
        <v>125</v>
      </c>
      <c r="G159" t="s">
        <v>120</v>
      </c>
      <c r="H159" t="s">
        <v>42</v>
      </c>
      <c r="I159">
        <v>2023</v>
      </c>
      <c r="J159">
        <v>224.32884000000001</v>
      </c>
      <c r="L159">
        <v>20250315</v>
      </c>
      <c r="M159" t="s">
        <v>43</v>
      </c>
      <c r="O159">
        <f t="shared" si="2"/>
        <v>0</v>
      </c>
    </row>
    <row r="160" spans="1:15" x14ac:dyDescent="0.2">
      <c r="A160" t="s">
        <v>36</v>
      </c>
      <c r="B160" t="s">
        <v>37</v>
      </c>
      <c r="C160" t="s">
        <v>38</v>
      </c>
      <c r="D160" t="s">
        <v>47</v>
      </c>
      <c r="E160" t="s">
        <v>126</v>
      </c>
      <c r="F160" t="s">
        <v>127</v>
      </c>
      <c r="G160">
        <v>1</v>
      </c>
      <c r="H160" t="s">
        <v>42</v>
      </c>
      <c r="I160">
        <v>2023</v>
      </c>
      <c r="K160" t="s">
        <v>50</v>
      </c>
      <c r="L160">
        <v>20250315</v>
      </c>
      <c r="M160" t="s">
        <v>43</v>
      </c>
      <c r="O160">
        <f t="shared" si="2"/>
        <v>0</v>
      </c>
    </row>
    <row r="161" spans="1:15" x14ac:dyDescent="0.2">
      <c r="A161" t="s">
        <v>36</v>
      </c>
      <c r="B161" t="s">
        <v>37</v>
      </c>
      <c r="C161" t="s">
        <v>38</v>
      </c>
      <c r="D161" t="s">
        <v>45</v>
      </c>
      <c r="E161" t="s">
        <v>126</v>
      </c>
      <c r="F161" t="s">
        <v>127</v>
      </c>
      <c r="G161">
        <v>1</v>
      </c>
      <c r="H161" t="s">
        <v>46</v>
      </c>
      <c r="I161">
        <v>2023</v>
      </c>
      <c r="J161">
        <v>1523.9699000000001</v>
      </c>
      <c r="L161">
        <v>20250315</v>
      </c>
      <c r="M161" t="s">
        <v>43</v>
      </c>
      <c r="O161">
        <f t="shared" si="2"/>
        <v>0</v>
      </c>
    </row>
    <row r="162" spans="1:15" x14ac:dyDescent="0.2">
      <c r="A162" t="s">
        <v>36</v>
      </c>
      <c r="B162" t="s">
        <v>37</v>
      </c>
      <c r="C162" t="s">
        <v>38</v>
      </c>
      <c r="D162" t="s">
        <v>39</v>
      </c>
      <c r="E162" t="s">
        <v>126</v>
      </c>
      <c r="F162" t="s">
        <v>127</v>
      </c>
      <c r="G162">
        <v>1</v>
      </c>
      <c r="H162" t="s">
        <v>42</v>
      </c>
      <c r="I162">
        <v>2023</v>
      </c>
      <c r="J162">
        <v>17.32518</v>
      </c>
      <c r="L162">
        <v>20250315</v>
      </c>
      <c r="M162" t="s">
        <v>43</v>
      </c>
      <c r="O162">
        <f t="shared" si="2"/>
        <v>0</v>
      </c>
    </row>
    <row r="163" spans="1:15" x14ac:dyDescent="0.2">
      <c r="A163" t="s">
        <v>36</v>
      </c>
      <c r="B163" t="s">
        <v>37</v>
      </c>
      <c r="C163" t="s">
        <v>38</v>
      </c>
      <c r="D163" t="s">
        <v>44</v>
      </c>
      <c r="E163" t="s">
        <v>126</v>
      </c>
      <c r="F163" t="s">
        <v>127</v>
      </c>
      <c r="G163">
        <v>1</v>
      </c>
      <c r="H163" t="s">
        <v>42</v>
      </c>
      <c r="I163">
        <v>2023</v>
      </c>
      <c r="J163">
        <v>1038.8649399999999</v>
      </c>
      <c r="L163">
        <v>20250315</v>
      </c>
      <c r="M163" t="s">
        <v>43</v>
      </c>
      <c r="O163">
        <f t="shared" si="2"/>
        <v>0</v>
      </c>
    </row>
    <row r="164" spans="1:15" x14ac:dyDescent="0.2">
      <c r="A164" t="s">
        <v>36</v>
      </c>
      <c r="B164" t="s">
        <v>37</v>
      </c>
      <c r="C164" t="s">
        <v>38</v>
      </c>
      <c r="D164" t="s">
        <v>39</v>
      </c>
      <c r="E164" t="s">
        <v>128</v>
      </c>
      <c r="F164" t="s">
        <v>129</v>
      </c>
      <c r="G164" t="s">
        <v>126</v>
      </c>
      <c r="H164" t="s">
        <v>42</v>
      </c>
      <c r="I164">
        <v>2023</v>
      </c>
      <c r="J164">
        <v>0.17609</v>
      </c>
      <c r="L164">
        <v>20250315</v>
      </c>
      <c r="M164" t="s">
        <v>43</v>
      </c>
      <c r="O164">
        <f t="shared" si="2"/>
        <v>0</v>
      </c>
    </row>
    <row r="165" spans="1:15" x14ac:dyDescent="0.2">
      <c r="A165" t="s">
        <v>36</v>
      </c>
      <c r="B165" t="s">
        <v>37</v>
      </c>
      <c r="C165" t="s">
        <v>38</v>
      </c>
      <c r="D165" t="s">
        <v>47</v>
      </c>
      <c r="E165" t="s">
        <v>128</v>
      </c>
      <c r="F165" t="s">
        <v>129</v>
      </c>
      <c r="G165" t="s">
        <v>126</v>
      </c>
      <c r="H165" t="s">
        <v>42</v>
      </c>
      <c r="I165">
        <v>2023</v>
      </c>
      <c r="K165" t="s">
        <v>54</v>
      </c>
      <c r="L165">
        <v>20250315</v>
      </c>
      <c r="M165" t="s">
        <v>43</v>
      </c>
      <c r="O165">
        <f t="shared" si="2"/>
        <v>0</v>
      </c>
    </row>
    <row r="166" spans="1:15" x14ac:dyDescent="0.2">
      <c r="A166" t="s">
        <v>36</v>
      </c>
      <c r="B166" t="s">
        <v>37</v>
      </c>
      <c r="C166" t="s">
        <v>38</v>
      </c>
      <c r="D166" t="s">
        <v>45</v>
      </c>
      <c r="E166" t="s">
        <v>128</v>
      </c>
      <c r="F166" t="s">
        <v>129</v>
      </c>
      <c r="G166" t="s">
        <v>126</v>
      </c>
      <c r="H166" t="s">
        <v>46</v>
      </c>
      <c r="I166">
        <v>2023</v>
      </c>
      <c r="J166">
        <v>70.884540000000001</v>
      </c>
      <c r="L166">
        <v>20250315</v>
      </c>
      <c r="M166" t="s">
        <v>43</v>
      </c>
      <c r="O166">
        <f t="shared" si="2"/>
        <v>0</v>
      </c>
    </row>
    <row r="167" spans="1:15" x14ac:dyDescent="0.2">
      <c r="A167" t="s">
        <v>36</v>
      </c>
      <c r="B167" t="s">
        <v>37</v>
      </c>
      <c r="C167" t="s">
        <v>38</v>
      </c>
      <c r="D167" t="s">
        <v>44</v>
      </c>
      <c r="E167" t="s">
        <v>128</v>
      </c>
      <c r="F167" t="s">
        <v>129</v>
      </c>
      <c r="G167" t="s">
        <v>126</v>
      </c>
      <c r="H167" t="s">
        <v>42</v>
      </c>
      <c r="I167">
        <v>2023</v>
      </c>
      <c r="J167">
        <v>65.953909999999993</v>
      </c>
      <c r="L167">
        <v>20250315</v>
      </c>
      <c r="M167" t="s">
        <v>43</v>
      </c>
      <c r="O167">
        <f t="shared" si="2"/>
        <v>0</v>
      </c>
    </row>
    <row r="168" spans="1:15" x14ac:dyDescent="0.2">
      <c r="A168" t="s">
        <v>36</v>
      </c>
      <c r="B168" t="s">
        <v>37</v>
      </c>
      <c r="C168" t="s">
        <v>38</v>
      </c>
      <c r="D168" t="s">
        <v>47</v>
      </c>
      <c r="E168" t="s">
        <v>130</v>
      </c>
      <c r="F168" t="s">
        <v>131</v>
      </c>
      <c r="G168" t="s">
        <v>126</v>
      </c>
      <c r="H168" t="s">
        <v>42</v>
      </c>
      <c r="I168">
        <v>2023</v>
      </c>
      <c r="K168" t="s">
        <v>50</v>
      </c>
      <c r="L168">
        <v>20250315</v>
      </c>
      <c r="M168" t="s">
        <v>43</v>
      </c>
      <c r="O168">
        <f t="shared" si="2"/>
        <v>0</v>
      </c>
    </row>
    <row r="169" spans="1:15" x14ac:dyDescent="0.2">
      <c r="A169" t="s">
        <v>36</v>
      </c>
      <c r="B169" t="s">
        <v>37</v>
      </c>
      <c r="C169" t="s">
        <v>38</v>
      </c>
      <c r="D169" t="s">
        <v>39</v>
      </c>
      <c r="E169" t="s">
        <v>130</v>
      </c>
      <c r="F169" t="s">
        <v>131</v>
      </c>
      <c r="G169" t="s">
        <v>126</v>
      </c>
      <c r="H169" t="s">
        <v>42</v>
      </c>
      <c r="I169">
        <v>2023</v>
      </c>
      <c r="J169">
        <v>17.149080000000001</v>
      </c>
      <c r="L169">
        <v>20250315</v>
      </c>
      <c r="M169" t="s">
        <v>43</v>
      </c>
      <c r="O169">
        <f t="shared" si="2"/>
        <v>0</v>
      </c>
    </row>
    <row r="170" spans="1:15" x14ac:dyDescent="0.2">
      <c r="A170" t="s">
        <v>36</v>
      </c>
      <c r="B170" t="s">
        <v>37</v>
      </c>
      <c r="C170" t="s">
        <v>38</v>
      </c>
      <c r="D170" t="s">
        <v>44</v>
      </c>
      <c r="E170" t="s">
        <v>130</v>
      </c>
      <c r="F170" t="s">
        <v>131</v>
      </c>
      <c r="G170" t="s">
        <v>126</v>
      </c>
      <c r="H170" t="s">
        <v>42</v>
      </c>
      <c r="I170">
        <v>2023</v>
      </c>
      <c r="J170">
        <v>972.91102999999998</v>
      </c>
      <c r="L170">
        <v>20250315</v>
      </c>
      <c r="M170" t="s">
        <v>43</v>
      </c>
      <c r="O170">
        <f t="shared" si="2"/>
        <v>0</v>
      </c>
    </row>
    <row r="171" spans="1:15" x14ac:dyDescent="0.2">
      <c r="A171" t="s">
        <v>36</v>
      </c>
      <c r="B171" t="s">
        <v>37</v>
      </c>
      <c r="C171" t="s">
        <v>38</v>
      </c>
      <c r="D171" t="s">
        <v>45</v>
      </c>
      <c r="E171" t="s">
        <v>130</v>
      </c>
      <c r="F171" t="s">
        <v>131</v>
      </c>
      <c r="G171" t="s">
        <v>126</v>
      </c>
      <c r="H171" t="s">
        <v>46</v>
      </c>
      <c r="I171">
        <v>2023</v>
      </c>
      <c r="J171">
        <v>1453.08537</v>
      </c>
      <c r="L171">
        <v>20250315</v>
      </c>
      <c r="M171" t="s">
        <v>43</v>
      </c>
      <c r="O171">
        <f t="shared" si="2"/>
        <v>0</v>
      </c>
    </row>
    <row r="172" spans="1:15" x14ac:dyDescent="0.2">
      <c r="A172" t="s">
        <v>36</v>
      </c>
      <c r="B172" t="s">
        <v>37</v>
      </c>
      <c r="C172" t="s">
        <v>38</v>
      </c>
      <c r="D172" t="s">
        <v>45</v>
      </c>
      <c r="E172" t="s">
        <v>132</v>
      </c>
      <c r="F172" t="s">
        <v>133</v>
      </c>
      <c r="G172">
        <v>1</v>
      </c>
      <c r="H172" t="s">
        <v>46</v>
      </c>
      <c r="I172">
        <v>2023</v>
      </c>
      <c r="K172" t="s">
        <v>103</v>
      </c>
      <c r="L172">
        <v>20250315</v>
      </c>
      <c r="M172" t="s">
        <v>43</v>
      </c>
      <c r="O172">
        <f t="shared" si="2"/>
        <v>0</v>
      </c>
    </row>
    <row r="173" spans="1:15" x14ac:dyDescent="0.2">
      <c r="A173" t="s">
        <v>36</v>
      </c>
      <c r="B173" t="s">
        <v>37</v>
      </c>
      <c r="C173" t="s">
        <v>38</v>
      </c>
      <c r="D173" t="s">
        <v>44</v>
      </c>
      <c r="E173" t="s">
        <v>132</v>
      </c>
      <c r="F173" t="s">
        <v>133</v>
      </c>
      <c r="G173">
        <v>1</v>
      </c>
      <c r="H173" t="s">
        <v>42</v>
      </c>
      <c r="I173">
        <v>2023</v>
      </c>
      <c r="K173" t="s">
        <v>54</v>
      </c>
      <c r="L173">
        <v>20250315</v>
      </c>
      <c r="M173" t="s">
        <v>43</v>
      </c>
      <c r="O173">
        <f t="shared" si="2"/>
        <v>0</v>
      </c>
    </row>
    <row r="174" spans="1:15" x14ac:dyDescent="0.2">
      <c r="A174" t="s">
        <v>36</v>
      </c>
      <c r="B174" t="s">
        <v>37</v>
      </c>
      <c r="C174" t="s">
        <v>38</v>
      </c>
      <c r="D174" t="s">
        <v>44</v>
      </c>
      <c r="E174" t="s">
        <v>134</v>
      </c>
      <c r="F174" t="s">
        <v>135</v>
      </c>
      <c r="G174" t="s">
        <v>136</v>
      </c>
      <c r="H174" t="s">
        <v>42</v>
      </c>
      <c r="I174">
        <v>2023</v>
      </c>
      <c r="J174">
        <v>43142.561479999997</v>
      </c>
      <c r="L174">
        <v>20250315</v>
      </c>
      <c r="M174" t="s">
        <v>43</v>
      </c>
      <c r="O174">
        <f t="shared" si="2"/>
        <v>0</v>
      </c>
    </row>
    <row r="175" spans="1:15" x14ac:dyDescent="0.2">
      <c r="A175" t="s">
        <v>36</v>
      </c>
      <c r="B175" t="s">
        <v>37</v>
      </c>
      <c r="C175" t="s">
        <v>38</v>
      </c>
      <c r="D175" t="s">
        <v>47</v>
      </c>
      <c r="E175" t="s">
        <v>134</v>
      </c>
      <c r="F175" t="s">
        <v>135</v>
      </c>
      <c r="G175" t="s">
        <v>136</v>
      </c>
      <c r="H175" t="s">
        <v>42</v>
      </c>
      <c r="I175">
        <v>2023</v>
      </c>
      <c r="J175">
        <v>1.1831400000000001</v>
      </c>
      <c r="L175">
        <v>20250315</v>
      </c>
      <c r="M175" t="s">
        <v>43</v>
      </c>
      <c r="O175">
        <f t="shared" si="2"/>
        <v>0</v>
      </c>
    </row>
    <row r="176" spans="1:15" x14ac:dyDescent="0.2">
      <c r="A176" t="s">
        <v>36</v>
      </c>
      <c r="B176" t="s">
        <v>37</v>
      </c>
      <c r="C176" t="s">
        <v>38</v>
      </c>
      <c r="D176" t="s">
        <v>45</v>
      </c>
      <c r="E176" t="s">
        <v>134</v>
      </c>
      <c r="F176" t="s">
        <v>135</v>
      </c>
      <c r="G176" t="s">
        <v>136</v>
      </c>
      <c r="H176" t="s">
        <v>46</v>
      </c>
      <c r="I176">
        <v>2023</v>
      </c>
      <c r="J176">
        <v>43694.712099999997</v>
      </c>
      <c r="L176">
        <v>20250315</v>
      </c>
      <c r="M176" t="s">
        <v>43</v>
      </c>
      <c r="O176">
        <f t="shared" si="2"/>
        <v>0</v>
      </c>
    </row>
    <row r="177" spans="1:15" x14ac:dyDescent="0.2">
      <c r="A177" t="s">
        <v>36</v>
      </c>
      <c r="B177" t="s">
        <v>37</v>
      </c>
      <c r="C177" t="s">
        <v>38</v>
      </c>
      <c r="D177" t="s">
        <v>39</v>
      </c>
      <c r="E177" t="s">
        <v>134</v>
      </c>
      <c r="F177" t="s">
        <v>135</v>
      </c>
      <c r="G177" t="s">
        <v>136</v>
      </c>
      <c r="H177" t="s">
        <v>42</v>
      </c>
      <c r="I177">
        <v>2023</v>
      </c>
      <c r="J177">
        <v>8.5221</v>
      </c>
      <c r="L177">
        <v>20250315</v>
      </c>
      <c r="M177" t="s">
        <v>43</v>
      </c>
      <c r="O177">
        <f t="shared" si="2"/>
        <v>0</v>
      </c>
    </row>
    <row r="178" spans="1:15" x14ac:dyDescent="0.2">
      <c r="A178" t="s">
        <v>36</v>
      </c>
      <c r="B178" t="s">
        <v>37</v>
      </c>
      <c r="C178" t="s">
        <v>38</v>
      </c>
      <c r="D178" t="s">
        <v>39</v>
      </c>
      <c r="E178" t="s">
        <v>137</v>
      </c>
      <c r="F178" t="s">
        <v>138</v>
      </c>
      <c r="G178" t="s">
        <v>134</v>
      </c>
      <c r="H178" t="s">
        <v>42</v>
      </c>
      <c r="I178">
        <v>2023</v>
      </c>
      <c r="J178">
        <v>7.1150000000000005E-2</v>
      </c>
      <c r="L178">
        <v>20250315</v>
      </c>
      <c r="M178" t="s">
        <v>43</v>
      </c>
      <c r="O178">
        <f t="shared" si="2"/>
        <v>0</v>
      </c>
    </row>
    <row r="179" spans="1:15" x14ac:dyDescent="0.2">
      <c r="A179" t="s">
        <v>36</v>
      </c>
      <c r="B179" t="s">
        <v>37</v>
      </c>
      <c r="C179" t="s">
        <v>38</v>
      </c>
      <c r="D179" t="s">
        <v>47</v>
      </c>
      <c r="E179" t="s">
        <v>137</v>
      </c>
      <c r="F179" t="s">
        <v>138</v>
      </c>
      <c r="G179" t="s">
        <v>134</v>
      </c>
      <c r="H179" t="s">
        <v>42</v>
      </c>
      <c r="I179">
        <v>2023</v>
      </c>
      <c r="J179">
        <v>0.28460000000000002</v>
      </c>
      <c r="L179">
        <v>20250315</v>
      </c>
      <c r="M179" t="s">
        <v>43</v>
      </c>
      <c r="O179">
        <f t="shared" si="2"/>
        <v>0</v>
      </c>
    </row>
    <row r="180" spans="1:15" x14ac:dyDescent="0.2">
      <c r="A180" t="s">
        <v>36</v>
      </c>
      <c r="B180" t="s">
        <v>37</v>
      </c>
      <c r="C180" t="s">
        <v>38</v>
      </c>
      <c r="D180" t="s">
        <v>45</v>
      </c>
      <c r="E180" t="s">
        <v>137</v>
      </c>
      <c r="F180" t="s">
        <v>138</v>
      </c>
      <c r="G180" t="s">
        <v>134</v>
      </c>
      <c r="H180" t="s">
        <v>46</v>
      </c>
      <c r="I180">
        <v>2023</v>
      </c>
      <c r="J180">
        <v>10062.61414</v>
      </c>
      <c r="L180">
        <v>20250315</v>
      </c>
      <c r="M180" t="s">
        <v>43</v>
      </c>
      <c r="O180">
        <f t="shared" si="2"/>
        <v>0</v>
      </c>
    </row>
    <row r="181" spans="1:15" x14ac:dyDescent="0.2">
      <c r="A181" t="s">
        <v>36</v>
      </c>
      <c r="B181" t="s">
        <v>37</v>
      </c>
      <c r="C181" t="s">
        <v>38</v>
      </c>
      <c r="D181" t="s">
        <v>44</v>
      </c>
      <c r="E181" t="s">
        <v>137</v>
      </c>
      <c r="F181" t="s">
        <v>138</v>
      </c>
      <c r="G181" t="s">
        <v>134</v>
      </c>
      <c r="H181" t="s">
        <v>42</v>
      </c>
      <c r="I181">
        <v>2023</v>
      </c>
      <c r="J181">
        <v>9985.2031499999994</v>
      </c>
      <c r="L181">
        <v>20250315</v>
      </c>
      <c r="M181" t="s">
        <v>43</v>
      </c>
      <c r="O181">
        <f t="shared" si="2"/>
        <v>0</v>
      </c>
    </row>
    <row r="182" spans="1:15" x14ac:dyDescent="0.2">
      <c r="A182" t="s">
        <v>36</v>
      </c>
      <c r="B182" t="s">
        <v>37</v>
      </c>
      <c r="C182" t="s">
        <v>38</v>
      </c>
      <c r="D182" t="s">
        <v>39</v>
      </c>
      <c r="E182" t="s">
        <v>139</v>
      </c>
      <c r="F182" t="s">
        <v>140</v>
      </c>
      <c r="G182" t="s">
        <v>134</v>
      </c>
      <c r="H182" t="s">
        <v>42</v>
      </c>
      <c r="I182">
        <v>2023</v>
      </c>
      <c r="J182">
        <v>8.4509500000000006</v>
      </c>
      <c r="L182">
        <v>20250315</v>
      </c>
      <c r="M182" t="s">
        <v>43</v>
      </c>
      <c r="O182">
        <f t="shared" si="2"/>
        <v>0</v>
      </c>
    </row>
    <row r="183" spans="1:15" x14ac:dyDescent="0.2">
      <c r="A183" t="s">
        <v>36</v>
      </c>
      <c r="B183" t="s">
        <v>37</v>
      </c>
      <c r="C183" t="s">
        <v>38</v>
      </c>
      <c r="D183" t="s">
        <v>45</v>
      </c>
      <c r="E183" t="s">
        <v>139</v>
      </c>
      <c r="F183" t="s">
        <v>140</v>
      </c>
      <c r="G183" t="s">
        <v>134</v>
      </c>
      <c r="H183" t="s">
        <v>46</v>
      </c>
      <c r="I183">
        <v>2023</v>
      </c>
      <c r="J183">
        <v>33632.097959999999</v>
      </c>
      <c r="L183">
        <v>20250315</v>
      </c>
      <c r="M183" t="s">
        <v>43</v>
      </c>
      <c r="O183">
        <f t="shared" si="2"/>
        <v>0</v>
      </c>
    </row>
    <row r="184" spans="1:15" x14ac:dyDescent="0.2">
      <c r="A184" t="s">
        <v>36</v>
      </c>
      <c r="B184" t="s">
        <v>37</v>
      </c>
      <c r="C184" t="s">
        <v>38</v>
      </c>
      <c r="D184" t="s">
        <v>44</v>
      </c>
      <c r="E184" t="s">
        <v>139</v>
      </c>
      <c r="F184" t="s">
        <v>140</v>
      </c>
      <c r="G184" t="s">
        <v>134</v>
      </c>
      <c r="H184" t="s">
        <v>42</v>
      </c>
      <c r="I184">
        <v>2023</v>
      </c>
      <c r="J184">
        <v>33157.358339999999</v>
      </c>
      <c r="L184">
        <v>20250315</v>
      </c>
      <c r="M184" t="s">
        <v>43</v>
      </c>
      <c r="O184">
        <f t="shared" si="2"/>
        <v>0</v>
      </c>
    </row>
    <row r="185" spans="1:15" x14ac:dyDescent="0.2">
      <c r="A185" t="s">
        <v>36</v>
      </c>
      <c r="B185" t="s">
        <v>37</v>
      </c>
      <c r="C185" t="s">
        <v>38</v>
      </c>
      <c r="D185" t="s">
        <v>47</v>
      </c>
      <c r="E185" t="s">
        <v>139</v>
      </c>
      <c r="F185" t="s">
        <v>140</v>
      </c>
      <c r="G185" t="s">
        <v>134</v>
      </c>
      <c r="H185" t="s">
        <v>42</v>
      </c>
      <c r="I185">
        <v>2023</v>
      </c>
      <c r="J185">
        <v>0.89854000000000001</v>
      </c>
      <c r="L185">
        <v>20250315</v>
      </c>
      <c r="M185" t="s">
        <v>43</v>
      </c>
      <c r="O185">
        <f t="shared" si="2"/>
        <v>0</v>
      </c>
    </row>
    <row r="186" spans="1:15" x14ac:dyDescent="0.2">
      <c r="A186" t="s">
        <v>36</v>
      </c>
      <c r="B186" t="s">
        <v>37</v>
      </c>
      <c r="C186" t="s">
        <v>38</v>
      </c>
      <c r="D186" t="s">
        <v>44</v>
      </c>
      <c r="E186" t="s">
        <v>141</v>
      </c>
      <c r="F186" t="s">
        <v>142</v>
      </c>
      <c r="G186" t="s">
        <v>136</v>
      </c>
      <c r="H186" t="s">
        <v>42</v>
      </c>
      <c r="I186">
        <v>2023</v>
      </c>
      <c r="K186" t="s">
        <v>143</v>
      </c>
      <c r="L186">
        <v>20250315</v>
      </c>
      <c r="M186" t="s">
        <v>43</v>
      </c>
      <c r="O186">
        <f t="shared" si="2"/>
        <v>0</v>
      </c>
    </row>
    <row r="187" spans="1:15" x14ac:dyDescent="0.2">
      <c r="A187" t="s">
        <v>36</v>
      </c>
      <c r="B187" t="s">
        <v>37</v>
      </c>
      <c r="C187" t="s">
        <v>38</v>
      </c>
      <c r="D187" t="s">
        <v>45</v>
      </c>
      <c r="E187" t="s">
        <v>141</v>
      </c>
      <c r="F187" t="s">
        <v>142</v>
      </c>
      <c r="G187" t="s">
        <v>136</v>
      </c>
      <c r="H187" t="s">
        <v>46</v>
      </c>
      <c r="I187">
        <v>2023</v>
      </c>
      <c r="K187" t="s">
        <v>143</v>
      </c>
      <c r="L187">
        <v>20250315</v>
      </c>
      <c r="M187" t="s">
        <v>43</v>
      </c>
      <c r="O187">
        <f t="shared" si="2"/>
        <v>0</v>
      </c>
    </row>
    <row r="188" spans="1:15" x14ac:dyDescent="0.2">
      <c r="A188" t="s">
        <v>36</v>
      </c>
      <c r="B188" t="s">
        <v>37</v>
      </c>
      <c r="C188" t="s">
        <v>38</v>
      </c>
      <c r="D188" t="s">
        <v>39</v>
      </c>
      <c r="E188" t="s">
        <v>141</v>
      </c>
      <c r="F188" t="s">
        <v>142</v>
      </c>
      <c r="G188" t="s">
        <v>136</v>
      </c>
      <c r="H188" t="s">
        <v>42</v>
      </c>
      <c r="I188">
        <v>2023</v>
      </c>
      <c r="K188" t="s">
        <v>143</v>
      </c>
      <c r="L188">
        <v>20250315</v>
      </c>
      <c r="M188" t="s">
        <v>43</v>
      </c>
      <c r="O188">
        <f t="shared" si="2"/>
        <v>0</v>
      </c>
    </row>
    <row r="189" spans="1:15" x14ac:dyDescent="0.2">
      <c r="A189" t="s">
        <v>36</v>
      </c>
      <c r="B189" t="s">
        <v>37</v>
      </c>
      <c r="C189" t="s">
        <v>38</v>
      </c>
      <c r="D189" t="s">
        <v>47</v>
      </c>
      <c r="E189" t="s">
        <v>141</v>
      </c>
      <c r="F189" t="s">
        <v>142</v>
      </c>
      <c r="G189" t="s">
        <v>136</v>
      </c>
      <c r="H189" t="s">
        <v>42</v>
      </c>
      <c r="I189">
        <v>2023</v>
      </c>
      <c r="K189" t="s">
        <v>143</v>
      </c>
      <c r="L189">
        <v>20250315</v>
      </c>
      <c r="M189" t="s">
        <v>43</v>
      </c>
      <c r="O189">
        <f t="shared" si="2"/>
        <v>0</v>
      </c>
    </row>
    <row r="190" spans="1:15" x14ac:dyDescent="0.2">
      <c r="A190" t="s">
        <v>36</v>
      </c>
      <c r="B190" t="s">
        <v>37</v>
      </c>
      <c r="C190" t="s">
        <v>38</v>
      </c>
      <c r="D190" t="s">
        <v>44</v>
      </c>
      <c r="E190" t="s">
        <v>144</v>
      </c>
      <c r="F190" t="s">
        <v>145</v>
      </c>
      <c r="G190" t="s">
        <v>136</v>
      </c>
      <c r="H190" t="s">
        <v>42</v>
      </c>
      <c r="I190">
        <v>2023</v>
      </c>
      <c r="J190">
        <v>17202.12399</v>
      </c>
      <c r="L190">
        <v>20250315</v>
      </c>
      <c r="M190" t="s">
        <v>43</v>
      </c>
      <c r="O190">
        <f t="shared" si="2"/>
        <v>0</v>
      </c>
    </row>
    <row r="191" spans="1:15" x14ac:dyDescent="0.2">
      <c r="A191" t="s">
        <v>36</v>
      </c>
      <c r="B191" t="s">
        <v>37</v>
      </c>
      <c r="C191" t="s">
        <v>38</v>
      </c>
      <c r="D191" t="s">
        <v>45</v>
      </c>
      <c r="E191" t="s">
        <v>144</v>
      </c>
      <c r="F191" t="s">
        <v>145</v>
      </c>
      <c r="G191" t="s">
        <v>136</v>
      </c>
      <c r="H191" t="s">
        <v>46</v>
      </c>
      <c r="I191">
        <v>2023</v>
      </c>
      <c r="J191">
        <v>17202.12399</v>
      </c>
      <c r="L191">
        <v>20250315</v>
      </c>
      <c r="M191" t="s">
        <v>43</v>
      </c>
      <c r="O191">
        <f t="shared" si="2"/>
        <v>0</v>
      </c>
    </row>
    <row r="192" spans="1:15" x14ac:dyDescent="0.2">
      <c r="A192" t="s">
        <v>36</v>
      </c>
      <c r="B192" t="s">
        <v>37</v>
      </c>
      <c r="C192" t="s">
        <v>38</v>
      </c>
      <c r="D192" t="s">
        <v>44</v>
      </c>
      <c r="E192" t="s">
        <v>146</v>
      </c>
      <c r="F192" t="s">
        <v>147</v>
      </c>
      <c r="G192">
        <v>2</v>
      </c>
      <c r="H192" t="s">
        <v>42</v>
      </c>
      <c r="I192">
        <v>2023</v>
      </c>
      <c r="J192">
        <v>956.92706999999996</v>
      </c>
      <c r="L192">
        <v>20250315</v>
      </c>
      <c r="M192" t="s">
        <v>43</v>
      </c>
      <c r="O192">
        <f t="shared" si="2"/>
        <v>1</v>
      </c>
    </row>
    <row r="193" spans="1:15" x14ac:dyDescent="0.2">
      <c r="A193" t="s">
        <v>36</v>
      </c>
      <c r="B193" t="s">
        <v>37</v>
      </c>
      <c r="C193" t="s">
        <v>38</v>
      </c>
      <c r="D193" t="s">
        <v>45</v>
      </c>
      <c r="E193" t="s">
        <v>146</v>
      </c>
      <c r="F193" t="s">
        <v>147</v>
      </c>
      <c r="G193">
        <v>2</v>
      </c>
      <c r="H193" t="s">
        <v>46</v>
      </c>
      <c r="I193">
        <v>2023</v>
      </c>
      <c r="J193">
        <v>956.92706999999996</v>
      </c>
      <c r="L193">
        <v>20250315</v>
      </c>
      <c r="M193" t="s">
        <v>43</v>
      </c>
      <c r="O193">
        <f t="shared" si="2"/>
        <v>1</v>
      </c>
    </row>
    <row r="194" spans="1:15" x14ac:dyDescent="0.2">
      <c r="A194" t="s">
        <v>36</v>
      </c>
      <c r="B194" t="s">
        <v>37</v>
      </c>
      <c r="C194" t="s">
        <v>38</v>
      </c>
      <c r="D194" t="s">
        <v>45</v>
      </c>
      <c r="E194" t="s">
        <v>148</v>
      </c>
      <c r="F194" t="s">
        <v>149</v>
      </c>
      <c r="G194" t="s">
        <v>146</v>
      </c>
      <c r="H194" t="s">
        <v>46</v>
      </c>
      <c r="I194">
        <v>2023</v>
      </c>
      <c r="K194" t="s">
        <v>103</v>
      </c>
      <c r="L194">
        <v>20250315</v>
      </c>
      <c r="M194" t="s">
        <v>43</v>
      </c>
      <c r="O194">
        <f t="shared" si="2"/>
        <v>0</v>
      </c>
    </row>
    <row r="195" spans="1:15" x14ac:dyDescent="0.2">
      <c r="A195" t="s">
        <v>36</v>
      </c>
      <c r="B195" t="s">
        <v>37</v>
      </c>
      <c r="C195" t="s">
        <v>38</v>
      </c>
      <c r="D195" t="s">
        <v>44</v>
      </c>
      <c r="E195" t="s">
        <v>148</v>
      </c>
      <c r="F195" t="s">
        <v>149</v>
      </c>
      <c r="G195" t="s">
        <v>146</v>
      </c>
      <c r="H195" t="s">
        <v>42</v>
      </c>
      <c r="I195">
        <v>2023</v>
      </c>
      <c r="K195" t="s">
        <v>54</v>
      </c>
      <c r="L195">
        <v>20250315</v>
      </c>
      <c r="M195" t="s">
        <v>43</v>
      </c>
      <c r="O195">
        <f t="shared" ref="O195:O258" si="3">IF(OR(G195=2,G195=3,G195=5,G195=6),1,0)</f>
        <v>0</v>
      </c>
    </row>
    <row r="196" spans="1:15" x14ac:dyDescent="0.2">
      <c r="A196" t="s">
        <v>36</v>
      </c>
      <c r="B196" t="s">
        <v>37</v>
      </c>
      <c r="C196" t="s">
        <v>38</v>
      </c>
      <c r="D196" t="s">
        <v>45</v>
      </c>
      <c r="E196" t="s">
        <v>150</v>
      </c>
      <c r="F196" t="s">
        <v>151</v>
      </c>
      <c r="G196" t="s">
        <v>146</v>
      </c>
      <c r="H196" t="s">
        <v>46</v>
      </c>
      <c r="I196">
        <v>2023</v>
      </c>
      <c r="J196">
        <v>188.56100000000001</v>
      </c>
      <c r="L196">
        <v>20250315</v>
      </c>
      <c r="M196" t="s">
        <v>43</v>
      </c>
      <c r="O196">
        <f t="shared" si="3"/>
        <v>0</v>
      </c>
    </row>
    <row r="197" spans="1:15" x14ac:dyDescent="0.2">
      <c r="A197" t="s">
        <v>36</v>
      </c>
      <c r="B197" t="s">
        <v>37</v>
      </c>
      <c r="C197" t="s">
        <v>38</v>
      </c>
      <c r="D197" t="s">
        <v>44</v>
      </c>
      <c r="E197" t="s">
        <v>150</v>
      </c>
      <c r="F197" t="s">
        <v>151</v>
      </c>
      <c r="G197" t="s">
        <v>146</v>
      </c>
      <c r="H197" t="s">
        <v>42</v>
      </c>
      <c r="I197">
        <v>2023</v>
      </c>
      <c r="J197">
        <v>188.56100000000001</v>
      </c>
      <c r="L197">
        <v>20250315</v>
      </c>
      <c r="M197" t="s">
        <v>43</v>
      </c>
      <c r="O197">
        <f t="shared" si="3"/>
        <v>0</v>
      </c>
    </row>
    <row r="198" spans="1:15" x14ac:dyDescent="0.2">
      <c r="A198" t="s">
        <v>36</v>
      </c>
      <c r="B198" t="s">
        <v>37</v>
      </c>
      <c r="C198" t="s">
        <v>38</v>
      </c>
      <c r="D198" t="s">
        <v>45</v>
      </c>
      <c r="E198" t="s">
        <v>152</v>
      </c>
      <c r="F198" t="s">
        <v>153</v>
      </c>
      <c r="G198" t="s">
        <v>146</v>
      </c>
      <c r="H198" t="s">
        <v>46</v>
      </c>
      <c r="I198">
        <v>2023</v>
      </c>
      <c r="J198">
        <v>67.88</v>
      </c>
      <c r="L198">
        <v>20250315</v>
      </c>
      <c r="M198" t="s">
        <v>43</v>
      </c>
      <c r="O198">
        <f t="shared" si="3"/>
        <v>0</v>
      </c>
    </row>
    <row r="199" spans="1:15" x14ac:dyDescent="0.2">
      <c r="A199" t="s">
        <v>36</v>
      </c>
      <c r="B199" t="s">
        <v>37</v>
      </c>
      <c r="C199" t="s">
        <v>38</v>
      </c>
      <c r="D199" t="s">
        <v>44</v>
      </c>
      <c r="E199" t="s">
        <v>152</v>
      </c>
      <c r="F199" t="s">
        <v>153</v>
      </c>
      <c r="G199" t="s">
        <v>146</v>
      </c>
      <c r="H199" t="s">
        <v>42</v>
      </c>
      <c r="I199">
        <v>2023</v>
      </c>
      <c r="J199">
        <v>67.88</v>
      </c>
      <c r="L199">
        <v>20250315</v>
      </c>
      <c r="M199" t="s">
        <v>43</v>
      </c>
      <c r="O199">
        <f t="shared" si="3"/>
        <v>0</v>
      </c>
    </row>
    <row r="200" spans="1:15" x14ac:dyDescent="0.2">
      <c r="A200" t="s">
        <v>36</v>
      </c>
      <c r="B200" t="s">
        <v>37</v>
      </c>
      <c r="C200" t="s">
        <v>38</v>
      </c>
      <c r="D200" t="s">
        <v>45</v>
      </c>
      <c r="E200" t="s">
        <v>154</v>
      </c>
      <c r="F200" t="s">
        <v>155</v>
      </c>
      <c r="G200" t="s">
        <v>146</v>
      </c>
      <c r="H200" t="s">
        <v>46</v>
      </c>
      <c r="I200">
        <v>2023</v>
      </c>
      <c r="J200">
        <v>700.48607000000004</v>
      </c>
      <c r="L200">
        <v>20250315</v>
      </c>
      <c r="M200" t="s">
        <v>43</v>
      </c>
      <c r="O200">
        <f t="shared" si="3"/>
        <v>0</v>
      </c>
    </row>
    <row r="201" spans="1:15" x14ac:dyDescent="0.2">
      <c r="A201" t="s">
        <v>36</v>
      </c>
      <c r="B201" t="s">
        <v>37</v>
      </c>
      <c r="C201" t="s">
        <v>38</v>
      </c>
      <c r="D201" t="s">
        <v>44</v>
      </c>
      <c r="E201" t="s">
        <v>154</v>
      </c>
      <c r="F201" t="s">
        <v>155</v>
      </c>
      <c r="G201" t="s">
        <v>146</v>
      </c>
      <c r="H201" t="s">
        <v>42</v>
      </c>
      <c r="I201">
        <v>2023</v>
      </c>
      <c r="J201">
        <v>700.48607000000004</v>
      </c>
      <c r="L201">
        <v>20250315</v>
      </c>
      <c r="M201" t="s">
        <v>43</v>
      </c>
      <c r="O201">
        <f t="shared" si="3"/>
        <v>0</v>
      </c>
    </row>
    <row r="202" spans="1:15" x14ac:dyDescent="0.2">
      <c r="A202" t="s">
        <v>36</v>
      </c>
      <c r="B202" t="s">
        <v>37</v>
      </c>
      <c r="C202" t="s">
        <v>38</v>
      </c>
      <c r="D202" t="s">
        <v>45</v>
      </c>
      <c r="E202" t="s">
        <v>156</v>
      </c>
      <c r="F202" t="s">
        <v>157</v>
      </c>
      <c r="G202">
        <v>2</v>
      </c>
      <c r="H202" t="s">
        <v>46</v>
      </c>
      <c r="I202">
        <v>2023</v>
      </c>
      <c r="J202">
        <v>10837.90086</v>
      </c>
      <c r="L202">
        <v>20250315</v>
      </c>
      <c r="M202" t="s">
        <v>43</v>
      </c>
      <c r="O202">
        <f t="shared" si="3"/>
        <v>1</v>
      </c>
    </row>
    <row r="203" spans="1:15" x14ac:dyDescent="0.2">
      <c r="A203" t="s">
        <v>36</v>
      </c>
      <c r="B203" t="s">
        <v>37</v>
      </c>
      <c r="C203" t="s">
        <v>38</v>
      </c>
      <c r="D203" t="s">
        <v>52</v>
      </c>
      <c r="E203" t="s">
        <v>156</v>
      </c>
      <c r="F203" t="s">
        <v>157</v>
      </c>
      <c r="G203">
        <v>2</v>
      </c>
      <c r="H203" t="s">
        <v>46</v>
      </c>
      <c r="I203">
        <v>2023</v>
      </c>
      <c r="J203">
        <v>81.751549999999995</v>
      </c>
      <c r="L203">
        <v>20250315</v>
      </c>
      <c r="M203" t="s">
        <v>43</v>
      </c>
      <c r="O203">
        <f t="shared" si="3"/>
        <v>1</v>
      </c>
    </row>
    <row r="204" spans="1:15" x14ac:dyDescent="0.2">
      <c r="A204" t="s">
        <v>36</v>
      </c>
      <c r="B204" t="s">
        <v>37</v>
      </c>
      <c r="C204" t="s">
        <v>38</v>
      </c>
      <c r="D204" t="s">
        <v>47</v>
      </c>
      <c r="E204" t="s">
        <v>156</v>
      </c>
      <c r="F204" t="s">
        <v>157</v>
      </c>
      <c r="G204">
        <v>2</v>
      </c>
      <c r="H204" t="s">
        <v>42</v>
      </c>
      <c r="I204">
        <v>2023</v>
      </c>
      <c r="J204">
        <v>1.5667899999999999</v>
      </c>
      <c r="L204">
        <v>20250315</v>
      </c>
      <c r="M204" t="s">
        <v>43</v>
      </c>
      <c r="O204">
        <f t="shared" si="3"/>
        <v>1</v>
      </c>
    </row>
    <row r="205" spans="1:15" x14ac:dyDescent="0.2">
      <c r="A205" t="s">
        <v>36</v>
      </c>
      <c r="B205" t="s">
        <v>37</v>
      </c>
      <c r="C205" t="s">
        <v>38</v>
      </c>
      <c r="D205" t="s">
        <v>53</v>
      </c>
      <c r="E205" t="s">
        <v>156</v>
      </c>
      <c r="F205" t="s">
        <v>157</v>
      </c>
      <c r="G205">
        <v>2</v>
      </c>
      <c r="H205" t="s">
        <v>46</v>
      </c>
      <c r="I205">
        <v>2023</v>
      </c>
      <c r="K205" t="s">
        <v>54</v>
      </c>
      <c r="L205">
        <v>20250315</v>
      </c>
      <c r="M205" t="s">
        <v>43</v>
      </c>
      <c r="O205">
        <f t="shared" si="3"/>
        <v>1</v>
      </c>
    </row>
    <row r="206" spans="1:15" x14ac:dyDescent="0.2">
      <c r="A206" t="s">
        <v>36</v>
      </c>
      <c r="B206" t="s">
        <v>37</v>
      </c>
      <c r="C206" t="s">
        <v>38</v>
      </c>
      <c r="D206" t="s">
        <v>39</v>
      </c>
      <c r="E206" t="s">
        <v>156</v>
      </c>
      <c r="F206" t="s">
        <v>157</v>
      </c>
      <c r="G206">
        <v>2</v>
      </c>
      <c r="H206" t="s">
        <v>42</v>
      </c>
      <c r="I206">
        <v>2023</v>
      </c>
      <c r="J206">
        <v>13.03505</v>
      </c>
      <c r="L206">
        <v>20250315</v>
      </c>
      <c r="M206" t="s">
        <v>43</v>
      </c>
      <c r="O206">
        <f t="shared" si="3"/>
        <v>1</v>
      </c>
    </row>
    <row r="207" spans="1:15" x14ac:dyDescent="0.2">
      <c r="A207" t="s">
        <v>36</v>
      </c>
      <c r="B207" t="s">
        <v>37</v>
      </c>
      <c r="C207" t="s">
        <v>38</v>
      </c>
      <c r="D207" t="s">
        <v>44</v>
      </c>
      <c r="E207" t="s">
        <v>156</v>
      </c>
      <c r="F207" t="s">
        <v>157</v>
      </c>
      <c r="G207">
        <v>2</v>
      </c>
      <c r="H207" t="s">
        <v>42</v>
      </c>
      <c r="I207">
        <v>2023</v>
      </c>
      <c r="J207">
        <v>9970.6542800000007</v>
      </c>
      <c r="L207">
        <v>20250315</v>
      </c>
      <c r="M207" t="s">
        <v>43</v>
      </c>
      <c r="O207">
        <f t="shared" si="3"/>
        <v>1</v>
      </c>
    </row>
    <row r="208" spans="1:15" x14ac:dyDescent="0.2">
      <c r="A208" t="s">
        <v>36</v>
      </c>
      <c r="B208" t="s">
        <v>37</v>
      </c>
      <c r="C208" t="s">
        <v>38</v>
      </c>
      <c r="D208" t="s">
        <v>51</v>
      </c>
      <c r="E208" t="s">
        <v>156</v>
      </c>
      <c r="F208" t="s">
        <v>157</v>
      </c>
      <c r="G208">
        <v>2</v>
      </c>
      <c r="H208" t="s">
        <v>46</v>
      </c>
      <c r="I208">
        <v>2023</v>
      </c>
      <c r="K208" t="s">
        <v>54</v>
      </c>
      <c r="L208">
        <v>20250315</v>
      </c>
      <c r="M208" t="s">
        <v>43</v>
      </c>
      <c r="O208">
        <f t="shared" si="3"/>
        <v>1</v>
      </c>
    </row>
    <row r="209" spans="1:15" x14ac:dyDescent="0.2">
      <c r="A209" t="s">
        <v>36</v>
      </c>
      <c r="B209" t="s">
        <v>37</v>
      </c>
      <c r="C209" t="s">
        <v>38</v>
      </c>
      <c r="D209" t="s">
        <v>48</v>
      </c>
      <c r="E209" t="s">
        <v>156</v>
      </c>
      <c r="F209" t="s">
        <v>157</v>
      </c>
      <c r="G209">
        <v>2</v>
      </c>
      <c r="H209" t="s">
        <v>46</v>
      </c>
      <c r="I209">
        <v>2023</v>
      </c>
      <c r="K209" t="s">
        <v>54</v>
      </c>
      <c r="L209">
        <v>20250315</v>
      </c>
      <c r="M209" t="s">
        <v>43</v>
      </c>
      <c r="O209">
        <f t="shared" si="3"/>
        <v>1</v>
      </c>
    </row>
    <row r="210" spans="1:15" x14ac:dyDescent="0.2">
      <c r="A210" t="s">
        <v>36</v>
      </c>
      <c r="B210" t="s">
        <v>37</v>
      </c>
      <c r="C210" t="s">
        <v>38</v>
      </c>
      <c r="D210" t="s">
        <v>55</v>
      </c>
      <c r="E210" t="s">
        <v>156</v>
      </c>
      <c r="F210" t="s">
        <v>157</v>
      </c>
      <c r="G210">
        <v>2</v>
      </c>
      <c r="H210" t="s">
        <v>46</v>
      </c>
      <c r="I210">
        <v>2023</v>
      </c>
      <c r="J210">
        <v>5.3131700000000004</v>
      </c>
      <c r="L210">
        <v>20250315</v>
      </c>
      <c r="M210" t="s">
        <v>43</v>
      </c>
      <c r="O210">
        <f t="shared" si="3"/>
        <v>1</v>
      </c>
    </row>
    <row r="211" spans="1:15" x14ac:dyDescent="0.2">
      <c r="A211" t="s">
        <v>36</v>
      </c>
      <c r="B211" t="s">
        <v>37</v>
      </c>
      <c r="C211" t="s">
        <v>38</v>
      </c>
      <c r="D211" t="s">
        <v>45</v>
      </c>
      <c r="E211" t="s">
        <v>158</v>
      </c>
      <c r="F211" t="s">
        <v>159</v>
      </c>
      <c r="G211" t="s">
        <v>156</v>
      </c>
      <c r="H211" t="s">
        <v>46</v>
      </c>
      <c r="I211">
        <v>2023</v>
      </c>
      <c r="J211">
        <v>1979.00461</v>
      </c>
      <c r="L211">
        <v>20250315</v>
      </c>
      <c r="M211" t="s">
        <v>43</v>
      </c>
      <c r="O211">
        <f t="shared" si="3"/>
        <v>0</v>
      </c>
    </row>
    <row r="212" spans="1:15" x14ac:dyDescent="0.2">
      <c r="A212" t="s">
        <v>36</v>
      </c>
      <c r="B212" t="s">
        <v>37</v>
      </c>
      <c r="C212" t="s">
        <v>38</v>
      </c>
      <c r="D212" t="s">
        <v>39</v>
      </c>
      <c r="E212" t="s">
        <v>158</v>
      </c>
      <c r="F212" t="s">
        <v>159</v>
      </c>
      <c r="G212" t="s">
        <v>156</v>
      </c>
      <c r="H212" t="s">
        <v>42</v>
      </c>
      <c r="I212">
        <v>2023</v>
      </c>
      <c r="K212" t="s">
        <v>54</v>
      </c>
      <c r="L212">
        <v>20250315</v>
      </c>
      <c r="M212" t="s">
        <v>43</v>
      </c>
      <c r="O212">
        <f t="shared" si="3"/>
        <v>0</v>
      </c>
    </row>
    <row r="213" spans="1:15" x14ac:dyDescent="0.2">
      <c r="A213" t="s">
        <v>36</v>
      </c>
      <c r="B213" t="s">
        <v>37</v>
      </c>
      <c r="C213" t="s">
        <v>38</v>
      </c>
      <c r="D213" t="s">
        <v>44</v>
      </c>
      <c r="E213" t="s">
        <v>158</v>
      </c>
      <c r="F213" t="s">
        <v>159</v>
      </c>
      <c r="G213" t="s">
        <v>156</v>
      </c>
      <c r="H213" t="s">
        <v>42</v>
      </c>
      <c r="I213">
        <v>2023</v>
      </c>
      <c r="J213">
        <v>1979.00461</v>
      </c>
      <c r="L213">
        <v>20250315</v>
      </c>
      <c r="M213" t="s">
        <v>43</v>
      </c>
      <c r="O213">
        <f t="shared" si="3"/>
        <v>0</v>
      </c>
    </row>
    <row r="214" spans="1:15" x14ac:dyDescent="0.2">
      <c r="A214" t="s">
        <v>36</v>
      </c>
      <c r="B214" t="s">
        <v>37</v>
      </c>
      <c r="C214" t="s">
        <v>38</v>
      </c>
      <c r="D214" t="s">
        <v>47</v>
      </c>
      <c r="E214" t="s">
        <v>158</v>
      </c>
      <c r="F214" t="s">
        <v>159</v>
      </c>
      <c r="G214" t="s">
        <v>156</v>
      </c>
      <c r="H214" t="s">
        <v>42</v>
      </c>
      <c r="I214">
        <v>2023</v>
      </c>
      <c r="K214" t="s">
        <v>54</v>
      </c>
      <c r="L214">
        <v>20250315</v>
      </c>
      <c r="M214" t="s">
        <v>43</v>
      </c>
      <c r="O214">
        <f t="shared" si="3"/>
        <v>0</v>
      </c>
    </row>
    <row r="215" spans="1:15" x14ac:dyDescent="0.2">
      <c r="A215" t="s">
        <v>36</v>
      </c>
      <c r="B215" t="s">
        <v>37</v>
      </c>
      <c r="C215" t="s">
        <v>38</v>
      </c>
      <c r="D215" t="s">
        <v>45</v>
      </c>
      <c r="E215" t="s">
        <v>160</v>
      </c>
      <c r="F215" t="s">
        <v>161</v>
      </c>
      <c r="G215" t="s">
        <v>156</v>
      </c>
      <c r="H215" t="s">
        <v>46</v>
      </c>
      <c r="I215">
        <v>2023</v>
      </c>
      <c r="J215">
        <v>7799.3211799999999</v>
      </c>
      <c r="L215">
        <v>20250315</v>
      </c>
      <c r="M215" t="s">
        <v>43</v>
      </c>
      <c r="O215">
        <f t="shared" si="3"/>
        <v>0</v>
      </c>
    </row>
    <row r="216" spans="1:15" x14ac:dyDescent="0.2">
      <c r="A216" t="s">
        <v>36</v>
      </c>
      <c r="B216" t="s">
        <v>37</v>
      </c>
      <c r="C216" t="s">
        <v>38</v>
      </c>
      <c r="D216" t="s">
        <v>44</v>
      </c>
      <c r="E216" t="s">
        <v>160</v>
      </c>
      <c r="F216" t="s">
        <v>161</v>
      </c>
      <c r="G216" t="s">
        <v>156</v>
      </c>
      <c r="H216" t="s">
        <v>42</v>
      </c>
      <c r="I216">
        <v>2023</v>
      </c>
      <c r="J216">
        <v>7507.0370599999997</v>
      </c>
      <c r="L216">
        <v>20250315</v>
      </c>
      <c r="M216" t="s">
        <v>43</v>
      </c>
      <c r="O216">
        <f t="shared" si="3"/>
        <v>0</v>
      </c>
    </row>
    <row r="217" spans="1:15" x14ac:dyDescent="0.2">
      <c r="A217" t="s">
        <v>36</v>
      </c>
      <c r="B217" t="s">
        <v>37</v>
      </c>
      <c r="C217" t="s">
        <v>38</v>
      </c>
      <c r="D217" t="s">
        <v>55</v>
      </c>
      <c r="E217" t="s">
        <v>160</v>
      </c>
      <c r="F217" t="s">
        <v>161</v>
      </c>
      <c r="G217" t="s">
        <v>156</v>
      </c>
      <c r="H217" t="s">
        <v>46</v>
      </c>
      <c r="I217">
        <v>2023</v>
      </c>
      <c r="K217" t="s">
        <v>54</v>
      </c>
      <c r="L217">
        <v>20250315</v>
      </c>
      <c r="M217" t="s">
        <v>43</v>
      </c>
      <c r="O217">
        <f t="shared" si="3"/>
        <v>0</v>
      </c>
    </row>
    <row r="218" spans="1:15" x14ac:dyDescent="0.2">
      <c r="A218" t="s">
        <v>36</v>
      </c>
      <c r="B218" t="s">
        <v>37</v>
      </c>
      <c r="C218" t="s">
        <v>38</v>
      </c>
      <c r="D218" t="s">
        <v>39</v>
      </c>
      <c r="E218" t="s">
        <v>160</v>
      </c>
      <c r="F218" t="s">
        <v>161</v>
      </c>
      <c r="G218" t="s">
        <v>156</v>
      </c>
      <c r="H218" t="s">
        <v>42</v>
      </c>
      <c r="I218">
        <v>2023</v>
      </c>
      <c r="J218">
        <v>0.39027000000000001</v>
      </c>
      <c r="L218">
        <v>20250315</v>
      </c>
      <c r="M218" t="s">
        <v>43</v>
      </c>
      <c r="O218">
        <f t="shared" si="3"/>
        <v>0</v>
      </c>
    </row>
    <row r="219" spans="1:15" x14ac:dyDescent="0.2">
      <c r="A219" t="s">
        <v>36</v>
      </c>
      <c r="B219" t="s">
        <v>37</v>
      </c>
      <c r="C219" t="s">
        <v>38</v>
      </c>
      <c r="D219" t="s">
        <v>52</v>
      </c>
      <c r="E219" t="s">
        <v>160</v>
      </c>
      <c r="F219" t="s">
        <v>161</v>
      </c>
      <c r="G219" t="s">
        <v>156</v>
      </c>
      <c r="H219" t="s">
        <v>46</v>
      </c>
      <c r="I219">
        <v>2023</v>
      </c>
      <c r="K219" t="s">
        <v>54</v>
      </c>
      <c r="L219">
        <v>20250315</v>
      </c>
      <c r="M219" t="s">
        <v>43</v>
      </c>
      <c r="O219">
        <f t="shared" si="3"/>
        <v>0</v>
      </c>
    </row>
    <row r="220" spans="1:15" x14ac:dyDescent="0.2">
      <c r="A220" t="s">
        <v>36</v>
      </c>
      <c r="B220" t="s">
        <v>37</v>
      </c>
      <c r="C220" t="s">
        <v>38</v>
      </c>
      <c r="D220" t="s">
        <v>47</v>
      </c>
      <c r="E220" t="s">
        <v>160</v>
      </c>
      <c r="F220" t="s">
        <v>161</v>
      </c>
      <c r="G220" t="s">
        <v>156</v>
      </c>
      <c r="H220" t="s">
        <v>42</v>
      </c>
      <c r="I220">
        <v>2023</v>
      </c>
      <c r="J220">
        <v>1.06172</v>
      </c>
      <c r="L220">
        <v>20250315</v>
      </c>
      <c r="M220" t="s">
        <v>43</v>
      </c>
      <c r="O220">
        <f t="shared" si="3"/>
        <v>0</v>
      </c>
    </row>
    <row r="221" spans="1:15" x14ac:dyDescent="0.2">
      <c r="A221" t="s">
        <v>36</v>
      </c>
      <c r="B221" t="s">
        <v>37</v>
      </c>
      <c r="C221" t="s">
        <v>38</v>
      </c>
      <c r="D221" t="s">
        <v>53</v>
      </c>
      <c r="E221" t="s">
        <v>160</v>
      </c>
      <c r="F221" t="s">
        <v>161</v>
      </c>
      <c r="G221" t="s">
        <v>156</v>
      </c>
      <c r="H221" t="s">
        <v>46</v>
      </c>
      <c r="I221">
        <v>2023</v>
      </c>
      <c r="K221" t="s">
        <v>54</v>
      </c>
      <c r="L221">
        <v>20250315</v>
      </c>
      <c r="M221" t="s">
        <v>43</v>
      </c>
      <c r="O221">
        <f t="shared" si="3"/>
        <v>0</v>
      </c>
    </row>
    <row r="222" spans="1:15" x14ac:dyDescent="0.2">
      <c r="A222" t="s">
        <v>36</v>
      </c>
      <c r="B222" t="s">
        <v>37</v>
      </c>
      <c r="C222" t="s">
        <v>38</v>
      </c>
      <c r="D222" t="s">
        <v>45</v>
      </c>
      <c r="E222" t="s">
        <v>162</v>
      </c>
      <c r="F222" t="s">
        <v>163</v>
      </c>
      <c r="G222" t="s">
        <v>156</v>
      </c>
      <c r="H222" t="s">
        <v>46</v>
      </c>
      <c r="I222">
        <v>2023</v>
      </c>
      <c r="J222">
        <v>67.790180000000007</v>
      </c>
      <c r="L222">
        <v>20250315</v>
      </c>
      <c r="M222" t="s">
        <v>43</v>
      </c>
      <c r="O222">
        <f t="shared" si="3"/>
        <v>0</v>
      </c>
    </row>
    <row r="223" spans="1:15" x14ac:dyDescent="0.2">
      <c r="A223" t="s">
        <v>36</v>
      </c>
      <c r="B223" t="s">
        <v>37</v>
      </c>
      <c r="C223" t="s">
        <v>38</v>
      </c>
      <c r="D223" t="s">
        <v>47</v>
      </c>
      <c r="E223" t="s">
        <v>162</v>
      </c>
      <c r="F223" t="s">
        <v>163</v>
      </c>
      <c r="G223" t="s">
        <v>156</v>
      </c>
      <c r="H223" t="s">
        <v>42</v>
      </c>
      <c r="I223">
        <v>2023</v>
      </c>
      <c r="J223">
        <v>0.25580999999999998</v>
      </c>
      <c r="L223">
        <v>20250315</v>
      </c>
      <c r="M223" t="s">
        <v>43</v>
      </c>
      <c r="O223">
        <f t="shared" si="3"/>
        <v>0</v>
      </c>
    </row>
    <row r="224" spans="1:15" x14ac:dyDescent="0.2">
      <c r="A224" t="s">
        <v>36</v>
      </c>
      <c r="B224" t="s">
        <v>37</v>
      </c>
      <c r="C224" t="s">
        <v>38</v>
      </c>
      <c r="D224" t="s">
        <v>45</v>
      </c>
      <c r="E224" t="s">
        <v>164</v>
      </c>
      <c r="F224" t="s">
        <v>165</v>
      </c>
      <c r="G224" t="s">
        <v>156</v>
      </c>
      <c r="H224" t="s">
        <v>46</v>
      </c>
      <c r="I224">
        <v>2023</v>
      </c>
      <c r="K224" t="s">
        <v>103</v>
      </c>
      <c r="L224">
        <v>20250315</v>
      </c>
      <c r="M224" t="s">
        <v>43</v>
      </c>
      <c r="O224">
        <f t="shared" si="3"/>
        <v>0</v>
      </c>
    </row>
    <row r="225" spans="1:15" x14ac:dyDescent="0.2">
      <c r="A225" t="s">
        <v>36</v>
      </c>
      <c r="B225" t="s">
        <v>37</v>
      </c>
      <c r="C225" t="s">
        <v>38</v>
      </c>
      <c r="D225" t="s">
        <v>44</v>
      </c>
      <c r="E225" t="s">
        <v>164</v>
      </c>
      <c r="F225" t="s">
        <v>165</v>
      </c>
      <c r="G225" t="s">
        <v>156</v>
      </c>
      <c r="H225" t="s">
        <v>42</v>
      </c>
      <c r="I225">
        <v>2023</v>
      </c>
      <c r="K225" t="s">
        <v>54</v>
      </c>
      <c r="L225">
        <v>20250315</v>
      </c>
      <c r="M225" t="s">
        <v>43</v>
      </c>
      <c r="O225">
        <f t="shared" si="3"/>
        <v>0</v>
      </c>
    </row>
    <row r="226" spans="1:15" x14ac:dyDescent="0.2">
      <c r="A226" t="s">
        <v>36</v>
      </c>
      <c r="B226" t="s">
        <v>37</v>
      </c>
      <c r="C226" t="s">
        <v>38</v>
      </c>
      <c r="D226" t="s">
        <v>47</v>
      </c>
      <c r="E226" t="s">
        <v>164</v>
      </c>
      <c r="F226" t="s">
        <v>165</v>
      </c>
      <c r="G226" t="s">
        <v>156</v>
      </c>
      <c r="H226" t="s">
        <v>42</v>
      </c>
      <c r="I226">
        <v>2023</v>
      </c>
      <c r="K226" t="s">
        <v>54</v>
      </c>
      <c r="L226">
        <v>20250315</v>
      </c>
      <c r="M226" t="s">
        <v>43</v>
      </c>
      <c r="O226">
        <f t="shared" si="3"/>
        <v>0</v>
      </c>
    </row>
    <row r="227" spans="1:15" x14ac:dyDescent="0.2">
      <c r="A227" t="s">
        <v>36</v>
      </c>
      <c r="B227" t="s">
        <v>37</v>
      </c>
      <c r="C227" t="s">
        <v>38</v>
      </c>
      <c r="D227" t="s">
        <v>44</v>
      </c>
      <c r="E227" t="s">
        <v>166</v>
      </c>
      <c r="F227" t="s">
        <v>167</v>
      </c>
      <c r="G227" t="s">
        <v>156</v>
      </c>
      <c r="H227" t="s">
        <v>42</v>
      </c>
      <c r="I227">
        <v>2023</v>
      </c>
      <c r="K227" t="s">
        <v>54</v>
      </c>
      <c r="L227">
        <v>20250315</v>
      </c>
      <c r="M227" t="s">
        <v>43</v>
      </c>
      <c r="O227">
        <f t="shared" si="3"/>
        <v>0</v>
      </c>
    </row>
    <row r="228" spans="1:15" x14ac:dyDescent="0.2">
      <c r="A228" t="s">
        <v>36</v>
      </c>
      <c r="B228" t="s">
        <v>37</v>
      </c>
      <c r="C228" t="s">
        <v>38</v>
      </c>
      <c r="D228" t="s">
        <v>45</v>
      </c>
      <c r="E228" t="s">
        <v>166</v>
      </c>
      <c r="F228" t="s">
        <v>167</v>
      </c>
      <c r="G228" t="s">
        <v>156</v>
      </c>
      <c r="H228" t="s">
        <v>46</v>
      </c>
      <c r="I228">
        <v>2023</v>
      </c>
      <c r="J228">
        <v>66.053640000000001</v>
      </c>
      <c r="L228">
        <v>20250315</v>
      </c>
      <c r="M228" t="s">
        <v>43</v>
      </c>
      <c r="O228">
        <f t="shared" si="3"/>
        <v>0</v>
      </c>
    </row>
    <row r="229" spans="1:15" x14ac:dyDescent="0.2">
      <c r="A229" t="s">
        <v>36</v>
      </c>
      <c r="B229" t="s">
        <v>37</v>
      </c>
      <c r="C229" t="s">
        <v>38</v>
      </c>
      <c r="D229" t="s">
        <v>47</v>
      </c>
      <c r="E229" t="s">
        <v>166</v>
      </c>
      <c r="F229" t="s">
        <v>167</v>
      </c>
      <c r="G229" t="s">
        <v>156</v>
      </c>
      <c r="H229" t="s">
        <v>42</v>
      </c>
      <c r="I229">
        <v>2023</v>
      </c>
      <c r="J229">
        <v>0.24926000000000001</v>
      </c>
      <c r="L229">
        <v>20250315</v>
      </c>
      <c r="M229" t="s">
        <v>43</v>
      </c>
      <c r="O229">
        <f t="shared" si="3"/>
        <v>0</v>
      </c>
    </row>
    <row r="230" spans="1:15" x14ac:dyDescent="0.2">
      <c r="A230" t="s">
        <v>36</v>
      </c>
      <c r="B230" t="s">
        <v>37</v>
      </c>
      <c r="C230" t="s">
        <v>38</v>
      </c>
      <c r="D230" t="s">
        <v>45</v>
      </c>
      <c r="E230" t="s">
        <v>168</v>
      </c>
      <c r="F230" t="s">
        <v>169</v>
      </c>
      <c r="G230" t="s">
        <v>156</v>
      </c>
      <c r="H230" t="s">
        <v>46</v>
      </c>
      <c r="I230">
        <v>2023</v>
      </c>
      <c r="K230" t="s">
        <v>103</v>
      </c>
      <c r="L230">
        <v>20250315</v>
      </c>
      <c r="M230" t="s">
        <v>43</v>
      </c>
      <c r="O230">
        <f t="shared" si="3"/>
        <v>0</v>
      </c>
    </row>
    <row r="231" spans="1:15" x14ac:dyDescent="0.2">
      <c r="A231" t="s">
        <v>36</v>
      </c>
      <c r="B231" t="s">
        <v>37</v>
      </c>
      <c r="C231" t="s">
        <v>38</v>
      </c>
      <c r="D231" t="s">
        <v>44</v>
      </c>
      <c r="E231" t="s">
        <v>168</v>
      </c>
      <c r="F231" t="s">
        <v>169</v>
      </c>
      <c r="G231" t="s">
        <v>156</v>
      </c>
      <c r="H231" t="s">
        <v>42</v>
      </c>
      <c r="I231">
        <v>2023</v>
      </c>
      <c r="K231" t="s">
        <v>54</v>
      </c>
      <c r="L231">
        <v>20250315</v>
      </c>
      <c r="M231" t="s">
        <v>43</v>
      </c>
      <c r="O231">
        <f t="shared" si="3"/>
        <v>0</v>
      </c>
    </row>
    <row r="232" spans="1:15" x14ac:dyDescent="0.2">
      <c r="A232" t="s">
        <v>36</v>
      </c>
      <c r="B232" t="s">
        <v>37</v>
      </c>
      <c r="C232" t="s">
        <v>38</v>
      </c>
      <c r="D232" t="s">
        <v>39</v>
      </c>
      <c r="E232" t="s">
        <v>168</v>
      </c>
      <c r="F232" t="s">
        <v>169</v>
      </c>
      <c r="G232" t="s">
        <v>156</v>
      </c>
      <c r="H232" t="s">
        <v>42</v>
      </c>
      <c r="I232">
        <v>2023</v>
      </c>
      <c r="K232" t="s">
        <v>111</v>
      </c>
      <c r="L232">
        <v>20250315</v>
      </c>
      <c r="M232" t="s">
        <v>43</v>
      </c>
      <c r="O232">
        <f t="shared" si="3"/>
        <v>0</v>
      </c>
    </row>
    <row r="233" spans="1:15" x14ac:dyDescent="0.2">
      <c r="A233" t="s">
        <v>36</v>
      </c>
      <c r="B233" t="s">
        <v>37</v>
      </c>
      <c r="C233" t="s">
        <v>38</v>
      </c>
      <c r="D233" t="s">
        <v>44</v>
      </c>
      <c r="E233" t="s">
        <v>170</v>
      </c>
      <c r="F233" t="s">
        <v>171</v>
      </c>
      <c r="G233" t="s">
        <v>156</v>
      </c>
      <c r="H233" t="s">
        <v>42</v>
      </c>
      <c r="I233">
        <v>2023</v>
      </c>
      <c r="K233" t="s">
        <v>143</v>
      </c>
      <c r="L233">
        <v>20250315</v>
      </c>
      <c r="M233" t="s">
        <v>43</v>
      </c>
      <c r="O233">
        <f t="shared" si="3"/>
        <v>0</v>
      </c>
    </row>
    <row r="234" spans="1:15" x14ac:dyDescent="0.2">
      <c r="A234" t="s">
        <v>36</v>
      </c>
      <c r="B234" t="s">
        <v>37</v>
      </c>
      <c r="C234" t="s">
        <v>38</v>
      </c>
      <c r="D234" t="s">
        <v>45</v>
      </c>
      <c r="E234" t="s">
        <v>170</v>
      </c>
      <c r="F234" t="s">
        <v>171</v>
      </c>
      <c r="G234" t="s">
        <v>156</v>
      </c>
      <c r="H234" t="s">
        <v>46</v>
      </c>
      <c r="I234">
        <v>2023</v>
      </c>
      <c r="K234" t="s">
        <v>103</v>
      </c>
      <c r="L234">
        <v>20250315</v>
      </c>
      <c r="M234" t="s">
        <v>43</v>
      </c>
      <c r="O234">
        <f t="shared" si="3"/>
        <v>0</v>
      </c>
    </row>
    <row r="235" spans="1:15" x14ac:dyDescent="0.2">
      <c r="A235" t="s">
        <v>36</v>
      </c>
      <c r="B235" t="s">
        <v>37</v>
      </c>
      <c r="C235" t="s">
        <v>38</v>
      </c>
      <c r="D235" t="s">
        <v>45</v>
      </c>
      <c r="E235" t="s">
        <v>172</v>
      </c>
      <c r="F235" t="s">
        <v>173</v>
      </c>
      <c r="G235" t="s">
        <v>156</v>
      </c>
      <c r="H235" t="s">
        <v>46</v>
      </c>
      <c r="I235">
        <v>2023</v>
      </c>
      <c r="K235" t="s">
        <v>103</v>
      </c>
      <c r="L235">
        <v>20250315</v>
      </c>
      <c r="M235" t="s">
        <v>43</v>
      </c>
      <c r="O235">
        <f t="shared" si="3"/>
        <v>0</v>
      </c>
    </row>
    <row r="236" spans="1:15" x14ac:dyDescent="0.2">
      <c r="A236" t="s">
        <v>36</v>
      </c>
      <c r="B236" t="s">
        <v>37</v>
      </c>
      <c r="C236" t="s">
        <v>38</v>
      </c>
      <c r="D236" t="s">
        <v>44</v>
      </c>
      <c r="E236" t="s">
        <v>172</v>
      </c>
      <c r="F236" t="s">
        <v>173</v>
      </c>
      <c r="G236" t="s">
        <v>156</v>
      </c>
      <c r="H236" t="s">
        <v>42</v>
      </c>
      <c r="I236">
        <v>2023</v>
      </c>
      <c r="K236" t="s">
        <v>54</v>
      </c>
      <c r="L236">
        <v>20250315</v>
      </c>
      <c r="M236" t="s">
        <v>43</v>
      </c>
      <c r="O236">
        <f t="shared" si="3"/>
        <v>0</v>
      </c>
    </row>
    <row r="237" spans="1:15" x14ac:dyDescent="0.2">
      <c r="A237" t="s">
        <v>36</v>
      </c>
      <c r="B237" t="s">
        <v>37</v>
      </c>
      <c r="C237" t="s">
        <v>38</v>
      </c>
      <c r="D237" t="s">
        <v>45</v>
      </c>
      <c r="E237" t="s">
        <v>174</v>
      </c>
      <c r="F237" t="s">
        <v>175</v>
      </c>
      <c r="G237" t="s">
        <v>156</v>
      </c>
      <c r="H237" t="s">
        <v>46</v>
      </c>
      <c r="I237">
        <v>2023</v>
      </c>
      <c r="J237">
        <v>838.66651999999999</v>
      </c>
      <c r="L237">
        <v>20250315</v>
      </c>
      <c r="M237" t="s">
        <v>43</v>
      </c>
      <c r="O237">
        <f t="shared" si="3"/>
        <v>0</v>
      </c>
    </row>
    <row r="238" spans="1:15" x14ac:dyDescent="0.2">
      <c r="A238" t="s">
        <v>36</v>
      </c>
      <c r="B238" t="s">
        <v>37</v>
      </c>
      <c r="C238" t="s">
        <v>38</v>
      </c>
      <c r="D238" t="s">
        <v>39</v>
      </c>
      <c r="E238" t="s">
        <v>174</v>
      </c>
      <c r="F238" t="s">
        <v>175</v>
      </c>
      <c r="G238" t="s">
        <v>156</v>
      </c>
      <c r="H238" t="s">
        <v>42</v>
      </c>
      <c r="I238">
        <v>2023</v>
      </c>
      <c r="J238">
        <v>12.644780000000001</v>
      </c>
      <c r="L238">
        <v>20250315</v>
      </c>
      <c r="M238" t="s">
        <v>43</v>
      </c>
      <c r="O238">
        <f t="shared" si="3"/>
        <v>0</v>
      </c>
    </row>
    <row r="239" spans="1:15" x14ac:dyDescent="0.2">
      <c r="A239" t="s">
        <v>36</v>
      </c>
      <c r="B239" t="s">
        <v>37</v>
      </c>
      <c r="C239" t="s">
        <v>38</v>
      </c>
      <c r="D239" t="s">
        <v>44</v>
      </c>
      <c r="E239" t="s">
        <v>174</v>
      </c>
      <c r="F239" t="s">
        <v>175</v>
      </c>
      <c r="G239" t="s">
        <v>156</v>
      </c>
      <c r="H239" t="s">
        <v>42</v>
      </c>
      <c r="I239">
        <v>2023</v>
      </c>
      <c r="J239">
        <v>484.61261999999999</v>
      </c>
      <c r="L239">
        <v>20250315</v>
      </c>
      <c r="M239" t="s">
        <v>43</v>
      </c>
      <c r="O239">
        <f t="shared" si="3"/>
        <v>0</v>
      </c>
    </row>
    <row r="240" spans="1:15" x14ac:dyDescent="0.2">
      <c r="A240" t="s">
        <v>36</v>
      </c>
      <c r="B240" t="s">
        <v>37</v>
      </c>
      <c r="C240" t="s">
        <v>38</v>
      </c>
      <c r="D240" t="s">
        <v>48</v>
      </c>
      <c r="E240" t="s">
        <v>176</v>
      </c>
      <c r="F240" t="s">
        <v>177</v>
      </c>
      <c r="G240" t="s">
        <v>156</v>
      </c>
      <c r="H240" t="s">
        <v>46</v>
      </c>
      <c r="I240">
        <v>2023</v>
      </c>
      <c r="K240" t="s">
        <v>54</v>
      </c>
      <c r="L240">
        <v>20250315</v>
      </c>
      <c r="M240" t="s">
        <v>43</v>
      </c>
      <c r="O240">
        <f t="shared" si="3"/>
        <v>0</v>
      </c>
    </row>
    <row r="241" spans="1:15" x14ac:dyDescent="0.2">
      <c r="A241" t="s">
        <v>36</v>
      </c>
      <c r="B241" t="s">
        <v>37</v>
      </c>
      <c r="C241" t="s">
        <v>38</v>
      </c>
      <c r="D241" t="s">
        <v>55</v>
      </c>
      <c r="E241" t="s">
        <v>176</v>
      </c>
      <c r="F241" t="s">
        <v>177</v>
      </c>
      <c r="G241" t="s">
        <v>156</v>
      </c>
      <c r="H241" t="s">
        <v>46</v>
      </c>
      <c r="I241">
        <v>2023</v>
      </c>
      <c r="J241">
        <v>5.3131700000000004</v>
      </c>
      <c r="K241" t="s">
        <v>54</v>
      </c>
      <c r="L241">
        <v>20250315</v>
      </c>
      <c r="M241" t="s">
        <v>43</v>
      </c>
      <c r="O241">
        <f t="shared" si="3"/>
        <v>0</v>
      </c>
    </row>
    <row r="242" spans="1:15" x14ac:dyDescent="0.2">
      <c r="A242" t="s">
        <v>36</v>
      </c>
      <c r="B242" t="s">
        <v>37</v>
      </c>
      <c r="C242" t="s">
        <v>38</v>
      </c>
      <c r="D242" t="s">
        <v>45</v>
      </c>
      <c r="E242" t="s">
        <v>176</v>
      </c>
      <c r="F242" t="s">
        <v>177</v>
      </c>
      <c r="G242" t="s">
        <v>156</v>
      </c>
      <c r="H242" t="s">
        <v>46</v>
      </c>
      <c r="I242">
        <v>2023</v>
      </c>
      <c r="J242">
        <v>87.064719999999994</v>
      </c>
      <c r="K242" t="s">
        <v>103</v>
      </c>
      <c r="L242">
        <v>20250315</v>
      </c>
      <c r="M242" t="s">
        <v>43</v>
      </c>
      <c r="O242">
        <f t="shared" si="3"/>
        <v>0</v>
      </c>
    </row>
    <row r="243" spans="1:15" x14ac:dyDescent="0.2">
      <c r="A243" t="s">
        <v>36</v>
      </c>
      <c r="B243" t="s">
        <v>37</v>
      </c>
      <c r="C243" t="s">
        <v>38</v>
      </c>
      <c r="D243" t="s">
        <v>51</v>
      </c>
      <c r="E243" t="s">
        <v>176</v>
      </c>
      <c r="F243" t="s">
        <v>177</v>
      </c>
      <c r="G243" t="s">
        <v>156</v>
      </c>
      <c r="H243" t="s">
        <v>46</v>
      </c>
      <c r="I243">
        <v>2023</v>
      </c>
      <c r="K243" t="s">
        <v>54</v>
      </c>
      <c r="L243">
        <v>20250315</v>
      </c>
      <c r="M243" t="s">
        <v>43</v>
      </c>
      <c r="O243">
        <f t="shared" si="3"/>
        <v>0</v>
      </c>
    </row>
    <row r="244" spans="1:15" x14ac:dyDescent="0.2">
      <c r="A244" t="s">
        <v>36</v>
      </c>
      <c r="B244" t="s">
        <v>37</v>
      </c>
      <c r="C244" t="s">
        <v>38</v>
      </c>
      <c r="D244" t="s">
        <v>53</v>
      </c>
      <c r="E244" t="s">
        <v>176</v>
      </c>
      <c r="F244" t="s">
        <v>177</v>
      </c>
      <c r="G244" t="s">
        <v>156</v>
      </c>
      <c r="H244" t="s">
        <v>46</v>
      </c>
      <c r="I244">
        <v>2023</v>
      </c>
      <c r="K244" t="s">
        <v>54</v>
      </c>
      <c r="L244">
        <v>20250315</v>
      </c>
      <c r="M244" t="s">
        <v>43</v>
      </c>
      <c r="O244">
        <f t="shared" si="3"/>
        <v>0</v>
      </c>
    </row>
    <row r="245" spans="1:15" x14ac:dyDescent="0.2">
      <c r="A245" t="s">
        <v>36</v>
      </c>
      <c r="B245" t="s">
        <v>37</v>
      </c>
      <c r="C245" t="s">
        <v>38</v>
      </c>
      <c r="D245" t="s">
        <v>52</v>
      </c>
      <c r="E245" t="s">
        <v>176</v>
      </c>
      <c r="F245" t="s">
        <v>177</v>
      </c>
      <c r="G245" t="s">
        <v>156</v>
      </c>
      <c r="H245" t="s">
        <v>46</v>
      </c>
      <c r="I245">
        <v>2023</v>
      </c>
      <c r="J245">
        <v>81.751549999999995</v>
      </c>
      <c r="K245" t="s">
        <v>178</v>
      </c>
      <c r="L245">
        <v>20250315</v>
      </c>
      <c r="M245" t="s">
        <v>43</v>
      </c>
      <c r="O245">
        <f t="shared" si="3"/>
        <v>0</v>
      </c>
    </row>
    <row r="246" spans="1:15" x14ac:dyDescent="0.2">
      <c r="A246" t="s">
        <v>36</v>
      </c>
      <c r="B246" t="s">
        <v>37</v>
      </c>
      <c r="C246" t="s">
        <v>38</v>
      </c>
      <c r="D246" t="s">
        <v>52</v>
      </c>
      <c r="E246" t="s">
        <v>179</v>
      </c>
      <c r="F246" t="s">
        <v>180</v>
      </c>
      <c r="G246">
        <v>2</v>
      </c>
      <c r="H246" t="s">
        <v>46</v>
      </c>
      <c r="I246">
        <v>2023</v>
      </c>
      <c r="K246" t="s">
        <v>54</v>
      </c>
      <c r="L246">
        <v>20250315</v>
      </c>
      <c r="M246" t="s">
        <v>43</v>
      </c>
      <c r="O246">
        <f t="shared" si="3"/>
        <v>1</v>
      </c>
    </row>
    <row r="247" spans="1:15" x14ac:dyDescent="0.2">
      <c r="A247" t="s">
        <v>36</v>
      </c>
      <c r="B247" t="s">
        <v>37</v>
      </c>
      <c r="C247" t="s">
        <v>38</v>
      </c>
      <c r="D247" t="s">
        <v>55</v>
      </c>
      <c r="E247" t="s">
        <v>179</v>
      </c>
      <c r="F247" t="s">
        <v>180</v>
      </c>
      <c r="G247">
        <v>2</v>
      </c>
      <c r="H247" t="s">
        <v>46</v>
      </c>
      <c r="I247">
        <v>2023</v>
      </c>
      <c r="K247" t="s">
        <v>54</v>
      </c>
      <c r="L247">
        <v>20250315</v>
      </c>
      <c r="M247" t="s">
        <v>43</v>
      </c>
      <c r="O247">
        <f t="shared" si="3"/>
        <v>1</v>
      </c>
    </row>
    <row r="248" spans="1:15" x14ac:dyDescent="0.2">
      <c r="A248" t="s">
        <v>36</v>
      </c>
      <c r="B248" t="s">
        <v>37</v>
      </c>
      <c r="C248" t="s">
        <v>38</v>
      </c>
      <c r="D248" t="s">
        <v>53</v>
      </c>
      <c r="E248" t="s">
        <v>179</v>
      </c>
      <c r="F248" t="s">
        <v>180</v>
      </c>
      <c r="G248">
        <v>2</v>
      </c>
      <c r="H248" t="s">
        <v>46</v>
      </c>
      <c r="I248">
        <v>2023</v>
      </c>
      <c r="K248" t="s">
        <v>54</v>
      </c>
      <c r="L248">
        <v>20250315</v>
      </c>
      <c r="M248" t="s">
        <v>43</v>
      </c>
      <c r="O248">
        <f t="shared" si="3"/>
        <v>1</v>
      </c>
    </row>
    <row r="249" spans="1:15" x14ac:dyDescent="0.2">
      <c r="A249" t="s">
        <v>36</v>
      </c>
      <c r="B249" t="s">
        <v>37</v>
      </c>
      <c r="C249" t="s">
        <v>38</v>
      </c>
      <c r="D249" t="s">
        <v>48</v>
      </c>
      <c r="E249" t="s">
        <v>179</v>
      </c>
      <c r="F249" t="s">
        <v>180</v>
      </c>
      <c r="G249">
        <v>2</v>
      </c>
      <c r="H249" t="s">
        <v>46</v>
      </c>
      <c r="I249">
        <v>2023</v>
      </c>
      <c r="K249" t="s">
        <v>104</v>
      </c>
      <c r="L249">
        <v>20250315</v>
      </c>
      <c r="M249" t="s">
        <v>43</v>
      </c>
      <c r="O249">
        <f t="shared" si="3"/>
        <v>1</v>
      </c>
    </row>
    <row r="250" spans="1:15" x14ac:dyDescent="0.2">
      <c r="A250" t="s">
        <v>36</v>
      </c>
      <c r="B250" t="s">
        <v>37</v>
      </c>
      <c r="C250" t="s">
        <v>38</v>
      </c>
      <c r="D250" t="s">
        <v>39</v>
      </c>
      <c r="E250" t="s">
        <v>179</v>
      </c>
      <c r="F250" t="s">
        <v>180</v>
      </c>
      <c r="G250">
        <v>2</v>
      </c>
      <c r="H250" t="s">
        <v>42</v>
      </c>
      <c r="I250">
        <v>2023</v>
      </c>
      <c r="K250" t="s">
        <v>50</v>
      </c>
      <c r="L250">
        <v>20250315</v>
      </c>
      <c r="M250" t="s">
        <v>43</v>
      </c>
      <c r="O250">
        <f t="shared" si="3"/>
        <v>1</v>
      </c>
    </row>
    <row r="251" spans="1:15" x14ac:dyDescent="0.2">
      <c r="A251" t="s">
        <v>36</v>
      </c>
      <c r="B251" t="s">
        <v>37</v>
      </c>
      <c r="C251" t="s">
        <v>38</v>
      </c>
      <c r="D251" t="s">
        <v>51</v>
      </c>
      <c r="E251" t="s">
        <v>179</v>
      </c>
      <c r="F251" t="s">
        <v>180</v>
      </c>
      <c r="G251">
        <v>2</v>
      </c>
      <c r="H251" t="s">
        <v>46</v>
      </c>
      <c r="I251">
        <v>2023</v>
      </c>
      <c r="K251" t="s">
        <v>104</v>
      </c>
      <c r="L251">
        <v>20250315</v>
      </c>
      <c r="M251" t="s">
        <v>43</v>
      </c>
      <c r="O251">
        <f t="shared" si="3"/>
        <v>1</v>
      </c>
    </row>
    <row r="252" spans="1:15" x14ac:dyDescent="0.2">
      <c r="A252" t="s">
        <v>36</v>
      </c>
      <c r="B252" t="s">
        <v>37</v>
      </c>
      <c r="C252" t="s">
        <v>38</v>
      </c>
      <c r="D252" t="s">
        <v>44</v>
      </c>
      <c r="E252" t="s">
        <v>179</v>
      </c>
      <c r="F252" t="s">
        <v>180</v>
      </c>
      <c r="G252">
        <v>2</v>
      </c>
      <c r="H252" t="s">
        <v>42</v>
      </c>
      <c r="I252">
        <v>2023</v>
      </c>
      <c r="J252">
        <v>8.5228699999999993</v>
      </c>
      <c r="L252">
        <v>20250315</v>
      </c>
      <c r="M252" t="s">
        <v>43</v>
      </c>
      <c r="O252">
        <f t="shared" si="3"/>
        <v>1</v>
      </c>
    </row>
    <row r="253" spans="1:15" x14ac:dyDescent="0.2">
      <c r="A253" t="s">
        <v>36</v>
      </c>
      <c r="B253" t="s">
        <v>37</v>
      </c>
      <c r="C253" t="s">
        <v>38</v>
      </c>
      <c r="D253" t="s">
        <v>47</v>
      </c>
      <c r="E253" t="s">
        <v>179</v>
      </c>
      <c r="F253" t="s">
        <v>180</v>
      </c>
      <c r="G253">
        <v>2</v>
      </c>
      <c r="H253" t="s">
        <v>42</v>
      </c>
      <c r="I253">
        <v>2023</v>
      </c>
      <c r="K253" t="s">
        <v>104</v>
      </c>
      <c r="L253">
        <v>20250315</v>
      </c>
      <c r="M253" t="s">
        <v>43</v>
      </c>
      <c r="O253">
        <f t="shared" si="3"/>
        <v>1</v>
      </c>
    </row>
    <row r="254" spans="1:15" x14ac:dyDescent="0.2">
      <c r="A254" t="s">
        <v>36</v>
      </c>
      <c r="B254" t="s">
        <v>37</v>
      </c>
      <c r="C254" t="s">
        <v>38</v>
      </c>
      <c r="D254" t="s">
        <v>45</v>
      </c>
      <c r="E254" t="s">
        <v>179</v>
      </c>
      <c r="F254" t="s">
        <v>180</v>
      </c>
      <c r="G254">
        <v>2</v>
      </c>
      <c r="H254" t="s">
        <v>46</v>
      </c>
      <c r="I254">
        <v>2023</v>
      </c>
      <c r="J254">
        <v>8.5228699999999993</v>
      </c>
      <c r="L254">
        <v>20250315</v>
      </c>
      <c r="M254" t="s">
        <v>43</v>
      </c>
      <c r="O254">
        <f t="shared" si="3"/>
        <v>1</v>
      </c>
    </row>
    <row r="255" spans="1:15" x14ac:dyDescent="0.2">
      <c r="A255" t="s">
        <v>36</v>
      </c>
      <c r="B255" t="s">
        <v>37</v>
      </c>
      <c r="C255" t="s">
        <v>38</v>
      </c>
      <c r="D255" t="s">
        <v>45</v>
      </c>
      <c r="E255" t="s">
        <v>181</v>
      </c>
      <c r="F255" t="s">
        <v>182</v>
      </c>
      <c r="G255" t="s">
        <v>179</v>
      </c>
      <c r="H255" t="s">
        <v>46</v>
      </c>
      <c r="I255">
        <v>2023</v>
      </c>
      <c r="J255">
        <v>8.5228699999999993</v>
      </c>
      <c r="L255">
        <v>20250315</v>
      </c>
      <c r="M255" t="s">
        <v>43</v>
      </c>
      <c r="O255">
        <f t="shared" si="3"/>
        <v>0</v>
      </c>
    </row>
    <row r="256" spans="1:15" x14ac:dyDescent="0.2">
      <c r="A256" t="s">
        <v>36</v>
      </c>
      <c r="B256" t="s">
        <v>37</v>
      </c>
      <c r="C256" t="s">
        <v>38</v>
      </c>
      <c r="D256" t="s">
        <v>44</v>
      </c>
      <c r="E256" t="s">
        <v>181</v>
      </c>
      <c r="F256" t="s">
        <v>182</v>
      </c>
      <c r="G256" t="s">
        <v>179</v>
      </c>
      <c r="H256" t="s">
        <v>42</v>
      </c>
      <c r="I256">
        <v>2023</v>
      </c>
      <c r="J256">
        <v>8.5228699999999993</v>
      </c>
      <c r="L256">
        <v>20250315</v>
      </c>
      <c r="M256" t="s">
        <v>43</v>
      </c>
      <c r="O256">
        <f t="shared" si="3"/>
        <v>0</v>
      </c>
    </row>
    <row r="257" spans="1:15" x14ac:dyDescent="0.2">
      <c r="A257" t="s">
        <v>36</v>
      </c>
      <c r="B257" t="s">
        <v>37</v>
      </c>
      <c r="C257" t="s">
        <v>38</v>
      </c>
      <c r="D257" t="s">
        <v>39</v>
      </c>
      <c r="E257" t="s">
        <v>181</v>
      </c>
      <c r="F257" t="s">
        <v>182</v>
      </c>
      <c r="G257" t="s">
        <v>179</v>
      </c>
      <c r="H257" t="s">
        <v>42</v>
      </c>
      <c r="I257">
        <v>2023</v>
      </c>
      <c r="K257" t="s">
        <v>50</v>
      </c>
      <c r="L257">
        <v>20250315</v>
      </c>
      <c r="M257" t="s">
        <v>43</v>
      </c>
      <c r="O257">
        <f t="shared" si="3"/>
        <v>0</v>
      </c>
    </row>
    <row r="258" spans="1:15" x14ac:dyDescent="0.2">
      <c r="A258" t="s">
        <v>36</v>
      </c>
      <c r="B258" t="s">
        <v>37</v>
      </c>
      <c r="C258" t="s">
        <v>38</v>
      </c>
      <c r="D258" t="s">
        <v>45</v>
      </c>
      <c r="E258" t="s">
        <v>183</v>
      </c>
      <c r="F258" t="s">
        <v>184</v>
      </c>
      <c r="G258" t="s">
        <v>179</v>
      </c>
      <c r="H258" t="s">
        <v>46</v>
      </c>
      <c r="I258">
        <v>2023</v>
      </c>
      <c r="K258" t="s">
        <v>103</v>
      </c>
      <c r="L258">
        <v>20250315</v>
      </c>
      <c r="M258" t="s">
        <v>43</v>
      </c>
      <c r="O258">
        <f t="shared" si="3"/>
        <v>0</v>
      </c>
    </row>
    <row r="259" spans="1:15" x14ac:dyDescent="0.2">
      <c r="A259" t="s">
        <v>36</v>
      </c>
      <c r="B259" t="s">
        <v>37</v>
      </c>
      <c r="C259" t="s">
        <v>38</v>
      </c>
      <c r="D259" t="s">
        <v>44</v>
      </c>
      <c r="E259" t="s">
        <v>183</v>
      </c>
      <c r="F259" t="s">
        <v>184</v>
      </c>
      <c r="G259" t="s">
        <v>179</v>
      </c>
      <c r="H259" t="s">
        <v>42</v>
      </c>
      <c r="I259">
        <v>2023</v>
      </c>
      <c r="K259" t="s">
        <v>54</v>
      </c>
      <c r="L259">
        <v>20250315</v>
      </c>
      <c r="M259" t="s">
        <v>43</v>
      </c>
      <c r="O259">
        <f t="shared" ref="O259:O322" si="4">IF(OR(G259=2,G259=3,G259=5,G259=6),1,0)</f>
        <v>0</v>
      </c>
    </row>
    <row r="260" spans="1:15" x14ac:dyDescent="0.2">
      <c r="A260" t="s">
        <v>36</v>
      </c>
      <c r="B260" t="s">
        <v>37</v>
      </c>
      <c r="C260" t="s">
        <v>38</v>
      </c>
      <c r="D260" t="s">
        <v>39</v>
      </c>
      <c r="E260" t="s">
        <v>183</v>
      </c>
      <c r="F260" t="s">
        <v>184</v>
      </c>
      <c r="G260" t="s">
        <v>179</v>
      </c>
      <c r="H260" t="s">
        <v>42</v>
      </c>
      <c r="I260">
        <v>2023</v>
      </c>
      <c r="K260" t="s">
        <v>54</v>
      </c>
      <c r="L260">
        <v>20250315</v>
      </c>
      <c r="M260" t="s">
        <v>43</v>
      </c>
      <c r="O260">
        <f t="shared" si="4"/>
        <v>0</v>
      </c>
    </row>
    <row r="261" spans="1:15" x14ac:dyDescent="0.2">
      <c r="A261" t="s">
        <v>36</v>
      </c>
      <c r="B261" t="s">
        <v>37</v>
      </c>
      <c r="C261" t="s">
        <v>38</v>
      </c>
      <c r="D261" t="s">
        <v>55</v>
      </c>
      <c r="E261" t="s">
        <v>185</v>
      </c>
      <c r="F261" t="s">
        <v>186</v>
      </c>
      <c r="G261" t="s">
        <v>179</v>
      </c>
      <c r="H261" t="s">
        <v>46</v>
      </c>
      <c r="I261">
        <v>2023</v>
      </c>
      <c r="K261" t="s">
        <v>54</v>
      </c>
      <c r="L261">
        <v>20250315</v>
      </c>
      <c r="M261" t="s">
        <v>43</v>
      </c>
      <c r="O261">
        <f t="shared" si="4"/>
        <v>0</v>
      </c>
    </row>
    <row r="262" spans="1:15" x14ac:dyDescent="0.2">
      <c r="A262" t="s">
        <v>36</v>
      </c>
      <c r="B262" t="s">
        <v>37</v>
      </c>
      <c r="C262" t="s">
        <v>38</v>
      </c>
      <c r="D262" t="s">
        <v>45</v>
      </c>
      <c r="E262" t="s">
        <v>185</v>
      </c>
      <c r="F262" t="s">
        <v>186</v>
      </c>
      <c r="G262" t="s">
        <v>179</v>
      </c>
      <c r="H262" t="s">
        <v>46</v>
      </c>
      <c r="I262">
        <v>2023</v>
      </c>
      <c r="K262" t="s">
        <v>103</v>
      </c>
      <c r="L262">
        <v>20250315</v>
      </c>
      <c r="M262" t="s">
        <v>43</v>
      </c>
      <c r="O262">
        <f t="shared" si="4"/>
        <v>0</v>
      </c>
    </row>
    <row r="263" spans="1:15" x14ac:dyDescent="0.2">
      <c r="A263" t="s">
        <v>36</v>
      </c>
      <c r="B263" t="s">
        <v>37</v>
      </c>
      <c r="C263" t="s">
        <v>38</v>
      </c>
      <c r="D263" t="s">
        <v>44</v>
      </c>
      <c r="E263" t="s">
        <v>185</v>
      </c>
      <c r="F263" t="s">
        <v>186</v>
      </c>
      <c r="G263" t="s">
        <v>179</v>
      </c>
      <c r="H263" t="s">
        <v>42</v>
      </c>
      <c r="I263">
        <v>2023</v>
      </c>
      <c r="K263" t="s">
        <v>54</v>
      </c>
      <c r="L263">
        <v>20250315</v>
      </c>
      <c r="M263" t="s">
        <v>43</v>
      </c>
      <c r="O263">
        <f t="shared" si="4"/>
        <v>0</v>
      </c>
    </row>
    <row r="264" spans="1:15" x14ac:dyDescent="0.2">
      <c r="A264" t="s">
        <v>36</v>
      </c>
      <c r="B264" t="s">
        <v>37</v>
      </c>
      <c r="C264" t="s">
        <v>38</v>
      </c>
      <c r="D264" t="s">
        <v>52</v>
      </c>
      <c r="E264" t="s">
        <v>187</v>
      </c>
      <c r="F264" t="s">
        <v>188</v>
      </c>
      <c r="G264" t="s">
        <v>179</v>
      </c>
      <c r="H264" t="s">
        <v>46</v>
      </c>
      <c r="I264">
        <v>2023</v>
      </c>
      <c r="K264" t="s">
        <v>54</v>
      </c>
      <c r="L264">
        <v>20250315</v>
      </c>
      <c r="M264" t="s">
        <v>43</v>
      </c>
      <c r="O264">
        <f t="shared" si="4"/>
        <v>0</v>
      </c>
    </row>
    <row r="265" spans="1:15" x14ac:dyDescent="0.2">
      <c r="A265" t="s">
        <v>36</v>
      </c>
      <c r="B265" t="s">
        <v>37</v>
      </c>
      <c r="C265" t="s">
        <v>38</v>
      </c>
      <c r="D265" t="s">
        <v>55</v>
      </c>
      <c r="E265" t="s">
        <v>187</v>
      </c>
      <c r="F265" t="s">
        <v>188</v>
      </c>
      <c r="G265" t="s">
        <v>179</v>
      </c>
      <c r="H265" t="s">
        <v>46</v>
      </c>
      <c r="I265">
        <v>2023</v>
      </c>
      <c r="K265" t="s">
        <v>54</v>
      </c>
      <c r="L265">
        <v>20250315</v>
      </c>
      <c r="M265" t="s">
        <v>43</v>
      </c>
      <c r="O265">
        <f t="shared" si="4"/>
        <v>0</v>
      </c>
    </row>
    <row r="266" spans="1:15" x14ac:dyDescent="0.2">
      <c r="A266" t="s">
        <v>36</v>
      </c>
      <c r="B266" t="s">
        <v>37</v>
      </c>
      <c r="C266" t="s">
        <v>38</v>
      </c>
      <c r="D266" t="s">
        <v>45</v>
      </c>
      <c r="E266" t="s">
        <v>187</v>
      </c>
      <c r="F266" t="s">
        <v>188</v>
      </c>
      <c r="G266" t="s">
        <v>179</v>
      </c>
      <c r="H266" t="s">
        <v>46</v>
      </c>
      <c r="I266">
        <v>2023</v>
      </c>
      <c r="K266" t="s">
        <v>103</v>
      </c>
      <c r="L266">
        <v>20250315</v>
      </c>
      <c r="M266" t="s">
        <v>43</v>
      </c>
      <c r="O266">
        <f t="shared" si="4"/>
        <v>0</v>
      </c>
    </row>
    <row r="267" spans="1:15" x14ac:dyDescent="0.2">
      <c r="A267" t="s">
        <v>36</v>
      </c>
      <c r="B267" t="s">
        <v>37</v>
      </c>
      <c r="C267" t="s">
        <v>38</v>
      </c>
      <c r="D267" t="s">
        <v>44</v>
      </c>
      <c r="E267" t="s">
        <v>187</v>
      </c>
      <c r="F267" t="s">
        <v>188</v>
      </c>
      <c r="G267" t="s">
        <v>179</v>
      </c>
      <c r="H267" t="s">
        <v>42</v>
      </c>
      <c r="I267">
        <v>2023</v>
      </c>
      <c r="K267" t="s">
        <v>54</v>
      </c>
      <c r="L267">
        <v>20250315</v>
      </c>
      <c r="M267" t="s">
        <v>43</v>
      </c>
      <c r="O267">
        <f t="shared" si="4"/>
        <v>0</v>
      </c>
    </row>
    <row r="268" spans="1:15" x14ac:dyDescent="0.2">
      <c r="A268" t="s">
        <v>36</v>
      </c>
      <c r="B268" t="s">
        <v>37</v>
      </c>
      <c r="C268" t="s">
        <v>38</v>
      </c>
      <c r="D268" t="s">
        <v>45</v>
      </c>
      <c r="E268" t="s">
        <v>189</v>
      </c>
      <c r="F268" t="s">
        <v>190</v>
      </c>
      <c r="G268" t="s">
        <v>179</v>
      </c>
      <c r="H268" t="s">
        <v>46</v>
      </c>
      <c r="I268">
        <v>2023</v>
      </c>
      <c r="K268" t="s">
        <v>103</v>
      </c>
      <c r="L268">
        <v>20250315</v>
      </c>
      <c r="M268" t="s">
        <v>43</v>
      </c>
      <c r="O268">
        <f t="shared" si="4"/>
        <v>0</v>
      </c>
    </row>
    <row r="269" spans="1:15" x14ac:dyDescent="0.2">
      <c r="A269" t="s">
        <v>36</v>
      </c>
      <c r="B269" t="s">
        <v>37</v>
      </c>
      <c r="C269" t="s">
        <v>38</v>
      </c>
      <c r="D269" t="s">
        <v>44</v>
      </c>
      <c r="E269" t="s">
        <v>189</v>
      </c>
      <c r="F269" t="s">
        <v>190</v>
      </c>
      <c r="G269" t="s">
        <v>179</v>
      </c>
      <c r="H269" t="s">
        <v>42</v>
      </c>
      <c r="I269">
        <v>2023</v>
      </c>
      <c r="K269" t="s">
        <v>54</v>
      </c>
      <c r="L269">
        <v>20250315</v>
      </c>
      <c r="M269" t="s">
        <v>43</v>
      </c>
      <c r="O269">
        <f t="shared" si="4"/>
        <v>0</v>
      </c>
    </row>
    <row r="270" spans="1:15" x14ac:dyDescent="0.2">
      <c r="A270" t="s">
        <v>36</v>
      </c>
      <c r="B270" t="s">
        <v>37</v>
      </c>
      <c r="C270" t="s">
        <v>38</v>
      </c>
      <c r="D270" t="s">
        <v>45</v>
      </c>
      <c r="E270" t="s">
        <v>191</v>
      </c>
      <c r="F270" t="s">
        <v>192</v>
      </c>
      <c r="G270" t="s">
        <v>179</v>
      </c>
      <c r="H270" t="s">
        <v>46</v>
      </c>
      <c r="I270">
        <v>2023</v>
      </c>
      <c r="K270" t="s">
        <v>103</v>
      </c>
      <c r="L270">
        <v>20250315</v>
      </c>
      <c r="M270" t="s">
        <v>43</v>
      </c>
      <c r="O270">
        <f t="shared" si="4"/>
        <v>0</v>
      </c>
    </row>
    <row r="271" spans="1:15" x14ac:dyDescent="0.2">
      <c r="A271" t="s">
        <v>36</v>
      </c>
      <c r="B271" t="s">
        <v>37</v>
      </c>
      <c r="C271" t="s">
        <v>38</v>
      </c>
      <c r="D271" t="s">
        <v>44</v>
      </c>
      <c r="E271" t="s">
        <v>191</v>
      </c>
      <c r="F271" t="s">
        <v>192</v>
      </c>
      <c r="G271" t="s">
        <v>179</v>
      </c>
      <c r="H271" t="s">
        <v>42</v>
      </c>
      <c r="I271">
        <v>2023</v>
      </c>
      <c r="K271" t="s">
        <v>54</v>
      </c>
      <c r="L271">
        <v>20250315</v>
      </c>
      <c r="M271" t="s">
        <v>43</v>
      </c>
      <c r="O271">
        <f t="shared" si="4"/>
        <v>0</v>
      </c>
    </row>
    <row r="272" spans="1:15" x14ac:dyDescent="0.2">
      <c r="A272" t="s">
        <v>36</v>
      </c>
      <c r="B272" t="s">
        <v>37</v>
      </c>
      <c r="C272" t="s">
        <v>38</v>
      </c>
      <c r="D272" t="s">
        <v>55</v>
      </c>
      <c r="E272" t="s">
        <v>193</v>
      </c>
      <c r="F272" t="s">
        <v>194</v>
      </c>
      <c r="G272" t="s">
        <v>179</v>
      </c>
      <c r="H272" t="s">
        <v>46</v>
      </c>
      <c r="I272">
        <v>2023</v>
      </c>
      <c r="K272" t="s">
        <v>54</v>
      </c>
      <c r="L272">
        <v>20250315</v>
      </c>
      <c r="M272" t="s">
        <v>43</v>
      </c>
      <c r="O272">
        <f t="shared" si="4"/>
        <v>0</v>
      </c>
    </row>
    <row r="273" spans="1:15" x14ac:dyDescent="0.2">
      <c r="A273" t="s">
        <v>36</v>
      </c>
      <c r="B273" t="s">
        <v>37</v>
      </c>
      <c r="C273" t="s">
        <v>38</v>
      </c>
      <c r="D273" t="s">
        <v>51</v>
      </c>
      <c r="E273" t="s">
        <v>193</v>
      </c>
      <c r="F273" t="s">
        <v>194</v>
      </c>
      <c r="G273" t="s">
        <v>179</v>
      </c>
      <c r="H273" t="s">
        <v>46</v>
      </c>
      <c r="I273">
        <v>2023</v>
      </c>
      <c r="K273" t="s">
        <v>104</v>
      </c>
      <c r="L273">
        <v>20250315</v>
      </c>
      <c r="M273" t="s">
        <v>43</v>
      </c>
      <c r="O273">
        <f t="shared" si="4"/>
        <v>0</v>
      </c>
    </row>
    <row r="274" spans="1:15" x14ac:dyDescent="0.2">
      <c r="A274" t="s">
        <v>36</v>
      </c>
      <c r="B274" t="s">
        <v>37</v>
      </c>
      <c r="C274" t="s">
        <v>38</v>
      </c>
      <c r="D274" t="s">
        <v>47</v>
      </c>
      <c r="E274" t="s">
        <v>193</v>
      </c>
      <c r="F274" t="s">
        <v>194</v>
      </c>
      <c r="G274" t="s">
        <v>179</v>
      </c>
      <c r="H274" t="s">
        <v>42</v>
      </c>
      <c r="I274">
        <v>2023</v>
      </c>
      <c r="K274" t="s">
        <v>104</v>
      </c>
      <c r="L274">
        <v>20250315</v>
      </c>
      <c r="M274" t="s">
        <v>43</v>
      </c>
      <c r="O274">
        <f t="shared" si="4"/>
        <v>0</v>
      </c>
    </row>
    <row r="275" spans="1:15" x14ac:dyDescent="0.2">
      <c r="A275" t="s">
        <v>36</v>
      </c>
      <c r="B275" t="s">
        <v>37</v>
      </c>
      <c r="C275" t="s">
        <v>38</v>
      </c>
      <c r="D275" t="s">
        <v>48</v>
      </c>
      <c r="E275" t="s">
        <v>193</v>
      </c>
      <c r="F275" t="s">
        <v>194</v>
      </c>
      <c r="G275" t="s">
        <v>179</v>
      </c>
      <c r="H275" t="s">
        <v>46</v>
      </c>
      <c r="I275">
        <v>2023</v>
      </c>
      <c r="K275" t="s">
        <v>104</v>
      </c>
      <c r="L275">
        <v>20250315</v>
      </c>
      <c r="M275" t="s">
        <v>43</v>
      </c>
      <c r="O275">
        <f t="shared" si="4"/>
        <v>0</v>
      </c>
    </row>
    <row r="276" spans="1:15" x14ac:dyDescent="0.2">
      <c r="A276" t="s">
        <v>36</v>
      </c>
      <c r="B276" t="s">
        <v>37</v>
      </c>
      <c r="C276" t="s">
        <v>38</v>
      </c>
      <c r="D276" t="s">
        <v>45</v>
      </c>
      <c r="E276" t="s">
        <v>193</v>
      </c>
      <c r="F276" t="s">
        <v>194</v>
      </c>
      <c r="G276" t="s">
        <v>179</v>
      </c>
      <c r="H276" t="s">
        <v>46</v>
      </c>
      <c r="I276">
        <v>2023</v>
      </c>
      <c r="K276" t="s">
        <v>103</v>
      </c>
      <c r="L276">
        <v>20250315</v>
      </c>
      <c r="M276" t="s">
        <v>43</v>
      </c>
      <c r="O276">
        <f t="shared" si="4"/>
        <v>0</v>
      </c>
    </row>
    <row r="277" spans="1:15" x14ac:dyDescent="0.2">
      <c r="A277" t="s">
        <v>36</v>
      </c>
      <c r="B277" t="s">
        <v>37</v>
      </c>
      <c r="C277" t="s">
        <v>38</v>
      </c>
      <c r="D277" t="s">
        <v>39</v>
      </c>
      <c r="E277" t="s">
        <v>193</v>
      </c>
      <c r="F277" t="s">
        <v>194</v>
      </c>
      <c r="G277" t="s">
        <v>179</v>
      </c>
      <c r="H277" t="s">
        <v>42</v>
      </c>
      <c r="I277">
        <v>2023</v>
      </c>
      <c r="K277" t="s">
        <v>104</v>
      </c>
      <c r="L277">
        <v>20250315</v>
      </c>
      <c r="M277" t="s">
        <v>43</v>
      </c>
      <c r="O277">
        <f t="shared" si="4"/>
        <v>0</v>
      </c>
    </row>
    <row r="278" spans="1:15" x14ac:dyDescent="0.2">
      <c r="A278" t="s">
        <v>36</v>
      </c>
      <c r="B278" t="s">
        <v>37</v>
      </c>
      <c r="C278" t="s">
        <v>38</v>
      </c>
      <c r="D278" t="s">
        <v>52</v>
      </c>
      <c r="E278" t="s">
        <v>193</v>
      </c>
      <c r="F278" t="s">
        <v>194</v>
      </c>
      <c r="G278" t="s">
        <v>179</v>
      </c>
      <c r="H278" t="s">
        <v>46</v>
      </c>
      <c r="I278">
        <v>2023</v>
      </c>
      <c r="K278" t="s">
        <v>54</v>
      </c>
      <c r="L278">
        <v>20250315</v>
      </c>
      <c r="M278" t="s">
        <v>43</v>
      </c>
      <c r="O278">
        <f t="shared" si="4"/>
        <v>0</v>
      </c>
    </row>
    <row r="279" spans="1:15" x14ac:dyDescent="0.2">
      <c r="A279" t="s">
        <v>36</v>
      </c>
      <c r="B279" t="s">
        <v>37</v>
      </c>
      <c r="C279" t="s">
        <v>38</v>
      </c>
      <c r="D279" t="s">
        <v>53</v>
      </c>
      <c r="E279" t="s">
        <v>193</v>
      </c>
      <c r="F279" t="s">
        <v>194</v>
      </c>
      <c r="G279" t="s">
        <v>179</v>
      </c>
      <c r="H279" t="s">
        <v>46</v>
      </c>
      <c r="I279">
        <v>2023</v>
      </c>
      <c r="K279" t="s">
        <v>54</v>
      </c>
      <c r="L279">
        <v>20250315</v>
      </c>
      <c r="M279" t="s">
        <v>43</v>
      </c>
      <c r="O279">
        <f t="shared" si="4"/>
        <v>0</v>
      </c>
    </row>
    <row r="280" spans="1:15" x14ac:dyDescent="0.2">
      <c r="A280" t="s">
        <v>36</v>
      </c>
      <c r="B280" t="s">
        <v>37</v>
      </c>
      <c r="C280" t="s">
        <v>38</v>
      </c>
      <c r="D280" t="s">
        <v>44</v>
      </c>
      <c r="E280" t="s">
        <v>193</v>
      </c>
      <c r="F280" t="s">
        <v>194</v>
      </c>
      <c r="G280" t="s">
        <v>179</v>
      </c>
      <c r="H280" t="s">
        <v>42</v>
      </c>
      <c r="I280">
        <v>2023</v>
      </c>
      <c r="K280" t="s">
        <v>104</v>
      </c>
      <c r="L280">
        <v>20250315</v>
      </c>
      <c r="M280" t="s">
        <v>43</v>
      </c>
      <c r="O280">
        <f t="shared" si="4"/>
        <v>0</v>
      </c>
    </row>
    <row r="281" spans="1:15" x14ac:dyDescent="0.2">
      <c r="A281" t="s">
        <v>36</v>
      </c>
      <c r="B281" t="s">
        <v>37</v>
      </c>
      <c r="C281" t="s">
        <v>38</v>
      </c>
      <c r="D281" t="s">
        <v>45</v>
      </c>
      <c r="E281" t="s">
        <v>195</v>
      </c>
      <c r="F281" t="s">
        <v>196</v>
      </c>
      <c r="G281">
        <v>2</v>
      </c>
      <c r="H281" t="s">
        <v>46</v>
      </c>
      <c r="I281">
        <v>2023</v>
      </c>
      <c r="J281">
        <v>381.16091</v>
      </c>
      <c r="L281">
        <v>20250315</v>
      </c>
      <c r="M281" t="s">
        <v>43</v>
      </c>
      <c r="O281">
        <f t="shared" si="4"/>
        <v>1</v>
      </c>
    </row>
    <row r="282" spans="1:15" x14ac:dyDescent="0.2">
      <c r="A282" t="s">
        <v>36</v>
      </c>
      <c r="B282" t="s">
        <v>37</v>
      </c>
      <c r="C282" t="s">
        <v>38</v>
      </c>
      <c r="D282" t="s">
        <v>39</v>
      </c>
      <c r="E282" t="s">
        <v>195</v>
      </c>
      <c r="F282" t="s">
        <v>196</v>
      </c>
      <c r="G282">
        <v>2</v>
      </c>
      <c r="H282" t="s">
        <v>42</v>
      </c>
      <c r="I282">
        <v>2023</v>
      </c>
      <c r="J282">
        <v>1.4959999999999999E-2</v>
      </c>
      <c r="L282">
        <v>20250315</v>
      </c>
      <c r="M282" t="s">
        <v>43</v>
      </c>
      <c r="O282">
        <f t="shared" si="4"/>
        <v>1</v>
      </c>
    </row>
    <row r="283" spans="1:15" x14ac:dyDescent="0.2">
      <c r="A283" t="s">
        <v>36</v>
      </c>
      <c r="B283" t="s">
        <v>37</v>
      </c>
      <c r="C283" t="s">
        <v>38</v>
      </c>
      <c r="D283" t="s">
        <v>44</v>
      </c>
      <c r="E283" t="s">
        <v>195</v>
      </c>
      <c r="F283" t="s">
        <v>196</v>
      </c>
      <c r="G283">
        <v>2</v>
      </c>
      <c r="H283" t="s">
        <v>42</v>
      </c>
      <c r="I283">
        <v>2023</v>
      </c>
      <c r="J283">
        <v>380.74202000000002</v>
      </c>
      <c r="L283">
        <v>20250315</v>
      </c>
      <c r="M283" t="s">
        <v>43</v>
      </c>
      <c r="O283">
        <f t="shared" si="4"/>
        <v>1</v>
      </c>
    </row>
    <row r="284" spans="1:15" x14ac:dyDescent="0.2">
      <c r="A284" t="s">
        <v>36</v>
      </c>
      <c r="B284" t="s">
        <v>37</v>
      </c>
      <c r="C284" t="s">
        <v>38</v>
      </c>
      <c r="D284" t="s">
        <v>47</v>
      </c>
      <c r="E284" t="s">
        <v>195</v>
      </c>
      <c r="F284" t="s">
        <v>196</v>
      </c>
      <c r="G284">
        <v>2</v>
      </c>
      <c r="H284" t="s">
        <v>42</v>
      </c>
      <c r="I284">
        <v>2023</v>
      </c>
      <c r="K284" t="s">
        <v>54</v>
      </c>
      <c r="L284">
        <v>20250315</v>
      </c>
      <c r="M284" t="s">
        <v>43</v>
      </c>
      <c r="O284">
        <f t="shared" si="4"/>
        <v>1</v>
      </c>
    </row>
    <row r="285" spans="1:15" x14ac:dyDescent="0.2">
      <c r="A285" t="s">
        <v>36</v>
      </c>
      <c r="B285" t="s">
        <v>37</v>
      </c>
      <c r="C285" t="s">
        <v>38</v>
      </c>
      <c r="D285" t="s">
        <v>44</v>
      </c>
      <c r="E285" t="s">
        <v>197</v>
      </c>
      <c r="F285" t="s">
        <v>198</v>
      </c>
      <c r="G285" t="s">
        <v>195</v>
      </c>
      <c r="H285" t="s">
        <v>42</v>
      </c>
      <c r="I285">
        <v>2023</v>
      </c>
      <c r="J285">
        <v>92.185900000000004</v>
      </c>
      <c r="L285">
        <v>20250315</v>
      </c>
      <c r="M285" t="s">
        <v>43</v>
      </c>
      <c r="O285">
        <f t="shared" si="4"/>
        <v>0</v>
      </c>
    </row>
    <row r="286" spans="1:15" x14ac:dyDescent="0.2">
      <c r="A286" t="s">
        <v>36</v>
      </c>
      <c r="B286" t="s">
        <v>37</v>
      </c>
      <c r="C286" t="s">
        <v>38</v>
      </c>
      <c r="D286" t="s">
        <v>45</v>
      </c>
      <c r="E286" t="s">
        <v>197</v>
      </c>
      <c r="F286" t="s">
        <v>198</v>
      </c>
      <c r="G286" t="s">
        <v>195</v>
      </c>
      <c r="H286" t="s">
        <v>46</v>
      </c>
      <c r="I286">
        <v>2023</v>
      </c>
      <c r="J286">
        <v>92.185900000000004</v>
      </c>
      <c r="L286">
        <v>20250315</v>
      </c>
      <c r="M286" t="s">
        <v>43</v>
      </c>
      <c r="O286">
        <f t="shared" si="4"/>
        <v>0</v>
      </c>
    </row>
    <row r="287" spans="1:15" x14ac:dyDescent="0.2">
      <c r="A287" t="s">
        <v>36</v>
      </c>
      <c r="B287" t="s">
        <v>37</v>
      </c>
      <c r="C287" t="s">
        <v>38</v>
      </c>
      <c r="D287" t="s">
        <v>39</v>
      </c>
      <c r="E287" t="s">
        <v>197</v>
      </c>
      <c r="F287" t="s">
        <v>198</v>
      </c>
      <c r="G287" t="s">
        <v>195</v>
      </c>
      <c r="H287" t="s">
        <v>42</v>
      </c>
      <c r="I287">
        <v>2023</v>
      </c>
      <c r="K287" t="s">
        <v>54</v>
      </c>
      <c r="L287">
        <v>20250315</v>
      </c>
      <c r="M287" t="s">
        <v>43</v>
      </c>
      <c r="O287">
        <f t="shared" si="4"/>
        <v>0</v>
      </c>
    </row>
    <row r="288" spans="1:15" x14ac:dyDescent="0.2">
      <c r="A288" t="s">
        <v>36</v>
      </c>
      <c r="B288" t="s">
        <v>37</v>
      </c>
      <c r="C288" t="s">
        <v>38</v>
      </c>
      <c r="D288" t="s">
        <v>47</v>
      </c>
      <c r="E288" t="s">
        <v>197</v>
      </c>
      <c r="F288" t="s">
        <v>198</v>
      </c>
      <c r="G288" t="s">
        <v>195</v>
      </c>
      <c r="H288" t="s">
        <v>42</v>
      </c>
      <c r="I288">
        <v>2023</v>
      </c>
      <c r="K288" t="s">
        <v>54</v>
      </c>
      <c r="L288">
        <v>20250315</v>
      </c>
      <c r="M288" t="s">
        <v>43</v>
      </c>
      <c r="O288">
        <f t="shared" si="4"/>
        <v>0</v>
      </c>
    </row>
    <row r="289" spans="1:15" x14ac:dyDescent="0.2">
      <c r="A289" t="s">
        <v>36</v>
      </c>
      <c r="B289" t="s">
        <v>37</v>
      </c>
      <c r="C289" t="s">
        <v>38</v>
      </c>
      <c r="D289" t="s">
        <v>44</v>
      </c>
      <c r="E289" t="s">
        <v>199</v>
      </c>
      <c r="F289" t="s">
        <v>200</v>
      </c>
      <c r="G289" t="s">
        <v>195</v>
      </c>
      <c r="H289" t="s">
        <v>42</v>
      </c>
      <c r="I289">
        <v>2023</v>
      </c>
      <c r="J289">
        <v>252.42743999999999</v>
      </c>
      <c r="L289">
        <v>20250315</v>
      </c>
      <c r="M289" t="s">
        <v>43</v>
      </c>
      <c r="O289">
        <f t="shared" si="4"/>
        <v>0</v>
      </c>
    </row>
    <row r="290" spans="1:15" x14ac:dyDescent="0.2">
      <c r="A290" t="s">
        <v>36</v>
      </c>
      <c r="B290" t="s">
        <v>37</v>
      </c>
      <c r="C290" t="s">
        <v>38</v>
      </c>
      <c r="D290" t="s">
        <v>47</v>
      </c>
      <c r="E290" t="s">
        <v>199</v>
      </c>
      <c r="F290" t="s">
        <v>200</v>
      </c>
      <c r="G290" t="s">
        <v>195</v>
      </c>
      <c r="H290" t="s">
        <v>42</v>
      </c>
      <c r="I290">
        <v>2023</v>
      </c>
      <c r="K290" t="s">
        <v>54</v>
      </c>
      <c r="L290">
        <v>20250315</v>
      </c>
      <c r="M290" t="s">
        <v>43</v>
      </c>
      <c r="O290">
        <f t="shared" si="4"/>
        <v>0</v>
      </c>
    </row>
    <row r="291" spans="1:15" x14ac:dyDescent="0.2">
      <c r="A291" t="s">
        <v>36</v>
      </c>
      <c r="B291" t="s">
        <v>37</v>
      </c>
      <c r="C291" t="s">
        <v>38</v>
      </c>
      <c r="D291" t="s">
        <v>45</v>
      </c>
      <c r="E291" t="s">
        <v>199</v>
      </c>
      <c r="F291" t="s">
        <v>200</v>
      </c>
      <c r="G291" t="s">
        <v>195</v>
      </c>
      <c r="H291" t="s">
        <v>46</v>
      </c>
      <c r="I291">
        <v>2023</v>
      </c>
      <c r="J291">
        <v>252.84631999999999</v>
      </c>
      <c r="L291">
        <v>20250315</v>
      </c>
      <c r="M291" t="s">
        <v>43</v>
      </c>
      <c r="O291">
        <f t="shared" si="4"/>
        <v>0</v>
      </c>
    </row>
    <row r="292" spans="1:15" x14ac:dyDescent="0.2">
      <c r="A292" t="s">
        <v>36</v>
      </c>
      <c r="B292" t="s">
        <v>37</v>
      </c>
      <c r="C292" t="s">
        <v>38</v>
      </c>
      <c r="D292" t="s">
        <v>39</v>
      </c>
      <c r="E292" t="s">
        <v>199</v>
      </c>
      <c r="F292" t="s">
        <v>200</v>
      </c>
      <c r="G292" t="s">
        <v>195</v>
      </c>
      <c r="H292" t="s">
        <v>42</v>
      </c>
      <c r="I292">
        <v>2023</v>
      </c>
      <c r="J292">
        <v>1.4959999999999999E-2</v>
      </c>
      <c r="L292">
        <v>20250315</v>
      </c>
      <c r="M292" t="s">
        <v>43</v>
      </c>
      <c r="O292">
        <f t="shared" si="4"/>
        <v>0</v>
      </c>
    </row>
    <row r="293" spans="1:15" x14ac:dyDescent="0.2">
      <c r="A293" t="s">
        <v>36</v>
      </c>
      <c r="B293" t="s">
        <v>37</v>
      </c>
      <c r="C293" t="s">
        <v>38</v>
      </c>
      <c r="D293" t="s">
        <v>44</v>
      </c>
      <c r="E293" t="s">
        <v>201</v>
      </c>
      <c r="F293" t="s">
        <v>202</v>
      </c>
      <c r="G293" t="s">
        <v>195</v>
      </c>
      <c r="H293" t="s">
        <v>42</v>
      </c>
      <c r="I293">
        <v>2023</v>
      </c>
      <c r="J293">
        <v>36.128680000000003</v>
      </c>
      <c r="L293">
        <v>20250315</v>
      </c>
      <c r="M293" t="s">
        <v>43</v>
      </c>
      <c r="O293">
        <f t="shared" si="4"/>
        <v>0</v>
      </c>
    </row>
    <row r="294" spans="1:15" x14ac:dyDescent="0.2">
      <c r="A294" t="s">
        <v>36</v>
      </c>
      <c r="B294" t="s">
        <v>37</v>
      </c>
      <c r="C294" t="s">
        <v>38</v>
      </c>
      <c r="D294" t="s">
        <v>45</v>
      </c>
      <c r="E294" t="s">
        <v>201</v>
      </c>
      <c r="F294" t="s">
        <v>202</v>
      </c>
      <c r="G294" t="s">
        <v>195</v>
      </c>
      <c r="H294" t="s">
        <v>46</v>
      </c>
      <c r="I294">
        <v>2023</v>
      </c>
      <c r="J294">
        <v>36.128680000000003</v>
      </c>
      <c r="L294">
        <v>20250315</v>
      </c>
      <c r="M294" t="s">
        <v>43</v>
      </c>
      <c r="O294">
        <f t="shared" si="4"/>
        <v>0</v>
      </c>
    </row>
    <row r="295" spans="1:15" x14ac:dyDescent="0.2">
      <c r="A295" t="s">
        <v>36</v>
      </c>
      <c r="B295" t="s">
        <v>37</v>
      </c>
      <c r="C295" t="s">
        <v>38</v>
      </c>
      <c r="D295" t="s">
        <v>47</v>
      </c>
      <c r="E295" t="s">
        <v>201</v>
      </c>
      <c r="F295" t="s">
        <v>202</v>
      </c>
      <c r="G295" t="s">
        <v>195</v>
      </c>
      <c r="H295" t="s">
        <v>42</v>
      </c>
      <c r="I295">
        <v>2023</v>
      </c>
      <c r="K295" t="s">
        <v>54</v>
      </c>
      <c r="L295">
        <v>20250315</v>
      </c>
      <c r="M295" t="s">
        <v>43</v>
      </c>
      <c r="O295">
        <f t="shared" si="4"/>
        <v>0</v>
      </c>
    </row>
    <row r="296" spans="1:15" x14ac:dyDescent="0.2">
      <c r="A296" t="s">
        <v>36</v>
      </c>
      <c r="B296" t="s">
        <v>37</v>
      </c>
      <c r="C296" t="s">
        <v>38</v>
      </c>
      <c r="D296" t="s">
        <v>39</v>
      </c>
      <c r="E296" t="s">
        <v>201</v>
      </c>
      <c r="F296" t="s">
        <v>202</v>
      </c>
      <c r="G296" t="s">
        <v>195</v>
      </c>
      <c r="H296" t="s">
        <v>42</v>
      </c>
      <c r="I296">
        <v>2023</v>
      </c>
      <c r="K296" t="s">
        <v>54</v>
      </c>
      <c r="L296">
        <v>20250315</v>
      </c>
      <c r="M296" t="s">
        <v>43</v>
      </c>
      <c r="O296">
        <f t="shared" si="4"/>
        <v>0</v>
      </c>
    </row>
    <row r="297" spans="1:15" x14ac:dyDescent="0.2">
      <c r="A297" t="s">
        <v>36</v>
      </c>
      <c r="B297" t="s">
        <v>37</v>
      </c>
      <c r="C297" t="s">
        <v>38</v>
      </c>
      <c r="D297" t="s">
        <v>45</v>
      </c>
      <c r="E297" t="s">
        <v>203</v>
      </c>
      <c r="F297" t="s">
        <v>204</v>
      </c>
      <c r="G297">
        <v>2</v>
      </c>
      <c r="H297" t="s">
        <v>46</v>
      </c>
      <c r="I297">
        <v>2023</v>
      </c>
      <c r="J297">
        <v>36.602849999999997</v>
      </c>
      <c r="L297">
        <v>20250315</v>
      </c>
      <c r="M297" t="s">
        <v>43</v>
      </c>
      <c r="O297">
        <f t="shared" si="4"/>
        <v>1</v>
      </c>
    </row>
    <row r="298" spans="1:15" x14ac:dyDescent="0.2">
      <c r="A298" t="s">
        <v>36</v>
      </c>
      <c r="B298" t="s">
        <v>37</v>
      </c>
      <c r="C298" t="s">
        <v>38</v>
      </c>
      <c r="D298" t="s">
        <v>55</v>
      </c>
      <c r="E298" t="s">
        <v>203</v>
      </c>
      <c r="F298" t="s">
        <v>204</v>
      </c>
      <c r="G298">
        <v>2</v>
      </c>
      <c r="H298" t="s">
        <v>46</v>
      </c>
      <c r="I298">
        <v>2023</v>
      </c>
      <c r="J298">
        <v>36.602849999999997</v>
      </c>
      <c r="K298" t="s">
        <v>178</v>
      </c>
      <c r="L298">
        <v>20250315</v>
      </c>
      <c r="M298" t="s">
        <v>43</v>
      </c>
      <c r="O298">
        <f t="shared" si="4"/>
        <v>1</v>
      </c>
    </row>
    <row r="299" spans="1:15" x14ac:dyDescent="0.2">
      <c r="A299" t="s">
        <v>36</v>
      </c>
      <c r="B299" t="s">
        <v>37</v>
      </c>
      <c r="C299" t="s">
        <v>38</v>
      </c>
      <c r="D299" t="s">
        <v>52</v>
      </c>
      <c r="E299" t="s">
        <v>203</v>
      </c>
      <c r="F299" t="s">
        <v>204</v>
      </c>
      <c r="G299">
        <v>2</v>
      </c>
      <c r="H299" t="s">
        <v>46</v>
      </c>
      <c r="I299">
        <v>2023</v>
      </c>
      <c r="K299" t="s">
        <v>54</v>
      </c>
      <c r="L299">
        <v>20250315</v>
      </c>
      <c r="M299" t="s">
        <v>43</v>
      </c>
      <c r="O299">
        <f t="shared" si="4"/>
        <v>1</v>
      </c>
    </row>
    <row r="300" spans="1:15" x14ac:dyDescent="0.2">
      <c r="A300" t="s">
        <v>36</v>
      </c>
      <c r="B300" t="s">
        <v>37</v>
      </c>
      <c r="C300" t="s">
        <v>38</v>
      </c>
      <c r="D300" t="s">
        <v>48</v>
      </c>
      <c r="E300" t="s">
        <v>203</v>
      </c>
      <c r="F300" t="s">
        <v>204</v>
      </c>
      <c r="G300">
        <v>2</v>
      </c>
      <c r="H300" t="s">
        <v>46</v>
      </c>
      <c r="I300">
        <v>2023</v>
      </c>
      <c r="K300" t="s">
        <v>143</v>
      </c>
      <c r="L300">
        <v>20250315</v>
      </c>
      <c r="M300" t="s">
        <v>43</v>
      </c>
      <c r="O300">
        <f t="shared" si="4"/>
        <v>1</v>
      </c>
    </row>
    <row r="301" spans="1:15" x14ac:dyDescent="0.2">
      <c r="A301" t="s">
        <v>36</v>
      </c>
      <c r="B301" t="s">
        <v>37</v>
      </c>
      <c r="C301" t="s">
        <v>38</v>
      </c>
      <c r="D301" t="s">
        <v>53</v>
      </c>
      <c r="E301" t="s">
        <v>203</v>
      </c>
      <c r="F301" t="s">
        <v>204</v>
      </c>
      <c r="G301">
        <v>2</v>
      </c>
      <c r="H301" t="s">
        <v>46</v>
      </c>
      <c r="I301">
        <v>2023</v>
      </c>
      <c r="K301" t="s">
        <v>54</v>
      </c>
      <c r="L301">
        <v>20250315</v>
      </c>
      <c r="M301" t="s">
        <v>43</v>
      </c>
      <c r="O301">
        <f t="shared" si="4"/>
        <v>1</v>
      </c>
    </row>
    <row r="302" spans="1:15" x14ac:dyDescent="0.2">
      <c r="A302" t="s">
        <v>36</v>
      </c>
      <c r="B302" t="s">
        <v>37</v>
      </c>
      <c r="C302" t="s">
        <v>38</v>
      </c>
      <c r="D302" t="s">
        <v>55</v>
      </c>
      <c r="E302" t="s">
        <v>205</v>
      </c>
      <c r="F302" t="s">
        <v>206</v>
      </c>
      <c r="G302" t="s">
        <v>203</v>
      </c>
      <c r="H302" t="s">
        <v>46</v>
      </c>
      <c r="I302">
        <v>2023</v>
      </c>
      <c r="J302">
        <v>36.602849999999997</v>
      </c>
      <c r="L302">
        <v>20250315</v>
      </c>
      <c r="M302" t="s">
        <v>43</v>
      </c>
      <c r="O302">
        <f t="shared" si="4"/>
        <v>0</v>
      </c>
    </row>
    <row r="303" spans="1:15" x14ac:dyDescent="0.2">
      <c r="A303" t="s">
        <v>36</v>
      </c>
      <c r="B303" t="s">
        <v>37</v>
      </c>
      <c r="C303" t="s">
        <v>38</v>
      </c>
      <c r="D303" t="s">
        <v>48</v>
      </c>
      <c r="E303" t="s">
        <v>205</v>
      </c>
      <c r="F303" t="s">
        <v>206</v>
      </c>
      <c r="G303" t="s">
        <v>203</v>
      </c>
      <c r="H303" t="s">
        <v>46</v>
      </c>
      <c r="I303">
        <v>2023</v>
      </c>
      <c r="K303" t="s">
        <v>143</v>
      </c>
      <c r="L303">
        <v>20250315</v>
      </c>
      <c r="M303" t="s">
        <v>43</v>
      </c>
      <c r="O303">
        <f t="shared" si="4"/>
        <v>0</v>
      </c>
    </row>
    <row r="304" spans="1:15" x14ac:dyDescent="0.2">
      <c r="A304" t="s">
        <v>36</v>
      </c>
      <c r="B304" t="s">
        <v>37</v>
      </c>
      <c r="C304" t="s">
        <v>38</v>
      </c>
      <c r="D304" t="s">
        <v>45</v>
      </c>
      <c r="E304" t="s">
        <v>205</v>
      </c>
      <c r="F304" t="s">
        <v>206</v>
      </c>
      <c r="G304" t="s">
        <v>203</v>
      </c>
      <c r="H304" t="s">
        <v>46</v>
      </c>
      <c r="I304">
        <v>2023</v>
      </c>
      <c r="J304">
        <v>36.602849999999997</v>
      </c>
      <c r="L304">
        <v>20250315</v>
      </c>
      <c r="M304" t="s">
        <v>43</v>
      </c>
      <c r="O304">
        <f t="shared" si="4"/>
        <v>0</v>
      </c>
    </row>
    <row r="305" spans="1:15" x14ac:dyDescent="0.2">
      <c r="A305" t="s">
        <v>36</v>
      </c>
      <c r="B305" t="s">
        <v>37</v>
      </c>
      <c r="C305" t="s">
        <v>38</v>
      </c>
      <c r="D305" t="s">
        <v>52</v>
      </c>
      <c r="E305" t="s">
        <v>205</v>
      </c>
      <c r="F305" t="s">
        <v>206</v>
      </c>
      <c r="G305" t="s">
        <v>203</v>
      </c>
      <c r="H305" t="s">
        <v>46</v>
      </c>
      <c r="I305">
        <v>2023</v>
      </c>
      <c r="K305" t="s">
        <v>54</v>
      </c>
      <c r="L305">
        <v>20250315</v>
      </c>
      <c r="M305" t="s">
        <v>43</v>
      </c>
      <c r="O305">
        <f t="shared" si="4"/>
        <v>0</v>
      </c>
    </row>
    <row r="306" spans="1:15" x14ac:dyDescent="0.2">
      <c r="A306" t="s">
        <v>36</v>
      </c>
      <c r="B306" t="s">
        <v>37</v>
      </c>
      <c r="C306" t="s">
        <v>38</v>
      </c>
      <c r="D306" t="s">
        <v>55</v>
      </c>
      <c r="E306" t="s">
        <v>207</v>
      </c>
      <c r="F306" t="s">
        <v>208</v>
      </c>
      <c r="G306" t="s">
        <v>203</v>
      </c>
      <c r="H306" t="s">
        <v>46</v>
      </c>
      <c r="I306">
        <v>2023</v>
      </c>
      <c r="K306" t="s">
        <v>54</v>
      </c>
      <c r="L306">
        <v>20250315</v>
      </c>
      <c r="M306" t="s">
        <v>43</v>
      </c>
      <c r="O306">
        <f t="shared" si="4"/>
        <v>0</v>
      </c>
    </row>
    <row r="307" spans="1:15" x14ac:dyDescent="0.2">
      <c r="A307" t="s">
        <v>36</v>
      </c>
      <c r="B307" t="s">
        <v>37</v>
      </c>
      <c r="C307" t="s">
        <v>38</v>
      </c>
      <c r="D307" t="s">
        <v>45</v>
      </c>
      <c r="E307" t="s">
        <v>207</v>
      </c>
      <c r="F307" t="s">
        <v>208</v>
      </c>
      <c r="G307" t="s">
        <v>203</v>
      </c>
      <c r="H307" t="s">
        <v>46</v>
      </c>
      <c r="I307">
        <v>2023</v>
      </c>
      <c r="K307" t="s">
        <v>103</v>
      </c>
      <c r="L307">
        <v>20250315</v>
      </c>
      <c r="M307" t="s">
        <v>43</v>
      </c>
      <c r="O307">
        <f t="shared" si="4"/>
        <v>0</v>
      </c>
    </row>
    <row r="308" spans="1:15" x14ac:dyDescent="0.2">
      <c r="A308" t="s">
        <v>36</v>
      </c>
      <c r="B308" t="s">
        <v>37</v>
      </c>
      <c r="C308" t="s">
        <v>38</v>
      </c>
      <c r="D308" t="s">
        <v>52</v>
      </c>
      <c r="E308" t="s">
        <v>207</v>
      </c>
      <c r="F308" t="s">
        <v>208</v>
      </c>
      <c r="G308" t="s">
        <v>203</v>
      </c>
      <c r="H308" t="s">
        <v>46</v>
      </c>
      <c r="I308">
        <v>2023</v>
      </c>
      <c r="K308" t="s">
        <v>54</v>
      </c>
      <c r="L308">
        <v>20250315</v>
      </c>
      <c r="M308" t="s">
        <v>43</v>
      </c>
      <c r="O308">
        <f t="shared" si="4"/>
        <v>0</v>
      </c>
    </row>
    <row r="309" spans="1:15" x14ac:dyDescent="0.2">
      <c r="A309" t="s">
        <v>36</v>
      </c>
      <c r="B309" t="s">
        <v>37</v>
      </c>
      <c r="C309" t="s">
        <v>38</v>
      </c>
      <c r="D309" t="s">
        <v>55</v>
      </c>
      <c r="E309" t="s">
        <v>209</v>
      </c>
      <c r="F309" t="s">
        <v>210</v>
      </c>
      <c r="G309" t="s">
        <v>203</v>
      </c>
      <c r="H309" t="s">
        <v>46</v>
      </c>
      <c r="I309">
        <v>2023</v>
      </c>
      <c r="K309" t="s">
        <v>54</v>
      </c>
      <c r="L309">
        <v>20250315</v>
      </c>
      <c r="M309" t="s">
        <v>43</v>
      </c>
      <c r="O309">
        <f t="shared" si="4"/>
        <v>0</v>
      </c>
    </row>
    <row r="310" spans="1:15" x14ac:dyDescent="0.2">
      <c r="A310" t="s">
        <v>36</v>
      </c>
      <c r="B310" t="s">
        <v>37</v>
      </c>
      <c r="C310" t="s">
        <v>38</v>
      </c>
      <c r="D310" t="s">
        <v>45</v>
      </c>
      <c r="E310" t="s">
        <v>209</v>
      </c>
      <c r="F310" t="s">
        <v>210</v>
      </c>
      <c r="G310" t="s">
        <v>203</v>
      </c>
      <c r="H310" t="s">
        <v>46</v>
      </c>
      <c r="I310">
        <v>2023</v>
      </c>
      <c r="K310" t="s">
        <v>103</v>
      </c>
      <c r="L310">
        <v>20250315</v>
      </c>
      <c r="M310" t="s">
        <v>43</v>
      </c>
      <c r="O310">
        <f t="shared" si="4"/>
        <v>0</v>
      </c>
    </row>
    <row r="311" spans="1:15" x14ac:dyDescent="0.2">
      <c r="A311" t="s">
        <v>36</v>
      </c>
      <c r="B311" t="s">
        <v>37</v>
      </c>
      <c r="C311" t="s">
        <v>38</v>
      </c>
      <c r="D311" t="s">
        <v>52</v>
      </c>
      <c r="E311" t="s">
        <v>209</v>
      </c>
      <c r="F311" t="s">
        <v>210</v>
      </c>
      <c r="G311" t="s">
        <v>203</v>
      </c>
      <c r="H311" t="s">
        <v>46</v>
      </c>
      <c r="I311">
        <v>2023</v>
      </c>
      <c r="K311" t="s">
        <v>54</v>
      </c>
      <c r="L311">
        <v>20250315</v>
      </c>
      <c r="M311" t="s">
        <v>43</v>
      </c>
      <c r="O311">
        <f t="shared" si="4"/>
        <v>0</v>
      </c>
    </row>
    <row r="312" spans="1:15" x14ac:dyDescent="0.2">
      <c r="A312" t="s">
        <v>36</v>
      </c>
      <c r="B312" t="s">
        <v>37</v>
      </c>
      <c r="C312" t="s">
        <v>38</v>
      </c>
      <c r="D312" t="s">
        <v>52</v>
      </c>
      <c r="E312" t="s">
        <v>211</v>
      </c>
      <c r="F312" t="s">
        <v>212</v>
      </c>
      <c r="G312" t="s">
        <v>203</v>
      </c>
      <c r="H312" t="s">
        <v>46</v>
      </c>
      <c r="I312">
        <v>2023</v>
      </c>
      <c r="K312" t="s">
        <v>54</v>
      </c>
      <c r="L312">
        <v>20250315</v>
      </c>
      <c r="M312" t="s">
        <v>43</v>
      </c>
      <c r="O312">
        <f t="shared" si="4"/>
        <v>0</v>
      </c>
    </row>
    <row r="313" spans="1:15" x14ac:dyDescent="0.2">
      <c r="A313" t="s">
        <v>36</v>
      </c>
      <c r="B313" t="s">
        <v>37</v>
      </c>
      <c r="C313" t="s">
        <v>38</v>
      </c>
      <c r="D313" t="s">
        <v>55</v>
      </c>
      <c r="E313" t="s">
        <v>211</v>
      </c>
      <c r="F313" t="s">
        <v>212</v>
      </c>
      <c r="G313" t="s">
        <v>203</v>
      </c>
      <c r="H313" t="s">
        <v>46</v>
      </c>
      <c r="I313">
        <v>2023</v>
      </c>
      <c r="K313" t="s">
        <v>54</v>
      </c>
      <c r="L313">
        <v>20250315</v>
      </c>
      <c r="M313" t="s">
        <v>43</v>
      </c>
      <c r="O313">
        <f t="shared" si="4"/>
        <v>0</v>
      </c>
    </row>
    <row r="314" spans="1:15" x14ac:dyDescent="0.2">
      <c r="A314" t="s">
        <v>36</v>
      </c>
      <c r="B314" t="s">
        <v>37</v>
      </c>
      <c r="C314" t="s">
        <v>38</v>
      </c>
      <c r="D314" t="s">
        <v>45</v>
      </c>
      <c r="E314" t="s">
        <v>211</v>
      </c>
      <c r="F314" t="s">
        <v>212</v>
      </c>
      <c r="G314" t="s">
        <v>203</v>
      </c>
      <c r="H314" t="s">
        <v>46</v>
      </c>
      <c r="I314">
        <v>2023</v>
      </c>
      <c r="K314" t="s">
        <v>103</v>
      </c>
      <c r="L314">
        <v>20250315</v>
      </c>
      <c r="M314" t="s">
        <v>43</v>
      </c>
      <c r="O314">
        <f t="shared" si="4"/>
        <v>0</v>
      </c>
    </row>
    <row r="315" spans="1:15" x14ac:dyDescent="0.2">
      <c r="A315" t="s">
        <v>36</v>
      </c>
      <c r="B315" t="s">
        <v>37</v>
      </c>
      <c r="C315" t="s">
        <v>38</v>
      </c>
      <c r="D315" t="s">
        <v>55</v>
      </c>
      <c r="E315" t="s">
        <v>213</v>
      </c>
      <c r="F315" t="s">
        <v>214</v>
      </c>
      <c r="G315" t="s">
        <v>203</v>
      </c>
      <c r="H315" t="s">
        <v>46</v>
      </c>
      <c r="I315">
        <v>2023</v>
      </c>
      <c r="K315" t="s">
        <v>54</v>
      </c>
      <c r="L315">
        <v>20250315</v>
      </c>
      <c r="M315" t="s">
        <v>43</v>
      </c>
      <c r="O315">
        <f t="shared" si="4"/>
        <v>0</v>
      </c>
    </row>
    <row r="316" spans="1:15" x14ac:dyDescent="0.2">
      <c r="A316" t="s">
        <v>36</v>
      </c>
      <c r="B316" t="s">
        <v>37</v>
      </c>
      <c r="C316" t="s">
        <v>38</v>
      </c>
      <c r="D316" t="s">
        <v>52</v>
      </c>
      <c r="E316" t="s">
        <v>213</v>
      </c>
      <c r="F316" t="s">
        <v>214</v>
      </c>
      <c r="G316" t="s">
        <v>203</v>
      </c>
      <c r="H316" t="s">
        <v>46</v>
      </c>
      <c r="I316">
        <v>2023</v>
      </c>
      <c r="K316" t="s">
        <v>54</v>
      </c>
      <c r="L316">
        <v>20250315</v>
      </c>
      <c r="M316" t="s">
        <v>43</v>
      </c>
      <c r="O316">
        <f t="shared" si="4"/>
        <v>0</v>
      </c>
    </row>
    <row r="317" spans="1:15" x14ac:dyDescent="0.2">
      <c r="A317" t="s">
        <v>36</v>
      </c>
      <c r="B317" t="s">
        <v>37</v>
      </c>
      <c r="C317" t="s">
        <v>38</v>
      </c>
      <c r="D317" t="s">
        <v>53</v>
      </c>
      <c r="E317" t="s">
        <v>213</v>
      </c>
      <c r="F317" t="s">
        <v>214</v>
      </c>
      <c r="G317" t="s">
        <v>203</v>
      </c>
      <c r="H317" t="s">
        <v>46</v>
      </c>
      <c r="I317">
        <v>2023</v>
      </c>
      <c r="K317" t="s">
        <v>54</v>
      </c>
      <c r="L317">
        <v>20250315</v>
      </c>
      <c r="M317" t="s">
        <v>43</v>
      </c>
      <c r="O317">
        <f t="shared" si="4"/>
        <v>0</v>
      </c>
    </row>
    <row r="318" spans="1:15" x14ac:dyDescent="0.2">
      <c r="A318" t="s">
        <v>36</v>
      </c>
      <c r="B318" t="s">
        <v>37</v>
      </c>
      <c r="C318" t="s">
        <v>38</v>
      </c>
      <c r="D318" t="s">
        <v>45</v>
      </c>
      <c r="E318" t="s">
        <v>213</v>
      </c>
      <c r="F318" t="s">
        <v>214</v>
      </c>
      <c r="G318" t="s">
        <v>203</v>
      </c>
      <c r="H318" t="s">
        <v>46</v>
      </c>
      <c r="I318">
        <v>2023</v>
      </c>
      <c r="K318" t="s">
        <v>103</v>
      </c>
      <c r="L318">
        <v>20250315</v>
      </c>
      <c r="M318" t="s">
        <v>43</v>
      </c>
      <c r="O318">
        <f t="shared" si="4"/>
        <v>0</v>
      </c>
    </row>
    <row r="319" spans="1:15" x14ac:dyDescent="0.2">
      <c r="A319" t="s">
        <v>36</v>
      </c>
      <c r="B319" t="s">
        <v>37</v>
      </c>
      <c r="C319" t="s">
        <v>38</v>
      </c>
      <c r="D319" t="s">
        <v>45</v>
      </c>
      <c r="E319" t="s">
        <v>215</v>
      </c>
      <c r="F319" t="s">
        <v>216</v>
      </c>
      <c r="G319">
        <v>2</v>
      </c>
      <c r="H319" t="s">
        <v>46</v>
      </c>
      <c r="I319">
        <v>2023</v>
      </c>
      <c r="J319">
        <v>606.69741999999997</v>
      </c>
      <c r="L319">
        <v>20250315</v>
      </c>
      <c r="M319" t="s">
        <v>43</v>
      </c>
      <c r="O319">
        <f t="shared" si="4"/>
        <v>1</v>
      </c>
    </row>
    <row r="320" spans="1:15" x14ac:dyDescent="0.2">
      <c r="A320" t="s">
        <v>36</v>
      </c>
      <c r="B320" t="s">
        <v>37</v>
      </c>
      <c r="C320" t="s">
        <v>38</v>
      </c>
      <c r="D320" t="s">
        <v>52</v>
      </c>
      <c r="E320" t="s">
        <v>215</v>
      </c>
      <c r="F320" t="s">
        <v>216</v>
      </c>
      <c r="G320">
        <v>2</v>
      </c>
      <c r="H320" t="s">
        <v>46</v>
      </c>
      <c r="I320">
        <v>2023</v>
      </c>
      <c r="J320">
        <v>606.69741999999997</v>
      </c>
      <c r="L320">
        <v>20250315</v>
      </c>
      <c r="M320" t="s">
        <v>43</v>
      </c>
      <c r="O320">
        <f t="shared" si="4"/>
        <v>1</v>
      </c>
    </row>
    <row r="321" spans="1:15" x14ac:dyDescent="0.2">
      <c r="A321" t="s">
        <v>36</v>
      </c>
      <c r="B321" t="s">
        <v>37</v>
      </c>
      <c r="C321" t="s">
        <v>38</v>
      </c>
      <c r="D321" t="s">
        <v>55</v>
      </c>
      <c r="E321" t="s">
        <v>215</v>
      </c>
      <c r="F321" t="s">
        <v>216</v>
      </c>
      <c r="G321">
        <v>2</v>
      </c>
      <c r="H321" t="s">
        <v>46</v>
      </c>
      <c r="I321">
        <v>2023</v>
      </c>
      <c r="K321" t="s">
        <v>54</v>
      </c>
      <c r="L321">
        <v>20250315</v>
      </c>
      <c r="M321" t="s">
        <v>43</v>
      </c>
      <c r="O321">
        <f t="shared" si="4"/>
        <v>1</v>
      </c>
    </row>
    <row r="322" spans="1:15" x14ac:dyDescent="0.2">
      <c r="A322" t="s">
        <v>36</v>
      </c>
      <c r="B322" t="s">
        <v>37</v>
      </c>
      <c r="C322" t="s">
        <v>38</v>
      </c>
      <c r="D322" t="s">
        <v>53</v>
      </c>
      <c r="E322" t="s">
        <v>215</v>
      </c>
      <c r="F322" t="s">
        <v>216</v>
      </c>
      <c r="G322">
        <v>2</v>
      </c>
      <c r="H322" t="s">
        <v>46</v>
      </c>
      <c r="I322">
        <v>2023</v>
      </c>
      <c r="K322" t="s">
        <v>54</v>
      </c>
      <c r="L322">
        <v>20250315</v>
      </c>
      <c r="M322" t="s">
        <v>43</v>
      </c>
      <c r="O322">
        <f t="shared" si="4"/>
        <v>1</v>
      </c>
    </row>
    <row r="323" spans="1:15" x14ac:dyDescent="0.2">
      <c r="A323" t="s">
        <v>36</v>
      </c>
      <c r="B323" t="s">
        <v>37</v>
      </c>
      <c r="C323" t="s">
        <v>38</v>
      </c>
      <c r="D323" t="s">
        <v>52</v>
      </c>
      <c r="E323" t="s">
        <v>217</v>
      </c>
      <c r="F323" t="s">
        <v>218</v>
      </c>
      <c r="G323" t="s">
        <v>215</v>
      </c>
      <c r="H323" t="s">
        <v>46</v>
      </c>
      <c r="I323">
        <v>2023</v>
      </c>
      <c r="J323">
        <v>460.23761000000002</v>
      </c>
      <c r="L323">
        <v>20250315</v>
      </c>
      <c r="M323" t="s">
        <v>43</v>
      </c>
      <c r="O323">
        <f t="shared" ref="O323:O386" si="5">IF(OR(G323=2,G323=3,G323=5,G323=6),1,0)</f>
        <v>0</v>
      </c>
    </row>
    <row r="324" spans="1:15" x14ac:dyDescent="0.2">
      <c r="A324" t="s">
        <v>36</v>
      </c>
      <c r="B324" t="s">
        <v>37</v>
      </c>
      <c r="C324" t="s">
        <v>38</v>
      </c>
      <c r="D324" t="s">
        <v>55</v>
      </c>
      <c r="E324" t="s">
        <v>217</v>
      </c>
      <c r="F324" t="s">
        <v>218</v>
      </c>
      <c r="G324" t="s">
        <v>215</v>
      </c>
      <c r="H324" t="s">
        <v>46</v>
      </c>
      <c r="I324">
        <v>2023</v>
      </c>
      <c r="K324" t="s">
        <v>54</v>
      </c>
      <c r="L324">
        <v>20250315</v>
      </c>
      <c r="M324" t="s">
        <v>43</v>
      </c>
      <c r="O324">
        <f t="shared" si="5"/>
        <v>0</v>
      </c>
    </row>
    <row r="325" spans="1:15" x14ac:dyDescent="0.2">
      <c r="A325" t="s">
        <v>36</v>
      </c>
      <c r="B325" t="s">
        <v>37</v>
      </c>
      <c r="C325" t="s">
        <v>38</v>
      </c>
      <c r="D325" t="s">
        <v>45</v>
      </c>
      <c r="E325" t="s">
        <v>217</v>
      </c>
      <c r="F325" t="s">
        <v>218</v>
      </c>
      <c r="G325" t="s">
        <v>215</v>
      </c>
      <c r="H325" t="s">
        <v>46</v>
      </c>
      <c r="I325">
        <v>2023</v>
      </c>
      <c r="J325">
        <v>460.23761000000002</v>
      </c>
      <c r="L325">
        <v>20250315</v>
      </c>
      <c r="M325" t="s">
        <v>43</v>
      </c>
      <c r="O325">
        <f t="shared" si="5"/>
        <v>0</v>
      </c>
    </row>
    <row r="326" spans="1:15" x14ac:dyDescent="0.2">
      <c r="A326" t="s">
        <v>36</v>
      </c>
      <c r="B326" t="s">
        <v>37</v>
      </c>
      <c r="C326" t="s">
        <v>38</v>
      </c>
      <c r="D326" t="s">
        <v>45</v>
      </c>
      <c r="E326" t="s">
        <v>219</v>
      </c>
      <c r="F326" t="s">
        <v>220</v>
      </c>
      <c r="G326" t="s">
        <v>215</v>
      </c>
      <c r="H326" t="s">
        <v>46</v>
      </c>
      <c r="I326">
        <v>2023</v>
      </c>
      <c r="K326" t="s">
        <v>103</v>
      </c>
      <c r="L326">
        <v>20250315</v>
      </c>
      <c r="M326" t="s">
        <v>43</v>
      </c>
      <c r="O326">
        <f t="shared" si="5"/>
        <v>0</v>
      </c>
    </row>
    <row r="327" spans="1:15" x14ac:dyDescent="0.2">
      <c r="A327" t="s">
        <v>36</v>
      </c>
      <c r="B327" t="s">
        <v>37</v>
      </c>
      <c r="C327" t="s">
        <v>38</v>
      </c>
      <c r="D327" t="s">
        <v>55</v>
      </c>
      <c r="E327" t="s">
        <v>219</v>
      </c>
      <c r="F327" t="s">
        <v>220</v>
      </c>
      <c r="G327" t="s">
        <v>215</v>
      </c>
      <c r="H327" t="s">
        <v>46</v>
      </c>
      <c r="I327">
        <v>2023</v>
      </c>
      <c r="K327" t="s">
        <v>54</v>
      </c>
      <c r="L327">
        <v>20250315</v>
      </c>
      <c r="M327" t="s">
        <v>43</v>
      </c>
      <c r="O327">
        <f t="shared" si="5"/>
        <v>0</v>
      </c>
    </row>
    <row r="328" spans="1:15" x14ac:dyDescent="0.2">
      <c r="A328" t="s">
        <v>36</v>
      </c>
      <c r="B328" t="s">
        <v>37</v>
      </c>
      <c r="C328" t="s">
        <v>38</v>
      </c>
      <c r="D328" t="s">
        <v>52</v>
      </c>
      <c r="E328" t="s">
        <v>219</v>
      </c>
      <c r="F328" t="s">
        <v>220</v>
      </c>
      <c r="G328" t="s">
        <v>215</v>
      </c>
      <c r="H328" t="s">
        <v>46</v>
      </c>
      <c r="I328">
        <v>2023</v>
      </c>
      <c r="K328" t="s">
        <v>50</v>
      </c>
      <c r="L328">
        <v>20250315</v>
      </c>
      <c r="M328" t="s">
        <v>43</v>
      </c>
      <c r="O328">
        <f t="shared" si="5"/>
        <v>0</v>
      </c>
    </row>
    <row r="329" spans="1:15" x14ac:dyDescent="0.2">
      <c r="A329" t="s">
        <v>36</v>
      </c>
      <c r="B329" t="s">
        <v>37</v>
      </c>
      <c r="C329" t="s">
        <v>38</v>
      </c>
      <c r="D329" t="s">
        <v>45</v>
      </c>
      <c r="E329" t="s">
        <v>221</v>
      </c>
      <c r="F329" t="s">
        <v>222</v>
      </c>
      <c r="G329" t="s">
        <v>215</v>
      </c>
      <c r="H329" t="s">
        <v>46</v>
      </c>
      <c r="I329">
        <v>2023</v>
      </c>
      <c r="K329" t="s">
        <v>103</v>
      </c>
      <c r="L329">
        <v>20250315</v>
      </c>
      <c r="M329" t="s">
        <v>43</v>
      </c>
      <c r="O329">
        <f t="shared" si="5"/>
        <v>0</v>
      </c>
    </row>
    <row r="330" spans="1:15" x14ac:dyDescent="0.2">
      <c r="A330" t="s">
        <v>36</v>
      </c>
      <c r="B330" t="s">
        <v>37</v>
      </c>
      <c r="C330" t="s">
        <v>38</v>
      </c>
      <c r="D330" t="s">
        <v>55</v>
      </c>
      <c r="E330" t="s">
        <v>221</v>
      </c>
      <c r="F330" t="s">
        <v>222</v>
      </c>
      <c r="G330" t="s">
        <v>215</v>
      </c>
      <c r="H330" t="s">
        <v>46</v>
      </c>
      <c r="I330">
        <v>2023</v>
      </c>
      <c r="K330" t="s">
        <v>54</v>
      </c>
      <c r="L330">
        <v>20250315</v>
      </c>
      <c r="M330" t="s">
        <v>43</v>
      </c>
      <c r="O330">
        <f t="shared" si="5"/>
        <v>0</v>
      </c>
    </row>
    <row r="331" spans="1:15" x14ac:dyDescent="0.2">
      <c r="A331" t="s">
        <v>36</v>
      </c>
      <c r="B331" t="s">
        <v>37</v>
      </c>
      <c r="C331" t="s">
        <v>38</v>
      </c>
      <c r="D331" t="s">
        <v>52</v>
      </c>
      <c r="E331" t="s">
        <v>221</v>
      </c>
      <c r="F331" t="s">
        <v>222</v>
      </c>
      <c r="G331" t="s">
        <v>215</v>
      </c>
      <c r="H331" t="s">
        <v>46</v>
      </c>
      <c r="I331">
        <v>2023</v>
      </c>
      <c r="K331" t="s">
        <v>50</v>
      </c>
      <c r="L331">
        <v>20250315</v>
      </c>
      <c r="M331" t="s">
        <v>43</v>
      </c>
      <c r="O331">
        <f t="shared" si="5"/>
        <v>0</v>
      </c>
    </row>
    <row r="332" spans="1:15" x14ac:dyDescent="0.2">
      <c r="A332" t="s">
        <v>36</v>
      </c>
      <c r="B332" t="s">
        <v>37</v>
      </c>
      <c r="C332" t="s">
        <v>38</v>
      </c>
      <c r="D332" t="s">
        <v>52</v>
      </c>
      <c r="E332" t="s">
        <v>223</v>
      </c>
      <c r="F332" t="s">
        <v>224</v>
      </c>
      <c r="G332" t="s">
        <v>215</v>
      </c>
      <c r="H332" t="s">
        <v>46</v>
      </c>
      <c r="I332">
        <v>2023</v>
      </c>
      <c r="K332" t="s">
        <v>50</v>
      </c>
      <c r="L332">
        <v>20250315</v>
      </c>
      <c r="M332" t="s">
        <v>43</v>
      </c>
      <c r="O332">
        <f t="shared" si="5"/>
        <v>0</v>
      </c>
    </row>
    <row r="333" spans="1:15" x14ac:dyDescent="0.2">
      <c r="A333" t="s">
        <v>36</v>
      </c>
      <c r="B333" t="s">
        <v>37</v>
      </c>
      <c r="C333" t="s">
        <v>38</v>
      </c>
      <c r="D333" t="s">
        <v>53</v>
      </c>
      <c r="E333" t="s">
        <v>223</v>
      </c>
      <c r="F333" t="s">
        <v>224</v>
      </c>
      <c r="G333" t="s">
        <v>215</v>
      </c>
      <c r="H333" t="s">
        <v>46</v>
      </c>
      <c r="I333">
        <v>2023</v>
      </c>
      <c r="K333" t="s">
        <v>54</v>
      </c>
      <c r="L333">
        <v>20250315</v>
      </c>
      <c r="M333" t="s">
        <v>43</v>
      </c>
      <c r="O333">
        <f t="shared" si="5"/>
        <v>0</v>
      </c>
    </row>
    <row r="334" spans="1:15" x14ac:dyDescent="0.2">
      <c r="A334" t="s">
        <v>36</v>
      </c>
      <c r="B334" t="s">
        <v>37</v>
      </c>
      <c r="C334" t="s">
        <v>38</v>
      </c>
      <c r="D334" t="s">
        <v>45</v>
      </c>
      <c r="E334" t="s">
        <v>223</v>
      </c>
      <c r="F334" t="s">
        <v>224</v>
      </c>
      <c r="G334" t="s">
        <v>215</v>
      </c>
      <c r="H334" t="s">
        <v>46</v>
      </c>
      <c r="I334">
        <v>2023</v>
      </c>
      <c r="K334" t="s">
        <v>103</v>
      </c>
      <c r="L334">
        <v>20250315</v>
      </c>
      <c r="M334" t="s">
        <v>43</v>
      </c>
      <c r="O334">
        <f t="shared" si="5"/>
        <v>0</v>
      </c>
    </row>
    <row r="335" spans="1:15" x14ac:dyDescent="0.2">
      <c r="A335" t="s">
        <v>36</v>
      </c>
      <c r="B335" t="s">
        <v>37</v>
      </c>
      <c r="C335" t="s">
        <v>38</v>
      </c>
      <c r="D335" t="s">
        <v>55</v>
      </c>
      <c r="E335" t="s">
        <v>223</v>
      </c>
      <c r="F335" t="s">
        <v>224</v>
      </c>
      <c r="G335" t="s">
        <v>215</v>
      </c>
      <c r="H335" t="s">
        <v>46</v>
      </c>
      <c r="I335">
        <v>2023</v>
      </c>
      <c r="K335" t="s">
        <v>54</v>
      </c>
      <c r="L335">
        <v>20250315</v>
      </c>
      <c r="M335" t="s">
        <v>43</v>
      </c>
      <c r="O335">
        <f t="shared" si="5"/>
        <v>0</v>
      </c>
    </row>
    <row r="336" spans="1:15" x14ac:dyDescent="0.2">
      <c r="A336" t="s">
        <v>36</v>
      </c>
      <c r="B336" t="s">
        <v>37</v>
      </c>
      <c r="C336" t="s">
        <v>38</v>
      </c>
      <c r="D336" t="s">
        <v>45</v>
      </c>
      <c r="E336" t="s">
        <v>225</v>
      </c>
      <c r="F336" t="s">
        <v>226</v>
      </c>
      <c r="G336" t="s">
        <v>215</v>
      </c>
      <c r="H336" t="s">
        <v>46</v>
      </c>
      <c r="I336">
        <v>2023</v>
      </c>
      <c r="K336" t="s">
        <v>103</v>
      </c>
      <c r="L336">
        <v>20250315</v>
      </c>
      <c r="M336" t="s">
        <v>43</v>
      </c>
      <c r="O336">
        <f t="shared" si="5"/>
        <v>0</v>
      </c>
    </row>
    <row r="337" spans="1:15" x14ac:dyDescent="0.2">
      <c r="A337" t="s">
        <v>36</v>
      </c>
      <c r="B337" t="s">
        <v>37</v>
      </c>
      <c r="C337" t="s">
        <v>38</v>
      </c>
      <c r="D337" t="s">
        <v>55</v>
      </c>
      <c r="E337" t="s">
        <v>225</v>
      </c>
      <c r="F337" t="s">
        <v>226</v>
      </c>
      <c r="G337" t="s">
        <v>215</v>
      </c>
      <c r="H337" t="s">
        <v>46</v>
      </c>
      <c r="I337">
        <v>2023</v>
      </c>
      <c r="K337" t="s">
        <v>54</v>
      </c>
      <c r="L337">
        <v>20250315</v>
      </c>
      <c r="M337" t="s">
        <v>43</v>
      </c>
      <c r="O337">
        <f t="shared" si="5"/>
        <v>0</v>
      </c>
    </row>
    <row r="338" spans="1:15" x14ac:dyDescent="0.2">
      <c r="A338" t="s">
        <v>36</v>
      </c>
      <c r="B338" t="s">
        <v>37</v>
      </c>
      <c r="C338" t="s">
        <v>38</v>
      </c>
      <c r="D338" t="s">
        <v>52</v>
      </c>
      <c r="E338" t="s">
        <v>225</v>
      </c>
      <c r="F338" t="s">
        <v>226</v>
      </c>
      <c r="G338" t="s">
        <v>215</v>
      </c>
      <c r="H338" t="s">
        <v>46</v>
      </c>
      <c r="I338">
        <v>2023</v>
      </c>
      <c r="K338" t="s">
        <v>50</v>
      </c>
      <c r="L338">
        <v>20250315</v>
      </c>
      <c r="M338" t="s">
        <v>43</v>
      </c>
      <c r="O338">
        <f t="shared" si="5"/>
        <v>0</v>
      </c>
    </row>
    <row r="339" spans="1:15" x14ac:dyDescent="0.2">
      <c r="A339" t="s">
        <v>36</v>
      </c>
      <c r="B339" t="s">
        <v>37</v>
      </c>
      <c r="C339" t="s">
        <v>38</v>
      </c>
      <c r="D339" t="s">
        <v>52</v>
      </c>
      <c r="E339" t="s">
        <v>227</v>
      </c>
      <c r="F339" t="s">
        <v>228</v>
      </c>
      <c r="G339" t="s">
        <v>215</v>
      </c>
      <c r="H339" t="s">
        <v>46</v>
      </c>
      <c r="I339">
        <v>2023</v>
      </c>
      <c r="J339">
        <v>146.45981</v>
      </c>
      <c r="L339">
        <v>20250315</v>
      </c>
      <c r="M339" t="s">
        <v>43</v>
      </c>
      <c r="O339">
        <f t="shared" si="5"/>
        <v>0</v>
      </c>
    </row>
    <row r="340" spans="1:15" x14ac:dyDescent="0.2">
      <c r="A340" t="s">
        <v>36</v>
      </c>
      <c r="B340" t="s">
        <v>37</v>
      </c>
      <c r="C340" t="s">
        <v>38</v>
      </c>
      <c r="D340" t="s">
        <v>55</v>
      </c>
      <c r="E340" t="s">
        <v>227</v>
      </c>
      <c r="F340" t="s">
        <v>228</v>
      </c>
      <c r="G340" t="s">
        <v>215</v>
      </c>
      <c r="H340" t="s">
        <v>46</v>
      </c>
      <c r="I340">
        <v>2023</v>
      </c>
      <c r="K340" t="s">
        <v>54</v>
      </c>
      <c r="L340">
        <v>20250315</v>
      </c>
      <c r="M340" t="s">
        <v>43</v>
      </c>
      <c r="O340">
        <f t="shared" si="5"/>
        <v>0</v>
      </c>
    </row>
    <row r="341" spans="1:15" x14ac:dyDescent="0.2">
      <c r="A341" t="s">
        <v>36</v>
      </c>
      <c r="B341" t="s">
        <v>37</v>
      </c>
      <c r="C341" t="s">
        <v>38</v>
      </c>
      <c r="D341" t="s">
        <v>45</v>
      </c>
      <c r="E341" t="s">
        <v>227</v>
      </c>
      <c r="F341" t="s">
        <v>228</v>
      </c>
      <c r="G341" t="s">
        <v>215</v>
      </c>
      <c r="H341" t="s">
        <v>46</v>
      </c>
      <c r="I341">
        <v>2023</v>
      </c>
      <c r="J341">
        <v>146.45981</v>
      </c>
      <c r="L341">
        <v>20250315</v>
      </c>
      <c r="M341" t="s">
        <v>43</v>
      </c>
      <c r="O341">
        <f t="shared" si="5"/>
        <v>0</v>
      </c>
    </row>
    <row r="342" spans="1:15" x14ac:dyDescent="0.2">
      <c r="A342" t="s">
        <v>36</v>
      </c>
      <c r="B342" t="s">
        <v>37</v>
      </c>
      <c r="C342" t="s">
        <v>38</v>
      </c>
      <c r="D342" t="s">
        <v>45</v>
      </c>
      <c r="E342" t="s">
        <v>229</v>
      </c>
      <c r="F342" t="s">
        <v>230</v>
      </c>
      <c r="G342">
        <v>2</v>
      </c>
      <c r="H342" t="s">
        <v>46</v>
      </c>
      <c r="I342">
        <v>2023</v>
      </c>
      <c r="J342">
        <v>212.36336</v>
      </c>
      <c r="L342">
        <v>20250315</v>
      </c>
      <c r="M342" t="s">
        <v>43</v>
      </c>
      <c r="O342">
        <f t="shared" si="5"/>
        <v>1</v>
      </c>
    </row>
    <row r="343" spans="1:15" x14ac:dyDescent="0.2">
      <c r="A343" t="s">
        <v>36</v>
      </c>
      <c r="B343" t="s">
        <v>37</v>
      </c>
      <c r="C343" t="s">
        <v>38</v>
      </c>
      <c r="D343" t="s">
        <v>39</v>
      </c>
      <c r="E343" t="s">
        <v>229</v>
      </c>
      <c r="F343" t="s">
        <v>230</v>
      </c>
      <c r="G343">
        <v>2</v>
      </c>
      <c r="H343" t="s">
        <v>42</v>
      </c>
      <c r="I343">
        <v>2023</v>
      </c>
      <c r="J343">
        <v>1.8001</v>
      </c>
      <c r="L343">
        <v>20250315</v>
      </c>
      <c r="M343" t="s">
        <v>43</v>
      </c>
      <c r="O343">
        <f t="shared" si="5"/>
        <v>1</v>
      </c>
    </row>
    <row r="344" spans="1:15" x14ac:dyDescent="0.2">
      <c r="A344" t="s">
        <v>36</v>
      </c>
      <c r="B344" t="s">
        <v>37</v>
      </c>
      <c r="C344" t="s">
        <v>38</v>
      </c>
      <c r="D344" t="s">
        <v>55</v>
      </c>
      <c r="E344" t="s">
        <v>229</v>
      </c>
      <c r="F344" t="s">
        <v>230</v>
      </c>
      <c r="G344">
        <v>2</v>
      </c>
      <c r="H344" t="s">
        <v>46</v>
      </c>
      <c r="I344">
        <v>2023</v>
      </c>
      <c r="K344" t="s">
        <v>54</v>
      </c>
      <c r="L344">
        <v>20250315</v>
      </c>
      <c r="M344" t="s">
        <v>43</v>
      </c>
      <c r="O344">
        <f t="shared" si="5"/>
        <v>1</v>
      </c>
    </row>
    <row r="345" spans="1:15" x14ac:dyDescent="0.2">
      <c r="A345" t="s">
        <v>36</v>
      </c>
      <c r="B345" t="s">
        <v>37</v>
      </c>
      <c r="C345" t="s">
        <v>38</v>
      </c>
      <c r="D345" t="s">
        <v>51</v>
      </c>
      <c r="E345" t="s">
        <v>229</v>
      </c>
      <c r="F345" t="s">
        <v>230</v>
      </c>
      <c r="G345">
        <v>2</v>
      </c>
      <c r="H345" t="s">
        <v>46</v>
      </c>
      <c r="I345">
        <v>2023</v>
      </c>
      <c r="J345">
        <v>105.327</v>
      </c>
      <c r="K345" t="s">
        <v>231</v>
      </c>
      <c r="L345">
        <v>20250315</v>
      </c>
      <c r="M345" t="s">
        <v>43</v>
      </c>
      <c r="O345">
        <f t="shared" si="5"/>
        <v>1</v>
      </c>
    </row>
    <row r="346" spans="1:15" x14ac:dyDescent="0.2">
      <c r="A346" t="s">
        <v>36</v>
      </c>
      <c r="B346" t="s">
        <v>37</v>
      </c>
      <c r="C346" t="s">
        <v>38</v>
      </c>
      <c r="D346" t="s">
        <v>52</v>
      </c>
      <c r="E346" t="s">
        <v>229</v>
      </c>
      <c r="F346" t="s">
        <v>230</v>
      </c>
      <c r="G346">
        <v>2</v>
      </c>
      <c r="H346" t="s">
        <v>46</v>
      </c>
      <c r="I346">
        <v>2023</v>
      </c>
      <c r="K346" t="s">
        <v>54</v>
      </c>
      <c r="L346">
        <v>20250315</v>
      </c>
      <c r="M346" t="s">
        <v>43</v>
      </c>
      <c r="O346">
        <f t="shared" si="5"/>
        <v>1</v>
      </c>
    </row>
    <row r="347" spans="1:15" x14ac:dyDescent="0.2">
      <c r="A347" t="s">
        <v>36</v>
      </c>
      <c r="B347" t="s">
        <v>37</v>
      </c>
      <c r="C347" t="s">
        <v>38</v>
      </c>
      <c r="D347" t="s">
        <v>53</v>
      </c>
      <c r="E347" t="s">
        <v>229</v>
      </c>
      <c r="F347" t="s">
        <v>230</v>
      </c>
      <c r="G347">
        <v>2</v>
      </c>
      <c r="H347" t="s">
        <v>46</v>
      </c>
      <c r="I347">
        <v>2023</v>
      </c>
      <c r="K347" t="s">
        <v>54</v>
      </c>
      <c r="L347">
        <v>20250315</v>
      </c>
      <c r="M347" t="s">
        <v>43</v>
      </c>
      <c r="O347">
        <f t="shared" si="5"/>
        <v>1</v>
      </c>
    </row>
    <row r="348" spans="1:15" x14ac:dyDescent="0.2">
      <c r="A348" t="s">
        <v>36</v>
      </c>
      <c r="B348" t="s">
        <v>37</v>
      </c>
      <c r="C348" t="s">
        <v>38</v>
      </c>
      <c r="D348" t="s">
        <v>44</v>
      </c>
      <c r="E348" t="s">
        <v>229</v>
      </c>
      <c r="F348" t="s">
        <v>230</v>
      </c>
      <c r="G348">
        <v>2</v>
      </c>
      <c r="H348" t="s">
        <v>42</v>
      </c>
      <c r="I348">
        <v>2023</v>
      </c>
      <c r="J348">
        <v>0.61414999999999997</v>
      </c>
      <c r="L348">
        <v>20250315</v>
      </c>
      <c r="M348" t="s">
        <v>43</v>
      </c>
      <c r="O348">
        <f t="shared" si="5"/>
        <v>1</v>
      </c>
    </row>
    <row r="349" spans="1:15" x14ac:dyDescent="0.2">
      <c r="A349" t="s">
        <v>36</v>
      </c>
      <c r="B349" t="s">
        <v>37</v>
      </c>
      <c r="C349" t="s">
        <v>38</v>
      </c>
      <c r="D349" t="s">
        <v>47</v>
      </c>
      <c r="E349" t="s">
        <v>229</v>
      </c>
      <c r="F349" t="s">
        <v>230</v>
      </c>
      <c r="G349">
        <v>2</v>
      </c>
      <c r="H349" t="s">
        <v>42</v>
      </c>
      <c r="I349">
        <v>2023</v>
      </c>
      <c r="J349">
        <v>0.21138999999999999</v>
      </c>
      <c r="L349">
        <v>20250315</v>
      </c>
      <c r="M349" t="s">
        <v>43</v>
      </c>
      <c r="O349">
        <f t="shared" si="5"/>
        <v>1</v>
      </c>
    </row>
    <row r="350" spans="1:15" x14ac:dyDescent="0.2">
      <c r="A350" t="s">
        <v>36</v>
      </c>
      <c r="B350" t="s">
        <v>37</v>
      </c>
      <c r="C350" t="s">
        <v>38</v>
      </c>
      <c r="D350" t="s">
        <v>47</v>
      </c>
      <c r="E350" t="s">
        <v>232</v>
      </c>
      <c r="F350" t="s">
        <v>233</v>
      </c>
      <c r="G350">
        <v>2</v>
      </c>
      <c r="H350" t="s">
        <v>42</v>
      </c>
      <c r="I350">
        <v>2023</v>
      </c>
      <c r="K350" t="s">
        <v>54</v>
      </c>
      <c r="L350">
        <v>20250315</v>
      </c>
      <c r="M350" t="s">
        <v>43</v>
      </c>
      <c r="O350">
        <f t="shared" si="5"/>
        <v>1</v>
      </c>
    </row>
    <row r="351" spans="1:15" x14ac:dyDescent="0.2">
      <c r="A351" t="s">
        <v>36</v>
      </c>
      <c r="B351" t="s">
        <v>37</v>
      </c>
      <c r="C351" t="s">
        <v>38</v>
      </c>
      <c r="D351" t="s">
        <v>55</v>
      </c>
      <c r="E351" t="s">
        <v>232</v>
      </c>
      <c r="F351" t="s">
        <v>233</v>
      </c>
      <c r="G351">
        <v>2</v>
      </c>
      <c r="H351" t="s">
        <v>46</v>
      </c>
      <c r="I351">
        <v>2023</v>
      </c>
      <c r="K351" t="s">
        <v>54</v>
      </c>
      <c r="L351">
        <v>20250315</v>
      </c>
      <c r="M351" t="s">
        <v>43</v>
      </c>
      <c r="O351">
        <f t="shared" si="5"/>
        <v>1</v>
      </c>
    </row>
    <row r="352" spans="1:15" x14ac:dyDescent="0.2">
      <c r="A352" t="s">
        <v>36</v>
      </c>
      <c r="B352" t="s">
        <v>37</v>
      </c>
      <c r="C352" t="s">
        <v>38</v>
      </c>
      <c r="D352" t="s">
        <v>53</v>
      </c>
      <c r="E352" t="s">
        <v>232</v>
      </c>
      <c r="F352" t="s">
        <v>233</v>
      </c>
      <c r="G352">
        <v>2</v>
      </c>
      <c r="H352" t="s">
        <v>46</v>
      </c>
      <c r="I352">
        <v>2023</v>
      </c>
      <c r="K352" t="s">
        <v>54</v>
      </c>
      <c r="L352">
        <v>20250315</v>
      </c>
      <c r="M352" t="s">
        <v>43</v>
      </c>
      <c r="O352">
        <f t="shared" si="5"/>
        <v>1</v>
      </c>
    </row>
    <row r="353" spans="1:15" x14ac:dyDescent="0.2">
      <c r="A353" t="s">
        <v>36</v>
      </c>
      <c r="B353" t="s">
        <v>37</v>
      </c>
      <c r="C353" t="s">
        <v>38</v>
      </c>
      <c r="D353" t="s">
        <v>39</v>
      </c>
      <c r="E353" t="s">
        <v>232</v>
      </c>
      <c r="F353" t="s">
        <v>233</v>
      </c>
      <c r="G353">
        <v>2</v>
      </c>
      <c r="H353" t="s">
        <v>42</v>
      </c>
      <c r="I353">
        <v>2023</v>
      </c>
      <c r="K353" t="s">
        <v>54</v>
      </c>
      <c r="L353">
        <v>20250315</v>
      </c>
      <c r="M353" t="s">
        <v>43</v>
      </c>
      <c r="O353">
        <f t="shared" si="5"/>
        <v>1</v>
      </c>
    </row>
    <row r="354" spans="1:15" x14ac:dyDescent="0.2">
      <c r="A354" t="s">
        <v>36</v>
      </c>
      <c r="B354" t="s">
        <v>37</v>
      </c>
      <c r="C354" t="s">
        <v>38</v>
      </c>
      <c r="D354" t="s">
        <v>45</v>
      </c>
      <c r="E354" t="s">
        <v>232</v>
      </c>
      <c r="F354" t="s">
        <v>233</v>
      </c>
      <c r="G354">
        <v>2</v>
      </c>
      <c r="H354" t="s">
        <v>46</v>
      </c>
      <c r="I354">
        <v>2023</v>
      </c>
      <c r="J354">
        <v>26.849360000000001</v>
      </c>
      <c r="L354">
        <v>20250315</v>
      </c>
      <c r="M354" t="s">
        <v>43</v>
      </c>
      <c r="O354">
        <f t="shared" si="5"/>
        <v>1</v>
      </c>
    </row>
    <row r="355" spans="1:15" x14ac:dyDescent="0.2">
      <c r="A355" t="s">
        <v>36</v>
      </c>
      <c r="B355" t="s">
        <v>37</v>
      </c>
      <c r="C355" t="s">
        <v>38</v>
      </c>
      <c r="D355" t="s">
        <v>52</v>
      </c>
      <c r="E355" t="s">
        <v>232</v>
      </c>
      <c r="F355" t="s">
        <v>233</v>
      </c>
      <c r="G355">
        <v>2</v>
      </c>
      <c r="H355" t="s">
        <v>46</v>
      </c>
      <c r="I355">
        <v>2023</v>
      </c>
      <c r="K355" t="s">
        <v>54</v>
      </c>
      <c r="L355">
        <v>20250315</v>
      </c>
      <c r="M355" t="s">
        <v>43</v>
      </c>
      <c r="O355">
        <f t="shared" si="5"/>
        <v>1</v>
      </c>
    </row>
    <row r="356" spans="1:15" x14ac:dyDescent="0.2">
      <c r="A356" t="s">
        <v>36</v>
      </c>
      <c r="B356" t="s">
        <v>37</v>
      </c>
      <c r="C356" t="s">
        <v>38</v>
      </c>
      <c r="D356" t="s">
        <v>44</v>
      </c>
      <c r="E356" t="s">
        <v>232</v>
      </c>
      <c r="F356" t="s">
        <v>233</v>
      </c>
      <c r="G356">
        <v>2</v>
      </c>
      <c r="H356" t="s">
        <v>42</v>
      </c>
      <c r="I356">
        <v>2023</v>
      </c>
      <c r="J356">
        <v>26.849360000000001</v>
      </c>
      <c r="L356">
        <v>20250315</v>
      </c>
      <c r="M356" t="s">
        <v>43</v>
      </c>
      <c r="O356">
        <f t="shared" si="5"/>
        <v>1</v>
      </c>
    </row>
    <row r="357" spans="1:15" x14ac:dyDescent="0.2">
      <c r="A357" t="s">
        <v>36</v>
      </c>
      <c r="B357" t="s">
        <v>37</v>
      </c>
      <c r="C357" t="s">
        <v>38</v>
      </c>
      <c r="D357" t="s">
        <v>39</v>
      </c>
      <c r="E357" t="s">
        <v>234</v>
      </c>
      <c r="F357" t="s">
        <v>235</v>
      </c>
      <c r="G357">
        <v>3.1</v>
      </c>
      <c r="H357" t="s">
        <v>42</v>
      </c>
      <c r="I357">
        <v>2023</v>
      </c>
      <c r="J357">
        <v>329.91271</v>
      </c>
      <c r="L357">
        <v>20250315</v>
      </c>
      <c r="M357" t="s">
        <v>43</v>
      </c>
      <c r="O357">
        <f t="shared" si="5"/>
        <v>0</v>
      </c>
    </row>
    <row r="358" spans="1:15" x14ac:dyDescent="0.2">
      <c r="A358" t="s">
        <v>36</v>
      </c>
      <c r="B358" t="s">
        <v>37</v>
      </c>
      <c r="C358" t="s">
        <v>38</v>
      </c>
      <c r="D358" t="s">
        <v>45</v>
      </c>
      <c r="E358" t="s">
        <v>234</v>
      </c>
      <c r="F358" t="s">
        <v>235</v>
      </c>
      <c r="G358">
        <v>3.1</v>
      </c>
      <c r="H358" t="s">
        <v>46</v>
      </c>
      <c r="I358">
        <v>2023</v>
      </c>
      <c r="J358">
        <v>9237.5558799999999</v>
      </c>
      <c r="L358">
        <v>20250315</v>
      </c>
      <c r="M358" t="s">
        <v>43</v>
      </c>
      <c r="O358">
        <f t="shared" si="5"/>
        <v>0</v>
      </c>
    </row>
    <row r="359" spans="1:15" x14ac:dyDescent="0.2">
      <c r="A359" t="s">
        <v>36</v>
      </c>
      <c r="B359" t="s">
        <v>37</v>
      </c>
      <c r="C359" t="s">
        <v>38</v>
      </c>
      <c r="D359" t="s">
        <v>45</v>
      </c>
      <c r="E359" t="s">
        <v>236</v>
      </c>
      <c r="F359" t="s">
        <v>237</v>
      </c>
      <c r="G359" t="s">
        <v>234</v>
      </c>
      <c r="H359" t="s">
        <v>46</v>
      </c>
      <c r="I359">
        <v>2023</v>
      </c>
      <c r="J359">
        <v>8284.3814999999995</v>
      </c>
      <c r="L359">
        <v>20250315</v>
      </c>
      <c r="M359" t="s">
        <v>43</v>
      </c>
      <c r="O359">
        <f t="shared" si="5"/>
        <v>0</v>
      </c>
    </row>
    <row r="360" spans="1:15" x14ac:dyDescent="0.2">
      <c r="A360" t="s">
        <v>36</v>
      </c>
      <c r="B360" t="s">
        <v>37</v>
      </c>
      <c r="C360" t="s">
        <v>38</v>
      </c>
      <c r="D360" t="s">
        <v>39</v>
      </c>
      <c r="E360" t="s">
        <v>236</v>
      </c>
      <c r="F360" t="s">
        <v>237</v>
      </c>
      <c r="G360" t="s">
        <v>234</v>
      </c>
      <c r="H360" t="s">
        <v>42</v>
      </c>
      <c r="I360">
        <v>2023</v>
      </c>
      <c r="J360">
        <v>295.87076999999999</v>
      </c>
      <c r="L360">
        <v>20250315</v>
      </c>
      <c r="M360" t="s">
        <v>43</v>
      </c>
      <c r="O360">
        <f t="shared" si="5"/>
        <v>0</v>
      </c>
    </row>
    <row r="361" spans="1:15" x14ac:dyDescent="0.2">
      <c r="A361" t="s">
        <v>36</v>
      </c>
      <c r="B361" t="s">
        <v>37</v>
      </c>
      <c r="C361" t="s">
        <v>38</v>
      </c>
      <c r="D361" t="s">
        <v>39</v>
      </c>
      <c r="E361" t="s">
        <v>238</v>
      </c>
      <c r="F361" t="s">
        <v>239</v>
      </c>
      <c r="G361" t="s">
        <v>234</v>
      </c>
      <c r="H361" t="s">
        <v>42</v>
      </c>
      <c r="I361">
        <v>2023</v>
      </c>
      <c r="J361">
        <v>7.1026499999999997</v>
      </c>
      <c r="L361">
        <v>20250315</v>
      </c>
      <c r="M361" t="s">
        <v>43</v>
      </c>
      <c r="O361">
        <f t="shared" si="5"/>
        <v>0</v>
      </c>
    </row>
    <row r="362" spans="1:15" x14ac:dyDescent="0.2">
      <c r="A362" t="s">
        <v>36</v>
      </c>
      <c r="B362" t="s">
        <v>37</v>
      </c>
      <c r="C362" t="s">
        <v>38</v>
      </c>
      <c r="D362" t="s">
        <v>45</v>
      </c>
      <c r="E362" t="s">
        <v>238</v>
      </c>
      <c r="F362" t="s">
        <v>239</v>
      </c>
      <c r="G362" t="s">
        <v>234</v>
      </c>
      <c r="H362" t="s">
        <v>46</v>
      </c>
      <c r="I362">
        <v>2023</v>
      </c>
      <c r="J362">
        <v>198.87414000000001</v>
      </c>
      <c r="L362">
        <v>20250315</v>
      </c>
      <c r="M362" t="s">
        <v>43</v>
      </c>
      <c r="O362">
        <f t="shared" si="5"/>
        <v>0</v>
      </c>
    </row>
    <row r="363" spans="1:15" x14ac:dyDescent="0.2">
      <c r="A363" t="s">
        <v>36</v>
      </c>
      <c r="B363" t="s">
        <v>37</v>
      </c>
      <c r="C363" t="s">
        <v>38</v>
      </c>
      <c r="D363" t="s">
        <v>45</v>
      </c>
      <c r="E363" t="s">
        <v>240</v>
      </c>
      <c r="F363" t="s">
        <v>241</v>
      </c>
      <c r="G363" t="s">
        <v>234</v>
      </c>
      <c r="H363" t="s">
        <v>46</v>
      </c>
      <c r="I363">
        <v>2023</v>
      </c>
      <c r="J363">
        <v>452.34294</v>
      </c>
      <c r="L363">
        <v>20250315</v>
      </c>
      <c r="M363" t="s">
        <v>43</v>
      </c>
      <c r="O363">
        <f t="shared" si="5"/>
        <v>0</v>
      </c>
    </row>
    <row r="364" spans="1:15" x14ac:dyDescent="0.2">
      <c r="A364" t="s">
        <v>36</v>
      </c>
      <c r="B364" t="s">
        <v>37</v>
      </c>
      <c r="C364" t="s">
        <v>38</v>
      </c>
      <c r="D364" t="s">
        <v>39</v>
      </c>
      <c r="E364" t="s">
        <v>240</v>
      </c>
      <c r="F364" t="s">
        <v>241</v>
      </c>
      <c r="G364" t="s">
        <v>234</v>
      </c>
      <c r="H364" t="s">
        <v>42</v>
      </c>
      <c r="I364">
        <v>2023</v>
      </c>
      <c r="J364">
        <v>16.155110000000001</v>
      </c>
      <c r="L364">
        <v>20250315</v>
      </c>
      <c r="M364" t="s">
        <v>43</v>
      </c>
      <c r="O364">
        <f t="shared" si="5"/>
        <v>0</v>
      </c>
    </row>
    <row r="365" spans="1:15" x14ac:dyDescent="0.2">
      <c r="A365" t="s">
        <v>36</v>
      </c>
      <c r="B365" t="s">
        <v>37</v>
      </c>
      <c r="C365" t="s">
        <v>38</v>
      </c>
      <c r="D365" t="s">
        <v>45</v>
      </c>
      <c r="E365" t="s">
        <v>242</v>
      </c>
      <c r="F365" t="s">
        <v>243</v>
      </c>
      <c r="G365" t="s">
        <v>234</v>
      </c>
      <c r="H365" t="s">
        <v>46</v>
      </c>
      <c r="I365">
        <v>2023</v>
      </c>
      <c r="J365">
        <v>301.95729</v>
      </c>
      <c r="L365">
        <v>20250315</v>
      </c>
      <c r="M365" t="s">
        <v>43</v>
      </c>
      <c r="O365">
        <f t="shared" si="5"/>
        <v>0</v>
      </c>
    </row>
    <row r="366" spans="1:15" x14ac:dyDescent="0.2">
      <c r="A366" t="s">
        <v>36</v>
      </c>
      <c r="B366" t="s">
        <v>37</v>
      </c>
      <c r="C366" t="s">
        <v>38</v>
      </c>
      <c r="D366" t="s">
        <v>39</v>
      </c>
      <c r="E366" t="s">
        <v>242</v>
      </c>
      <c r="F366" t="s">
        <v>243</v>
      </c>
      <c r="G366" t="s">
        <v>234</v>
      </c>
      <c r="H366" t="s">
        <v>42</v>
      </c>
      <c r="I366">
        <v>2023</v>
      </c>
      <c r="J366">
        <v>10.784190000000001</v>
      </c>
      <c r="L366">
        <v>20250315</v>
      </c>
      <c r="M366" t="s">
        <v>43</v>
      </c>
      <c r="O366">
        <f t="shared" si="5"/>
        <v>0</v>
      </c>
    </row>
    <row r="367" spans="1:15" x14ac:dyDescent="0.2">
      <c r="A367" t="s">
        <v>36</v>
      </c>
      <c r="B367" t="s">
        <v>37</v>
      </c>
      <c r="C367" t="s">
        <v>38</v>
      </c>
      <c r="D367" t="s">
        <v>45</v>
      </c>
      <c r="E367" t="s">
        <v>244</v>
      </c>
      <c r="F367" t="s">
        <v>245</v>
      </c>
      <c r="G367">
        <v>3.1</v>
      </c>
      <c r="H367" t="s">
        <v>46</v>
      </c>
      <c r="I367">
        <v>2023</v>
      </c>
      <c r="J367">
        <v>4443.8409099999999</v>
      </c>
      <c r="L367">
        <v>20250315</v>
      </c>
      <c r="M367" t="s">
        <v>43</v>
      </c>
      <c r="O367">
        <f t="shared" si="5"/>
        <v>0</v>
      </c>
    </row>
    <row r="368" spans="1:15" x14ac:dyDescent="0.2">
      <c r="A368" t="s">
        <v>36</v>
      </c>
      <c r="B368" t="s">
        <v>37</v>
      </c>
      <c r="C368" t="s">
        <v>38</v>
      </c>
      <c r="D368" t="s">
        <v>39</v>
      </c>
      <c r="E368" t="s">
        <v>244</v>
      </c>
      <c r="F368" t="s">
        <v>245</v>
      </c>
      <c r="G368">
        <v>3.1</v>
      </c>
      <c r="H368" t="s">
        <v>42</v>
      </c>
      <c r="I368">
        <v>2023</v>
      </c>
      <c r="J368">
        <v>135.71359000000001</v>
      </c>
      <c r="L368">
        <v>20250315</v>
      </c>
      <c r="M368" t="s">
        <v>43</v>
      </c>
      <c r="O368">
        <f t="shared" si="5"/>
        <v>0</v>
      </c>
    </row>
    <row r="369" spans="1:15" x14ac:dyDescent="0.2">
      <c r="A369" t="s">
        <v>36</v>
      </c>
      <c r="B369" t="s">
        <v>37</v>
      </c>
      <c r="C369" t="s">
        <v>38</v>
      </c>
      <c r="D369" t="s">
        <v>47</v>
      </c>
      <c r="E369" t="s">
        <v>244</v>
      </c>
      <c r="F369" t="s">
        <v>245</v>
      </c>
      <c r="G369">
        <v>3.1</v>
      </c>
      <c r="H369" t="s">
        <v>42</v>
      </c>
      <c r="I369">
        <v>2023</v>
      </c>
      <c r="J369">
        <v>2.4296600000000002</v>
      </c>
      <c r="L369">
        <v>20250315</v>
      </c>
      <c r="M369" t="s">
        <v>43</v>
      </c>
      <c r="O369">
        <f t="shared" si="5"/>
        <v>0</v>
      </c>
    </row>
    <row r="370" spans="1:15" x14ac:dyDescent="0.2">
      <c r="A370" t="s">
        <v>36</v>
      </c>
      <c r="B370" t="s">
        <v>37</v>
      </c>
      <c r="C370" t="s">
        <v>38</v>
      </c>
      <c r="D370" t="s">
        <v>45</v>
      </c>
      <c r="E370" t="s">
        <v>246</v>
      </c>
      <c r="F370" t="s">
        <v>247</v>
      </c>
      <c r="G370" t="s">
        <v>244</v>
      </c>
      <c r="H370" t="s">
        <v>46</v>
      </c>
      <c r="I370">
        <v>2023</v>
      </c>
      <c r="J370">
        <v>2408.1519600000001</v>
      </c>
      <c r="L370">
        <v>20250315</v>
      </c>
      <c r="M370" t="s">
        <v>43</v>
      </c>
      <c r="O370">
        <f t="shared" si="5"/>
        <v>0</v>
      </c>
    </row>
    <row r="371" spans="1:15" x14ac:dyDescent="0.2">
      <c r="A371" t="s">
        <v>36</v>
      </c>
      <c r="B371" t="s">
        <v>37</v>
      </c>
      <c r="C371" t="s">
        <v>38</v>
      </c>
      <c r="D371" t="s">
        <v>39</v>
      </c>
      <c r="E371" t="s">
        <v>246</v>
      </c>
      <c r="F371" t="s">
        <v>247</v>
      </c>
      <c r="G371" t="s">
        <v>244</v>
      </c>
      <c r="H371" t="s">
        <v>42</v>
      </c>
      <c r="I371">
        <v>2023</v>
      </c>
      <c r="J371">
        <v>75.814989999999995</v>
      </c>
      <c r="L371">
        <v>20250315</v>
      </c>
      <c r="M371" t="s">
        <v>43</v>
      </c>
      <c r="O371">
        <f t="shared" si="5"/>
        <v>0</v>
      </c>
    </row>
    <row r="372" spans="1:15" x14ac:dyDescent="0.2">
      <c r="A372" t="s">
        <v>36</v>
      </c>
      <c r="B372" t="s">
        <v>37</v>
      </c>
      <c r="C372" t="s">
        <v>38</v>
      </c>
      <c r="D372" t="s">
        <v>47</v>
      </c>
      <c r="E372" t="s">
        <v>246</v>
      </c>
      <c r="F372" t="s">
        <v>247</v>
      </c>
      <c r="G372" t="s">
        <v>244</v>
      </c>
      <c r="H372" t="s">
        <v>42</v>
      </c>
      <c r="I372">
        <v>2023</v>
      </c>
      <c r="J372">
        <v>1.07673</v>
      </c>
      <c r="L372">
        <v>20250315</v>
      </c>
      <c r="M372" t="s">
        <v>43</v>
      </c>
      <c r="O372">
        <f t="shared" si="5"/>
        <v>0</v>
      </c>
    </row>
    <row r="373" spans="1:15" x14ac:dyDescent="0.2">
      <c r="A373" t="s">
        <v>36</v>
      </c>
      <c r="B373" t="s">
        <v>37</v>
      </c>
      <c r="C373" t="s">
        <v>38</v>
      </c>
      <c r="D373" t="s">
        <v>45</v>
      </c>
      <c r="E373" t="s">
        <v>248</v>
      </c>
      <c r="F373" t="s">
        <v>249</v>
      </c>
      <c r="G373" t="s">
        <v>244</v>
      </c>
      <c r="H373" t="s">
        <v>46</v>
      </c>
      <c r="I373">
        <v>2023</v>
      </c>
      <c r="J373">
        <v>6.1085599999999998</v>
      </c>
      <c r="L373">
        <v>20250315</v>
      </c>
      <c r="M373" t="s">
        <v>43</v>
      </c>
      <c r="O373">
        <f t="shared" si="5"/>
        <v>0</v>
      </c>
    </row>
    <row r="374" spans="1:15" x14ac:dyDescent="0.2">
      <c r="A374" t="s">
        <v>36</v>
      </c>
      <c r="B374" t="s">
        <v>37</v>
      </c>
      <c r="C374" t="s">
        <v>38</v>
      </c>
      <c r="D374" t="s">
        <v>39</v>
      </c>
      <c r="E374" t="s">
        <v>248</v>
      </c>
      <c r="F374" t="s">
        <v>249</v>
      </c>
      <c r="G374" t="s">
        <v>244</v>
      </c>
      <c r="H374" t="s">
        <v>42</v>
      </c>
      <c r="I374">
        <v>2023</v>
      </c>
      <c r="J374">
        <v>0.16869000000000001</v>
      </c>
      <c r="L374">
        <v>20250315</v>
      </c>
      <c r="M374" t="s">
        <v>43</v>
      </c>
      <c r="O374">
        <f t="shared" si="5"/>
        <v>0</v>
      </c>
    </row>
    <row r="375" spans="1:15" x14ac:dyDescent="0.2">
      <c r="A375" t="s">
        <v>36</v>
      </c>
      <c r="B375" t="s">
        <v>37</v>
      </c>
      <c r="C375" t="s">
        <v>38</v>
      </c>
      <c r="D375" t="s">
        <v>47</v>
      </c>
      <c r="E375" t="s">
        <v>248</v>
      </c>
      <c r="F375" t="s">
        <v>249</v>
      </c>
      <c r="G375" t="s">
        <v>244</v>
      </c>
      <c r="H375" t="s">
        <v>42</v>
      </c>
      <c r="I375">
        <v>2023</v>
      </c>
      <c r="J375">
        <v>5.2300000000000003E-3</v>
      </c>
      <c r="L375">
        <v>20250315</v>
      </c>
      <c r="M375" t="s">
        <v>43</v>
      </c>
      <c r="O375">
        <f t="shared" si="5"/>
        <v>0</v>
      </c>
    </row>
    <row r="376" spans="1:15" x14ac:dyDescent="0.2">
      <c r="A376" t="s">
        <v>36</v>
      </c>
      <c r="B376" t="s">
        <v>37</v>
      </c>
      <c r="C376" t="s">
        <v>38</v>
      </c>
      <c r="D376" t="s">
        <v>47</v>
      </c>
      <c r="E376" t="s">
        <v>250</v>
      </c>
      <c r="F376" t="s">
        <v>251</v>
      </c>
      <c r="G376" t="s">
        <v>244</v>
      </c>
      <c r="H376" t="s">
        <v>42</v>
      </c>
      <c r="I376">
        <v>2023</v>
      </c>
      <c r="J376">
        <v>0.27800000000000002</v>
      </c>
      <c r="L376">
        <v>20250315</v>
      </c>
      <c r="M376" t="s">
        <v>43</v>
      </c>
      <c r="O376">
        <f t="shared" si="5"/>
        <v>0</v>
      </c>
    </row>
    <row r="377" spans="1:15" x14ac:dyDescent="0.2">
      <c r="A377" t="s">
        <v>36</v>
      </c>
      <c r="B377" t="s">
        <v>37</v>
      </c>
      <c r="C377" t="s">
        <v>38</v>
      </c>
      <c r="D377" t="s">
        <v>39</v>
      </c>
      <c r="E377" t="s">
        <v>250</v>
      </c>
      <c r="F377" t="s">
        <v>251</v>
      </c>
      <c r="G377" t="s">
        <v>244</v>
      </c>
      <c r="H377" t="s">
        <v>42</v>
      </c>
      <c r="I377">
        <v>2023</v>
      </c>
      <c r="J377">
        <v>56.069560000000003</v>
      </c>
      <c r="L377">
        <v>20250315</v>
      </c>
      <c r="M377" t="s">
        <v>43</v>
      </c>
      <c r="O377">
        <f t="shared" si="5"/>
        <v>0</v>
      </c>
    </row>
    <row r="378" spans="1:15" x14ac:dyDescent="0.2">
      <c r="A378" t="s">
        <v>36</v>
      </c>
      <c r="B378" t="s">
        <v>37</v>
      </c>
      <c r="C378" t="s">
        <v>38</v>
      </c>
      <c r="D378" t="s">
        <v>45</v>
      </c>
      <c r="E378" t="s">
        <v>250</v>
      </c>
      <c r="F378" t="s">
        <v>251</v>
      </c>
      <c r="G378" t="s">
        <v>244</v>
      </c>
      <c r="H378" t="s">
        <v>46</v>
      </c>
      <c r="I378">
        <v>2023</v>
      </c>
      <c r="J378">
        <v>1643.61673</v>
      </c>
      <c r="L378">
        <v>20250315</v>
      </c>
      <c r="M378" t="s">
        <v>43</v>
      </c>
      <c r="O378">
        <f t="shared" si="5"/>
        <v>0</v>
      </c>
    </row>
    <row r="379" spans="1:15" x14ac:dyDescent="0.2">
      <c r="A379" t="s">
        <v>36</v>
      </c>
      <c r="B379" t="s">
        <v>37</v>
      </c>
      <c r="C379" t="s">
        <v>38</v>
      </c>
      <c r="D379" t="s">
        <v>47</v>
      </c>
      <c r="E379" t="s">
        <v>252</v>
      </c>
      <c r="F379" t="s">
        <v>253</v>
      </c>
      <c r="G379" t="s">
        <v>244</v>
      </c>
      <c r="H379" t="s">
        <v>42</v>
      </c>
      <c r="I379">
        <v>2023</v>
      </c>
      <c r="J379">
        <v>0.32889000000000002</v>
      </c>
      <c r="L379">
        <v>20250315</v>
      </c>
      <c r="M379" t="s">
        <v>43</v>
      </c>
      <c r="O379">
        <f t="shared" si="5"/>
        <v>0</v>
      </c>
    </row>
    <row r="380" spans="1:15" x14ac:dyDescent="0.2">
      <c r="A380" t="s">
        <v>36</v>
      </c>
      <c r="B380" t="s">
        <v>37</v>
      </c>
      <c r="C380" t="s">
        <v>38</v>
      </c>
      <c r="D380" t="s">
        <v>45</v>
      </c>
      <c r="E380" t="s">
        <v>252</v>
      </c>
      <c r="F380" t="s">
        <v>253</v>
      </c>
      <c r="G380" t="s">
        <v>244</v>
      </c>
      <c r="H380" t="s">
        <v>46</v>
      </c>
      <c r="I380">
        <v>2023</v>
      </c>
      <c r="J380">
        <v>189.64492999999999</v>
      </c>
      <c r="L380">
        <v>20250315</v>
      </c>
      <c r="M380" t="s">
        <v>43</v>
      </c>
      <c r="O380">
        <f t="shared" si="5"/>
        <v>0</v>
      </c>
    </row>
    <row r="381" spans="1:15" x14ac:dyDescent="0.2">
      <c r="A381" t="s">
        <v>36</v>
      </c>
      <c r="B381" t="s">
        <v>37</v>
      </c>
      <c r="C381" t="s">
        <v>38</v>
      </c>
      <c r="D381" t="s">
        <v>39</v>
      </c>
      <c r="E381" t="s">
        <v>252</v>
      </c>
      <c r="F381" t="s">
        <v>253</v>
      </c>
      <c r="G381" t="s">
        <v>244</v>
      </c>
      <c r="H381" t="s">
        <v>42</v>
      </c>
      <c r="I381">
        <v>2023</v>
      </c>
      <c r="J381">
        <v>3.6603599999999998</v>
      </c>
      <c r="L381">
        <v>20250315</v>
      </c>
      <c r="M381" t="s">
        <v>43</v>
      </c>
      <c r="O381">
        <f t="shared" si="5"/>
        <v>0</v>
      </c>
    </row>
    <row r="382" spans="1:15" x14ac:dyDescent="0.2">
      <c r="A382" t="s">
        <v>36</v>
      </c>
      <c r="B382" t="s">
        <v>37</v>
      </c>
      <c r="C382" t="s">
        <v>38</v>
      </c>
      <c r="D382" t="s">
        <v>45</v>
      </c>
      <c r="E382" t="s">
        <v>254</v>
      </c>
      <c r="F382" t="s">
        <v>255</v>
      </c>
      <c r="G382" t="s">
        <v>244</v>
      </c>
      <c r="H382" t="s">
        <v>46</v>
      </c>
      <c r="I382">
        <v>2023</v>
      </c>
      <c r="J382">
        <v>196.31872999999999</v>
      </c>
      <c r="L382">
        <v>20250315</v>
      </c>
      <c r="M382" t="s">
        <v>43</v>
      </c>
      <c r="O382">
        <f t="shared" si="5"/>
        <v>0</v>
      </c>
    </row>
    <row r="383" spans="1:15" x14ac:dyDescent="0.2">
      <c r="A383" t="s">
        <v>36</v>
      </c>
      <c r="B383" t="s">
        <v>37</v>
      </c>
      <c r="C383" t="s">
        <v>38</v>
      </c>
      <c r="D383" t="s">
        <v>47</v>
      </c>
      <c r="E383" t="s">
        <v>254</v>
      </c>
      <c r="F383" t="s">
        <v>255</v>
      </c>
      <c r="G383" t="s">
        <v>244</v>
      </c>
      <c r="H383" t="s">
        <v>42</v>
      </c>
      <c r="I383">
        <v>2023</v>
      </c>
      <c r="J383">
        <v>0.74082999999999999</v>
      </c>
      <c r="L383">
        <v>20250315</v>
      </c>
      <c r="M383" t="s">
        <v>43</v>
      </c>
      <c r="O383">
        <f t="shared" si="5"/>
        <v>0</v>
      </c>
    </row>
    <row r="384" spans="1:15" x14ac:dyDescent="0.2">
      <c r="A384" t="s">
        <v>36</v>
      </c>
      <c r="B384" t="s">
        <v>37</v>
      </c>
      <c r="C384" t="s">
        <v>38</v>
      </c>
      <c r="D384" t="s">
        <v>39</v>
      </c>
      <c r="E384" t="s">
        <v>256</v>
      </c>
      <c r="F384" t="s">
        <v>257</v>
      </c>
      <c r="G384">
        <v>3</v>
      </c>
      <c r="H384" t="s">
        <v>42</v>
      </c>
      <c r="I384">
        <v>2023</v>
      </c>
      <c r="K384" t="s">
        <v>258</v>
      </c>
      <c r="L384">
        <v>20250315</v>
      </c>
      <c r="M384" t="s">
        <v>43</v>
      </c>
      <c r="O384">
        <f t="shared" si="5"/>
        <v>1</v>
      </c>
    </row>
    <row r="385" spans="1:15" x14ac:dyDescent="0.2">
      <c r="A385" t="s">
        <v>36</v>
      </c>
      <c r="B385" t="s">
        <v>37</v>
      </c>
      <c r="C385" t="s">
        <v>38</v>
      </c>
      <c r="D385" t="s">
        <v>45</v>
      </c>
      <c r="E385" t="s">
        <v>256</v>
      </c>
      <c r="F385" t="s">
        <v>257</v>
      </c>
      <c r="G385">
        <v>3</v>
      </c>
      <c r="H385" t="s">
        <v>46</v>
      </c>
      <c r="I385">
        <v>2023</v>
      </c>
      <c r="K385" t="s">
        <v>258</v>
      </c>
      <c r="L385">
        <v>20250315</v>
      </c>
      <c r="M385" t="s">
        <v>43</v>
      </c>
      <c r="O385">
        <f t="shared" si="5"/>
        <v>1</v>
      </c>
    </row>
    <row r="386" spans="1:15" x14ac:dyDescent="0.2">
      <c r="A386" t="s">
        <v>36</v>
      </c>
      <c r="B386" t="s">
        <v>37</v>
      </c>
      <c r="C386" t="s">
        <v>38</v>
      </c>
      <c r="D386" t="s">
        <v>39</v>
      </c>
      <c r="E386" t="s">
        <v>259</v>
      </c>
      <c r="F386" t="s">
        <v>260</v>
      </c>
      <c r="G386" t="s">
        <v>256</v>
      </c>
      <c r="H386" t="s">
        <v>42</v>
      </c>
      <c r="I386">
        <v>2023</v>
      </c>
      <c r="K386" t="s">
        <v>54</v>
      </c>
      <c r="L386">
        <v>20250315</v>
      </c>
      <c r="M386" t="s">
        <v>43</v>
      </c>
      <c r="O386">
        <f t="shared" si="5"/>
        <v>0</v>
      </c>
    </row>
    <row r="387" spans="1:15" x14ac:dyDescent="0.2">
      <c r="A387" t="s">
        <v>36</v>
      </c>
      <c r="B387" t="s">
        <v>37</v>
      </c>
      <c r="C387" t="s">
        <v>38</v>
      </c>
      <c r="D387" t="s">
        <v>45</v>
      </c>
      <c r="E387" t="s">
        <v>259</v>
      </c>
      <c r="F387" t="s">
        <v>260</v>
      </c>
      <c r="G387" t="s">
        <v>256</v>
      </c>
      <c r="H387" t="s">
        <v>46</v>
      </c>
      <c r="I387">
        <v>2023</v>
      </c>
      <c r="K387" t="s">
        <v>103</v>
      </c>
      <c r="L387">
        <v>20250315</v>
      </c>
      <c r="M387" t="s">
        <v>43</v>
      </c>
      <c r="O387">
        <f t="shared" ref="O387:O450" si="6">IF(OR(G387=2,G387=3,G387=5,G387=6),1,0)</f>
        <v>0</v>
      </c>
    </row>
    <row r="388" spans="1:15" x14ac:dyDescent="0.2">
      <c r="A388" t="s">
        <v>36</v>
      </c>
      <c r="B388" t="s">
        <v>37</v>
      </c>
      <c r="C388" t="s">
        <v>38</v>
      </c>
      <c r="D388" t="s">
        <v>39</v>
      </c>
      <c r="E388" t="s">
        <v>261</v>
      </c>
      <c r="F388" t="s">
        <v>262</v>
      </c>
      <c r="G388" t="s">
        <v>256</v>
      </c>
      <c r="H388" t="s">
        <v>42</v>
      </c>
      <c r="I388">
        <v>2023</v>
      </c>
      <c r="K388" t="s">
        <v>54</v>
      </c>
      <c r="L388">
        <v>20250315</v>
      </c>
      <c r="M388" t="s">
        <v>43</v>
      </c>
      <c r="O388">
        <f t="shared" si="6"/>
        <v>0</v>
      </c>
    </row>
    <row r="389" spans="1:15" x14ac:dyDescent="0.2">
      <c r="A389" t="s">
        <v>36</v>
      </c>
      <c r="B389" t="s">
        <v>37</v>
      </c>
      <c r="C389" t="s">
        <v>38</v>
      </c>
      <c r="D389" t="s">
        <v>45</v>
      </c>
      <c r="E389" t="s">
        <v>261</v>
      </c>
      <c r="F389" t="s">
        <v>262</v>
      </c>
      <c r="G389" t="s">
        <v>256</v>
      </c>
      <c r="H389" t="s">
        <v>46</v>
      </c>
      <c r="I389">
        <v>2023</v>
      </c>
      <c r="K389" t="s">
        <v>103</v>
      </c>
      <c r="L389">
        <v>20250315</v>
      </c>
      <c r="M389" t="s">
        <v>43</v>
      </c>
      <c r="O389">
        <f t="shared" si="6"/>
        <v>0</v>
      </c>
    </row>
    <row r="390" spans="1:15" x14ac:dyDescent="0.2">
      <c r="A390" t="s">
        <v>36</v>
      </c>
      <c r="B390" t="s">
        <v>37</v>
      </c>
      <c r="C390" t="s">
        <v>38</v>
      </c>
      <c r="D390" t="s">
        <v>39</v>
      </c>
      <c r="E390" t="s">
        <v>263</v>
      </c>
      <c r="F390" t="s">
        <v>264</v>
      </c>
      <c r="G390" t="s">
        <v>256</v>
      </c>
      <c r="H390" t="s">
        <v>42</v>
      </c>
      <c r="I390">
        <v>2023</v>
      </c>
      <c r="K390" t="s">
        <v>54</v>
      </c>
      <c r="L390">
        <v>20250315</v>
      </c>
      <c r="M390" t="s">
        <v>43</v>
      </c>
      <c r="O390">
        <f t="shared" si="6"/>
        <v>0</v>
      </c>
    </row>
    <row r="391" spans="1:15" x14ac:dyDescent="0.2">
      <c r="A391" t="s">
        <v>36</v>
      </c>
      <c r="B391" t="s">
        <v>37</v>
      </c>
      <c r="C391" t="s">
        <v>38</v>
      </c>
      <c r="D391" t="s">
        <v>45</v>
      </c>
      <c r="E391" t="s">
        <v>263</v>
      </c>
      <c r="F391" t="s">
        <v>264</v>
      </c>
      <c r="G391" t="s">
        <v>256</v>
      </c>
      <c r="H391" t="s">
        <v>46</v>
      </c>
      <c r="I391">
        <v>2023</v>
      </c>
      <c r="K391" t="s">
        <v>103</v>
      </c>
      <c r="L391">
        <v>20250315</v>
      </c>
      <c r="M391" t="s">
        <v>43</v>
      </c>
      <c r="O391">
        <f t="shared" si="6"/>
        <v>0</v>
      </c>
    </row>
    <row r="392" spans="1:15" x14ac:dyDescent="0.2">
      <c r="A392" t="s">
        <v>36</v>
      </c>
      <c r="B392" t="s">
        <v>37</v>
      </c>
      <c r="C392" t="s">
        <v>38</v>
      </c>
      <c r="D392" t="s">
        <v>45</v>
      </c>
      <c r="E392" t="s">
        <v>265</v>
      </c>
      <c r="F392" t="s">
        <v>266</v>
      </c>
      <c r="G392" t="s">
        <v>256</v>
      </c>
      <c r="H392" t="s">
        <v>46</v>
      </c>
      <c r="I392">
        <v>2023</v>
      </c>
      <c r="K392" t="s">
        <v>103</v>
      </c>
      <c r="L392">
        <v>20250315</v>
      </c>
      <c r="M392" t="s">
        <v>43</v>
      </c>
      <c r="O392">
        <f t="shared" si="6"/>
        <v>0</v>
      </c>
    </row>
    <row r="393" spans="1:15" x14ac:dyDescent="0.2">
      <c r="A393" t="s">
        <v>36</v>
      </c>
      <c r="B393" t="s">
        <v>37</v>
      </c>
      <c r="C393" t="s">
        <v>38</v>
      </c>
      <c r="D393" t="s">
        <v>39</v>
      </c>
      <c r="E393" t="s">
        <v>265</v>
      </c>
      <c r="F393" t="s">
        <v>266</v>
      </c>
      <c r="G393" t="s">
        <v>256</v>
      </c>
      <c r="H393" t="s">
        <v>42</v>
      </c>
      <c r="I393">
        <v>2023</v>
      </c>
      <c r="K393" t="s">
        <v>104</v>
      </c>
      <c r="L393">
        <v>20250315</v>
      </c>
      <c r="M393" t="s">
        <v>43</v>
      </c>
      <c r="O393">
        <f t="shared" si="6"/>
        <v>0</v>
      </c>
    </row>
    <row r="394" spans="1:15" x14ac:dyDescent="0.2">
      <c r="A394" t="s">
        <v>36</v>
      </c>
      <c r="B394" t="s">
        <v>37</v>
      </c>
      <c r="C394" t="s">
        <v>38</v>
      </c>
      <c r="D394" t="s">
        <v>39</v>
      </c>
      <c r="E394" t="s">
        <v>267</v>
      </c>
      <c r="F394" t="s">
        <v>268</v>
      </c>
      <c r="G394">
        <v>3</v>
      </c>
      <c r="H394" t="s">
        <v>42</v>
      </c>
      <c r="I394">
        <v>2023</v>
      </c>
      <c r="K394" t="s">
        <v>54</v>
      </c>
      <c r="L394">
        <v>20250315</v>
      </c>
      <c r="M394" t="s">
        <v>43</v>
      </c>
      <c r="O394">
        <f t="shared" si="6"/>
        <v>1</v>
      </c>
    </row>
    <row r="395" spans="1:15" x14ac:dyDescent="0.2">
      <c r="A395" t="s">
        <v>36</v>
      </c>
      <c r="B395" t="s">
        <v>37</v>
      </c>
      <c r="C395" t="s">
        <v>38</v>
      </c>
      <c r="D395" t="s">
        <v>47</v>
      </c>
      <c r="E395" t="s">
        <v>267</v>
      </c>
      <c r="F395" t="s">
        <v>268</v>
      </c>
      <c r="G395">
        <v>3</v>
      </c>
      <c r="H395" t="s">
        <v>42</v>
      </c>
      <c r="I395">
        <v>2023</v>
      </c>
      <c r="J395">
        <v>15.874409999999999</v>
      </c>
      <c r="L395">
        <v>20250315</v>
      </c>
      <c r="M395" t="s">
        <v>43</v>
      </c>
      <c r="O395">
        <f t="shared" si="6"/>
        <v>1</v>
      </c>
    </row>
    <row r="396" spans="1:15" x14ac:dyDescent="0.2">
      <c r="A396" t="s">
        <v>36</v>
      </c>
      <c r="B396" t="s">
        <v>37</v>
      </c>
      <c r="C396" t="s">
        <v>38</v>
      </c>
      <c r="D396" t="s">
        <v>45</v>
      </c>
      <c r="E396" t="s">
        <v>267</v>
      </c>
      <c r="F396" t="s">
        <v>268</v>
      </c>
      <c r="G396">
        <v>3</v>
      </c>
      <c r="H396" t="s">
        <v>46</v>
      </c>
      <c r="I396">
        <v>2023</v>
      </c>
      <c r="J396">
        <v>4206.7183299999997</v>
      </c>
      <c r="L396">
        <v>20250315</v>
      </c>
      <c r="M396" t="s">
        <v>43</v>
      </c>
      <c r="O396">
        <f t="shared" si="6"/>
        <v>1</v>
      </c>
    </row>
    <row r="397" spans="1:15" x14ac:dyDescent="0.2">
      <c r="A397" t="s">
        <v>36</v>
      </c>
      <c r="B397" t="s">
        <v>37</v>
      </c>
      <c r="C397" t="s">
        <v>38</v>
      </c>
      <c r="D397" t="s">
        <v>45</v>
      </c>
      <c r="E397" t="s">
        <v>269</v>
      </c>
      <c r="F397" t="s">
        <v>270</v>
      </c>
      <c r="G397" t="s">
        <v>267</v>
      </c>
      <c r="H397" t="s">
        <v>46</v>
      </c>
      <c r="I397">
        <v>2023</v>
      </c>
      <c r="J397">
        <v>3704.1245100000001</v>
      </c>
      <c r="L397">
        <v>20250315</v>
      </c>
      <c r="M397" t="s">
        <v>43</v>
      </c>
      <c r="O397">
        <f t="shared" si="6"/>
        <v>0</v>
      </c>
    </row>
    <row r="398" spans="1:15" x14ac:dyDescent="0.2">
      <c r="A398" t="s">
        <v>36</v>
      </c>
      <c r="B398" t="s">
        <v>37</v>
      </c>
      <c r="C398" t="s">
        <v>38</v>
      </c>
      <c r="D398" t="s">
        <v>47</v>
      </c>
      <c r="E398" t="s">
        <v>269</v>
      </c>
      <c r="F398" t="s">
        <v>270</v>
      </c>
      <c r="G398" t="s">
        <v>267</v>
      </c>
      <c r="H398" t="s">
        <v>42</v>
      </c>
      <c r="I398">
        <v>2023</v>
      </c>
      <c r="J398">
        <v>13.977830000000001</v>
      </c>
      <c r="L398">
        <v>20250315</v>
      </c>
      <c r="M398" t="s">
        <v>43</v>
      </c>
      <c r="O398">
        <f t="shared" si="6"/>
        <v>0</v>
      </c>
    </row>
    <row r="399" spans="1:15" x14ac:dyDescent="0.2">
      <c r="A399" t="s">
        <v>36</v>
      </c>
      <c r="B399" t="s">
        <v>37</v>
      </c>
      <c r="C399" t="s">
        <v>38</v>
      </c>
      <c r="D399" t="s">
        <v>45</v>
      </c>
      <c r="E399" t="s">
        <v>271</v>
      </c>
      <c r="F399" t="s">
        <v>272</v>
      </c>
      <c r="G399" t="s">
        <v>267</v>
      </c>
      <c r="H399" t="s">
        <v>46</v>
      </c>
      <c r="I399">
        <v>2023</v>
      </c>
      <c r="J399">
        <v>502.59381000000002</v>
      </c>
      <c r="L399">
        <v>20250315</v>
      </c>
      <c r="M399" t="s">
        <v>43</v>
      </c>
      <c r="O399">
        <f t="shared" si="6"/>
        <v>0</v>
      </c>
    </row>
    <row r="400" spans="1:15" x14ac:dyDescent="0.2">
      <c r="A400" t="s">
        <v>36</v>
      </c>
      <c r="B400" t="s">
        <v>37</v>
      </c>
      <c r="C400" t="s">
        <v>38</v>
      </c>
      <c r="D400" t="s">
        <v>47</v>
      </c>
      <c r="E400" t="s">
        <v>271</v>
      </c>
      <c r="F400" t="s">
        <v>272</v>
      </c>
      <c r="G400" t="s">
        <v>267</v>
      </c>
      <c r="H400" t="s">
        <v>42</v>
      </c>
      <c r="I400">
        <v>2023</v>
      </c>
      <c r="J400">
        <v>1.8965799999999999</v>
      </c>
      <c r="L400">
        <v>20250315</v>
      </c>
      <c r="M400" t="s">
        <v>43</v>
      </c>
      <c r="O400">
        <f t="shared" si="6"/>
        <v>0</v>
      </c>
    </row>
    <row r="401" spans="1:15" x14ac:dyDescent="0.2">
      <c r="A401" t="s">
        <v>36</v>
      </c>
      <c r="B401" t="s">
        <v>37</v>
      </c>
      <c r="C401" t="s">
        <v>38</v>
      </c>
      <c r="D401" t="s">
        <v>39</v>
      </c>
      <c r="E401" t="s">
        <v>273</v>
      </c>
      <c r="F401" t="s">
        <v>274</v>
      </c>
      <c r="G401">
        <v>3</v>
      </c>
      <c r="H401" t="s">
        <v>42</v>
      </c>
      <c r="I401">
        <v>2023</v>
      </c>
      <c r="K401" t="s">
        <v>54</v>
      </c>
      <c r="L401">
        <v>20250315</v>
      </c>
      <c r="M401" t="s">
        <v>43</v>
      </c>
      <c r="O401">
        <f t="shared" si="6"/>
        <v>1</v>
      </c>
    </row>
    <row r="402" spans="1:15" x14ac:dyDescent="0.2">
      <c r="A402" t="s">
        <v>36</v>
      </c>
      <c r="B402" t="s">
        <v>37</v>
      </c>
      <c r="C402" t="s">
        <v>38</v>
      </c>
      <c r="D402" t="s">
        <v>45</v>
      </c>
      <c r="E402" t="s">
        <v>273</v>
      </c>
      <c r="F402" t="s">
        <v>274</v>
      </c>
      <c r="G402">
        <v>3</v>
      </c>
      <c r="H402" t="s">
        <v>46</v>
      </c>
      <c r="I402">
        <v>2023</v>
      </c>
      <c r="K402" t="s">
        <v>54</v>
      </c>
      <c r="L402">
        <v>20250315</v>
      </c>
      <c r="M402" t="s">
        <v>43</v>
      </c>
      <c r="O402">
        <f t="shared" si="6"/>
        <v>1</v>
      </c>
    </row>
    <row r="403" spans="1:15" x14ac:dyDescent="0.2">
      <c r="A403" t="s">
        <v>36</v>
      </c>
      <c r="B403" t="s">
        <v>37</v>
      </c>
      <c r="C403" t="s">
        <v>38</v>
      </c>
      <c r="D403" t="s">
        <v>47</v>
      </c>
      <c r="E403" t="s">
        <v>273</v>
      </c>
      <c r="F403" t="s">
        <v>274</v>
      </c>
      <c r="G403">
        <v>3</v>
      </c>
      <c r="H403" t="s">
        <v>42</v>
      </c>
      <c r="I403">
        <v>2023</v>
      </c>
      <c r="K403" t="s">
        <v>54</v>
      </c>
      <c r="L403">
        <v>20250315</v>
      </c>
      <c r="M403" t="s">
        <v>43</v>
      </c>
      <c r="O403">
        <f t="shared" si="6"/>
        <v>1</v>
      </c>
    </row>
    <row r="404" spans="1:15" x14ac:dyDescent="0.2">
      <c r="A404" t="s">
        <v>36</v>
      </c>
      <c r="B404" t="s">
        <v>37</v>
      </c>
      <c r="C404" t="s">
        <v>38</v>
      </c>
      <c r="D404" t="s">
        <v>39</v>
      </c>
      <c r="E404" t="s">
        <v>275</v>
      </c>
      <c r="F404" t="s">
        <v>276</v>
      </c>
      <c r="G404">
        <v>3</v>
      </c>
      <c r="H404" t="s">
        <v>42</v>
      </c>
      <c r="I404">
        <v>2023</v>
      </c>
      <c r="K404" t="s">
        <v>54</v>
      </c>
      <c r="L404">
        <v>20250315</v>
      </c>
      <c r="M404" t="s">
        <v>43</v>
      </c>
      <c r="O404">
        <f t="shared" si="6"/>
        <v>1</v>
      </c>
    </row>
    <row r="405" spans="1:15" x14ac:dyDescent="0.2">
      <c r="A405" t="s">
        <v>36</v>
      </c>
      <c r="B405" t="s">
        <v>37</v>
      </c>
      <c r="C405" t="s">
        <v>38</v>
      </c>
      <c r="D405" t="s">
        <v>45</v>
      </c>
      <c r="E405" t="s">
        <v>275</v>
      </c>
      <c r="F405" t="s">
        <v>276</v>
      </c>
      <c r="G405">
        <v>3</v>
      </c>
      <c r="H405" t="s">
        <v>46</v>
      </c>
      <c r="I405">
        <v>2023</v>
      </c>
      <c r="K405" t="s">
        <v>54</v>
      </c>
      <c r="L405">
        <v>20250315</v>
      </c>
      <c r="M405" t="s">
        <v>43</v>
      </c>
      <c r="O405">
        <f t="shared" si="6"/>
        <v>1</v>
      </c>
    </row>
    <row r="406" spans="1:15" x14ac:dyDescent="0.2">
      <c r="A406" t="s">
        <v>36</v>
      </c>
      <c r="B406" t="s">
        <v>37</v>
      </c>
      <c r="C406" t="s">
        <v>38</v>
      </c>
      <c r="D406" t="s">
        <v>47</v>
      </c>
      <c r="E406" t="s">
        <v>275</v>
      </c>
      <c r="F406" t="s">
        <v>276</v>
      </c>
      <c r="G406">
        <v>3</v>
      </c>
      <c r="H406" t="s">
        <v>42</v>
      </c>
      <c r="I406">
        <v>2023</v>
      </c>
      <c r="K406" t="s">
        <v>54</v>
      </c>
      <c r="L406">
        <v>20250315</v>
      </c>
      <c r="M406" t="s">
        <v>43</v>
      </c>
      <c r="O406">
        <f t="shared" si="6"/>
        <v>1</v>
      </c>
    </row>
    <row r="407" spans="1:15" x14ac:dyDescent="0.2">
      <c r="A407" t="s">
        <v>36</v>
      </c>
      <c r="B407" t="s">
        <v>37</v>
      </c>
      <c r="C407" t="s">
        <v>38</v>
      </c>
      <c r="D407" t="s">
        <v>47</v>
      </c>
      <c r="E407" t="s">
        <v>277</v>
      </c>
      <c r="F407" t="s">
        <v>278</v>
      </c>
      <c r="G407" t="s">
        <v>275</v>
      </c>
      <c r="H407" t="s">
        <v>42</v>
      </c>
      <c r="I407">
        <v>2023</v>
      </c>
      <c r="K407" t="s">
        <v>54</v>
      </c>
      <c r="L407">
        <v>20250315</v>
      </c>
      <c r="M407" t="s">
        <v>43</v>
      </c>
      <c r="O407">
        <f t="shared" si="6"/>
        <v>0</v>
      </c>
    </row>
    <row r="408" spans="1:15" x14ac:dyDescent="0.2">
      <c r="A408" t="s">
        <v>36</v>
      </c>
      <c r="B408" t="s">
        <v>37</v>
      </c>
      <c r="C408" t="s">
        <v>38</v>
      </c>
      <c r="D408" t="s">
        <v>39</v>
      </c>
      <c r="E408" t="s">
        <v>277</v>
      </c>
      <c r="F408" t="s">
        <v>278</v>
      </c>
      <c r="G408" t="s">
        <v>275</v>
      </c>
      <c r="H408" t="s">
        <v>42</v>
      </c>
      <c r="I408">
        <v>2023</v>
      </c>
      <c r="K408" t="s">
        <v>54</v>
      </c>
      <c r="L408">
        <v>20250315</v>
      </c>
      <c r="M408" t="s">
        <v>43</v>
      </c>
      <c r="O408">
        <f t="shared" si="6"/>
        <v>0</v>
      </c>
    </row>
    <row r="409" spans="1:15" x14ac:dyDescent="0.2">
      <c r="A409" t="s">
        <v>36</v>
      </c>
      <c r="B409" t="s">
        <v>37</v>
      </c>
      <c r="C409" t="s">
        <v>38</v>
      </c>
      <c r="D409" t="s">
        <v>45</v>
      </c>
      <c r="E409" t="s">
        <v>277</v>
      </c>
      <c r="F409" t="s">
        <v>278</v>
      </c>
      <c r="G409" t="s">
        <v>275</v>
      </c>
      <c r="H409" t="s">
        <v>46</v>
      </c>
      <c r="I409">
        <v>2023</v>
      </c>
      <c r="K409" t="s">
        <v>103</v>
      </c>
      <c r="L409">
        <v>20250315</v>
      </c>
      <c r="M409" t="s">
        <v>43</v>
      </c>
      <c r="O409">
        <f t="shared" si="6"/>
        <v>0</v>
      </c>
    </row>
    <row r="410" spans="1:15" x14ac:dyDescent="0.2">
      <c r="A410" t="s">
        <v>36</v>
      </c>
      <c r="B410" t="s">
        <v>37</v>
      </c>
      <c r="C410" t="s">
        <v>38</v>
      </c>
      <c r="D410" t="s">
        <v>45</v>
      </c>
      <c r="E410" t="s">
        <v>279</v>
      </c>
      <c r="F410" t="s">
        <v>280</v>
      </c>
      <c r="G410" t="s">
        <v>275</v>
      </c>
      <c r="H410" t="s">
        <v>46</v>
      </c>
      <c r="I410">
        <v>2023</v>
      </c>
      <c r="K410" t="s">
        <v>103</v>
      </c>
      <c r="L410">
        <v>20250315</v>
      </c>
      <c r="M410" t="s">
        <v>43</v>
      </c>
      <c r="O410">
        <f t="shared" si="6"/>
        <v>0</v>
      </c>
    </row>
    <row r="411" spans="1:15" x14ac:dyDescent="0.2">
      <c r="A411" t="s">
        <v>36</v>
      </c>
      <c r="B411" t="s">
        <v>37</v>
      </c>
      <c r="C411" t="s">
        <v>38</v>
      </c>
      <c r="D411" t="s">
        <v>47</v>
      </c>
      <c r="E411" t="s">
        <v>279</v>
      </c>
      <c r="F411" t="s">
        <v>280</v>
      </c>
      <c r="G411" t="s">
        <v>275</v>
      </c>
      <c r="H411" t="s">
        <v>42</v>
      </c>
      <c r="I411">
        <v>2023</v>
      </c>
      <c r="K411" t="s">
        <v>54</v>
      </c>
      <c r="L411">
        <v>20250315</v>
      </c>
      <c r="M411" t="s">
        <v>43</v>
      </c>
      <c r="O411">
        <f t="shared" si="6"/>
        <v>0</v>
      </c>
    </row>
    <row r="412" spans="1:15" x14ac:dyDescent="0.2">
      <c r="A412" t="s">
        <v>36</v>
      </c>
      <c r="B412" t="s">
        <v>37</v>
      </c>
      <c r="C412" t="s">
        <v>38</v>
      </c>
      <c r="D412" t="s">
        <v>39</v>
      </c>
      <c r="E412" t="s">
        <v>279</v>
      </c>
      <c r="F412" t="s">
        <v>280</v>
      </c>
      <c r="G412" t="s">
        <v>275</v>
      </c>
      <c r="H412" t="s">
        <v>42</v>
      </c>
      <c r="I412">
        <v>2023</v>
      </c>
      <c r="K412" t="s">
        <v>54</v>
      </c>
      <c r="L412">
        <v>20250315</v>
      </c>
      <c r="M412" t="s">
        <v>43</v>
      </c>
      <c r="O412">
        <f t="shared" si="6"/>
        <v>0</v>
      </c>
    </row>
    <row r="413" spans="1:15" x14ac:dyDescent="0.2">
      <c r="A413" t="s">
        <v>36</v>
      </c>
      <c r="B413" t="s">
        <v>37</v>
      </c>
      <c r="C413" t="s">
        <v>38</v>
      </c>
      <c r="D413" t="s">
        <v>44</v>
      </c>
      <c r="E413" t="s">
        <v>281</v>
      </c>
      <c r="F413" t="s">
        <v>282</v>
      </c>
      <c r="G413">
        <v>3</v>
      </c>
      <c r="H413" t="s">
        <v>42</v>
      </c>
      <c r="I413">
        <v>2023</v>
      </c>
      <c r="J413">
        <v>25.144020000000001</v>
      </c>
      <c r="L413">
        <v>20250315</v>
      </c>
      <c r="M413" t="s">
        <v>43</v>
      </c>
      <c r="O413">
        <f t="shared" si="6"/>
        <v>1</v>
      </c>
    </row>
    <row r="414" spans="1:15" x14ac:dyDescent="0.2">
      <c r="A414" t="s">
        <v>36</v>
      </c>
      <c r="B414" t="s">
        <v>37</v>
      </c>
      <c r="C414" t="s">
        <v>38</v>
      </c>
      <c r="D414" t="s">
        <v>45</v>
      </c>
      <c r="E414" t="s">
        <v>281</v>
      </c>
      <c r="F414" t="s">
        <v>282</v>
      </c>
      <c r="G414">
        <v>3</v>
      </c>
      <c r="H414" t="s">
        <v>46</v>
      </c>
      <c r="I414">
        <v>2023</v>
      </c>
      <c r="J414">
        <v>25.144020000000001</v>
      </c>
      <c r="L414">
        <v>20250315</v>
      </c>
      <c r="M414" t="s">
        <v>43</v>
      </c>
      <c r="O414">
        <f t="shared" si="6"/>
        <v>1</v>
      </c>
    </row>
    <row r="415" spans="1:15" x14ac:dyDescent="0.2">
      <c r="A415" t="s">
        <v>36</v>
      </c>
      <c r="B415" t="s">
        <v>37</v>
      </c>
      <c r="C415" t="s">
        <v>38</v>
      </c>
      <c r="D415" t="s">
        <v>45</v>
      </c>
      <c r="E415" t="s">
        <v>283</v>
      </c>
      <c r="F415" t="s">
        <v>284</v>
      </c>
      <c r="G415">
        <v>3</v>
      </c>
      <c r="H415" t="s">
        <v>46</v>
      </c>
      <c r="I415">
        <v>2023</v>
      </c>
      <c r="J415">
        <v>68.069270000000003</v>
      </c>
      <c r="L415">
        <v>20250315</v>
      </c>
      <c r="M415" t="s">
        <v>43</v>
      </c>
      <c r="O415">
        <f t="shared" si="6"/>
        <v>1</v>
      </c>
    </row>
    <row r="416" spans="1:15" x14ac:dyDescent="0.2">
      <c r="A416" t="s">
        <v>36</v>
      </c>
      <c r="B416" t="s">
        <v>37</v>
      </c>
      <c r="C416" t="s">
        <v>38</v>
      </c>
      <c r="D416" t="s">
        <v>44</v>
      </c>
      <c r="E416" t="s">
        <v>283</v>
      </c>
      <c r="F416" t="s">
        <v>284</v>
      </c>
      <c r="G416">
        <v>3</v>
      </c>
      <c r="H416" t="s">
        <v>42</v>
      </c>
      <c r="I416">
        <v>2023</v>
      </c>
      <c r="J416">
        <v>68.069270000000003</v>
      </c>
      <c r="L416">
        <v>20250315</v>
      </c>
      <c r="M416" t="s">
        <v>43</v>
      </c>
      <c r="O416">
        <f t="shared" si="6"/>
        <v>1</v>
      </c>
    </row>
    <row r="417" spans="1:15" x14ac:dyDescent="0.2">
      <c r="A417" t="s">
        <v>36</v>
      </c>
      <c r="B417" t="s">
        <v>37</v>
      </c>
      <c r="C417" t="s">
        <v>38</v>
      </c>
      <c r="D417" t="s">
        <v>45</v>
      </c>
      <c r="E417" t="s">
        <v>285</v>
      </c>
      <c r="F417" t="s">
        <v>286</v>
      </c>
      <c r="G417">
        <v>3</v>
      </c>
      <c r="H417" t="s">
        <v>46</v>
      </c>
      <c r="I417">
        <v>2023</v>
      </c>
      <c r="K417" t="s">
        <v>103</v>
      </c>
      <c r="L417">
        <v>20250315</v>
      </c>
      <c r="M417" t="s">
        <v>43</v>
      </c>
      <c r="O417">
        <f t="shared" si="6"/>
        <v>1</v>
      </c>
    </row>
    <row r="418" spans="1:15" x14ac:dyDescent="0.2">
      <c r="A418" t="s">
        <v>36</v>
      </c>
      <c r="B418" t="s">
        <v>37</v>
      </c>
      <c r="C418" t="s">
        <v>38</v>
      </c>
      <c r="D418" t="s">
        <v>44</v>
      </c>
      <c r="E418" t="s">
        <v>285</v>
      </c>
      <c r="F418" t="s">
        <v>286</v>
      </c>
      <c r="G418">
        <v>3</v>
      </c>
      <c r="H418" t="s">
        <v>42</v>
      </c>
      <c r="I418">
        <v>2023</v>
      </c>
      <c r="K418" t="s">
        <v>54</v>
      </c>
      <c r="L418">
        <v>20250315</v>
      </c>
      <c r="M418" t="s">
        <v>43</v>
      </c>
      <c r="O418">
        <f t="shared" si="6"/>
        <v>1</v>
      </c>
    </row>
    <row r="419" spans="1:15" x14ac:dyDescent="0.2">
      <c r="A419" t="s">
        <v>36</v>
      </c>
      <c r="B419" t="s">
        <v>37</v>
      </c>
      <c r="C419" t="s">
        <v>38</v>
      </c>
      <c r="D419" t="s">
        <v>44</v>
      </c>
      <c r="E419" t="s">
        <v>287</v>
      </c>
      <c r="F419" t="s">
        <v>288</v>
      </c>
      <c r="G419">
        <v>3</v>
      </c>
      <c r="H419" t="s">
        <v>42</v>
      </c>
      <c r="I419">
        <v>2023</v>
      </c>
      <c r="K419" t="s">
        <v>54</v>
      </c>
      <c r="L419">
        <v>20250315</v>
      </c>
      <c r="M419" t="s">
        <v>43</v>
      </c>
      <c r="O419">
        <f t="shared" si="6"/>
        <v>1</v>
      </c>
    </row>
    <row r="420" spans="1:15" x14ac:dyDescent="0.2">
      <c r="A420" t="s">
        <v>36</v>
      </c>
      <c r="B420" t="s">
        <v>37</v>
      </c>
      <c r="C420" t="s">
        <v>38</v>
      </c>
      <c r="D420" t="s">
        <v>47</v>
      </c>
      <c r="E420" t="s">
        <v>287</v>
      </c>
      <c r="F420" t="s">
        <v>288</v>
      </c>
      <c r="G420">
        <v>3</v>
      </c>
      <c r="H420" t="s">
        <v>42</v>
      </c>
      <c r="I420">
        <v>2023</v>
      </c>
      <c r="K420" t="s">
        <v>54</v>
      </c>
      <c r="L420">
        <v>20250315</v>
      </c>
      <c r="M420" t="s">
        <v>43</v>
      </c>
      <c r="O420">
        <f t="shared" si="6"/>
        <v>1</v>
      </c>
    </row>
    <row r="421" spans="1:15" x14ac:dyDescent="0.2">
      <c r="A421" t="s">
        <v>36</v>
      </c>
      <c r="B421" t="s">
        <v>37</v>
      </c>
      <c r="C421" t="s">
        <v>38</v>
      </c>
      <c r="D421" t="s">
        <v>45</v>
      </c>
      <c r="E421" t="s">
        <v>287</v>
      </c>
      <c r="F421" t="s">
        <v>288</v>
      </c>
      <c r="G421">
        <v>3</v>
      </c>
      <c r="H421" t="s">
        <v>46</v>
      </c>
      <c r="I421">
        <v>2023</v>
      </c>
      <c r="K421" t="s">
        <v>54</v>
      </c>
      <c r="L421">
        <v>20250315</v>
      </c>
      <c r="M421" t="s">
        <v>43</v>
      </c>
      <c r="O421">
        <f t="shared" si="6"/>
        <v>1</v>
      </c>
    </row>
    <row r="422" spans="1:15" x14ac:dyDescent="0.2">
      <c r="A422" t="s">
        <v>36</v>
      </c>
      <c r="B422" t="s">
        <v>37</v>
      </c>
      <c r="C422" t="s">
        <v>38</v>
      </c>
      <c r="D422" t="s">
        <v>39</v>
      </c>
      <c r="E422" t="s">
        <v>287</v>
      </c>
      <c r="F422" t="s">
        <v>288</v>
      </c>
      <c r="G422">
        <v>3</v>
      </c>
      <c r="H422" t="s">
        <v>42</v>
      </c>
      <c r="I422">
        <v>2023</v>
      </c>
      <c r="K422" t="s">
        <v>54</v>
      </c>
      <c r="L422">
        <v>20250315</v>
      </c>
      <c r="M422" t="s">
        <v>43</v>
      </c>
      <c r="O422">
        <f t="shared" si="6"/>
        <v>1</v>
      </c>
    </row>
    <row r="423" spans="1:15" x14ac:dyDescent="0.2">
      <c r="A423" t="s">
        <v>36</v>
      </c>
      <c r="B423" t="s">
        <v>37</v>
      </c>
      <c r="C423" t="s">
        <v>38</v>
      </c>
      <c r="D423" t="s">
        <v>47</v>
      </c>
      <c r="E423" t="s">
        <v>289</v>
      </c>
      <c r="F423" t="s">
        <v>290</v>
      </c>
      <c r="G423">
        <v>4</v>
      </c>
      <c r="H423" t="s">
        <v>42</v>
      </c>
      <c r="I423">
        <v>2023</v>
      </c>
      <c r="J423">
        <v>8.5100000000000002E-3</v>
      </c>
      <c r="L423">
        <v>20250315</v>
      </c>
      <c r="M423" t="s">
        <v>43</v>
      </c>
      <c r="O423">
        <f t="shared" si="6"/>
        <v>0</v>
      </c>
    </row>
    <row r="424" spans="1:15" x14ac:dyDescent="0.2">
      <c r="A424" t="s">
        <v>36</v>
      </c>
      <c r="B424" t="s">
        <v>37</v>
      </c>
      <c r="C424" t="s">
        <v>38</v>
      </c>
      <c r="D424" t="s">
        <v>39</v>
      </c>
      <c r="E424" t="s">
        <v>289</v>
      </c>
      <c r="F424" t="s">
        <v>290</v>
      </c>
      <c r="G424">
        <v>4</v>
      </c>
      <c r="H424" t="s">
        <v>42</v>
      </c>
      <c r="I424">
        <v>2023</v>
      </c>
      <c r="J424">
        <v>8.5750000000000007E-2</v>
      </c>
      <c r="L424">
        <v>20250315</v>
      </c>
      <c r="M424" t="s">
        <v>43</v>
      </c>
      <c r="O424">
        <f t="shared" si="6"/>
        <v>0</v>
      </c>
    </row>
    <row r="425" spans="1:15" x14ac:dyDescent="0.2">
      <c r="A425" t="s">
        <v>36</v>
      </c>
      <c r="B425" t="s">
        <v>37</v>
      </c>
      <c r="C425" t="s">
        <v>38</v>
      </c>
      <c r="D425" t="s">
        <v>44</v>
      </c>
      <c r="E425" t="s">
        <v>289</v>
      </c>
      <c r="F425" t="s">
        <v>290</v>
      </c>
      <c r="G425">
        <v>4</v>
      </c>
      <c r="H425" t="s">
        <v>42</v>
      </c>
      <c r="I425">
        <v>2023</v>
      </c>
      <c r="J425">
        <v>-2064.0219999999999</v>
      </c>
      <c r="L425">
        <v>20250315</v>
      </c>
      <c r="M425" t="s">
        <v>43</v>
      </c>
      <c r="O425">
        <f t="shared" si="6"/>
        <v>0</v>
      </c>
    </row>
    <row r="426" spans="1:15" x14ac:dyDescent="0.2">
      <c r="A426" t="s">
        <v>36</v>
      </c>
      <c r="B426" t="s">
        <v>37</v>
      </c>
      <c r="C426" t="s">
        <v>38</v>
      </c>
      <c r="D426" t="s">
        <v>45</v>
      </c>
      <c r="E426" t="s">
        <v>289</v>
      </c>
      <c r="F426" t="s">
        <v>290</v>
      </c>
      <c r="G426">
        <v>4</v>
      </c>
      <c r="H426" t="s">
        <v>46</v>
      </c>
      <c r="I426">
        <v>2023</v>
      </c>
      <c r="J426">
        <v>-2059.3650899999998</v>
      </c>
      <c r="L426">
        <v>20250315</v>
      </c>
      <c r="M426" t="s">
        <v>43</v>
      </c>
      <c r="O426">
        <f t="shared" si="6"/>
        <v>0</v>
      </c>
    </row>
    <row r="427" spans="1:15" x14ac:dyDescent="0.2">
      <c r="A427" t="s">
        <v>36</v>
      </c>
      <c r="B427" t="s">
        <v>37</v>
      </c>
      <c r="C427" t="s">
        <v>38</v>
      </c>
      <c r="D427" t="s">
        <v>47</v>
      </c>
      <c r="E427" t="s">
        <v>291</v>
      </c>
      <c r="F427" t="s">
        <v>292</v>
      </c>
      <c r="G427" t="s">
        <v>289</v>
      </c>
      <c r="H427" t="s">
        <v>42</v>
      </c>
      <c r="I427">
        <v>2023</v>
      </c>
      <c r="J427">
        <v>4.8399999999999997E-3</v>
      </c>
      <c r="L427">
        <v>20250315</v>
      </c>
      <c r="M427" t="s">
        <v>43</v>
      </c>
      <c r="O427">
        <f t="shared" si="6"/>
        <v>0</v>
      </c>
    </row>
    <row r="428" spans="1:15" x14ac:dyDescent="0.2">
      <c r="A428" t="s">
        <v>36</v>
      </c>
      <c r="B428" t="s">
        <v>37</v>
      </c>
      <c r="C428" t="s">
        <v>38</v>
      </c>
      <c r="D428" t="s">
        <v>44</v>
      </c>
      <c r="E428" t="s">
        <v>291</v>
      </c>
      <c r="F428" t="s">
        <v>292</v>
      </c>
      <c r="G428" t="s">
        <v>289</v>
      </c>
      <c r="H428" t="s">
        <v>42</v>
      </c>
      <c r="I428">
        <v>2023</v>
      </c>
      <c r="J428">
        <v>-1360.6302800000001</v>
      </c>
      <c r="L428">
        <v>20250315</v>
      </c>
      <c r="M428" t="s">
        <v>43</v>
      </c>
      <c r="O428">
        <f t="shared" si="6"/>
        <v>0</v>
      </c>
    </row>
    <row r="429" spans="1:15" x14ac:dyDescent="0.2">
      <c r="A429" t="s">
        <v>36</v>
      </c>
      <c r="B429" t="s">
        <v>37</v>
      </c>
      <c r="C429" t="s">
        <v>38</v>
      </c>
      <c r="D429" t="s">
        <v>39</v>
      </c>
      <c r="E429" t="s">
        <v>291</v>
      </c>
      <c r="F429" t="s">
        <v>292</v>
      </c>
      <c r="G429" t="s">
        <v>289</v>
      </c>
      <c r="H429" t="s">
        <v>42</v>
      </c>
      <c r="I429">
        <v>2023</v>
      </c>
      <c r="J429">
        <v>8.5750000000000007E-2</v>
      </c>
      <c r="L429">
        <v>20250315</v>
      </c>
      <c r="M429" t="s">
        <v>43</v>
      </c>
      <c r="O429">
        <f t="shared" si="6"/>
        <v>0</v>
      </c>
    </row>
    <row r="430" spans="1:15" x14ac:dyDescent="0.2">
      <c r="A430" t="s">
        <v>36</v>
      </c>
      <c r="B430" t="s">
        <v>37</v>
      </c>
      <c r="C430" t="s">
        <v>38</v>
      </c>
      <c r="D430" t="s">
        <v>45</v>
      </c>
      <c r="E430" t="s">
        <v>291</v>
      </c>
      <c r="F430" t="s">
        <v>292</v>
      </c>
      <c r="G430" t="s">
        <v>289</v>
      </c>
      <c r="H430" t="s">
        <v>46</v>
      </c>
      <c r="I430">
        <v>2023</v>
      </c>
      <c r="J430">
        <v>-1356.94596</v>
      </c>
      <c r="L430">
        <v>20250315</v>
      </c>
      <c r="M430" t="s">
        <v>43</v>
      </c>
      <c r="O430">
        <f t="shared" si="6"/>
        <v>0</v>
      </c>
    </row>
    <row r="431" spans="1:15" x14ac:dyDescent="0.2">
      <c r="A431" t="s">
        <v>36</v>
      </c>
      <c r="B431" t="s">
        <v>37</v>
      </c>
      <c r="C431" t="s">
        <v>38</v>
      </c>
      <c r="D431" t="s">
        <v>45</v>
      </c>
      <c r="E431" t="s">
        <v>293</v>
      </c>
      <c r="F431" t="s">
        <v>294</v>
      </c>
      <c r="G431" t="s">
        <v>289</v>
      </c>
      <c r="H431" t="s">
        <v>46</v>
      </c>
      <c r="I431">
        <v>2023</v>
      </c>
      <c r="J431">
        <v>-702.41913</v>
      </c>
      <c r="L431">
        <v>20250315</v>
      </c>
      <c r="M431" t="s">
        <v>43</v>
      </c>
      <c r="O431">
        <f t="shared" si="6"/>
        <v>0</v>
      </c>
    </row>
    <row r="432" spans="1:15" x14ac:dyDescent="0.2">
      <c r="A432" t="s">
        <v>36</v>
      </c>
      <c r="B432" t="s">
        <v>37</v>
      </c>
      <c r="C432" t="s">
        <v>38</v>
      </c>
      <c r="D432" t="s">
        <v>39</v>
      </c>
      <c r="E432" t="s">
        <v>293</v>
      </c>
      <c r="F432" t="s">
        <v>294</v>
      </c>
      <c r="G432" t="s">
        <v>289</v>
      </c>
      <c r="H432" t="s">
        <v>42</v>
      </c>
      <c r="I432">
        <v>2023</v>
      </c>
      <c r="K432" t="s">
        <v>111</v>
      </c>
      <c r="L432">
        <v>20250315</v>
      </c>
      <c r="M432" t="s">
        <v>43</v>
      </c>
      <c r="O432">
        <f t="shared" si="6"/>
        <v>0</v>
      </c>
    </row>
    <row r="433" spans="1:15" x14ac:dyDescent="0.2">
      <c r="A433" t="s">
        <v>36</v>
      </c>
      <c r="B433" t="s">
        <v>37</v>
      </c>
      <c r="C433" t="s">
        <v>38</v>
      </c>
      <c r="D433" t="s">
        <v>47</v>
      </c>
      <c r="E433" t="s">
        <v>293</v>
      </c>
      <c r="F433" t="s">
        <v>294</v>
      </c>
      <c r="G433" t="s">
        <v>289</v>
      </c>
      <c r="H433" t="s">
        <v>42</v>
      </c>
      <c r="I433">
        <v>2023</v>
      </c>
      <c r="J433">
        <v>3.6700000000000001E-3</v>
      </c>
      <c r="L433">
        <v>20250315</v>
      </c>
      <c r="M433" t="s">
        <v>43</v>
      </c>
      <c r="O433">
        <f t="shared" si="6"/>
        <v>0</v>
      </c>
    </row>
    <row r="434" spans="1:15" x14ac:dyDescent="0.2">
      <c r="A434" t="s">
        <v>36</v>
      </c>
      <c r="B434" t="s">
        <v>37</v>
      </c>
      <c r="C434" t="s">
        <v>38</v>
      </c>
      <c r="D434" t="s">
        <v>44</v>
      </c>
      <c r="E434" t="s">
        <v>293</v>
      </c>
      <c r="F434" t="s">
        <v>294</v>
      </c>
      <c r="G434" t="s">
        <v>289</v>
      </c>
      <c r="H434" t="s">
        <v>42</v>
      </c>
      <c r="I434">
        <v>2023</v>
      </c>
      <c r="J434">
        <v>-703.39170999999999</v>
      </c>
      <c r="L434">
        <v>20250315</v>
      </c>
      <c r="M434" t="s">
        <v>43</v>
      </c>
      <c r="O434">
        <f t="shared" si="6"/>
        <v>0</v>
      </c>
    </row>
    <row r="435" spans="1:15" x14ac:dyDescent="0.2">
      <c r="A435" t="s">
        <v>36</v>
      </c>
      <c r="B435" t="s">
        <v>37</v>
      </c>
      <c r="C435" t="s">
        <v>38</v>
      </c>
      <c r="D435" t="s">
        <v>39</v>
      </c>
      <c r="E435" t="s">
        <v>295</v>
      </c>
      <c r="F435" t="s">
        <v>296</v>
      </c>
      <c r="G435">
        <v>4</v>
      </c>
      <c r="H435" t="s">
        <v>42</v>
      </c>
      <c r="I435">
        <v>2023</v>
      </c>
      <c r="J435">
        <v>0.44946999999999998</v>
      </c>
      <c r="L435">
        <v>20250315</v>
      </c>
      <c r="M435" t="s">
        <v>43</v>
      </c>
      <c r="O435">
        <f t="shared" si="6"/>
        <v>0</v>
      </c>
    </row>
    <row r="436" spans="1:15" x14ac:dyDescent="0.2">
      <c r="A436" t="s">
        <v>36</v>
      </c>
      <c r="B436" t="s">
        <v>37</v>
      </c>
      <c r="C436" t="s">
        <v>38</v>
      </c>
      <c r="D436" t="s">
        <v>44</v>
      </c>
      <c r="E436" t="s">
        <v>295</v>
      </c>
      <c r="F436" t="s">
        <v>296</v>
      </c>
      <c r="G436">
        <v>4</v>
      </c>
      <c r="H436" t="s">
        <v>42</v>
      </c>
      <c r="I436">
        <v>2023</v>
      </c>
      <c r="J436">
        <v>2388.0982100000001</v>
      </c>
      <c r="L436">
        <v>20250315</v>
      </c>
      <c r="M436" t="s">
        <v>43</v>
      </c>
      <c r="O436">
        <f t="shared" si="6"/>
        <v>0</v>
      </c>
    </row>
    <row r="437" spans="1:15" x14ac:dyDescent="0.2">
      <c r="A437" t="s">
        <v>36</v>
      </c>
      <c r="B437" t="s">
        <v>37</v>
      </c>
      <c r="C437" t="s">
        <v>38</v>
      </c>
      <c r="D437" t="s">
        <v>47</v>
      </c>
      <c r="E437" t="s">
        <v>295</v>
      </c>
      <c r="F437" t="s">
        <v>296</v>
      </c>
      <c r="G437">
        <v>4</v>
      </c>
      <c r="H437" t="s">
        <v>42</v>
      </c>
      <c r="I437">
        <v>2023</v>
      </c>
      <c r="J437">
        <v>0.25301000000000001</v>
      </c>
      <c r="L437">
        <v>20250315</v>
      </c>
      <c r="M437" t="s">
        <v>43</v>
      </c>
      <c r="O437">
        <f t="shared" si="6"/>
        <v>0</v>
      </c>
    </row>
    <row r="438" spans="1:15" x14ac:dyDescent="0.2">
      <c r="A438" t="s">
        <v>36</v>
      </c>
      <c r="B438" t="s">
        <v>37</v>
      </c>
      <c r="C438" t="s">
        <v>38</v>
      </c>
      <c r="D438" t="s">
        <v>45</v>
      </c>
      <c r="E438" t="s">
        <v>295</v>
      </c>
      <c r="F438" t="s">
        <v>296</v>
      </c>
      <c r="G438">
        <v>4</v>
      </c>
      <c r="H438" t="s">
        <v>46</v>
      </c>
      <c r="I438">
        <v>2023</v>
      </c>
      <c r="J438">
        <v>2467.7300700000001</v>
      </c>
      <c r="L438">
        <v>20250315</v>
      </c>
      <c r="M438" t="s">
        <v>43</v>
      </c>
      <c r="O438">
        <f t="shared" si="6"/>
        <v>0</v>
      </c>
    </row>
    <row r="439" spans="1:15" x14ac:dyDescent="0.2">
      <c r="A439" t="s">
        <v>36</v>
      </c>
      <c r="B439" t="s">
        <v>37</v>
      </c>
      <c r="C439" t="s">
        <v>38</v>
      </c>
      <c r="D439" t="s">
        <v>45</v>
      </c>
      <c r="E439" t="s">
        <v>297</v>
      </c>
      <c r="F439" t="s">
        <v>298</v>
      </c>
      <c r="G439" t="s">
        <v>295</v>
      </c>
      <c r="H439" t="s">
        <v>46</v>
      </c>
      <c r="I439">
        <v>2023</v>
      </c>
      <c r="J439">
        <v>812.37879999999996</v>
      </c>
      <c r="L439">
        <v>20250315</v>
      </c>
      <c r="M439" t="s">
        <v>43</v>
      </c>
      <c r="O439">
        <f t="shared" si="6"/>
        <v>0</v>
      </c>
    </row>
    <row r="440" spans="1:15" x14ac:dyDescent="0.2">
      <c r="A440" t="s">
        <v>36</v>
      </c>
      <c r="B440" t="s">
        <v>37</v>
      </c>
      <c r="C440" t="s">
        <v>38</v>
      </c>
      <c r="D440" t="s">
        <v>47</v>
      </c>
      <c r="E440" t="s">
        <v>297</v>
      </c>
      <c r="F440" t="s">
        <v>298</v>
      </c>
      <c r="G440" t="s">
        <v>295</v>
      </c>
      <c r="H440" t="s">
        <v>42</v>
      </c>
      <c r="I440">
        <v>2023</v>
      </c>
      <c r="K440" t="s">
        <v>111</v>
      </c>
      <c r="L440">
        <v>20250315</v>
      </c>
      <c r="M440" t="s">
        <v>43</v>
      </c>
      <c r="O440">
        <f t="shared" si="6"/>
        <v>0</v>
      </c>
    </row>
    <row r="441" spans="1:15" x14ac:dyDescent="0.2">
      <c r="A441" t="s">
        <v>36</v>
      </c>
      <c r="B441" t="s">
        <v>37</v>
      </c>
      <c r="C441" t="s">
        <v>38</v>
      </c>
      <c r="D441" t="s">
        <v>39</v>
      </c>
      <c r="E441" t="s">
        <v>297</v>
      </c>
      <c r="F441" t="s">
        <v>298</v>
      </c>
      <c r="G441" t="s">
        <v>295</v>
      </c>
      <c r="H441" t="s">
        <v>42</v>
      </c>
      <c r="I441">
        <v>2023</v>
      </c>
      <c r="J441">
        <v>0.44946999999999998</v>
      </c>
      <c r="L441">
        <v>20250315</v>
      </c>
      <c r="M441" t="s">
        <v>43</v>
      </c>
      <c r="O441">
        <f t="shared" si="6"/>
        <v>0</v>
      </c>
    </row>
    <row r="442" spans="1:15" x14ac:dyDescent="0.2">
      <c r="A442" t="s">
        <v>36</v>
      </c>
      <c r="B442" t="s">
        <v>37</v>
      </c>
      <c r="C442" t="s">
        <v>38</v>
      </c>
      <c r="D442" t="s">
        <v>44</v>
      </c>
      <c r="E442" t="s">
        <v>297</v>
      </c>
      <c r="F442" t="s">
        <v>298</v>
      </c>
      <c r="G442" t="s">
        <v>295</v>
      </c>
      <c r="H442" t="s">
        <v>42</v>
      </c>
      <c r="I442">
        <v>2023</v>
      </c>
      <c r="J442">
        <v>799.79367999999999</v>
      </c>
      <c r="L442">
        <v>20250315</v>
      </c>
      <c r="M442" t="s">
        <v>43</v>
      </c>
      <c r="O442">
        <f t="shared" si="6"/>
        <v>0</v>
      </c>
    </row>
    <row r="443" spans="1:15" x14ac:dyDescent="0.2">
      <c r="A443" t="s">
        <v>36</v>
      </c>
      <c r="B443" t="s">
        <v>37</v>
      </c>
      <c r="C443" t="s">
        <v>38</v>
      </c>
      <c r="D443" t="s">
        <v>47</v>
      </c>
      <c r="E443" t="s">
        <v>299</v>
      </c>
      <c r="F443" t="s">
        <v>300</v>
      </c>
      <c r="G443" t="s">
        <v>295</v>
      </c>
      <c r="H443" t="s">
        <v>42</v>
      </c>
      <c r="I443">
        <v>2023</v>
      </c>
      <c r="J443">
        <v>0.25301000000000001</v>
      </c>
      <c r="L443">
        <v>20250315</v>
      </c>
      <c r="M443" t="s">
        <v>43</v>
      </c>
      <c r="O443">
        <f t="shared" si="6"/>
        <v>0</v>
      </c>
    </row>
    <row r="444" spans="1:15" x14ac:dyDescent="0.2">
      <c r="A444" t="s">
        <v>36</v>
      </c>
      <c r="B444" t="s">
        <v>37</v>
      </c>
      <c r="C444" t="s">
        <v>38</v>
      </c>
      <c r="D444" t="s">
        <v>39</v>
      </c>
      <c r="E444" t="s">
        <v>299</v>
      </c>
      <c r="F444" t="s">
        <v>300</v>
      </c>
      <c r="G444" t="s">
        <v>295</v>
      </c>
      <c r="H444" t="s">
        <v>42</v>
      </c>
      <c r="I444">
        <v>2023</v>
      </c>
      <c r="K444" t="s">
        <v>301</v>
      </c>
      <c r="L444">
        <v>20250315</v>
      </c>
      <c r="M444" t="s">
        <v>43</v>
      </c>
      <c r="O444">
        <f t="shared" si="6"/>
        <v>0</v>
      </c>
    </row>
    <row r="445" spans="1:15" x14ac:dyDescent="0.2">
      <c r="A445" t="s">
        <v>36</v>
      </c>
      <c r="B445" t="s">
        <v>37</v>
      </c>
      <c r="C445" t="s">
        <v>38</v>
      </c>
      <c r="D445" t="s">
        <v>45</v>
      </c>
      <c r="E445" t="s">
        <v>299</v>
      </c>
      <c r="F445" t="s">
        <v>300</v>
      </c>
      <c r="G445" t="s">
        <v>295</v>
      </c>
      <c r="H445" t="s">
        <v>46</v>
      </c>
      <c r="I445">
        <v>2023</v>
      </c>
      <c r="J445">
        <v>1655.3512800000001</v>
      </c>
      <c r="L445">
        <v>20250315</v>
      </c>
      <c r="M445" t="s">
        <v>43</v>
      </c>
      <c r="O445">
        <f t="shared" si="6"/>
        <v>0</v>
      </c>
    </row>
    <row r="446" spans="1:15" x14ac:dyDescent="0.2">
      <c r="A446" t="s">
        <v>36</v>
      </c>
      <c r="B446" t="s">
        <v>37</v>
      </c>
      <c r="C446" t="s">
        <v>38</v>
      </c>
      <c r="D446" t="s">
        <v>44</v>
      </c>
      <c r="E446" t="s">
        <v>299</v>
      </c>
      <c r="F446" t="s">
        <v>300</v>
      </c>
      <c r="G446" t="s">
        <v>295</v>
      </c>
      <c r="H446" t="s">
        <v>42</v>
      </c>
      <c r="I446">
        <v>2023</v>
      </c>
      <c r="J446">
        <v>1588.3045300000001</v>
      </c>
      <c r="L446">
        <v>20250315</v>
      </c>
      <c r="M446" t="s">
        <v>43</v>
      </c>
      <c r="O446">
        <f t="shared" si="6"/>
        <v>0</v>
      </c>
    </row>
    <row r="447" spans="1:15" x14ac:dyDescent="0.2">
      <c r="A447" t="s">
        <v>36</v>
      </c>
      <c r="B447" t="s">
        <v>37</v>
      </c>
      <c r="C447" t="s">
        <v>38</v>
      </c>
      <c r="D447" t="s">
        <v>39</v>
      </c>
      <c r="E447" t="s">
        <v>302</v>
      </c>
      <c r="F447" t="s">
        <v>303</v>
      </c>
      <c r="G447">
        <v>4</v>
      </c>
      <c r="H447" t="s">
        <v>42</v>
      </c>
      <c r="I447">
        <v>2023</v>
      </c>
      <c r="J447">
        <v>8.0878300000000003</v>
      </c>
      <c r="L447">
        <v>20250315</v>
      </c>
      <c r="M447" t="s">
        <v>43</v>
      </c>
      <c r="O447">
        <f t="shared" si="6"/>
        <v>0</v>
      </c>
    </row>
    <row r="448" spans="1:15" x14ac:dyDescent="0.2">
      <c r="A448" t="s">
        <v>36</v>
      </c>
      <c r="B448" t="s">
        <v>37</v>
      </c>
      <c r="C448" t="s">
        <v>38</v>
      </c>
      <c r="D448" t="s">
        <v>44</v>
      </c>
      <c r="E448" t="s">
        <v>302</v>
      </c>
      <c r="F448" t="s">
        <v>303</v>
      </c>
      <c r="G448">
        <v>4</v>
      </c>
      <c r="H448" t="s">
        <v>42</v>
      </c>
      <c r="I448">
        <v>2023</v>
      </c>
      <c r="J448">
        <v>1329.0453399999999</v>
      </c>
      <c r="L448">
        <v>20250315</v>
      </c>
      <c r="M448" t="s">
        <v>43</v>
      </c>
      <c r="O448">
        <f t="shared" si="6"/>
        <v>0</v>
      </c>
    </row>
    <row r="449" spans="1:15" x14ac:dyDescent="0.2">
      <c r="A449" t="s">
        <v>36</v>
      </c>
      <c r="B449" t="s">
        <v>37</v>
      </c>
      <c r="C449" t="s">
        <v>38</v>
      </c>
      <c r="D449" t="s">
        <v>45</v>
      </c>
      <c r="E449" t="s">
        <v>302</v>
      </c>
      <c r="F449" t="s">
        <v>303</v>
      </c>
      <c r="G449">
        <v>4</v>
      </c>
      <c r="H449" t="s">
        <v>46</v>
      </c>
      <c r="I449">
        <v>2023</v>
      </c>
      <c r="J449">
        <v>1556.0348899999999</v>
      </c>
      <c r="L449">
        <v>20250315</v>
      </c>
      <c r="M449" t="s">
        <v>43</v>
      </c>
      <c r="O449">
        <f t="shared" si="6"/>
        <v>0</v>
      </c>
    </row>
    <row r="450" spans="1:15" x14ac:dyDescent="0.2">
      <c r="A450" t="s">
        <v>36</v>
      </c>
      <c r="B450" t="s">
        <v>37</v>
      </c>
      <c r="C450" t="s">
        <v>38</v>
      </c>
      <c r="D450" t="s">
        <v>47</v>
      </c>
      <c r="E450" t="s">
        <v>302</v>
      </c>
      <c r="F450" t="s">
        <v>303</v>
      </c>
      <c r="G450">
        <v>4</v>
      </c>
      <c r="H450" t="s">
        <v>42</v>
      </c>
      <c r="I450">
        <v>2023</v>
      </c>
      <c r="J450">
        <v>2E-3</v>
      </c>
      <c r="L450">
        <v>20250315</v>
      </c>
      <c r="M450" t="s">
        <v>43</v>
      </c>
      <c r="O450">
        <f t="shared" si="6"/>
        <v>0</v>
      </c>
    </row>
    <row r="451" spans="1:15" x14ac:dyDescent="0.2">
      <c r="A451" t="s">
        <v>36</v>
      </c>
      <c r="B451" t="s">
        <v>37</v>
      </c>
      <c r="C451" t="s">
        <v>38</v>
      </c>
      <c r="D451" t="s">
        <v>47</v>
      </c>
      <c r="E451" t="s">
        <v>304</v>
      </c>
      <c r="F451" t="s">
        <v>305</v>
      </c>
      <c r="G451" t="s">
        <v>302</v>
      </c>
      <c r="H451" t="s">
        <v>42</v>
      </c>
      <c r="I451">
        <v>2023</v>
      </c>
      <c r="J451">
        <v>1E-3</v>
      </c>
      <c r="L451">
        <v>20250315</v>
      </c>
      <c r="M451" t="s">
        <v>43</v>
      </c>
      <c r="O451">
        <f t="shared" ref="O451:O514" si="7">IF(OR(G451=2,G451=3,G451=5,G451=6),1,0)</f>
        <v>0</v>
      </c>
    </row>
    <row r="452" spans="1:15" x14ac:dyDescent="0.2">
      <c r="A452" t="s">
        <v>36</v>
      </c>
      <c r="B452" t="s">
        <v>37</v>
      </c>
      <c r="C452" t="s">
        <v>38</v>
      </c>
      <c r="D452" t="s">
        <v>45</v>
      </c>
      <c r="E452" t="s">
        <v>304</v>
      </c>
      <c r="F452" t="s">
        <v>305</v>
      </c>
      <c r="G452" t="s">
        <v>302</v>
      </c>
      <c r="H452" t="s">
        <v>46</v>
      </c>
      <c r="I452">
        <v>2023</v>
      </c>
      <c r="J452">
        <v>2409.5177699999999</v>
      </c>
      <c r="L452">
        <v>20250315</v>
      </c>
      <c r="M452" t="s">
        <v>43</v>
      </c>
      <c r="O452">
        <f t="shared" si="7"/>
        <v>0</v>
      </c>
    </row>
    <row r="453" spans="1:15" x14ac:dyDescent="0.2">
      <c r="A453" t="s">
        <v>36</v>
      </c>
      <c r="B453" t="s">
        <v>37</v>
      </c>
      <c r="C453" t="s">
        <v>38</v>
      </c>
      <c r="D453" t="s">
        <v>39</v>
      </c>
      <c r="E453" t="s">
        <v>304</v>
      </c>
      <c r="F453" t="s">
        <v>305</v>
      </c>
      <c r="G453" t="s">
        <v>302</v>
      </c>
      <c r="H453" t="s">
        <v>42</v>
      </c>
      <c r="I453">
        <v>2023</v>
      </c>
      <c r="J453">
        <v>8.0878300000000003</v>
      </c>
      <c r="L453">
        <v>20250315</v>
      </c>
      <c r="M453" t="s">
        <v>43</v>
      </c>
      <c r="O453">
        <f t="shared" si="7"/>
        <v>0</v>
      </c>
    </row>
    <row r="454" spans="1:15" x14ac:dyDescent="0.2">
      <c r="A454" t="s">
        <v>36</v>
      </c>
      <c r="B454" t="s">
        <v>37</v>
      </c>
      <c r="C454" t="s">
        <v>38</v>
      </c>
      <c r="D454" t="s">
        <v>44</v>
      </c>
      <c r="E454" t="s">
        <v>304</v>
      </c>
      <c r="F454" t="s">
        <v>305</v>
      </c>
      <c r="G454" t="s">
        <v>302</v>
      </c>
      <c r="H454" t="s">
        <v>42</v>
      </c>
      <c r="I454">
        <v>2023</v>
      </c>
      <c r="J454">
        <v>2182.7946299999999</v>
      </c>
      <c r="L454">
        <v>20250315</v>
      </c>
      <c r="M454" t="s">
        <v>43</v>
      </c>
      <c r="O454">
        <f t="shared" si="7"/>
        <v>0</v>
      </c>
    </row>
    <row r="455" spans="1:15" x14ac:dyDescent="0.2">
      <c r="A455" t="s">
        <v>36</v>
      </c>
      <c r="B455" t="s">
        <v>37</v>
      </c>
      <c r="C455" t="s">
        <v>38</v>
      </c>
      <c r="D455" t="s">
        <v>44</v>
      </c>
      <c r="E455" t="s">
        <v>306</v>
      </c>
      <c r="F455" t="s">
        <v>307</v>
      </c>
      <c r="G455" t="s">
        <v>302</v>
      </c>
      <c r="H455" t="s">
        <v>42</v>
      </c>
      <c r="I455">
        <v>2023</v>
      </c>
      <c r="J455">
        <v>-853.74928999999997</v>
      </c>
      <c r="L455">
        <v>20250315</v>
      </c>
      <c r="M455" t="s">
        <v>43</v>
      </c>
      <c r="O455">
        <f t="shared" si="7"/>
        <v>0</v>
      </c>
    </row>
    <row r="456" spans="1:15" x14ac:dyDescent="0.2">
      <c r="A456" t="s">
        <v>36</v>
      </c>
      <c r="B456" t="s">
        <v>37</v>
      </c>
      <c r="C456" t="s">
        <v>38</v>
      </c>
      <c r="D456" t="s">
        <v>45</v>
      </c>
      <c r="E456" t="s">
        <v>306</v>
      </c>
      <c r="F456" t="s">
        <v>307</v>
      </c>
      <c r="G456" t="s">
        <v>302</v>
      </c>
      <c r="H456" t="s">
        <v>46</v>
      </c>
      <c r="I456">
        <v>2023</v>
      </c>
      <c r="J456">
        <v>-853.48288000000002</v>
      </c>
      <c r="L456">
        <v>20250315</v>
      </c>
      <c r="M456" t="s">
        <v>43</v>
      </c>
      <c r="O456">
        <f t="shared" si="7"/>
        <v>0</v>
      </c>
    </row>
    <row r="457" spans="1:15" x14ac:dyDescent="0.2">
      <c r="A457" t="s">
        <v>36</v>
      </c>
      <c r="B457" t="s">
        <v>37</v>
      </c>
      <c r="C457" t="s">
        <v>38</v>
      </c>
      <c r="D457" t="s">
        <v>39</v>
      </c>
      <c r="E457" t="s">
        <v>306</v>
      </c>
      <c r="F457" t="s">
        <v>307</v>
      </c>
      <c r="G457" t="s">
        <v>302</v>
      </c>
      <c r="H457" t="s">
        <v>42</v>
      </c>
      <c r="I457">
        <v>2023</v>
      </c>
      <c r="K457" t="s">
        <v>301</v>
      </c>
      <c r="L457">
        <v>20250315</v>
      </c>
      <c r="M457" t="s">
        <v>43</v>
      </c>
      <c r="O457">
        <f t="shared" si="7"/>
        <v>0</v>
      </c>
    </row>
    <row r="458" spans="1:15" x14ac:dyDescent="0.2">
      <c r="A458" t="s">
        <v>36</v>
      </c>
      <c r="B458" t="s">
        <v>37</v>
      </c>
      <c r="C458" t="s">
        <v>38</v>
      </c>
      <c r="D458" t="s">
        <v>47</v>
      </c>
      <c r="E458" t="s">
        <v>306</v>
      </c>
      <c r="F458" t="s">
        <v>307</v>
      </c>
      <c r="G458" t="s">
        <v>302</v>
      </c>
      <c r="H458" t="s">
        <v>42</v>
      </c>
      <c r="I458">
        <v>2023</v>
      </c>
      <c r="J458">
        <v>1.01E-3</v>
      </c>
      <c r="L458">
        <v>20250315</v>
      </c>
      <c r="M458" t="s">
        <v>43</v>
      </c>
      <c r="O458">
        <f t="shared" si="7"/>
        <v>0</v>
      </c>
    </row>
    <row r="459" spans="1:15" x14ac:dyDescent="0.2">
      <c r="A459" t="s">
        <v>36</v>
      </c>
      <c r="B459" t="s">
        <v>37</v>
      </c>
      <c r="C459" t="s">
        <v>38</v>
      </c>
      <c r="D459" t="s">
        <v>39</v>
      </c>
      <c r="E459" t="s">
        <v>308</v>
      </c>
      <c r="F459" t="s">
        <v>309</v>
      </c>
      <c r="G459">
        <v>4</v>
      </c>
      <c r="H459" t="s">
        <v>42</v>
      </c>
      <c r="I459">
        <v>2023</v>
      </c>
      <c r="J459">
        <v>12.39236</v>
      </c>
      <c r="L459">
        <v>20250315</v>
      </c>
      <c r="M459" t="s">
        <v>43</v>
      </c>
      <c r="O459">
        <f t="shared" si="7"/>
        <v>0</v>
      </c>
    </row>
    <row r="460" spans="1:15" x14ac:dyDescent="0.2">
      <c r="A460" t="s">
        <v>36</v>
      </c>
      <c r="B460" t="s">
        <v>37</v>
      </c>
      <c r="C460" t="s">
        <v>38</v>
      </c>
      <c r="D460" t="s">
        <v>44</v>
      </c>
      <c r="E460" t="s">
        <v>308</v>
      </c>
      <c r="F460" t="s">
        <v>309</v>
      </c>
      <c r="G460">
        <v>4</v>
      </c>
      <c r="H460" t="s">
        <v>42</v>
      </c>
      <c r="I460">
        <v>2023</v>
      </c>
      <c r="J460">
        <v>-23.96856</v>
      </c>
      <c r="L460">
        <v>20250315</v>
      </c>
      <c r="M460" t="s">
        <v>43</v>
      </c>
      <c r="O460">
        <f t="shared" si="7"/>
        <v>0</v>
      </c>
    </row>
    <row r="461" spans="1:15" x14ac:dyDescent="0.2">
      <c r="A461" t="s">
        <v>36</v>
      </c>
      <c r="B461" t="s">
        <v>37</v>
      </c>
      <c r="C461" t="s">
        <v>38</v>
      </c>
      <c r="D461" t="s">
        <v>47</v>
      </c>
      <c r="E461" t="s">
        <v>308</v>
      </c>
      <c r="F461" t="s">
        <v>309</v>
      </c>
      <c r="G461">
        <v>4</v>
      </c>
      <c r="H461" t="s">
        <v>42</v>
      </c>
      <c r="I461">
        <v>2023</v>
      </c>
      <c r="J461">
        <v>5.9500000000000004E-3</v>
      </c>
      <c r="L461">
        <v>20250315</v>
      </c>
      <c r="M461" t="s">
        <v>43</v>
      </c>
      <c r="O461">
        <f t="shared" si="7"/>
        <v>0</v>
      </c>
    </row>
    <row r="462" spans="1:15" x14ac:dyDescent="0.2">
      <c r="A462" t="s">
        <v>36</v>
      </c>
      <c r="B462" t="s">
        <v>37</v>
      </c>
      <c r="C462" t="s">
        <v>38</v>
      </c>
      <c r="D462" t="s">
        <v>45</v>
      </c>
      <c r="E462" t="s">
        <v>308</v>
      </c>
      <c r="F462" t="s">
        <v>309</v>
      </c>
      <c r="G462">
        <v>4</v>
      </c>
      <c r="H462" t="s">
        <v>46</v>
      </c>
      <c r="I462">
        <v>2023</v>
      </c>
      <c r="J462">
        <v>324.59332000000001</v>
      </c>
      <c r="L462">
        <v>20250315</v>
      </c>
      <c r="M462" t="s">
        <v>43</v>
      </c>
      <c r="O462">
        <f t="shared" si="7"/>
        <v>0</v>
      </c>
    </row>
    <row r="463" spans="1:15" x14ac:dyDescent="0.2">
      <c r="A463" t="s">
        <v>36</v>
      </c>
      <c r="B463" t="s">
        <v>37</v>
      </c>
      <c r="C463" t="s">
        <v>38</v>
      </c>
      <c r="D463" t="s">
        <v>39</v>
      </c>
      <c r="E463" t="s">
        <v>310</v>
      </c>
      <c r="F463" t="s">
        <v>311</v>
      </c>
      <c r="G463" t="s">
        <v>308</v>
      </c>
      <c r="H463" t="s">
        <v>42</v>
      </c>
      <c r="I463">
        <v>2023</v>
      </c>
      <c r="J463">
        <v>10.96386</v>
      </c>
      <c r="L463">
        <v>20250315</v>
      </c>
      <c r="M463" t="s">
        <v>43</v>
      </c>
      <c r="O463">
        <f t="shared" si="7"/>
        <v>0</v>
      </c>
    </row>
    <row r="464" spans="1:15" x14ac:dyDescent="0.2">
      <c r="A464" t="s">
        <v>36</v>
      </c>
      <c r="B464" t="s">
        <v>37</v>
      </c>
      <c r="C464" t="s">
        <v>38</v>
      </c>
      <c r="D464" t="s">
        <v>45</v>
      </c>
      <c r="E464" t="s">
        <v>310</v>
      </c>
      <c r="F464" t="s">
        <v>311</v>
      </c>
      <c r="G464" t="s">
        <v>308</v>
      </c>
      <c r="H464" t="s">
        <v>46</v>
      </c>
      <c r="I464">
        <v>2023</v>
      </c>
      <c r="J464">
        <v>306.98811000000001</v>
      </c>
      <c r="L464">
        <v>20250315</v>
      </c>
      <c r="M464" t="s">
        <v>43</v>
      </c>
      <c r="O464">
        <f t="shared" si="7"/>
        <v>0</v>
      </c>
    </row>
    <row r="465" spans="1:15" x14ac:dyDescent="0.2">
      <c r="A465" t="s">
        <v>36</v>
      </c>
      <c r="B465" t="s">
        <v>37</v>
      </c>
      <c r="C465" t="s">
        <v>38</v>
      </c>
      <c r="D465" t="s">
        <v>44</v>
      </c>
      <c r="E465" t="s">
        <v>310</v>
      </c>
      <c r="F465" t="s">
        <v>311</v>
      </c>
      <c r="G465" t="s">
        <v>308</v>
      </c>
      <c r="H465" t="s">
        <v>42</v>
      </c>
      <c r="I465">
        <v>2023</v>
      </c>
      <c r="K465" t="s">
        <v>50</v>
      </c>
      <c r="L465">
        <v>20250315</v>
      </c>
      <c r="M465" t="s">
        <v>43</v>
      </c>
      <c r="O465">
        <f t="shared" si="7"/>
        <v>0</v>
      </c>
    </row>
    <row r="466" spans="1:15" x14ac:dyDescent="0.2">
      <c r="A466" t="s">
        <v>36</v>
      </c>
      <c r="B466" t="s">
        <v>37</v>
      </c>
      <c r="C466" t="s">
        <v>38</v>
      </c>
      <c r="D466" t="s">
        <v>47</v>
      </c>
      <c r="E466" t="s">
        <v>310</v>
      </c>
      <c r="F466" t="s">
        <v>311</v>
      </c>
      <c r="G466" t="s">
        <v>308</v>
      </c>
      <c r="H466" t="s">
        <v>42</v>
      </c>
      <c r="I466">
        <v>2023</v>
      </c>
      <c r="K466" t="s">
        <v>111</v>
      </c>
      <c r="L466">
        <v>20250315</v>
      </c>
      <c r="M466" t="s">
        <v>43</v>
      </c>
      <c r="O466">
        <f t="shared" si="7"/>
        <v>0</v>
      </c>
    </row>
    <row r="467" spans="1:15" x14ac:dyDescent="0.2">
      <c r="A467" t="s">
        <v>36</v>
      </c>
      <c r="B467" t="s">
        <v>37</v>
      </c>
      <c r="C467" t="s">
        <v>38</v>
      </c>
      <c r="D467" t="s">
        <v>39</v>
      </c>
      <c r="E467" t="s">
        <v>312</v>
      </c>
      <c r="F467" t="s">
        <v>313</v>
      </c>
      <c r="G467" t="s">
        <v>308</v>
      </c>
      <c r="H467" t="s">
        <v>42</v>
      </c>
      <c r="I467">
        <v>2023</v>
      </c>
      <c r="J467">
        <v>1.4285000000000001</v>
      </c>
      <c r="L467">
        <v>20250315</v>
      </c>
      <c r="M467" t="s">
        <v>43</v>
      </c>
      <c r="O467">
        <f t="shared" si="7"/>
        <v>0</v>
      </c>
    </row>
    <row r="468" spans="1:15" x14ac:dyDescent="0.2">
      <c r="A468" t="s">
        <v>36</v>
      </c>
      <c r="B468" t="s">
        <v>37</v>
      </c>
      <c r="C468" t="s">
        <v>38</v>
      </c>
      <c r="D468" t="s">
        <v>47</v>
      </c>
      <c r="E468" t="s">
        <v>312</v>
      </c>
      <c r="F468" t="s">
        <v>313</v>
      </c>
      <c r="G468" t="s">
        <v>308</v>
      </c>
      <c r="H468" t="s">
        <v>42</v>
      </c>
      <c r="I468">
        <v>2023</v>
      </c>
      <c r="J468">
        <v>5.9500000000000004E-3</v>
      </c>
      <c r="L468">
        <v>20250315</v>
      </c>
      <c r="M468" t="s">
        <v>43</v>
      </c>
      <c r="O468">
        <f t="shared" si="7"/>
        <v>0</v>
      </c>
    </row>
    <row r="469" spans="1:15" x14ac:dyDescent="0.2">
      <c r="A469" t="s">
        <v>36</v>
      </c>
      <c r="B469" t="s">
        <v>37</v>
      </c>
      <c r="C469" t="s">
        <v>38</v>
      </c>
      <c r="D469" t="s">
        <v>44</v>
      </c>
      <c r="E469" t="s">
        <v>312</v>
      </c>
      <c r="F469" t="s">
        <v>313</v>
      </c>
      <c r="G469" t="s">
        <v>308</v>
      </c>
      <c r="H469" t="s">
        <v>42</v>
      </c>
      <c r="I469">
        <v>2023</v>
      </c>
      <c r="J469">
        <v>-23.96856</v>
      </c>
      <c r="L469">
        <v>20250315</v>
      </c>
      <c r="M469" t="s">
        <v>43</v>
      </c>
      <c r="O469">
        <f t="shared" si="7"/>
        <v>0</v>
      </c>
    </row>
    <row r="470" spans="1:15" x14ac:dyDescent="0.2">
      <c r="A470" t="s">
        <v>36</v>
      </c>
      <c r="B470" t="s">
        <v>37</v>
      </c>
      <c r="C470" t="s">
        <v>38</v>
      </c>
      <c r="D470" t="s">
        <v>45</v>
      </c>
      <c r="E470" t="s">
        <v>312</v>
      </c>
      <c r="F470" t="s">
        <v>313</v>
      </c>
      <c r="G470" t="s">
        <v>308</v>
      </c>
      <c r="H470" t="s">
        <v>46</v>
      </c>
      <c r="I470">
        <v>2023</v>
      </c>
      <c r="J470">
        <v>17.60521</v>
      </c>
      <c r="L470">
        <v>20250315</v>
      </c>
      <c r="M470" t="s">
        <v>43</v>
      </c>
      <c r="O470">
        <f t="shared" si="7"/>
        <v>0</v>
      </c>
    </row>
    <row r="471" spans="1:15" x14ac:dyDescent="0.2">
      <c r="A471" t="s">
        <v>36</v>
      </c>
      <c r="B471" t="s">
        <v>37</v>
      </c>
      <c r="C471" t="s">
        <v>38</v>
      </c>
      <c r="D471" t="s">
        <v>45</v>
      </c>
      <c r="E471" t="s">
        <v>314</v>
      </c>
      <c r="F471" t="s">
        <v>315</v>
      </c>
      <c r="G471">
        <v>4</v>
      </c>
      <c r="H471" t="s">
        <v>46</v>
      </c>
      <c r="I471">
        <v>2023</v>
      </c>
      <c r="J471">
        <v>1155.6694500000001</v>
      </c>
      <c r="L471">
        <v>20250315</v>
      </c>
      <c r="M471" t="s">
        <v>43</v>
      </c>
      <c r="O471">
        <f t="shared" si="7"/>
        <v>0</v>
      </c>
    </row>
    <row r="472" spans="1:15" x14ac:dyDescent="0.2">
      <c r="A472" t="s">
        <v>36</v>
      </c>
      <c r="B472" t="s">
        <v>37</v>
      </c>
      <c r="C472" t="s">
        <v>38</v>
      </c>
      <c r="D472" t="s">
        <v>39</v>
      </c>
      <c r="E472" t="s">
        <v>314</v>
      </c>
      <c r="F472" t="s">
        <v>315</v>
      </c>
      <c r="G472">
        <v>4</v>
      </c>
      <c r="H472" t="s">
        <v>42</v>
      </c>
      <c r="I472">
        <v>2023</v>
      </c>
      <c r="K472" t="s">
        <v>54</v>
      </c>
      <c r="L472">
        <v>20250315</v>
      </c>
      <c r="M472" t="s">
        <v>43</v>
      </c>
      <c r="O472">
        <f t="shared" si="7"/>
        <v>0</v>
      </c>
    </row>
    <row r="473" spans="1:15" x14ac:dyDescent="0.2">
      <c r="A473" t="s">
        <v>36</v>
      </c>
      <c r="B473" t="s">
        <v>37</v>
      </c>
      <c r="C473" t="s">
        <v>38</v>
      </c>
      <c r="D473" t="s">
        <v>47</v>
      </c>
      <c r="E473" t="s">
        <v>314</v>
      </c>
      <c r="F473" t="s">
        <v>315</v>
      </c>
      <c r="G473">
        <v>4</v>
      </c>
      <c r="H473" t="s">
        <v>42</v>
      </c>
      <c r="I473">
        <v>2023</v>
      </c>
      <c r="J473">
        <v>7.1129999999999999E-2</v>
      </c>
      <c r="L473">
        <v>20250315</v>
      </c>
      <c r="M473" t="s">
        <v>43</v>
      </c>
      <c r="O473">
        <f t="shared" si="7"/>
        <v>0</v>
      </c>
    </row>
    <row r="474" spans="1:15" x14ac:dyDescent="0.2">
      <c r="A474" t="s">
        <v>36</v>
      </c>
      <c r="B474" t="s">
        <v>37</v>
      </c>
      <c r="C474" t="s">
        <v>38</v>
      </c>
      <c r="D474" t="s">
        <v>44</v>
      </c>
      <c r="E474" t="s">
        <v>314</v>
      </c>
      <c r="F474" t="s">
        <v>315</v>
      </c>
      <c r="G474">
        <v>4</v>
      </c>
      <c r="H474" t="s">
        <v>42</v>
      </c>
      <c r="I474">
        <v>2023</v>
      </c>
      <c r="J474">
        <v>1136.82024</v>
      </c>
      <c r="L474">
        <v>20250315</v>
      </c>
      <c r="M474" t="s">
        <v>43</v>
      </c>
      <c r="O474">
        <f t="shared" si="7"/>
        <v>0</v>
      </c>
    </row>
    <row r="475" spans="1:15" x14ac:dyDescent="0.2">
      <c r="A475" t="s">
        <v>36</v>
      </c>
      <c r="B475" t="s">
        <v>37</v>
      </c>
      <c r="C475" t="s">
        <v>38</v>
      </c>
      <c r="D475" t="s">
        <v>44</v>
      </c>
      <c r="E475" t="s">
        <v>316</v>
      </c>
      <c r="F475" t="s">
        <v>317</v>
      </c>
      <c r="G475" t="s">
        <v>314</v>
      </c>
      <c r="H475" t="s">
        <v>42</v>
      </c>
      <c r="I475">
        <v>2023</v>
      </c>
      <c r="J475">
        <v>398.55457000000001</v>
      </c>
      <c r="L475">
        <v>20250315</v>
      </c>
      <c r="M475" t="s">
        <v>43</v>
      </c>
      <c r="O475">
        <f t="shared" si="7"/>
        <v>0</v>
      </c>
    </row>
    <row r="476" spans="1:15" x14ac:dyDescent="0.2">
      <c r="A476" t="s">
        <v>36</v>
      </c>
      <c r="B476" t="s">
        <v>37</v>
      </c>
      <c r="C476" t="s">
        <v>38</v>
      </c>
      <c r="D476" t="s">
        <v>47</v>
      </c>
      <c r="E476" t="s">
        <v>316</v>
      </c>
      <c r="F476" t="s">
        <v>317</v>
      </c>
      <c r="G476" t="s">
        <v>314</v>
      </c>
      <c r="H476" t="s">
        <v>42</v>
      </c>
      <c r="I476">
        <v>2023</v>
      </c>
      <c r="K476" t="s">
        <v>54</v>
      </c>
      <c r="L476">
        <v>20250315</v>
      </c>
      <c r="M476" t="s">
        <v>43</v>
      </c>
      <c r="O476">
        <f t="shared" si="7"/>
        <v>0</v>
      </c>
    </row>
    <row r="477" spans="1:15" x14ac:dyDescent="0.2">
      <c r="A477" t="s">
        <v>36</v>
      </c>
      <c r="B477" t="s">
        <v>37</v>
      </c>
      <c r="C477" t="s">
        <v>38</v>
      </c>
      <c r="D477" t="s">
        <v>45</v>
      </c>
      <c r="E477" t="s">
        <v>316</v>
      </c>
      <c r="F477" t="s">
        <v>317</v>
      </c>
      <c r="G477" t="s">
        <v>314</v>
      </c>
      <c r="H477" t="s">
        <v>46</v>
      </c>
      <c r="I477">
        <v>2023</v>
      </c>
      <c r="J477">
        <v>398.55457000000001</v>
      </c>
      <c r="L477">
        <v>20250315</v>
      </c>
      <c r="M477" t="s">
        <v>43</v>
      </c>
      <c r="O477">
        <f t="shared" si="7"/>
        <v>0</v>
      </c>
    </row>
    <row r="478" spans="1:15" x14ac:dyDescent="0.2">
      <c r="A478" t="s">
        <v>36</v>
      </c>
      <c r="B478" t="s">
        <v>37</v>
      </c>
      <c r="C478" t="s">
        <v>38</v>
      </c>
      <c r="D478" t="s">
        <v>39</v>
      </c>
      <c r="E478" t="s">
        <v>316</v>
      </c>
      <c r="F478" t="s">
        <v>317</v>
      </c>
      <c r="G478" t="s">
        <v>314</v>
      </c>
      <c r="H478" t="s">
        <v>42</v>
      </c>
      <c r="I478">
        <v>2023</v>
      </c>
      <c r="K478" t="s">
        <v>54</v>
      </c>
      <c r="L478">
        <v>20250315</v>
      </c>
      <c r="M478" t="s">
        <v>43</v>
      </c>
      <c r="O478">
        <f t="shared" si="7"/>
        <v>0</v>
      </c>
    </row>
    <row r="479" spans="1:15" x14ac:dyDescent="0.2">
      <c r="A479" t="s">
        <v>36</v>
      </c>
      <c r="B479" t="s">
        <v>37</v>
      </c>
      <c r="C479" t="s">
        <v>38</v>
      </c>
      <c r="D479" t="s">
        <v>44</v>
      </c>
      <c r="E479" t="s">
        <v>318</v>
      </c>
      <c r="F479" t="s">
        <v>319</v>
      </c>
      <c r="G479" t="s">
        <v>314</v>
      </c>
      <c r="H479" t="s">
        <v>42</v>
      </c>
      <c r="I479">
        <v>2023</v>
      </c>
      <c r="J479">
        <v>738.26567999999997</v>
      </c>
      <c r="L479">
        <v>20250315</v>
      </c>
      <c r="M479" t="s">
        <v>43</v>
      </c>
      <c r="O479">
        <f t="shared" si="7"/>
        <v>0</v>
      </c>
    </row>
    <row r="480" spans="1:15" x14ac:dyDescent="0.2">
      <c r="A480" t="s">
        <v>36</v>
      </c>
      <c r="B480" t="s">
        <v>37</v>
      </c>
      <c r="C480" t="s">
        <v>38</v>
      </c>
      <c r="D480" t="s">
        <v>47</v>
      </c>
      <c r="E480" t="s">
        <v>318</v>
      </c>
      <c r="F480" t="s">
        <v>319</v>
      </c>
      <c r="G480" t="s">
        <v>314</v>
      </c>
      <c r="H480" t="s">
        <v>42</v>
      </c>
      <c r="I480">
        <v>2023</v>
      </c>
      <c r="J480">
        <v>7.1129999999999999E-2</v>
      </c>
      <c r="L480">
        <v>20250315</v>
      </c>
      <c r="M480" t="s">
        <v>43</v>
      </c>
      <c r="O480">
        <f t="shared" si="7"/>
        <v>0</v>
      </c>
    </row>
    <row r="481" spans="1:15" x14ac:dyDescent="0.2">
      <c r="A481" t="s">
        <v>36</v>
      </c>
      <c r="B481" t="s">
        <v>37</v>
      </c>
      <c r="C481" t="s">
        <v>38</v>
      </c>
      <c r="D481" t="s">
        <v>45</v>
      </c>
      <c r="E481" t="s">
        <v>318</v>
      </c>
      <c r="F481" t="s">
        <v>319</v>
      </c>
      <c r="G481" t="s">
        <v>314</v>
      </c>
      <c r="H481" t="s">
        <v>46</v>
      </c>
      <c r="I481">
        <v>2023</v>
      </c>
      <c r="J481">
        <v>757.11488999999995</v>
      </c>
      <c r="L481">
        <v>20250315</v>
      </c>
      <c r="M481" t="s">
        <v>43</v>
      </c>
      <c r="O481">
        <f t="shared" si="7"/>
        <v>0</v>
      </c>
    </row>
    <row r="482" spans="1:15" x14ac:dyDescent="0.2">
      <c r="A482" t="s">
        <v>36</v>
      </c>
      <c r="B482" t="s">
        <v>37</v>
      </c>
      <c r="C482" t="s">
        <v>38</v>
      </c>
      <c r="D482" t="s">
        <v>39</v>
      </c>
      <c r="E482" t="s">
        <v>318</v>
      </c>
      <c r="F482" t="s">
        <v>319</v>
      </c>
      <c r="G482" t="s">
        <v>314</v>
      </c>
      <c r="H482" t="s">
        <v>42</v>
      </c>
      <c r="I482">
        <v>2023</v>
      </c>
      <c r="K482" t="s">
        <v>54</v>
      </c>
      <c r="L482">
        <v>20250315</v>
      </c>
      <c r="M482" t="s">
        <v>43</v>
      </c>
      <c r="O482">
        <f t="shared" si="7"/>
        <v>0</v>
      </c>
    </row>
    <row r="483" spans="1:15" x14ac:dyDescent="0.2">
      <c r="A483" t="s">
        <v>36</v>
      </c>
      <c r="B483" t="s">
        <v>37</v>
      </c>
      <c r="C483" t="s">
        <v>38</v>
      </c>
      <c r="D483" t="s">
        <v>45</v>
      </c>
      <c r="E483" t="s">
        <v>320</v>
      </c>
      <c r="F483" t="s">
        <v>321</v>
      </c>
      <c r="G483">
        <v>4</v>
      </c>
      <c r="H483" t="s">
        <v>46</v>
      </c>
      <c r="I483">
        <v>2023</v>
      </c>
      <c r="J483">
        <v>235.31220999999999</v>
      </c>
      <c r="L483">
        <v>20250315</v>
      </c>
      <c r="M483" t="s">
        <v>43</v>
      </c>
      <c r="O483">
        <f t="shared" si="7"/>
        <v>0</v>
      </c>
    </row>
    <row r="484" spans="1:15" x14ac:dyDescent="0.2">
      <c r="A484" t="s">
        <v>36</v>
      </c>
      <c r="B484" t="s">
        <v>37</v>
      </c>
      <c r="C484" t="s">
        <v>38</v>
      </c>
      <c r="D484" t="s">
        <v>47</v>
      </c>
      <c r="E484" t="s">
        <v>320</v>
      </c>
      <c r="F484" t="s">
        <v>321</v>
      </c>
      <c r="G484">
        <v>4</v>
      </c>
      <c r="H484" t="s">
        <v>42</v>
      </c>
      <c r="I484">
        <v>2023</v>
      </c>
      <c r="J484">
        <v>4.2340000000000003E-2</v>
      </c>
      <c r="L484">
        <v>20250315</v>
      </c>
      <c r="M484" t="s">
        <v>43</v>
      </c>
      <c r="O484">
        <f t="shared" si="7"/>
        <v>0</v>
      </c>
    </row>
    <row r="485" spans="1:15" x14ac:dyDescent="0.2">
      <c r="A485" t="s">
        <v>36</v>
      </c>
      <c r="B485" t="s">
        <v>37</v>
      </c>
      <c r="C485" t="s">
        <v>38</v>
      </c>
      <c r="D485" t="s">
        <v>44</v>
      </c>
      <c r="E485" t="s">
        <v>320</v>
      </c>
      <c r="F485" t="s">
        <v>321</v>
      </c>
      <c r="G485">
        <v>4</v>
      </c>
      <c r="H485" t="s">
        <v>42</v>
      </c>
      <c r="I485">
        <v>2023</v>
      </c>
      <c r="J485">
        <v>224.09293</v>
      </c>
      <c r="L485">
        <v>20250315</v>
      </c>
      <c r="M485" t="s">
        <v>43</v>
      </c>
      <c r="O485">
        <f t="shared" si="7"/>
        <v>0</v>
      </c>
    </row>
    <row r="486" spans="1:15" x14ac:dyDescent="0.2">
      <c r="A486" t="s">
        <v>36</v>
      </c>
      <c r="B486" t="s">
        <v>37</v>
      </c>
      <c r="C486" t="s">
        <v>38</v>
      </c>
      <c r="D486" t="s">
        <v>39</v>
      </c>
      <c r="E486" t="s">
        <v>320</v>
      </c>
      <c r="F486" t="s">
        <v>321</v>
      </c>
      <c r="G486">
        <v>4</v>
      </c>
      <c r="H486" t="s">
        <v>42</v>
      </c>
      <c r="I486">
        <v>2023</v>
      </c>
      <c r="K486" t="s">
        <v>54</v>
      </c>
      <c r="L486">
        <v>20250315</v>
      </c>
      <c r="M486" t="s">
        <v>43</v>
      </c>
      <c r="O486">
        <f t="shared" si="7"/>
        <v>0</v>
      </c>
    </row>
    <row r="487" spans="1:15" x14ac:dyDescent="0.2">
      <c r="A487" t="s">
        <v>36</v>
      </c>
      <c r="B487" t="s">
        <v>37</v>
      </c>
      <c r="C487" t="s">
        <v>38</v>
      </c>
      <c r="D487" t="s">
        <v>39</v>
      </c>
      <c r="E487" t="s">
        <v>322</v>
      </c>
      <c r="F487" t="s">
        <v>323</v>
      </c>
      <c r="G487" t="s">
        <v>320</v>
      </c>
      <c r="H487" t="s">
        <v>42</v>
      </c>
      <c r="I487">
        <v>2023</v>
      </c>
      <c r="K487" t="s">
        <v>54</v>
      </c>
      <c r="L487">
        <v>20250315</v>
      </c>
      <c r="M487" t="s">
        <v>43</v>
      </c>
      <c r="O487">
        <f t="shared" si="7"/>
        <v>0</v>
      </c>
    </row>
    <row r="488" spans="1:15" x14ac:dyDescent="0.2">
      <c r="A488" t="s">
        <v>36</v>
      </c>
      <c r="B488" t="s">
        <v>37</v>
      </c>
      <c r="C488" t="s">
        <v>38</v>
      </c>
      <c r="D488" t="s">
        <v>47</v>
      </c>
      <c r="E488" t="s">
        <v>322</v>
      </c>
      <c r="F488" t="s">
        <v>323</v>
      </c>
      <c r="G488" t="s">
        <v>320</v>
      </c>
      <c r="H488" t="s">
        <v>42</v>
      </c>
      <c r="I488">
        <v>2023</v>
      </c>
      <c r="J488">
        <v>4.2340000000000003E-2</v>
      </c>
      <c r="L488">
        <v>20250315</v>
      </c>
      <c r="M488" t="s">
        <v>43</v>
      </c>
      <c r="O488">
        <f t="shared" si="7"/>
        <v>0</v>
      </c>
    </row>
    <row r="489" spans="1:15" x14ac:dyDescent="0.2">
      <c r="A489" t="s">
        <v>36</v>
      </c>
      <c r="B489" t="s">
        <v>37</v>
      </c>
      <c r="C489" t="s">
        <v>38</v>
      </c>
      <c r="D489" t="s">
        <v>44</v>
      </c>
      <c r="E489" t="s">
        <v>322</v>
      </c>
      <c r="F489" t="s">
        <v>323</v>
      </c>
      <c r="G489" t="s">
        <v>320</v>
      </c>
      <c r="H489" t="s">
        <v>42</v>
      </c>
      <c r="I489">
        <v>2023</v>
      </c>
      <c r="J489">
        <v>224.09293</v>
      </c>
      <c r="L489">
        <v>20250315</v>
      </c>
      <c r="M489" t="s">
        <v>43</v>
      </c>
      <c r="O489">
        <f t="shared" si="7"/>
        <v>0</v>
      </c>
    </row>
    <row r="490" spans="1:15" x14ac:dyDescent="0.2">
      <c r="A490" t="s">
        <v>36</v>
      </c>
      <c r="B490" t="s">
        <v>37</v>
      </c>
      <c r="C490" t="s">
        <v>38</v>
      </c>
      <c r="D490" t="s">
        <v>45</v>
      </c>
      <c r="E490" t="s">
        <v>322</v>
      </c>
      <c r="F490" t="s">
        <v>323</v>
      </c>
      <c r="G490" t="s">
        <v>320</v>
      </c>
      <c r="H490" t="s">
        <v>46</v>
      </c>
      <c r="I490">
        <v>2023</v>
      </c>
      <c r="J490">
        <v>235.31220999999999</v>
      </c>
      <c r="L490">
        <v>20250315</v>
      </c>
      <c r="M490" t="s">
        <v>43</v>
      </c>
      <c r="O490">
        <f t="shared" si="7"/>
        <v>0</v>
      </c>
    </row>
    <row r="491" spans="1:15" x14ac:dyDescent="0.2">
      <c r="A491" t="s">
        <v>36</v>
      </c>
      <c r="B491" t="s">
        <v>37</v>
      </c>
      <c r="C491" t="s">
        <v>38</v>
      </c>
      <c r="D491" t="s">
        <v>45</v>
      </c>
      <c r="E491" t="s">
        <v>324</v>
      </c>
      <c r="F491" t="s">
        <v>325</v>
      </c>
      <c r="G491">
        <v>4</v>
      </c>
      <c r="H491" t="s">
        <v>46</v>
      </c>
      <c r="I491">
        <v>2023</v>
      </c>
      <c r="J491">
        <v>124.48041000000001</v>
      </c>
      <c r="L491">
        <v>20250315</v>
      </c>
      <c r="M491" t="s">
        <v>43</v>
      </c>
      <c r="O491">
        <f t="shared" si="7"/>
        <v>0</v>
      </c>
    </row>
    <row r="492" spans="1:15" x14ac:dyDescent="0.2">
      <c r="A492" t="s">
        <v>36</v>
      </c>
      <c r="B492" t="s">
        <v>37</v>
      </c>
      <c r="C492" t="s">
        <v>38</v>
      </c>
      <c r="D492" t="s">
        <v>44</v>
      </c>
      <c r="E492" t="s">
        <v>324</v>
      </c>
      <c r="F492" t="s">
        <v>325</v>
      </c>
      <c r="G492">
        <v>4</v>
      </c>
      <c r="H492" t="s">
        <v>42</v>
      </c>
      <c r="I492">
        <v>2023</v>
      </c>
      <c r="J492">
        <v>124.48041000000001</v>
      </c>
      <c r="L492">
        <v>20250315</v>
      </c>
      <c r="M492" t="s">
        <v>43</v>
      </c>
      <c r="O492">
        <f t="shared" si="7"/>
        <v>0</v>
      </c>
    </row>
    <row r="493" spans="1:15" x14ac:dyDescent="0.2">
      <c r="A493" t="s">
        <v>36</v>
      </c>
      <c r="B493" t="s">
        <v>37</v>
      </c>
      <c r="C493" t="s">
        <v>38</v>
      </c>
      <c r="D493" t="s">
        <v>44</v>
      </c>
      <c r="E493" t="s">
        <v>326</v>
      </c>
      <c r="F493" t="s">
        <v>327</v>
      </c>
      <c r="G493">
        <v>4</v>
      </c>
      <c r="H493" t="s">
        <v>42</v>
      </c>
      <c r="I493">
        <v>2023</v>
      </c>
      <c r="K493" t="s">
        <v>104</v>
      </c>
      <c r="L493">
        <v>20250315</v>
      </c>
      <c r="M493" t="s">
        <v>43</v>
      </c>
      <c r="O493">
        <f t="shared" si="7"/>
        <v>0</v>
      </c>
    </row>
    <row r="494" spans="1:15" x14ac:dyDescent="0.2">
      <c r="A494" t="s">
        <v>36</v>
      </c>
      <c r="B494" t="s">
        <v>37</v>
      </c>
      <c r="C494" t="s">
        <v>38</v>
      </c>
      <c r="D494" t="s">
        <v>47</v>
      </c>
      <c r="E494" t="s">
        <v>326</v>
      </c>
      <c r="F494" t="s">
        <v>327</v>
      </c>
      <c r="G494">
        <v>4</v>
      </c>
      <c r="H494" t="s">
        <v>42</v>
      </c>
      <c r="I494">
        <v>2023</v>
      </c>
      <c r="K494" t="s">
        <v>104</v>
      </c>
      <c r="L494">
        <v>20250315</v>
      </c>
      <c r="M494" t="s">
        <v>43</v>
      </c>
      <c r="O494">
        <f t="shared" si="7"/>
        <v>0</v>
      </c>
    </row>
    <row r="495" spans="1:15" x14ac:dyDescent="0.2">
      <c r="A495" t="s">
        <v>36</v>
      </c>
      <c r="B495" t="s">
        <v>37</v>
      </c>
      <c r="C495" t="s">
        <v>38</v>
      </c>
      <c r="D495" t="s">
        <v>39</v>
      </c>
      <c r="E495" t="s">
        <v>326</v>
      </c>
      <c r="F495" t="s">
        <v>327</v>
      </c>
      <c r="G495">
        <v>4</v>
      </c>
      <c r="H495" t="s">
        <v>42</v>
      </c>
      <c r="I495">
        <v>2023</v>
      </c>
      <c r="K495" t="s">
        <v>104</v>
      </c>
      <c r="L495">
        <v>20250315</v>
      </c>
      <c r="M495" t="s">
        <v>43</v>
      </c>
      <c r="O495">
        <f t="shared" si="7"/>
        <v>0</v>
      </c>
    </row>
    <row r="496" spans="1:15" x14ac:dyDescent="0.2">
      <c r="A496" t="s">
        <v>36</v>
      </c>
      <c r="B496" t="s">
        <v>37</v>
      </c>
      <c r="C496" t="s">
        <v>38</v>
      </c>
      <c r="D496" t="s">
        <v>45</v>
      </c>
      <c r="E496" t="s">
        <v>326</v>
      </c>
      <c r="F496" t="s">
        <v>327</v>
      </c>
      <c r="G496">
        <v>4</v>
      </c>
      <c r="H496" t="s">
        <v>46</v>
      </c>
      <c r="I496">
        <v>2023</v>
      </c>
      <c r="K496" t="s">
        <v>104</v>
      </c>
      <c r="L496">
        <v>20250315</v>
      </c>
      <c r="M496" t="s">
        <v>43</v>
      </c>
      <c r="O496">
        <f t="shared" si="7"/>
        <v>0</v>
      </c>
    </row>
    <row r="497" spans="1:15" x14ac:dyDescent="0.2">
      <c r="A497" t="s">
        <v>36</v>
      </c>
      <c r="B497" t="s">
        <v>37</v>
      </c>
      <c r="C497" t="s">
        <v>38</v>
      </c>
      <c r="D497" t="s">
        <v>39</v>
      </c>
      <c r="E497" t="s">
        <v>328</v>
      </c>
      <c r="F497" t="s">
        <v>329</v>
      </c>
      <c r="G497" t="s">
        <v>289</v>
      </c>
      <c r="H497" t="s">
        <v>42</v>
      </c>
      <c r="I497">
        <v>2023</v>
      </c>
      <c r="J497">
        <v>6.5479999999999997E-2</v>
      </c>
      <c r="L497">
        <v>20250315</v>
      </c>
      <c r="M497" t="s">
        <v>43</v>
      </c>
      <c r="O497">
        <f t="shared" si="7"/>
        <v>0</v>
      </c>
    </row>
    <row r="498" spans="1:15" x14ac:dyDescent="0.2">
      <c r="A498" t="s">
        <v>36</v>
      </c>
      <c r="B498" t="s">
        <v>37</v>
      </c>
      <c r="C498" t="s">
        <v>38</v>
      </c>
      <c r="D498" t="s">
        <v>47</v>
      </c>
      <c r="E498" t="s">
        <v>328</v>
      </c>
      <c r="F498" t="s">
        <v>329</v>
      </c>
      <c r="G498" t="s">
        <v>289</v>
      </c>
      <c r="H498" t="s">
        <v>42</v>
      </c>
      <c r="I498">
        <v>2023</v>
      </c>
      <c r="J498">
        <v>3.7200000000000002E-3</v>
      </c>
      <c r="L498">
        <v>20250315</v>
      </c>
      <c r="M498" t="s">
        <v>43</v>
      </c>
      <c r="O498">
        <f t="shared" si="7"/>
        <v>0</v>
      </c>
    </row>
    <row r="499" spans="1:15" x14ac:dyDescent="0.2">
      <c r="A499" t="s">
        <v>36</v>
      </c>
      <c r="B499" t="s">
        <v>37</v>
      </c>
      <c r="C499" t="s">
        <v>38</v>
      </c>
      <c r="D499" t="s">
        <v>45</v>
      </c>
      <c r="E499" t="s">
        <v>328</v>
      </c>
      <c r="F499" t="s">
        <v>329</v>
      </c>
      <c r="G499" t="s">
        <v>289</v>
      </c>
      <c r="H499" t="s">
        <v>46</v>
      </c>
      <c r="I499">
        <v>2023</v>
      </c>
      <c r="J499">
        <v>2.8195800000000002</v>
      </c>
      <c r="L499">
        <v>20250315</v>
      </c>
      <c r="M499" t="s">
        <v>43</v>
      </c>
      <c r="O499">
        <f t="shared" si="7"/>
        <v>0</v>
      </c>
    </row>
    <row r="500" spans="1:15" x14ac:dyDescent="0.2">
      <c r="A500" t="s">
        <v>36</v>
      </c>
      <c r="B500" t="s">
        <v>37</v>
      </c>
      <c r="C500" t="s">
        <v>38</v>
      </c>
      <c r="D500" t="s">
        <v>44</v>
      </c>
      <c r="E500" t="s">
        <v>328</v>
      </c>
      <c r="F500" t="s">
        <v>329</v>
      </c>
      <c r="G500" t="s">
        <v>289</v>
      </c>
      <c r="H500" t="s">
        <v>42</v>
      </c>
      <c r="I500">
        <v>2023</v>
      </c>
      <c r="K500" t="s">
        <v>50</v>
      </c>
      <c r="L500">
        <v>20250315</v>
      </c>
      <c r="M500" t="s">
        <v>43</v>
      </c>
      <c r="O500">
        <f t="shared" si="7"/>
        <v>0</v>
      </c>
    </row>
    <row r="501" spans="1:15" x14ac:dyDescent="0.2">
      <c r="A501" t="s">
        <v>36</v>
      </c>
      <c r="B501" t="s">
        <v>37</v>
      </c>
      <c r="C501" t="s">
        <v>38</v>
      </c>
      <c r="D501" t="s">
        <v>45</v>
      </c>
      <c r="E501" t="s">
        <v>330</v>
      </c>
      <c r="F501" t="s">
        <v>331</v>
      </c>
      <c r="G501" t="s">
        <v>295</v>
      </c>
      <c r="H501" t="s">
        <v>46</v>
      </c>
      <c r="I501">
        <v>2023</v>
      </c>
      <c r="J501">
        <v>12.58511</v>
      </c>
      <c r="L501">
        <v>20250315</v>
      </c>
      <c r="M501" t="s">
        <v>43</v>
      </c>
      <c r="O501">
        <f t="shared" si="7"/>
        <v>0</v>
      </c>
    </row>
    <row r="502" spans="1:15" x14ac:dyDescent="0.2">
      <c r="A502" t="s">
        <v>36</v>
      </c>
      <c r="B502" t="s">
        <v>37</v>
      </c>
      <c r="C502" t="s">
        <v>38</v>
      </c>
      <c r="D502" t="s">
        <v>44</v>
      </c>
      <c r="E502" t="s">
        <v>330</v>
      </c>
      <c r="F502" t="s">
        <v>331</v>
      </c>
      <c r="G502" t="s">
        <v>295</v>
      </c>
      <c r="H502" t="s">
        <v>42</v>
      </c>
      <c r="I502">
        <v>2023</v>
      </c>
      <c r="K502" t="s">
        <v>332</v>
      </c>
      <c r="L502">
        <v>20250315</v>
      </c>
      <c r="M502" t="s">
        <v>43</v>
      </c>
      <c r="O502">
        <f t="shared" si="7"/>
        <v>0</v>
      </c>
    </row>
    <row r="503" spans="1:15" x14ac:dyDescent="0.2">
      <c r="A503" t="s">
        <v>36</v>
      </c>
      <c r="B503" t="s">
        <v>37</v>
      </c>
      <c r="C503" t="s">
        <v>38</v>
      </c>
      <c r="D503" t="s">
        <v>47</v>
      </c>
      <c r="E503" t="s">
        <v>330</v>
      </c>
      <c r="F503" t="s">
        <v>331</v>
      </c>
      <c r="G503" t="s">
        <v>295</v>
      </c>
      <c r="H503" t="s">
        <v>42</v>
      </c>
      <c r="I503">
        <v>2023</v>
      </c>
      <c r="K503" t="s">
        <v>333</v>
      </c>
      <c r="L503">
        <v>20250315</v>
      </c>
      <c r="M503" t="s">
        <v>43</v>
      </c>
      <c r="O503">
        <f t="shared" si="7"/>
        <v>0</v>
      </c>
    </row>
    <row r="504" spans="1:15" x14ac:dyDescent="0.2">
      <c r="A504" t="s">
        <v>36</v>
      </c>
      <c r="B504" t="s">
        <v>37</v>
      </c>
      <c r="C504" t="s">
        <v>38</v>
      </c>
      <c r="D504" t="s">
        <v>39</v>
      </c>
      <c r="E504" t="s">
        <v>330</v>
      </c>
      <c r="F504" t="s">
        <v>331</v>
      </c>
      <c r="G504" t="s">
        <v>295</v>
      </c>
      <c r="H504" t="s">
        <v>42</v>
      </c>
      <c r="I504">
        <v>2023</v>
      </c>
      <c r="J504">
        <v>0.44946999999999998</v>
      </c>
      <c r="L504">
        <v>20250315</v>
      </c>
      <c r="M504" t="s">
        <v>43</v>
      </c>
      <c r="O504">
        <f t="shared" si="7"/>
        <v>0</v>
      </c>
    </row>
    <row r="505" spans="1:15" x14ac:dyDescent="0.2">
      <c r="A505" t="s">
        <v>36</v>
      </c>
      <c r="B505" t="s">
        <v>37</v>
      </c>
      <c r="C505" t="s">
        <v>38</v>
      </c>
      <c r="D505" t="s">
        <v>45</v>
      </c>
      <c r="E505" t="s">
        <v>334</v>
      </c>
      <c r="F505" t="s">
        <v>335</v>
      </c>
      <c r="G505" t="s">
        <v>302</v>
      </c>
      <c r="H505" t="s">
        <v>46</v>
      </c>
      <c r="I505">
        <v>2023</v>
      </c>
      <c r="J505">
        <v>226.44400999999999</v>
      </c>
      <c r="L505">
        <v>20250315</v>
      </c>
      <c r="M505" t="s">
        <v>43</v>
      </c>
      <c r="O505">
        <f t="shared" si="7"/>
        <v>0</v>
      </c>
    </row>
    <row r="506" spans="1:15" x14ac:dyDescent="0.2">
      <c r="A506" t="s">
        <v>36</v>
      </c>
      <c r="B506" t="s">
        <v>37</v>
      </c>
      <c r="C506" t="s">
        <v>38</v>
      </c>
      <c r="D506" t="s">
        <v>39</v>
      </c>
      <c r="E506" t="s">
        <v>334</v>
      </c>
      <c r="F506" t="s">
        <v>335</v>
      </c>
      <c r="G506" t="s">
        <v>302</v>
      </c>
      <c r="H506" t="s">
        <v>42</v>
      </c>
      <c r="I506">
        <v>2023</v>
      </c>
      <c r="J506">
        <v>8.0872899999999994</v>
      </c>
      <c r="L506">
        <v>20250315</v>
      </c>
      <c r="M506" t="s">
        <v>43</v>
      </c>
      <c r="O506">
        <f t="shared" si="7"/>
        <v>0</v>
      </c>
    </row>
    <row r="507" spans="1:15" x14ac:dyDescent="0.2">
      <c r="A507" t="s">
        <v>36</v>
      </c>
      <c r="B507" t="s">
        <v>37</v>
      </c>
      <c r="C507" t="s">
        <v>38</v>
      </c>
      <c r="D507" t="s">
        <v>47</v>
      </c>
      <c r="E507" t="s">
        <v>334</v>
      </c>
      <c r="F507" t="s">
        <v>335</v>
      </c>
      <c r="G507" t="s">
        <v>302</v>
      </c>
      <c r="H507" t="s">
        <v>42</v>
      </c>
      <c r="I507">
        <v>2023</v>
      </c>
      <c r="K507" t="s">
        <v>333</v>
      </c>
      <c r="L507">
        <v>20250315</v>
      </c>
      <c r="M507" t="s">
        <v>43</v>
      </c>
      <c r="O507">
        <f t="shared" si="7"/>
        <v>0</v>
      </c>
    </row>
    <row r="508" spans="1:15" x14ac:dyDescent="0.2">
      <c r="A508" t="s">
        <v>36</v>
      </c>
      <c r="B508" t="s">
        <v>37</v>
      </c>
      <c r="C508" t="s">
        <v>38</v>
      </c>
      <c r="D508" t="s">
        <v>44</v>
      </c>
      <c r="E508" t="s">
        <v>334</v>
      </c>
      <c r="F508" t="s">
        <v>335</v>
      </c>
      <c r="G508" t="s">
        <v>302</v>
      </c>
      <c r="H508" t="s">
        <v>42</v>
      </c>
      <c r="I508">
        <v>2023</v>
      </c>
      <c r="K508" t="s">
        <v>332</v>
      </c>
      <c r="L508">
        <v>20250315</v>
      </c>
      <c r="M508" t="s">
        <v>43</v>
      </c>
      <c r="O508">
        <f t="shared" si="7"/>
        <v>0</v>
      </c>
    </row>
    <row r="509" spans="1:15" x14ac:dyDescent="0.2">
      <c r="A509" t="s">
        <v>36</v>
      </c>
      <c r="B509" t="s">
        <v>37</v>
      </c>
      <c r="C509" t="s">
        <v>38</v>
      </c>
      <c r="D509" t="s">
        <v>45</v>
      </c>
      <c r="E509" t="s">
        <v>336</v>
      </c>
      <c r="F509" t="s">
        <v>337</v>
      </c>
      <c r="G509" t="s">
        <v>308</v>
      </c>
      <c r="H509" t="s">
        <v>46</v>
      </c>
      <c r="I509">
        <v>2023</v>
      </c>
      <c r="J509">
        <v>346.98604999999998</v>
      </c>
      <c r="L509">
        <v>20250315</v>
      </c>
      <c r="M509" t="s">
        <v>43</v>
      </c>
      <c r="O509">
        <f t="shared" si="7"/>
        <v>0</v>
      </c>
    </row>
    <row r="510" spans="1:15" x14ac:dyDescent="0.2">
      <c r="A510" t="s">
        <v>36</v>
      </c>
      <c r="B510" t="s">
        <v>37</v>
      </c>
      <c r="C510" t="s">
        <v>38</v>
      </c>
      <c r="D510" t="s">
        <v>39</v>
      </c>
      <c r="E510" t="s">
        <v>336</v>
      </c>
      <c r="F510" t="s">
        <v>337</v>
      </c>
      <c r="G510" t="s">
        <v>308</v>
      </c>
      <c r="H510" t="s">
        <v>42</v>
      </c>
      <c r="I510">
        <v>2023</v>
      </c>
      <c r="J510">
        <v>12.39236</v>
      </c>
      <c r="L510">
        <v>20250315</v>
      </c>
      <c r="M510" t="s">
        <v>43</v>
      </c>
      <c r="O510">
        <f t="shared" si="7"/>
        <v>0</v>
      </c>
    </row>
    <row r="511" spans="1:15" x14ac:dyDescent="0.2">
      <c r="A511" t="s">
        <v>36</v>
      </c>
      <c r="B511" t="s">
        <v>37</v>
      </c>
      <c r="C511" t="s">
        <v>38</v>
      </c>
      <c r="D511" t="s">
        <v>44</v>
      </c>
      <c r="E511" t="s">
        <v>336</v>
      </c>
      <c r="F511" t="s">
        <v>337</v>
      </c>
      <c r="G511" t="s">
        <v>308</v>
      </c>
      <c r="H511" t="s">
        <v>42</v>
      </c>
      <c r="I511">
        <v>2023</v>
      </c>
      <c r="K511" t="s">
        <v>54</v>
      </c>
      <c r="L511">
        <v>20250315</v>
      </c>
      <c r="M511" t="s">
        <v>43</v>
      </c>
      <c r="O511">
        <f t="shared" si="7"/>
        <v>0</v>
      </c>
    </row>
    <row r="512" spans="1:15" x14ac:dyDescent="0.2">
      <c r="A512" t="s">
        <v>36</v>
      </c>
      <c r="B512" t="s">
        <v>37</v>
      </c>
      <c r="C512" t="s">
        <v>38</v>
      </c>
      <c r="D512" t="s">
        <v>47</v>
      </c>
      <c r="E512" t="s">
        <v>336</v>
      </c>
      <c r="F512" t="s">
        <v>337</v>
      </c>
      <c r="G512" t="s">
        <v>308</v>
      </c>
      <c r="H512" t="s">
        <v>42</v>
      </c>
      <c r="I512">
        <v>2023</v>
      </c>
      <c r="K512" t="s">
        <v>54</v>
      </c>
      <c r="L512">
        <v>20250315</v>
      </c>
      <c r="M512" t="s">
        <v>43</v>
      </c>
      <c r="O512">
        <f t="shared" si="7"/>
        <v>0</v>
      </c>
    </row>
    <row r="513" spans="1:15" x14ac:dyDescent="0.2">
      <c r="A513" t="s">
        <v>36</v>
      </c>
      <c r="B513" t="s">
        <v>37</v>
      </c>
      <c r="C513" t="s">
        <v>38</v>
      </c>
      <c r="D513" t="s">
        <v>45</v>
      </c>
      <c r="E513" t="s">
        <v>338</v>
      </c>
      <c r="F513" t="s">
        <v>339</v>
      </c>
      <c r="G513" t="s">
        <v>340</v>
      </c>
      <c r="H513" t="s">
        <v>46</v>
      </c>
      <c r="I513">
        <v>2023</v>
      </c>
      <c r="J513">
        <v>11.219290000000001</v>
      </c>
      <c r="L513">
        <v>20250315</v>
      </c>
      <c r="M513" t="s">
        <v>43</v>
      </c>
      <c r="O513">
        <f t="shared" si="7"/>
        <v>0</v>
      </c>
    </row>
    <row r="514" spans="1:15" x14ac:dyDescent="0.2">
      <c r="A514" t="s">
        <v>36</v>
      </c>
      <c r="B514" t="s">
        <v>37</v>
      </c>
      <c r="C514" t="s">
        <v>38</v>
      </c>
      <c r="D514" t="s">
        <v>47</v>
      </c>
      <c r="E514" t="s">
        <v>338</v>
      </c>
      <c r="F514" t="s">
        <v>339</v>
      </c>
      <c r="G514" t="s">
        <v>340</v>
      </c>
      <c r="H514" t="s">
        <v>42</v>
      </c>
      <c r="I514">
        <v>2023</v>
      </c>
      <c r="J514">
        <v>4.2340000000000003E-2</v>
      </c>
      <c r="L514">
        <v>20250315</v>
      </c>
      <c r="M514" t="s">
        <v>43</v>
      </c>
      <c r="O514">
        <f t="shared" si="7"/>
        <v>0</v>
      </c>
    </row>
    <row r="515" spans="1:15" x14ac:dyDescent="0.2">
      <c r="A515" t="s">
        <v>36</v>
      </c>
      <c r="B515" t="s">
        <v>37</v>
      </c>
      <c r="C515" t="s">
        <v>38</v>
      </c>
      <c r="D515" t="s">
        <v>47</v>
      </c>
      <c r="E515" t="s">
        <v>341</v>
      </c>
      <c r="F515" t="s">
        <v>342</v>
      </c>
      <c r="G515" t="s">
        <v>314</v>
      </c>
      <c r="H515" t="s">
        <v>42</v>
      </c>
      <c r="I515">
        <v>2023</v>
      </c>
      <c r="K515" t="s">
        <v>54</v>
      </c>
      <c r="L515">
        <v>20250315</v>
      </c>
      <c r="M515" t="s">
        <v>43</v>
      </c>
      <c r="O515">
        <f t="shared" ref="O515:O578" si="8">IF(OR(G515=2,G515=3,G515=5,G515=6),1,0)</f>
        <v>0</v>
      </c>
    </row>
    <row r="516" spans="1:15" x14ac:dyDescent="0.2">
      <c r="A516" t="s">
        <v>36</v>
      </c>
      <c r="B516" t="s">
        <v>37</v>
      </c>
      <c r="C516" t="s">
        <v>38</v>
      </c>
      <c r="D516" t="s">
        <v>39</v>
      </c>
      <c r="E516" t="s">
        <v>341</v>
      </c>
      <c r="F516" t="s">
        <v>342</v>
      </c>
      <c r="G516" t="s">
        <v>314</v>
      </c>
      <c r="H516" t="s">
        <v>42</v>
      </c>
      <c r="I516">
        <v>2023</v>
      </c>
      <c r="K516" t="s">
        <v>54</v>
      </c>
      <c r="L516">
        <v>20250315</v>
      </c>
      <c r="M516" t="s">
        <v>43</v>
      </c>
      <c r="O516">
        <f t="shared" si="8"/>
        <v>0</v>
      </c>
    </row>
    <row r="517" spans="1:15" x14ac:dyDescent="0.2">
      <c r="A517" t="s">
        <v>36</v>
      </c>
      <c r="B517" t="s">
        <v>37</v>
      </c>
      <c r="C517" t="s">
        <v>38</v>
      </c>
      <c r="D517" t="s">
        <v>44</v>
      </c>
      <c r="E517" t="s">
        <v>341</v>
      </c>
      <c r="F517" t="s">
        <v>342</v>
      </c>
      <c r="G517" t="s">
        <v>314</v>
      </c>
      <c r="H517" t="s">
        <v>42</v>
      </c>
      <c r="I517">
        <v>2023</v>
      </c>
      <c r="K517" t="s">
        <v>54</v>
      </c>
      <c r="L517">
        <v>20250315</v>
      </c>
      <c r="M517" t="s">
        <v>43</v>
      </c>
      <c r="O517">
        <f t="shared" si="8"/>
        <v>0</v>
      </c>
    </row>
    <row r="518" spans="1:15" x14ac:dyDescent="0.2">
      <c r="A518" t="s">
        <v>36</v>
      </c>
      <c r="B518" t="s">
        <v>37</v>
      </c>
      <c r="C518" t="s">
        <v>38</v>
      </c>
      <c r="D518" t="s">
        <v>45</v>
      </c>
      <c r="E518" t="s">
        <v>341</v>
      </c>
      <c r="F518" t="s">
        <v>342</v>
      </c>
      <c r="G518" t="s">
        <v>314</v>
      </c>
      <c r="H518" t="s">
        <v>46</v>
      </c>
      <c r="I518">
        <v>2023</v>
      </c>
      <c r="K518" t="s">
        <v>103</v>
      </c>
      <c r="L518">
        <v>20250315</v>
      </c>
      <c r="M518" t="s">
        <v>43</v>
      </c>
      <c r="O518">
        <f t="shared" si="8"/>
        <v>0</v>
      </c>
    </row>
    <row r="519" spans="1:15" x14ac:dyDescent="0.2">
      <c r="A519" t="s">
        <v>36</v>
      </c>
      <c r="B519" t="s">
        <v>37</v>
      </c>
      <c r="C519" t="s">
        <v>38</v>
      </c>
      <c r="D519" t="s">
        <v>44</v>
      </c>
      <c r="E519" t="s">
        <v>343</v>
      </c>
      <c r="F519" t="s">
        <v>344</v>
      </c>
      <c r="G519" t="s">
        <v>320</v>
      </c>
      <c r="H519" t="s">
        <v>42</v>
      </c>
      <c r="I519">
        <v>2023</v>
      </c>
      <c r="K519" t="s">
        <v>54</v>
      </c>
      <c r="L519">
        <v>20250315</v>
      </c>
      <c r="M519" t="s">
        <v>43</v>
      </c>
      <c r="O519">
        <f t="shared" si="8"/>
        <v>0</v>
      </c>
    </row>
    <row r="520" spans="1:15" x14ac:dyDescent="0.2">
      <c r="A520" t="s">
        <v>36</v>
      </c>
      <c r="B520" t="s">
        <v>37</v>
      </c>
      <c r="C520" t="s">
        <v>38</v>
      </c>
      <c r="D520" t="s">
        <v>45</v>
      </c>
      <c r="E520" t="s">
        <v>343</v>
      </c>
      <c r="F520" t="s">
        <v>344</v>
      </c>
      <c r="G520" t="s">
        <v>320</v>
      </c>
      <c r="H520" t="s">
        <v>46</v>
      </c>
      <c r="I520">
        <v>2023</v>
      </c>
      <c r="K520" t="s">
        <v>103</v>
      </c>
      <c r="L520">
        <v>20250315</v>
      </c>
      <c r="M520" t="s">
        <v>43</v>
      </c>
      <c r="O520">
        <f t="shared" si="8"/>
        <v>0</v>
      </c>
    </row>
    <row r="521" spans="1:15" x14ac:dyDescent="0.2">
      <c r="A521" t="s">
        <v>36</v>
      </c>
      <c r="B521" t="s">
        <v>37</v>
      </c>
      <c r="C521" t="s">
        <v>38</v>
      </c>
      <c r="D521" t="s">
        <v>39</v>
      </c>
      <c r="E521" t="s">
        <v>343</v>
      </c>
      <c r="F521" t="s">
        <v>344</v>
      </c>
      <c r="G521" t="s">
        <v>320</v>
      </c>
      <c r="H521" t="s">
        <v>42</v>
      </c>
      <c r="I521">
        <v>2023</v>
      </c>
      <c r="K521" t="s">
        <v>54</v>
      </c>
      <c r="L521">
        <v>20250315</v>
      </c>
      <c r="M521" t="s">
        <v>43</v>
      </c>
      <c r="O521">
        <f t="shared" si="8"/>
        <v>0</v>
      </c>
    </row>
    <row r="522" spans="1:15" x14ac:dyDescent="0.2">
      <c r="A522" t="s">
        <v>36</v>
      </c>
      <c r="B522" t="s">
        <v>37</v>
      </c>
      <c r="C522" t="s">
        <v>38</v>
      </c>
      <c r="D522" t="s">
        <v>47</v>
      </c>
      <c r="E522" t="s">
        <v>343</v>
      </c>
      <c r="F522" t="s">
        <v>344</v>
      </c>
      <c r="G522" t="s">
        <v>320</v>
      </c>
      <c r="H522" t="s">
        <v>42</v>
      </c>
      <c r="I522">
        <v>2023</v>
      </c>
      <c r="K522" t="s">
        <v>54</v>
      </c>
      <c r="L522">
        <v>20250315</v>
      </c>
      <c r="M522" t="s">
        <v>43</v>
      </c>
      <c r="O522">
        <f t="shared" si="8"/>
        <v>0</v>
      </c>
    </row>
    <row r="523" spans="1:15" x14ac:dyDescent="0.2">
      <c r="A523" t="s">
        <v>36</v>
      </c>
      <c r="B523" t="s">
        <v>37</v>
      </c>
      <c r="C523" t="s">
        <v>38</v>
      </c>
      <c r="D523" t="s">
        <v>45</v>
      </c>
      <c r="E523" t="s">
        <v>345</v>
      </c>
      <c r="F523" t="s">
        <v>346</v>
      </c>
      <c r="G523">
        <v>5</v>
      </c>
      <c r="H523" t="s">
        <v>46</v>
      </c>
      <c r="I523">
        <v>2023</v>
      </c>
      <c r="J523">
        <v>1909.5496599999999</v>
      </c>
      <c r="L523">
        <v>20250315</v>
      </c>
      <c r="M523" t="s">
        <v>43</v>
      </c>
      <c r="O523">
        <f t="shared" si="8"/>
        <v>1</v>
      </c>
    </row>
    <row r="524" spans="1:15" x14ac:dyDescent="0.2">
      <c r="A524" t="s">
        <v>36</v>
      </c>
      <c r="B524" t="s">
        <v>37</v>
      </c>
      <c r="C524" t="s">
        <v>38</v>
      </c>
      <c r="D524" t="s">
        <v>39</v>
      </c>
      <c r="E524" t="s">
        <v>345</v>
      </c>
      <c r="F524" t="s">
        <v>346</v>
      </c>
      <c r="G524">
        <v>5</v>
      </c>
      <c r="H524" t="s">
        <v>42</v>
      </c>
      <c r="I524">
        <v>2023</v>
      </c>
      <c r="J524">
        <v>68.1982</v>
      </c>
      <c r="L524">
        <v>20250315</v>
      </c>
      <c r="M524" t="s">
        <v>43</v>
      </c>
      <c r="O524">
        <f t="shared" si="8"/>
        <v>1</v>
      </c>
    </row>
    <row r="525" spans="1:15" x14ac:dyDescent="0.2">
      <c r="A525" t="s">
        <v>36</v>
      </c>
      <c r="B525" t="s">
        <v>37</v>
      </c>
      <c r="C525" t="s">
        <v>38</v>
      </c>
      <c r="D525" t="s">
        <v>39</v>
      </c>
      <c r="E525" t="s">
        <v>347</v>
      </c>
      <c r="F525" t="s">
        <v>348</v>
      </c>
      <c r="G525" t="s">
        <v>345</v>
      </c>
      <c r="H525" t="s">
        <v>42</v>
      </c>
      <c r="I525">
        <v>2023</v>
      </c>
      <c r="J525">
        <v>68.1982</v>
      </c>
      <c r="L525">
        <v>20250315</v>
      </c>
      <c r="M525" t="s">
        <v>43</v>
      </c>
      <c r="O525">
        <f t="shared" si="8"/>
        <v>0</v>
      </c>
    </row>
    <row r="526" spans="1:15" x14ac:dyDescent="0.2">
      <c r="A526" t="s">
        <v>36</v>
      </c>
      <c r="B526" t="s">
        <v>37</v>
      </c>
      <c r="C526" t="s">
        <v>38</v>
      </c>
      <c r="D526" t="s">
        <v>45</v>
      </c>
      <c r="E526" t="s">
        <v>347</v>
      </c>
      <c r="F526" t="s">
        <v>348</v>
      </c>
      <c r="G526" t="s">
        <v>345</v>
      </c>
      <c r="H526" t="s">
        <v>46</v>
      </c>
      <c r="I526">
        <v>2023</v>
      </c>
      <c r="J526">
        <v>1909.5496599999999</v>
      </c>
      <c r="L526">
        <v>20250315</v>
      </c>
      <c r="M526" t="s">
        <v>43</v>
      </c>
      <c r="O526">
        <f t="shared" si="8"/>
        <v>0</v>
      </c>
    </row>
    <row r="527" spans="1:15" x14ac:dyDescent="0.2">
      <c r="A527" t="s">
        <v>36</v>
      </c>
      <c r="B527" t="s">
        <v>37</v>
      </c>
      <c r="C527" t="s">
        <v>38</v>
      </c>
      <c r="D527" t="s">
        <v>45</v>
      </c>
      <c r="E527" t="s">
        <v>349</v>
      </c>
      <c r="F527" t="s">
        <v>350</v>
      </c>
      <c r="G527" t="s">
        <v>345</v>
      </c>
      <c r="H527" t="s">
        <v>46</v>
      </c>
      <c r="I527">
        <v>2023</v>
      </c>
      <c r="K527" t="s">
        <v>103</v>
      </c>
      <c r="L527">
        <v>20250315</v>
      </c>
      <c r="M527" t="s">
        <v>43</v>
      </c>
      <c r="O527">
        <f t="shared" si="8"/>
        <v>0</v>
      </c>
    </row>
    <row r="528" spans="1:15" x14ac:dyDescent="0.2">
      <c r="A528" t="s">
        <v>36</v>
      </c>
      <c r="B528" t="s">
        <v>37</v>
      </c>
      <c r="C528" t="s">
        <v>38</v>
      </c>
      <c r="D528" t="s">
        <v>39</v>
      </c>
      <c r="E528" t="s">
        <v>349</v>
      </c>
      <c r="F528" t="s">
        <v>350</v>
      </c>
      <c r="G528" t="s">
        <v>345</v>
      </c>
      <c r="H528" t="s">
        <v>42</v>
      </c>
      <c r="I528">
        <v>2023</v>
      </c>
      <c r="K528" t="s">
        <v>54</v>
      </c>
      <c r="L528">
        <v>20250315</v>
      </c>
      <c r="M528" t="s">
        <v>43</v>
      </c>
      <c r="O528">
        <f t="shared" si="8"/>
        <v>0</v>
      </c>
    </row>
    <row r="529" spans="1:15" x14ac:dyDescent="0.2">
      <c r="A529" t="s">
        <v>36</v>
      </c>
      <c r="B529" t="s">
        <v>37</v>
      </c>
      <c r="C529" t="s">
        <v>38</v>
      </c>
      <c r="D529" t="s">
        <v>39</v>
      </c>
      <c r="E529" t="s">
        <v>351</v>
      </c>
      <c r="F529" t="s">
        <v>352</v>
      </c>
      <c r="G529" t="s">
        <v>345</v>
      </c>
      <c r="H529" t="s">
        <v>42</v>
      </c>
      <c r="I529">
        <v>2023</v>
      </c>
      <c r="K529" t="s">
        <v>54</v>
      </c>
      <c r="L529">
        <v>20250315</v>
      </c>
      <c r="M529" t="s">
        <v>43</v>
      </c>
      <c r="O529">
        <f t="shared" si="8"/>
        <v>0</v>
      </c>
    </row>
    <row r="530" spans="1:15" x14ac:dyDescent="0.2">
      <c r="A530" t="s">
        <v>36</v>
      </c>
      <c r="B530" t="s">
        <v>37</v>
      </c>
      <c r="C530" t="s">
        <v>38</v>
      </c>
      <c r="D530" t="s">
        <v>45</v>
      </c>
      <c r="E530" t="s">
        <v>351</v>
      </c>
      <c r="F530" t="s">
        <v>352</v>
      </c>
      <c r="G530" t="s">
        <v>345</v>
      </c>
      <c r="H530" t="s">
        <v>46</v>
      </c>
      <c r="I530">
        <v>2023</v>
      </c>
      <c r="K530" t="s">
        <v>103</v>
      </c>
      <c r="L530">
        <v>20250315</v>
      </c>
      <c r="M530" t="s">
        <v>43</v>
      </c>
      <c r="O530">
        <f t="shared" si="8"/>
        <v>0</v>
      </c>
    </row>
    <row r="531" spans="1:15" x14ac:dyDescent="0.2">
      <c r="A531" t="s">
        <v>36</v>
      </c>
      <c r="B531" t="s">
        <v>37</v>
      </c>
      <c r="C531" t="s">
        <v>38</v>
      </c>
      <c r="D531" t="s">
        <v>39</v>
      </c>
      <c r="E531" t="s">
        <v>353</v>
      </c>
      <c r="F531" t="s">
        <v>354</v>
      </c>
      <c r="G531">
        <v>5</v>
      </c>
      <c r="H531" t="s">
        <v>42</v>
      </c>
      <c r="I531">
        <v>2023</v>
      </c>
      <c r="J531">
        <v>4.8329399999999998</v>
      </c>
      <c r="L531">
        <v>20250315</v>
      </c>
      <c r="M531" t="s">
        <v>43</v>
      </c>
      <c r="O531">
        <f t="shared" si="8"/>
        <v>1</v>
      </c>
    </row>
    <row r="532" spans="1:15" x14ac:dyDescent="0.2">
      <c r="A532" t="s">
        <v>36</v>
      </c>
      <c r="B532" t="s">
        <v>37</v>
      </c>
      <c r="C532" t="s">
        <v>38</v>
      </c>
      <c r="D532" t="s">
        <v>47</v>
      </c>
      <c r="E532" t="s">
        <v>353</v>
      </c>
      <c r="F532" t="s">
        <v>354</v>
      </c>
      <c r="G532">
        <v>5</v>
      </c>
      <c r="H532" t="s">
        <v>42</v>
      </c>
      <c r="I532">
        <v>2023</v>
      </c>
      <c r="J532">
        <v>0.27789999999999998</v>
      </c>
      <c r="L532">
        <v>20250315</v>
      </c>
      <c r="M532" t="s">
        <v>43</v>
      </c>
      <c r="O532">
        <f t="shared" si="8"/>
        <v>1</v>
      </c>
    </row>
    <row r="533" spans="1:15" x14ac:dyDescent="0.2">
      <c r="A533" t="s">
        <v>36</v>
      </c>
      <c r="B533" t="s">
        <v>37</v>
      </c>
      <c r="C533" t="s">
        <v>38</v>
      </c>
      <c r="D533" t="s">
        <v>45</v>
      </c>
      <c r="E533" t="s">
        <v>353</v>
      </c>
      <c r="F533" t="s">
        <v>354</v>
      </c>
      <c r="G533">
        <v>5</v>
      </c>
      <c r="H533" t="s">
        <v>46</v>
      </c>
      <c r="I533">
        <v>2023</v>
      </c>
      <c r="J533">
        <v>208.96446</v>
      </c>
      <c r="L533">
        <v>20250315</v>
      </c>
      <c r="M533" t="s">
        <v>43</v>
      </c>
      <c r="O533">
        <f t="shared" si="8"/>
        <v>1</v>
      </c>
    </row>
    <row r="534" spans="1:15" x14ac:dyDescent="0.2">
      <c r="A534" t="s">
        <v>36</v>
      </c>
      <c r="B534" t="s">
        <v>37</v>
      </c>
      <c r="C534" t="s">
        <v>38</v>
      </c>
      <c r="D534" t="s">
        <v>45</v>
      </c>
      <c r="E534" t="s">
        <v>355</v>
      </c>
      <c r="F534" t="s">
        <v>356</v>
      </c>
      <c r="G534" t="s">
        <v>353</v>
      </c>
      <c r="H534" t="s">
        <v>46</v>
      </c>
      <c r="I534">
        <v>2023</v>
      </c>
      <c r="J534">
        <v>138.94922</v>
      </c>
      <c r="L534">
        <v>20250315</v>
      </c>
      <c r="M534" t="s">
        <v>43</v>
      </c>
      <c r="O534">
        <f t="shared" si="8"/>
        <v>0</v>
      </c>
    </row>
    <row r="535" spans="1:15" x14ac:dyDescent="0.2">
      <c r="A535" t="s">
        <v>36</v>
      </c>
      <c r="B535" t="s">
        <v>37</v>
      </c>
      <c r="C535" t="s">
        <v>38</v>
      </c>
      <c r="D535" t="s">
        <v>47</v>
      </c>
      <c r="E535" t="s">
        <v>355</v>
      </c>
      <c r="F535" t="s">
        <v>356</v>
      </c>
      <c r="G535" t="s">
        <v>353</v>
      </c>
      <c r="H535" t="s">
        <v>42</v>
      </c>
      <c r="I535">
        <v>2023</v>
      </c>
      <c r="J535">
        <v>0.25624000000000002</v>
      </c>
      <c r="L535">
        <v>20250315</v>
      </c>
      <c r="M535" t="s">
        <v>43</v>
      </c>
      <c r="O535">
        <f t="shared" si="8"/>
        <v>0</v>
      </c>
    </row>
    <row r="536" spans="1:15" x14ac:dyDescent="0.2">
      <c r="A536" t="s">
        <v>36</v>
      </c>
      <c r="B536" t="s">
        <v>37</v>
      </c>
      <c r="C536" t="s">
        <v>38</v>
      </c>
      <c r="D536" t="s">
        <v>39</v>
      </c>
      <c r="E536" t="s">
        <v>355</v>
      </c>
      <c r="F536" t="s">
        <v>356</v>
      </c>
      <c r="G536" t="s">
        <v>353</v>
      </c>
      <c r="H536" t="s">
        <v>42</v>
      </c>
      <c r="I536">
        <v>2023</v>
      </c>
      <c r="J536">
        <v>2.5373600000000001</v>
      </c>
      <c r="L536">
        <v>20250315</v>
      </c>
      <c r="M536" t="s">
        <v>43</v>
      </c>
      <c r="O536">
        <f t="shared" si="8"/>
        <v>0</v>
      </c>
    </row>
    <row r="537" spans="1:15" x14ac:dyDescent="0.2">
      <c r="A537" t="s">
        <v>36</v>
      </c>
      <c r="B537" t="s">
        <v>37</v>
      </c>
      <c r="C537" t="s">
        <v>38</v>
      </c>
      <c r="D537" t="s">
        <v>45</v>
      </c>
      <c r="E537" t="s">
        <v>357</v>
      </c>
      <c r="F537" t="s">
        <v>358</v>
      </c>
      <c r="G537" t="s">
        <v>353</v>
      </c>
      <c r="H537" t="s">
        <v>46</v>
      </c>
      <c r="I537">
        <v>2023</v>
      </c>
      <c r="J537">
        <v>70.015230000000003</v>
      </c>
      <c r="L537">
        <v>20250315</v>
      </c>
      <c r="M537" t="s">
        <v>43</v>
      </c>
      <c r="O537">
        <f t="shared" si="8"/>
        <v>0</v>
      </c>
    </row>
    <row r="538" spans="1:15" x14ac:dyDescent="0.2">
      <c r="A538" t="s">
        <v>36</v>
      </c>
      <c r="B538" t="s">
        <v>37</v>
      </c>
      <c r="C538" t="s">
        <v>38</v>
      </c>
      <c r="D538" t="s">
        <v>47</v>
      </c>
      <c r="E538" t="s">
        <v>357</v>
      </c>
      <c r="F538" t="s">
        <v>358</v>
      </c>
      <c r="G538" t="s">
        <v>353</v>
      </c>
      <c r="H538" t="s">
        <v>42</v>
      </c>
      <c r="I538">
        <v>2023</v>
      </c>
      <c r="J538">
        <v>2.1659999999999999E-2</v>
      </c>
      <c r="L538">
        <v>20250315</v>
      </c>
      <c r="M538" t="s">
        <v>43</v>
      </c>
      <c r="O538">
        <f t="shared" si="8"/>
        <v>0</v>
      </c>
    </row>
    <row r="539" spans="1:15" x14ac:dyDescent="0.2">
      <c r="A539" t="s">
        <v>36</v>
      </c>
      <c r="B539" t="s">
        <v>37</v>
      </c>
      <c r="C539" t="s">
        <v>38</v>
      </c>
      <c r="D539" t="s">
        <v>39</v>
      </c>
      <c r="E539" t="s">
        <v>357</v>
      </c>
      <c r="F539" t="s">
        <v>358</v>
      </c>
      <c r="G539" t="s">
        <v>353</v>
      </c>
      <c r="H539" t="s">
        <v>42</v>
      </c>
      <c r="I539">
        <v>2023</v>
      </c>
      <c r="J539">
        <v>2.2955800000000002</v>
      </c>
      <c r="L539">
        <v>20250315</v>
      </c>
      <c r="M539" t="s">
        <v>43</v>
      </c>
      <c r="O539">
        <f t="shared" si="8"/>
        <v>0</v>
      </c>
    </row>
    <row r="540" spans="1:15" x14ac:dyDescent="0.2">
      <c r="A540" t="s">
        <v>36</v>
      </c>
      <c r="B540" t="s">
        <v>37</v>
      </c>
      <c r="C540" t="s">
        <v>38</v>
      </c>
      <c r="D540" t="s">
        <v>47</v>
      </c>
      <c r="E540" t="s">
        <v>359</v>
      </c>
      <c r="F540" t="s">
        <v>360</v>
      </c>
      <c r="G540">
        <v>5</v>
      </c>
      <c r="H540" t="s">
        <v>42</v>
      </c>
      <c r="I540">
        <v>2023</v>
      </c>
      <c r="J540">
        <v>5.8700000000000002E-3</v>
      </c>
      <c r="L540">
        <v>20250315</v>
      </c>
      <c r="M540" t="s">
        <v>43</v>
      </c>
      <c r="O540">
        <f t="shared" si="8"/>
        <v>1</v>
      </c>
    </row>
    <row r="541" spans="1:15" x14ac:dyDescent="0.2">
      <c r="A541" t="s">
        <v>36</v>
      </c>
      <c r="B541" t="s">
        <v>37</v>
      </c>
      <c r="C541" t="s">
        <v>38</v>
      </c>
      <c r="D541" t="s">
        <v>45</v>
      </c>
      <c r="E541" t="s">
        <v>359</v>
      </c>
      <c r="F541" t="s">
        <v>360</v>
      </c>
      <c r="G541">
        <v>5</v>
      </c>
      <c r="H541" t="s">
        <v>46</v>
      </c>
      <c r="I541">
        <v>2023</v>
      </c>
      <c r="J541">
        <v>4.4382299999999999</v>
      </c>
      <c r="L541">
        <v>20250315</v>
      </c>
      <c r="M541" t="s">
        <v>43</v>
      </c>
      <c r="O541">
        <f t="shared" si="8"/>
        <v>1</v>
      </c>
    </row>
    <row r="542" spans="1:15" x14ac:dyDescent="0.2">
      <c r="A542" t="s">
        <v>36</v>
      </c>
      <c r="B542" t="s">
        <v>37</v>
      </c>
      <c r="C542" t="s">
        <v>38</v>
      </c>
      <c r="D542" t="s">
        <v>44</v>
      </c>
      <c r="E542" t="s">
        <v>359</v>
      </c>
      <c r="F542" t="s">
        <v>360</v>
      </c>
      <c r="G542">
        <v>5</v>
      </c>
      <c r="H542" t="s">
        <v>42</v>
      </c>
      <c r="I542">
        <v>2023</v>
      </c>
      <c r="K542" t="s">
        <v>50</v>
      </c>
      <c r="L542">
        <v>20250315</v>
      </c>
      <c r="M542" t="s">
        <v>43</v>
      </c>
      <c r="O542">
        <f t="shared" si="8"/>
        <v>1</v>
      </c>
    </row>
    <row r="543" spans="1:15" x14ac:dyDescent="0.2">
      <c r="A543" t="s">
        <v>36</v>
      </c>
      <c r="B543" t="s">
        <v>37</v>
      </c>
      <c r="C543" t="s">
        <v>38</v>
      </c>
      <c r="D543" t="s">
        <v>39</v>
      </c>
      <c r="E543" t="s">
        <v>359</v>
      </c>
      <c r="F543" t="s">
        <v>360</v>
      </c>
      <c r="G543">
        <v>5</v>
      </c>
      <c r="H543" t="s">
        <v>42</v>
      </c>
      <c r="I543">
        <v>2023</v>
      </c>
      <c r="J543">
        <v>0.10299</v>
      </c>
      <c r="L543">
        <v>20250315</v>
      </c>
      <c r="M543" t="s">
        <v>43</v>
      </c>
      <c r="O543">
        <f t="shared" si="8"/>
        <v>1</v>
      </c>
    </row>
    <row r="544" spans="1:15" x14ac:dyDescent="0.2">
      <c r="A544" t="s">
        <v>36</v>
      </c>
      <c r="B544" t="s">
        <v>37</v>
      </c>
      <c r="C544" t="s">
        <v>38</v>
      </c>
      <c r="D544" t="s">
        <v>44</v>
      </c>
      <c r="E544" t="s">
        <v>361</v>
      </c>
      <c r="F544" t="s">
        <v>362</v>
      </c>
      <c r="G544" t="s">
        <v>359</v>
      </c>
      <c r="H544" t="s">
        <v>42</v>
      </c>
      <c r="I544">
        <v>2023</v>
      </c>
      <c r="K544" t="s">
        <v>111</v>
      </c>
      <c r="L544">
        <v>20250315</v>
      </c>
      <c r="M544" t="s">
        <v>43</v>
      </c>
      <c r="O544">
        <f t="shared" si="8"/>
        <v>0</v>
      </c>
    </row>
    <row r="545" spans="1:15" x14ac:dyDescent="0.2">
      <c r="A545" t="s">
        <v>36</v>
      </c>
      <c r="B545" t="s">
        <v>37</v>
      </c>
      <c r="C545" t="s">
        <v>38</v>
      </c>
      <c r="D545" t="s">
        <v>47</v>
      </c>
      <c r="E545" t="s">
        <v>361</v>
      </c>
      <c r="F545" t="s">
        <v>362</v>
      </c>
      <c r="G545" t="s">
        <v>359</v>
      </c>
      <c r="H545" t="s">
        <v>42</v>
      </c>
      <c r="I545">
        <v>2023</v>
      </c>
      <c r="K545" t="s">
        <v>111</v>
      </c>
      <c r="L545">
        <v>20250315</v>
      </c>
      <c r="M545" t="s">
        <v>43</v>
      </c>
      <c r="O545">
        <f t="shared" si="8"/>
        <v>0</v>
      </c>
    </row>
    <row r="546" spans="1:15" x14ac:dyDescent="0.2">
      <c r="A546" t="s">
        <v>36</v>
      </c>
      <c r="B546" t="s">
        <v>37</v>
      </c>
      <c r="C546" t="s">
        <v>38</v>
      </c>
      <c r="D546" t="s">
        <v>45</v>
      </c>
      <c r="E546" t="s">
        <v>361</v>
      </c>
      <c r="F546" t="s">
        <v>362</v>
      </c>
      <c r="G546" t="s">
        <v>359</v>
      </c>
      <c r="H546" t="s">
        <v>46</v>
      </c>
      <c r="I546">
        <v>2023</v>
      </c>
      <c r="K546" t="s">
        <v>103</v>
      </c>
      <c r="L546">
        <v>20250315</v>
      </c>
      <c r="M546" t="s">
        <v>43</v>
      </c>
      <c r="O546">
        <f t="shared" si="8"/>
        <v>0</v>
      </c>
    </row>
    <row r="547" spans="1:15" x14ac:dyDescent="0.2">
      <c r="A547" t="s">
        <v>36</v>
      </c>
      <c r="B547" t="s">
        <v>37</v>
      </c>
      <c r="C547" t="s">
        <v>38</v>
      </c>
      <c r="D547" t="s">
        <v>39</v>
      </c>
      <c r="E547" t="s">
        <v>361</v>
      </c>
      <c r="F547" t="s">
        <v>362</v>
      </c>
      <c r="G547" t="s">
        <v>359</v>
      </c>
      <c r="H547" t="s">
        <v>42</v>
      </c>
      <c r="I547">
        <v>2023</v>
      </c>
      <c r="K547" t="s">
        <v>111</v>
      </c>
      <c r="L547">
        <v>20250315</v>
      </c>
      <c r="M547" t="s">
        <v>43</v>
      </c>
      <c r="O547">
        <f t="shared" si="8"/>
        <v>0</v>
      </c>
    </row>
    <row r="548" spans="1:15" x14ac:dyDescent="0.2">
      <c r="A548" t="s">
        <v>36</v>
      </c>
      <c r="B548" t="s">
        <v>37</v>
      </c>
      <c r="C548" t="s">
        <v>38</v>
      </c>
      <c r="D548" t="s">
        <v>45</v>
      </c>
      <c r="E548" t="s">
        <v>363</v>
      </c>
      <c r="F548" t="s">
        <v>364</v>
      </c>
      <c r="G548" t="s">
        <v>359</v>
      </c>
      <c r="H548" t="s">
        <v>46</v>
      </c>
      <c r="I548">
        <v>2023</v>
      </c>
      <c r="J548">
        <v>4.4382299999999999</v>
      </c>
      <c r="L548">
        <v>20250315</v>
      </c>
      <c r="M548" t="s">
        <v>43</v>
      </c>
      <c r="O548">
        <f t="shared" si="8"/>
        <v>0</v>
      </c>
    </row>
    <row r="549" spans="1:15" x14ac:dyDescent="0.2">
      <c r="A549" t="s">
        <v>36</v>
      </c>
      <c r="B549" t="s">
        <v>37</v>
      </c>
      <c r="C549" t="s">
        <v>38</v>
      </c>
      <c r="D549" t="s">
        <v>39</v>
      </c>
      <c r="E549" t="s">
        <v>363</v>
      </c>
      <c r="F549" t="s">
        <v>364</v>
      </c>
      <c r="G549" t="s">
        <v>359</v>
      </c>
      <c r="H549" t="s">
        <v>42</v>
      </c>
      <c r="I549">
        <v>2023</v>
      </c>
      <c r="J549">
        <v>0.10299</v>
      </c>
      <c r="L549">
        <v>20250315</v>
      </c>
      <c r="M549" t="s">
        <v>43</v>
      </c>
      <c r="O549">
        <f t="shared" si="8"/>
        <v>0</v>
      </c>
    </row>
    <row r="550" spans="1:15" x14ac:dyDescent="0.2">
      <c r="A550" t="s">
        <v>36</v>
      </c>
      <c r="B550" t="s">
        <v>37</v>
      </c>
      <c r="C550" t="s">
        <v>38</v>
      </c>
      <c r="D550" t="s">
        <v>47</v>
      </c>
      <c r="E550" t="s">
        <v>363</v>
      </c>
      <c r="F550" t="s">
        <v>364</v>
      </c>
      <c r="G550" t="s">
        <v>359</v>
      </c>
      <c r="H550" t="s">
        <v>42</v>
      </c>
      <c r="I550">
        <v>2023</v>
      </c>
      <c r="J550">
        <v>5.8700000000000002E-3</v>
      </c>
      <c r="L550">
        <v>20250315</v>
      </c>
      <c r="M550" t="s">
        <v>43</v>
      </c>
      <c r="O550">
        <f t="shared" si="8"/>
        <v>0</v>
      </c>
    </row>
    <row r="551" spans="1:15" x14ac:dyDescent="0.2">
      <c r="A551" t="s">
        <v>36</v>
      </c>
      <c r="B551" t="s">
        <v>37</v>
      </c>
      <c r="C551" t="s">
        <v>38</v>
      </c>
      <c r="D551" t="s">
        <v>44</v>
      </c>
      <c r="E551" t="s">
        <v>363</v>
      </c>
      <c r="F551" t="s">
        <v>364</v>
      </c>
      <c r="G551" t="s">
        <v>359</v>
      </c>
      <c r="H551" t="s">
        <v>42</v>
      </c>
      <c r="I551">
        <v>2023</v>
      </c>
      <c r="K551" t="s">
        <v>258</v>
      </c>
      <c r="L551">
        <v>20250315</v>
      </c>
      <c r="M551" t="s">
        <v>43</v>
      </c>
      <c r="O551">
        <f t="shared" si="8"/>
        <v>0</v>
      </c>
    </row>
    <row r="552" spans="1:15" x14ac:dyDescent="0.2">
      <c r="A552" t="s">
        <v>36</v>
      </c>
      <c r="B552" t="s">
        <v>37</v>
      </c>
      <c r="C552" t="s">
        <v>38</v>
      </c>
      <c r="D552" t="s">
        <v>47</v>
      </c>
      <c r="E552" t="s">
        <v>365</v>
      </c>
      <c r="F552" t="s">
        <v>366</v>
      </c>
      <c r="G552">
        <v>5</v>
      </c>
      <c r="H552" t="s">
        <v>42</v>
      </c>
      <c r="I552">
        <v>2023</v>
      </c>
      <c r="J552">
        <v>1.9163300000000001</v>
      </c>
      <c r="L552">
        <v>20250315</v>
      </c>
      <c r="M552" t="s">
        <v>43</v>
      </c>
      <c r="O552">
        <f t="shared" si="8"/>
        <v>1</v>
      </c>
    </row>
    <row r="553" spans="1:15" x14ac:dyDescent="0.2">
      <c r="A553" t="s">
        <v>36</v>
      </c>
      <c r="B553" t="s">
        <v>37</v>
      </c>
      <c r="C553" t="s">
        <v>38</v>
      </c>
      <c r="D553" t="s">
        <v>45</v>
      </c>
      <c r="E553" t="s">
        <v>365</v>
      </c>
      <c r="F553" t="s">
        <v>366</v>
      </c>
      <c r="G553">
        <v>5</v>
      </c>
      <c r="H553" t="s">
        <v>46</v>
      </c>
      <c r="I553">
        <v>2023</v>
      </c>
      <c r="J553">
        <v>721.52288999999996</v>
      </c>
      <c r="L553">
        <v>20250315</v>
      </c>
      <c r="M553" t="s">
        <v>43</v>
      </c>
      <c r="O553">
        <f t="shared" si="8"/>
        <v>1</v>
      </c>
    </row>
    <row r="554" spans="1:15" x14ac:dyDescent="0.2">
      <c r="A554" t="s">
        <v>36</v>
      </c>
      <c r="B554" t="s">
        <v>37</v>
      </c>
      <c r="C554" t="s">
        <v>38</v>
      </c>
      <c r="D554" t="s">
        <v>39</v>
      </c>
      <c r="E554" t="s">
        <v>365</v>
      </c>
      <c r="F554" t="s">
        <v>366</v>
      </c>
      <c r="G554">
        <v>5</v>
      </c>
      <c r="H554" t="s">
        <v>42</v>
      </c>
      <c r="I554">
        <v>2023</v>
      </c>
      <c r="J554">
        <v>7.6319400000000002</v>
      </c>
      <c r="L554">
        <v>20250315</v>
      </c>
      <c r="M554" t="s">
        <v>43</v>
      </c>
      <c r="O554">
        <f t="shared" si="8"/>
        <v>1</v>
      </c>
    </row>
    <row r="555" spans="1:15" x14ac:dyDescent="0.2">
      <c r="A555" t="s">
        <v>36</v>
      </c>
      <c r="B555" t="s">
        <v>37</v>
      </c>
      <c r="C555" t="s">
        <v>38</v>
      </c>
      <c r="D555" t="s">
        <v>47</v>
      </c>
      <c r="E555" t="s">
        <v>367</v>
      </c>
      <c r="F555" t="s">
        <v>368</v>
      </c>
      <c r="G555" t="s">
        <v>365</v>
      </c>
      <c r="H555" t="s">
        <v>42</v>
      </c>
      <c r="I555">
        <v>2023</v>
      </c>
      <c r="J555">
        <v>1.60728</v>
      </c>
      <c r="L555">
        <v>20250315</v>
      </c>
      <c r="M555" t="s">
        <v>43</v>
      </c>
      <c r="O555">
        <f t="shared" si="8"/>
        <v>0</v>
      </c>
    </row>
    <row r="556" spans="1:15" x14ac:dyDescent="0.2">
      <c r="A556" t="s">
        <v>36</v>
      </c>
      <c r="B556" t="s">
        <v>37</v>
      </c>
      <c r="C556" t="s">
        <v>38</v>
      </c>
      <c r="D556" t="s">
        <v>45</v>
      </c>
      <c r="E556" t="s">
        <v>367</v>
      </c>
      <c r="F556" t="s">
        <v>368</v>
      </c>
      <c r="G556" t="s">
        <v>365</v>
      </c>
      <c r="H556" t="s">
        <v>46</v>
      </c>
      <c r="I556">
        <v>2023</v>
      </c>
      <c r="J556">
        <v>548.77368999999999</v>
      </c>
      <c r="L556">
        <v>20250315</v>
      </c>
      <c r="M556" t="s">
        <v>43</v>
      </c>
      <c r="O556">
        <f t="shared" si="8"/>
        <v>0</v>
      </c>
    </row>
    <row r="557" spans="1:15" x14ac:dyDescent="0.2">
      <c r="A557" t="s">
        <v>36</v>
      </c>
      <c r="B557" t="s">
        <v>37</v>
      </c>
      <c r="C557" t="s">
        <v>38</v>
      </c>
      <c r="D557" t="s">
        <v>39</v>
      </c>
      <c r="E557" t="s">
        <v>367</v>
      </c>
      <c r="F557" t="s">
        <v>368</v>
      </c>
      <c r="G557" t="s">
        <v>365</v>
      </c>
      <c r="H557" t="s">
        <v>42</v>
      </c>
      <c r="I557">
        <v>2023</v>
      </c>
      <c r="J557">
        <v>4.3872600000000004</v>
      </c>
      <c r="L557">
        <v>20250315</v>
      </c>
      <c r="M557" t="s">
        <v>43</v>
      </c>
      <c r="O557">
        <f t="shared" si="8"/>
        <v>0</v>
      </c>
    </row>
    <row r="558" spans="1:15" x14ac:dyDescent="0.2">
      <c r="A558" t="s">
        <v>36</v>
      </c>
      <c r="B558" t="s">
        <v>37</v>
      </c>
      <c r="C558" t="s">
        <v>38</v>
      </c>
      <c r="D558" t="s">
        <v>39</v>
      </c>
      <c r="E558" t="s">
        <v>369</v>
      </c>
      <c r="F558" t="s">
        <v>370</v>
      </c>
      <c r="G558" t="s">
        <v>365</v>
      </c>
      <c r="H558" t="s">
        <v>42</v>
      </c>
      <c r="I558">
        <v>2023</v>
      </c>
      <c r="J558">
        <v>0.36207</v>
      </c>
      <c r="L558">
        <v>20250315</v>
      </c>
      <c r="M558" t="s">
        <v>43</v>
      </c>
      <c r="O558">
        <f t="shared" si="8"/>
        <v>0</v>
      </c>
    </row>
    <row r="559" spans="1:15" x14ac:dyDescent="0.2">
      <c r="A559" t="s">
        <v>36</v>
      </c>
      <c r="B559" t="s">
        <v>37</v>
      </c>
      <c r="C559" t="s">
        <v>38</v>
      </c>
      <c r="D559" t="s">
        <v>47</v>
      </c>
      <c r="E559" t="s">
        <v>369</v>
      </c>
      <c r="F559" t="s">
        <v>370</v>
      </c>
      <c r="G559" t="s">
        <v>365</v>
      </c>
      <c r="H559" t="s">
        <v>42</v>
      </c>
      <c r="I559">
        <v>2023</v>
      </c>
      <c r="J559">
        <v>0.15268000000000001</v>
      </c>
      <c r="L559">
        <v>20250315</v>
      </c>
      <c r="M559" t="s">
        <v>43</v>
      </c>
      <c r="O559">
        <f t="shared" si="8"/>
        <v>0</v>
      </c>
    </row>
    <row r="560" spans="1:15" x14ac:dyDescent="0.2">
      <c r="A560" t="s">
        <v>36</v>
      </c>
      <c r="B560" t="s">
        <v>37</v>
      </c>
      <c r="C560" t="s">
        <v>38</v>
      </c>
      <c r="D560" t="s">
        <v>45</v>
      </c>
      <c r="E560" t="s">
        <v>369</v>
      </c>
      <c r="F560" t="s">
        <v>370</v>
      </c>
      <c r="G560" t="s">
        <v>365</v>
      </c>
      <c r="H560" t="s">
        <v>46</v>
      </c>
      <c r="I560">
        <v>2023</v>
      </c>
      <c r="J560">
        <v>50.598030000000001</v>
      </c>
      <c r="L560">
        <v>20250315</v>
      </c>
      <c r="M560" t="s">
        <v>43</v>
      </c>
      <c r="O560">
        <f t="shared" si="8"/>
        <v>0</v>
      </c>
    </row>
    <row r="561" spans="1:15" x14ac:dyDescent="0.2">
      <c r="A561" t="s">
        <v>36</v>
      </c>
      <c r="B561" t="s">
        <v>37</v>
      </c>
      <c r="C561" t="s">
        <v>38</v>
      </c>
      <c r="D561" t="s">
        <v>39</v>
      </c>
      <c r="E561" t="s">
        <v>371</v>
      </c>
      <c r="F561" t="s">
        <v>372</v>
      </c>
      <c r="G561" t="s">
        <v>365</v>
      </c>
      <c r="H561" t="s">
        <v>42</v>
      </c>
      <c r="I561">
        <v>2023</v>
      </c>
      <c r="J561">
        <v>2.8826200000000002</v>
      </c>
      <c r="L561">
        <v>20250315</v>
      </c>
      <c r="M561" t="s">
        <v>43</v>
      </c>
      <c r="O561">
        <f t="shared" si="8"/>
        <v>0</v>
      </c>
    </row>
    <row r="562" spans="1:15" x14ac:dyDescent="0.2">
      <c r="A562" t="s">
        <v>36</v>
      </c>
      <c r="B562" t="s">
        <v>37</v>
      </c>
      <c r="C562" t="s">
        <v>38</v>
      </c>
      <c r="D562" t="s">
        <v>45</v>
      </c>
      <c r="E562" t="s">
        <v>371</v>
      </c>
      <c r="F562" t="s">
        <v>372</v>
      </c>
      <c r="G562" t="s">
        <v>365</v>
      </c>
      <c r="H562" t="s">
        <v>46</v>
      </c>
      <c r="I562">
        <v>2023</v>
      </c>
      <c r="J562">
        <v>122.15116</v>
      </c>
      <c r="L562">
        <v>20250315</v>
      </c>
      <c r="M562" t="s">
        <v>43</v>
      </c>
      <c r="O562">
        <f t="shared" si="8"/>
        <v>0</v>
      </c>
    </row>
    <row r="563" spans="1:15" x14ac:dyDescent="0.2">
      <c r="A563" t="s">
        <v>36</v>
      </c>
      <c r="B563" t="s">
        <v>37</v>
      </c>
      <c r="C563" t="s">
        <v>38</v>
      </c>
      <c r="D563" t="s">
        <v>47</v>
      </c>
      <c r="E563" t="s">
        <v>371</v>
      </c>
      <c r="F563" t="s">
        <v>372</v>
      </c>
      <c r="G563" t="s">
        <v>365</v>
      </c>
      <c r="H563" t="s">
        <v>42</v>
      </c>
      <c r="I563">
        <v>2023</v>
      </c>
      <c r="J563">
        <v>0.15637000000000001</v>
      </c>
      <c r="L563">
        <v>20250315</v>
      </c>
      <c r="M563" t="s">
        <v>43</v>
      </c>
      <c r="O563">
        <f t="shared" si="8"/>
        <v>0</v>
      </c>
    </row>
    <row r="564" spans="1:15" x14ac:dyDescent="0.2">
      <c r="A564" t="s">
        <v>36</v>
      </c>
      <c r="B564" t="s">
        <v>37</v>
      </c>
      <c r="C564" t="s">
        <v>38</v>
      </c>
      <c r="D564" t="s">
        <v>45</v>
      </c>
      <c r="E564" t="s">
        <v>373</v>
      </c>
      <c r="F564" t="s">
        <v>374</v>
      </c>
      <c r="G564">
        <v>5</v>
      </c>
      <c r="H564" t="s">
        <v>46</v>
      </c>
      <c r="I564">
        <v>2023</v>
      </c>
      <c r="K564" t="s">
        <v>104</v>
      </c>
      <c r="L564">
        <v>20250315</v>
      </c>
      <c r="M564" t="s">
        <v>43</v>
      </c>
      <c r="O564">
        <f t="shared" si="8"/>
        <v>1</v>
      </c>
    </row>
    <row r="565" spans="1:15" x14ac:dyDescent="0.2">
      <c r="A565" t="s">
        <v>36</v>
      </c>
      <c r="B565" t="s">
        <v>37</v>
      </c>
      <c r="C565" t="s">
        <v>38</v>
      </c>
      <c r="D565" t="s">
        <v>47</v>
      </c>
      <c r="E565" t="s">
        <v>373</v>
      </c>
      <c r="F565" t="s">
        <v>374</v>
      </c>
      <c r="G565">
        <v>5</v>
      </c>
      <c r="H565" t="s">
        <v>42</v>
      </c>
      <c r="I565">
        <v>2023</v>
      </c>
      <c r="K565" t="s">
        <v>104</v>
      </c>
      <c r="L565">
        <v>20250315</v>
      </c>
      <c r="M565" t="s">
        <v>43</v>
      </c>
      <c r="O565">
        <f t="shared" si="8"/>
        <v>1</v>
      </c>
    </row>
    <row r="566" spans="1:15" x14ac:dyDescent="0.2">
      <c r="A566" t="s">
        <v>36</v>
      </c>
      <c r="B566" t="s">
        <v>37</v>
      </c>
      <c r="C566" t="s">
        <v>38</v>
      </c>
      <c r="D566" t="s">
        <v>44</v>
      </c>
      <c r="E566" t="s">
        <v>373</v>
      </c>
      <c r="F566" t="s">
        <v>374</v>
      </c>
      <c r="G566">
        <v>5</v>
      </c>
      <c r="H566" t="s">
        <v>42</v>
      </c>
      <c r="I566">
        <v>2023</v>
      </c>
      <c r="K566" t="s">
        <v>104</v>
      </c>
      <c r="L566">
        <v>20250315</v>
      </c>
      <c r="M566" t="s">
        <v>43</v>
      </c>
      <c r="O566">
        <f t="shared" si="8"/>
        <v>1</v>
      </c>
    </row>
    <row r="567" spans="1:15" x14ac:dyDescent="0.2">
      <c r="A567" t="s">
        <v>36</v>
      </c>
      <c r="B567" t="s">
        <v>37</v>
      </c>
      <c r="C567" t="s">
        <v>38</v>
      </c>
      <c r="D567" t="s">
        <v>39</v>
      </c>
      <c r="E567" t="s">
        <v>373</v>
      </c>
      <c r="F567" t="s">
        <v>374</v>
      </c>
      <c r="G567">
        <v>5</v>
      </c>
      <c r="H567" t="s">
        <v>42</v>
      </c>
      <c r="I567">
        <v>2023</v>
      </c>
      <c r="K567" t="s">
        <v>104</v>
      </c>
      <c r="L567">
        <v>20250315</v>
      </c>
      <c r="M567" t="s">
        <v>43</v>
      </c>
      <c r="O567">
        <f t="shared" si="8"/>
        <v>1</v>
      </c>
    </row>
    <row r="568" spans="1:15" x14ac:dyDescent="0.2">
      <c r="A568" t="s">
        <v>36</v>
      </c>
      <c r="B568" t="s">
        <v>37</v>
      </c>
      <c r="C568" t="s">
        <v>38</v>
      </c>
      <c r="D568" t="s">
        <v>44</v>
      </c>
      <c r="E568" t="s">
        <v>375</v>
      </c>
      <c r="F568" t="s">
        <v>376</v>
      </c>
      <c r="G568" t="s">
        <v>377</v>
      </c>
      <c r="H568" t="s">
        <v>42</v>
      </c>
      <c r="I568">
        <v>2023</v>
      </c>
      <c r="K568" t="s">
        <v>333</v>
      </c>
      <c r="L568">
        <v>20250315</v>
      </c>
      <c r="M568" t="s">
        <v>43</v>
      </c>
      <c r="O568">
        <f t="shared" si="8"/>
        <v>0</v>
      </c>
    </row>
    <row r="569" spans="1:15" x14ac:dyDescent="0.2">
      <c r="A569" t="s">
        <v>36</v>
      </c>
      <c r="B569" t="s">
        <v>37</v>
      </c>
      <c r="C569" t="s">
        <v>38</v>
      </c>
      <c r="D569" t="s">
        <v>45</v>
      </c>
      <c r="E569" t="s">
        <v>375</v>
      </c>
      <c r="F569" t="s">
        <v>376</v>
      </c>
      <c r="G569" t="s">
        <v>377</v>
      </c>
      <c r="H569" t="s">
        <v>46</v>
      </c>
      <c r="I569">
        <v>2023</v>
      </c>
      <c r="K569" t="s">
        <v>103</v>
      </c>
      <c r="L569">
        <v>20250315</v>
      </c>
      <c r="M569" t="s">
        <v>43</v>
      </c>
      <c r="O569">
        <f t="shared" si="8"/>
        <v>0</v>
      </c>
    </row>
    <row r="570" spans="1:15" x14ac:dyDescent="0.2">
      <c r="A570" t="s">
        <v>36</v>
      </c>
      <c r="B570" t="s">
        <v>37</v>
      </c>
      <c r="C570" t="s">
        <v>38</v>
      </c>
      <c r="D570" t="s">
        <v>44</v>
      </c>
      <c r="E570" t="s">
        <v>378</v>
      </c>
      <c r="F570" t="s">
        <v>379</v>
      </c>
      <c r="G570" t="s">
        <v>377</v>
      </c>
      <c r="H570" t="s">
        <v>42</v>
      </c>
      <c r="I570">
        <v>2023</v>
      </c>
      <c r="K570" t="s">
        <v>333</v>
      </c>
      <c r="L570">
        <v>20250315</v>
      </c>
      <c r="M570" t="s">
        <v>43</v>
      </c>
      <c r="O570">
        <f t="shared" si="8"/>
        <v>0</v>
      </c>
    </row>
    <row r="571" spans="1:15" x14ac:dyDescent="0.2">
      <c r="A571" t="s">
        <v>36</v>
      </c>
      <c r="B571" t="s">
        <v>37</v>
      </c>
      <c r="C571" t="s">
        <v>38</v>
      </c>
      <c r="D571" t="s">
        <v>45</v>
      </c>
      <c r="E571" t="s">
        <v>378</v>
      </c>
      <c r="F571" t="s">
        <v>379</v>
      </c>
      <c r="G571" t="s">
        <v>377</v>
      </c>
      <c r="H571" t="s">
        <v>46</v>
      </c>
      <c r="I571">
        <v>2023</v>
      </c>
      <c r="K571" t="s">
        <v>103</v>
      </c>
      <c r="L571">
        <v>20250315</v>
      </c>
      <c r="M571" t="s">
        <v>43</v>
      </c>
      <c r="O571">
        <f t="shared" si="8"/>
        <v>0</v>
      </c>
    </row>
    <row r="572" spans="1:15" x14ac:dyDescent="0.2">
      <c r="A572" t="s">
        <v>36</v>
      </c>
      <c r="B572" t="s">
        <v>37</v>
      </c>
      <c r="C572" t="s">
        <v>38</v>
      </c>
      <c r="D572" t="s">
        <v>44</v>
      </c>
      <c r="E572" t="s">
        <v>380</v>
      </c>
      <c r="F572" t="s">
        <v>381</v>
      </c>
      <c r="G572" t="s">
        <v>377</v>
      </c>
      <c r="H572" t="s">
        <v>42</v>
      </c>
      <c r="I572">
        <v>2023</v>
      </c>
      <c r="K572" t="s">
        <v>54</v>
      </c>
      <c r="L572">
        <v>20250315</v>
      </c>
      <c r="M572" t="s">
        <v>43</v>
      </c>
      <c r="O572">
        <f t="shared" si="8"/>
        <v>0</v>
      </c>
    </row>
    <row r="573" spans="1:15" x14ac:dyDescent="0.2">
      <c r="A573" t="s">
        <v>36</v>
      </c>
      <c r="B573" t="s">
        <v>37</v>
      </c>
      <c r="C573" t="s">
        <v>38</v>
      </c>
      <c r="D573" t="s">
        <v>45</v>
      </c>
      <c r="E573" t="s">
        <v>380</v>
      </c>
      <c r="F573" t="s">
        <v>381</v>
      </c>
      <c r="G573" t="s">
        <v>377</v>
      </c>
      <c r="H573" t="s">
        <v>46</v>
      </c>
      <c r="I573">
        <v>2023</v>
      </c>
      <c r="K573" t="s">
        <v>103</v>
      </c>
      <c r="L573">
        <v>20250315</v>
      </c>
      <c r="M573" t="s">
        <v>43</v>
      </c>
      <c r="O573">
        <f t="shared" si="8"/>
        <v>0</v>
      </c>
    </row>
    <row r="574" spans="1:15" x14ac:dyDescent="0.2">
      <c r="A574" t="s">
        <v>36</v>
      </c>
      <c r="B574" t="s">
        <v>37</v>
      </c>
      <c r="C574" t="s">
        <v>38</v>
      </c>
      <c r="D574" t="s">
        <v>45</v>
      </c>
      <c r="E574" t="s">
        <v>382</v>
      </c>
      <c r="F574" t="s">
        <v>383</v>
      </c>
      <c r="G574" t="s">
        <v>41</v>
      </c>
      <c r="H574" t="s">
        <v>46</v>
      </c>
      <c r="I574">
        <v>2023</v>
      </c>
      <c r="J574">
        <v>432.73137000000003</v>
      </c>
      <c r="L574">
        <v>20250315</v>
      </c>
      <c r="M574" t="s">
        <v>43</v>
      </c>
      <c r="O574">
        <f t="shared" si="8"/>
        <v>0</v>
      </c>
    </row>
    <row r="575" spans="1:15" x14ac:dyDescent="0.2">
      <c r="A575" t="s">
        <v>36</v>
      </c>
      <c r="B575" t="s">
        <v>37</v>
      </c>
      <c r="C575" t="s">
        <v>38</v>
      </c>
      <c r="D575" t="s">
        <v>44</v>
      </c>
      <c r="E575" t="s">
        <v>382</v>
      </c>
      <c r="F575" t="s">
        <v>383</v>
      </c>
      <c r="G575" t="s">
        <v>41</v>
      </c>
      <c r="H575" t="s">
        <v>42</v>
      </c>
      <c r="I575">
        <v>2023</v>
      </c>
      <c r="J575">
        <v>432.73137000000003</v>
      </c>
      <c r="L575">
        <v>20250315</v>
      </c>
      <c r="M575" t="s">
        <v>43</v>
      </c>
      <c r="O575">
        <f t="shared" si="8"/>
        <v>0</v>
      </c>
    </row>
    <row r="576" spans="1:15" x14ac:dyDescent="0.2">
      <c r="A576" t="s">
        <v>36</v>
      </c>
      <c r="B576" t="s">
        <v>37</v>
      </c>
      <c r="C576" t="s">
        <v>38</v>
      </c>
      <c r="D576" t="s">
        <v>45</v>
      </c>
      <c r="E576" t="s">
        <v>384</v>
      </c>
      <c r="F576" t="s">
        <v>385</v>
      </c>
      <c r="H576" t="s">
        <v>46</v>
      </c>
      <c r="I576">
        <v>2023</v>
      </c>
      <c r="J576">
        <v>142636.52801000001</v>
      </c>
      <c r="L576">
        <v>20250315</v>
      </c>
      <c r="M576" t="s">
        <v>43</v>
      </c>
      <c r="O576">
        <f t="shared" si="8"/>
        <v>0</v>
      </c>
    </row>
    <row r="577" spans="1:15" x14ac:dyDescent="0.2">
      <c r="A577" t="s">
        <v>36</v>
      </c>
      <c r="B577" t="s">
        <v>37</v>
      </c>
      <c r="C577" t="s">
        <v>38</v>
      </c>
      <c r="D577" t="s">
        <v>52</v>
      </c>
      <c r="E577" t="s">
        <v>384</v>
      </c>
      <c r="F577" t="s">
        <v>385</v>
      </c>
      <c r="H577" t="s">
        <v>46</v>
      </c>
      <c r="I577">
        <v>2023</v>
      </c>
      <c r="J577">
        <v>688.44897000000003</v>
      </c>
      <c r="L577">
        <v>20250315</v>
      </c>
      <c r="M577" t="s">
        <v>43</v>
      </c>
      <c r="O577">
        <f t="shared" si="8"/>
        <v>0</v>
      </c>
    </row>
    <row r="578" spans="1:15" x14ac:dyDescent="0.2">
      <c r="A578" t="s">
        <v>36</v>
      </c>
      <c r="B578" t="s">
        <v>37</v>
      </c>
      <c r="C578" t="s">
        <v>38</v>
      </c>
      <c r="D578" t="s">
        <v>55</v>
      </c>
      <c r="E578" t="s">
        <v>384</v>
      </c>
      <c r="F578" t="s">
        <v>385</v>
      </c>
      <c r="H578" t="s">
        <v>46</v>
      </c>
      <c r="I578">
        <v>2023</v>
      </c>
      <c r="J578">
        <v>41.916020000000003</v>
      </c>
      <c r="L578">
        <v>20250315</v>
      </c>
      <c r="M578" t="s">
        <v>43</v>
      </c>
      <c r="O578">
        <f t="shared" si="8"/>
        <v>0</v>
      </c>
    </row>
    <row r="579" spans="1:15" x14ac:dyDescent="0.2">
      <c r="A579" t="s">
        <v>36</v>
      </c>
      <c r="B579" t="s">
        <v>37</v>
      </c>
      <c r="C579" t="s">
        <v>38</v>
      </c>
      <c r="D579" t="s">
        <v>39</v>
      </c>
      <c r="E579" t="s">
        <v>384</v>
      </c>
      <c r="F579" t="s">
        <v>385</v>
      </c>
      <c r="H579" t="s">
        <v>42</v>
      </c>
      <c r="I579">
        <v>2023</v>
      </c>
      <c r="J579">
        <v>637.51711999999998</v>
      </c>
      <c r="K579" t="s">
        <v>50</v>
      </c>
      <c r="L579">
        <v>20250315</v>
      </c>
      <c r="M579" t="s">
        <v>43</v>
      </c>
      <c r="O579">
        <f t="shared" ref="O579:O593" si="9">IF(OR(G579=2,G579=3,G579=5,G579=6),1,0)</f>
        <v>0</v>
      </c>
    </row>
    <row r="580" spans="1:15" x14ac:dyDescent="0.2">
      <c r="A580" t="s">
        <v>36</v>
      </c>
      <c r="B580" t="s">
        <v>37</v>
      </c>
      <c r="C580" t="s">
        <v>38</v>
      </c>
      <c r="D580" t="s">
        <v>44</v>
      </c>
      <c r="E580" t="s">
        <v>384</v>
      </c>
      <c r="F580" t="s">
        <v>385</v>
      </c>
      <c r="H580" t="s">
        <v>42</v>
      </c>
      <c r="I580">
        <v>2023</v>
      </c>
      <c r="J580">
        <v>117449.11841</v>
      </c>
      <c r="K580" t="s">
        <v>50</v>
      </c>
      <c r="L580">
        <v>20250315</v>
      </c>
      <c r="M580" t="s">
        <v>43</v>
      </c>
      <c r="O580">
        <f t="shared" si="9"/>
        <v>0</v>
      </c>
    </row>
    <row r="581" spans="1:15" x14ac:dyDescent="0.2">
      <c r="A581" t="s">
        <v>36</v>
      </c>
      <c r="B581" t="s">
        <v>37</v>
      </c>
      <c r="C581" t="s">
        <v>38</v>
      </c>
      <c r="D581" t="s">
        <v>47</v>
      </c>
      <c r="E581" t="s">
        <v>384</v>
      </c>
      <c r="F581" t="s">
        <v>385</v>
      </c>
      <c r="H581" t="s">
        <v>42</v>
      </c>
      <c r="I581">
        <v>2023</v>
      </c>
      <c r="J581">
        <v>24.532969999999999</v>
      </c>
      <c r="K581" t="s">
        <v>50</v>
      </c>
      <c r="L581">
        <v>20250315</v>
      </c>
      <c r="M581" t="s">
        <v>43</v>
      </c>
      <c r="O581">
        <f t="shared" si="9"/>
        <v>0</v>
      </c>
    </row>
    <row r="582" spans="1:15" x14ac:dyDescent="0.2">
      <c r="A582" t="s">
        <v>36</v>
      </c>
      <c r="B582" t="s">
        <v>37</v>
      </c>
      <c r="C582" t="s">
        <v>38</v>
      </c>
      <c r="D582" t="s">
        <v>51</v>
      </c>
      <c r="E582" t="s">
        <v>384</v>
      </c>
      <c r="F582" t="s">
        <v>385</v>
      </c>
      <c r="H582" t="s">
        <v>46</v>
      </c>
      <c r="I582">
        <v>2023</v>
      </c>
      <c r="J582">
        <v>105.327</v>
      </c>
      <c r="K582" t="s">
        <v>50</v>
      </c>
      <c r="L582">
        <v>20250315</v>
      </c>
      <c r="M582" t="s">
        <v>43</v>
      </c>
      <c r="O582">
        <f t="shared" si="9"/>
        <v>0</v>
      </c>
    </row>
    <row r="583" spans="1:15" x14ac:dyDescent="0.2">
      <c r="A583" t="s">
        <v>36</v>
      </c>
      <c r="B583" t="s">
        <v>37</v>
      </c>
      <c r="C583" t="s">
        <v>38</v>
      </c>
      <c r="D583" t="s">
        <v>48</v>
      </c>
      <c r="E583" t="s">
        <v>384</v>
      </c>
      <c r="F583" t="s">
        <v>385</v>
      </c>
      <c r="H583" t="s">
        <v>46</v>
      </c>
      <c r="I583">
        <v>2023</v>
      </c>
      <c r="K583" t="s">
        <v>50</v>
      </c>
      <c r="L583">
        <v>20250315</v>
      </c>
      <c r="M583" t="s">
        <v>43</v>
      </c>
      <c r="O583">
        <f t="shared" si="9"/>
        <v>0</v>
      </c>
    </row>
    <row r="584" spans="1:15" x14ac:dyDescent="0.2">
      <c r="A584" t="s">
        <v>36</v>
      </c>
      <c r="B584" t="s">
        <v>37</v>
      </c>
      <c r="C584" t="s">
        <v>38</v>
      </c>
      <c r="D584" t="s">
        <v>53</v>
      </c>
      <c r="E584" t="s">
        <v>384</v>
      </c>
      <c r="F584" t="s">
        <v>385</v>
      </c>
      <c r="H584" t="s">
        <v>46</v>
      </c>
      <c r="I584">
        <v>2023</v>
      </c>
      <c r="K584" t="s">
        <v>54</v>
      </c>
      <c r="L584">
        <v>20250315</v>
      </c>
      <c r="M584" t="s">
        <v>43</v>
      </c>
      <c r="O584">
        <f t="shared" si="9"/>
        <v>0</v>
      </c>
    </row>
    <row r="585" spans="1:15" x14ac:dyDescent="0.2">
      <c r="A585" t="s">
        <v>36</v>
      </c>
      <c r="B585" t="s">
        <v>37</v>
      </c>
      <c r="C585" t="s">
        <v>38</v>
      </c>
      <c r="D585" t="s">
        <v>51</v>
      </c>
      <c r="E585" t="s">
        <v>386</v>
      </c>
      <c r="F585" t="s">
        <v>387</v>
      </c>
      <c r="H585" t="s">
        <v>46</v>
      </c>
      <c r="I585">
        <v>2023</v>
      </c>
      <c r="J585">
        <v>105.327</v>
      </c>
      <c r="K585" t="s">
        <v>50</v>
      </c>
      <c r="L585">
        <v>20250315</v>
      </c>
      <c r="M585" t="s">
        <v>43</v>
      </c>
      <c r="O585">
        <f t="shared" si="9"/>
        <v>0</v>
      </c>
    </row>
    <row r="586" spans="1:15" x14ac:dyDescent="0.2">
      <c r="A586" t="s">
        <v>36</v>
      </c>
      <c r="B586" t="s">
        <v>37</v>
      </c>
      <c r="C586" t="s">
        <v>38</v>
      </c>
      <c r="D586" t="s">
        <v>53</v>
      </c>
      <c r="E586" t="s">
        <v>386</v>
      </c>
      <c r="F586" t="s">
        <v>387</v>
      </c>
      <c r="H586" t="s">
        <v>46</v>
      </c>
      <c r="I586">
        <v>2023</v>
      </c>
      <c r="K586" t="s">
        <v>54</v>
      </c>
      <c r="L586">
        <v>20250315</v>
      </c>
      <c r="M586" t="s">
        <v>43</v>
      </c>
      <c r="O586">
        <f t="shared" si="9"/>
        <v>0</v>
      </c>
    </row>
    <row r="587" spans="1:15" x14ac:dyDescent="0.2">
      <c r="A587" t="s">
        <v>36</v>
      </c>
      <c r="B587" t="s">
        <v>37</v>
      </c>
      <c r="C587" t="s">
        <v>38</v>
      </c>
      <c r="D587" t="s">
        <v>45</v>
      </c>
      <c r="E587" t="s">
        <v>386</v>
      </c>
      <c r="F587" t="s">
        <v>387</v>
      </c>
      <c r="H587" t="s">
        <v>46</v>
      </c>
      <c r="I587">
        <v>2023</v>
      </c>
      <c r="J587">
        <v>146440.98327</v>
      </c>
      <c r="L587">
        <v>20250315</v>
      </c>
      <c r="M587" t="s">
        <v>43</v>
      </c>
      <c r="O587">
        <f t="shared" si="9"/>
        <v>0</v>
      </c>
    </row>
    <row r="588" spans="1:15" x14ac:dyDescent="0.2">
      <c r="A588" t="s">
        <v>36</v>
      </c>
      <c r="B588" t="s">
        <v>37</v>
      </c>
      <c r="C588" t="s">
        <v>38</v>
      </c>
      <c r="D588" t="s">
        <v>39</v>
      </c>
      <c r="E588" t="s">
        <v>386</v>
      </c>
      <c r="F588" t="s">
        <v>387</v>
      </c>
      <c r="H588" t="s">
        <v>42</v>
      </c>
      <c r="I588">
        <v>2023</v>
      </c>
      <c r="J588">
        <v>658.53252999999995</v>
      </c>
      <c r="K588" t="s">
        <v>388</v>
      </c>
      <c r="L588">
        <v>20250315</v>
      </c>
      <c r="M588" t="s">
        <v>43</v>
      </c>
      <c r="O588">
        <f t="shared" si="9"/>
        <v>0</v>
      </c>
    </row>
    <row r="589" spans="1:15" x14ac:dyDescent="0.2">
      <c r="A589" t="s">
        <v>36</v>
      </c>
      <c r="B589" t="s">
        <v>37</v>
      </c>
      <c r="C589" t="s">
        <v>38</v>
      </c>
      <c r="D589" t="s">
        <v>44</v>
      </c>
      <c r="E589" t="s">
        <v>386</v>
      </c>
      <c r="F589" t="s">
        <v>387</v>
      </c>
      <c r="H589" t="s">
        <v>42</v>
      </c>
      <c r="I589">
        <v>2023</v>
      </c>
      <c r="J589">
        <v>120563.66498</v>
      </c>
      <c r="K589" t="s">
        <v>388</v>
      </c>
      <c r="L589">
        <v>20250315</v>
      </c>
      <c r="M589" t="s">
        <v>43</v>
      </c>
      <c r="O589">
        <f t="shared" si="9"/>
        <v>0</v>
      </c>
    </row>
    <row r="590" spans="1:15" x14ac:dyDescent="0.2">
      <c r="A590" t="s">
        <v>36</v>
      </c>
      <c r="B590" t="s">
        <v>37</v>
      </c>
      <c r="C590" t="s">
        <v>38</v>
      </c>
      <c r="D590" t="s">
        <v>48</v>
      </c>
      <c r="E590" t="s">
        <v>386</v>
      </c>
      <c r="F590" t="s">
        <v>387</v>
      </c>
      <c r="H590" t="s">
        <v>46</v>
      </c>
      <c r="I590">
        <v>2023</v>
      </c>
      <c r="K590" t="s">
        <v>50</v>
      </c>
      <c r="L590">
        <v>20250315</v>
      </c>
      <c r="M590" t="s">
        <v>43</v>
      </c>
      <c r="O590">
        <f t="shared" si="9"/>
        <v>0</v>
      </c>
    </row>
    <row r="591" spans="1:15" x14ac:dyDescent="0.2">
      <c r="A591" t="s">
        <v>36</v>
      </c>
      <c r="B591" t="s">
        <v>37</v>
      </c>
      <c r="C591" t="s">
        <v>38</v>
      </c>
      <c r="D591" t="s">
        <v>52</v>
      </c>
      <c r="E591" t="s">
        <v>386</v>
      </c>
      <c r="F591" t="s">
        <v>387</v>
      </c>
      <c r="H591" t="s">
        <v>46</v>
      </c>
      <c r="I591">
        <v>2023</v>
      </c>
      <c r="J591">
        <v>688.44897000000003</v>
      </c>
      <c r="K591" t="s">
        <v>389</v>
      </c>
      <c r="L591">
        <v>20250315</v>
      </c>
      <c r="M591" t="s">
        <v>43</v>
      </c>
      <c r="O591">
        <f t="shared" si="9"/>
        <v>0</v>
      </c>
    </row>
    <row r="592" spans="1:15" x14ac:dyDescent="0.2">
      <c r="A592" t="s">
        <v>36</v>
      </c>
      <c r="B592" t="s">
        <v>37</v>
      </c>
      <c r="C592" t="s">
        <v>38</v>
      </c>
      <c r="D592" t="s">
        <v>55</v>
      </c>
      <c r="E592" t="s">
        <v>386</v>
      </c>
      <c r="F592" t="s">
        <v>387</v>
      </c>
      <c r="H592" t="s">
        <v>46</v>
      </c>
      <c r="I592">
        <v>2023</v>
      </c>
      <c r="J592">
        <v>41.916020000000003</v>
      </c>
      <c r="K592" t="s">
        <v>178</v>
      </c>
      <c r="L592">
        <v>20250315</v>
      </c>
      <c r="M592" t="s">
        <v>43</v>
      </c>
      <c r="O592">
        <f t="shared" si="9"/>
        <v>0</v>
      </c>
    </row>
    <row r="593" spans="1:15" x14ac:dyDescent="0.2">
      <c r="A593" t="s">
        <v>36</v>
      </c>
      <c r="B593" t="s">
        <v>37</v>
      </c>
      <c r="C593" t="s">
        <v>38</v>
      </c>
      <c r="D593" t="s">
        <v>47</v>
      </c>
      <c r="E593" t="s">
        <v>386</v>
      </c>
      <c r="F593" t="s">
        <v>387</v>
      </c>
      <c r="H593" t="s">
        <v>42</v>
      </c>
      <c r="I593">
        <v>2023</v>
      </c>
      <c r="J593">
        <v>24.91591</v>
      </c>
      <c r="K593" t="s">
        <v>388</v>
      </c>
      <c r="L593">
        <v>20250315</v>
      </c>
      <c r="M593" t="s">
        <v>43</v>
      </c>
      <c r="O593">
        <f t="shared" si="9"/>
        <v>0</v>
      </c>
    </row>
  </sheetData>
  <autoFilter ref="A1:M593" xr:uid="{9AEFF9A4-CE6F-7B4A-9CDB-8DBB6D22BD4C}"/>
  <hyperlinks>
    <hyperlink ref="R2" r:id="rId1" xr:uid="{4F3F2ED8-7D23-BC48-AC7A-61CBAD63ED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Overview</vt:lpstr>
      <vt:lpstr>Free allocation</vt:lpstr>
      <vt:lpstr>Emissions</vt:lpstr>
      <vt:lpstr>Building stock</vt:lpstr>
      <vt:lpstr>CO2 price</vt:lpstr>
      <vt:lpstr>BSO</vt:lpstr>
      <vt:lpstr>municipal_data_etlocal_export</vt:lpstr>
      <vt:lpstr>Eurostat Cars</vt:lpstr>
      <vt:lpstr>Eurostat Buses</vt:lpstr>
      <vt:lpstr>Eurostat Vans and trucks</vt:lpstr>
      <vt:lpstr>CBS</vt:lpstr>
      <vt:lpstr>UNFCCC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Wouter Terlouw</dc:creator>
  <cp:lastModifiedBy>Mathijs Bijkerk</cp:lastModifiedBy>
  <dcterms:created xsi:type="dcterms:W3CDTF">2014-06-16T12:25:15Z</dcterms:created>
  <dcterms:modified xsi:type="dcterms:W3CDTF">2025-09-16T10:07:13Z</dcterms:modified>
</cp:coreProperties>
</file>