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showInkAnnotation="0" autoCompressPictures="0"/>
  <mc:AlternateContent xmlns:mc="http://schemas.openxmlformats.org/markup-compatibility/2006">
    <mc:Choice Requires="x15">
      <x15ac:absPath xmlns:x15ac="http://schemas.microsoft.com/office/spreadsheetml/2010/11/ac" url="/Users/mathijsbijkerk/Github/etdataset/source_analyses/nl/2023/3_primary_production/"/>
    </mc:Choice>
  </mc:AlternateContent>
  <xr:revisionPtr revIDLastSave="0" documentId="13_ncr:1_{478B4C52-4D4D-CF4E-AAED-D16FFAEDAFFF}" xr6:coauthVersionLast="47" xr6:coauthVersionMax="47" xr10:uidLastSave="{00000000-0000-0000-0000-000000000000}"/>
  <bookViews>
    <workbookView xWindow="14480" yWindow="-33340" windowWidth="30080" windowHeight="16200" tabRatio="500" xr2:uid="{00000000-000D-0000-FFFF-FFFF00000000}"/>
  </bookViews>
  <sheets>
    <sheet name="Overview" sheetId="10" r:id="rId1"/>
    <sheet name="LNG" sheetId="15" r:id="rId2"/>
    <sheet name="Biomass" sheetId="21" r:id="rId3"/>
    <sheet name="Waste" sheetId="16" r:id="rId4"/>
    <sheet name="Waste - Eurostat raw" sheetId="19" r:id="rId5"/>
  </sheets>
  <externalReferences>
    <externalReference r:id="rId6"/>
  </externalReferences>
  <definedNames>
    <definedName name="Final_demand_space_heating">[1]Dashboard!$E$23</definedName>
    <definedName name="TWh_to_TJ">#REF!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4" i="10" l="1"/>
  <c r="C6" i="10"/>
  <c r="C2" i="10" l="1"/>
  <c r="C3" i="10" l="1"/>
  <c r="D12" i="16" l="1"/>
  <c r="D11" i="16"/>
  <c r="F7" i="16"/>
  <c r="F6" i="16"/>
  <c r="F11" i="16"/>
  <c r="E11" i="16"/>
  <c r="D7" i="16"/>
  <c r="E7" i="16"/>
  <c r="C7" i="16"/>
  <c r="E6" i="16"/>
  <c r="D6" i="16"/>
  <c r="C6" i="16"/>
  <c r="F12" i="16"/>
  <c r="E12" i="16"/>
  <c r="C12" i="16"/>
  <c r="C11" i="16"/>
  <c r="D17" i="16" l="1"/>
  <c r="G12" i="16"/>
  <c r="F17" i="16"/>
  <c r="E17" i="16"/>
  <c r="G17" i="16" l="1"/>
  <c r="E22" i="16" s="1"/>
  <c r="G11" i="16"/>
  <c r="C10" i="10"/>
  <c r="F22" i="16" l="1"/>
</calcChain>
</file>

<file path=xl/sharedStrings.xml><?xml version="1.0" encoding="utf-8"?>
<sst xmlns="http://schemas.openxmlformats.org/spreadsheetml/2006/main" count="166" uniqueCount="98">
  <si>
    <t>value</t>
  </si>
  <si>
    <t>unit</t>
  </si>
  <si>
    <t>comment</t>
  </si>
  <si>
    <t>%</t>
  </si>
  <si>
    <t>category</t>
  </si>
  <si>
    <t>sub category</t>
  </si>
  <si>
    <t>Domestic production in 2023</t>
  </si>
  <si>
    <t>Wet biomass</t>
  </si>
  <si>
    <t>Dry biomass</t>
  </si>
  <si>
    <t>Oily biomass</t>
  </si>
  <si>
    <t>Domestic production maximum</t>
  </si>
  <si>
    <t>Biogenic waste</t>
  </si>
  <si>
    <t>Non-biogenic waste</t>
  </si>
  <si>
    <t>TJ</t>
  </si>
  <si>
    <t>LNG</t>
  </si>
  <si>
    <t>Green gas</t>
  </si>
  <si>
    <t>Share of green gas produced through wet biomass gasification</t>
  </si>
  <si>
    <t>Share of green gas produced through dry biomass gasification</t>
  </si>
  <si>
    <t>Share of green gas produced through wet biomass fermentation</t>
  </si>
  <si>
    <t>Aardgasbalans; aanbod en verbruik</t>
  </si>
  <si>
    <t>Aanbod van aardgas</t>
  </si>
  <si>
    <t>Invoer vloeibaar aardgas (LNG), totaal</t>
  </si>
  <si>
    <t>mln m3</t>
  </si>
  <si>
    <t>Share of LNG in total primary natural gas supply</t>
  </si>
  <si>
    <t>Winning uit bodem</t>
  </si>
  <si>
    <t>Productie uit andere bronnen</t>
  </si>
  <si>
    <t>Invoer van gasvorming aardgas, totaal</t>
  </si>
  <si>
    <t>CBS</t>
  </si>
  <si>
    <t>Eurostat</t>
  </si>
  <si>
    <t>Energy balance guide</t>
  </si>
  <si>
    <t>CBS (2023) Aardgasbalans; aanbod en verbruik gives the import and export of LNG for the Netherlands in 2023. See https://opendata.cbs.nl/statline/#/CBS/nl/dataset/00372?ts=1748873694280.
However, Eurostat does not take transit into account for import and export on their energy balance. This means the total import and export on the energy balance is much lower than the numbers reported by CBS. Therefore, instead of the actual import of LNG, the share of LNG import in total supply is calculated using CBS.</t>
  </si>
  <si>
    <t>Waste source analysis</t>
  </si>
  <si>
    <t>GEO/WST_OPER</t>
  </si>
  <si>
    <t>Waste generated</t>
  </si>
  <si>
    <t>Incineration / disposal (D10)</t>
  </si>
  <si>
    <t>Material recycling</t>
  </si>
  <si>
    <t>Composting and digestion</t>
  </si>
  <si>
    <t>European Union (28 countries)</t>
  </si>
  <si>
    <t>Netherlands</t>
  </si>
  <si>
    <t>Country</t>
  </si>
  <si>
    <t>Total waste production (Mt)</t>
  </si>
  <si>
    <t>Total incineration with energy recovery (Mt)</t>
  </si>
  <si>
    <t>Total recycling (Mt)</t>
  </si>
  <si>
    <t>Total composting (Mt)</t>
  </si>
  <si>
    <t>Available for incineration with energy recovery (Mt)</t>
  </si>
  <si>
    <t>NL</t>
  </si>
  <si>
    <t>EU</t>
  </si>
  <si>
    <t>Source</t>
  </si>
  <si>
    <t>[1]</t>
  </si>
  <si>
    <t>Total incineration with energy recovery (%)</t>
  </si>
  <si>
    <t>Total recycling (%)</t>
  </si>
  <si>
    <t>Total composting (%)</t>
  </si>
  <si>
    <t>Available for incineration with energy recovery (%)</t>
  </si>
  <si>
    <t>Biogenic</t>
  </si>
  <si>
    <t xml:space="preserve">Non-biogenic </t>
  </si>
  <si>
    <t>Max biogenic</t>
  </si>
  <si>
    <t>Max non-biogenic</t>
  </si>
  <si>
    <t>[2]</t>
  </si>
  <si>
    <t>References</t>
  </si>
  <si>
    <t>Thousand tonnes</t>
  </si>
  <si>
    <t>Data extracted on 03/06/2025 11:13:19 from [ESTAT]</t>
  </si>
  <si>
    <t xml:space="preserve">Dataset: </t>
  </si>
  <si>
    <t>Municipal waste by waste management operations [env_wasmun__custom_16952031]</t>
  </si>
  <si>
    <t xml:space="preserve">Last updated: </t>
  </si>
  <si>
    <t>13/02/2025 11:00</t>
  </si>
  <si>
    <t>Time frequency</t>
  </si>
  <si>
    <t>Annual</t>
  </si>
  <si>
    <t>Unit of measure</t>
  </si>
  <si>
    <t>Time</t>
  </si>
  <si>
    <t>2023</t>
  </si>
  <si>
    <t>WST_OPER (Labels)</t>
  </si>
  <si>
    <t/>
  </si>
  <si>
    <t>Waste treatment</t>
  </si>
  <si>
    <t>Recycling - material</t>
  </si>
  <si>
    <t>Recycling - composting and digestion</t>
  </si>
  <si>
    <t>GEO (Labels)</t>
  </si>
  <si>
    <t>European Union - 27 countries (from 2020)</t>
  </si>
  <si>
    <t>i</t>
  </si>
  <si>
    <t>Special value</t>
  </si>
  <si>
    <t>:</t>
  </si>
  <si>
    <t>not available</t>
  </si>
  <si>
    <t>Observation flags:</t>
  </si>
  <si>
    <t>value imputed by Eurostat or other receiving agencies</t>
  </si>
  <si>
    <t>Waste production in 2023 (Mt)</t>
  </si>
  <si>
    <t>Disposal - incineration (D10) and recovery - energy recovery (R1)</t>
  </si>
  <si>
    <t>[1] Eurostat (2023) Municipal waste (env_wasmun) https://doi.org/10.2908/ENV_WASMUN</t>
  </si>
  <si>
    <t>[2] Quintel (2023) Primary production analysis. Value derived from Eurostat energy balance (2023).</t>
  </si>
  <si>
    <t>Nationale balans vaste biomassa: productie en verbruik; energiedragers</t>
  </si>
  <si>
    <t>Winning</t>
  </si>
  <si>
    <t>Houtige biomassa totaal</t>
  </si>
  <si>
    <t>Niet houtige-biomassa totaal</t>
  </si>
  <si>
    <t>CBS (2023) Nationale balans vaste biomassa: productie en verbruik; energiedragers gives the domestic production of solid, non-woody biomass. See https://opendata.cbs.nl/statline/#/CBS/nl/dataset/85899NED/table?ts=1748946872021</t>
  </si>
  <si>
    <t>CBS (2023) Nationale balans vaste biomassa: productie en verbruik; energiedragers gives the domestic production of solid, woody biomass. See https://opendata.cbs.nl/statline/#/CBS/nl/dataset/85899NED/table?ts=1748946872021</t>
  </si>
  <si>
    <t>Dry/wood biomass</t>
  </si>
  <si>
    <t>TNO - onderzoek biomassa in opdracht van Quintel (https://docs.energytransitionmodel.com/main/biomass)</t>
  </si>
  <si>
    <t>Eurostat (2023) Municipal waste by waste management operations used to estimate maximum waste production. Same method as used for nl2019. Should be updated at some point.</t>
  </si>
  <si>
    <t>Same value assumed as the maximum potential and as for nl2019. Should be updated at some point.</t>
  </si>
  <si>
    <t>Assumption, all green gas production from biogas fermentation as conventional technology. Biomass gasification is still a relatively new technology. See https://www.rvo.nl/onderwerpen/bio-energie/vergisting-en-vergassing.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</si>
</sst>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Calibri"/>
      <family val="2"/>
      <scheme val="minor"/>
    </font>
    <font>
      <sz val="11"/>
      <color indexed="8"/>
      <name val="Calibri"/>
      <family val="2"/>
      <scheme val="minor"/>
    </font>
    <font>
      <b/>
      <sz val="12"/>
      <color theme="1"/>
      <name val="Calibri"/>
      <family val="2"/>
      <scheme val="minor"/>
    </font>
    <font>
      <b/>
      <sz val="16"/>
      <color theme="1"/>
      <name val="Calibri"/>
      <family val="2"/>
      <scheme val="minor"/>
    </font>
    <font>
      <b/>
      <sz val="12"/>
      <color rgb="FFFF0000"/>
      <name val="Calibri"/>
      <family val="2"/>
      <scheme val="minor"/>
    </font>
    <font>
      <sz val="12"/>
      <name val="Calibri"/>
      <family val="2"/>
      <scheme val="minor"/>
    </font>
    <font>
      <sz val="9"/>
      <name val="Arial"/>
      <family val="2"/>
    </font>
    <font>
      <b/>
      <sz val="9"/>
      <name val="Arial"/>
      <family val="2"/>
    </font>
    <font>
      <b/>
      <sz val="9"/>
      <color indexed="9"/>
      <name val="Arial"/>
      <family val="2"/>
    </font>
  </fonts>
  <fills count="8">
    <fill>
      <patternFill patternType="none"/>
    </fill>
    <fill>
      <patternFill patternType="gray125"/>
    </fill>
    <fill>
      <patternFill patternType="solid">
        <fgColor theme="0"/>
        <bgColor indexed="64"/>
      </patternFill>
    </fill>
    <fill>
      <patternFill patternType="solid">
        <fgColor rgb="FF4669AF"/>
      </patternFill>
    </fill>
    <fill>
      <patternFill patternType="solid">
        <fgColor rgb="FF0096DC"/>
      </patternFill>
    </fill>
    <fill>
      <patternFill patternType="mediumGray">
        <bgColor indexed="22"/>
      </patternFill>
    </fill>
    <fill>
      <patternFill patternType="solid">
        <fgColor rgb="FFDCE6F1"/>
      </patternFill>
    </fill>
    <fill>
      <patternFill patternType="solid">
        <fgColor rgb="FFF6F6F6"/>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rgb="FFB0B0B0"/>
      </left>
      <right style="thin">
        <color rgb="FFB0B0B0"/>
      </right>
      <top style="thin">
        <color rgb="FFB0B0B0"/>
      </top>
      <bottom style="thin">
        <color rgb="FFB0B0B0"/>
      </bottom>
      <diagonal/>
    </border>
  </borders>
  <cellStyleXfs count="8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3" fillId="0" borderId="0" applyFont="0" applyFill="0" applyBorder="0" applyAlignment="0" applyProtection="0"/>
    <xf numFmtId="0" fontId="4" fillId="0" borderId="0"/>
  </cellStyleXfs>
  <cellXfs count="65">
    <xf numFmtId="0" fontId="0" fillId="0" borderId="0" xfId="0"/>
    <xf numFmtId="0" fontId="5" fillId="0" borderId="0" xfId="0" applyFont="1"/>
    <xf numFmtId="0" fontId="0" fillId="0" borderId="0" xfId="0" applyAlignment="1">
      <alignment wrapText="1"/>
    </xf>
    <xf numFmtId="1"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5" fillId="0" borderId="4" xfId="0" applyFont="1" applyBorder="1"/>
    <xf numFmtId="0" fontId="5" fillId="0" borderId="0" xfId="0" applyFont="1" applyBorder="1"/>
    <xf numFmtId="0" fontId="0" fillId="0" borderId="6" xfId="0" applyBorder="1"/>
    <xf numFmtId="0" fontId="0" fillId="0" borderId="7" xfId="0" applyBorder="1"/>
    <xf numFmtId="0" fontId="0" fillId="0" borderId="8" xfId="0" applyBorder="1"/>
    <xf numFmtId="0" fontId="0" fillId="2" borderId="0" xfId="0" applyFill="1"/>
    <xf numFmtId="0" fontId="5" fillId="2" borderId="0" xfId="0" applyFont="1" applyFill="1"/>
    <xf numFmtId="0" fontId="0" fillId="0" borderId="1" xfId="0" applyFill="1" applyBorder="1"/>
    <xf numFmtId="0" fontId="0" fillId="0" borderId="2" xfId="0" applyFill="1" applyBorder="1"/>
    <xf numFmtId="0" fontId="0" fillId="0" borderId="3" xfId="0" applyFill="1" applyBorder="1"/>
    <xf numFmtId="0" fontId="0" fillId="0" borderId="4" xfId="0" applyFill="1" applyBorder="1"/>
    <xf numFmtId="0" fontId="0" fillId="0" borderId="0" xfId="0" applyFill="1" applyBorder="1"/>
    <xf numFmtId="0" fontId="0" fillId="0" borderId="5" xfId="0" applyFill="1" applyBorder="1"/>
    <xf numFmtId="0" fontId="0" fillId="0" borderId="6" xfId="0" applyFill="1" applyBorder="1"/>
    <xf numFmtId="0" fontId="0" fillId="0" borderId="7" xfId="0" applyFill="1" applyBorder="1"/>
    <xf numFmtId="0" fontId="0" fillId="0" borderId="8" xfId="0" applyFill="1" applyBorder="1"/>
    <xf numFmtId="0" fontId="6" fillId="0" borderId="0" xfId="0" applyFont="1"/>
    <xf numFmtId="3" fontId="0" fillId="0" borderId="0" xfId="0" applyNumberFormat="1"/>
    <xf numFmtId="164" fontId="0" fillId="0" borderId="0" xfId="0" applyNumberFormat="1"/>
    <xf numFmtId="3" fontId="5" fillId="0" borderId="0" xfId="0" applyNumberFormat="1" applyFont="1"/>
    <xf numFmtId="164" fontId="5" fillId="0" borderId="0" xfId="0" applyNumberFormat="1" applyFont="1"/>
    <xf numFmtId="164" fontId="7" fillId="0" borderId="0" xfId="0" applyNumberFormat="1" applyFont="1"/>
    <xf numFmtId="0" fontId="0" fillId="0" borderId="9" xfId="0" applyBorder="1" applyAlignment="1">
      <alignment wrapText="1"/>
    </xf>
    <xf numFmtId="0" fontId="0" fillId="0" borderId="2" xfId="0" applyBorder="1" applyAlignment="1">
      <alignment wrapText="1"/>
    </xf>
    <xf numFmtId="3" fontId="0" fillId="0" borderId="10" xfId="0" applyNumberFormat="1" applyBorder="1"/>
    <xf numFmtId="0" fontId="5" fillId="0" borderId="9" xfId="0" applyFont="1" applyBorder="1" applyAlignment="1">
      <alignment wrapText="1"/>
    </xf>
    <xf numFmtId="3" fontId="5" fillId="0" borderId="9" xfId="0" applyNumberFormat="1" applyFont="1" applyBorder="1" applyAlignment="1">
      <alignment wrapText="1"/>
    </xf>
    <xf numFmtId="164" fontId="5" fillId="0" borderId="9" xfId="0" applyNumberFormat="1" applyFont="1" applyBorder="1" applyAlignment="1">
      <alignment wrapText="1"/>
    </xf>
    <xf numFmtId="3" fontId="0" fillId="0" borderId="0" xfId="0" applyNumberFormat="1" applyAlignment="1">
      <alignment wrapText="1"/>
    </xf>
    <xf numFmtId="3" fontId="0" fillId="0" borderId="9" xfId="0" applyNumberFormat="1" applyBorder="1" applyAlignment="1">
      <alignment horizontal="right"/>
    </xf>
    <xf numFmtId="0" fontId="5" fillId="0" borderId="2" xfId="0" applyFont="1" applyBorder="1" applyAlignment="1">
      <alignment horizontal="left" vertical="center" wrapText="1"/>
    </xf>
    <xf numFmtId="3" fontId="5" fillId="0" borderId="2" xfId="0" applyNumberFormat="1" applyFont="1" applyBorder="1" applyAlignment="1">
      <alignment horizontal="left" vertical="center" wrapText="1"/>
    </xf>
    <xf numFmtId="3" fontId="5" fillId="0" borderId="2" xfId="0" applyNumberFormat="1" applyFont="1" applyBorder="1" applyAlignment="1">
      <alignment horizontal="left" vertical="center"/>
    </xf>
    <xf numFmtId="3" fontId="5" fillId="0" borderId="2" xfId="0" applyNumberFormat="1" applyFont="1" applyBorder="1" applyAlignment="1">
      <alignment horizontal="left" vertical="center"/>
    </xf>
    <xf numFmtId="0" fontId="5" fillId="0" borderId="7" xfId="0" applyFont="1" applyBorder="1" applyAlignment="1">
      <alignment horizontal="left" vertical="center" wrapText="1"/>
    </xf>
    <xf numFmtId="3" fontId="5" fillId="0" borderId="7" xfId="0" applyNumberFormat="1" applyFont="1" applyBorder="1" applyAlignment="1">
      <alignment horizontal="left" vertical="center" wrapText="1"/>
    </xf>
    <xf numFmtId="3" fontId="0" fillId="0" borderId="7" xfId="0" applyNumberFormat="1" applyBorder="1" applyAlignment="1">
      <alignment horizontal="left" vertical="center" wrapText="1"/>
    </xf>
    <xf numFmtId="0" fontId="8" fillId="0" borderId="9" xfId="0" applyFont="1" applyBorder="1"/>
    <xf numFmtId="3" fontId="0" fillId="0" borderId="9" xfId="0" applyNumberFormat="1" applyBorder="1"/>
    <xf numFmtId="0" fontId="0" fillId="0" borderId="0" xfId="0" applyAlignment="1">
      <alignment horizontal="left" wrapText="1"/>
    </xf>
    <xf numFmtId="0" fontId="9" fillId="0" borderId="0" xfId="86" applyFont="1" applyAlignment="1">
      <alignment horizontal="left" vertical="center"/>
    </xf>
    <xf numFmtId="0" fontId="4" fillId="0" borderId="0" xfId="86"/>
    <xf numFmtId="0" fontId="10" fillId="0" borderId="0" xfId="86" applyFont="1" applyAlignment="1">
      <alignment horizontal="left" vertical="center"/>
    </xf>
    <xf numFmtId="0" fontId="11" fillId="3" borderId="11" xfId="86" applyFont="1" applyFill="1" applyBorder="1" applyAlignment="1">
      <alignment horizontal="right" vertical="center"/>
    </xf>
    <xf numFmtId="0" fontId="11" fillId="3" borderId="11" xfId="86" applyFont="1" applyFill="1" applyBorder="1" applyAlignment="1">
      <alignment horizontal="left" vertical="center"/>
    </xf>
    <xf numFmtId="0" fontId="10" fillId="4" borderId="11" xfId="86" applyFont="1" applyFill="1" applyBorder="1" applyAlignment="1">
      <alignment horizontal="left" vertical="center"/>
    </xf>
    <xf numFmtId="0" fontId="4" fillId="5" borderId="0" xfId="86" applyFill="1"/>
    <xf numFmtId="0" fontId="10" fillId="6" borderId="11" xfId="86" applyFont="1" applyFill="1" applyBorder="1" applyAlignment="1">
      <alignment horizontal="left" vertical="center"/>
    </xf>
    <xf numFmtId="3" fontId="9" fillId="0" borderId="0" xfId="86" applyNumberFormat="1" applyFont="1" applyAlignment="1">
      <alignment horizontal="right" vertical="center" shrinkToFit="1"/>
    </xf>
    <xf numFmtId="3" fontId="9" fillId="7" borderId="0" xfId="86" applyNumberFormat="1" applyFont="1" applyFill="1" applyAlignment="1">
      <alignment horizontal="right" vertical="center" shrinkToFit="1"/>
    </xf>
    <xf numFmtId="0" fontId="11" fillId="3" borderId="11" xfId="0" applyFont="1" applyFill="1" applyBorder="1" applyAlignment="1">
      <alignment horizontal="left" vertical="center"/>
    </xf>
    <xf numFmtId="0" fontId="0" fillId="5" borderId="0" xfId="0" applyFill="1"/>
    <xf numFmtId="3" fontId="9" fillId="0" borderId="0" xfId="0" applyNumberFormat="1" applyFont="1" applyAlignment="1">
      <alignment horizontal="right" vertical="center" shrinkToFit="1"/>
    </xf>
    <xf numFmtId="3" fontId="9" fillId="7" borderId="0" xfId="0" applyNumberFormat="1" applyFont="1" applyFill="1" applyAlignment="1">
      <alignment horizontal="right" vertical="center" shrinkToFit="1"/>
    </xf>
  </cellXfs>
  <cellStyles count="8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Normal" xfId="0" builtinId="0"/>
    <cellStyle name="Normal 2" xfId="86" xr:uid="{1EA803E7-E6C2-0E47-B789-D022251BE372}"/>
    <cellStyle name="Percent 2" xfId="85" xr:uid="{00000000-0005-0000-0000-000056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342900</xdr:colOff>
      <xdr:row>11</xdr:row>
      <xdr:rowOff>50800</xdr:rowOff>
    </xdr:from>
    <xdr:to>
      <xdr:col>7</xdr:col>
      <xdr:colOff>596900</xdr:colOff>
      <xdr:row>18</xdr:row>
      <xdr:rowOff>104408</xdr:rowOff>
    </xdr:to>
    <xdr:pic>
      <xdr:nvPicPr>
        <xdr:cNvPr id="2" name="Picture 1">
          <a:extLst>
            <a:ext uri="{FF2B5EF4-FFF2-40B4-BE49-F238E27FC236}">
              <a16:creationId xmlns:a16="http://schemas.microsoft.com/office/drawing/2014/main" id="{9C659FC6-B14D-AB68-2380-38D6997D9246}"/>
            </a:ext>
          </a:extLst>
        </xdr:cNvPr>
        <xdr:cNvPicPr>
          <a:picLocks noChangeAspect="1"/>
        </xdr:cNvPicPr>
      </xdr:nvPicPr>
      <xdr:blipFill>
        <a:blip xmlns:r="http://schemas.openxmlformats.org/officeDocument/2006/relationships" r:embed="rId1"/>
        <a:stretch>
          <a:fillRect/>
        </a:stretch>
      </xdr:blipFill>
      <xdr:spPr>
        <a:xfrm>
          <a:off x="342900" y="1270000"/>
          <a:ext cx="7772400" cy="1476008"/>
        </a:xfrm>
        <a:prstGeom prst="rect">
          <a:avLst/>
        </a:prstGeom>
      </xdr:spPr>
    </xdr:pic>
    <xdr:clientData/>
  </xdr:twoCellAnchor>
  <xdr:twoCellAnchor editAs="oneCell">
    <xdr:from>
      <xdr:col>1</xdr:col>
      <xdr:colOff>203200</xdr:colOff>
      <xdr:row>24</xdr:row>
      <xdr:rowOff>0</xdr:rowOff>
    </xdr:from>
    <xdr:to>
      <xdr:col>7</xdr:col>
      <xdr:colOff>457200</xdr:colOff>
      <xdr:row>41</xdr:row>
      <xdr:rowOff>142240</xdr:rowOff>
    </xdr:to>
    <xdr:pic>
      <xdr:nvPicPr>
        <xdr:cNvPr id="3" name="Picture 2">
          <a:extLst>
            <a:ext uri="{FF2B5EF4-FFF2-40B4-BE49-F238E27FC236}">
              <a16:creationId xmlns:a16="http://schemas.microsoft.com/office/drawing/2014/main" id="{752FA608-9167-D61B-428F-9D1ABEBA667E}"/>
            </a:ext>
          </a:extLst>
        </xdr:cNvPr>
        <xdr:cNvPicPr>
          <a:picLocks noChangeAspect="1"/>
        </xdr:cNvPicPr>
      </xdr:nvPicPr>
      <xdr:blipFill>
        <a:blip xmlns:r="http://schemas.openxmlformats.org/officeDocument/2006/relationships" r:embed="rId2"/>
        <a:stretch>
          <a:fillRect/>
        </a:stretch>
      </xdr:blipFill>
      <xdr:spPr>
        <a:xfrm>
          <a:off x="1028700" y="4876800"/>
          <a:ext cx="7772400" cy="3596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tlubben/Projects/etdataset/analyses/7_servi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Final demand per energy carrier"/>
      <sheetName val="Technology split final demand"/>
      <sheetName val="Final demand extracted from EB"/>
      <sheetName val="Fuel aggregation"/>
      <sheetName val="Tech split of useful demand"/>
      <sheetName val="csv_ps_final_demand_lighting"/>
      <sheetName val="csv_ps_space_heating_electricit"/>
      <sheetName val="csv_ps_cooling_electricity"/>
      <sheetName val="csv_ps_space_heating_gas"/>
      <sheetName val="csv_ps_final_demand_coal"/>
      <sheetName val="csv_ps_final_demand_gas"/>
      <sheetName val="csv_ps_final_demand_oil"/>
      <sheetName val="csv_ps_final_demand_electricity"/>
      <sheetName val="csv_ps_final_demand_wood_p"/>
      <sheetName val="csv_heating_useful_insulation"/>
      <sheetName val="csv_cooling_useful_insulation"/>
      <sheetName val="csv_light_saving_detection"/>
      <sheetName val="csv_light_saving_control"/>
      <sheetName val="csv_ps_sector_electric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F049-9CF7-F84F-A9F0-416E926A5E40}">
  <dimension ref="A1:E30"/>
  <sheetViews>
    <sheetView tabSelected="1" zoomScaleNormal="100" workbookViewId="0">
      <selection activeCell="B48" sqref="B48"/>
    </sheetView>
  </sheetViews>
  <sheetFormatPr baseColWidth="10" defaultRowHeight="16" x14ac:dyDescent="0.2"/>
  <cols>
    <col min="1" max="1" width="30.5" customWidth="1"/>
    <col min="2" max="2" width="72.33203125" bestFit="1" customWidth="1"/>
    <col min="5" max="5" width="169.6640625" customWidth="1"/>
  </cols>
  <sheetData>
    <row r="1" spans="1:5" x14ac:dyDescent="0.2">
      <c r="A1" s="1" t="s">
        <v>4</v>
      </c>
      <c r="B1" s="1" t="s">
        <v>5</v>
      </c>
      <c r="C1" s="1" t="s">
        <v>0</v>
      </c>
      <c r="D1" s="1" t="s">
        <v>1</v>
      </c>
      <c r="E1" s="1" t="s">
        <v>2</v>
      </c>
    </row>
    <row r="2" spans="1:5" ht="34" x14ac:dyDescent="0.2">
      <c r="A2" t="s">
        <v>6</v>
      </c>
      <c r="B2" t="s">
        <v>7</v>
      </c>
      <c r="C2">
        <f>Biomass!D8</f>
        <v>16143</v>
      </c>
      <c r="D2" t="s">
        <v>13</v>
      </c>
      <c r="E2" s="2" t="s">
        <v>91</v>
      </c>
    </row>
    <row r="3" spans="1:5" ht="34" x14ac:dyDescent="0.2">
      <c r="A3" t="s">
        <v>6</v>
      </c>
      <c r="B3" t="s">
        <v>93</v>
      </c>
      <c r="C3">
        <f>Biomass!D7</f>
        <v>48926</v>
      </c>
      <c r="D3" t="s">
        <v>13</v>
      </c>
      <c r="E3" s="2" t="s">
        <v>92</v>
      </c>
    </row>
    <row r="4" spans="1:5" x14ac:dyDescent="0.2">
      <c r="A4" t="s">
        <v>6</v>
      </c>
      <c r="B4" t="s">
        <v>9</v>
      </c>
      <c r="C4">
        <f>C9</f>
        <v>10500</v>
      </c>
      <c r="D4" t="s">
        <v>13</v>
      </c>
      <c r="E4" t="s">
        <v>96</v>
      </c>
    </row>
    <row r="5" spans="1:5" x14ac:dyDescent="0.2">
      <c r="A5" t="s">
        <v>10</v>
      </c>
      <c r="B5" t="s">
        <v>11</v>
      </c>
      <c r="C5">
        <v>21382</v>
      </c>
      <c r="D5" t="s">
        <v>13</v>
      </c>
      <c r="E5" t="s">
        <v>94</v>
      </c>
    </row>
    <row r="6" spans="1:5" x14ac:dyDescent="0.2">
      <c r="A6" t="s">
        <v>10</v>
      </c>
      <c r="B6" t="s">
        <v>12</v>
      </c>
      <c r="C6" s="28">
        <f>ROUND(Waste!F22,0)</f>
        <v>31694</v>
      </c>
      <c r="D6" t="s">
        <v>13</v>
      </c>
      <c r="E6" t="s">
        <v>95</v>
      </c>
    </row>
    <row r="7" spans="1:5" ht="17" x14ac:dyDescent="0.2">
      <c r="A7" t="s">
        <v>10</v>
      </c>
      <c r="B7" t="s">
        <v>7</v>
      </c>
      <c r="C7">
        <v>109873</v>
      </c>
      <c r="D7" t="s">
        <v>13</v>
      </c>
      <c r="E7" s="2" t="s">
        <v>94</v>
      </c>
    </row>
    <row r="8" spans="1:5" x14ac:dyDescent="0.2">
      <c r="A8" t="s">
        <v>10</v>
      </c>
      <c r="B8" t="s">
        <v>8</v>
      </c>
      <c r="C8">
        <v>62160</v>
      </c>
      <c r="D8" t="s">
        <v>13</v>
      </c>
      <c r="E8" t="s">
        <v>94</v>
      </c>
    </row>
    <row r="9" spans="1:5" x14ac:dyDescent="0.2">
      <c r="A9" t="s">
        <v>10</v>
      </c>
      <c r="B9" t="s">
        <v>9</v>
      </c>
      <c r="C9">
        <v>10500</v>
      </c>
      <c r="D9" t="s">
        <v>13</v>
      </c>
      <c r="E9" t="s">
        <v>94</v>
      </c>
    </row>
    <row r="10" spans="1:5" ht="68" x14ac:dyDescent="0.2">
      <c r="A10" t="s">
        <v>14</v>
      </c>
      <c r="B10" t="s">
        <v>23</v>
      </c>
      <c r="C10" s="4">
        <f>LNG!D10/SUM(LNG!D7:D10)*100</f>
        <v>36.870010723221732</v>
      </c>
      <c r="D10" t="s">
        <v>3</v>
      </c>
      <c r="E10" s="2" t="s">
        <v>30</v>
      </c>
    </row>
    <row r="11" spans="1:5" ht="34" x14ac:dyDescent="0.2">
      <c r="A11" t="s">
        <v>15</v>
      </c>
      <c r="B11" t="s">
        <v>18</v>
      </c>
      <c r="C11">
        <v>100</v>
      </c>
      <c r="D11" t="s">
        <v>3</v>
      </c>
      <c r="E11" s="2" t="s">
        <v>97</v>
      </c>
    </row>
    <row r="12" spans="1:5" ht="34" x14ac:dyDescent="0.2">
      <c r="A12" t="s">
        <v>15</v>
      </c>
      <c r="B12" t="s">
        <v>16</v>
      </c>
      <c r="C12">
        <v>0</v>
      </c>
      <c r="D12" t="s">
        <v>3</v>
      </c>
      <c r="E12" s="2" t="s">
        <v>97</v>
      </c>
    </row>
    <row r="13" spans="1:5" ht="34" x14ac:dyDescent="0.2">
      <c r="A13" t="s">
        <v>15</v>
      </c>
      <c r="B13" t="s">
        <v>17</v>
      </c>
      <c r="C13">
        <v>0</v>
      </c>
      <c r="D13" t="s">
        <v>3</v>
      </c>
      <c r="E13" s="2" t="s">
        <v>97</v>
      </c>
    </row>
    <row r="30" spans="3:3" x14ac:dyDescent="0.2">
      <c r="C3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CD04-2189-1E47-9C20-EDBD09227D15}">
  <dimension ref="B3:H43"/>
  <sheetViews>
    <sheetView workbookViewId="0">
      <selection activeCell="B85" sqref="B85"/>
    </sheetView>
  </sheetViews>
  <sheetFormatPr baseColWidth="10" defaultRowHeight="16" x14ac:dyDescent="0.2"/>
  <cols>
    <col min="1" max="1" width="10.83203125" style="16" customWidth="1"/>
    <col min="2" max="2" width="33" style="16" bestFit="1" customWidth="1"/>
    <col min="3" max="5" width="10.83203125" style="16"/>
    <col min="6" max="6" width="22.33203125" style="16" customWidth="1"/>
    <col min="7" max="8" width="10.83203125" style="16"/>
    <col min="9" max="9" width="12.1640625" style="16" bestFit="1" customWidth="1"/>
    <col min="10" max="16384" width="10.83203125" style="16"/>
  </cols>
  <sheetData>
    <row r="3" spans="2:8" x14ac:dyDescent="0.2">
      <c r="B3" s="17" t="s">
        <v>27</v>
      </c>
    </row>
    <row r="4" spans="2:8" x14ac:dyDescent="0.2">
      <c r="B4" s="5" t="s">
        <v>19</v>
      </c>
      <c r="C4" s="6"/>
      <c r="D4" s="6"/>
      <c r="E4" s="6"/>
      <c r="F4" s="6"/>
      <c r="G4" s="6"/>
      <c r="H4" s="7"/>
    </row>
    <row r="5" spans="2:8" x14ac:dyDescent="0.2">
      <c r="B5" s="8"/>
      <c r="C5" s="9"/>
      <c r="D5" s="9"/>
      <c r="E5"/>
      <c r="F5"/>
      <c r="G5"/>
      <c r="H5" s="10"/>
    </row>
    <row r="6" spans="2:8" x14ac:dyDescent="0.2">
      <c r="B6" s="11" t="s">
        <v>20</v>
      </c>
      <c r="C6" s="9"/>
      <c r="D6" s="12">
        <v>2023</v>
      </c>
      <c r="E6"/>
      <c r="F6"/>
      <c r="G6"/>
      <c r="H6" s="10"/>
    </row>
    <row r="7" spans="2:8" x14ac:dyDescent="0.2">
      <c r="B7" s="8" t="s">
        <v>24</v>
      </c>
      <c r="C7" s="9" t="s">
        <v>22</v>
      </c>
      <c r="D7">
        <v>11206</v>
      </c>
      <c r="E7"/>
      <c r="F7"/>
      <c r="G7"/>
      <c r="H7" s="10"/>
    </row>
    <row r="8" spans="2:8" x14ac:dyDescent="0.2">
      <c r="B8" s="8" t="s">
        <v>25</v>
      </c>
      <c r="C8" s="9" t="s">
        <v>22</v>
      </c>
      <c r="D8">
        <v>358</v>
      </c>
      <c r="E8"/>
      <c r="F8"/>
      <c r="G8"/>
      <c r="H8" s="10"/>
    </row>
    <row r="9" spans="2:8" x14ac:dyDescent="0.2">
      <c r="B9" s="8" t="s">
        <v>26</v>
      </c>
      <c r="C9" s="9" t="s">
        <v>22</v>
      </c>
      <c r="D9">
        <v>30824</v>
      </c>
      <c r="E9"/>
      <c r="F9"/>
      <c r="G9"/>
      <c r="H9" s="10"/>
    </row>
    <row r="10" spans="2:8" x14ac:dyDescent="0.2">
      <c r="B10" s="8" t="s">
        <v>21</v>
      </c>
      <c r="C10" s="9" t="s">
        <v>22</v>
      </c>
      <c r="D10">
        <v>24756</v>
      </c>
      <c r="E10"/>
      <c r="F10"/>
      <c r="G10"/>
      <c r="H10" s="10"/>
    </row>
    <row r="11" spans="2:8" x14ac:dyDescent="0.2">
      <c r="B11" s="8"/>
      <c r="C11" s="9"/>
      <c r="D11" s="9"/>
      <c r="E11"/>
      <c r="F11"/>
      <c r="G11"/>
      <c r="H11" s="10"/>
    </row>
    <row r="12" spans="2:8" x14ac:dyDescent="0.2">
      <c r="B12" s="8"/>
      <c r="C12" s="9"/>
      <c r="D12" s="9"/>
      <c r="E12" s="9"/>
      <c r="F12" s="9"/>
      <c r="G12" s="9"/>
      <c r="H12" s="10"/>
    </row>
    <row r="13" spans="2:8" x14ac:dyDescent="0.2">
      <c r="B13" s="8"/>
      <c r="C13" s="9"/>
      <c r="D13" s="9"/>
      <c r="E13" s="9"/>
      <c r="F13" s="9"/>
      <c r="G13" s="9"/>
      <c r="H13" s="10"/>
    </row>
    <row r="14" spans="2:8" x14ac:dyDescent="0.2">
      <c r="B14" s="8"/>
      <c r="C14" s="9"/>
      <c r="D14" s="9"/>
      <c r="E14" s="9"/>
      <c r="F14" s="9"/>
      <c r="G14" s="9"/>
      <c r="H14" s="10"/>
    </row>
    <row r="15" spans="2:8" x14ac:dyDescent="0.2">
      <c r="B15" s="8"/>
      <c r="C15" s="9"/>
      <c r="D15" s="9"/>
      <c r="E15" s="9"/>
      <c r="F15" s="9"/>
      <c r="G15" s="9"/>
      <c r="H15" s="10"/>
    </row>
    <row r="16" spans="2:8" x14ac:dyDescent="0.2">
      <c r="B16" s="8"/>
      <c r="C16" s="9"/>
      <c r="D16" s="9"/>
      <c r="E16" s="9"/>
      <c r="F16" s="9"/>
      <c r="G16" s="9"/>
      <c r="H16" s="10"/>
    </row>
    <row r="17" spans="2:8" x14ac:dyDescent="0.2">
      <c r="B17" s="8"/>
      <c r="C17" s="9"/>
      <c r="D17" s="9"/>
      <c r="E17" s="9"/>
      <c r="F17" s="9"/>
      <c r="G17" s="9"/>
      <c r="H17" s="10"/>
    </row>
    <row r="18" spans="2:8" x14ac:dyDescent="0.2">
      <c r="B18" s="8"/>
      <c r="C18" s="9"/>
      <c r="D18" s="9"/>
      <c r="E18" s="9"/>
      <c r="F18" s="9"/>
      <c r="G18" s="9"/>
      <c r="H18" s="10"/>
    </row>
    <row r="19" spans="2:8" x14ac:dyDescent="0.2">
      <c r="B19" s="8"/>
      <c r="C19" s="9"/>
      <c r="D19" s="9"/>
      <c r="E19" s="9"/>
      <c r="F19" s="9"/>
      <c r="G19" s="9"/>
      <c r="H19" s="10"/>
    </row>
    <row r="20" spans="2:8" x14ac:dyDescent="0.2">
      <c r="B20" s="13"/>
      <c r="C20" s="14"/>
      <c r="D20" s="14"/>
      <c r="E20" s="14"/>
      <c r="F20" s="14"/>
      <c r="G20" s="14"/>
      <c r="H20" s="15"/>
    </row>
    <row r="22" spans="2:8" x14ac:dyDescent="0.2">
      <c r="B22" s="17" t="s">
        <v>28</v>
      </c>
    </row>
    <row r="23" spans="2:8" x14ac:dyDescent="0.2">
      <c r="B23" s="18" t="s">
        <v>29</v>
      </c>
      <c r="C23" s="19"/>
      <c r="D23" s="19"/>
      <c r="E23" s="19"/>
      <c r="F23" s="19"/>
      <c r="G23" s="19"/>
      <c r="H23" s="20"/>
    </row>
    <row r="24" spans="2:8" x14ac:dyDescent="0.2">
      <c r="B24" s="21"/>
      <c r="C24" s="22"/>
      <c r="D24" s="22"/>
      <c r="E24" s="22"/>
      <c r="F24" s="22"/>
      <c r="G24" s="22"/>
      <c r="H24" s="23"/>
    </row>
    <row r="25" spans="2:8" x14ac:dyDescent="0.2">
      <c r="B25" s="21"/>
      <c r="C25" s="22"/>
      <c r="D25" s="22"/>
      <c r="E25" s="22"/>
      <c r="F25" s="22"/>
      <c r="G25" s="22"/>
      <c r="H25" s="23"/>
    </row>
    <row r="26" spans="2:8" x14ac:dyDescent="0.2">
      <c r="B26" s="21"/>
      <c r="C26" s="22"/>
      <c r="D26" s="22"/>
      <c r="E26" s="22"/>
      <c r="F26" s="22"/>
      <c r="G26" s="22"/>
      <c r="H26" s="23"/>
    </row>
    <row r="27" spans="2:8" x14ac:dyDescent="0.2">
      <c r="B27" s="21"/>
      <c r="C27" s="22"/>
      <c r="D27" s="22"/>
      <c r="E27" s="22"/>
      <c r="F27" s="22"/>
      <c r="G27" s="22"/>
      <c r="H27" s="23"/>
    </row>
    <row r="28" spans="2:8" x14ac:dyDescent="0.2">
      <c r="B28" s="21"/>
      <c r="C28" s="22"/>
      <c r="D28" s="22"/>
      <c r="E28" s="22"/>
      <c r="F28" s="22"/>
      <c r="G28" s="22"/>
      <c r="H28" s="23"/>
    </row>
    <row r="29" spans="2:8" x14ac:dyDescent="0.2">
      <c r="B29" s="21"/>
      <c r="C29" s="22"/>
      <c r="D29" s="22"/>
      <c r="E29" s="22"/>
      <c r="F29" s="22"/>
      <c r="G29" s="22"/>
      <c r="H29" s="23"/>
    </row>
    <row r="30" spans="2:8" x14ac:dyDescent="0.2">
      <c r="B30" s="21"/>
      <c r="C30" s="22"/>
      <c r="D30" s="22"/>
      <c r="E30" s="22"/>
      <c r="F30" s="22"/>
      <c r="G30" s="22"/>
      <c r="H30" s="23"/>
    </row>
    <row r="31" spans="2:8" x14ac:dyDescent="0.2">
      <c r="B31" s="21"/>
      <c r="C31" s="22"/>
      <c r="D31" s="22"/>
      <c r="E31" s="22"/>
      <c r="F31" s="22"/>
      <c r="G31" s="22"/>
      <c r="H31" s="23"/>
    </row>
    <row r="32" spans="2:8" x14ac:dyDescent="0.2">
      <c r="B32" s="21"/>
      <c r="C32" s="22"/>
      <c r="D32" s="22"/>
      <c r="E32" s="22"/>
      <c r="F32" s="22"/>
      <c r="G32" s="22"/>
      <c r="H32" s="23"/>
    </row>
    <row r="33" spans="2:8" x14ac:dyDescent="0.2">
      <c r="B33" s="21"/>
      <c r="C33" s="22"/>
      <c r="D33" s="22"/>
      <c r="E33" s="22"/>
      <c r="F33" s="22"/>
      <c r="G33" s="22"/>
      <c r="H33" s="23"/>
    </row>
    <row r="34" spans="2:8" x14ac:dyDescent="0.2">
      <c r="B34" s="21"/>
      <c r="C34" s="22"/>
      <c r="D34" s="22"/>
      <c r="E34" s="22"/>
      <c r="F34" s="22"/>
      <c r="G34" s="22"/>
      <c r="H34" s="23"/>
    </row>
    <row r="35" spans="2:8" x14ac:dyDescent="0.2">
      <c r="B35" s="21"/>
      <c r="C35" s="22"/>
      <c r="D35" s="22"/>
      <c r="E35" s="22"/>
      <c r="F35" s="22"/>
      <c r="G35" s="22"/>
      <c r="H35" s="23"/>
    </row>
    <row r="36" spans="2:8" x14ac:dyDescent="0.2">
      <c r="B36" s="21"/>
      <c r="C36" s="22"/>
      <c r="D36" s="22"/>
      <c r="E36" s="22"/>
      <c r="F36" s="22"/>
      <c r="G36" s="22"/>
      <c r="H36" s="23"/>
    </row>
    <row r="37" spans="2:8" x14ac:dyDescent="0.2">
      <c r="B37" s="21"/>
      <c r="C37" s="22"/>
      <c r="D37" s="22"/>
      <c r="E37" s="22"/>
      <c r="F37" s="22"/>
      <c r="G37" s="22"/>
      <c r="H37" s="23"/>
    </row>
    <row r="38" spans="2:8" x14ac:dyDescent="0.2">
      <c r="B38" s="21"/>
      <c r="C38" s="22"/>
      <c r="D38" s="22"/>
      <c r="E38" s="22"/>
      <c r="F38" s="22"/>
      <c r="G38" s="22"/>
      <c r="H38" s="23"/>
    </row>
    <row r="39" spans="2:8" x14ac:dyDescent="0.2">
      <c r="B39" s="21"/>
      <c r="C39" s="22"/>
      <c r="D39" s="22"/>
      <c r="E39" s="22"/>
      <c r="F39" s="22"/>
      <c r="G39" s="22"/>
      <c r="H39" s="23"/>
    </row>
    <row r="40" spans="2:8" x14ac:dyDescent="0.2">
      <c r="B40" s="21"/>
      <c r="C40" s="22"/>
      <c r="D40" s="22"/>
      <c r="E40" s="22"/>
      <c r="F40" s="22"/>
      <c r="G40" s="22"/>
      <c r="H40" s="23"/>
    </row>
    <row r="41" spans="2:8" x14ac:dyDescent="0.2">
      <c r="B41" s="21"/>
      <c r="C41" s="22"/>
      <c r="D41" s="22"/>
      <c r="E41" s="22"/>
      <c r="F41" s="22"/>
      <c r="G41" s="22"/>
      <c r="H41" s="23"/>
    </row>
    <row r="42" spans="2:8" x14ac:dyDescent="0.2">
      <c r="B42" s="21"/>
      <c r="C42" s="22"/>
      <c r="D42" s="22"/>
      <c r="E42" s="22"/>
      <c r="F42" s="22"/>
      <c r="G42" s="22"/>
      <c r="H42" s="23"/>
    </row>
    <row r="43" spans="2:8" x14ac:dyDescent="0.2">
      <c r="B43" s="24"/>
      <c r="C43" s="25"/>
      <c r="D43" s="25"/>
      <c r="E43" s="25"/>
      <c r="F43" s="25"/>
      <c r="G43" s="25"/>
      <c r="H43" s="2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97C15-DB01-6A42-8515-E953D6B16652}">
  <dimension ref="B3:E9"/>
  <sheetViews>
    <sheetView workbookViewId="0">
      <selection activeCell="C24" sqref="C24"/>
    </sheetView>
  </sheetViews>
  <sheetFormatPr baseColWidth="10" defaultRowHeight="16" x14ac:dyDescent="0.2"/>
  <cols>
    <col min="1" max="1" width="10.83203125" style="16" customWidth="1"/>
    <col min="2" max="2" width="33" style="16" bestFit="1" customWidth="1"/>
    <col min="3" max="5" width="10.83203125" style="16"/>
    <col min="6" max="6" width="12.1640625" style="16" bestFit="1" customWidth="1"/>
    <col min="7" max="16384" width="10.83203125" style="16"/>
  </cols>
  <sheetData>
    <row r="3" spans="2:5" x14ac:dyDescent="0.2">
      <c r="B3" s="17" t="s">
        <v>27</v>
      </c>
    </row>
    <row r="4" spans="2:5" x14ac:dyDescent="0.2">
      <c r="B4" s="5" t="s">
        <v>87</v>
      </c>
      <c r="C4" s="6"/>
      <c r="D4" s="6"/>
      <c r="E4" s="7"/>
    </row>
    <row r="5" spans="2:5" x14ac:dyDescent="0.2">
      <c r="B5" s="8"/>
      <c r="C5" s="9"/>
      <c r="D5" s="9"/>
      <c r="E5" s="10"/>
    </row>
    <row r="6" spans="2:5" x14ac:dyDescent="0.2">
      <c r="B6" s="11" t="s">
        <v>88</v>
      </c>
      <c r="C6" s="9"/>
      <c r="D6" s="12">
        <v>2023</v>
      </c>
      <c r="E6" s="10"/>
    </row>
    <row r="7" spans="2:5" x14ac:dyDescent="0.2">
      <c r="B7" s="8" t="s">
        <v>89</v>
      </c>
      <c r="C7" s="9" t="s">
        <v>13</v>
      </c>
      <c r="D7" s="9">
        <v>48926</v>
      </c>
      <c r="E7" s="10"/>
    </row>
    <row r="8" spans="2:5" x14ac:dyDescent="0.2">
      <c r="B8" s="8" t="s">
        <v>90</v>
      </c>
      <c r="C8" s="9" t="s">
        <v>13</v>
      </c>
      <c r="D8" s="9">
        <v>16143</v>
      </c>
      <c r="E8" s="10"/>
    </row>
    <row r="9" spans="2:5" x14ac:dyDescent="0.2">
      <c r="B9" s="13"/>
      <c r="C9" s="14"/>
      <c r="D9" s="14"/>
      <c r="E9"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03F59-6BE5-DD4F-9E41-814E5D1530AF}">
  <dimension ref="B2:AE31"/>
  <sheetViews>
    <sheetView workbookViewId="0">
      <selection activeCell="F22" sqref="F22"/>
    </sheetView>
  </sheetViews>
  <sheetFormatPr baseColWidth="10" defaultRowHeight="16" x14ac:dyDescent="0.2"/>
  <cols>
    <col min="1" max="1" width="3.83203125" customWidth="1"/>
    <col min="2" max="2" width="20.83203125" customWidth="1"/>
    <col min="3" max="4" width="10.83203125" style="28"/>
    <col min="5" max="6" width="10.83203125" style="29"/>
    <col min="7" max="8" width="10.83203125" style="28"/>
    <col min="13" max="13" width="13.33203125" bestFit="1" customWidth="1"/>
  </cols>
  <sheetData>
    <row r="2" spans="2:31" ht="21" x14ac:dyDescent="0.25">
      <c r="B2" s="27" t="s">
        <v>31</v>
      </c>
    </row>
    <row r="3" spans="2:31" x14ac:dyDescent="0.2">
      <c r="G3"/>
      <c r="H3"/>
    </row>
    <row r="4" spans="2:31" x14ac:dyDescent="0.2">
      <c r="B4" s="1" t="s">
        <v>28</v>
      </c>
      <c r="C4" s="30" t="s">
        <v>83</v>
      </c>
      <c r="D4" s="30"/>
      <c r="E4" s="31"/>
      <c r="F4" s="32"/>
      <c r="G4"/>
      <c r="H4"/>
      <c r="J4" s="1"/>
    </row>
    <row r="5" spans="2:31" s="2" customFormat="1" ht="52" thickBot="1" x14ac:dyDescent="0.25">
      <c r="B5" s="33" t="s">
        <v>32</v>
      </c>
      <c r="C5" s="34" t="s">
        <v>33</v>
      </c>
      <c r="D5" s="34" t="s">
        <v>35</v>
      </c>
      <c r="E5" s="34" t="s">
        <v>36</v>
      </c>
      <c r="F5" s="34" t="s">
        <v>34</v>
      </c>
      <c r="G5"/>
      <c r="H5"/>
      <c r="I5"/>
      <c r="L5"/>
      <c r="M5"/>
      <c r="N5"/>
      <c r="O5"/>
      <c r="P5"/>
      <c r="Q5"/>
      <c r="R5"/>
      <c r="S5"/>
      <c r="T5"/>
      <c r="U5"/>
      <c r="V5"/>
      <c r="W5"/>
      <c r="X5"/>
      <c r="Y5"/>
      <c r="Z5"/>
      <c r="AA5"/>
      <c r="AB5"/>
      <c r="AC5"/>
      <c r="AD5"/>
      <c r="AE5"/>
    </row>
    <row r="6" spans="2:31" ht="17" thickBot="1" x14ac:dyDescent="0.25">
      <c r="B6" t="s">
        <v>37</v>
      </c>
      <c r="C6" s="35">
        <f>'Waste - Eurostat raw'!B11</f>
        <v>229129</v>
      </c>
      <c r="D6" s="35">
        <f>'Waste - Eurostat raw'!F11</f>
        <v>65873</v>
      </c>
      <c r="E6" s="35">
        <f>'Waste - Eurostat raw'!H11</f>
        <v>44203</v>
      </c>
      <c r="F6" s="35">
        <f>'Waste - Eurostat raw'!J11</f>
        <v>58005</v>
      </c>
      <c r="G6"/>
      <c r="H6"/>
      <c r="V6" s="28"/>
    </row>
    <row r="7" spans="2:31" ht="17" thickBot="1" x14ac:dyDescent="0.25">
      <c r="B7" t="s">
        <v>38</v>
      </c>
      <c r="C7" s="35">
        <f>'Waste - Eurostat raw'!B12</f>
        <v>8364</v>
      </c>
      <c r="D7" s="35">
        <f>'Waste - Eurostat raw'!F12</f>
        <v>2309</v>
      </c>
      <c r="E7" s="35">
        <f>'Waste - Eurostat raw'!H12</f>
        <v>2573</v>
      </c>
      <c r="F7" s="35">
        <f>'Waste - Eurostat raw'!J12</f>
        <v>3367</v>
      </c>
      <c r="G7"/>
      <c r="H7"/>
      <c r="L7" s="2"/>
      <c r="M7" s="2"/>
      <c r="N7" s="2"/>
      <c r="O7" s="2"/>
      <c r="P7" s="2"/>
      <c r="Q7" s="2"/>
      <c r="R7" s="2"/>
      <c r="S7" s="2"/>
      <c r="T7" s="2"/>
    </row>
    <row r="8" spans="2:31" x14ac:dyDescent="0.2">
      <c r="E8" s="28"/>
      <c r="F8" s="28"/>
      <c r="G8"/>
      <c r="H8"/>
      <c r="J8" s="28"/>
      <c r="V8" s="28"/>
      <c r="X8" s="28"/>
      <c r="Y8" s="28"/>
      <c r="Z8" s="28"/>
      <c r="AA8" s="28"/>
      <c r="AB8" s="28"/>
      <c r="AC8" s="28"/>
      <c r="AD8" s="28"/>
      <c r="AE8" s="28"/>
    </row>
    <row r="9" spans="2:31" x14ac:dyDescent="0.2">
      <c r="E9" s="28"/>
      <c r="F9" s="28"/>
      <c r="G9"/>
      <c r="H9"/>
      <c r="J9" s="28"/>
      <c r="L9" s="28"/>
      <c r="M9" s="28"/>
      <c r="N9" s="28"/>
      <c r="O9" s="28"/>
      <c r="P9" s="28"/>
      <c r="Q9" s="28"/>
      <c r="R9" s="28"/>
      <c r="S9" s="28"/>
      <c r="X9" s="28"/>
      <c r="Y9" s="28"/>
      <c r="AA9" s="28"/>
      <c r="AC9" s="28"/>
      <c r="AD9" s="28"/>
      <c r="AE9" s="28"/>
    </row>
    <row r="10" spans="2:31" ht="119" x14ac:dyDescent="0.2">
      <c r="B10" s="36" t="s">
        <v>39</v>
      </c>
      <c r="C10" s="37" t="s">
        <v>40</v>
      </c>
      <c r="D10" s="38" t="s">
        <v>41</v>
      </c>
      <c r="E10" s="38" t="s">
        <v>42</v>
      </c>
      <c r="F10" s="38" t="s">
        <v>43</v>
      </c>
      <c r="G10" s="38" t="s">
        <v>44</v>
      </c>
      <c r="I10" s="28"/>
      <c r="Q10" s="28"/>
      <c r="R10" s="28"/>
      <c r="S10" s="28"/>
      <c r="V10" s="28"/>
    </row>
    <row r="11" spans="2:31" ht="17" x14ac:dyDescent="0.2">
      <c r="B11" s="2" t="s">
        <v>45</v>
      </c>
      <c r="C11" s="28">
        <f>C7</f>
        <v>8364</v>
      </c>
      <c r="D11" s="39">
        <f>F7</f>
        <v>3367</v>
      </c>
      <c r="E11" s="28">
        <f>D7</f>
        <v>2309</v>
      </c>
      <c r="F11" s="28">
        <f>E7</f>
        <v>2573</v>
      </c>
      <c r="G11" s="28">
        <f t="shared" ref="G11" si="0">C11-D11-E11-F11</f>
        <v>115</v>
      </c>
    </row>
    <row r="12" spans="2:31" x14ac:dyDescent="0.2">
      <c r="B12" t="s">
        <v>46</v>
      </c>
      <c r="C12" s="28">
        <f>C6</f>
        <v>229129</v>
      </c>
      <c r="D12" s="28">
        <f>F6</f>
        <v>58005</v>
      </c>
      <c r="E12" s="28">
        <f>D6</f>
        <v>65873</v>
      </c>
      <c r="F12" s="28">
        <f>E6</f>
        <v>44203</v>
      </c>
      <c r="G12" s="28">
        <f>C12-D12-E12-F12</f>
        <v>61048</v>
      </c>
      <c r="I12" s="28"/>
      <c r="V12" s="28"/>
    </row>
    <row r="13" spans="2:31" ht="16" customHeight="1" x14ac:dyDescent="0.2">
      <c r="B13" s="33" t="s">
        <v>47</v>
      </c>
      <c r="C13" s="40" t="s">
        <v>48</v>
      </c>
      <c r="D13" s="40" t="s">
        <v>48</v>
      </c>
      <c r="E13" s="40" t="s">
        <v>48</v>
      </c>
      <c r="F13" s="40" t="s">
        <v>48</v>
      </c>
      <c r="G13" s="40" t="s">
        <v>48</v>
      </c>
      <c r="I13" s="28"/>
    </row>
    <row r="14" spans="2:31" ht="16" customHeight="1" x14ac:dyDescent="0.2">
      <c r="B14" s="2"/>
      <c r="E14" s="28"/>
      <c r="F14" s="28"/>
      <c r="I14" s="28"/>
      <c r="V14" s="28"/>
    </row>
    <row r="15" spans="2:31" x14ac:dyDescent="0.2">
      <c r="E15" s="28"/>
      <c r="F15" s="28"/>
      <c r="I15" s="28"/>
    </row>
    <row r="16" spans="2:31" ht="119" x14ac:dyDescent="0.2">
      <c r="B16" s="36" t="s">
        <v>39</v>
      </c>
      <c r="C16" s="36"/>
      <c r="D16" s="38" t="s">
        <v>49</v>
      </c>
      <c r="E16" s="38" t="s">
        <v>50</v>
      </c>
      <c r="F16" s="38" t="s">
        <v>51</v>
      </c>
      <c r="G16" s="38" t="s">
        <v>52</v>
      </c>
      <c r="I16" s="28"/>
      <c r="J16" s="28"/>
      <c r="K16" s="28"/>
      <c r="L16" s="28"/>
      <c r="V16" s="28"/>
    </row>
    <row r="17" spans="2:22" x14ac:dyDescent="0.2">
      <c r="B17" t="s">
        <v>45</v>
      </c>
      <c r="C17"/>
      <c r="D17" s="29">
        <f>D11/C11</f>
        <v>0.40255858440937353</v>
      </c>
      <c r="E17" s="29">
        <f>E11/C11</f>
        <v>0.27606408417025347</v>
      </c>
      <c r="F17" s="29">
        <f>F11/C11</f>
        <v>0.30762792922046867</v>
      </c>
      <c r="G17" s="29">
        <f>1-D17-E17-F17</f>
        <v>1.3749402199904337E-2</v>
      </c>
      <c r="I17" s="28"/>
      <c r="J17" s="28"/>
      <c r="K17" s="28"/>
      <c r="L17" s="28"/>
    </row>
    <row r="18" spans="2:22" x14ac:dyDescent="0.2">
      <c r="E18" s="28"/>
      <c r="F18" s="28"/>
      <c r="I18" s="28"/>
      <c r="J18" s="28"/>
      <c r="K18" s="28"/>
      <c r="L18" s="28"/>
      <c r="V18" s="28"/>
    </row>
    <row r="19" spans="2:22" x14ac:dyDescent="0.2">
      <c r="F19" s="28"/>
      <c r="I19" s="28"/>
      <c r="J19" s="28"/>
      <c r="V19" s="28"/>
    </row>
    <row r="20" spans="2:22" x14ac:dyDescent="0.2">
      <c r="B20" s="41" t="s">
        <v>39</v>
      </c>
      <c r="C20" s="42" t="s">
        <v>53</v>
      </c>
      <c r="D20" s="42" t="s">
        <v>54</v>
      </c>
      <c r="E20" s="43"/>
      <c r="F20" s="43"/>
      <c r="G20" s="43"/>
      <c r="H20" s="44"/>
      <c r="I20" s="28"/>
      <c r="J20" s="28"/>
    </row>
    <row r="21" spans="2:22" ht="34" x14ac:dyDescent="0.2">
      <c r="B21" s="45"/>
      <c r="C21" s="46"/>
      <c r="D21" s="46"/>
      <c r="E21" s="47" t="s">
        <v>55</v>
      </c>
      <c r="F21" s="47" t="s">
        <v>56</v>
      </c>
      <c r="G21" s="47"/>
      <c r="H21" s="47"/>
      <c r="I21" s="28"/>
      <c r="J21" s="28"/>
    </row>
    <row r="22" spans="2:22" x14ac:dyDescent="0.2">
      <c r="B22" t="s">
        <v>45</v>
      </c>
      <c r="C22" s="28">
        <v>32443.485000000001</v>
      </c>
      <c r="D22" s="28">
        <v>30647.482</v>
      </c>
      <c r="E22" s="30">
        <f>(D17+G17)/D17*C22</f>
        <v>33551.593338283339</v>
      </c>
      <c r="F22" s="30">
        <f>(D17+G17)/D17*D22</f>
        <v>31694.247794475792</v>
      </c>
      <c r="I22" s="28"/>
      <c r="J22" s="28"/>
    </row>
    <row r="23" spans="2:22" x14ac:dyDescent="0.2">
      <c r="B23" s="48" t="s">
        <v>47</v>
      </c>
      <c r="C23" s="40" t="s">
        <v>57</v>
      </c>
      <c r="D23" s="40" t="s">
        <v>57</v>
      </c>
      <c r="E23" s="49"/>
      <c r="F23" s="49"/>
      <c r="G23" s="49"/>
      <c r="H23" s="49"/>
      <c r="I23" s="28"/>
      <c r="V23" s="28"/>
    </row>
    <row r="25" spans="2:22" x14ac:dyDescent="0.2">
      <c r="B25" s="1" t="s">
        <v>58</v>
      </c>
    </row>
    <row r="26" spans="2:22" ht="45" customHeight="1" x14ac:dyDescent="0.2">
      <c r="B26" s="50" t="s">
        <v>85</v>
      </c>
      <c r="C26" s="50"/>
      <c r="D26" s="50"/>
      <c r="E26" s="50"/>
      <c r="F26" s="50"/>
      <c r="G26" s="50"/>
      <c r="H26" s="50"/>
      <c r="I26" s="50"/>
      <c r="J26" s="50"/>
    </row>
    <row r="27" spans="2:22" x14ac:dyDescent="0.2">
      <c r="B27" t="s">
        <v>86</v>
      </c>
      <c r="V27" s="28"/>
    </row>
    <row r="29" spans="2:22" x14ac:dyDescent="0.2">
      <c r="V29" s="28"/>
    </row>
    <row r="31" spans="2:22" x14ac:dyDescent="0.2">
      <c r="V31" s="28"/>
    </row>
  </sheetData>
  <mergeCells count="5">
    <mergeCell ref="B20:B21"/>
    <mergeCell ref="C20:C21"/>
    <mergeCell ref="D20:D21"/>
    <mergeCell ref="E20:G20"/>
    <mergeCell ref="B26:J26"/>
  </mergeCell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8010-CD22-AF4D-B7B4-13B1AB1081B5}">
  <dimension ref="A1:K17"/>
  <sheetViews>
    <sheetView workbookViewId="0">
      <pane xSplit="1" ySplit="10" topLeftCell="B11" activePane="bottomRight" state="frozen"/>
      <selection pane="topRight"/>
      <selection pane="bottomLeft"/>
      <selection pane="bottomRight" activeCell="F28" sqref="F28"/>
    </sheetView>
  </sheetViews>
  <sheetFormatPr baseColWidth="10" defaultColWidth="8.83203125" defaultRowHeight="11.25" customHeight="1" x14ac:dyDescent="0.2"/>
  <cols>
    <col min="1" max="1" width="29.83203125" style="52" customWidth="1"/>
    <col min="2" max="2" width="15" style="52" customWidth="1"/>
    <col min="3" max="3" width="5" style="52" customWidth="1"/>
    <col min="4" max="4" width="15" style="52" customWidth="1"/>
    <col min="5" max="5" width="5" style="52" customWidth="1"/>
    <col min="6" max="6" width="20" style="52" customWidth="1"/>
    <col min="7" max="7" width="5" style="52" customWidth="1"/>
    <col min="8" max="8" width="20" style="52" customWidth="1"/>
    <col min="9" max="9" width="5" style="52" customWidth="1"/>
    <col min="10" max="10" width="20" customWidth="1"/>
    <col min="11" max="11" width="5" customWidth="1"/>
    <col min="12" max="16384" width="8.83203125" style="52"/>
  </cols>
  <sheetData>
    <row r="1" spans="1:11" x14ac:dyDescent="0.2">
      <c r="A1" s="51" t="s">
        <v>60</v>
      </c>
    </row>
    <row r="2" spans="1:11" x14ac:dyDescent="0.2">
      <c r="A2" s="51" t="s">
        <v>61</v>
      </c>
      <c r="B2" s="53" t="s">
        <v>62</v>
      </c>
    </row>
    <row r="3" spans="1:11" x14ac:dyDescent="0.2">
      <c r="A3" s="51" t="s">
        <v>63</v>
      </c>
      <c r="B3" s="51" t="s">
        <v>64</v>
      </c>
    </row>
    <row r="4" spans="1:11" x14ac:dyDescent="0.2"/>
    <row r="5" spans="1:11" x14ac:dyDescent="0.2">
      <c r="A5" s="53" t="s">
        <v>65</v>
      </c>
      <c r="C5" s="51" t="s">
        <v>66</v>
      </c>
    </row>
    <row r="6" spans="1:11" x14ac:dyDescent="0.2">
      <c r="A6" s="53" t="s">
        <v>67</v>
      </c>
      <c r="C6" s="51" t="s">
        <v>59</v>
      </c>
    </row>
    <row r="7" spans="1:11" x14ac:dyDescent="0.2">
      <c r="A7" s="53" t="s">
        <v>68</v>
      </c>
      <c r="C7" s="51" t="s">
        <v>69</v>
      </c>
    </row>
    <row r="8" spans="1:11" x14ac:dyDescent="0.2"/>
    <row r="9" spans="1:11" x14ac:dyDescent="0.2">
      <c r="A9" s="54" t="s">
        <v>70</v>
      </c>
      <c r="B9" s="55" t="s">
        <v>33</v>
      </c>
      <c r="C9" s="55" t="s">
        <v>71</v>
      </c>
      <c r="D9" s="55" t="s">
        <v>72</v>
      </c>
      <c r="E9" s="55" t="s">
        <v>71</v>
      </c>
      <c r="F9" s="55" t="s">
        <v>73</v>
      </c>
      <c r="G9" s="55" t="s">
        <v>71</v>
      </c>
      <c r="H9" s="55" t="s">
        <v>74</v>
      </c>
      <c r="I9" s="55" t="s">
        <v>71</v>
      </c>
      <c r="J9" s="61" t="s">
        <v>84</v>
      </c>
      <c r="K9" s="61" t="s">
        <v>71</v>
      </c>
    </row>
    <row r="10" spans="1:11" x14ac:dyDescent="0.2">
      <c r="A10" s="56" t="s">
        <v>75</v>
      </c>
      <c r="B10" s="57" t="s">
        <v>71</v>
      </c>
      <c r="C10" s="57" t="s">
        <v>71</v>
      </c>
      <c r="D10" s="57" t="s">
        <v>71</v>
      </c>
      <c r="E10" s="57" t="s">
        <v>71</v>
      </c>
      <c r="F10" s="57" t="s">
        <v>71</v>
      </c>
      <c r="G10" s="57" t="s">
        <v>71</v>
      </c>
      <c r="H10" s="57" t="s">
        <v>71</v>
      </c>
      <c r="I10" s="57" t="s">
        <v>71</v>
      </c>
      <c r="J10" s="62" t="s">
        <v>71</v>
      </c>
      <c r="K10" s="62" t="s">
        <v>71</v>
      </c>
    </row>
    <row r="11" spans="1:11" x14ac:dyDescent="0.2">
      <c r="A11" s="58" t="s">
        <v>76</v>
      </c>
      <c r="B11" s="59">
        <v>229129</v>
      </c>
      <c r="C11" s="59" t="s">
        <v>77</v>
      </c>
      <c r="D11" s="59">
        <v>220517</v>
      </c>
      <c r="E11" s="59" t="s">
        <v>77</v>
      </c>
      <c r="F11" s="59">
        <v>65873</v>
      </c>
      <c r="G11" s="59" t="s">
        <v>77</v>
      </c>
      <c r="H11" s="59">
        <v>44203</v>
      </c>
      <c r="I11" s="59" t="s">
        <v>77</v>
      </c>
      <c r="J11" s="63">
        <v>58005</v>
      </c>
      <c r="K11" s="63" t="s">
        <v>77</v>
      </c>
    </row>
    <row r="12" spans="1:11" x14ac:dyDescent="0.2">
      <c r="A12" s="58" t="s">
        <v>38</v>
      </c>
      <c r="B12" s="60">
        <v>8364</v>
      </c>
      <c r="C12" s="60" t="s">
        <v>71</v>
      </c>
      <c r="D12" s="60">
        <v>8364</v>
      </c>
      <c r="E12" s="60" t="s">
        <v>71</v>
      </c>
      <c r="F12" s="60">
        <v>2309</v>
      </c>
      <c r="G12" s="60" t="s">
        <v>71</v>
      </c>
      <c r="H12" s="60">
        <v>2573</v>
      </c>
      <c r="I12" s="60" t="s">
        <v>71</v>
      </c>
      <c r="J12" s="64">
        <v>3367</v>
      </c>
      <c r="K12" s="64" t="s">
        <v>71</v>
      </c>
    </row>
    <row r="14" spans="1:11" x14ac:dyDescent="0.2">
      <c r="A14" s="53" t="s">
        <v>78</v>
      </c>
    </row>
    <row r="15" spans="1:11" x14ac:dyDescent="0.2">
      <c r="A15" s="53" t="s">
        <v>79</v>
      </c>
      <c r="B15" s="51" t="s">
        <v>80</v>
      </c>
    </row>
    <row r="16" spans="1:11" x14ac:dyDescent="0.2">
      <c r="A16" s="53" t="s">
        <v>81</v>
      </c>
    </row>
    <row r="17" spans="1:2" x14ac:dyDescent="0.2">
      <c r="A17" s="53" t="s">
        <v>77</v>
      </c>
      <c r="B17" s="51" t="s">
        <v>82</v>
      </c>
    </row>
  </sheetData>
  <mergeCells count="5">
    <mergeCell ref="B9:C9"/>
    <mergeCell ref="D9:E9"/>
    <mergeCell ref="F9:G9"/>
    <mergeCell ref="H9:I9"/>
    <mergeCell ref="J9:K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LNG</vt:lpstr>
      <vt:lpstr>Biomass</vt:lpstr>
      <vt:lpstr>Waste</vt:lpstr>
      <vt:lpstr>Waste - Eurostat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Wouter Terlouw</dc:creator>
  <cp:lastModifiedBy>Mathijs Bijkerk</cp:lastModifiedBy>
  <dcterms:created xsi:type="dcterms:W3CDTF">2014-06-16T12:25:15Z</dcterms:created>
  <dcterms:modified xsi:type="dcterms:W3CDTF">2025-06-03T12:21:11Z</dcterms:modified>
</cp:coreProperties>
</file>