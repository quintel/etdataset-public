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athijsbijkerk/Github/etdataset/source_analyses/nl/2023/7_services/"/>
    </mc:Choice>
  </mc:AlternateContent>
  <xr:revisionPtr revIDLastSave="0" documentId="13_ncr:1_{77FEA33F-8497-C749-AF8D-FBCAC8299429}" xr6:coauthVersionLast="47" xr6:coauthVersionMax="47" xr10:uidLastSave="{00000000-0000-0000-0000-000000000000}"/>
  <bookViews>
    <workbookView xWindow="15220" yWindow="-28300" windowWidth="25600" windowHeight="27340" tabRatio="500" xr2:uid="{00000000-000D-0000-FFFF-FFFF00000000}"/>
  </bookViews>
  <sheets>
    <sheet name="Overview" sheetId="10" r:id="rId1"/>
    <sheet name="Final demand" sheetId="20" r:id="rId2"/>
    <sheet name="Space heating" sheetId="13" r:id="rId3"/>
    <sheet name="Lighting" sheetId="19" r:id="rId4"/>
    <sheet name="Eurostat" sheetId="9" r:id="rId5"/>
    <sheet name="RVO" sheetId="11" r:id="rId6"/>
    <sheet name="CBS heat pumps" sheetId="14" r:id="rId7"/>
    <sheet name="CBS energiebalans" sheetId="18" r:id="rId8"/>
  </sheets>
  <externalReferences>
    <externalReference r:id="rId9"/>
  </externalReferences>
  <definedNames>
    <definedName name="Final_demand_space_heating">[1]Dashboard!$E$23</definedName>
    <definedName name="TWh_to_TJ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6" i="13" l="1"/>
  <c r="B22" i="13"/>
  <c r="B21" i="13"/>
  <c r="B5" i="10"/>
  <c r="B4" i="10"/>
  <c r="B3" i="10"/>
  <c r="B7" i="20"/>
  <c r="B6" i="20"/>
  <c r="B5" i="20"/>
  <c r="D8" i="11"/>
  <c r="D6" i="11"/>
  <c r="D3" i="11"/>
  <c r="B18" i="10" l="1"/>
  <c r="B19" i="10"/>
  <c r="B17" i="10"/>
  <c r="B23" i="19"/>
  <c r="B22" i="19"/>
  <c r="B21" i="19"/>
  <c r="B20" i="19"/>
  <c r="B14" i="19"/>
  <c r="B13" i="19"/>
  <c r="B8" i="19"/>
  <c r="C49" i="13"/>
  <c r="C44" i="13"/>
  <c r="D43" i="13"/>
  <c r="B15" i="19" l="1"/>
  <c r="C13" i="19" s="1"/>
  <c r="C14" i="19" l="1"/>
  <c r="C15" i="19" s="1"/>
  <c r="B26" i="13" l="1"/>
  <c r="B6" i="13"/>
  <c r="B7" i="13"/>
  <c r="B8" i="13"/>
  <c r="B9" i="13"/>
  <c r="B10" i="13"/>
  <c r="B11" i="13"/>
  <c r="B5" i="13"/>
  <c r="B28" i="13" l="1"/>
  <c r="B27" i="13"/>
  <c r="B2" i="10"/>
  <c r="B33" i="13" l="1"/>
  <c r="C33" i="13" l="1"/>
  <c r="B44" i="13" s="1"/>
  <c r="D44" i="13" s="1"/>
  <c r="B34" i="13"/>
  <c r="B35" i="13" s="1"/>
  <c r="D33" i="13" l="1"/>
  <c r="C34" i="13"/>
  <c r="D34" i="13" l="1"/>
  <c r="D35" i="13" s="1"/>
  <c r="B49" i="13"/>
  <c r="B53" i="13" s="1"/>
  <c r="C35" i="13"/>
  <c r="D49" i="13" l="1"/>
  <c r="D53" i="13" l="1"/>
  <c r="E49" i="13" s="1"/>
  <c r="F49" i="13" l="1"/>
  <c r="B12" i="10" s="1"/>
  <c r="B16" i="10" s="1"/>
  <c r="E44" i="13"/>
  <c r="E45" i="13"/>
  <c r="F45" i="13" s="1"/>
  <c r="B8" i="10" s="1"/>
  <c r="E46" i="13"/>
  <c r="F46" i="13" s="1"/>
  <c r="B9" i="10" s="1"/>
  <c r="E43" i="13"/>
  <c r="E47" i="13"/>
  <c r="F47" i="13" s="1"/>
  <c r="B10" i="10" s="1"/>
  <c r="E48" i="13"/>
  <c r="F48" i="13" s="1"/>
  <c r="B11" i="10" s="1"/>
  <c r="E53" i="13" l="1"/>
  <c r="F44" i="13"/>
  <c r="B7" i="10" l="1"/>
  <c r="B14" i="10" s="1"/>
  <c r="B15" i="10" s="1"/>
  <c r="F43" i="13"/>
  <c r="B6" i="10" l="1"/>
  <c r="F53" i="13"/>
</calcChain>
</file>

<file path=xl/sharedStrings.xml><?xml version="1.0" encoding="utf-8"?>
<sst xmlns="http://schemas.openxmlformats.org/spreadsheetml/2006/main" count="1421" uniqueCount="269">
  <si>
    <t>TJ</t>
  </si>
  <si>
    <t>Warmtepompen</t>
  </si>
  <si>
    <t>Sector</t>
  </si>
  <si>
    <t>Perioden</t>
  </si>
  <si>
    <t>aantal</t>
  </si>
  <si>
    <t>Geothermal</t>
  </si>
  <si>
    <t>Utiliteitsgebouwen, kassen en stallen</t>
  </si>
  <si>
    <t>2019</t>
  </si>
  <si>
    <t>Energieverbruik dienstensector totaal</t>
  </si>
  <si>
    <t>Final energy demand used for Space Heating</t>
  </si>
  <si>
    <t>Final energy demand used for Space Cooling</t>
  </si>
  <si>
    <t>Final energy demand used for Lighting</t>
  </si>
  <si>
    <t>PJ</t>
  </si>
  <si>
    <t>Eenheid</t>
  </si>
  <si>
    <t>Bron</t>
  </si>
  <si>
    <t>Final electricity demand used for central ICT</t>
  </si>
  <si>
    <t>Warmtepompen; totaal</t>
  </si>
  <si>
    <t>Energiestromen|Verbruik van elektriciteit en aardgas</t>
  </si>
  <si>
    <t>Energiestromen|Bruto warmteproductie warmtepompen</t>
  </si>
  <si>
    <t>Thermisch vermogen van warmtepompen|Opgesteld thermisch vermogen einde jaar</t>
  </si>
  <si>
    <t>Thermisch vermogen van warmtepompen|Uit gebruik genomen thermisch vermogen</t>
  </si>
  <si>
    <t>Thermisch vermogen van warmtepompen|In gebruik genomen thermisch vermogen</t>
  </si>
  <si>
    <t>Warmtepompen|Opgestelde warmtepompen einde van jaar</t>
  </si>
  <si>
    <t>Warmtepompen|Uit gebruik genomen warmtepompen</t>
  </si>
  <si>
    <t>Warmtepompen|In gebruik genomen warmtepompen</t>
  </si>
  <si>
    <t>Ambient heat</t>
  </si>
  <si>
    <t>Data extracted on 26/05/2025 09:10:03 from [ESTAT]</t>
  </si>
  <si>
    <t xml:space="preserve">Dataset: </t>
  </si>
  <si>
    <t>Disaggregated final energy consumption in services by NACE Rev. 2 activity - quantities [nrg_d_serq_n__custom_16852476]</t>
  </si>
  <si>
    <t xml:space="preserve">Last updated: </t>
  </si>
  <si>
    <t>21/05/2025 23:00</t>
  </si>
  <si>
    <t>Time frequency</t>
  </si>
  <si>
    <t>Annual</t>
  </si>
  <si>
    <t>Unit of measure</t>
  </si>
  <si>
    <t>Terajoule (net calorific value - NCV)</t>
  </si>
  <si>
    <t>Geopolitical entity (reporting)</t>
  </si>
  <si>
    <t>Netherlands</t>
  </si>
  <si>
    <t>Time</t>
  </si>
  <si>
    <t>2023</t>
  </si>
  <si>
    <t>SIEC (Labels)</t>
  </si>
  <si>
    <t>Solid fossil fuels, peat, peat products, oil shale and oil sands</t>
  </si>
  <si>
    <t/>
  </si>
  <si>
    <t>Manufactured gases</t>
  </si>
  <si>
    <t>Natural gas</t>
  </si>
  <si>
    <t>Oil and petroleum products</t>
  </si>
  <si>
    <t>Liquefied petroleum gases</t>
  </si>
  <si>
    <t>Gas oil and diesel oil</t>
  </si>
  <si>
    <t>Renewables and biofuels</t>
  </si>
  <si>
    <t>Solar thermal</t>
  </si>
  <si>
    <t>Ambient heat (heat pumps)</t>
  </si>
  <si>
    <t>Primary solid biofuels</t>
  </si>
  <si>
    <t>Biogases</t>
  </si>
  <si>
    <t>Non-renewable waste</t>
  </si>
  <si>
    <t>Electricity</t>
  </si>
  <si>
    <t>Heat</t>
  </si>
  <si>
    <t>NACE_R2 (Labels)</t>
  </si>
  <si>
    <t>Total - all NACE activities</t>
  </si>
  <si>
    <t>:</t>
  </si>
  <si>
    <t>Repair and installation of machinery and equipment</t>
  </si>
  <si>
    <t>u</t>
  </si>
  <si>
    <t>Water supply; sewerage, waste management and remediation activities</t>
  </si>
  <si>
    <t>Water collection, treatment and supply</t>
  </si>
  <si>
    <t>Sewerage, waste management, remediation activities</t>
  </si>
  <si>
    <t>Sewerage</t>
  </si>
  <si>
    <t>Waste collection, treatment and disposal activities; materials recovery</t>
  </si>
  <si>
    <t>Remediation activities and other waste management services</t>
  </si>
  <si>
    <t>Wholesale and retail trade; repair of motor vehicles and motorcycles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</si>
  <si>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</si>
  <si>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</si>
  <si>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</si>
  <si>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Retail trade except of motor vehicles and motorcycles, except retail sale in non-specialised stores</t>
  </si>
  <si>
    <t>Retail sale in non-specialised stores</t>
  </si>
  <si>
    <t>Land transport (except transport via pipelines), water transport and air transport - non transport activities</t>
  </si>
  <si>
    <t>Warehousing and support activities for transportation</t>
  </si>
  <si>
    <t>Street lighting</t>
  </si>
  <si>
    <t>Postal and courier activities</t>
  </si>
  <si>
    <t>Accommodation and food service activities</t>
  </si>
  <si>
    <t>Accommodation</t>
  </si>
  <si>
    <t>Hotels and similar accommodation</t>
  </si>
  <si>
    <t>Holiday and other short-stay accommodation</t>
  </si>
  <si>
    <t>Camping grounds, recreational vehicle parks and trailer parks</t>
  </si>
  <si>
    <t>Other accommodation</t>
  </si>
  <si>
    <t>Food and beverage service activities</t>
  </si>
  <si>
    <t>Restaurants and mobile food service activities</t>
  </si>
  <si>
    <t>Event catering and other food service activities</t>
  </si>
  <si>
    <t>Beverage serving activities</t>
  </si>
  <si>
    <t>Information and communication</t>
  </si>
  <si>
    <t>Publishing activities</t>
  </si>
  <si>
    <t>Motion picture, video, television programme production; programming and broadcasting activities</t>
  </si>
  <si>
    <t>Telecommunications</t>
  </si>
  <si>
    <t>Computer programming, consultancy, and information service activities</t>
  </si>
  <si>
    <t>Computer programming, consultancy and related activities</t>
  </si>
  <si>
    <t>Information service activities</t>
  </si>
  <si>
    <t>Financial and insurance activities; real estate activities</t>
  </si>
  <si>
    <t>Financial and insurance activities</t>
  </si>
  <si>
    <t>Real estate activities</t>
  </si>
  <si>
    <t>Professional, scientific and technical activities; other service activities</t>
  </si>
  <si>
    <t>Professional, scientific and technical activities</t>
  </si>
  <si>
    <t>Legal and accounting activities; 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</si>
  <si>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</si>
  <si>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</si>
  <si>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</si>
  <si>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activities; veterinary activities</t>
  </si>
  <si>
    <t>Administrative and support service activities</t>
  </si>
  <si>
    <t>Rental and leasing activities</t>
  </si>
  <si>
    <t>Employment activities</t>
  </si>
  <si>
    <t>Travel agency, tour operator and other reservation service and related activities</t>
  </si>
  <si>
    <t>Security and investigation, service and landscape, office administrative and support activities</t>
  </si>
  <si>
    <t>Public administration and defence; compulsory social security</t>
  </si>
  <si>
    <t>Education</t>
  </si>
  <si>
    <t>Human health and social work activities</t>
  </si>
  <si>
    <t>Hospital activities</t>
  </si>
  <si>
    <t>Arts, entertainment and recreation</t>
  </si>
  <si>
    <t>Creative, arts and entertainment activities; libraries, archives, museums and other cultural activities; gambling and betting activities</t>
  </si>
  <si>
    <t>Sports activities and amusement and recreation activities</t>
  </si>
  <si>
    <t>Other service activities</t>
  </si>
  <si>
    <t>Activities of extraterritorial organisations and bodies</t>
  </si>
  <si>
    <t>Data centres activities</t>
  </si>
  <si>
    <t>Special value</t>
  </si>
  <si>
    <t>not available</t>
  </si>
  <si>
    <t>Observation flags:</t>
  </si>
  <si>
    <t>low reliability</t>
  </si>
  <si>
    <t>value</t>
  </si>
  <si>
    <t>unit</t>
  </si>
  <si>
    <t>comment</t>
  </si>
  <si>
    <t>Category</t>
  </si>
  <si>
    <t>https://doi.org/10.2908/NRG_D_SERQ_N</t>
  </si>
  <si>
    <t>Energieverbruik per functie   [PJ]   Nederland</t>
  </si>
  <si>
    <t>Ruimteverwarming (1)</t>
  </si>
  <si>
    <t>Productbereiding en -koeling, horeca (1)</t>
  </si>
  <si>
    <t>Tapwaterverwarming (1)</t>
  </si>
  <si>
    <t>Ruimtekoeling en ventilatie (1)</t>
  </si>
  <si>
    <t>Diversen (1)</t>
  </si>
  <si>
    <t>Verlichting (1)</t>
  </si>
  <si>
    <t>ICT (1)</t>
  </si>
  <si>
    <t>Transport (1)</t>
  </si>
  <si>
    <t>TNO EnergieTransitie</t>
  </si>
  <si>
    <t>Voetnoot</t>
  </si>
  <si>
    <t>(1)</t>
  </si>
  <si>
    <t>De getoonde cijfers zijn temperatuur gecorrigeerd.</t>
  </si>
  <si>
    <t>energiecijfers.databank.nl</t>
  </si>
  <si>
    <t>Datum export</t>
  </si>
  <si>
    <t>maandag 26 mei 2025</t>
  </si>
  <si>
    <t>https://energiecijfers.databank.nl/jive?workspace_guid=47b45879-4648-4e06-ad59-44227bff9ff4</t>
  </si>
  <si>
    <t>Link bron</t>
  </si>
  <si>
    <t>From Eurostat, only electricity demand is accounted for in ICT final demand</t>
  </si>
  <si>
    <t>From RVO databank</t>
  </si>
  <si>
    <t>Warmtepompen; aantallen, thermisch vermogen en energiestromen,1994-2021</t>
  </si>
  <si>
    <t>Onderwerp</t>
  </si>
  <si>
    <t>megawatt</t>
  </si>
  <si>
    <t>Bron: CBS</t>
  </si>
  <si>
    <t>Link naar bron</t>
  </si>
  <si>
    <t>Unit</t>
  </si>
  <si>
    <t>Heat demand heat pumps based on CBS</t>
  </si>
  <si>
    <t>Energiestromen|Bruto eindverbruik</t>
  </si>
  <si>
    <t>2023**</t>
  </si>
  <si>
    <t>.</t>
  </si>
  <si>
    <t>Warmtepompen bodem of water; totaal</t>
  </si>
  <si>
    <t>Warmtepompen bodem of water; wv hybride</t>
  </si>
  <si>
    <t>Warmtepompen buitenlucht; totaal</t>
  </si>
  <si>
    <t>Warmtepompen buitenlucht-lucht</t>
  </si>
  <si>
    <t>Warmtepompen buitenlucht-water; totaal</t>
  </si>
  <si>
    <t>Warmtepomp buitenlucht-water; wv hybride</t>
  </si>
  <si>
    <t>https://opendata.cbs.nl/#/CBS/nl/dataset/85523NED/table?dl=C139D</t>
  </si>
  <si>
    <t>Energiebalans; aanbod, omzetting en verbruik</t>
  </si>
  <si>
    <t>Perioden: 2023**</t>
  </si>
  <si>
    <t>Energiedragers</t>
  </si>
  <si>
    <t>Omgevingsenergie</t>
  </si>
  <si>
    <t>Elektriciteit</t>
  </si>
  <si>
    <t>Finaal verbruik|Finaal energieverbruik|Overige afnemers|Diensten, afval, water en reparatie</t>
  </si>
  <si>
    <t>Assumption: allocate to air heat pump</t>
  </si>
  <si>
    <t>Assumption: allocate to ground heat pump with thermal storage (TS)</t>
  </si>
  <si>
    <t>Comment</t>
  </si>
  <si>
    <t>from node ETSource: buildings_space_heater_heatpump_air_water_electricity</t>
  </si>
  <si>
    <t>from node ETSource: buildings_space_heater_collective_heatpump_water_water_ts_electricity</t>
  </si>
  <si>
    <t>Efficiencies</t>
  </si>
  <si>
    <t>Total</t>
  </si>
  <si>
    <t>Demand per carrier</t>
  </si>
  <si>
    <t>Note that CBS accounts for aggregated services and agricutlure</t>
  </si>
  <si>
    <t>Totaal energiedragers</t>
  </si>
  <si>
    <t>Totaal kool en koolproducten</t>
  </si>
  <si>
    <t>Aardoliegrond. - en producten, fossiel</t>
  </si>
  <si>
    <t>Totaal aardoliegrondstoffen, fossiel</t>
  </si>
  <si>
    <t>Aardgas</t>
  </si>
  <si>
    <t>Hernieuwbare energie</t>
  </si>
  <si>
    <t>Waterkracht</t>
  </si>
  <si>
    <t>Totaal windenergie</t>
  </si>
  <si>
    <t>Totaal zonne-energie</t>
  </si>
  <si>
    <t>Totaal biomassa</t>
  </si>
  <si>
    <t>Warmte</t>
  </si>
  <si>
    <t>Totaal overige energiedragers</t>
  </si>
  <si>
    <t>https://opendata.cbs.nl/#/CBS/nl/dataset/83140NED/table?dl=C144B</t>
  </si>
  <si>
    <t>Taken from energy balance</t>
  </si>
  <si>
    <t>Apply shares of calculated ambient heat to total ambient heat energy balance flow</t>
  </si>
  <si>
    <t>Share technology in total demand</t>
  </si>
  <si>
    <t>Ground heat pump with TS</t>
  </si>
  <si>
    <t>Air heat pump</t>
  </si>
  <si>
    <t>since efficiencies are roughly similar, share is determined based on final demand</t>
  </si>
  <si>
    <t>Allocation final demand flows</t>
  </si>
  <si>
    <t>Heat pump total</t>
  </si>
  <si>
    <t>Allocation other technologies</t>
  </si>
  <si>
    <t>Gas-fired heaters</t>
  </si>
  <si>
    <t>Electric heat pumps with thermal storage</t>
  </si>
  <si>
    <t>Gas-fired heat pumps</t>
  </si>
  <si>
    <t>Electric heaters</t>
  </si>
  <si>
    <t>Coal-fired heaters</t>
  </si>
  <si>
    <t>Oil-fired heaters</t>
  </si>
  <si>
    <t>Electric air heatpumps</t>
  </si>
  <si>
    <t>Demand</t>
  </si>
  <si>
    <t>Efficiency per technology</t>
  </si>
  <si>
    <t>%</t>
  </si>
  <si>
    <t xml:space="preserve">Based on CBS energiebalans. Ignoring coal and oil since heaters for these technologies are not available for NL. </t>
  </si>
  <si>
    <t xml:space="preserve">Solar thermal, biomass heaters and district heating are accounted for in the analysis manager processing steps. </t>
  </si>
  <si>
    <t>No hybrid heat pumps</t>
  </si>
  <si>
    <t>not applicable</t>
  </si>
  <si>
    <t xml:space="preserve">Useful demand produced </t>
  </si>
  <si>
    <t xml:space="preserve">Percentage of heat delivered </t>
  </si>
  <si>
    <t>Based on CBS energy balance final demand natural gas and gas heater efficiency</t>
  </si>
  <si>
    <t>Based on CBS energy balance final demand ambient heat, technology efficiency and CBS heat pump data</t>
  </si>
  <si>
    <t>Based on CBS heat pump data</t>
  </si>
  <si>
    <t>Assumption</t>
  </si>
  <si>
    <t>Technology split heating: Gas-fired heaters</t>
  </si>
  <si>
    <t>Technology split heating: Electric heat pumps with thermal storage</t>
  </si>
  <si>
    <t>Technology split heating: Gas-fired heat pumps</t>
  </si>
  <si>
    <t>Technology split heating: Electric heaters</t>
  </si>
  <si>
    <t>Technology split heating: Coal-fired heaters</t>
  </si>
  <si>
    <t>Technology split heating: Oil-fired heaters</t>
  </si>
  <si>
    <t>Technology split heating: Electric air heatpumps</t>
  </si>
  <si>
    <t>Technology split cooling: Gas-fired heat pumps</t>
  </si>
  <si>
    <t>Technology split cooling: Electric heat pumps with thermal storage</t>
  </si>
  <si>
    <t>Technology split cooling: Airconditioning</t>
  </si>
  <si>
    <t>Technology split cooling: Electric air heat pumps</t>
  </si>
  <si>
    <t>Assumed the same share as for heating</t>
  </si>
  <si>
    <t>Allocate the rest to airconditiong</t>
  </si>
  <si>
    <t>Standard fluorescent tubes</t>
  </si>
  <si>
    <t>Efficient fluorescent tubes</t>
  </si>
  <si>
    <t>LED tubes</t>
  </si>
  <si>
    <t>LED</t>
  </si>
  <si>
    <t>compact fluorescent</t>
  </si>
  <si>
    <t>linear fluorescent</t>
  </si>
  <si>
    <t>incandescent</t>
  </si>
  <si>
    <t>high-intensity discharge</t>
  </si>
  <si>
    <t>Lighting technology European Commission</t>
  </si>
  <si>
    <t>https://energy-efficient-products.ec.europa.eu/product-list/light-sources_en</t>
  </si>
  <si>
    <t>Value</t>
  </si>
  <si>
    <t>Allocate to ETM categories</t>
  </si>
  <si>
    <t>Percentage of light delivered by</t>
  </si>
  <si>
    <t>Original value</t>
  </si>
  <si>
    <t>Re-allocated value</t>
  </si>
  <si>
    <t>Services sector only has LED and linear fluorescent in ETM</t>
  </si>
  <si>
    <t>Distribution standard and efficienct tubes</t>
  </si>
  <si>
    <t>It is assumed that 50% of linear fluorescent is standard and 50% is efficient</t>
  </si>
  <si>
    <t>Lighting technology: Standard fluorescent tubes</t>
  </si>
  <si>
    <t>Lighting technology: Efficient fluorescent tubes</t>
  </si>
  <si>
    <t>Lighting technology: LED tubes</t>
  </si>
  <si>
    <t>Based on European Commission data for light sources in 2020 in the EU27</t>
  </si>
  <si>
    <t>Corrected for rounding</t>
  </si>
  <si>
    <t>Final energy demand based on RVO shares</t>
  </si>
  <si>
    <t>Space cooling</t>
  </si>
  <si>
    <t>Space heating</t>
  </si>
  <si>
    <t>Lighting</t>
  </si>
  <si>
    <t>Total final energy demand</t>
  </si>
  <si>
    <t>copied from energy balance analysis</t>
  </si>
  <si>
    <t>Wood pellets</t>
  </si>
  <si>
    <t>Sourced to match energy balance. Efficiency based on node buildings_space_heater_network_gas</t>
  </si>
  <si>
    <t>Calculated from ambient heat use</t>
  </si>
  <si>
    <t>Sourced directly from energy balance</t>
  </si>
  <si>
    <t>Assumed to be 0</t>
  </si>
  <si>
    <t>Used as a degree of freedom to match total space heating demand. Efficiency based on node buildings-space_heater_electricity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</si>
</sst>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##########"/>
    <numFmt numFmtId="166" formatCode="0.0%"/>
    <numFmt numFmtId="167" formatCode="0.000"/>
    <numFmt numFmtId="168" formatCode="0.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mediumGray">
        <bgColor indexed="22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indexed="64"/>
      </bottom>
      <diagonal/>
    </border>
  </borders>
  <cellStyleXfs count="8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9" fontId="4" fillId="0" borderId="0" applyFont="0" applyFill="0" applyBorder="0" applyAlignment="0" applyProtection="0"/>
  </cellStyleXfs>
  <cellXfs count="42"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0" borderId="0" xfId="87" applyFont="1" applyAlignment="1">
      <alignment horizontal="left" vertical="center"/>
    </xf>
    <xf numFmtId="0" fontId="6" fillId="0" borderId="0" xfId="87"/>
    <xf numFmtId="0" fontId="8" fillId="0" borderId="0" xfId="87" applyFont="1" applyAlignment="1">
      <alignment horizontal="left" vertical="center"/>
    </xf>
    <xf numFmtId="0" fontId="9" fillId="3" borderId="3" xfId="87" applyFont="1" applyFill="1" applyBorder="1" applyAlignment="1">
      <alignment horizontal="right" vertical="center"/>
    </xf>
    <xf numFmtId="0" fontId="8" fillId="4" borderId="3" xfId="87" applyFont="1" applyFill="1" applyBorder="1" applyAlignment="1">
      <alignment horizontal="left" vertical="center"/>
    </xf>
    <xf numFmtId="0" fontId="6" fillId="5" borderId="0" xfId="87" applyFill="1"/>
    <xf numFmtId="0" fontId="8" fillId="6" borderId="3" xfId="87" applyFont="1" applyFill="1" applyBorder="1" applyAlignment="1">
      <alignment horizontal="left" vertical="center"/>
    </xf>
    <xf numFmtId="3" fontId="7" fillId="7" borderId="0" xfId="87" applyNumberFormat="1" applyFont="1" applyFill="1" applyAlignment="1">
      <alignment horizontal="right" vertical="center" shrinkToFit="1"/>
    </xf>
    <xf numFmtId="164" fontId="7" fillId="7" borderId="0" xfId="87" applyNumberFormat="1" applyFont="1" applyFill="1" applyAlignment="1">
      <alignment horizontal="right" vertical="center" shrinkToFit="1"/>
    </xf>
    <xf numFmtId="165" fontId="7" fillId="7" borderId="0" xfId="87" applyNumberFormat="1" applyFont="1" applyFill="1" applyAlignment="1">
      <alignment horizontal="right" vertical="center" shrinkToFit="1"/>
    </xf>
    <xf numFmtId="3" fontId="7" fillId="0" borderId="0" xfId="87" applyNumberFormat="1" applyFont="1" applyAlignment="1">
      <alignment horizontal="right" vertical="center" shrinkToFit="1"/>
    </xf>
    <xf numFmtId="164" fontId="7" fillId="0" borderId="0" xfId="87" applyNumberFormat="1" applyFont="1" applyAlignment="1">
      <alignment horizontal="right" vertical="center" shrinkToFit="1"/>
    </xf>
    <xf numFmtId="165" fontId="7" fillId="0" borderId="0" xfId="87" applyNumberFormat="1" applyFont="1" applyAlignment="1">
      <alignment horizontal="right" vertical="center" shrinkToFit="1"/>
    </xf>
    <xf numFmtId="0" fontId="2" fillId="0" borderId="0" xfId="86"/>
    <xf numFmtId="0" fontId="2" fillId="0" borderId="0" xfId="86" applyAlignment="1">
      <alignment horizontal="left" vertical="center"/>
    </xf>
    <xf numFmtId="0" fontId="5" fillId="2" borderId="1" xfId="87" applyFont="1" applyFill="1" applyBorder="1"/>
    <xf numFmtId="0" fontId="6" fillId="0" borderId="2" xfId="87" applyBorder="1"/>
    <xf numFmtId="0" fontId="1" fillId="0" borderId="0" xfId="0" applyFont="1"/>
    <xf numFmtId="166" fontId="0" fillId="0" borderId="0" xfId="88" applyNumberFormat="1" applyFont="1"/>
    <xf numFmtId="167" fontId="0" fillId="0" borderId="0" xfId="0" applyNumberFormat="1"/>
    <xf numFmtId="168" fontId="0" fillId="0" borderId="0" xfId="0" applyNumberFormat="1"/>
    <xf numFmtId="9" fontId="0" fillId="0" borderId="0" xfId="88" applyFont="1"/>
    <xf numFmtId="166" fontId="0" fillId="0" borderId="0" xfId="0" applyNumberFormat="1"/>
    <xf numFmtId="0" fontId="0" fillId="0" borderId="0" xfId="0" applyAlignment="1">
      <alignment horizontal="left" indent="2"/>
    </xf>
    <xf numFmtId="9" fontId="0" fillId="0" borderId="0" xfId="0" applyNumberFormat="1"/>
    <xf numFmtId="3" fontId="0" fillId="0" borderId="0" xfId="0" applyNumberFormat="1"/>
    <xf numFmtId="166" fontId="6" fillId="0" borderId="0" xfId="88" applyNumberFormat="1" applyFont="1"/>
    <xf numFmtId="3" fontId="0" fillId="0" borderId="0" xfId="0" applyNumberFormat="1" applyAlignment="1">
      <alignment vertical="top" wrapText="1"/>
    </xf>
    <xf numFmtId="0" fontId="0" fillId="0" borderId="4" xfId="0" applyBorder="1"/>
    <xf numFmtId="1" fontId="0" fillId="0" borderId="4" xfId="0" applyNumberFormat="1" applyBorder="1"/>
    <xf numFmtId="168" fontId="0" fillId="8" borderId="0" xfId="0" applyNumberFormat="1" applyFill="1"/>
    <xf numFmtId="0" fontId="0" fillId="8" borderId="0" xfId="0" applyFill="1"/>
    <xf numFmtId="166" fontId="0" fillId="8" borderId="0" xfId="88" applyNumberFormat="1" applyFont="1" applyFill="1"/>
    <xf numFmtId="166" fontId="0" fillId="8" borderId="0" xfId="0" applyNumberFormat="1" applyFill="1"/>
    <xf numFmtId="168" fontId="0" fillId="8" borderId="4" xfId="0" applyNumberFormat="1" applyFill="1" applyBorder="1"/>
    <xf numFmtId="0" fontId="0" fillId="8" borderId="4" xfId="0" applyFill="1" applyBorder="1"/>
    <xf numFmtId="166" fontId="0" fillId="8" borderId="4" xfId="88" applyNumberFormat="1" applyFont="1" applyFill="1" applyBorder="1"/>
    <xf numFmtId="166" fontId="0" fillId="8" borderId="4" xfId="0" applyNumberFormat="1" applyFill="1" applyBorder="1"/>
    <xf numFmtId="0" fontId="9" fillId="3" borderId="3" xfId="87" applyFont="1" applyFill="1" applyBorder="1" applyAlignment="1">
      <alignment horizontal="left" vertical="center"/>
    </xf>
  </cellXfs>
  <cellStyles count="8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6" builtinId="8"/>
    <cellStyle name="Normal" xfId="0" builtinId="0"/>
    <cellStyle name="Normal 2" xfId="87" xr:uid="{1EA803E7-E6C2-0E47-B789-D022251BE372}"/>
    <cellStyle name="Per cent" xfId="88" builtinId="5"/>
    <cellStyle name="Percent 2" xfId="85" xr:uid="{00000000-0005-0000-0000-000056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3</xdr:row>
      <xdr:rowOff>63500</xdr:rowOff>
    </xdr:from>
    <xdr:to>
      <xdr:col>13</xdr:col>
      <xdr:colOff>575854</xdr:colOff>
      <xdr:row>6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A599A1-1D74-7A8F-4E37-927BA97D7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3000" y="673100"/>
          <a:ext cx="8818154" cy="736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tlubben/Projects/etdataset/analyses/7_services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Changelog"/>
      <sheetName val="Contents"/>
      <sheetName val="Introduction"/>
      <sheetName val="Dataflow"/>
      <sheetName val="Assumptions"/>
      <sheetName val="Dashboard"/>
      <sheetName val="Corrected energy balance step 2"/>
      <sheetName val="technical_specs"/>
      <sheetName val="Application shares"/>
      <sheetName val="Technology shares"/>
      <sheetName val="Final demand per energy carrier"/>
      <sheetName val="Technology split final demand"/>
      <sheetName val="Final demand extracted from EB"/>
      <sheetName val="Fuel aggregation"/>
      <sheetName val="Tech split of useful demand"/>
      <sheetName val="csv_ps_final_demand_lighting"/>
      <sheetName val="csv_ps_space_heating_electricit"/>
      <sheetName val="csv_ps_cooling_electricity"/>
      <sheetName val="csv_ps_space_heating_gas"/>
      <sheetName val="csv_ps_final_demand_coal"/>
      <sheetName val="csv_ps_final_demand_gas"/>
      <sheetName val="csv_ps_final_demand_oil"/>
      <sheetName val="csv_ps_final_demand_electricity"/>
      <sheetName val="csv_ps_final_demand_wood_p"/>
      <sheetName val="csv_heating_useful_insulation"/>
      <sheetName val="csv_cooling_useful_insulation"/>
      <sheetName val="csv_light_saving_detection"/>
      <sheetName val="csv_light_saving_control"/>
      <sheetName val="csv_ps_sector_electric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nergy-efficient-products.ec.europa.eu/product-list/light-sources_e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2908/NRG_D_SERQ_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iecijfers.databank.nl/jive?workspace_guid=47b45879-4648-4e06-ad59-44227bff9ff4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data.cbs.nl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data.cbs.n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F049-9CF7-F84F-A9F0-416E926A5E40}">
  <sheetPr codeName="Sheet1"/>
  <dimension ref="A1:D23"/>
  <sheetViews>
    <sheetView tabSelected="1" zoomScale="133" workbookViewId="0">
      <selection activeCell="A46" sqref="A46"/>
    </sheetView>
  </sheetViews>
  <sheetFormatPr baseColWidth="10" defaultRowHeight="16" x14ac:dyDescent="0.2"/>
  <cols>
    <col min="1" max="1" width="61.5" customWidth="1"/>
  </cols>
  <sheetData>
    <row r="1" spans="1:4" x14ac:dyDescent="0.2">
      <c r="A1" t="s">
        <v>125</v>
      </c>
      <c r="B1" t="s">
        <v>122</v>
      </c>
      <c r="C1" t="s">
        <v>123</v>
      </c>
      <c r="D1" t="s">
        <v>124</v>
      </c>
    </row>
    <row r="2" spans="1:4" x14ac:dyDescent="0.2">
      <c r="A2" t="s">
        <v>15</v>
      </c>
      <c r="B2" s="2">
        <f>Eurostat!AB42</f>
        <v>20036.862000000001</v>
      </c>
      <c r="C2" t="s">
        <v>0</v>
      </c>
      <c r="D2" t="s">
        <v>145</v>
      </c>
    </row>
    <row r="3" spans="1:4" x14ac:dyDescent="0.2">
      <c r="A3" t="s">
        <v>9</v>
      </c>
      <c r="B3" s="2">
        <f>'Final demand'!B5</f>
        <v>127290.33735943359</v>
      </c>
      <c r="C3" t="s">
        <v>0</v>
      </c>
      <c r="D3" t="s">
        <v>146</v>
      </c>
    </row>
    <row r="4" spans="1:4" x14ac:dyDescent="0.2">
      <c r="A4" t="s">
        <v>10</v>
      </c>
      <c r="B4" s="2">
        <f>'Final demand'!B6</f>
        <v>17646.168263223659</v>
      </c>
      <c r="C4" t="s">
        <v>0</v>
      </c>
      <c r="D4" t="s">
        <v>146</v>
      </c>
    </row>
    <row r="5" spans="1:4" x14ac:dyDescent="0.2">
      <c r="A5" t="s">
        <v>11</v>
      </c>
      <c r="B5" s="2">
        <f>'Final demand'!B7</f>
        <v>30533.819241982506</v>
      </c>
      <c r="C5" t="s">
        <v>0</v>
      </c>
      <c r="D5" t="s">
        <v>146</v>
      </c>
    </row>
    <row r="6" spans="1:4" x14ac:dyDescent="0.2">
      <c r="A6" t="s">
        <v>221</v>
      </c>
      <c r="B6" s="21">
        <f>'Space heating'!F43</f>
        <v>0.72099999999999997</v>
      </c>
      <c r="D6" t="s">
        <v>217</v>
      </c>
    </row>
    <row r="7" spans="1:4" x14ac:dyDescent="0.2">
      <c r="A7" t="s">
        <v>222</v>
      </c>
      <c r="B7" s="21">
        <f>'Space heating'!F44</f>
        <v>3.5999999999999997E-2</v>
      </c>
      <c r="D7" t="s">
        <v>218</v>
      </c>
    </row>
    <row r="8" spans="1:4" x14ac:dyDescent="0.2">
      <c r="A8" t="s">
        <v>223</v>
      </c>
      <c r="B8" s="21">
        <f>'Space heating'!F45</f>
        <v>0</v>
      </c>
      <c r="D8" t="s">
        <v>219</v>
      </c>
    </row>
    <row r="9" spans="1:4" x14ac:dyDescent="0.2">
      <c r="A9" t="s">
        <v>224</v>
      </c>
      <c r="B9" s="21">
        <f>'Space heating'!F46</f>
        <v>0.18099999999999999</v>
      </c>
      <c r="D9" t="s">
        <v>220</v>
      </c>
    </row>
    <row r="10" spans="1:4" x14ac:dyDescent="0.2">
      <c r="A10" t="s">
        <v>225</v>
      </c>
      <c r="B10" s="21">
        <f>'Space heating'!F47</f>
        <v>0</v>
      </c>
      <c r="D10" t="s">
        <v>220</v>
      </c>
    </row>
    <row r="11" spans="1:4" x14ac:dyDescent="0.2">
      <c r="A11" t="s">
        <v>226</v>
      </c>
      <c r="B11" s="21">
        <f>'Space heating'!F48</f>
        <v>0</v>
      </c>
      <c r="D11" t="s">
        <v>220</v>
      </c>
    </row>
    <row r="12" spans="1:4" x14ac:dyDescent="0.2">
      <c r="A12" t="s">
        <v>227</v>
      </c>
      <c r="B12" s="21">
        <f>'Space heating'!F49</f>
        <v>6.2E-2</v>
      </c>
      <c r="D12" t="s">
        <v>218</v>
      </c>
    </row>
    <row r="13" spans="1:4" x14ac:dyDescent="0.2">
      <c r="A13" t="s">
        <v>228</v>
      </c>
      <c r="B13" s="21">
        <v>0</v>
      </c>
      <c r="D13" t="s">
        <v>219</v>
      </c>
    </row>
    <row r="14" spans="1:4" x14ac:dyDescent="0.2">
      <c r="A14" t="s">
        <v>229</v>
      </c>
      <c r="B14" s="25">
        <f>B7</f>
        <v>3.5999999999999997E-2</v>
      </c>
      <c r="D14" t="s">
        <v>232</v>
      </c>
    </row>
    <row r="15" spans="1:4" x14ac:dyDescent="0.2">
      <c r="A15" t="s">
        <v>230</v>
      </c>
      <c r="B15" s="25">
        <f>1-(B14+B16)</f>
        <v>0.90200000000000002</v>
      </c>
      <c r="D15" t="s">
        <v>233</v>
      </c>
    </row>
    <row r="16" spans="1:4" x14ac:dyDescent="0.2">
      <c r="A16" t="s">
        <v>231</v>
      </c>
      <c r="B16" s="25">
        <f>B12</f>
        <v>6.2E-2</v>
      </c>
      <c r="D16" t="s">
        <v>232</v>
      </c>
    </row>
    <row r="17" spans="1:4" x14ac:dyDescent="0.2">
      <c r="A17" t="s">
        <v>252</v>
      </c>
      <c r="B17" s="21">
        <f>Lighting!B20</f>
        <v>0.158335</v>
      </c>
      <c r="D17" t="s">
        <v>255</v>
      </c>
    </row>
    <row r="18" spans="1:4" x14ac:dyDescent="0.2">
      <c r="A18" t="s">
        <v>253</v>
      </c>
      <c r="B18" s="21">
        <f>Lighting!B21</f>
        <v>0.158335</v>
      </c>
      <c r="D18" t="s">
        <v>255</v>
      </c>
    </row>
    <row r="19" spans="1:4" x14ac:dyDescent="0.2">
      <c r="A19" t="s">
        <v>254</v>
      </c>
      <c r="B19" s="21">
        <f>Lighting!B22</f>
        <v>0.68332999999999999</v>
      </c>
      <c r="D19" t="s">
        <v>255</v>
      </c>
    </row>
    <row r="20" spans="1:4" x14ac:dyDescent="0.2">
      <c r="A20" s="26"/>
    </row>
    <row r="21" spans="1:4" x14ac:dyDescent="0.2">
      <c r="A21" s="26"/>
    </row>
    <row r="22" spans="1:4" x14ac:dyDescent="0.2">
      <c r="A22" s="26"/>
    </row>
    <row r="23" spans="1:4" x14ac:dyDescent="0.2">
      <c r="A23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55B3-47C3-D245-848F-915CE1FF0896}">
  <dimension ref="A1:D7"/>
  <sheetViews>
    <sheetView workbookViewId="0">
      <selection activeCell="E66" sqref="E66"/>
    </sheetView>
  </sheetViews>
  <sheetFormatPr baseColWidth="10" defaultRowHeight="16" x14ac:dyDescent="0.2"/>
  <sheetData>
    <row r="1" spans="1:4" x14ac:dyDescent="0.2">
      <c r="A1" s="20" t="s">
        <v>257</v>
      </c>
    </row>
    <row r="2" spans="1:4" x14ac:dyDescent="0.2">
      <c r="A2" s="20"/>
    </row>
    <row r="3" spans="1:4" x14ac:dyDescent="0.2">
      <c r="A3" t="s">
        <v>261</v>
      </c>
      <c r="B3" s="28">
        <v>238025</v>
      </c>
      <c r="C3" t="s">
        <v>0</v>
      </c>
      <c r="D3" t="s">
        <v>262</v>
      </c>
    </row>
    <row r="4" spans="1:4" x14ac:dyDescent="0.2">
      <c r="A4" s="20"/>
    </row>
    <row r="5" spans="1:4" x14ac:dyDescent="0.2">
      <c r="A5" t="s">
        <v>259</v>
      </c>
      <c r="B5">
        <f>$B$3*RVO!$D$3</f>
        <v>127290.33735943359</v>
      </c>
      <c r="C5" t="s">
        <v>0</v>
      </c>
    </row>
    <row r="6" spans="1:4" x14ac:dyDescent="0.2">
      <c r="A6" t="s">
        <v>258</v>
      </c>
      <c r="B6">
        <f>$B$3*RVO!D6</f>
        <v>17646.168263223659</v>
      </c>
      <c r="C6" t="s">
        <v>0</v>
      </c>
    </row>
    <row r="7" spans="1:4" x14ac:dyDescent="0.2">
      <c r="A7" t="s">
        <v>260</v>
      </c>
      <c r="B7">
        <f>$B$3*RVO!D8</f>
        <v>30533.819241982506</v>
      </c>
      <c r="C7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3CC4-5B55-C543-8F8F-5206AB49BBCF}">
  <sheetPr codeName="Sheet4"/>
  <dimension ref="A1:H56"/>
  <sheetViews>
    <sheetView workbookViewId="0">
      <selection activeCell="B5" sqref="B5"/>
    </sheetView>
  </sheetViews>
  <sheetFormatPr baseColWidth="10" defaultRowHeight="16" x14ac:dyDescent="0.2"/>
  <cols>
    <col min="1" max="1" width="37.5" bestFit="1" customWidth="1"/>
    <col min="2" max="2" width="45.6640625" bestFit="1" customWidth="1"/>
    <col min="3" max="3" width="21.83203125" bestFit="1" customWidth="1"/>
    <col min="5" max="5" width="19.33203125" bestFit="1" customWidth="1"/>
  </cols>
  <sheetData>
    <row r="1" spans="1:4" x14ac:dyDescent="0.2">
      <c r="A1" s="20" t="s">
        <v>153</v>
      </c>
    </row>
    <row r="2" spans="1:4" x14ac:dyDescent="0.2">
      <c r="A2" t="s">
        <v>178</v>
      </c>
    </row>
    <row r="4" spans="1:4" x14ac:dyDescent="0.2">
      <c r="A4" t="s">
        <v>1</v>
      </c>
      <c r="B4" t="s">
        <v>154</v>
      </c>
      <c r="C4" t="s">
        <v>123</v>
      </c>
      <c r="D4" t="s">
        <v>124</v>
      </c>
    </row>
    <row r="5" spans="1:4" x14ac:dyDescent="0.2">
      <c r="A5" t="s">
        <v>16</v>
      </c>
      <c r="B5">
        <f>'CBS heat pumps'!L6</f>
        <v>10155</v>
      </c>
      <c r="C5" t="s">
        <v>0</v>
      </c>
    </row>
    <row r="6" spans="1:4" x14ac:dyDescent="0.2">
      <c r="A6" t="s">
        <v>157</v>
      </c>
      <c r="B6">
        <f>'CBS heat pumps'!L7</f>
        <v>3602</v>
      </c>
      <c r="C6" t="s">
        <v>0</v>
      </c>
      <c r="D6" t="s">
        <v>171</v>
      </c>
    </row>
    <row r="7" spans="1:4" x14ac:dyDescent="0.2">
      <c r="A7" t="s">
        <v>158</v>
      </c>
      <c r="B7" t="str">
        <f>'CBS heat pumps'!L8</f>
        <v>.</v>
      </c>
      <c r="C7" t="s">
        <v>0</v>
      </c>
      <c r="D7" t="s">
        <v>213</v>
      </c>
    </row>
    <row r="8" spans="1:4" x14ac:dyDescent="0.2">
      <c r="A8" t="s">
        <v>159</v>
      </c>
      <c r="B8">
        <f>'CBS heat pumps'!L9</f>
        <v>6553</v>
      </c>
      <c r="C8" t="s">
        <v>0</v>
      </c>
      <c r="D8" t="s">
        <v>170</v>
      </c>
    </row>
    <row r="9" spans="1:4" x14ac:dyDescent="0.2">
      <c r="A9" t="s">
        <v>160</v>
      </c>
      <c r="B9">
        <f>'CBS heat pumps'!L10</f>
        <v>3000</v>
      </c>
      <c r="C9" t="s">
        <v>0</v>
      </c>
    </row>
    <row r="10" spans="1:4" x14ac:dyDescent="0.2">
      <c r="A10" t="s">
        <v>161</v>
      </c>
      <c r="B10">
        <f>'CBS heat pumps'!L11</f>
        <v>3554</v>
      </c>
      <c r="C10" t="s">
        <v>0</v>
      </c>
    </row>
    <row r="11" spans="1:4" x14ac:dyDescent="0.2">
      <c r="A11" t="s">
        <v>162</v>
      </c>
      <c r="B11" t="str">
        <f>'CBS heat pumps'!L12</f>
        <v>.</v>
      </c>
      <c r="C11" t="s">
        <v>0</v>
      </c>
      <c r="D11" t="s">
        <v>213</v>
      </c>
    </row>
    <row r="14" spans="1:4" x14ac:dyDescent="0.2">
      <c r="A14" s="20" t="s">
        <v>175</v>
      </c>
    </row>
    <row r="15" spans="1:4" x14ac:dyDescent="0.2">
      <c r="B15" t="s">
        <v>25</v>
      </c>
      <c r="C15" t="s">
        <v>53</v>
      </c>
      <c r="D15" t="s">
        <v>172</v>
      </c>
    </row>
    <row r="16" spans="1:4" x14ac:dyDescent="0.2">
      <c r="A16" t="s">
        <v>195</v>
      </c>
      <c r="B16" s="22">
        <v>0.73399999999999999</v>
      </c>
      <c r="C16" s="22">
        <v>0.26600000000000001</v>
      </c>
      <c r="D16" t="s">
        <v>174</v>
      </c>
    </row>
    <row r="17" spans="1:5" x14ac:dyDescent="0.2">
      <c r="A17" t="s">
        <v>196</v>
      </c>
      <c r="B17" s="22">
        <v>0.77780000000000005</v>
      </c>
      <c r="C17" s="22">
        <v>0.22220000000000001</v>
      </c>
      <c r="D17" t="s">
        <v>173</v>
      </c>
    </row>
    <row r="20" spans="1:5" x14ac:dyDescent="0.2">
      <c r="A20" s="20" t="s">
        <v>194</v>
      </c>
      <c r="B20" t="s">
        <v>122</v>
      </c>
      <c r="D20" t="s">
        <v>124</v>
      </c>
    </row>
    <row r="21" spans="1:5" x14ac:dyDescent="0.2">
      <c r="A21" t="s">
        <v>195</v>
      </c>
      <c r="B21" s="21">
        <f>B6/B5</f>
        <v>0.35470211718365335</v>
      </c>
      <c r="D21" t="s">
        <v>197</v>
      </c>
    </row>
    <row r="22" spans="1:5" x14ac:dyDescent="0.2">
      <c r="A22" t="s">
        <v>196</v>
      </c>
      <c r="B22" s="21">
        <f>B8/B5</f>
        <v>0.64529788281634659</v>
      </c>
      <c r="D22" t="s">
        <v>197</v>
      </c>
    </row>
    <row r="24" spans="1:5" x14ac:dyDescent="0.2">
      <c r="B24" s="2"/>
      <c r="D24" s="1"/>
    </row>
    <row r="25" spans="1:5" x14ac:dyDescent="0.2">
      <c r="A25" s="20" t="s">
        <v>198</v>
      </c>
      <c r="B25" s="2" t="s">
        <v>122</v>
      </c>
      <c r="C25" t="s">
        <v>123</v>
      </c>
      <c r="D25" s="1" t="s">
        <v>124</v>
      </c>
    </row>
    <row r="26" spans="1:5" x14ac:dyDescent="0.2">
      <c r="A26" t="s">
        <v>199</v>
      </c>
      <c r="B26" s="2">
        <f>'CBS energiebalans'!L5*10^3</f>
        <v>9800</v>
      </c>
      <c r="C26" t="s">
        <v>0</v>
      </c>
      <c r="D26" s="1" t="s">
        <v>192</v>
      </c>
    </row>
    <row r="27" spans="1:5" x14ac:dyDescent="0.2">
      <c r="A27" t="s">
        <v>195</v>
      </c>
      <c r="B27" s="2">
        <f>$B$26*B21</f>
        <v>3476.0807483998028</v>
      </c>
      <c r="C27" t="s">
        <v>0</v>
      </c>
      <c r="D27" s="1" t="s">
        <v>193</v>
      </c>
    </row>
    <row r="28" spans="1:5" x14ac:dyDescent="0.2">
      <c r="A28" t="s">
        <v>196</v>
      </c>
      <c r="B28" s="2">
        <f>$B$26*B22</f>
        <v>6323.9192516001967</v>
      </c>
      <c r="C28" t="s">
        <v>0</v>
      </c>
      <c r="D28" s="1" t="s">
        <v>193</v>
      </c>
    </row>
    <row r="29" spans="1:5" x14ac:dyDescent="0.2">
      <c r="B29" s="2"/>
    </row>
    <row r="31" spans="1:5" x14ac:dyDescent="0.2">
      <c r="A31" s="20" t="s">
        <v>177</v>
      </c>
    </row>
    <row r="32" spans="1:5" x14ac:dyDescent="0.2">
      <c r="B32" t="s">
        <v>25</v>
      </c>
      <c r="C32" t="s">
        <v>53</v>
      </c>
      <c r="D32" t="s">
        <v>176</v>
      </c>
      <c r="E32" t="s">
        <v>152</v>
      </c>
    </row>
    <row r="33" spans="1:8" x14ac:dyDescent="0.2">
      <c r="A33" t="s">
        <v>195</v>
      </c>
      <c r="B33" s="2">
        <f>B27</f>
        <v>3476.0807483998028</v>
      </c>
      <c r="C33" s="2">
        <f>B33/B16*C16</f>
        <v>1259.7240859323535</v>
      </c>
      <c r="D33" s="2">
        <f>SUM(B33:C33)</f>
        <v>4735.8048343321561</v>
      </c>
      <c r="E33" t="s">
        <v>0</v>
      </c>
    </row>
    <row r="34" spans="1:8" x14ac:dyDescent="0.2">
      <c r="A34" t="s">
        <v>196</v>
      </c>
      <c r="B34" s="2">
        <f>B28</f>
        <v>6323.9192516001967</v>
      </c>
      <c r="C34" s="2">
        <f>B34/B17*C17</f>
        <v>1806.6017712851167</v>
      </c>
      <c r="D34" s="2">
        <f>SUM(B34:C34)</f>
        <v>8130.5210228853139</v>
      </c>
      <c r="E34" t="s">
        <v>0</v>
      </c>
    </row>
    <row r="35" spans="1:8" x14ac:dyDescent="0.2">
      <c r="B35" s="2">
        <f>SUM(B33:B34)</f>
        <v>9800</v>
      </c>
      <c r="C35" s="2">
        <f>SUM(C33:C34)</f>
        <v>3066.32585721747</v>
      </c>
      <c r="D35" s="2">
        <f>SUM(D33:D34)</f>
        <v>12866.325857217471</v>
      </c>
      <c r="E35" t="s">
        <v>0</v>
      </c>
    </row>
    <row r="36" spans="1:8" x14ac:dyDescent="0.2">
      <c r="A36" s="20"/>
    </row>
    <row r="37" spans="1:8" x14ac:dyDescent="0.2">
      <c r="A37" s="20" t="s">
        <v>200</v>
      </c>
    </row>
    <row r="38" spans="1:8" x14ac:dyDescent="0.2">
      <c r="A38" t="s">
        <v>211</v>
      </c>
    </row>
    <row r="39" spans="1:8" x14ac:dyDescent="0.2">
      <c r="A39" t="s">
        <v>212</v>
      </c>
    </row>
    <row r="41" spans="1:8" x14ac:dyDescent="0.2">
      <c r="B41" t="s">
        <v>208</v>
      </c>
      <c r="C41" t="s">
        <v>209</v>
      </c>
      <c r="D41" t="s">
        <v>215</v>
      </c>
      <c r="E41" t="s">
        <v>216</v>
      </c>
      <c r="F41" t="s">
        <v>256</v>
      </c>
      <c r="H41" t="s">
        <v>172</v>
      </c>
    </row>
    <row r="42" spans="1:8" x14ac:dyDescent="0.2">
      <c r="A42" s="31"/>
      <c r="B42" s="31" t="s">
        <v>0</v>
      </c>
      <c r="C42" s="31" t="s">
        <v>210</v>
      </c>
      <c r="D42" s="31" t="s">
        <v>0</v>
      </c>
      <c r="E42" s="31" t="s">
        <v>210</v>
      </c>
      <c r="F42" s="31" t="s">
        <v>210</v>
      </c>
    </row>
    <row r="43" spans="1:8" x14ac:dyDescent="0.2">
      <c r="A43" t="s">
        <v>201</v>
      </c>
      <c r="B43" s="30">
        <v>88881.618000000002</v>
      </c>
      <c r="C43" s="1">
        <v>1.0669999999999999</v>
      </c>
      <c r="D43">
        <f>B43*C43</f>
        <v>94836.686405999993</v>
      </c>
      <c r="E43" s="21">
        <f>D43/$D$53</f>
        <v>0.72146888553162181</v>
      </c>
      <c r="F43" s="25">
        <f>1-SUM(F44:F49)</f>
        <v>0.72099999999999997</v>
      </c>
      <c r="H43" t="s">
        <v>264</v>
      </c>
    </row>
    <row r="44" spans="1:8" x14ac:dyDescent="0.2">
      <c r="A44" t="s">
        <v>202</v>
      </c>
      <c r="B44" s="2">
        <f>C33</f>
        <v>1259.7240859323535</v>
      </c>
      <c r="C44" s="23">
        <f>1/C16</f>
        <v>3.7593984962406015</v>
      </c>
      <c r="D44">
        <f>B44*C44</f>
        <v>4735.8048343321561</v>
      </c>
      <c r="E44" s="21">
        <f t="shared" ref="E44:E49" si="0">D44/$D$53</f>
        <v>3.6027575038774469E-2</v>
      </c>
      <c r="F44" s="25">
        <f>ROUND(E44,3)</f>
        <v>3.5999999999999997E-2</v>
      </c>
      <c r="H44" t="s">
        <v>265</v>
      </c>
    </row>
    <row r="45" spans="1:8" x14ac:dyDescent="0.2">
      <c r="A45" t="s">
        <v>203</v>
      </c>
      <c r="B45">
        <v>0</v>
      </c>
      <c r="C45" t="s">
        <v>214</v>
      </c>
      <c r="D45">
        <v>0</v>
      </c>
      <c r="E45" s="21">
        <f t="shared" si="0"/>
        <v>0</v>
      </c>
      <c r="F45" s="25">
        <f t="shared" ref="F45:F49" si="1">ROUND(E45,3)</f>
        <v>0</v>
      </c>
      <c r="H45" t="s">
        <v>267</v>
      </c>
    </row>
    <row r="46" spans="1:8" x14ac:dyDescent="0.2">
      <c r="A46" t="s">
        <v>204</v>
      </c>
      <c r="B46" s="2">
        <v>23746.435256780023</v>
      </c>
      <c r="C46" s="23">
        <v>1</v>
      </c>
      <c r="D46">
        <f>B46*C46</f>
        <v>23746.435256780023</v>
      </c>
      <c r="E46" s="21">
        <f t="shared" si="0"/>
        <v>0.18065070416646264</v>
      </c>
      <c r="F46" s="25">
        <f t="shared" si="1"/>
        <v>0.18099999999999999</v>
      </c>
      <c r="H46" t="s">
        <v>268</v>
      </c>
    </row>
    <row r="47" spans="1:8" x14ac:dyDescent="0.2">
      <c r="A47" t="s">
        <v>205</v>
      </c>
      <c r="B47">
        <v>0</v>
      </c>
      <c r="C47" t="s">
        <v>214</v>
      </c>
      <c r="D47">
        <v>0</v>
      </c>
      <c r="E47" s="21">
        <f t="shared" si="0"/>
        <v>0</v>
      </c>
      <c r="F47" s="25">
        <f t="shared" si="1"/>
        <v>0</v>
      </c>
      <c r="H47" t="s">
        <v>267</v>
      </c>
    </row>
    <row r="48" spans="1:8" x14ac:dyDescent="0.2">
      <c r="A48" t="s">
        <v>206</v>
      </c>
      <c r="B48">
        <v>0</v>
      </c>
      <c r="C48" t="s">
        <v>214</v>
      </c>
      <c r="D48">
        <v>0</v>
      </c>
      <c r="E48" s="21">
        <f t="shared" si="0"/>
        <v>0</v>
      </c>
      <c r="F48" s="25">
        <f t="shared" si="1"/>
        <v>0</v>
      </c>
      <c r="H48" t="s">
        <v>267</v>
      </c>
    </row>
    <row r="49" spans="1:8" ht="17" customHeight="1" x14ac:dyDescent="0.2">
      <c r="A49" t="s">
        <v>207</v>
      </c>
      <c r="B49" s="2">
        <f>C34</f>
        <v>1806.6017712851167</v>
      </c>
      <c r="C49" s="23">
        <f>1/C17</f>
        <v>4.5004500450045004</v>
      </c>
      <c r="D49">
        <f>B49*C49</f>
        <v>8130.5210228853139</v>
      </c>
      <c r="E49" s="21">
        <f t="shared" si="0"/>
        <v>6.1852835263141087E-2</v>
      </c>
      <c r="F49" s="25">
        <f t="shared" si="1"/>
        <v>6.2E-2</v>
      </c>
      <c r="H49" t="s">
        <v>265</v>
      </c>
    </row>
    <row r="50" spans="1:8" ht="17" customHeight="1" x14ac:dyDescent="0.2">
      <c r="A50" t="s">
        <v>263</v>
      </c>
      <c r="B50" s="30">
        <v>1198.80878533551</v>
      </c>
      <c r="C50" s="33"/>
      <c r="D50" s="34"/>
      <c r="E50" s="35"/>
      <c r="F50" s="36"/>
      <c r="H50" t="s">
        <v>266</v>
      </c>
    </row>
    <row r="51" spans="1:8" ht="17" customHeight="1" x14ac:dyDescent="0.2">
      <c r="A51" t="s">
        <v>48</v>
      </c>
      <c r="B51" s="2">
        <v>235</v>
      </c>
      <c r="C51" s="33"/>
      <c r="D51" s="34"/>
      <c r="E51" s="35"/>
      <c r="F51" s="36"/>
      <c r="H51" t="s">
        <v>266</v>
      </c>
    </row>
    <row r="52" spans="1:8" ht="17" customHeight="1" x14ac:dyDescent="0.2">
      <c r="A52" s="31" t="s">
        <v>54</v>
      </c>
      <c r="B52" s="32">
        <v>10162.149500666999</v>
      </c>
      <c r="C52" s="37"/>
      <c r="D52" s="38"/>
      <c r="E52" s="39"/>
      <c r="F52" s="40"/>
      <c r="H52" t="s">
        <v>266</v>
      </c>
    </row>
    <row r="53" spans="1:8" x14ac:dyDescent="0.2">
      <c r="A53" t="s">
        <v>176</v>
      </c>
      <c r="B53" s="2">
        <f>SUM(B43:B52)</f>
        <v>127290.3374</v>
      </c>
      <c r="D53" s="2">
        <f>SUM(D43:D49)</f>
        <v>131449.44751999748</v>
      </c>
      <c r="E53" s="25">
        <f>SUM(E43:E49)</f>
        <v>1</v>
      </c>
      <c r="F53" s="25">
        <f>SUM(F43:F49)</f>
        <v>1</v>
      </c>
    </row>
    <row r="56" spans="1:8" x14ac:dyDescent="0.2">
      <c r="B56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9FE5-DAEB-0E47-A462-C07F508E2382}">
  <dimension ref="A1:D23"/>
  <sheetViews>
    <sheetView workbookViewId="0">
      <selection activeCell="C2" sqref="C2"/>
    </sheetView>
  </sheetViews>
  <sheetFormatPr baseColWidth="10" defaultRowHeight="16" x14ac:dyDescent="0.2"/>
  <cols>
    <col min="1" max="1" width="65.33203125" bestFit="1" customWidth="1"/>
    <col min="2" max="2" width="12.5" bestFit="1" customWidth="1"/>
    <col min="3" max="3" width="20.33203125" bestFit="1" customWidth="1"/>
  </cols>
  <sheetData>
    <row r="1" spans="1:4" x14ac:dyDescent="0.2">
      <c r="A1" s="20" t="s">
        <v>242</v>
      </c>
      <c r="B1" t="s">
        <v>244</v>
      </c>
    </row>
    <row r="2" spans="1:4" x14ac:dyDescent="0.2">
      <c r="A2" s="16" t="s">
        <v>243</v>
      </c>
    </row>
    <row r="3" spans="1:4" x14ac:dyDescent="0.2">
      <c r="A3" t="s">
        <v>237</v>
      </c>
      <c r="B3" s="24">
        <v>0.41</v>
      </c>
    </row>
    <row r="4" spans="1:4" x14ac:dyDescent="0.2">
      <c r="A4" t="s">
        <v>238</v>
      </c>
      <c r="B4" s="24">
        <v>0.28000000000000003</v>
      </c>
    </row>
    <row r="5" spans="1:4" x14ac:dyDescent="0.2">
      <c r="A5" t="s">
        <v>239</v>
      </c>
      <c r="B5" s="24">
        <v>0.19</v>
      </c>
    </row>
    <row r="6" spans="1:4" x14ac:dyDescent="0.2">
      <c r="A6" t="s">
        <v>240</v>
      </c>
      <c r="B6" s="24">
        <v>0.11</v>
      </c>
    </row>
    <row r="7" spans="1:4" x14ac:dyDescent="0.2">
      <c r="A7" t="s">
        <v>241</v>
      </c>
      <c r="B7" s="24">
        <v>0.01</v>
      </c>
    </row>
    <row r="8" spans="1:4" x14ac:dyDescent="0.2">
      <c r="B8" s="24">
        <f>SUM(B3:B7)</f>
        <v>0.99999999999999989</v>
      </c>
    </row>
    <row r="10" spans="1:4" x14ac:dyDescent="0.2">
      <c r="A10" s="20" t="s">
        <v>245</v>
      </c>
    </row>
    <row r="11" spans="1:4" x14ac:dyDescent="0.2">
      <c r="A11" t="s">
        <v>249</v>
      </c>
    </row>
    <row r="12" spans="1:4" x14ac:dyDescent="0.2">
      <c r="B12" t="s">
        <v>247</v>
      </c>
      <c r="C12" t="s">
        <v>248</v>
      </c>
      <c r="D12" t="s">
        <v>172</v>
      </c>
    </row>
    <row r="13" spans="1:4" x14ac:dyDescent="0.2">
      <c r="A13" t="s">
        <v>237</v>
      </c>
      <c r="B13" s="27">
        <f>B3</f>
        <v>0.41</v>
      </c>
      <c r="C13" s="25">
        <f>ROUND(B13/$B$15,5)</f>
        <v>0.68332999999999999</v>
      </c>
    </row>
    <row r="14" spans="1:4" x14ac:dyDescent="0.2">
      <c r="A14" t="s">
        <v>239</v>
      </c>
      <c r="B14" s="27">
        <f>B5</f>
        <v>0.19</v>
      </c>
      <c r="C14" s="25">
        <f>ROUND(B14/$B$15,5)</f>
        <v>0.31667000000000001</v>
      </c>
    </row>
    <row r="15" spans="1:4" x14ac:dyDescent="0.2">
      <c r="B15" s="27">
        <f>SUM(B13:B14)</f>
        <v>0.6</v>
      </c>
      <c r="C15" s="25">
        <f>SUM(C13:C14)</f>
        <v>1</v>
      </c>
    </row>
    <row r="16" spans="1:4" x14ac:dyDescent="0.2">
      <c r="B16" s="27"/>
      <c r="C16" s="25"/>
    </row>
    <row r="17" spans="1:4" x14ac:dyDescent="0.2">
      <c r="A17" t="s">
        <v>250</v>
      </c>
      <c r="B17" s="27">
        <v>0.5</v>
      </c>
      <c r="C17" s="25"/>
      <c r="D17" t="s">
        <v>251</v>
      </c>
    </row>
    <row r="19" spans="1:4" x14ac:dyDescent="0.2">
      <c r="A19" t="s">
        <v>246</v>
      </c>
    </row>
    <row r="20" spans="1:4" x14ac:dyDescent="0.2">
      <c r="A20" t="s">
        <v>234</v>
      </c>
      <c r="B20" s="25">
        <f>$B$17*$C$14</f>
        <v>0.158335</v>
      </c>
    </row>
    <row r="21" spans="1:4" x14ac:dyDescent="0.2">
      <c r="A21" t="s">
        <v>235</v>
      </c>
      <c r="B21" s="25">
        <f>$B$17*$C$14</f>
        <v>0.158335</v>
      </c>
    </row>
    <row r="22" spans="1:4" x14ac:dyDescent="0.2">
      <c r="A22" t="s">
        <v>236</v>
      </c>
      <c r="B22" s="25">
        <f>C13</f>
        <v>0.68332999999999999</v>
      </c>
    </row>
    <row r="23" spans="1:4" x14ac:dyDescent="0.2">
      <c r="B23" s="25">
        <f>SUM(B20:B22)</f>
        <v>1</v>
      </c>
    </row>
  </sheetData>
  <hyperlinks>
    <hyperlink ref="A2" r:id="rId1" xr:uid="{0F899EB9-37D2-5B4F-A343-158ACB2F98C9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6D4A-500D-E340-A0EF-694A61ADA49D}">
  <sheetPr codeName="Sheet2"/>
  <dimension ref="A1:AE78"/>
  <sheetViews>
    <sheetView zoomScale="142" workbookViewId="0">
      <pane xSplit="1" ySplit="13" topLeftCell="B14" activePane="bottomRight" state="frozen"/>
      <selection pane="topRight"/>
      <selection pane="bottomLeft"/>
      <selection pane="bottomRight" activeCell="AD14" activeCellId="10" sqref="D14 F14 H14 P14 R14 T14 V14 X14 Z14 AB14 AD14"/>
    </sheetView>
  </sheetViews>
  <sheetFormatPr baseColWidth="10" defaultColWidth="8.83203125" defaultRowHeight="11.25" customHeight="1" x14ac:dyDescent="0.2"/>
  <cols>
    <col min="1" max="1" width="99.83203125" style="4" bestFit="1" customWidth="1"/>
    <col min="2" max="2" width="20" style="4" customWidth="1"/>
    <col min="3" max="3" width="5" style="4" customWidth="1"/>
    <col min="4" max="4" width="18" style="4" customWidth="1"/>
    <col min="5" max="5" width="5" style="4" customWidth="1"/>
    <col min="6" max="6" width="11" style="4" customWidth="1"/>
    <col min="7" max="7" width="5" style="4" customWidth="1"/>
    <col min="8" max="8" width="20" style="4" customWidth="1"/>
    <col min="9" max="9" width="5" style="4" customWidth="1"/>
    <col min="10" max="10" width="20" style="4" customWidth="1"/>
    <col min="11" max="11" width="5" style="4" customWidth="1"/>
    <col min="12" max="12" width="20" style="4" customWidth="1"/>
    <col min="13" max="13" width="5" style="4" customWidth="1"/>
    <col min="14" max="14" width="20" style="4" customWidth="1"/>
    <col min="15" max="15" width="5" style="4" customWidth="1"/>
    <col min="16" max="16" width="10" style="4" customWidth="1"/>
    <col min="17" max="17" width="5" style="4" customWidth="1"/>
    <col min="18" max="18" width="13" style="4" customWidth="1"/>
    <col min="19" max="19" width="5" style="4" customWidth="1"/>
    <col min="20" max="20" width="20" style="4" customWidth="1"/>
    <col min="21" max="21" width="5" style="4" customWidth="1"/>
    <col min="22" max="22" width="20" style="4" customWidth="1"/>
    <col min="23" max="23" width="5" style="4" customWidth="1"/>
    <col min="24" max="24" width="10" style="4" customWidth="1"/>
    <col min="25" max="25" width="5" style="4" customWidth="1"/>
    <col min="26" max="26" width="19" style="4" customWidth="1"/>
    <col min="27" max="27" width="5" style="4" customWidth="1"/>
    <col min="28" max="28" width="11" style="4" customWidth="1"/>
    <col min="29" max="29" width="5" style="4" customWidth="1"/>
    <col min="30" max="30" width="10" style="4" customWidth="1"/>
    <col min="31" max="31" width="5" style="4" customWidth="1"/>
    <col min="32" max="16384" width="8.83203125" style="4"/>
  </cols>
  <sheetData>
    <row r="1" spans="1:31" x14ac:dyDescent="0.2">
      <c r="A1" s="3" t="s">
        <v>26</v>
      </c>
    </row>
    <row r="2" spans="1:31" x14ac:dyDescent="0.2">
      <c r="A2" s="3" t="s">
        <v>27</v>
      </c>
      <c r="B2" s="5" t="s">
        <v>28</v>
      </c>
    </row>
    <row r="3" spans="1:31" x14ac:dyDescent="0.2">
      <c r="A3" s="3" t="s">
        <v>29</v>
      </c>
      <c r="B3" s="3" t="s">
        <v>30</v>
      </c>
    </row>
    <row r="4" spans="1:31" x14ac:dyDescent="0.2"/>
    <row r="5" spans="1:31" x14ac:dyDescent="0.2">
      <c r="A5" s="5" t="s">
        <v>31</v>
      </c>
      <c r="C5" s="3" t="s">
        <v>32</v>
      </c>
    </row>
    <row r="6" spans="1:31" x14ac:dyDescent="0.2">
      <c r="A6" s="5" t="s">
        <v>33</v>
      </c>
      <c r="C6" s="3" t="s">
        <v>34</v>
      </c>
    </row>
    <row r="7" spans="1:31" x14ac:dyDescent="0.2">
      <c r="A7" s="5" t="s">
        <v>35</v>
      </c>
      <c r="C7" s="3" t="s">
        <v>36</v>
      </c>
    </row>
    <row r="8" spans="1:31" x14ac:dyDescent="0.2">
      <c r="A8" s="5" t="s">
        <v>37</v>
      </c>
      <c r="C8" s="3" t="s">
        <v>38</v>
      </c>
    </row>
    <row r="9" spans="1:31" x14ac:dyDescent="0.2">
      <c r="A9" s="5"/>
      <c r="C9" s="3"/>
    </row>
    <row r="10" spans="1:31" x14ac:dyDescent="0.2">
      <c r="A10" s="17" t="s">
        <v>126</v>
      </c>
      <c r="C10" s="3"/>
    </row>
    <row r="11" spans="1:31" x14ac:dyDescent="0.2"/>
    <row r="12" spans="1:31" x14ac:dyDescent="0.2">
      <c r="A12" s="6" t="s">
        <v>39</v>
      </c>
      <c r="B12" s="41" t="s">
        <v>40</v>
      </c>
      <c r="C12" s="41" t="s">
        <v>41</v>
      </c>
      <c r="D12" s="41" t="s">
        <v>42</v>
      </c>
      <c r="E12" s="41" t="s">
        <v>41</v>
      </c>
      <c r="F12" s="41" t="s">
        <v>43</v>
      </c>
      <c r="G12" s="41" t="s">
        <v>41</v>
      </c>
      <c r="H12" s="41" t="s">
        <v>44</v>
      </c>
      <c r="I12" s="41" t="s">
        <v>41</v>
      </c>
      <c r="J12" s="41" t="s">
        <v>45</v>
      </c>
      <c r="K12" s="41" t="s">
        <v>41</v>
      </c>
      <c r="L12" s="41" t="s">
        <v>46</v>
      </c>
      <c r="M12" s="41" t="s">
        <v>41</v>
      </c>
      <c r="N12" s="41" t="s">
        <v>47</v>
      </c>
      <c r="O12" s="41" t="s">
        <v>41</v>
      </c>
      <c r="P12" s="41" t="s">
        <v>5</v>
      </c>
      <c r="Q12" s="41" t="s">
        <v>41</v>
      </c>
      <c r="R12" s="41" t="s">
        <v>48</v>
      </c>
      <c r="S12" s="41" t="s">
        <v>41</v>
      </c>
      <c r="T12" s="41" t="s">
        <v>49</v>
      </c>
      <c r="U12" s="41" t="s">
        <v>41</v>
      </c>
      <c r="V12" s="41" t="s">
        <v>50</v>
      </c>
      <c r="W12" s="41" t="s">
        <v>41</v>
      </c>
      <c r="X12" s="41" t="s">
        <v>51</v>
      </c>
      <c r="Y12" s="41" t="s">
        <v>41</v>
      </c>
      <c r="Z12" s="41" t="s">
        <v>52</v>
      </c>
      <c r="AA12" s="41" t="s">
        <v>41</v>
      </c>
      <c r="AB12" s="41" t="s">
        <v>53</v>
      </c>
      <c r="AC12" s="41" t="s">
        <v>41</v>
      </c>
      <c r="AD12" s="41" t="s">
        <v>54</v>
      </c>
      <c r="AE12" s="41" t="s">
        <v>41</v>
      </c>
    </row>
    <row r="13" spans="1:31" x14ac:dyDescent="0.2">
      <c r="A13" s="7" t="s">
        <v>55</v>
      </c>
      <c r="B13" s="8" t="s">
        <v>41</v>
      </c>
      <c r="C13" s="8" t="s">
        <v>41</v>
      </c>
      <c r="D13" s="8" t="s">
        <v>41</v>
      </c>
      <c r="E13" s="8" t="s">
        <v>41</v>
      </c>
      <c r="F13" s="8" t="s">
        <v>41</v>
      </c>
      <c r="G13" s="8" t="s">
        <v>41</v>
      </c>
      <c r="H13" s="8" t="s">
        <v>41</v>
      </c>
      <c r="I13" s="8" t="s">
        <v>41</v>
      </c>
      <c r="J13" s="8" t="s">
        <v>41</v>
      </c>
      <c r="K13" s="8" t="s">
        <v>41</v>
      </c>
      <c r="L13" s="8" t="s">
        <v>41</v>
      </c>
      <c r="M13" s="8" t="s">
        <v>41</v>
      </c>
      <c r="N13" s="8" t="s">
        <v>41</v>
      </c>
      <c r="O13" s="8" t="s">
        <v>41</v>
      </c>
      <c r="P13" s="8" t="s">
        <v>41</v>
      </c>
      <c r="Q13" s="8" t="s">
        <v>41</v>
      </c>
      <c r="R13" s="8" t="s">
        <v>41</v>
      </c>
      <c r="S13" s="8" t="s">
        <v>41</v>
      </c>
      <c r="T13" s="8" t="s">
        <v>41</v>
      </c>
      <c r="U13" s="8" t="s">
        <v>41</v>
      </c>
      <c r="V13" s="8" t="s">
        <v>41</v>
      </c>
      <c r="W13" s="8" t="s">
        <v>41</v>
      </c>
      <c r="X13" s="8" t="s">
        <v>41</v>
      </c>
      <c r="Y13" s="8" t="s">
        <v>41</v>
      </c>
      <c r="Z13" s="8" t="s">
        <v>41</v>
      </c>
      <c r="AA13" s="8" t="s">
        <v>41</v>
      </c>
      <c r="AB13" s="8" t="s">
        <v>41</v>
      </c>
      <c r="AC13" s="8" t="s">
        <v>41</v>
      </c>
      <c r="AD13" s="8" t="s">
        <v>41</v>
      </c>
      <c r="AE13" s="8" t="s">
        <v>41</v>
      </c>
    </row>
    <row r="14" spans="1:31" x14ac:dyDescent="0.2">
      <c r="A14" s="9" t="s">
        <v>56</v>
      </c>
      <c r="B14" s="10" t="s">
        <v>57</v>
      </c>
      <c r="C14" s="10" t="s">
        <v>41</v>
      </c>
      <c r="D14" s="11">
        <v>0</v>
      </c>
      <c r="E14" s="10" t="s">
        <v>41</v>
      </c>
      <c r="F14" s="12">
        <v>88873.078999999998</v>
      </c>
      <c r="G14" s="10" t="s">
        <v>41</v>
      </c>
      <c r="H14" s="12">
        <v>8149.9759999999997</v>
      </c>
      <c r="I14" s="10" t="s">
        <v>41</v>
      </c>
      <c r="J14" s="11">
        <v>0</v>
      </c>
      <c r="K14" s="10" t="s">
        <v>41</v>
      </c>
      <c r="L14" s="12">
        <v>6058.232</v>
      </c>
      <c r="M14" s="10" t="s">
        <v>41</v>
      </c>
      <c r="N14" s="12">
        <v>16268.652</v>
      </c>
      <c r="O14" s="10" t="s">
        <v>41</v>
      </c>
      <c r="P14" s="11">
        <v>0</v>
      </c>
      <c r="Q14" s="10" t="s">
        <v>41</v>
      </c>
      <c r="R14" s="11">
        <v>0</v>
      </c>
      <c r="S14" s="10" t="s">
        <v>41</v>
      </c>
      <c r="T14" s="11">
        <v>0</v>
      </c>
      <c r="U14" s="10" t="s">
        <v>41</v>
      </c>
      <c r="V14" s="11">
        <v>0</v>
      </c>
      <c r="W14" s="10" t="s">
        <v>41</v>
      </c>
      <c r="X14" s="11">
        <v>0</v>
      </c>
      <c r="Y14" s="10" t="s">
        <v>41</v>
      </c>
      <c r="Z14" s="11">
        <v>1339.13</v>
      </c>
      <c r="AA14" s="10" t="s">
        <v>41</v>
      </c>
      <c r="AB14" s="12">
        <v>133576.228</v>
      </c>
      <c r="AC14" s="10" t="s">
        <v>41</v>
      </c>
      <c r="AD14" s="12">
        <v>8480.8490000000002</v>
      </c>
      <c r="AE14" s="10" t="s">
        <v>41</v>
      </c>
    </row>
    <row r="15" spans="1:31" x14ac:dyDescent="0.2">
      <c r="A15" s="9" t="s">
        <v>58</v>
      </c>
      <c r="B15" s="13" t="s">
        <v>57</v>
      </c>
      <c r="C15" s="13" t="s">
        <v>41</v>
      </c>
      <c r="D15" s="14">
        <v>0</v>
      </c>
      <c r="E15" s="13" t="s">
        <v>41</v>
      </c>
      <c r="F15" s="15">
        <v>430.47300000000001</v>
      </c>
      <c r="G15" s="13" t="s">
        <v>41</v>
      </c>
      <c r="H15" s="15">
        <v>34.237000000000002</v>
      </c>
      <c r="I15" s="13" t="s">
        <v>41</v>
      </c>
      <c r="J15" s="13" t="s">
        <v>57</v>
      </c>
      <c r="K15" s="13" t="s">
        <v>41</v>
      </c>
      <c r="L15" s="15">
        <v>23.754000000000001</v>
      </c>
      <c r="M15" s="13" t="s">
        <v>41</v>
      </c>
      <c r="N15" s="14">
        <v>0</v>
      </c>
      <c r="O15" s="13" t="s">
        <v>41</v>
      </c>
      <c r="P15" s="14">
        <v>0</v>
      </c>
      <c r="Q15" s="13" t="s">
        <v>41</v>
      </c>
      <c r="R15" s="14">
        <v>0</v>
      </c>
      <c r="S15" s="13" t="s">
        <v>41</v>
      </c>
      <c r="T15" s="14">
        <v>0</v>
      </c>
      <c r="U15" s="13" t="s">
        <v>41</v>
      </c>
      <c r="V15" s="14">
        <v>0</v>
      </c>
      <c r="W15" s="13" t="s">
        <v>41</v>
      </c>
      <c r="X15" s="14">
        <v>0</v>
      </c>
      <c r="Y15" s="13" t="s">
        <v>41</v>
      </c>
      <c r="Z15" s="14">
        <v>0</v>
      </c>
      <c r="AA15" s="13" t="s">
        <v>41</v>
      </c>
      <c r="AB15" s="15">
        <v>696.40700000000004</v>
      </c>
      <c r="AC15" s="13" t="s">
        <v>41</v>
      </c>
      <c r="AD15" s="15">
        <v>14.606999999999999</v>
      </c>
      <c r="AE15" s="13" t="s">
        <v>59</v>
      </c>
    </row>
    <row r="16" spans="1:31" x14ac:dyDescent="0.2">
      <c r="A16" s="9" t="s">
        <v>60</v>
      </c>
      <c r="B16" s="10" t="s">
        <v>57</v>
      </c>
      <c r="C16" s="10" t="s">
        <v>41</v>
      </c>
      <c r="D16" s="11">
        <v>0</v>
      </c>
      <c r="E16" s="10" t="s">
        <v>41</v>
      </c>
      <c r="F16" s="12">
        <v>1764.251</v>
      </c>
      <c r="G16" s="10" t="s">
        <v>41</v>
      </c>
      <c r="H16" s="12">
        <v>637.25199999999995</v>
      </c>
      <c r="I16" s="10" t="s">
        <v>41</v>
      </c>
      <c r="J16" s="10" t="s">
        <v>57</v>
      </c>
      <c r="K16" s="10" t="s">
        <v>41</v>
      </c>
      <c r="L16" s="12">
        <v>594.44899999999996</v>
      </c>
      <c r="M16" s="10" t="s">
        <v>41</v>
      </c>
      <c r="N16" s="12">
        <v>3432.3649999999998</v>
      </c>
      <c r="O16" s="10" t="s">
        <v>41</v>
      </c>
      <c r="P16" s="11">
        <v>0</v>
      </c>
      <c r="Q16" s="10" t="s">
        <v>41</v>
      </c>
      <c r="R16" s="11">
        <v>0</v>
      </c>
      <c r="S16" s="10" t="s">
        <v>41</v>
      </c>
      <c r="T16" s="11">
        <v>0</v>
      </c>
      <c r="U16" s="10" t="s">
        <v>41</v>
      </c>
      <c r="V16" s="11">
        <v>0</v>
      </c>
      <c r="W16" s="10" t="s">
        <v>41</v>
      </c>
      <c r="X16" s="11">
        <v>0</v>
      </c>
      <c r="Y16" s="10" t="s">
        <v>41</v>
      </c>
      <c r="Z16" s="11">
        <v>1339.13</v>
      </c>
      <c r="AA16" s="10" t="s">
        <v>41</v>
      </c>
      <c r="AB16" s="12">
        <v>8498.7540000000008</v>
      </c>
      <c r="AC16" s="10" t="s">
        <v>41</v>
      </c>
      <c r="AD16" s="12">
        <v>270.30500000000001</v>
      </c>
      <c r="AE16" s="10" t="s">
        <v>59</v>
      </c>
    </row>
    <row r="17" spans="1:31" x14ac:dyDescent="0.2">
      <c r="A17" s="9" t="s">
        <v>61</v>
      </c>
      <c r="B17" s="13" t="s">
        <v>57</v>
      </c>
      <c r="C17" s="13" t="s">
        <v>41</v>
      </c>
      <c r="D17" s="14">
        <v>0</v>
      </c>
      <c r="E17" s="13" t="s">
        <v>41</v>
      </c>
      <c r="F17" s="14">
        <v>0</v>
      </c>
      <c r="G17" s="13" t="s">
        <v>41</v>
      </c>
      <c r="H17" s="14">
        <v>0</v>
      </c>
      <c r="I17" s="13" t="s">
        <v>41</v>
      </c>
      <c r="J17" s="14">
        <v>0</v>
      </c>
      <c r="K17" s="13" t="s">
        <v>41</v>
      </c>
      <c r="L17" s="14">
        <v>0</v>
      </c>
      <c r="M17" s="13" t="s">
        <v>41</v>
      </c>
      <c r="N17" s="14">
        <v>0</v>
      </c>
      <c r="O17" s="13" t="s">
        <v>41</v>
      </c>
      <c r="P17" s="14">
        <v>0</v>
      </c>
      <c r="Q17" s="13" t="s">
        <v>41</v>
      </c>
      <c r="R17" s="14">
        <v>0</v>
      </c>
      <c r="S17" s="13" t="s">
        <v>41</v>
      </c>
      <c r="T17" s="14">
        <v>0</v>
      </c>
      <c r="U17" s="13" t="s">
        <v>41</v>
      </c>
      <c r="V17" s="14">
        <v>0</v>
      </c>
      <c r="W17" s="13" t="s">
        <v>41</v>
      </c>
      <c r="X17" s="14">
        <v>0</v>
      </c>
      <c r="Y17" s="13" t="s">
        <v>41</v>
      </c>
      <c r="Z17" s="14">
        <v>0</v>
      </c>
      <c r="AA17" s="13" t="s">
        <v>41</v>
      </c>
      <c r="AB17" s="14">
        <v>0</v>
      </c>
      <c r="AC17" s="13" t="s">
        <v>41</v>
      </c>
      <c r="AD17" s="14">
        <v>0</v>
      </c>
      <c r="AE17" s="13" t="s">
        <v>41</v>
      </c>
    </row>
    <row r="18" spans="1:31" x14ac:dyDescent="0.2">
      <c r="A18" s="9" t="s">
        <v>62</v>
      </c>
      <c r="B18" s="10" t="s">
        <v>57</v>
      </c>
      <c r="C18" s="10" t="s">
        <v>41</v>
      </c>
      <c r="D18" s="11">
        <v>0</v>
      </c>
      <c r="E18" s="10" t="s">
        <v>41</v>
      </c>
      <c r="F18" s="11">
        <v>0</v>
      </c>
      <c r="G18" s="10" t="s">
        <v>41</v>
      </c>
      <c r="H18" s="11">
        <v>0</v>
      </c>
      <c r="I18" s="10" t="s">
        <v>41</v>
      </c>
      <c r="J18" s="11">
        <v>0</v>
      </c>
      <c r="K18" s="10" t="s">
        <v>41</v>
      </c>
      <c r="L18" s="11">
        <v>0</v>
      </c>
      <c r="M18" s="10" t="s">
        <v>41</v>
      </c>
      <c r="N18" s="11">
        <v>0</v>
      </c>
      <c r="O18" s="10" t="s">
        <v>41</v>
      </c>
      <c r="P18" s="11">
        <v>0</v>
      </c>
      <c r="Q18" s="10" t="s">
        <v>41</v>
      </c>
      <c r="R18" s="11">
        <v>0</v>
      </c>
      <c r="S18" s="10" t="s">
        <v>41</v>
      </c>
      <c r="T18" s="11">
        <v>0</v>
      </c>
      <c r="U18" s="10" t="s">
        <v>41</v>
      </c>
      <c r="V18" s="11">
        <v>0</v>
      </c>
      <c r="W18" s="10" t="s">
        <v>41</v>
      </c>
      <c r="X18" s="11">
        <v>0</v>
      </c>
      <c r="Y18" s="10" t="s">
        <v>41</v>
      </c>
      <c r="Z18" s="11">
        <v>0</v>
      </c>
      <c r="AA18" s="10" t="s">
        <v>41</v>
      </c>
      <c r="AB18" s="11">
        <v>0</v>
      </c>
      <c r="AC18" s="10" t="s">
        <v>41</v>
      </c>
      <c r="AD18" s="11">
        <v>0</v>
      </c>
      <c r="AE18" s="10" t="s">
        <v>41</v>
      </c>
    </row>
    <row r="19" spans="1:31" x14ac:dyDescent="0.2">
      <c r="A19" s="9" t="s">
        <v>63</v>
      </c>
      <c r="B19" s="13" t="s">
        <v>57</v>
      </c>
      <c r="C19" s="13" t="s">
        <v>41</v>
      </c>
      <c r="D19" s="14">
        <v>0</v>
      </c>
      <c r="E19" s="13" t="s">
        <v>41</v>
      </c>
      <c r="F19" s="14">
        <v>0</v>
      </c>
      <c r="G19" s="13" t="s">
        <v>41</v>
      </c>
      <c r="H19" s="14">
        <v>0</v>
      </c>
      <c r="I19" s="13" t="s">
        <v>41</v>
      </c>
      <c r="J19" s="14">
        <v>0</v>
      </c>
      <c r="K19" s="13" t="s">
        <v>41</v>
      </c>
      <c r="L19" s="14">
        <v>0</v>
      </c>
      <c r="M19" s="13" t="s">
        <v>41</v>
      </c>
      <c r="N19" s="14">
        <v>0</v>
      </c>
      <c r="O19" s="13" t="s">
        <v>41</v>
      </c>
      <c r="P19" s="14">
        <v>0</v>
      </c>
      <c r="Q19" s="13" t="s">
        <v>41</v>
      </c>
      <c r="R19" s="14">
        <v>0</v>
      </c>
      <c r="S19" s="13" t="s">
        <v>41</v>
      </c>
      <c r="T19" s="14">
        <v>0</v>
      </c>
      <c r="U19" s="13" t="s">
        <v>41</v>
      </c>
      <c r="V19" s="14">
        <v>0</v>
      </c>
      <c r="W19" s="13" t="s">
        <v>41</v>
      </c>
      <c r="X19" s="14">
        <v>0</v>
      </c>
      <c r="Y19" s="13" t="s">
        <v>41</v>
      </c>
      <c r="Z19" s="14">
        <v>0</v>
      </c>
      <c r="AA19" s="13" t="s">
        <v>41</v>
      </c>
      <c r="AB19" s="14">
        <v>0</v>
      </c>
      <c r="AC19" s="13" t="s">
        <v>41</v>
      </c>
      <c r="AD19" s="14">
        <v>0</v>
      </c>
      <c r="AE19" s="13" t="s">
        <v>41</v>
      </c>
    </row>
    <row r="20" spans="1:31" x14ac:dyDescent="0.2">
      <c r="A20" s="9" t="s">
        <v>64</v>
      </c>
      <c r="B20" s="10" t="s">
        <v>57</v>
      </c>
      <c r="C20" s="10" t="s">
        <v>41</v>
      </c>
      <c r="D20" s="11">
        <v>0</v>
      </c>
      <c r="E20" s="10" t="s">
        <v>41</v>
      </c>
      <c r="F20" s="11">
        <v>0</v>
      </c>
      <c r="G20" s="10" t="s">
        <v>41</v>
      </c>
      <c r="H20" s="11">
        <v>0</v>
      </c>
      <c r="I20" s="10" t="s">
        <v>41</v>
      </c>
      <c r="J20" s="11">
        <v>0</v>
      </c>
      <c r="K20" s="10" t="s">
        <v>41</v>
      </c>
      <c r="L20" s="11">
        <v>0</v>
      </c>
      <c r="M20" s="10" t="s">
        <v>41</v>
      </c>
      <c r="N20" s="11">
        <v>0</v>
      </c>
      <c r="O20" s="10" t="s">
        <v>41</v>
      </c>
      <c r="P20" s="11">
        <v>0</v>
      </c>
      <c r="Q20" s="10" t="s">
        <v>41</v>
      </c>
      <c r="R20" s="11">
        <v>0</v>
      </c>
      <c r="S20" s="10" t="s">
        <v>41</v>
      </c>
      <c r="T20" s="11">
        <v>0</v>
      </c>
      <c r="U20" s="10" t="s">
        <v>41</v>
      </c>
      <c r="V20" s="11">
        <v>0</v>
      </c>
      <c r="W20" s="10" t="s">
        <v>41</v>
      </c>
      <c r="X20" s="11">
        <v>0</v>
      </c>
      <c r="Y20" s="10" t="s">
        <v>41</v>
      </c>
      <c r="Z20" s="11">
        <v>0</v>
      </c>
      <c r="AA20" s="10" t="s">
        <v>41</v>
      </c>
      <c r="AB20" s="11">
        <v>0</v>
      </c>
      <c r="AC20" s="10" t="s">
        <v>41</v>
      </c>
      <c r="AD20" s="11">
        <v>0</v>
      </c>
      <c r="AE20" s="10" t="s">
        <v>41</v>
      </c>
    </row>
    <row r="21" spans="1:31" x14ac:dyDescent="0.2">
      <c r="A21" s="9" t="s">
        <v>65</v>
      </c>
      <c r="B21" s="13" t="s">
        <v>57</v>
      </c>
      <c r="C21" s="13" t="s">
        <v>41</v>
      </c>
      <c r="D21" s="14">
        <v>0</v>
      </c>
      <c r="E21" s="13" t="s">
        <v>41</v>
      </c>
      <c r="F21" s="14">
        <v>0</v>
      </c>
      <c r="G21" s="13" t="s">
        <v>41</v>
      </c>
      <c r="H21" s="14">
        <v>0</v>
      </c>
      <c r="I21" s="13" t="s">
        <v>41</v>
      </c>
      <c r="J21" s="14">
        <v>0</v>
      </c>
      <c r="K21" s="13" t="s">
        <v>41</v>
      </c>
      <c r="L21" s="14">
        <v>0</v>
      </c>
      <c r="M21" s="13" t="s">
        <v>41</v>
      </c>
      <c r="N21" s="14">
        <v>0</v>
      </c>
      <c r="O21" s="13" t="s">
        <v>41</v>
      </c>
      <c r="P21" s="14">
        <v>0</v>
      </c>
      <c r="Q21" s="13" t="s">
        <v>41</v>
      </c>
      <c r="R21" s="14">
        <v>0</v>
      </c>
      <c r="S21" s="13" t="s">
        <v>41</v>
      </c>
      <c r="T21" s="14">
        <v>0</v>
      </c>
      <c r="U21" s="13" t="s">
        <v>41</v>
      </c>
      <c r="V21" s="14">
        <v>0</v>
      </c>
      <c r="W21" s="13" t="s">
        <v>41</v>
      </c>
      <c r="X21" s="14">
        <v>0</v>
      </c>
      <c r="Y21" s="13" t="s">
        <v>41</v>
      </c>
      <c r="Z21" s="14">
        <v>0</v>
      </c>
      <c r="AA21" s="13" t="s">
        <v>41</v>
      </c>
      <c r="AB21" s="14">
        <v>0</v>
      </c>
      <c r="AC21" s="13" t="s">
        <v>41</v>
      </c>
      <c r="AD21" s="14">
        <v>0</v>
      </c>
      <c r="AE21" s="13" t="s">
        <v>41</v>
      </c>
    </row>
    <row r="22" spans="1:31" x14ac:dyDescent="0.2">
      <c r="A22" s="9" t="s">
        <v>66</v>
      </c>
      <c r="B22" s="10" t="s">
        <v>57</v>
      </c>
      <c r="C22" s="10" t="s">
        <v>41</v>
      </c>
      <c r="D22" s="11">
        <v>0</v>
      </c>
      <c r="E22" s="10" t="s">
        <v>41</v>
      </c>
      <c r="F22" s="12">
        <v>15539.557000000001</v>
      </c>
      <c r="G22" s="10" t="s">
        <v>41</v>
      </c>
      <c r="H22" s="12">
        <v>528.37099999999998</v>
      </c>
      <c r="I22" s="10" t="s">
        <v>41</v>
      </c>
      <c r="J22" s="10" t="s">
        <v>57</v>
      </c>
      <c r="K22" s="10" t="s">
        <v>41</v>
      </c>
      <c r="L22" s="12">
        <v>204.12100000000001</v>
      </c>
      <c r="M22" s="10" t="s">
        <v>41</v>
      </c>
      <c r="N22" s="12">
        <v>2876.0740000000001</v>
      </c>
      <c r="O22" s="10" t="s">
        <v>41</v>
      </c>
      <c r="P22" s="11">
        <v>0</v>
      </c>
      <c r="Q22" s="10" t="s">
        <v>41</v>
      </c>
      <c r="R22" s="11">
        <v>0</v>
      </c>
      <c r="S22" s="10" t="s">
        <v>41</v>
      </c>
      <c r="T22" s="11">
        <v>0</v>
      </c>
      <c r="U22" s="10" t="s">
        <v>41</v>
      </c>
      <c r="V22" s="11">
        <v>0</v>
      </c>
      <c r="W22" s="10" t="s">
        <v>41</v>
      </c>
      <c r="X22" s="11">
        <v>0</v>
      </c>
      <c r="Y22" s="10" t="s">
        <v>41</v>
      </c>
      <c r="Z22" s="11">
        <v>0</v>
      </c>
      <c r="AA22" s="10" t="s">
        <v>41</v>
      </c>
      <c r="AB22" s="12">
        <v>28740.156999999999</v>
      </c>
      <c r="AC22" s="10" t="s">
        <v>41</v>
      </c>
      <c r="AD22" s="12">
        <v>366.51499999999999</v>
      </c>
      <c r="AE22" s="10" t="s">
        <v>59</v>
      </c>
    </row>
    <row r="23" spans="1:31" x14ac:dyDescent="0.2">
      <c r="A23" s="9" t="s">
        <v>67</v>
      </c>
      <c r="B23" s="13" t="s">
        <v>57</v>
      </c>
      <c r="C23" s="13" t="s">
        <v>41</v>
      </c>
      <c r="D23" s="14">
        <v>0</v>
      </c>
      <c r="E23" s="13" t="s">
        <v>41</v>
      </c>
      <c r="F23" s="14">
        <v>0</v>
      </c>
      <c r="G23" s="13" t="s">
        <v>41</v>
      </c>
      <c r="H23" s="14">
        <v>0</v>
      </c>
      <c r="I23" s="13" t="s">
        <v>41</v>
      </c>
      <c r="J23" s="14">
        <v>0</v>
      </c>
      <c r="K23" s="13" t="s">
        <v>41</v>
      </c>
      <c r="L23" s="14">
        <v>0</v>
      </c>
      <c r="M23" s="13" t="s">
        <v>41</v>
      </c>
      <c r="N23" s="14">
        <v>0</v>
      </c>
      <c r="O23" s="13" t="s">
        <v>41</v>
      </c>
      <c r="P23" s="14">
        <v>0</v>
      </c>
      <c r="Q23" s="13" t="s">
        <v>41</v>
      </c>
      <c r="R23" s="14">
        <v>0</v>
      </c>
      <c r="S23" s="13" t="s">
        <v>41</v>
      </c>
      <c r="T23" s="14">
        <v>0</v>
      </c>
      <c r="U23" s="13" t="s">
        <v>41</v>
      </c>
      <c r="V23" s="14">
        <v>0</v>
      </c>
      <c r="W23" s="13" t="s">
        <v>41</v>
      </c>
      <c r="X23" s="14">
        <v>0</v>
      </c>
      <c r="Y23" s="13" t="s">
        <v>41</v>
      </c>
      <c r="Z23" s="14">
        <v>0</v>
      </c>
      <c r="AA23" s="13" t="s">
        <v>41</v>
      </c>
      <c r="AB23" s="14">
        <v>0</v>
      </c>
      <c r="AC23" s="13" t="s">
        <v>41</v>
      </c>
      <c r="AD23" s="14">
        <v>0</v>
      </c>
      <c r="AE23" s="13" t="s">
        <v>41</v>
      </c>
    </row>
    <row r="24" spans="1:31" x14ac:dyDescent="0.2">
      <c r="A24" s="9" t="s">
        <v>68</v>
      </c>
      <c r="B24" s="10" t="s">
        <v>57</v>
      </c>
      <c r="C24" s="10" t="s">
        <v>41</v>
      </c>
      <c r="D24" s="11">
        <v>0</v>
      </c>
      <c r="E24" s="10" t="s">
        <v>41</v>
      </c>
      <c r="F24" s="11">
        <v>5278.5</v>
      </c>
      <c r="G24" s="10" t="s">
        <v>41</v>
      </c>
      <c r="H24" s="12">
        <v>528.37099999999998</v>
      </c>
      <c r="I24" s="10" t="s">
        <v>41</v>
      </c>
      <c r="J24" s="10" t="s">
        <v>57</v>
      </c>
      <c r="K24" s="10" t="s">
        <v>41</v>
      </c>
      <c r="L24" s="12">
        <v>204.12100000000001</v>
      </c>
      <c r="M24" s="10" t="s">
        <v>41</v>
      </c>
      <c r="N24" s="12">
        <v>282.14299999999997</v>
      </c>
      <c r="O24" s="10" t="s">
        <v>41</v>
      </c>
      <c r="P24" s="11">
        <v>0</v>
      </c>
      <c r="Q24" s="10" t="s">
        <v>41</v>
      </c>
      <c r="R24" s="11">
        <v>0</v>
      </c>
      <c r="S24" s="10" t="s">
        <v>41</v>
      </c>
      <c r="T24" s="11">
        <v>0</v>
      </c>
      <c r="U24" s="10" t="s">
        <v>41</v>
      </c>
      <c r="V24" s="11">
        <v>0</v>
      </c>
      <c r="W24" s="10" t="s">
        <v>41</v>
      </c>
      <c r="X24" s="11">
        <v>0</v>
      </c>
      <c r="Y24" s="10" t="s">
        <v>41</v>
      </c>
      <c r="Z24" s="11">
        <v>0</v>
      </c>
      <c r="AA24" s="10" t="s">
        <v>41</v>
      </c>
      <c r="AB24" s="12">
        <v>8752.5619999999999</v>
      </c>
      <c r="AC24" s="10" t="s">
        <v>41</v>
      </c>
      <c r="AD24" s="12">
        <v>194.10599999999999</v>
      </c>
      <c r="AE24" s="10" t="s">
        <v>59</v>
      </c>
    </row>
    <row r="25" spans="1:31" x14ac:dyDescent="0.2">
      <c r="A25" s="9" t="s">
        <v>69</v>
      </c>
      <c r="B25" s="13" t="s">
        <v>57</v>
      </c>
      <c r="C25" s="13" t="s">
        <v>41</v>
      </c>
      <c r="D25" s="14">
        <v>0</v>
      </c>
      <c r="E25" s="13" t="s">
        <v>41</v>
      </c>
      <c r="F25" s="15">
        <v>7283.1080000000002</v>
      </c>
      <c r="G25" s="13" t="s">
        <v>41</v>
      </c>
      <c r="H25" s="14">
        <v>0</v>
      </c>
      <c r="I25" s="13" t="s">
        <v>41</v>
      </c>
      <c r="J25" s="13" t="s">
        <v>57</v>
      </c>
      <c r="K25" s="13" t="s">
        <v>41</v>
      </c>
      <c r="L25" s="14">
        <v>0</v>
      </c>
      <c r="M25" s="13" t="s">
        <v>41</v>
      </c>
      <c r="N25" s="15">
        <v>2593.931</v>
      </c>
      <c r="O25" s="13" t="s">
        <v>41</v>
      </c>
      <c r="P25" s="14">
        <v>0</v>
      </c>
      <c r="Q25" s="13" t="s">
        <v>41</v>
      </c>
      <c r="R25" s="14">
        <v>0</v>
      </c>
      <c r="S25" s="13" t="s">
        <v>41</v>
      </c>
      <c r="T25" s="14">
        <v>0</v>
      </c>
      <c r="U25" s="13" t="s">
        <v>41</v>
      </c>
      <c r="V25" s="14">
        <v>0</v>
      </c>
      <c r="W25" s="13" t="s">
        <v>41</v>
      </c>
      <c r="X25" s="14">
        <v>0</v>
      </c>
      <c r="Y25" s="13" t="s">
        <v>41</v>
      </c>
      <c r="Z25" s="14">
        <v>0</v>
      </c>
      <c r="AA25" s="13" t="s">
        <v>41</v>
      </c>
      <c r="AB25" s="15">
        <v>17258.824000000001</v>
      </c>
      <c r="AC25" s="13" t="s">
        <v>41</v>
      </c>
      <c r="AD25" s="15">
        <v>119.26900000000001</v>
      </c>
      <c r="AE25" s="13" t="s">
        <v>59</v>
      </c>
    </row>
    <row r="26" spans="1:31" x14ac:dyDescent="0.2">
      <c r="A26" s="9" t="s">
        <v>70</v>
      </c>
      <c r="B26" s="10" t="s">
        <v>57</v>
      </c>
      <c r="C26" s="10" t="s">
        <v>41</v>
      </c>
      <c r="D26" s="11">
        <v>0</v>
      </c>
      <c r="E26" s="10" t="s">
        <v>41</v>
      </c>
      <c r="F26" s="11">
        <v>0</v>
      </c>
      <c r="G26" s="10" t="s">
        <v>41</v>
      </c>
      <c r="H26" s="11">
        <v>0</v>
      </c>
      <c r="I26" s="10" t="s">
        <v>41</v>
      </c>
      <c r="J26" s="11">
        <v>0</v>
      </c>
      <c r="K26" s="10" t="s">
        <v>41</v>
      </c>
      <c r="L26" s="11">
        <v>0</v>
      </c>
      <c r="M26" s="10" t="s">
        <v>41</v>
      </c>
      <c r="N26" s="11">
        <v>0</v>
      </c>
      <c r="O26" s="10" t="s">
        <v>41</v>
      </c>
      <c r="P26" s="11">
        <v>0</v>
      </c>
      <c r="Q26" s="10" t="s">
        <v>41</v>
      </c>
      <c r="R26" s="11">
        <v>0</v>
      </c>
      <c r="S26" s="10" t="s">
        <v>41</v>
      </c>
      <c r="T26" s="11">
        <v>0</v>
      </c>
      <c r="U26" s="10" t="s">
        <v>41</v>
      </c>
      <c r="V26" s="11">
        <v>0</v>
      </c>
      <c r="W26" s="10" t="s">
        <v>41</v>
      </c>
      <c r="X26" s="11">
        <v>0</v>
      </c>
      <c r="Y26" s="10" t="s">
        <v>41</v>
      </c>
      <c r="Z26" s="11">
        <v>0</v>
      </c>
      <c r="AA26" s="10" t="s">
        <v>41</v>
      </c>
      <c r="AB26" s="11">
        <v>0</v>
      </c>
      <c r="AC26" s="10" t="s">
        <v>41</v>
      </c>
      <c r="AD26" s="11">
        <v>0</v>
      </c>
      <c r="AE26" s="10" t="s">
        <v>41</v>
      </c>
    </row>
    <row r="27" spans="1:31" x14ac:dyDescent="0.2">
      <c r="A27" s="9" t="s">
        <v>71</v>
      </c>
      <c r="B27" s="13" t="s">
        <v>57</v>
      </c>
      <c r="C27" s="13" t="s">
        <v>41</v>
      </c>
      <c r="D27" s="14">
        <v>0</v>
      </c>
      <c r="E27" s="13" t="s">
        <v>41</v>
      </c>
      <c r="F27" s="14">
        <v>0</v>
      </c>
      <c r="G27" s="13" t="s">
        <v>41</v>
      </c>
      <c r="H27" s="14">
        <v>0</v>
      </c>
      <c r="I27" s="13" t="s">
        <v>41</v>
      </c>
      <c r="J27" s="14">
        <v>0</v>
      </c>
      <c r="K27" s="13" t="s">
        <v>41</v>
      </c>
      <c r="L27" s="14">
        <v>0</v>
      </c>
      <c r="M27" s="13" t="s">
        <v>41</v>
      </c>
      <c r="N27" s="14">
        <v>0</v>
      </c>
      <c r="O27" s="13" t="s">
        <v>41</v>
      </c>
      <c r="P27" s="14">
        <v>0</v>
      </c>
      <c r="Q27" s="13" t="s">
        <v>41</v>
      </c>
      <c r="R27" s="14">
        <v>0</v>
      </c>
      <c r="S27" s="13" t="s">
        <v>41</v>
      </c>
      <c r="T27" s="14">
        <v>0</v>
      </c>
      <c r="U27" s="13" t="s">
        <v>41</v>
      </c>
      <c r="V27" s="14">
        <v>0</v>
      </c>
      <c r="W27" s="13" t="s">
        <v>41</v>
      </c>
      <c r="X27" s="14">
        <v>0</v>
      </c>
      <c r="Y27" s="13" t="s">
        <v>41</v>
      </c>
      <c r="Z27" s="14">
        <v>0</v>
      </c>
      <c r="AA27" s="13" t="s">
        <v>41</v>
      </c>
      <c r="AB27" s="14">
        <v>0</v>
      </c>
      <c r="AC27" s="13" t="s">
        <v>41</v>
      </c>
      <c r="AD27" s="14">
        <v>0</v>
      </c>
      <c r="AE27" s="13" t="s">
        <v>41</v>
      </c>
    </row>
    <row r="28" spans="1:31" x14ac:dyDescent="0.2">
      <c r="A28" s="9" t="s">
        <v>72</v>
      </c>
      <c r="B28" s="10" t="s">
        <v>57</v>
      </c>
      <c r="C28" s="10" t="s">
        <v>41</v>
      </c>
      <c r="D28" s="11">
        <v>0</v>
      </c>
      <c r="E28" s="10" t="s">
        <v>41</v>
      </c>
      <c r="F28" s="11">
        <v>0</v>
      </c>
      <c r="G28" s="10" t="s">
        <v>41</v>
      </c>
      <c r="H28" s="11">
        <v>0</v>
      </c>
      <c r="I28" s="10" t="s">
        <v>41</v>
      </c>
      <c r="J28" s="11">
        <v>0</v>
      </c>
      <c r="K28" s="10" t="s">
        <v>41</v>
      </c>
      <c r="L28" s="11">
        <v>0</v>
      </c>
      <c r="M28" s="10" t="s">
        <v>41</v>
      </c>
      <c r="N28" s="11">
        <v>0</v>
      </c>
      <c r="O28" s="10" t="s">
        <v>41</v>
      </c>
      <c r="P28" s="11">
        <v>0</v>
      </c>
      <c r="Q28" s="10" t="s">
        <v>41</v>
      </c>
      <c r="R28" s="11">
        <v>0</v>
      </c>
      <c r="S28" s="10" t="s">
        <v>41</v>
      </c>
      <c r="T28" s="11">
        <v>0</v>
      </c>
      <c r="U28" s="10" t="s">
        <v>41</v>
      </c>
      <c r="V28" s="11">
        <v>0</v>
      </c>
      <c r="W28" s="10" t="s">
        <v>41</v>
      </c>
      <c r="X28" s="11">
        <v>0</v>
      </c>
      <c r="Y28" s="10" t="s">
        <v>41</v>
      </c>
      <c r="Z28" s="11">
        <v>0</v>
      </c>
      <c r="AA28" s="10" t="s">
        <v>41</v>
      </c>
      <c r="AB28" s="11">
        <v>0</v>
      </c>
      <c r="AC28" s="10" t="s">
        <v>41</v>
      </c>
      <c r="AD28" s="11">
        <v>0</v>
      </c>
      <c r="AE28" s="10" t="s">
        <v>41</v>
      </c>
    </row>
    <row r="29" spans="1:31" x14ac:dyDescent="0.2">
      <c r="A29" s="9" t="s">
        <v>73</v>
      </c>
      <c r="B29" s="13" t="s">
        <v>57</v>
      </c>
      <c r="C29" s="13" t="s">
        <v>41</v>
      </c>
      <c r="D29" s="14">
        <v>0</v>
      </c>
      <c r="E29" s="13" t="s">
        <v>41</v>
      </c>
      <c r="F29" s="15">
        <v>6849.0280000000002</v>
      </c>
      <c r="G29" s="13" t="s">
        <v>41</v>
      </c>
      <c r="H29" s="15">
        <v>3739.2660000000001</v>
      </c>
      <c r="I29" s="13" t="s">
        <v>41</v>
      </c>
      <c r="J29" s="13" t="s">
        <v>57</v>
      </c>
      <c r="K29" s="13" t="s">
        <v>41</v>
      </c>
      <c r="L29" s="14">
        <v>3623.89</v>
      </c>
      <c r="M29" s="13" t="s">
        <v>41</v>
      </c>
      <c r="N29" s="14">
        <v>389.23</v>
      </c>
      <c r="O29" s="13" t="s">
        <v>41</v>
      </c>
      <c r="P29" s="14">
        <v>0</v>
      </c>
      <c r="Q29" s="13" t="s">
        <v>41</v>
      </c>
      <c r="R29" s="14">
        <v>0</v>
      </c>
      <c r="S29" s="13" t="s">
        <v>41</v>
      </c>
      <c r="T29" s="14">
        <v>0</v>
      </c>
      <c r="U29" s="13" t="s">
        <v>41</v>
      </c>
      <c r="V29" s="14">
        <v>0</v>
      </c>
      <c r="W29" s="13" t="s">
        <v>41</v>
      </c>
      <c r="X29" s="14">
        <v>0</v>
      </c>
      <c r="Y29" s="13" t="s">
        <v>41</v>
      </c>
      <c r="Z29" s="14">
        <v>0</v>
      </c>
      <c r="AA29" s="13" t="s">
        <v>41</v>
      </c>
      <c r="AB29" s="15">
        <v>11338.751</v>
      </c>
      <c r="AC29" s="13" t="s">
        <v>41</v>
      </c>
      <c r="AD29" s="15">
        <v>84.692999999999998</v>
      </c>
      <c r="AE29" s="13" t="s">
        <v>59</v>
      </c>
    </row>
    <row r="30" spans="1:31" x14ac:dyDescent="0.2">
      <c r="A30" s="9" t="s">
        <v>74</v>
      </c>
      <c r="B30" s="10" t="s">
        <v>57</v>
      </c>
      <c r="C30" s="10" t="s">
        <v>41</v>
      </c>
      <c r="D30" s="11">
        <v>0</v>
      </c>
      <c r="E30" s="10" t="s">
        <v>41</v>
      </c>
      <c r="F30" s="11">
        <v>0</v>
      </c>
      <c r="G30" s="10" t="s">
        <v>41</v>
      </c>
      <c r="H30" s="11">
        <v>0</v>
      </c>
      <c r="I30" s="10" t="s">
        <v>41</v>
      </c>
      <c r="J30" s="11">
        <v>0</v>
      </c>
      <c r="K30" s="10" t="s">
        <v>41</v>
      </c>
      <c r="L30" s="11">
        <v>0</v>
      </c>
      <c r="M30" s="10" t="s">
        <v>41</v>
      </c>
      <c r="N30" s="11">
        <v>0</v>
      </c>
      <c r="O30" s="10" t="s">
        <v>41</v>
      </c>
      <c r="P30" s="11">
        <v>0</v>
      </c>
      <c r="Q30" s="10" t="s">
        <v>41</v>
      </c>
      <c r="R30" s="11">
        <v>0</v>
      </c>
      <c r="S30" s="10" t="s">
        <v>41</v>
      </c>
      <c r="T30" s="11">
        <v>0</v>
      </c>
      <c r="U30" s="10" t="s">
        <v>41</v>
      </c>
      <c r="V30" s="11">
        <v>0</v>
      </c>
      <c r="W30" s="10" t="s">
        <v>41</v>
      </c>
      <c r="X30" s="11">
        <v>0</v>
      </c>
      <c r="Y30" s="10" t="s">
        <v>41</v>
      </c>
      <c r="Z30" s="11">
        <v>0</v>
      </c>
      <c r="AA30" s="10" t="s">
        <v>41</v>
      </c>
      <c r="AB30" s="11">
        <v>0</v>
      </c>
      <c r="AC30" s="10" t="s">
        <v>41</v>
      </c>
      <c r="AD30" s="11">
        <v>0</v>
      </c>
      <c r="AE30" s="10" t="s">
        <v>41</v>
      </c>
    </row>
    <row r="31" spans="1:31" x14ac:dyDescent="0.2">
      <c r="A31" s="9" t="s">
        <v>75</v>
      </c>
      <c r="B31" s="13" t="s">
        <v>57</v>
      </c>
      <c r="C31" s="13" t="s">
        <v>41</v>
      </c>
      <c r="D31" s="14">
        <v>0</v>
      </c>
      <c r="E31" s="13" t="s">
        <v>41</v>
      </c>
      <c r="F31" s="14">
        <v>186.45</v>
      </c>
      <c r="G31" s="13" t="s">
        <v>41</v>
      </c>
      <c r="H31" s="14">
        <v>0</v>
      </c>
      <c r="I31" s="13" t="s">
        <v>41</v>
      </c>
      <c r="J31" s="13" t="s">
        <v>57</v>
      </c>
      <c r="K31" s="13" t="s">
        <v>41</v>
      </c>
      <c r="L31" s="14">
        <v>0</v>
      </c>
      <c r="M31" s="13" t="s">
        <v>41</v>
      </c>
      <c r="N31" s="14">
        <v>0</v>
      </c>
      <c r="O31" s="13" t="s">
        <v>41</v>
      </c>
      <c r="P31" s="14">
        <v>0</v>
      </c>
      <c r="Q31" s="13" t="s">
        <v>41</v>
      </c>
      <c r="R31" s="14">
        <v>0</v>
      </c>
      <c r="S31" s="13" t="s">
        <v>41</v>
      </c>
      <c r="T31" s="14">
        <v>0</v>
      </c>
      <c r="U31" s="13" t="s">
        <v>41</v>
      </c>
      <c r="V31" s="14">
        <v>0</v>
      </c>
      <c r="W31" s="13" t="s">
        <v>41</v>
      </c>
      <c r="X31" s="14">
        <v>0</v>
      </c>
      <c r="Y31" s="13" t="s">
        <v>41</v>
      </c>
      <c r="Z31" s="14">
        <v>0</v>
      </c>
      <c r="AA31" s="13" t="s">
        <v>41</v>
      </c>
      <c r="AB31" s="15">
        <v>487.30799999999999</v>
      </c>
      <c r="AC31" s="13" t="s">
        <v>41</v>
      </c>
      <c r="AD31" s="15">
        <v>30.094000000000001</v>
      </c>
      <c r="AE31" s="13" t="s">
        <v>59</v>
      </c>
    </row>
    <row r="32" spans="1:31" x14ac:dyDescent="0.2">
      <c r="A32" s="9" t="s">
        <v>76</v>
      </c>
      <c r="B32" s="10" t="s">
        <v>57</v>
      </c>
      <c r="C32" s="10" t="s">
        <v>41</v>
      </c>
      <c r="D32" s="11">
        <v>0</v>
      </c>
      <c r="E32" s="10" t="s">
        <v>41</v>
      </c>
      <c r="F32" s="12">
        <v>12821.615</v>
      </c>
      <c r="G32" s="10" t="s">
        <v>41</v>
      </c>
      <c r="H32" s="11">
        <v>0</v>
      </c>
      <c r="I32" s="10" t="s">
        <v>41</v>
      </c>
      <c r="J32" s="10" t="s">
        <v>57</v>
      </c>
      <c r="K32" s="10" t="s">
        <v>41</v>
      </c>
      <c r="L32" s="11">
        <v>0</v>
      </c>
      <c r="M32" s="10" t="s">
        <v>41</v>
      </c>
      <c r="N32" s="12">
        <v>1064.0650000000001</v>
      </c>
      <c r="O32" s="10" t="s">
        <v>41</v>
      </c>
      <c r="P32" s="11">
        <v>0</v>
      </c>
      <c r="Q32" s="10" t="s">
        <v>41</v>
      </c>
      <c r="R32" s="11">
        <v>0</v>
      </c>
      <c r="S32" s="10" t="s">
        <v>41</v>
      </c>
      <c r="T32" s="11">
        <v>0</v>
      </c>
      <c r="U32" s="10" t="s">
        <v>41</v>
      </c>
      <c r="V32" s="11">
        <v>0</v>
      </c>
      <c r="W32" s="10" t="s">
        <v>41</v>
      </c>
      <c r="X32" s="11">
        <v>0</v>
      </c>
      <c r="Y32" s="10" t="s">
        <v>41</v>
      </c>
      <c r="Z32" s="11">
        <v>0</v>
      </c>
      <c r="AA32" s="10" t="s">
        <v>41</v>
      </c>
      <c r="AB32" s="12">
        <v>11932.824000000001</v>
      </c>
      <c r="AC32" s="10" t="s">
        <v>41</v>
      </c>
      <c r="AD32" s="12">
        <v>548.97199999999998</v>
      </c>
      <c r="AE32" s="10" t="s">
        <v>59</v>
      </c>
    </row>
    <row r="33" spans="1:31" x14ac:dyDescent="0.2">
      <c r="A33" s="9" t="s">
        <v>77</v>
      </c>
      <c r="B33" s="13" t="s">
        <v>57</v>
      </c>
      <c r="C33" s="13" t="s">
        <v>41</v>
      </c>
      <c r="D33" s="14">
        <v>0</v>
      </c>
      <c r="E33" s="13" t="s">
        <v>41</v>
      </c>
      <c r="F33" s="15">
        <v>5525.5309999999999</v>
      </c>
      <c r="G33" s="13" t="s">
        <v>41</v>
      </c>
      <c r="H33" s="14">
        <v>0</v>
      </c>
      <c r="I33" s="13" t="s">
        <v>41</v>
      </c>
      <c r="J33" s="13" t="s">
        <v>57</v>
      </c>
      <c r="K33" s="13" t="s">
        <v>41</v>
      </c>
      <c r="L33" s="14">
        <v>0</v>
      </c>
      <c r="M33" s="13" t="s">
        <v>41</v>
      </c>
      <c r="N33" s="14">
        <v>25.21</v>
      </c>
      <c r="O33" s="13" t="s">
        <v>41</v>
      </c>
      <c r="P33" s="14">
        <v>0</v>
      </c>
      <c r="Q33" s="13" t="s">
        <v>41</v>
      </c>
      <c r="R33" s="14">
        <v>0</v>
      </c>
      <c r="S33" s="13" t="s">
        <v>41</v>
      </c>
      <c r="T33" s="14">
        <v>0</v>
      </c>
      <c r="U33" s="13" t="s">
        <v>41</v>
      </c>
      <c r="V33" s="14">
        <v>0</v>
      </c>
      <c r="W33" s="13" t="s">
        <v>41</v>
      </c>
      <c r="X33" s="14">
        <v>0</v>
      </c>
      <c r="Y33" s="13" t="s">
        <v>41</v>
      </c>
      <c r="Z33" s="14">
        <v>0</v>
      </c>
      <c r="AA33" s="13" t="s">
        <v>41</v>
      </c>
      <c r="AB33" s="15">
        <v>4436.3159999999998</v>
      </c>
      <c r="AC33" s="13" t="s">
        <v>41</v>
      </c>
      <c r="AD33" s="15">
        <v>345.92099999999999</v>
      </c>
      <c r="AE33" s="13" t="s">
        <v>59</v>
      </c>
    </row>
    <row r="34" spans="1:31" x14ac:dyDescent="0.2">
      <c r="A34" s="9" t="s">
        <v>78</v>
      </c>
      <c r="B34" s="10" t="s">
        <v>57</v>
      </c>
      <c r="C34" s="10" t="s">
        <v>41</v>
      </c>
      <c r="D34" s="11">
        <v>0</v>
      </c>
      <c r="E34" s="10" t="s">
        <v>41</v>
      </c>
      <c r="F34" s="11">
        <v>0</v>
      </c>
      <c r="G34" s="10" t="s">
        <v>41</v>
      </c>
      <c r="H34" s="11">
        <v>0</v>
      </c>
      <c r="I34" s="10" t="s">
        <v>41</v>
      </c>
      <c r="J34" s="11">
        <v>0</v>
      </c>
      <c r="K34" s="10" t="s">
        <v>41</v>
      </c>
      <c r="L34" s="11">
        <v>0</v>
      </c>
      <c r="M34" s="10" t="s">
        <v>41</v>
      </c>
      <c r="N34" s="11">
        <v>0</v>
      </c>
      <c r="O34" s="10" t="s">
        <v>41</v>
      </c>
      <c r="P34" s="11">
        <v>0</v>
      </c>
      <c r="Q34" s="10" t="s">
        <v>41</v>
      </c>
      <c r="R34" s="11">
        <v>0</v>
      </c>
      <c r="S34" s="10" t="s">
        <v>41</v>
      </c>
      <c r="T34" s="11">
        <v>0</v>
      </c>
      <c r="U34" s="10" t="s">
        <v>41</v>
      </c>
      <c r="V34" s="11">
        <v>0</v>
      </c>
      <c r="W34" s="10" t="s">
        <v>41</v>
      </c>
      <c r="X34" s="11">
        <v>0</v>
      </c>
      <c r="Y34" s="10" t="s">
        <v>41</v>
      </c>
      <c r="Z34" s="11">
        <v>0</v>
      </c>
      <c r="AA34" s="10" t="s">
        <v>41</v>
      </c>
      <c r="AB34" s="11">
        <v>0</v>
      </c>
      <c r="AC34" s="10" t="s">
        <v>41</v>
      </c>
      <c r="AD34" s="11">
        <v>0</v>
      </c>
      <c r="AE34" s="10" t="s">
        <v>41</v>
      </c>
    </row>
    <row r="35" spans="1:31" x14ac:dyDescent="0.2">
      <c r="A35" s="9" t="s">
        <v>79</v>
      </c>
      <c r="B35" s="13" t="s">
        <v>57</v>
      </c>
      <c r="C35" s="13" t="s">
        <v>41</v>
      </c>
      <c r="D35" s="14">
        <v>0</v>
      </c>
      <c r="E35" s="13" t="s">
        <v>41</v>
      </c>
      <c r="F35" s="14">
        <v>0</v>
      </c>
      <c r="G35" s="13" t="s">
        <v>41</v>
      </c>
      <c r="H35" s="14">
        <v>0</v>
      </c>
      <c r="I35" s="13" t="s">
        <v>41</v>
      </c>
      <c r="J35" s="14">
        <v>0</v>
      </c>
      <c r="K35" s="13" t="s">
        <v>41</v>
      </c>
      <c r="L35" s="14">
        <v>0</v>
      </c>
      <c r="M35" s="13" t="s">
        <v>41</v>
      </c>
      <c r="N35" s="14">
        <v>0</v>
      </c>
      <c r="O35" s="13" t="s">
        <v>41</v>
      </c>
      <c r="P35" s="14">
        <v>0</v>
      </c>
      <c r="Q35" s="13" t="s">
        <v>41</v>
      </c>
      <c r="R35" s="14">
        <v>0</v>
      </c>
      <c r="S35" s="13" t="s">
        <v>41</v>
      </c>
      <c r="T35" s="14">
        <v>0</v>
      </c>
      <c r="U35" s="13" t="s">
        <v>41</v>
      </c>
      <c r="V35" s="14">
        <v>0</v>
      </c>
      <c r="W35" s="13" t="s">
        <v>41</v>
      </c>
      <c r="X35" s="14">
        <v>0</v>
      </c>
      <c r="Y35" s="13" t="s">
        <v>41</v>
      </c>
      <c r="Z35" s="14">
        <v>0</v>
      </c>
      <c r="AA35" s="13" t="s">
        <v>41</v>
      </c>
      <c r="AB35" s="14">
        <v>0</v>
      </c>
      <c r="AC35" s="13" t="s">
        <v>41</v>
      </c>
      <c r="AD35" s="14">
        <v>0</v>
      </c>
      <c r="AE35" s="13" t="s">
        <v>41</v>
      </c>
    </row>
    <row r="36" spans="1:31" x14ac:dyDescent="0.2">
      <c r="A36" s="9" t="s">
        <v>80</v>
      </c>
      <c r="B36" s="10" t="s">
        <v>57</v>
      </c>
      <c r="C36" s="10" t="s">
        <v>41</v>
      </c>
      <c r="D36" s="11">
        <v>0</v>
      </c>
      <c r="E36" s="10" t="s">
        <v>41</v>
      </c>
      <c r="F36" s="11">
        <v>0</v>
      </c>
      <c r="G36" s="10" t="s">
        <v>41</v>
      </c>
      <c r="H36" s="11">
        <v>0</v>
      </c>
      <c r="I36" s="10" t="s">
        <v>41</v>
      </c>
      <c r="J36" s="11">
        <v>0</v>
      </c>
      <c r="K36" s="10" t="s">
        <v>41</v>
      </c>
      <c r="L36" s="11">
        <v>0</v>
      </c>
      <c r="M36" s="10" t="s">
        <v>41</v>
      </c>
      <c r="N36" s="11">
        <v>0</v>
      </c>
      <c r="O36" s="10" t="s">
        <v>41</v>
      </c>
      <c r="P36" s="11">
        <v>0</v>
      </c>
      <c r="Q36" s="10" t="s">
        <v>41</v>
      </c>
      <c r="R36" s="11">
        <v>0</v>
      </c>
      <c r="S36" s="10" t="s">
        <v>41</v>
      </c>
      <c r="T36" s="11">
        <v>0</v>
      </c>
      <c r="U36" s="10" t="s">
        <v>41</v>
      </c>
      <c r="V36" s="11">
        <v>0</v>
      </c>
      <c r="W36" s="10" t="s">
        <v>41</v>
      </c>
      <c r="X36" s="11">
        <v>0</v>
      </c>
      <c r="Y36" s="10" t="s">
        <v>41</v>
      </c>
      <c r="Z36" s="11">
        <v>0</v>
      </c>
      <c r="AA36" s="10" t="s">
        <v>41</v>
      </c>
      <c r="AB36" s="11">
        <v>0</v>
      </c>
      <c r="AC36" s="10" t="s">
        <v>41</v>
      </c>
      <c r="AD36" s="11">
        <v>0</v>
      </c>
      <c r="AE36" s="10" t="s">
        <v>41</v>
      </c>
    </row>
    <row r="37" spans="1:31" x14ac:dyDescent="0.2">
      <c r="A37" s="9" t="s">
        <v>81</v>
      </c>
      <c r="B37" s="13" t="s">
        <v>57</v>
      </c>
      <c r="C37" s="13" t="s">
        <v>41</v>
      </c>
      <c r="D37" s="14">
        <v>0</v>
      </c>
      <c r="E37" s="13" t="s">
        <v>41</v>
      </c>
      <c r="F37" s="14">
        <v>0</v>
      </c>
      <c r="G37" s="13" t="s">
        <v>41</v>
      </c>
      <c r="H37" s="14">
        <v>0</v>
      </c>
      <c r="I37" s="13" t="s">
        <v>41</v>
      </c>
      <c r="J37" s="14">
        <v>0</v>
      </c>
      <c r="K37" s="13" t="s">
        <v>41</v>
      </c>
      <c r="L37" s="14">
        <v>0</v>
      </c>
      <c r="M37" s="13" t="s">
        <v>41</v>
      </c>
      <c r="N37" s="14">
        <v>0</v>
      </c>
      <c r="O37" s="13" t="s">
        <v>41</v>
      </c>
      <c r="P37" s="14">
        <v>0</v>
      </c>
      <c r="Q37" s="13" t="s">
        <v>41</v>
      </c>
      <c r="R37" s="14">
        <v>0</v>
      </c>
      <c r="S37" s="13" t="s">
        <v>41</v>
      </c>
      <c r="T37" s="14">
        <v>0</v>
      </c>
      <c r="U37" s="13" t="s">
        <v>41</v>
      </c>
      <c r="V37" s="14">
        <v>0</v>
      </c>
      <c r="W37" s="13" t="s">
        <v>41</v>
      </c>
      <c r="X37" s="14">
        <v>0</v>
      </c>
      <c r="Y37" s="13" t="s">
        <v>41</v>
      </c>
      <c r="Z37" s="14">
        <v>0</v>
      </c>
      <c r="AA37" s="13" t="s">
        <v>41</v>
      </c>
      <c r="AB37" s="14">
        <v>0</v>
      </c>
      <c r="AC37" s="13" t="s">
        <v>41</v>
      </c>
      <c r="AD37" s="14">
        <v>0</v>
      </c>
      <c r="AE37" s="13" t="s">
        <v>41</v>
      </c>
    </row>
    <row r="38" spans="1:31" x14ac:dyDescent="0.2">
      <c r="A38" s="9" t="s">
        <v>82</v>
      </c>
      <c r="B38" s="10" t="s">
        <v>57</v>
      </c>
      <c r="C38" s="10" t="s">
        <v>41</v>
      </c>
      <c r="D38" s="11">
        <v>0</v>
      </c>
      <c r="E38" s="10" t="s">
        <v>41</v>
      </c>
      <c r="F38" s="12">
        <v>7296.085</v>
      </c>
      <c r="G38" s="10" t="s">
        <v>41</v>
      </c>
      <c r="H38" s="11">
        <v>0</v>
      </c>
      <c r="I38" s="10" t="s">
        <v>41</v>
      </c>
      <c r="J38" s="10" t="s">
        <v>57</v>
      </c>
      <c r="K38" s="10" t="s">
        <v>41</v>
      </c>
      <c r="L38" s="11">
        <v>0</v>
      </c>
      <c r="M38" s="10" t="s">
        <v>41</v>
      </c>
      <c r="N38" s="12">
        <v>1038.855</v>
      </c>
      <c r="O38" s="10" t="s">
        <v>41</v>
      </c>
      <c r="P38" s="11">
        <v>0</v>
      </c>
      <c r="Q38" s="10" t="s">
        <v>41</v>
      </c>
      <c r="R38" s="11">
        <v>0</v>
      </c>
      <c r="S38" s="10" t="s">
        <v>41</v>
      </c>
      <c r="T38" s="11">
        <v>0</v>
      </c>
      <c r="U38" s="10" t="s">
        <v>41</v>
      </c>
      <c r="V38" s="11">
        <v>0</v>
      </c>
      <c r="W38" s="10" t="s">
        <v>41</v>
      </c>
      <c r="X38" s="11">
        <v>0</v>
      </c>
      <c r="Y38" s="10" t="s">
        <v>41</v>
      </c>
      <c r="Z38" s="11">
        <v>0</v>
      </c>
      <c r="AA38" s="10" t="s">
        <v>41</v>
      </c>
      <c r="AB38" s="12">
        <v>7496.5079999999998</v>
      </c>
      <c r="AC38" s="10" t="s">
        <v>41</v>
      </c>
      <c r="AD38" s="12">
        <v>203.05099999999999</v>
      </c>
      <c r="AE38" s="10" t="s">
        <v>59</v>
      </c>
    </row>
    <row r="39" spans="1:31" x14ac:dyDescent="0.2">
      <c r="A39" s="9" t="s">
        <v>83</v>
      </c>
      <c r="B39" s="13" t="s">
        <v>57</v>
      </c>
      <c r="C39" s="13" t="s">
        <v>41</v>
      </c>
      <c r="D39" s="14">
        <v>0</v>
      </c>
      <c r="E39" s="13" t="s">
        <v>41</v>
      </c>
      <c r="F39" s="14">
        <v>0</v>
      </c>
      <c r="G39" s="13" t="s">
        <v>41</v>
      </c>
      <c r="H39" s="14">
        <v>0</v>
      </c>
      <c r="I39" s="13" t="s">
        <v>41</v>
      </c>
      <c r="J39" s="14">
        <v>0</v>
      </c>
      <c r="K39" s="13" t="s">
        <v>41</v>
      </c>
      <c r="L39" s="14">
        <v>0</v>
      </c>
      <c r="M39" s="13" t="s">
        <v>41</v>
      </c>
      <c r="N39" s="14">
        <v>0</v>
      </c>
      <c r="O39" s="13" t="s">
        <v>41</v>
      </c>
      <c r="P39" s="14">
        <v>0</v>
      </c>
      <c r="Q39" s="13" t="s">
        <v>41</v>
      </c>
      <c r="R39" s="14">
        <v>0</v>
      </c>
      <c r="S39" s="13" t="s">
        <v>41</v>
      </c>
      <c r="T39" s="14">
        <v>0</v>
      </c>
      <c r="U39" s="13" t="s">
        <v>41</v>
      </c>
      <c r="V39" s="14">
        <v>0</v>
      </c>
      <c r="W39" s="13" t="s">
        <v>41</v>
      </c>
      <c r="X39" s="14">
        <v>0</v>
      </c>
      <c r="Y39" s="13" t="s">
        <v>41</v>
      </c>
      <c r="Z39" s="14">
        <v>0</v>
      </c>
      <c r="AA39" s="13" t="s">
        <v>41</v>
      </c>
      <c r="AB39" s="14">
        <v>0</v>
      </c>
      <c r="AC39" s="13" t="s">
        <v>41</v>
      </c>
      <c r="AD39" s="14">
        <v>0</v>
      </c>
      <c r="AE39" s="13" t="s">
        <v>41</v>
      </c>
    </row>
    <row r="40" spans="1:31" x14ac:dyDescent="0.2">
      <c r="A40" s="9" t="s">
        <v>84</v>
      </c>
      <c r="B40" s="10" t="s">
        <v>57</v>
      </c>
      <c r="C40" s="10" t="s">
        <v>41</v>
      </c>
      <c r="D40" s="11">
        <v>0</v>
      </c>
      <c r="E40" s="10" t="s">
        <v>41</v>
      </c>
      <c r="F40" s="11">
        <v>0</v>
      </c>
      <c r="G40" s="10" t="s">
        <v>41</v>
      </c>
      <c r="H40" s="11">
        <v>0</v>
      </c>
      <c r="I40" s="10" t="s">
        <v>41</v>
      </c>
      <c r="J40" s="11">
        <v>0</v>
      </c>
      <c r="K40" s="10" t="s">
        <v>41</v>
      </c>
      <c r="L40" s="11">
        <v>0</v>
      </c>
      <c r="M40" s="10" t="s">
        <v>41</v>
      </c>
      <c r="N40" s="11">
        <v>0</v>
      </c>
      <c r="O40" s="10" t="s">
        <v>41</v>
      </c>
      <c r="P40" s="11">
        <v>0</v>
      </c>
      <c r="Q40" s="10" t="s">
        <v>41</v>
      </c>
      <c r="R40" s="11">
        <v>0</v>
      </c>
      <c r="S40" s="10" t="s">
        <v>41</v>
      </c>
      <c r="T40" s="11">
        <v>0</v>
      </c>
      <c r="U40" s="10" t="s">
        <v>41</v>
      </c>
      <c r="V40" s="11">
        <v>0</v>
      </c>
      <c r="W40" s="10" t="s">
        <v>41</v>
      </c>
      <c r="X40" s="11">
        <v>0</v>
      </c>
      <c r="Y40" s="10" t="s">
        <v>41</v>
      </c>
      <c r="Z40" s="11">
        <v>0</v>
      </c>
      <c r="AA40" s="10" t="s">
        <v>41</v>
      </c>
      <c r="AB40" s="11">
        <v>0</v>
      </c>
      <c r="AC40" s="10" t="s">
        <v>41</v>
      </c>
      <c r="AD40" s="11">
        <v>0</v>
      </c>
      <c r="AE40" s="10" t="s">
        <v>41</v>
      </c>
    </row>
    <row r="41" spans="1:31" x14ac:dyDescent="0.2">
      <c r="A41" s="9" t="s">
        <v>85</v>
      </c>
      <c r="B41" s="13" t="s">
        <v>57</v>
      </c>
      <c r="C41" s="13" t="s">
        <v>41</v>
      </c>
      <c r="D41" s="14">
        <v>0</v>
      </c>
      <c r="E41" s="13" t="s">
        <v>41</v>
      </c>
      <c r="F41" s="14">
        <v>0</v>
      </c>
      <c r="G41" s="13" t="s">
        <v>41</v>
      </c>
      <c r="H41" s="14">
        <v>0</v>
      </c>
      <c r="I41" s="13" t="s">
        <v>41</v>
      </c>
      <c r="J41" s="14">
        <v>0</v>
      </c>
      <c r="K41" s="13" t="s">
        <v>41</v>
      </c>
      <c r="L41" s="14">
        <v>0</v>
      </c>
      <c r="M41" s="13" t="s">
        <v>41</v>
      </c>
      <c r="N41" s="14">
        <v>0</v>
      </c>
      <c r="O41" s="13" t="s">
        <v>41</v>
      </c>
      <c r="P41" s="14">
        <v>0</v>
      </c>
      <c r="Q41" s="13" t="s">
        <v>41</v>
      </c>
      <c r="R41" s="14">
        <v>0</v>
      </c>
      <c r="S41" s="13" t="s">
        <v>41</v>
      </c>
      <c r="T41" s="14">
        <v>0</v>
      </c>
      <c r="U41" s="13" t="s">
        <v>41</v>
      </c>
      <c r="V41" s="14">
        <v>0</v>
      </c>
      <c r="W41" s="13" t="s">
        <v>41</v>
      </c>
      <c r="X41" s="14">
        <v>0</v>
      </c>
      <c r="Y41" s="13" t="s">
        <v>41</v>
      </c>
      <c r="Z41" s="14">
        <v>0</v>
      </c>
      <c r="AA41" s="13" t="s">
        <v>41</v>
      </c>
      <c r="AB41" s="14">
        <v>0</v>
      </c>
      <c r="AC41" s="13" t="s">
        <v>41</v>
      </c>
      <c r="AD41" s="14">
        <v>0</v>
      </c>
      <c r="AE41" s="13" t="s">
        <v>41</v>
      </c>
    </row>
    <row r="42" spans="1:31" x14ac:dyDescent="0.2">
      <c r="A42" s="9" t="s">
        <v>86</v>
      </c>
      <c r="B42" s="10" t="s">
        <v>57</v>
      </c>
      <c r="C42" s="10" t="s">
        <v>41</v>
      </c>
      <c r="D42" s="11">
        <v>0</v>
      </c>
      <c r="E42" s="10" t="s">
        <v>41</v>
      </c>
      <c r="F42" s="12">
        <v>904.52499999999998</v>
      </c>
      <c r="G42" s="10" t="s">
        <v>41</v>
      </c>
      <c r="H42" s="11">
        <v>0</v>
      </c>
      <c r="I42" s="10" t="s">
        <v>41</v>
      </c>
      <c r="J42" s="10" t="s">
        <v>57</v>
      </c>
      <c r="K42" s="10" t="s">
        <v>41</v>
      </c>
      <c r="L42" s="11">
        <v>0</v>
      </c>
      <c r="M42" s="10" t="s">
        <v>41</v>
      </c>
      <c r="N42" s="12">
        <v>141.38499999999999</v>
      </c>
      <c r="O42" s="10" t="s">
        <v>41</v>
      </c>
      <c r="P42" s="11">
        <v>0</v>
      </c>
      <c r="Q42" s="10" t="s">
        <v>41</v>
      </c>
      <c r="R42" s="11">
        <v>0</v>
      </c>
      <c r="S42" s="10" t="s">
        <v>41</v>
      </c>
      <c r="T42" s="11">
        <v>0</v>
      </c>
      <c r="U42" s="10" t="s">
        <v>41</v>
      </c>
      <c r="V42" s="11">
        <v>0</v>
      </c>
      <c r="W42" s="10" t="s">
        <v>41</v>
      </c>
      <c r="X42" s="11">
        <v>0</v>
      </c>
      <c r="Y42" s="10" t="s">
        <v>41</v>
      </c>
      <c r="Z42" s="11">
        <v>0</v>
      </c>
      <c r="AA42" s="10" t="s">
        <v>41</v>
      </c>
      <c r="AB42" s="12">
        <v>20036.862000000001</v>
      </c>
      <c r="AC42" s="10" t="s">
        <v>41</v>
      </c>
      <c r="AD42" s="12">
        <v>251.55799999999999</v>
      </c>
      <c r="AE42" s="10" t="s">
        <v>59</v>
      </c>
    </row>
    <row r="43" spans="1:31" x14ac:dyDescent="0.2">
      <c r="A43" s="9" t="s">
        <v>87</v>
      </c>
      <c r="B43" s="13" t="s">
        <v>57</v>
      </c>
      <c r="C43" s="13" t="s">
        <v>41</v>
      </c>
      <c r="D43" s="14">
        <v>0</v>
      </c>
      <c r="E43" s="13" t="s">
        <v>41</v>
      </c>
      <c r="F43" s="14">
        <v>0</v>
      </c>
      <c r="G43" s="13" t="s">
        <v>41</v>
      </c>
      <c r="H43" s="14">
        <v>0</v>
      </c>
      <c r="I43" s="13" t="s">
        <v>41</v>
      </c>
      <c r="J43" s="14">
        <v>0</v>
      </c>
      <c r="K43" s="13" t="s">
        <v>41</v>
      </c>
      <c r="L43" s="14">
        <v>0</v>
      </c>
      <c r="M43" s="13" t="s">
        <v>41</v>
      </c>
      <c r="N43" s="14">
        <v>0</v>
      </c>
      <c r="O43" s="13" t="s">
        <v>41</v>
      </c>
      <c r="P43" s="14">
        <v>0</v>
      </c>
      <c r="Q43" s="13" t="s">
        <v>41</v>
      </c>
      <c r="R43" s="14">
        <v>0</v>
      </c>
      <c r="S43" s="13" t="s">
        <v>41</v>
      </c>
      <c r="T43" s="14">
        <v>0</v>
      </c>
      <c r="U43" s="13" t="s">
        <v>41</v>
      </c>
      <c r="V43" s="14">
        <v>0</v>
      </c>
      <c r="W43" s="13" t="s">
        <v>41</v>
      </c>
      <c r="X43" s="14">
        <v>0</v>
      </c>
      <c r="Y43" s="13" t="s">
        <v>41</v>
      </c>
      <c r="Z43" s="14">
        <v>0</v>
      </c>
      <c r="AA43" s="13" t="s">
        <v>41</v>
      </c>
      <c r="AB43" s="14">
        <v>0</v>
      </c>
      <c r="AC43" s="13" t="s">
        <v>41</v>
      </c>
      <c r="AD43" s="14">
        <v>0</v>
      </c>
      <c r="AE43" s="13" t="s">
        <v>41</v>
      </c>
    </row>
    <row r="44" spans="1:31" x14ac:dyDescent="0.2">
      <c r="A44" s="9" t="s">
        <v>88</v>
      </c>
      <c r="B44" s="10" t="s">
        <v>57</v>
      </c>
      <c r="C44" s="10" t="s">
        <v>41</v>
      </c>
      <c r="D44" s="11">
        <v>0</v>
      </c>
      <c r="E44" s="10" t="s">
        <v>41</v>
      </c>
      <c r="F44" s="11">
        <v>0</v>
      </c>
      <c r="G44" s="10" t="s">
        <v>41</v>
      </c>
      <c r="H44" s="11">
        <v>0</v>
      </c>
      <c r="I44" s="10" t="s">
        <v>41</v>
      </c>
      <c r="J44" s="11">
        <v>0</v>
      </c>
      <c r="K44" s="10" t="s">
        <v>41</v>
      </c>
      <c r="L44" s="11">
        <v>0</v>
      </c>
      <c r="M44" s="10" t="s">
        <v>41</v>
      </c>
      <c r="N44" s="11">
        <v>0</v>
      </c>
      <c r="O44" s="10" t="s">
        <v>41</v>
      </c>
      <c r="P44" s="11">
        <v>0</v>
      </c>
      <c r="Q44" s="10" t="s">
        <v>41</v>
      </c>
      <c r="R44" s="11">
        <v>0</v>
      </c>
      <c r="S44" s="10" t="s">
        <v>41</v>
      </c>
      <c r="T44" s="11">
        <v>0</v>
      </c>
      <c r="U44" s="10" t="s">
        <v>41</v>
      </c>
      <c r="V44" s="11">
        <v>0</v>
      </c>
      <c r="W44" s="10" t="s">
        <v>41</v>
      </c>
      <c r="X44" s="11">
        <v>0</v>
      </c>
      <c r="Y44" s="10" t="s">
        <v>41</v>
      </c>
      <c r="Z44" s="11">
        <v>0</v>
      </c>
      <c r="AA44" s="10" t="s">
        <v>41</v>
      </c>
      <c r="AB44" s="11">
        <v>0</v>
      </c>
      <c r="AC44" s="10" t="s">
        <v>41</v>
      </c>
      <c r="AD44" s="11">
        <v>0</v>
      </c>
      <c r="AE44" s="10" t="s">
        <v>41</v>
      </c>
    </row>
    <row r="45" spans="1:31" x14ac:dyDescent="0.2">
      <c r="A45" s="9" t="s">
        <v>89</v>
      </c>
      <c r="B45" s="13" t="s">
        <v>57</v>
      </c>
      <c r="C45" s="13" t="s">
        <v>41</v>
      </c>
      <c r="D45" s="14">
        <v>0</v>
      </c>
      <c r="E45" s="13" t="s">
        <v>41</v>
      </c>
      <c r="F45" s="14">
        <v>0</v>
      </c>
      <c r="G45" s="13" t="s">
        <v>41</v>
      </c>
      <c r="H45" s="14">
        <v>0</v>
      </c>
      <c r="I45" s="13" t="s">
        <v>41</v>
      </c>
      <c r="J45" s="14">
        <v>0</v>
      </c>
      <c r="K45" s="13" t="s">
        <v>41</v>
      </c>
      <c r="L45" s="14">
        <v>0</v>
      </c>
      <c r="M45" s="13" t="s">
        <v>41</v>
      </c>
      <c r="N45" s="14">
        <v>0</v>
      </c>
      <c r="O45" s="13" t="s">
        <v>41</v>
      </c>
      <c r="P45" s="14">
        <v>0</v>
      </c>
      <c r="Q45" s="13" t="s">
        <v>41</v>
      </c>
      <c r="R45" s="14">
        <v>0</v>
      </c>
      <c r="S45" s="13" t="s">
        <v>41</v>
      </c>
      <c r="T45" s="14">
        <v>0</v>
      </c>
      <c r="U45" s="13" t="s">
        <v>41</v>
      </c>
      <c r="V45" s="14">
        <v>0</v>
      </c>
      <c r="W45" s="13" t="s">
        <v>41</v>
      </c>
      <c r="X45" s="14">
        <v>0</v>
      </c>
      <c r="Y45" s="13" t="s">
        <v>41</v>
      </c>
      <c r="Z45" s="14">
        <v>0</v>
      </c>
      <c r="AA45" s="13" t="s">
        <v>41</v>
      </c>
      <c r="AB45" s="14">
        <v>0</v>
      </c>
      <c r="AC45" s="13" t="s">
        <v>41</v>
      </c>
      <c r="AD45" s="14">
        <v>0</v>
      </c>
      <c r="AE45" s="13" t="s">
        <v>41</v>
      </c>
    </row>
    <row r="46" spans="1:31" x14ac:dyDescent="0.2">
      <c r="A46" s="9" t="s">
        <v>90</v>
      </c>
      <c r="B46" s="10" t="s">
        <v>57</v>
      </c>
      <c r="C46" s="10" t="s">
        <v>41</v>
      </c>
      <c r="D46" s="11">
        <v>0</v>
      </c>
      <c r="E46" s="10" t="s">
        <v>41</v>
      </c>
      <c r="F46" s="11">
        <v>0</v>
      </c>
      <c r="G46" s="10" t="s">
        <v>41</v>
      </c>
      <c r="H46" s="11">
        <v>0</v>
      </c>
      <c r="I46" s="10" t="s">
        <v>41</v>
      </c>
      <c r="J46" s="11">
        <v>0</v>
      </c>
      <c r="K46" s="10" t="s">
        <v>41</v>
      </c>
      <c r="L46" s="11">
        <v>0</v>
      </c>
      <c r="M46" s="10" t="s">
        <v>41</v>
      </c>
      <c r="N46" s="11">
        <v>0</v>
      </c>
      <c r="O46" s="10" t="s">
        <v>41</v>
      </c>
      <c r="P46" s="11">
        <v>0</v>
      </c>
      <c r="Q46" s="10" t="s">
        <v>41</v>
      </c>
      <c r="R46" s="11">
        <v>0</v>
      </c>
      <c r="S46" s="10" t="s">
        <v>41</v>
      </c>
      <c r="T46" s="11">
        <v>0</v>
      </c>
      <c r="U46" s="10" t="s">
        <v>41</v>
      </c>
      <c r="V46" s="11">
        <v>0</v>
      </c>
      <c r="W46" s="10" t="s">
        <v>41</v>
      </c>
      <c r="X46" s="11">
        <v>0</v>
      </c>
      <c r="Y46" s="10" t="s">
        <v>41</v>
      </c>
      <c r="Z46" s="11">
        <v>0</v>
      </c>
      <c r="AA46" s="10" t="s">
        <v>41</v>
      </c>
      <c r="AB46" s="11">
        <v>0</v>
      </c>
      <c r="AC46" s="10" t="s">
        <v>41</v>
      </c>
      <c r="AD46" s="11">
        <v>0</v>
      </c>
      <c r="AE46" s="10" t="s">
        <v>41</v>
      </c>
    </row>
    <row r="47" spans="1:31" x14ac:dyDescent="0.2">
      <c r="A47" s="9" t="s">
        <v>91</v>
      </c>
      <c r="B47" s="13" t="s">
        <v>57</v>
      </c>
      <c r="C47" s="13" t="s">
        <v>41</v>
      </c>
      <c r="D47" s="14">
        <v>0</v>
      </c>
      <c r="E47" s="13" t="s">
        <v>41</v>
      </c>
      <c r="F47" s="14">
        <v>0</v>
      </c>
      <c r="G47" s="13" t="s">
        <v>41</v>
      </c>
      <c r="H47" s="14">
        <v>0</v>
      </c>
      <c r="I47" s="13" t="s">
        <v>41</v>
      </c>
      <c r="J47" s="14">
        <v>0</v>
      </c>
      <c r="K47" s="13" t="s">
        <v>41</v>
      </c>
      <c r="L47" s="14">
        <v>0</v>
      </c>
      <c r="M47" s="13" t="s">
        <v>41</v>
      </c>
      <c r="N47" s="14">
        <v>0</v>
      </c>
      <c r="O47" s="13" t="s">
        <v>41</v>
      </c>
      <c r="P47" s="14">
        <v>0</v>
      </c>
      <c r="Q47" s="13" t="s">
        <v>41</v>
      </c>
      <c r="R47" s="14">
        <v>0</v>
      </c>
      <c r="S47" s="13" t="s">
        <v>41</v>
      </c>
      <c r="T47" s="14">
        <v>0</v>
      </c>
      <c r="U47" s="13" t="s">
        <v>41</v>
      </c>
      <c r="V47" s="14">
        <v>0</v>
      </c>
      <c r="W47" s="13" t="s">
        <v>41</v>
      </c>
      <c r="X47" s="14">
        <v>0</v>
      </c>
      <c r="Y47" s="13" t="s">
        <v>41</v>
      </c>
      <c r="Z47" s="14">
        <v>0</v>
      </c>
      <c r="AA47" s="13" t="s">
        <v>41</v>
      </c>
      <c r="AB47" s="14">
        <v>0</v>
      </c>
      <c r="AC47" s="13" t="s">
        <v>41</v>
      </c>
      <c r="AD47" s="14">
        <v>0</v>
      </c>
      <c r="AE47" s="13" t="s">
        <v>41</v>
      </c>
    </row>
    <row r="48" spans="1:31" x14ac:dyDescent="0.2">
      <c r="A48" s="9" t="s">
        <v>92</v>
      </c>
      <c r="B48" s="10" t="s">
        <v>57</v>
      </c>
      <c r="C48" s="10" t="s">
        <v>41</v>
      </c>
      <c r="D48" s="11">
        <v>0</v>
      </c>
      <c r="E48" s="10" t="s">
        <v>41</v>
      </c>
      <c r="F48" s="11">
        <v>0</v>
      </c>
      <c r="G48" s="10" t="s">
        <v>41</v>
      </c>
      <c r="H48" s="11">
        <v>0</v>
      </c>
      <c r="I48" s="10" t="s">
        <v>41</v>
      </c>
      <c r="J48" s="11">
        <v>0</v>
      </c>
      <c r="K48" s="10" t="s">
        <v>41</v>
      </c>
      <c r="L48" s="11">
        <v>0</v>
      </c>
      <c r="M48" s="10" t="s">
        <v>41</v>
      </c>
      <c r="N48" s="11">
        <v>0</v>
      </c>
      <c r="O48" s="10" t="s">
        <v>41</v>
      </c>
      <c r="P48" s="11">
        <v>0</v>
      </c>
      <c r="Q48" s="10" t="s">
        <v>41</v>
      </c>
      <c r="R48" s="11">
        <v>0</v>
      </c>
      <c r="S48" s="10" t="s">
        <v>41</v>
      </c>
      <c r="T48" s="11">
        <v>0</v>
      </c>
      <c r="U48" s="10" t="s">
        <v>41</v>
      </c>
      <c r="V48" s="11">
        <v>0</v>
      </c>
      <c r="W48" s="10" t="s">
        <v>41</v>
      </c>
      <c r="X48" s="11">
        <v>0</v>
      </c>
      <c r="Y48" s="10" t="s">
        <v>41</v>
      </c>
      <c r="Z48" s="11">
        <v>0</v>
      </c>
      <c r="AA48" s="10" t="s">
        <v>41</v>
      </c>
      <c r="AB48" s="11">
        <v>0</v>
      </c>
      <c r="AC48" s="10" t="s">
        <v>41</v>
      </c>
      <c r="AD48" s="11">
        <v>0</v>
      </c>
      <c r="AE48" s="10" t="s">
        <v>41</v>
      </c>
    </row>
    <row r="49" spans="1:31" x14ac:dyDescent="0.2">
      <c r="A49" s="9" t="s">
        <v>93</v>
      </c>
      <c r="B49" s="13" t="s">
        <v>57</v>
      </c>
      <c r="C49" s="13" t="s">
        <v>41</v>
      </c>
      <c r="D49" s="14">
        <v>0</v>
      </c>
      <c r="E49" s="13" t="s">
        <v>41</v>
      </c>
      <c r="F49" s="15">
        <v>4984.9070000000002</v>
      </c>
      <c r="G49" s="13" t="s">
        <v>41</v>
      </c>
      <c r="H49" s="14">
        <v>0</v>
      </c>
      <c r="I49" s="13" t="s">
        <v>41</v>
      </c>
      <c r="J49" s="13" t="s">
        <v>57</v>
      </c>
      <c r="K49" s="13" t="s">
        <v>41</v>
      </c>
      <c r="L49" s="14">
        <v>0</v>
      </c>
      <c r="M49" s="13" t="s">
        <v>41</v>
      </c>
      <c r="N49" s="15">
        <v>1828.2049999999999</v>
      </c>
      <c r="O49" s="13" t="s">
        <v>41</v>
      </c>
      <c r="P49" s="14">
        <v>0</v>
      </c>
      <c r="Q49" s="13" t="s">
        <v>41</v>
      </c>
      <c r="R49" s="14">
        <v>0</v>
      </c>
      <c r="S49" s="13" t="s">
        <v>41</v>
      </c>
      <c r="T49" s="14">
        <v>0</v>
      </c>
      <c r="U49" s="13" t="s">
        <v>41</v>
      </c>
      <c r="V49" s="14">
        <v>0</v>
      </c>
      <c r="W49" s="13" t="s">
        <v>41</v>
      </c>
      <c r="X49" s="14">
        <v>0</v>
      </c>
      <c r="Y49" s="13" t="s">
        <v>41</v>
      </c>
      <c r="Z49" s="14">
        <v>0</v>
      </c>
      <c r="AA49" s="13" t="s">
        <v>41</v>
      </c>
      <c r="AB49" s="15">
        <v>8220.9930000000004</v>
      </c>
      <c r="AC49" s="13" t="s">
        <v>41</v>
      </c>
      <c r="AD49" s="15">
        <v>1181.595</v>
      </c>
      <c r="AE49" s="13" t="s">
        <v>59</v>
      </c>
    </row>
    <row r="50" spans="1:31" x14ac:dyDescent="0.2">
      <c r="A50" s="9" t="s">
        <v>94</v>
      </c>
      <c r="B50" s="10" t="s">
        <v>57</v>
      </c>
      <c r="C50" s="10" t="s">
        <v>41</v>
      </c>
      <c r="D50" s="11">
        <v>0</v>
      </c>
      <c r="E50" s="10" t="s">
        <v>41</v>
      </c>
      <c r="F50" s="11">
        <v>0</v>
      </c>
      <c r="G50" s="10" t="s">
        <v>41</v>
      </c>
      <c r="H50" s="11">
        <v>0</v>
      </c>
      <c r="I50" s="10" t="s">
        <v>41</v>
      </c>
      <c r="J50" s="11">
        <v>0</v>
      </c>
      <c r="K50" s="10" t="s">
        <v>41</v>
      </c>
      <c r="L50" s="11">
        <v>0</v>
      </c>
      <c r="M50" s="10" t="s">
        <v>41</v>
      </c>
      <c r="N50" s="11">
        <v>0</v>
      </c>
      <c r="O50" s="10" t="s">
        <v>41</v>
      </c>
      <c r="P50" s="11">
        <v>0</v>
      </c>
      <c r="Q50" s="10" t="s">
        <v>41</v>
      </c>
      <c r="R50" s="11">
        <v>0</v>
      </c>
      <c r="S50" s="10" t="s">
        <v>41</v>
      </c>
      <c r="T50" s="11">
        <v>0</v>
      </c>
      <c r="U50" s="10" t="s">
        <v>41</v>
      </c>
      <c r="V50" s="11">
        <v>0</v>
      </c>
      <c r="W50" s="10" t="s">
        <v>41</v>
      </c>
      <c r="X50" s="11">
        <v>0</v>
      </c>
      <c r="Y50" s="10" t="s">
        <v>41</v>
      </c>
      <c r="Z50" s="11">
        <v>0</v>
      </c>
      <c r="AA50" s="10" t="s">
        <v>41</v>
      </c>
      <c r="AB50" s="11">
        <v>0</v>
      </c>
      <c r="AC50" s="10" t="s">
        <v>41</v>
      </c>
      <c r="AD50" s="11">
        <v>0</v>
      </c>
      <c r="AE50" s="10" t="s">
        <v>41</v>
      </c>
    </row>
    <row r="51" spans="1:31" x14ac:dyDescent="0.2">
      <c r="A51" s="9" t="s">
        <v>95</v>
      </c>
      <c r="B51" s="13" t="s">
        <v>57</v>
      </c>
      <c r="C51" s="13" t="s">
        <v>41</v>
      </c>
      <c r="D51" s="14">
        <v>0</v>
      </c>
      <c r="E51" s="13" t="s">
        <v>41</v>
      </c>
      <c r="F51" s="14">
        <v>0</v>
      </c>
      <c r="G51" s="13" t="s">
        <v>41</v>
      </c>
      <c r="H51" s="14">
        <v>0</v>
      </c>
      <c r="I51" s="13" t="s">
        <v>41</v>
      </c>
      <c r="J51" s="14">
        <v>0</v>
      </c>
      <c r="K51" s="13" t="s">
        <v>41</v>
      </c>
      <c r="L51" s="14">
        <v>0</v>
      </c>
      <c r="M51" s="13" t="s">
        <v>41</v>
      </c>
      <c r="N51" s="14">
        <v>0</v>
      </c>
      <c r="O51" s="13" t="s">
        <v>41</v>
      </c>
      <c r="P51" s="14">
        <v>0</v>
      </c>
      <c r="Q51" s="13" t="s">
        <v>41</v>
      </c>
      <c r="R51" s="14">
        <v>0</v>
      </c>
      <c r="S51" s="13" t="s">
        <v>41</v>
      </c>
      <c r="T51" s="14">
        <v>0</v>
      </c>
      <c r="U51" s="13" t="s">
        <v>41</v>
      </c>
      <c r="V51" s="14">
        <v>0</v>
      </c>
      <c r="W51" s="13" t="s">
        <v>41</v>
      </c>
      <c r="X51" s="14">
        <v>0</v>
      </c>
      <c r="Y51" s="13" t="s">
        <v>41</v>
      </c>
      <c r="Z51" s="14">
        <v>0</v>
      </c>
      <c r="AA51" s="13" t="s">
        <v>41</v>
      </c>
      <c r="AB51" s="14">
        <v>0</v>
      </c>
      <c r="AC51" s="13" t="s">
        <v>41</v>
      </c>
      <c r="AD51" s="14">
        <v>0</v>
      </c>
      <c r="AE51" s="13" t="s">
        <v>41</v>
      </c>
    </row>
    <row r="52" spans="1:31" x14ac:dyDescent="0.2">
      <c r="A52" s="9" t="s">
        <v>96</v>
      </c>
      <c r="B52" s="10" t="s">
        <v>57</v>
      </c>
      <c r="C52" s="10" t="s">
        <v>41</v>
      </c>
      <c r="D52" s="11">
        <v>0</v>
      </c>
      <c r="E52" s="10" t="s">
        <v>41</v>
      </c>
      <c r="F52" s="12">
        <v>8897.5630000000001</v>
      </c>
      <c r="G52" s="10" t="s">
        <v>41</v>
      </c>
      <c r="H52" s="11">
        <v>0</v>
      </c>
      <c r="I52" s="10" t="s">
        <v>41</v>
      </c>
      <c r="J52" s="10" t="s">
        <v>57</v>
      </c>
      <c r="K52" s="10" t="s">
        <v>41</v>
      </c>
      <c r="L52" s="11">
        <v>0</v>
      </c>
      <c r="M52" s="10" t="s">
        <v>41</v>
      </c>
      <c r="N52" s="12">
        <v>3515.6689999999999</v>
      </c>
      <c r="O52" s="10" t="s">
        <v>41</v>
      </c>
      <c r="P52" s="11">
        <v>0</v>
      </c>
      <c r="Q52" s="10" t="s">
        <v>41</v>
      </c>
      <c r="R52" s="11">
        <v>0</v>
      </c>
      <c r="S52" s="10" t="s">
        <v>41</v>
      </c>
      <c r="T52" s="11">
        <v>0</v>
      </c>
      <c r="U52" s="10" t="s">
        <v>41</v>
      </c>
      <c r="V52" s="11">
        <v>0</v>
      </c>
      <c r="W52" s="10" t="s">
        <v>41</v>
      </c>
      <c r="X52" s="11">
        <v>0</v>
      </c>
      <c r="Y52" s="10" t="s">
        <v>41</v>
      </c>
      <c r="Z52" s="11">
        <v>0</v>
      </c>
      <c r="AA52" s="10" t="s">
        <v>41</v>
      </c>
      <c r="AB52" s="12">
        <v>8395.7569999999996</v>
      </c>
      <c r="AC52" s="10" t="s">
        <v>41</v>
      </c>
      <c r="AD52" s="11">
        <v>750.71</v>
      </c>
      <c r="AE52" s="10" t="s">
        <v>59</v>
      </c>
    </row>
    <row r="53" spans="1:31" x14ac:dyDescent="0.2">
      <c r="A53" s="9" t="s">
        <v>97</v>
      </c>
      <c r="B53" s="13" t="s">
        <v>57</v>
      </c>
      <c r="C53" s="13" t="s">
        <v>41</v>
      </c>
      <c r="D53" s="14">
        <v>0</v>
      </c>
      <c r="E53" s="13" t="s">
        <v>41</v>
      </c>
      <c r="F53" s="14">
        <v>0</v>
      </c>
      <c r="G53" s="13" t="s">
        <v>41</v>
      </c>
      <c r="H53" s="14">
        <v>0</v>
      </c>
      <c r="I53" s="13" t="s">
        <v>41</v>
      </c>
      <c r="J53" s="14">
        <v>0</v>
      </c>
      <c r="K53" s="13" t="s">
        <v>41</v>
      </c>
      <c r="L53" s="14">
        <v>0</v>
      </c>
      <c r="M53" s="13" t="s">
        <v>41</v>
      </c>
      <c r="N53" s="14">
        <v>0</v>
      </c>
      <c r="O53" s="13" t="s">
        <v>41</v>
      </c>
      <c r="P53" s="14">
        <v>0</v>
      </c>
      <c r="Q53" s="13" t="s">
        <v>41</v>
      </c>
      <c r="R53" s="14">
        <v>0</v>
      </c>
      <c r="S53" s="13" t="s">
        <v>41</v>
      </c>
      <c r="T53" s="14">
        <v>0</v>
      </c>
      <c r="U53" s="13" t="s">
        <v>41</v>
      </c>
      <c r="V53" s="14">
        <v>0</v>
      </c>
      <c r="W53" s="13" t="s">
        <v>41</v>
      </c>
      <c r="X53" s="14">
        <v>0</v>
      </c>
      <c r="Y53" s="13" t="s">
        <v>41</v>
      </c>
      <c r="Z53" s="14">
        <v>0</v>
      </c>
      <c r="AA53" s="13" t="s">
        <v>41</v>
      </c>
      <c r="AB53" s="14">
        <v>0</v>
      </c>
      <c r="AC53" s="13" t="s">
        <v>41</v>
      </c>
      <c r="AD53" s="14">
        <v>0</v>
      </c>
      <c r="AE53" s="13" t="s">
        <v>41</v>
      </c>
    </row>
    <row r="54" spans="1:31" x14ac:dyDescent="0.2">
      <c r="A54" s="9" t="s">
        <v>98</v>
      </c>
      <c r="B54" s="10" t="s">
        <v>57</v>
      </c>
      <c r="C54" s="10" t="s">
        <v>41</v>
      </c>
      <c r="D54" s="11">
        <v>0</v>
      </c>
      <c r="E54" s="10" t="s">
        <v>41</v>
      </c>
      <c r="F54" s="11">
        <v>0</v>
      </c>
      <c r="G54" s="10" t="s">
        <v>41</v>
      </c>
      <c r="H54" s="11">
        <v>0</v>
      </c>
      <c r="I54" s="10" t="s">
        <v>41</v>
      </c>
      <c r="J54" s="11">
        <v>0</v>
      </c>
      <c r="K54" s="10" t="s">
        <v>41</v>
      </c>
      <c r="L54" s="11">
        <v>0</v>
      </c>
      <c r="M54" s="10" t="s">
        <v>41</v>
      </c>
      <c r="N54" s="11">
        <v>0</v>
      </c>
      <c r="O54" s="10" t="s">
        <v>41</v>
      </c>
      <c r="P54" s="11">
        <v>0</v>
      </c>
      <c r="Q54" s="10" t="s">
        <v>41</v>
      </c>
      <c r="R54" s="11">
        <v>0</v>
      </c>
      <c r="S54" s="10" t="s">
        <v>41</v>
      </c>
      <c r="T54" s="11">
        <v>0</v>
      </c>
      <c r="U54" s="10" t="s">
        <v>41</v>
      </c>
      <c r="V54" s="11">
        <v>0</v>
      </c>
      <c r="W54" s="10" t="s">
        <v>41</v>
      </c>
      <c r="X54" s="11">
        <v>0</v>
      </c>
      <c r="Y54" s="10" t="s">
        <v>41</v>
      </c>
      <c r="Z54" s="11">
        <v>0</v>
      </c>
      <c r="AA54" s="10" t="s">
        <v>41</v>
      </c>
      <c r="AB54" s="11">
        <v>0</v>
      </c>
      <c r="AC54" s="10" t="s">
        <v>41</v>
      </c>
      <c r="AD54" s="11">
        <v>0</v>
      </c>
      <c r="AE54" s="10" t="s">
        <v>41</v>
      </c>
    </row>
    <row r="55" spans="1:31" x14ac:dyDescent="0.2">
      <c r="A55" s="9" t="s">
        <v>99</v>
      </c>
      <c r="B55" s="13" t="s">
        <v>57</v>
      </c>
      <c r="C55" s="13" t="s">
        <v>41</v>
      </c>
      <c r="D55" s="14">
        <v>0</v>
      </c>
      <c r="E55" s="13" t="s">
        <v>41</v>
      </c>
      <c r="F55" s="14">
        <v>0</v>
      </c>
      <c r="G55" s="13" t="s">
        <v>41</v>
      </c>
      <c r="H55" s="14">
        <v>0</v>
      </c>
      <c r="I55" s="13" t="s">
        <v>41</v>
      </c>
      <c r="J55" s="14">
        <v>0</v>
      </c>
      <c r="K55" s="13" t="s">
        <v>41</v>
      </c>
      <c r="L55" s="14">
        <v>0</v>
      </c>
      <c r="M55" s="13" t="s">
        <v>41</v>
      </c>
      <c r="N55" s="14">
        <v>0</v>
      </c>
      <c r="O55" s="13" t="s">
        <v>41</v>
      </c>
      <c r="P55" s="14">
        <v>0</v>
      </c>
      <c r="Q55" s="13" t="s">
        <v>41</v>
      </c>
      <c r="R55" s="14">
        <v>0</v>
      </c>
      <c r="S55" s="13" t="s">
        <v>41</v>
      </c>
      <c r="T55" s="14">
        <v>0</v>
      </c>
      <c r="U55" s="13" t="s">
        <v>41</v>
      </c>
      <c r="V55" s="14">
        <v>0</v>
      </c>
      <c r="W55" s="13" t="s">
        <v>41</v>
      </c>
      <c r="X55" s="14">
        <v>0</v>
      </c>
      <c r="Y55" s="13" t="s">
        <v>41</v>
      </c>
      <c r="Z55" s="14">
        <v>0</v>
      </c>
      <c r="AA55" s="13" t="s">
        <v>41</v>
      </c>
      <c r="AB55" s="14">
        <v>0</v>
      </c>
      <c r="AC55" s="13" t="s">
        <v>41</v>
      </c>
      <c r="AD55" s="14">
        <v>0</v>
      </c>
      <c r="AE55" s="13" t="s">
        <v>41</v>
      </c>
    </row>
    <row r="56" spans="1:31" x14ac:dyDescent="0.2">
      <c r="A56" s="9" t="s">
        <v>100</v>
      </c>
      <c r="B56" s="10" t="s">
        <v>57</v>
      </c>
      <c r="C56" s="10" t="s">
        <v>41</v>
      </c>
      <c r="D56" s="11">
        <v>0</v>
      </c>
      <c r="E56" s="10" t="s">
        <v>41</v>
      </c>
      <c r="F56" s="11">
        <v>0</v>
      </c>
      <c r="G56" s="10" t="s">
        <v>41</v>
      </c>
      <c r="H56" s="11">
        <v>0</v>
      </c>
      <c r="I56" s="10" t="s">
        <v>41</v>
      </c>
      <c r="J56" s="11">
        <v>0</v>
      </c>
      <c r="K56" s="10" t="s">
        <v>41</v>
      </c>
      <c r="L56" s="11">
        <v>0</v>
      </c>
      <c r="M56" s="10" t="s">
        <v>41</v>
      </c>
      <c r="N56" s="11">
        <v>0</v>
      </c>
      <c r="O56" s="10" t="s">
        <v>41</v>
      </c>
      <c r="P56" s="11">
        <v>0</v>
      </c>
      <c r="Q56" s="10" t="s">
        <v>41</v>
      </c>
      <c r="R56" s="11">
        <v>0</v>
      </c>
      <c r="S56" s="10" t="s">
        <v>41</v>
      </c>
      <c r="T56" s="11">
        <v>0</v>
      </c>
      <c r="U56" s="10" t="s">
        <v>41</v>
      </c>
      <c r="V56" s="11">
        <v>0</v>
      </c>
      <c r="W56" s="10" t="s">
        <v>41</v>
      </c>
      <c r="X56" s="11">
        <v>0</v>
      </c>
      <c r="Y56" s="10" t="s">
        <v>41</v>
      </c>
      <c r="Z56" s="11">
        <v>0</v>
      </c>
      <c r="AA56" s="10" t="s">
        <v>41</v>
      </c>
      <c r="AB56" s="11">
        <v>0</v>
      </c>
      <c r="AC56" s="10" t="s">
        <v>41</v>
      </c>
      <c r="AD56" s="11">
        <v>0</v>
      </c>
      <c r="AE56" s="10" t="s">
        <v>41</v>
      </c>
    </row>
    <row r="57" spans="1:31" x14ac:dyDescent="0.2">
      <c r="A57" s="9" t="s">
        <v>101</v>
      </c>
      <c r="B57" s="13" t="s">
        <v>57</v>
      </c>
      <c r="C57" s="13" t="s">
        <v>41</v>
      </c>
      <c r="D57" s="14">
        <v>0</v>
      </c>
      <c r="E57" s="13" t="s">
        <v>41</v>
      </c>
      <c r="F57" s="14">
        <v>0</v>
      </c>
      <c r="G57" s="13" t="s">
        <v>41</v>
      </c>
      <c r="H57" s="14">
        <v>0</v>
      </c>
      <c r="I57" s="13" t="s">
        <v>41</v>
      </c>
      <c r="J57" s="14">
        <v>0</v>
      </c>
      <c r="K57" s="13" t="s">
        <v>41</v>
      </c>
      <c r="L57" s="14">
        <v>0</v>
      </c>
      <c r="M57" s="13" t="s">
        <v>41</v>
      </c>
      <c r="N57" s="14">
        <v>0</v>
      </c>
      <c r="O57" s="13" t="s">
        <v>41</v>
      </c>
      <c r="P57" s="14">
        <v>0</v>
      </c>
      <c r="Q57" s="13" t="s">
        <v>41</v>
      </c>
      <c r="R57" s="14">
        <v>0</v>
      </c>
      <c r="S57" s="13" t="s">
        <v>41</v>
      </c>
      <c r="T57" s="14">
        <v>0</v>
      </c>
      <c r="U57" s="13" t="s">
        <v>41</v>
      </c>
      <c r="V57" s="14">
        <v>0</v>
      </c>
      <c r="W57" s="13" t="s">
        <v>41</v>
      </c>
      <c r="X57" s="14">
        <v>0</v>
      </c>
      <c r="Y57" s="13" t="s">
        <v>41</v>
      </c>
      <c r="Z57" s="14">
        <v>0</v>
      </c>
      <c r="AA57" s="13" t="s">
        <v>41</v>
      </c>
      <c r="AB57" s="14">
        <v>0</v>
      </c>
      <c r="AC57" s="13" t="s">
        <v>41</v>
      </c>
      <c r="AD57" s="14">
        <v>0</v>
      </c>
      <c r="AE57" s="13" t="s">
        <v>41</v>
      </c>
    </row>
    <row r="58" spans="1:31" x14ac:dyDescent="0.2">
      <c r="A58" s="9" t="s">
        <v>102</v>
      </c>
      <c r="B58" s="10" t="s">
        <v>57</v>
      </c>
      <c r="C58" s="10" t="s">
        <v>41</v>
      </c>
      <c r="D58" s="11">
        <v>0</v>
      </c>
      <c r="E58" s="10" t="s">
        <v>41</v>
      </c>
      <c r="F58" s="11">
        <v>0</v>
      </c>
      <c r="G58" s="10" t="s">
        <v>41</v>
      </c>
      <c r="H58" s="11">
        <v>0</v>
      </c>
      <c r="I58" s="10" t="s">
        <v>41</v>
      </c>
      <c r="J58" s="11">
        <v>0</v>
      </c>
      <c r="K58" s="10" t="s">
        <v>41</v>
      </c>
      <c r="L58" s="11">
        <v>0</v>
      </c>
      <c r="M58" s="10" t="s">
        <v>41</v>
      </c>
      <c r="N58" s="11">
        <v>0</v>
      </c>
      <c r="O58" s="10" t="s">
        <v>41</v>
      </c>
      <c r="P58" s="11">
        <v>0</v>
      </c>
      <c r="Q58" s="10" t="s">
        <v>41</v>
      </c>
      <c r="R58" s="11">
        <v>0</v>
      </c>
      <c r="S58" s="10" t="s">
        <v>41</v>
      </c>
      <c r="T58" s="11">
        <v>0</v>
      </c>
      <c r="U58" s="10" t="s">
        <v>41</v>
      </c>
      <c r="V58" s="11">
        <v>0</v>
      </c>
      <c r="W58" s="10" t="s">
        <v>41</v>
      </c>
      <c r="X58" s="11">
        <v>0</v>
      </c>
      <c r="Y58" s="10" t="s">
        <v>41</v>
      </c>
      <c r="Z58" s="11">
        <v>0</v>
      </c>
      <c r="AA58" s="10" t="s">
        <v>41</v>
      </c>
      <c r="AB58" s="11">
        <v>0</v>
      </c>
      <c r="AC58" s="10" t="s">
        <v>41</v>
      </c>
      <c r="AD58" s="11">
        <v>0</v>
      </c>
      <c r="AE58" s="10" t="s">
        <v>41</v>
      </c>
    </row>
    <row r="59" spans="1:31" x14ac:dyDescent="0.2">
      <c r="A59" s="9" t="s">
        <v>103</v>
      </c>
      <c r="B59" s="13" t="s">
        <v>57</v>
      </c>
      <c r="C59" s="13" t="s">
        <v>41</v>
      </c>
      <c r="D59" s="14">
        <v>0</v>
      </c>
      <c r="E59" s="13" t="s">
        <v>41</v>
      </c>
      <c r="F59" s="15">
        <v>2529.768</v>
      </c>
      <c r="G59" s="13" t="s">
        <v>41</v>
      </c>
      <c r="H59" s="15">
        <v>1203.5409999999999</v>
      </c>
      <c r="I59" s="13" t="s">
        <v>41</v>
      </c>
      <c r="J59" s="13" t="s">
        <v>57</v>
      </c>
      <c r="K59" s="13" t="s">
        <v>41</v>
      </c>
      <c r="L59" s="14">
        <v>980.01</v>
      </c>
      <c r="M59" s="13" t="s">
        <v>41</v>
      </c>
      <c r="N59" s="15">
        <v>243.375</v>
      </c>
      <c r="O59" s="13" t="s">
        <v>41</v>
      </c>
      <c r="P59" s="14">
        <v>0</v>
      </c>
      <c r="Q59" s="13" t="s">
        <v>41</v>
      </c>
      <c r="R59" s="14">
        <v>0</v>
      </c>
      <c r="S59" s="13" t="s">
        <v>41</v>
      </c>
      <c r="T59" s="14">
        <v>0</v>
      </c>
      <c r="U59" s="13" t="s">
        <v>41</v>
      </c>
      <c r="V59" s="14">
        <v>0</v>
      </c>
      <c r="W59" s="13" t="s">
        <v>41</v>
      </c>
      <c r="X59" s="14">
        <v>0</v>
      </c>
      <c r="Y59" s="13" t="s">
        <v>41</v>
      </c>
      <c r="Z59" s="14">
        <v>0</v>
      </c>
      <c r="AA59" s="13" t="s">
        <v>41</v>
      </c>
      <c r="AB59" s="15">
        <v>2047.2670000000001</v>
      </c>
      <c r="AC59" s="13" t="s">
        <v>41</v>
      </c>
      <c r="AD59" s="15">
        <v>99.594999999999999</v>
      </c>
      <c r="AE59" s="13" t="s">
        <v>59</v>
      </c>
    </row>
    <row r="60" spans="1:31" x14ac:dyDescent="0.2">
      <c r="A60" s="9" t="s">
        <v>104</v>
      </c>
      <c r="B60" s="10" t="s">
        <v>57</v>
      </c>
      <c r="C60" s="10" t="s">
        <v>41</v>
      </c>
      <c r="D60" s="11">
        <v>0</v>
      </c>
      <c r="E60" s="10" t="s">
        <v>41</v>
      </c>
      <c r="F60" s="11">
        <v>0</v>
      </c>
      <c r="G60" s="10" t="s">
        <v>41</v>
      </c>
      <c r="H60" s="11">
        <v>0</v>
      </c>
      <c r="I60" s="10" t="s">
        <v>41</v>
      </c>
      <c r="J60" s="11">
        <v>0</v>
      </c>
      <c r="K60" s="10" t="s">
        <v>41</v>
      </c>
      <c r="L60" s="11">
        <v>0</v>
      </c>
      <c r="M60" s="10" t="s">
        <v>41</v>
      </c>
      <c r="N60" s="11">
        <v>0</v>
      </c>
      <c r="O60" s="10" t="s">
        <v>41</v>
      </c>
      <c r="P60" s="11">
        <v>0</v>
      </c>
      <c r="Q60" s="10" t="s">
        <v>41</v>
      </c>
      <c r="R60" s="11">
        <v>0</v>
      </c>
      <c r="S60" s="10" t="s">
        <v>41</v>
      </c>
      <c r="T60" s="11">
        <v>0</v>
      </c>
      <c r="U60" s="10" t="s">
        <v>41</v>
      </c>
      <c r="V60" s="11">
        <v>0</v>
      </c>
      <c r="W60" s="10" t="s">
        <v>41</v>
      </c>
      <c r="X60" s="11">
        <v>0</v>
      </c>
      <c r="Y60" s="10" t="s">
        <v>41</v>
      </c>
      <c r="Z60" s="11">
        <v>0</v>
      </c>
      <c r="AA60" s="10" t="s">
        <v>41</v>
      </c>
      <c r="AB60" s="11">
        <v>0</v>
      </c>
      <c r="AC60" s="10" t="s">
        <v>41</v>
      </c>
      <c r="AD60" s="11">
        <v>0</v>
      </c>
      <c r="AE60" s="10" t="s">
        <v>41</v>
      </c>
    </row>
    <row r="61" spans="1:31" x14ac:dyDescent="0.2">
      <c r="A61" s="9" t="s">
        <v>105</v>
      </c>
      <c r="B61" s="13" t="s">
        <v>57</v>
      </c>
      <c r="C61" s="13" t="s">
        <v>41</v>
      </c>
      <c r="D61" s="14">
        <v>0</v>
      </c>
      <c r="E61" s="13" t="s">
        <v>41</v>
      </c>
      <c r="F61" s="14">
        <v>0</v>
      </c>
      <c r="G61" s="13" t="s">
        <v>41</v>
      </c>
      <c r="H61" s="14">
        <v>0</v>
      </c>
      <c r="I61" s="13" t="s">
        <v>41</v>
      </c>
      <c r="J61" s="14">
        <v>0</v>
      </c>
      <c r="K61" s="13" t="s">
        <v>41</v>
      </c>
      <c r="L61" s="14">
        <v>0</v>
      </c>
      <c r="M61" s="13" t="s">
        <v>41</v>
      </c>
      <c r="N61" s="14">
        <v>0</v>
      </c>
      <c r="O61" s="13" t="s">
        <v>41</v>
      </c>
      <c r="P61" s="14">
        <v>0</v>
      </c>
      <c r="Q61" s="13" t="s">
        <v>41</v>
      </c>
      <c r="R61" s="14">
        <v>0</v>
      </c>
      <c r="S61" s="13" t="s">
        <v>41</v>
      </c>
      <c r="T61" s="14">
        <v>0</v>
      </c>
      <c r="U61" s="13" t="s">
        <v>41</v>
      </c>
      <c r="V61" s="14">
        <v>0</v>
      </c>
      <c r="W61" s="13" t="s">
        <v>41</v>
      </c>
      <c r="X61" s="14">
        <v>0</v>
      </c>
      <c r="Y61" s="13" t="s">
        <v>41</v>
      </c>
      <c r="Z61" s="14">
        <v>0</v>
      </c>
      <c r="AA61" s="13" t="s">
        <v>41</v>
      </c>
      <c r="AB61" s="14">
        <v>0</v>
      </c>
      <c r="AC61" s="13" t="s">
        <v>41</v>
      </c>
      <c r="AD61" s="14">
        <v>0</v>
      </c>
      <c r="AE61" s="13" t="s">
        <v>41</v>
      </c>
    </row>
    <row r="62" spans="1:31" x14ac:dyDescent="0.2">
      <c r="A62" s="9" t="s">
        <v>106</v>
      </c>
      <c r="B62" s="10" t="s">
        <v>57</v>
      </c>
      <c r="C62" s="10" t="s">
        <v>41</v>
      </c>
      <c r="D62" s="11">
        <v>0</v>
      </c>
      <c r="E62" s="10" t="s">
        <v>41</v>
      </c>
      <c r="F62" s="11">
        <v>0</v>
      </c>
      <c r="G62" s="10" t="s">
        <v>41</v>
      </c>
      <c r="H62" s="11">
        <v>0</v>
      </c>
      <c r="I62" s="10" t="s">
        <v>41</v>
      </c>
      <c r="J62" s="11">
        <v>0</v>
      </c>
      <c r="K62" s="10" t="s">
        <v>41</v>
      </c>
      <c r="L62" s="11">
        <v>0</v>
      </c>
      <c r="M62" s="10" t="s">
        <v>41</v>
      </c>
      <c r="N62" s="11">
        <v>0</v>
      </c>
      <c r="O62" s="10" t="s">
        <v>41</v>
      </c>
      <c r="P62" s="11">
        <v>0</v>
      </c>
      <c r="Q62" s="10" t="s">
        <v>41</v>
      </c>
      <c r="R62" s="11">
        <v>0</v>
      </c>
      <c r="S62" s="10" t="s">
        <v>41</v>
      </c>
      <c r="T62" s="11">
        <v>0</v>
      </c>
      <c r="U62" s="10" t="s">
        <v>41</v>
      </c>
      <c r="V62" s="11">
        <v>0</v>
      </c>
      <c r="W62" s="10" t="s">
        <v>41</v>
      </c>
      <c r="X62" s="11">
        <v>0</v>
      </c>
      <c r="Y62" s="10" t="s">
        <v>41</v>
      </c>
      <c r="Z62" s="11">
        <v>0</v>
      </c>
      <c r="AA62" s="10" t="s">
        <v>41</v>
      </c>
      <c r="AB62" s="11">
        <v>0</v>
      </c>
      <c r="AC62" s="10" t="s">
        <v>41</v>
      </c>
      <c r="AD62" s="11">
        <v>0</v>
      </c>
      <c r="AE62" s="10" t="s">
        <v>41</v>
      </c>
    </row>
    <row r="63" spans="1:31" x14ac:dyDescent="0.2">
      <c r="A63" s="9" t="s">
        <v>107</v>
      </c>
      <c r="B63" s="13" t="s">
        <v>57</v>
      </c>
      <c r="C63" s="13" t="s">
        <v>41</v>
      </c>
      <c r="D63" s="14">
        <v>0</v>
      </c>
      <c r="E63" s="13" t="s">
        <v>41</v>
      </c>
      <c r="F63" s="14">
        <v>0</v>
      </c>
      <c r="G63" s="13" t="s">
        <v>41</v>
      </c>
      <c r="H63" s="14">
        <v>0</v>
      </c>
      <c r="I63" s="13" t="s">
        <v>41</v>
      </c>
      <c r="J63" s="14">
        <v>0</v>
      </c>
      <c r="K63" s="13" t="s">
        <v>41</v>
      </c>
      <c r="L63" s="14">
        <v>0</v>
      </c>
      <c r="M63" s="13" t="s">
        <v>41</v>
      </c>
      <c r="N63" s="14">
        <v>0</v>
      </c>
      <c r="O63" s="13" t="s">
        <v>41</v>
      </c>
      <c r="P63" s="14">
        <v>0</v>
      </c>
      <c r="Q63" s="13" t="s">
        <v>41</v>
      </c>
      <c r="R63" s="14">
        <v>0</v>
      </c>
      <c r="S63" s="13" t="s">
        <v>41</v>
      </c>
      <c r="T63" s="14">
        <v>0</v>
      </c>
      <c r="U63" s="13" t="s">
        <v>41</v>
      </c>
      <c r="V63" s="14">
        <v>0</v>
      </c>
      <c r="W63" s="13" t="s">
        <v>41</v>
      </c>
      <c r="X63" s="14">
        <v>0</v>
      </c>
      <c r="Y63" s="13" t="s">
        <v>41</v>
      </c>
      <c r="Z63" s="14">
        <v>0</v>
      </c>
      <c r="AA63" s="13" t="s">
        <v>41</v>
      </c>
      <c r="AB63" s="14">
        <v>0</v>
      </c>
      <c r="AC63" s="13" t="s">
        <v>41</v>
      </c>
      <c r="AD63" s="14">
        <v>0</v>
      </c>
      <c r="AE63" s="13" t="s">
        <v>41</v>
      </c>
    </row>
    <row r="64" spans="1:31" x14ac:dyDescent="0.2">
      <c r="A64" s="9" t="s">
        <v>108</v>
      </c>
      <c r="B64" s="10" t="s">
        <v>57</v>
      </c>
      <c r="C64" s="10" t="s">
        <v>41</v>
      </c>
      <c r="D64" s="11">
        <v>0</v>
      </c>
      <c r="E64" s="10" t="s">
        <v>41</v>
      </c>
      <c r="F64" s="12">
        <v>5465.8140000000003</v>
      </c>
      <c r="G64" s="10" t="s">
        <v>41</v>
      </c>
      <c r="H64" s="12">
        <v>850.17600000000004</v>
      </c>
      <c r="I64" s="10" t="s">
        <v>41</v>
      </c>
      <c r="J64" s="10" t="s">
        <v>57</v>
      </c>
      <c r="K64" s="10" t="s">
        <v>41</v>
      </c>
      <c r="L64" s="12">
        <v>632.00800000000004</v>
      </c>
      <c r="M64" s="10" t="s">
        <v>41</v>
      </c>
      <c r="N64" s="12">
        <v>251.035</v>
      </c>
      <c r="O64" s="10" t="s">
        <v>41</v>
      </c>
      <c r="P64" s="11">
        <v>0</v>
      </c>
      <c r="Q64" s="10" t="s">
        <v>41</v>
      </c>
      <c r="R64" s="11">
        <v>0</v>
      </c>
      <c r="S64" s="10" t="s">
        <v>41</v>
      </c>
      <c r="T64" s="11">
        <v>0</v>
      </c>
      <c r="U64" s="10" t="s">
        <v>41</v>
      </c>
      <c r="V64" s="11">
        <v>0</v>
      </c>
      <c r="W64" s="10" t="s">
        <v>41</v>
      </c>
      <c r="X64" s="11">
        <v>0</v>
      </c>
      <c r="Y64" s="10" t="s">
        <v>41</v>
      </c>
      <c r="Z64" s="11">
        <v>0</v>
      </c>
      <c r="AA64" s="10" t="s">
        <v>41</v>
      </c>
      <c r="AB64" s="12">
        <v>10322.182000000001</v>
      </c>
      <c r="AC64" s="10" t="s">
        <v>41</v>
      </c>
      <c r="AD64" s="12">
        <v>675.31799999999998</v>
      </c>
      <c r="AE64" s="10" t="s">
        <v>59</v>
      </c>
    </row>
    <row r="65" spans="1:31" x14ac:dyDescent="0.2">
      <c r="A65" s="9" t="s">
        <v>109</v>
      </c>
      <c r="B65" s="13" t="s">
        <v>57</v>
      </c>
      <c r="C65" s="13" t="s">
        <v>41</v>
      </c>
      <c r="D65" s="14">
        <v>0</v>
      </c>
      <c r="E65" s="13" t="s">
        <v>41</v>
      </c>
      <c r="F65" s="15">
        <v>6888.7139999999999</v>
      </c>
      <c r="G65" s="13" t="s">
        <v>41</v>
      </c>
      <c r="H65" s="14">
        <v>0</v>
      </c>
      <c r="I65" s="13" t="s">
        <v>41</v>
      </c>
      <c r="J65" s="13" t="s">
        <v>57</v>
      </c>
      <c r="K65" s="13" t="s">
        <v>41</v>
      </c>
      <c r="L65" s="14">
        <v>0</v>
      </c>
      <c r="M65" s="13" t="s">
        <v>41</v>
      </c>
      <c r="N65" s="14">
        <v>542.91999999999996</v>
      </c>
      <c r="O65" s="13" t="s">
        <v>41</v>
      </c>
      <c r="P65" s="14">
        <v>0</v>
      </c>
      <c r="Q65" s="13" t="s">
        <v>41</v>
      </c>
      <c r="R65" s="14">
        <v>0</v>
      </c>
      <c r="S65" s="13" t="s">
        <v>41</v>
      </c>
      <c r="T65" s="14">
        <v>0</v>
      </c>
      <c r="U65" s="13" t="s">
        <v>41</v>
      </c>
      <c r="V65" s="14">
        <v>0</v>
      </c>
      <c r="W65" s="13" t="s">
        <v>41</v>
      </c>
      <c r="X65" s="14">
        <v>0</v>
      </c>
      <c r="Y65" s="13" t="s">
        <v>41</v>
      </c>
      <c r="Z65" s="14">
        <v>0</v>
      </c>
      <c r="AA65" s="13" t="s">
        <v>41</v>
      </c>
      <c r="AB65" s="15">
        <v>5668.5529999999999</v>
      </c>
      <c r="AC65" s="13" t="s">
        <v>41</v>
      </c>
      <c r="AD65" s="15">
        <v>1189.194</v>
      </c>
      <c r="AE65" s="13" t="s">
        <v>59</v>
      </c>
    </row>
    <row r="66" spans="1:31" x14ac:dyDescent="0.2">
      <c r="A66" s="9" t="s">
        <v>110</v>
      </c>
      <c r="B66" s="10" t="s">
        <v>57</v>
      </c>
      <c r="C66" s="10" t="s">
        <v>41</v>
      </c>
      <c r="D66" s="11">
        <v>0</v>
      </c>
      <c r="E66" s="10" t="s">
        <v>41</v>
      </c>
      <c r="F66" s="12">
        <v>16184.858</v>
      </c>
      <c r="G66" s="10" t="s">
        <v>41</v>
      </c>
      <c r="H66" s="11">
        <v>0</v>
      </c>
      <c r="I66" s="10" t="s">
        <v>41</v>
      </c>
      <c r="J66" s="10" t="s">
        <v>57</v>
      </c>
      <c r="K66" s="10" t="s">
        <v>41</v>
      </c>
      <c r="L66" s="11">
        <v>0</v>
      </c>
      <c r="M66" s="10" t="s">
        <v>41</v>
      </c>
      <c r="N66" s="12">
        <v>1466.511</v>
      </c>
      <c r="O66" s="10" t="s">
        <v>41</v>
      </c>
      <c r="P66" s="11">
        <v>0</v>
      </c>
      <c r="Q66" s="10" t="s">
        <v>41</v>
      </c>
      <c r="R66" s="11">
        <v>0</v>
      </c>
      <c r="S66" s="10" t="s">
        <v>41</v>
      </c>
      <c r="T66" s="11">
        <v>0</v>
      </c>
      <c r="U66" s="10" t="s">
        <v>41</v>
      </c>
      <c r="V66" s="11">
        <v>0</v>
      </c>
      <c r="W66" s="10" t="s">
        <v>41</v>
      </c>
      <c r="X66" s="11">
        <v>0</v>
      </c>
      <c r="Y66" s="10" t="s">
        <v>41</v>
      </c>
      <c r="Z66" s="11">
        <v>0</v>
      </c>
      <c r="AA66" s="10" t="s">
        <v>41</v>
      </c>
      <c r="AB66" s="12">
        <v>12051.054</v>
      </c>
      <c r="AC66" s="10" t="s">
        <v>41</v>
      </c>
      <c r="AD66" s="12">
        <v>2449.9609999999998</v>
      </c>
      <c r="AE66" s="10" t="s">
        <v>59</v>
      </c>
    </row>
    <row r="67" spans="1:31" x14ac:dyDescent="0.2">
      <c r="A67" s="9" t="s">
        <v>111</v>
      </c>
      <c r="B67" s="13" t="s">
        <v>57</v>
      </c>
      <c r="C67" s="13" t="s">
        <v>41</v>
      </c>
      <c r="D67" s="14">
        <v>0</v>
      </c>
      <c r="E67" s="13" t="s">
        <v>41</v>
      </c>
      <c r="F67" s="15">
        <v>5764.0410000000002</v>
      </c>
      <c r="G67" s="13" t="s">
        <v>41</v>
      </c>
      <c r="H67" s="14">
        <v>0</v>
      </c>
      <c r="I67" s="13" t="s">
        <v>41</v>
      </c>
      <c r="J67" s="13" t="s">
        <v>57</v>
      </c>
      <c r="K67" s="13" t="s">
        <v>41</v>
      </c>
      <c r="L67" s="14">
        <v>0</v>
      </c>
      <c r="M67" s="13" t="s">
        <v>41</v>
      </c>
      <c r="N67" s="15">
        <v>1466.511</v>
      </c>
      <c r="O67" s="13" t="s">
        <v>41</v>
      </c>
      <c r="P67" s="14">
        <v>0</v>
      </c>
      <c r="Q67" s="13" t="s">
        <v>41</v>
      </c>
      <c r="R67" s="14">
        <v>0</v>
      </c>
      <c r="S67" s="13" t="s">
        <v>41</v>
      </c>
      <c r="T67" s="14">
        <v>0</v>
      </c>
      <c r="U67" s="13" t="s">
        <v>41</v>
      </c>
      <c r="V67" s="14">
        <v>0</v>
      </c>
      <c r="W67" s="13" t="s">
        <v>41</v>
      </c>
      <c r="X67" s="14">
        <v>0</v>
      </c>
      <c r="Y67" s="13" t="s">
        <v>41</v>
      </c>
      <c r="Z67" s="14">
        <v>0</v>
      </c>
      <c r="AA67" s="13" t="s">
        <v>41</v>
      </c>
      <c r="AB67" s="14">
        <v>5560.56</v>
      </c>
      <c r="AC67" s="13" t="s">
        <v>41</v>
      </c>
      <c r="AD67" s="15">
        <v>524.38800000000003</v>
      </c>
      <c r="AE67" s="13" t="s">
        <v>59</v>
      </c>
    </row>
    <row r="68" spans="1:31" x14ac:dyDescent="0.2">
      <c r="A68" s="9" t="s">
        <v>112</v>
      </c>
      <c r="B68" s="10" t="s">
        <v>57</v>
      </c>
      <c r="C68" s="10" t="s">
        <v>41</v>
      </c>
      <c r="D68" s="11">
        <v>0</v>
      </c>
      <c r="E68" s="10" t="s">
        <v>41</v>
      </c>
      <c r="F68" s="12">
        <v>5254.9620000000004</v>
      </c>
      <c r="G68" s="10" t="s">
        <v>41</v>
      </c>
      <c r="H68" s="12">
        <v>1157.133</v>
      </c>
      <c r="I68" s="10" t="s">
        <v>41</v>
      </c>
      <c r="J68" s="10" t="s">
        <v>57</v>
      </c>
      <c r="K68" s="10" t="s">
        <v>41</v>
      </c>
      <c r="L68" s="11">
        <v>0</v>
      </c>
      <c r="M68" s="10" t="s">
        <v>41</v>
      </c>
      <c r="N68" s="12">
        <v>517.81700000000001</v>
      </c>
      <c r="O68" s="10" t="s">
        <v>41</v>
      </c>
      <c r="P68" s="11">
        <v>0</v>
      </c>
      <c r="Q68" s="10" t="s">
        <v>41</v>
      </c>
      <c r="R68" s="11">
        <v>0</v>
      </c>
      <c r="S68" s="10" t="s">
        <v>41</v>
      </c>
      <c r="T68" s="11">
        <v>0</v>
      </c>
      <c r="U68" s="10" t="s">
        <v>41</v>
      </c>
      <c r="V68" s="11">
        <v>0</v>
      </c>
      <c r="W68" s="10" t="s">
        <v>41</v>
      </c>
      <c r="X68" s="11">
        <v>0</v>
      </c>
      <c r="Y68" s="10" t="s">
        <v>41</v>
      </c>
      <c r="Z68" s="11">
        <v>0</v>
      </c>
      <c r="AA68" s="10" t="s">
        <v>41</v>
      </c>
      <c r="AB68" s="12">
        <v>4995.8760000000002</v>
      </c>
      <c r="AC68" s="10" t="s">
        <v>41</v>
      </c>
      <c r="AD68" s="12">
        <v>567.73099999999999</v>
      </c>
      <c r="AE68" s="10" t="s">
        <v>59</v>
      </c>
    </row>
    <row r="69" spans="1:31" x14ac:dyDescent="0.2">
      <c r="A69" s="9" t="s">
        <v>113</v>
      </c>
      <c r="B69" s="13" t="s">
        <v>57</v>
      </c>
      <c r="C69" s="13" t="s">
        <v>41</v>
      </c>
      <c r="D69" s="14">
        <v>0</v>
      </c>
      <c r="E69" s="13" t="s">
        <v>41</v>
      </c>
      <c r="F69" s="15">
        <v>2306.7550000000001</v>
      </c>
      <c r="G69" s="13" t="s">
        <v>41</v>
      </c>
      <c r="H69" s="14">
        <v>0</v>
      </c>
      <c r="I69" s="13" t="s">
        <v>41</v>
      </c>
      <c r="J69" s="14">
        <v>0</v>
      </c>
      <c r="K69" s="13" t="s">
        <v>41</v>
      </c>
      <c r="L69" s="14">
        <v>0</v>
      </c>
      <c r="M69" s="13" t="s">
        <v>41</v>
      </c>
      <c r="N69" s="14">
        <v>0</v>
      </c>
      <c r="O69" s="13" t="s">
        <v>41</v>
      </c>
      <c r="P69" s="14">
        <v>0</v>
      </c>
      <c r="Q69" s="13" t="s">
        <v>41</v>
      </c>
      <c r="R69" s="14">
        <v>0</v>
      </c>
      <c r="S69" s="13" t="s">
        <v>41</v>
      </c>
      <c r="T69" s="14">
        <v>0</v>
      </c>
      <c r="U69" s="13" t="s">
        <v>41</v>
      </c>
      <c r="V69" s="14">
        <v>0</v>
      </c>
      <c r="W69" s="13" t="s">
        <v>41</v>
      </c>
      <c r="X69" s="14">
        <v>0</v>
      </c>
      <c r="Y69" s="13" t="s">
        <v>41</v>
      </c>
      <c r="Z69" s="14">
        <v>0</v>
      </c>
      <c r="AA69" s="13" t="s">
        <v>41</v>
      </c>
      <c r="AB69" s="15">
        <v>2129.7280000000001</v>
      </c>
      <c r="AC69" s="13" t="s">
        <v>41</v>
      </c>
      <c r="AD69" s="15">
        <v>313.69900000000001</v>
      </c>
      <c r="AE69" s="13" t="s">
        <v>59</v>
      </c>
    </row>
    <row r="70" spans="1:31" x14ac:dyDescent="0.2">
      <c r="A70" s="9" t="s">
        <v>114</v>
      </c>
      <c r="B70" s="10" t="s">
        <v>57</v>
      </c>
      <c r="C70" s="10" t="s">
        <v>41</v>
      </c>
      <c r="D70" s="11">
        <v>0</v>
      </c>
      <c r="E70" s="10" t="s">
        <v>41</v>
      </c>
      <c r="F70" s="12">
        <v>2948.2069999999999</v>
      </c>
      <c r="G70" s="10" t="s">
        <v>41</v>
      </c>
      <c r="H70" s="12">
        <v>1157.133</v>
      </c>
      <c r="I70" s="10" t="s">
        <v>41</v>
      </c>
      <c r="J70" s="10" t="s">
        <v>57</v>
      </c>
      <c r="K70" s="10" t="s">
        <v>41</v>
      </c>
      <c r="L70" s="11">
        <v>0</v>
      </c>
      <c r="M70" s="10" t="s">
        <v>41</v>
      </c>
      <c r="N70" s="12">
        <v>517.81700000000001</v>
      </c>
      <c r="O70" s="10" t="s">
        <v>41</v>
      </c>
      <c r="P70" s="11">
        <v>0</v>
      </c>
      <c r="Q70" s="10" t="s">
        <v>41</v>
      </c>
      <c r="R70" s="11">
        <v>0</v>
      </c>
      <c r="S70" s="10" t="s">
        <v>41</v>
      </c>
      <c r="T70" s="11">
        <v>0</v>
      </c>
      <c r="U70" s="10" t="s">
        <v>41</v>
      </c>
      <c r="V70" s="11">
        <v>0</v>
      </c>
      <c r="W70" s="10" t="s">
        <v>41</v>
      </c>
      <c r="X70" s="11">
        <v>0</v>
      </c>
      <c r="Y70" s="10" t="s">
        <v>41</v>
      </c>
      <c r="Z70" s="11">
        <v>0</v>
      </c>
      <c r="AA70" s="10" t="s">
        <v>41</v>
      </c>
      <c r="AB70" s="12">
        <v>2866.1469999999999</v>
      </c>
      <c r="AC70" s="10" t="s">
        <v>41</v>
      </c>
      <c r="AD70" s="12">
        <v>254.03200000000001</v>
      </c>
      <c r="AE70" s="10" t="s">
        <v>59</v>
      </c>
    </row>
    <row r="71" spans="1:31" x14ac:dyDescent="0.2">
      <c r="A71" s="9" t="s">
        <v>115</v>
      </c>
      <c r="B71" s="13" t="s">
        <v>57</v>
      </c>
      <c r="C71" s="13" t="s">
        <v>41</v>
      </c>
      <c r="D71" s="14">
        <v>0</v>
      </c>
      <c r="E71" s="13" t="s">
        <v>41</v>
      </c>
      <c r="F71" s="14">
        <v>0</v>
      </c>
      <c r="G71" s="13" t="s">
        <v>41</v>
      </c>
      <c r="H71" s="14">
        <v>0</v>
      </c>
      <c r="I71" s="13" t="s">
        <v>41</v>
      </c>
      <c r="J71" s="14">
        <v>0</v>
      </c>
      <c r="K71" s="13" t="s">
        <v>41</v>
      </c>
      <c r="L71" s="14">
        <v>0</v>
      </c>
      <c r="M71" s="13" t="s">
        <v>41</v>
      </c>
      <c r="N71" s="14">
        <v>0</v>
      </c>
      <c r="O71" s="13" t="s">
        <v>41</v>
      </c>
      <c r="P71" s="14">
        <v>0</v>
      </c>
      <c r="Q71" s="13" t="s">
        <v>41</v>
      </c>
      <c r="R71" s="14">
        <v>0</v>
      </c>
      <c r="S71" s="13" t="s">
        <v>41</v>
      </c>
      <c r="T71" s="14">
        <v>0</v>
      </c>
      <c r="U71" s="13" t="s">
        <v>41</v>
      </c>
      <c r="V71" s="14">
        <v>0</v>
      </c>
      <c r="W71" s="13" t="s">
        <v>41</v>
      </c>
      <c r="X71" s="14">
        <v>0</v>
      </c>
      <c r="Y71" s="13" t="s">
        <v>41</v>
      </c>
      <c r="Z71" s="14">
        <v>0</v>
      </c>
      <c r="AA71" s="13" t="s">
        <v>41</v>
      </c>
      <c r="AB71" s="14">
        <v>0</v>
      </c>
      <c r="AC71" s="13" t="s">
        <v>41</v>
      </c>
      <c r="AD71" s="14">
        <v>0</v>
      </c>
      <c r="AE71" s="13" t="s">
        <v>41</v>
      </c>
    </row>
    <row r="72" spans="1:31" x14ac:dyDescent="0.2">
      <c r="A72" s="9" t="s">
        <v>116</v>
      </c>
      <c r="B72" s="10" t="s">
        <v>57</v>
      </c>
      <c r="C72" s="10" t="s">
        <v>41</v>
      </c>
      <c r="D72" s="11">
        <v>0</v>
      </c>
      <c r="E72" s="10" t="s">
        <v>41</v>
      </c>
      <c r="F72" s="12">
        <v>170.59299999999999</v>
      </c>
      <c r="G72" s="10" t="s">
        <v>41</v>
      </c>
      <c r="H72" s="11">
        <v>0</v>
      </c>
      <c r="I72" s="10" t="s">
        <v>41</v>
      </c>
      <c r="J72" s="10" t="s">
        <v>57</v>
      </c>
      <c r="K72" s="10" t="s">
        <v>41</v>
      </c>
      <c r="L72" s="11">
        <v>0</v>
      </c>
      <c r="M72" s="10" t="s">
        <v>41</v>
      </c>
      <c r="N72" s="11">
        <v>0</v>
      </c>
      <c r="O72" s="10" t="s">
        <v>41</v>
      </c>
      <c r="P72" s="11">
        <v>0</v>
      </c>
      <c r="Q72" s="10" t="s">
        <v>41</v>
      </c>
      <c r="R72" s="11">
        <v>0</v>
      </c>
      <c r="S72" s="10" t="s">
        <v>41</v>
      </c>
      <c r="T72" s="11">
        <v>0</v>
      </c>
      <c r="U72" s="10" t="s">
        <v>41</v>
      </c>
      <c r="V72" s="11">
        <v>0</v>
      </c>
      <c r="W72" s="10" t="s">
        <v>41</v>
      </c>
      <c r="X72" s="11">
        <v>0</v>
      </c>
      <c r="Y72" s="10" t="s">
        <v>41</v>
      </c>
      <c r="Z72" s="11">
        <v>0</v>
      </c>
      <c r="AA72" s="10" t="s">
        <v>41</v>
      </c>
      <c r="AB72" s="12">
        <v>143.482</v>
      </c>
      <c r="AC72" s="10" t="s">
        <v>41</v>
      </c>
      <c r="AD72" s="11">
        <v>0</v>
      </c>
      <c r="AE72" s="10" t="s">
        <v>59</v>
      </c>
    </row>
    <row r="73" spans="1:31" x14ac:dyDescent="0.2">
      <c r="A73" s="9" t="s">
        <v>117</v>
      </c>
      <c r="B73" s="13" t="s">
        <v>57</v>
      </c>
      <c r="C73" s="13" t="s">
        <v>41</v>
      </c>
      <c r="D73" s="14">
        <v>0</v>
      </c>
      <c r="E73" s="13" t="s">
        <v>41</v>
      </c>
      <c r="F73" s="14">
        <v>0</v>
      </c>
      <c r="G73" s="13" t="s">
        <v>41</v>
      </c>
      <c r="H73" s="14">
        <v>0</v>
      </c>
      <c r="I73" s="13" t="s">
        <v>41</v>
      </c>
      <c r="J73" s="14">
        <v>0</v>
      </c>
      <c r="K73" s="13" t="s">
        <v>41</v>
      </c>
      <c r="L73" s="14">
        <v>0</v>
      </c>
      <c r="M73" s="13" t="s">
        <v>41</v>
      </c>
      <c r="N73" s="14">
        <v>0</v>
      </c>
      <c r="O73" s="13" t="s">
        <v>41</v>
      </c>
      <c r="P73" s="14">
        <v>0</v>
      </c>
      <c r="Q73" s="13" t="s">
        <v>41</v>
      </c>
      <c r="R73" s="14">
        <v>0</v>
      </c>
      <c r="S73" s="13" t="s">
        <v>41</v>
      </c>
      <c r="T73" s="14">
        <v>0</v>
      </c>
      <c r="U73" s="13" t="s">
        <v>41</v>
      </c>
      <c r="V73" s="14">
        <v>0</v>
      </c>
      <c r="W73" s="13" t="s">
        <v>41</v>
      </c>
      <c r="X73" s="14">
        <v>0</v>
      </c>
      <c r="Y73" s="13" t="s">
        <v>41</v>
      </c>
      <c r="Z73" s="14">
        <v>0</v>
      </c>
      <c r="AA73" s="13" t="s">
        <v>41</v>
      </c>
      <c r="AB73" s="14">
        <v>0</v>
      </c>
      <c r="AC73" s="13" t="s">
        <v>41</v>
      </c>
      <c r="AD73" s="14">
        <v>0</v>
      </c>
      <c r="AE73" s="13" t="s">
        <v>41</v>
      </c>
    </row>
    <row r="75" spans="1:31" x14ac:dyDescent="0.2">
      <c r="A75" s="5" t="s">
        <v>118</v>
      </c>
    </row>
    <row r="76" spans="1:31" x14ac:dyDescent="0.2">
      <c r="A76" s="5" t="s">
        <v>57</v>
      </c>
      <c r="B76" s="3" t="s">
        <v>119</v>
      </c>
    </row>
    <row r="77" spans="1:31" x14ac:dyDescent="0.2">
      <c r="A77" s="5" t="s">
        <v>120</v>
      </c>
    </row>
    <row r="78" spans="1:31" x14ac:dyDescent="0.2">
      <c r="A78" s="5" t="s">
        <v>59</v>
      </c>
      <c r="B78" s="3" t="s">
        <v>121</v>
      </c>
    </row>
  </sheetData>
  <mergeCells count="15">
    <mergeCell ref="L12:M12"/>
    <mergeCell ref="B12:C12"/>
    <mergeCell ref="D12:E12"/>
    <mergeCell ref="F12:G12"/>
    <mergeCell ref="H12:I12"/>
    <mergeCell ref="J12:K12"/>
    <mergeCell ref="Z12:AA12"/>
    <mergeCell ref="AB12:AC12"/>
    <mergeCell ref="AD12:AE12"/>
    <mergeCell ref="N12:O12"/>
    <mergeCell ref="P12:Q12"/>
    <mergeCell ref="R12:S12"/>
    <mergeCell ref="T12:U12"/>
    <mergeCell ref="V12:W12"/>
    <mergeCell ref="X12:Y12"/>
  </mergeCells>
  <hyperlinks>
    <hyperlink ref="A10" r:id="rId1" xr:uid="{6B8183E2-6602-B64C-99A8-4CED31AB9A8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5A83-6180-E342-A4B0-3708BF439D69}">
  <sheetPr codeName="Sheet3"/>
  <dimension ref="A1:D22"/>
  <sheetViews>
    <sheetView zoomScale="125" workbookViewId="0">
      <selection activeCell="D54" sqref="D54"/>
    </sheetView>
  </sheetViews>
  <sheetFormatPr baseColWidth="10" defaultColWidth="8.5" defaultRowHeight="15" x14ac:dyDescent="0.2"/>
  <cols>
    <col min="1" max="1" width="38.83203125" style="4" bestFit="1" customWidth="1" collapsed="1"/>
    <col min="2" max="16384" width="8.5" style="4"/>
  </cols>
  <sheetData>
    <row r="1" spans="1:4" x14ac:dyDescent="0.2">
      <c r="A1" s="18" t="s">
        <v>127</v>
      </c>
    </row>
    <row r="2" spans="1:4" x14ac:dyDescent="0.2">
      <c r="A2" s="18" t="s">
        <v>41</v>
      </c>
      <c r="B2" s="18" t="s">
        <v>7</v>
      </c>
      <c r="C2" s="18" t="s">
        <v>38</v>
      </c>
      <c r="D2" s="29"/>
    </row>
    <row r="3" spans="1:4" x14ac:dyDescent="0.2">
      <c r="A3" s="18" t="s">
        <v>128</v>
      </c>
      <c r="B3" s="19">
        <v>148</v>
      </c>
      <c r="C3" s="19">
        <v>128.4</v>
      </c>
      <c r="D3" s="29">
        <f>C3/$C$11</f>
        <v>0.53477717617659315</v>
      </c>
    </row>
    <row r="4" spans="1:4" x14ac:dyDescent="0.2">
      <c r="A4" s="18" t="s">
        <v>129</v>
      </c>
      <c r="B4" s="19">
        <v>19.2</v>
      </c>
      <c r="C4" s="19">
        <v>18.3</v>
      </c>
      <c r="D4" s="29"/>
    </row>
    <row r="5" spans="1:4" x14ac:dyDescent="0.2">
      <c r="A5" s="18" t="s">
        <v>130</v>
      </c>
      <c r="B5" s="19">
        <v>4.4000000000000004</v>
      </c>
      <c r="C5" s="19">
        <v>4.5</v>
      </c>
      <c r="D5" s="29"/>
    </row>
    <row r="6" spans="1:4" x14ac:dyDescent="0.2">
      <c r="A6" s="18" t="s">
        <v>131</v>
      </c>
      <c r="B6" s="19">
        <v>17.5</v>
      </c>
      <c r="C6" s="19">
        <v>17.8</v>
      </c>
      <c r="D6" s="29">
        <f>C6/$C$11</f>
        <v>7.4135776759683469E-2</v>
      </c>
    </row>
    <row r="7" spans="1:4" x14ac:dyDescent="0.2">
      <c r="A7" s="18" t="s">
        <v>132</v>
      </c>
      <c r="B7" s="19">
        <v>14.6</v>
      </c>
      <c r="C7" s="19">
        <v>17.100000000000001</v>
      </c>
      <c r="D7" s="29"/>
    </row>
    <row r="8" spans="1:4" x14ac:dyDescent="0.2">
      <c r="A8" s="18" t="s">
        <v>133</v>
      </c>
      <c r="B8" s="19">
        <v>36.5</v>
      </c>
      <c r="C8" s="19">
        <v>30.8</v>
      </c>
      <c r="D8" s="29">
        <f>C8/$C$11</f>
        <v>0.1282798833819242</v>
      </c>
    </row>
    <row r="9" spans="1:4" x14ac:dyDescent="0.2">
      <c r="A9" s="18" t="s">
        <v>134</v>
      </c>
      <c r="B9" s="19">
        <v>17.8</v>
      </c>
      <c r="C9" s="19">
        <v>20.2</v>
      </c>
    </row>
    <row r="10" spans="1:4" x14ac:dyDescent="0.2">
      <c r="A10" s="18" t="s">
        <v>135</v>
      </c>
      <c r="B10" s="19">
        <v>2.8</v>
      </c>
      <c r="C10" s="19">
        <v>2.9</v>
      </c>
    </row>
    <row r="11" spans="1:4" x14ac:dyDescent="0.2">
      <c r="A11" s="18" t="s">
        <v>8</v>
      </c>
      <c r="B11" s="19">
        <v>260.8</v>
      </c>
      <c r="C11" s="19">
        <v>240.1</v>
      </c>
    </row>
    <row r="13" spans="1:4" x14ac:dyDescent="0.2">
      <c r="A13" s="19" t="s">
        <v>13</v>
      </c>
      <c r="B13" s="19" t="s">
        <v>12</v>
      </c>
    </row>
    <row r="14" spans="1:4" x14ac:dyDescent="0.2">
      <c r="A14" s="19" t="s">
        <v>14</v>
      </c>
      <c r="B14" s="19" t="s">
        <v>136</v>
      </c>
    </row>
    <row r="15" spans="1:4" x14ac:dyDescent="0.2">
      <c r="A15" s="19" t="s">
        <v>137</v>
      </c>
    </row>
    <row r="16" spans="1:4" x14ac:dyDescent="0.2">
      <c r="A16" s="19" t="s">
        <v>138</v>
      </c>
      <c r="B16" s="19" t="s">
        <v>139</v>
      </c>
    </row>
    <row r="18" spans="1:2" x14ac:dyDescent="0.2">
      <c r="A18" s="19" t="s">
        <v>140</v>
      </c>
    </row>
    <row r="20" spans="1:2" x14ac:dyDescent="0.2">
      <c r="A20" s="19" t="s">
        <v>141</v>
      </c>
      <c r="B20" s="19" t="s">
        <v>142</v>
      </c>
    </row>
    <row r="22" spans="1:2" ht="16" x14ac:dyDescent="0.2">
      <c r="A22" s="4" t="s">
        <v>144</v>
      </c>
      <c r="B22" s="16" t="s">
        <v>143</v>
      </c>
    </row>
  </sheetData>
  <hyperlinks>
    <hyperlink ref="B22" r:id="rId1" xr:uid="{70D21542-C2AA-6F49-9B3F-F6FF08ECEF5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B797-9C9D-7541-8C8F-53C221F989CF}">
  <sheetPr codeName="Sheet5"/>
  <dimension ref="A1:L15"/>
  <sheetViews>
    <sheetView workbookViewId="0">
      <selection activeCell="B15" sqref="B15"/>
    </sheetView>
  </sheetViews>
  <sheetFormatPr baseColWidth="10" defaultRowHeight="16" x14ac:dyDescent="0.2"/>
  <cols>
    <col min="1" max="1" width="34" customWidth="1"/>
    <col min="2" max="2" width="41.83203125" customWidth="1"/>
    <col min="3" max="3" width="13" customWidth="1"/>
    <col min="4" max="4" width="44" customWidth="1"/>
    <col min="5" max="5" width="44.83203125" customWidth="1"/>
    <col min="6" max="6" width="51.83203125" bestFit="1" customWidth="1"/>
    <col min="7" max="7" width="71.6640625" bestFit="1" customWidth="1"/>
    <col min="8" max="8" width="72.6640625" bestFit="1" customWidth="1"/>
    <col min="9" max="9" width="72.5" bestFit="1" customWidth="1"/>
    <col min="10" max="10" width="49.1640625" bestFit="1" customWidth="1"/>
    <col min="11" max="11" width="45.6640625" bestFit="1" customWidth="1"/>
    <col min="12" max="12" width="48.33203125" bestFit="1" customWidth="1"/>
  </cols>
  <sheetData>
    <row r="1" spans="1:12" x14ac:dyDescent="0.2">
      <c r="A1" t="s">
        <v>147</v>
      </c>
    </row>
    <row r="3" spans="1:12" x14ac:dyDescent="0.2">
      <c r="D3" t="s">
        <v>148</v>
      </c>
    </row>
    <row r="4" spans="1:12" x14ac:dyDescent="0.2">
      <c r="D4" t="s">
        <v>24</v>
      </c>
      <c r="E4" t="s">
        <v>23</v>
      </c>
      <c r="F4" t="s">
        <v>22</v>
      </c>
      <c r="G4" t="s">
        <v>21</v>
      </c>
      <c r="H4" t="s">
        <v>20</v>
      </c>
      <c r="I4" t="s">
        <v>19</v>
      </c>
      <c r="J4" t="s">
        <v>18</v>
      </c>
      <c r="K4" t="s">
        <v>17</v>
      </c>
      <c r="L4" t="s">
        <v>154</v>
      </c>
    </row>
    <row r="5" spans="1:12" x14ac:dyDescent="0.2">
      <c r="A5" t="s">
        <v>2</v>
      </c>
      <c r="B5" t="s">
        <v>1</v>
      </c>
      <c r="C5" t="s">
        <v>3</v>
      </c>
      <c r="D5" t="s">
        <v>4</v>
      </c>
      <c r="E5" t="s">
        <v>4</v>
      </c>
      <c r="F5" t="s">
        <v>4</v>
      </c>
      <c r="G5" t="s">
        <v>149</v>
      </c>
      <c r="H5" t="s">
        <v>149</v>
      </c>
      <c r="I5" t="s">
        <v>149</v>
      </c>
      <c r="J5" t="s">
        <v>0</v>
      </c>
      <c r="K5" t="s">
        <v>0</v>
      </c>
      <c r="L5" t="s">
        <v>0</v>
      </c>
    </row>
    <row r="6" spans="1:12" x14ac:dyDescent="0.2">
      <c r="A6" t="s">
        <v>6</v>
      </c>
      <c r="B6" t="s">
        <v>16</v>
      </c>
      <c r="C6" t="s">
        <v>155</v>
      </c>
      <c r="D6" t="s">
        <v>156</v>
      </c>
      <c r="E6">
        <v>961</v>
      </c>
      <c r="F6">
        <v>451633</v>
      </c>
      <c r="G6" t="s">
        <v>156</v>
      </c>
      <c r="H6">
        <v>96</v>
      </c>
      <c r="I6">
        <v>6112</v>
      </c>
      <c r="J6">
        <v>15565</v>
      </c>
      <c r="K6">
        <v>5410</v>
      </c>
      <c r="L6">
        <v>10155</v>
      </c>
    </row>
    <row r="7" spans="1:12" x14ac:dyDescent="0.2">
      <c r="A7" t="s">
        <v>6</v>
      </c>
      <c r="B7" t="s">
        <v>157</v>
      </c>
      <c r="C7" t="s">
        <v>155</v>
      </c>
      <c r="D7" t="s">
        <v>156</v>
      </c>
      <c r="E7">
        <v>777</v>
      </c>
      <c r="F7">
        <v>9163</v>
      </c>
      <c r="G7" t="s">
        <v>156</v>
      </c>
      <c r="H7">
        <v>79</v>
      </c>
      <c r="I7">
        <v>1216</v>
      </c>
      <c r="J7">
        <v>4817</v>
      </c>
      <c r="K7">
        <v>1215</v>
      </c>
      <c r="L7">
        <v>3602</v>
      </c>
    </row>
    <row r="8" spans="1:12" x14ac:dyDescent="0.2">
      <c r="A8" t="s">
        <v>6</v>
      </c>
      <c r="B8" t="s">
        <v>158</v>
      </c>
      <c r="C8" t="s">
        <v>155</v>
      </c>
      <c r="D8" t="s">
        <v>156</v>
      </c>
      <c r="E8" t="s">
        <v>156</v>
      </c>
      <c r="F8" t="s">
        <v>156</v>
      </c>
      <c r="G8" t="s">
        <v>156</v>
      </c>
      <c r="H8" t="s">
        <v>156</v>
      </c>
      <c r="I8" t="s">
        <v>156</v>
      </c>
      <c r="J8" t="s">
        <v>156</v>
      </c>
      <c r="K8" t="s">
        <v>156</v>
      </c>
      <c r="L8" t="s">
        <v>156</v>
      </c>
    </row>
    <row r="9" spans="1:12" x14ac:dyDescent="0.2">
      <c r="A9" t="s">
        <v>6</v>
      </c>
      <c r="B9" t="s">
        <v>159</v>
      </c>
      <c r="C9" t="s">
        <v>155</v>
      </c>
      <c r="D9" t="s">
        <v>156</v>
      </c>
      <c r="E9">
        <v>184</v>
      </c>
      <c r="F9">
        <v>442470</v>
      </c>
      <c r="G9" t="s">
        <v>156</v>
      </c>
      <c r="H9">
        <v>17</v>
      </c>
      <c r="I9">
        <v>4896</v>
      </c>
      <c r="J9">
        <v>10749</v>
      </c>
      <c r="K9">
        <v>4195</v>
      </c>
      <c r="L9">
        <v>6553</v>
      </c>
    </row>
    <row r="10" spans="1:12" x14ac:dyDescent="0.2">
      <c r="A10" t="s">
        <v>6</v>
      </c>
      <c r="B10" t="s">
        <v>160</v>
      </c>
      <c r="C10" t="s">
        <v>155</v>
      </c>
      <c r="D10" t="s">
        <v>156</v>
      </c>
      <c r="E10">
        <v>0</v>
      </c>
      <c r="F10">
        <v>418883</v>
      </c>
      <c r="G10" t="s">
        <v>156</v>
      </c>
      <c r="H10">
        <v>0</v>
      </c>
      <c r="I10">
        <v>3901</v>
      </c>
      <c r="J10">
        <v>4876</v>
      </c>
      <c r="K10">
        <v>1876</v>
      </c>
      <c r="L10">
        <v>3000</v>
      </c>
    </row>
    <row r="11" spans="1:12" x14ac:dyDescent="0.2">
      <c r="A11" t="s">
        <v>6</v>
      </c>
      <c r="B11" t="s">
        <v>161</v>
      </c>
      <c r="C11" t="s">
        <v>155</v>
      </c>
      <c r="D11" t="s">
        <v>156</v>
      </c>
      <c r="E11">
        <v>184</v>
      </c>
      <c r="F11">
        <v>23587</v>
      </c>
      <c r="G11" t="s">
        <v>156</v>
      </c>
      <c r="H11">
        <v>17</v>
      </c>
      <c r="I11">
        <v>995</v>
      </c>
      <c r="J11">
        <v>5873</v>
      </c>
      <c r="K11">
        <v>2319</v>
      </c>
      <c r="L11">
        <v>3554</v>
      </c>
    </row>
    <row r="12" spans="1:12" x14ac:dyDescent="0.2">
      <c r="A12" t="s">
        <v>6</v>
      </c>
      <c r="B12" t="s">
        <v>162</v>
      </c>
      <c r="C12" t="s">
        <v>155</v>
      </c>
      <c r="D12" t="s">
        <v>156</v>
      </c>
      <c r="E12" t="s">
        <v>156</v>
      </c>
      <c r="F12" t="s">
        <v>156</v>
      </c>
      <c r="G12" t="s">
        <v>156</v>
      </c>
      <c r="H12" t="s">
        <v>156</v>
      </c>
      <c r="I12" t="s">
        <v>156</v>
      </c>
      <c r="J12" t="s">
        <v>156</v>
      </c>
      <c r="K12" t="s">
        <v>156</v>
      </c>
      <c r="L12" t="s">
        <v>156</v>
      </c>
    </row>
    <row r="13" spans="1:12" x14ac:dyDescent="0.2">
      <c r="A13" t="s">
        <v>150</v>
      </c>
    </row>
    <row r="15" spans="1:12" x14ac:dyDescent="0.2">
      <c r="A15" t="s">
        <v>151</v>
      </c>
      <c r="B15" s="16" t="s">
        <v>163</v>
      </c>
    </row>
  </sheetData>
  <hyperlinks>
    <hyperlink ref="B15" r:id="rId1" location="/CBS/nl/dataset/85523NED/table?dl=C139D" xr:uid="{AE8235C1-AAC8-5646-8190-ED02FC1E24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17874-16DF-854B-9F9E-FF8B7B1BCEEA}">
  <dimension ref="A1:P8"/>
  <sheetViews>
    <sheetView zoomScale="125" workbookViewId="0">
      <selection activeCell="L5" sqref="L5"/>
    </sheetView>
  </sheetViews>
  <sheetFormatPr baseColWidth="10" defaultRowHeight="16" x14ac:dyDescent="0.2"/>
  <cols>
    <col min="1" max="1" width="79.6640625" bestFit="1" customWidth="1"/>
  </cols>
  <sheetData>
    <row r="1" spans="1:16" x14ac:dyDescent="0.2">
      <c r="A1" t="s">
        <v>164</v>
      </c>
    </row>
    <row r="2" spans="1:16" x14ac:dyDescent="0.2">
      <c r="A2" t="s">
        <v>165</v>
      </c>
    </row>
    <row r="3" spans="1:16" x14ac:dyDescent="0.2">
      <c r="C3" t="s">
        <v>166</v>
      </c>
    </row>
    <row r="4" spans="1:16" x14ac:dyDescent="0.2">
      <c r="A4" t="s">
        <v>148</v>
      </c>
      <c r="C4" t="s">
        <v>179</v>
      </c>
      <c r="D4" t="s">
        <v>180</v>
      </c>
      <c r="E4" t="s">
        <v>181</v>
      </c>
      <c r="F4" t="s">
        <v>182</v>
      </c>
      <c r="G4" t="s">
        <v>183</v>
      </c>
      <c r="H4" t="s">
        <v>184</v>
      </c>
      <c r="I4" t="s">
        <v>185</v>
      </c>
      <c r="J4" t="s">
        <v>186</v>
      </c>
      <c r="K4" t="s">
        <v>187</v>
      </c>
      <c r="L4" t="s">
        <v>167</v>
      </c>
      <c r="M4" t="s">
        <v>188</v>
      </c>
      <c r="N4" t="s">
        <v>168</v>
      </c>
      <c r="O4" t="s">
        <v>189</v>
      </c>
      <c r="P4" t="s">
        <v>190</v>
      </c>
    </row>
    <row r="5" spans="1:16" x14ac:dyDescent="0.2">
      <c r="A5" t="s">
        <v>169</v>
      </c>
      <c r="B5" t="s">
        <v>12</v>
      </c>
      <c r="C5">
        <v>254.8</v>
      </c>
      <c r="D5">
        <v>0.3</v>
      </c>
      <c r="E5">
        <v>8.1</v>
      </c>
      <c r="G5">
        <v>87.4</v>
      </c>
      <c r="H5">
        <v>13.9</v>
      </c>
      <c r="K5">
        <v>0.2</v>
      </c>
      <c r="L5">
        <v>9.8000000000000007</v>
      </c>
      <c r="M5">
        <v>3.8</v>
      </c>
      <c r="N5">
        <v>133.6</v>
      </c>
      <c r="O5">
        <v>11.6</v>
      </c>
      <c r="P5">
        <v>0</v>
      </c>
    </row>
    <row r="6" spans="1:16" x14ac:dyDescent="0.2">
      <c r="A6" t="s">
        <v>150</v>
      </c>
    </row>
    <row r="8" spans="1:16" x14ac:dyDescent="0.2">
      <c r="A8" t="s">
        <v>151</v>
      </c>
      <c r="B8" s="16" t="s">
        <v>191</v>
      </c>
    </row>
  </sheetData>
  <hyperlinks>
    <hyperlink ref="B8" r:id="rId1" location="/CBS/nl/dataset/83140NED/table?dl=C144B" xr:uid="{8EE1ADD2-C16A-1D4A-A711-D912A9151FF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Final demand</vt:lpstr>
      <vt:lpstr>Space heating</vt:lpstr>
      <vt:lpstr>Lighting</vt:lpstr>
      <vt:lpstr>Eurostat</vt:lpstr>
      <vt:lpstr>RVO</vt:lpstr>
      <vt:lpstr>CBS heat pumps</vt:lpstr>
      <vt:lpstr>CBS energiebalans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Wouter Terlouw</dc:creator>
  <cp:lastModifiedBy>Mathijs Bijkerk</cp:lastModifiedBy>
  <dcterms:created xsi:type="dcterms:W3CDTF">2014-06-16T12:25:15Z</dcterms:created>
  <dcterms:modified xsi:type="dcterms:W3CDTF">2025-07-17T09:13:37Z</dcterms:modified>
</cp:coreProperties>
</file>