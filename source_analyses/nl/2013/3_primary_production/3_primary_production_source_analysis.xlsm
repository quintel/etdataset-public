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5600" windowHeight="15900" tabRatio="500" firstSheet="4" activeTab="5"/>
  </bookViews>
  <sheets>
    <sheet name="Cover sheet" sheetId="7" r:id="rId1"/>
    <sheet name="Changelog" sheetId="8" r:id="rId2"/>
    <sheet name="Contents" sheetId="9" r:id="rId3"/>
    <sheet name="Introduction" sheetId="10" r:id="rId4"/>
    <sheet name="Assumptions" sheetId="11" r:id="rId5"/>
    <sheet name="Dashboard" sheetId="2" r:id="rId6"/>
    <sheet name="NLOG" sheetId="12" r:id="rId7"/>
    <sheet name="conversion_to_TJ" sheetId="6" r:id="rId8"/>
    <sheet name="interpolation" sheetId="5" r:id="rId9"/>
    <sheet name="timecurves" sheetId="3" r:id="rId10"/>
  </sheets>
  <externalReferences>
    <externalReference r:id="rId11"/>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L39" i="12" l="1"/>
  <c r="E23" i="5"/>
  <c r="E22" i="5"/>
  <c r="D23" i="5"/>
  <c r="D22" i="5"/>
  <c r="B23" i="5"/>
  <c r="B22" i="5"/>
  <c r="C23" i="5"/>
  <c r="C22" i="5"/>
  <c r="B18" i="5"/>
  <c r="J37" i="12"/>
  <c r="E3" i="3"/>
  <c r="J38" i="12"/>
  <c r="E4" i="3"/>
  <c r="J39" i="12"/>
  <c r="E5" i="3"/>
  <c r="J40" i="12"/>
  <c r="L40" i="12"/>
  <c r="E6" i="3"/>
  <c r="J41" i="12"/>
  <c r="L41" i="12"/>
  <c r="E7" i="3"/>
  <c r="J42" i="12"/>
  <c r="L42" i="12"/>
  <c r="E8" i="3"/>
  <c r="J43" i="12"/>
  <c r="L43" i="12"/>
  <c r="E9" i="3"/>
  <c r="J44" i="12"/>
  <c r="L44" i="12"/>
  <c r="E10" i="3"/>
  <c r="J45" i="12"/>
  <c r="L45" i="12"/>
  <c r="E11" i="3"/>
  <c r="J46" i="12"/>
  <c r="L46" i="12"/>
  <c r="E12" i="3"/>
  <c r="J47" i="12"/>
  <c r="L47" i="12"/>
  <c r="E13" i="3"/>
  <c r="J48" i="12"/>
  <c r="L48" i="12"/>
  <c r="E14" i="3"/>
  <c r="J49" i="12"/>
  <c r="L49" i="12"/>
  <c r="E15" i="3"/>
  <c r="J50" i="12"/>
  <c r="L50" i="12"/>
  <c r="E16" i="3"/>
  <c r="J51" i="12"/>
  <c r="L51" i="12"/>
  <c r="E17" i="3"/>
  <c r="J52" i="12"/>
  <c r="L52" i="12"/>
  <c r="E18" i="3"/>
  <c r="J53" i="12"/>
  <c r="L53" i="12"/>
  <c r="E19" i="3"/>
  <c r="J54" i="12"/>
  <c r="L54" i="12"/>
  <c r="E20" i="3"/>
  <c r="J55" i="12"/>
  <c r="L55" i="12"/>
  <c r="E21" i="3"/>
  <c r="J56" i="12"/>
  <c r="L56" i="12"/>
  <c r="E22" i="3"/>
  <c r="K56" i="12"/>
  <c r="K57" i="12"/>
  <c r="L57" i="12"/>
  <c r="E23" i="3"/>
  <c r="K58" i="12"/>
  <c r="L58" i="12"/>
  <c r="E24" i="3"/>
  <c r="K59" i="12"/>
  <c r="L59" i="12"/>
  <c r="E25" i="3"/>
  <c r="K60" i="12"/>
  <c r="L60" i="12"/>
  <c r="E26" i="3"/>
  <c r="K61" i="12"/>
  <c r="L61" i="12"/>
  <c r="E27" i="3"/>
  <c r="K62" i="12"/>
  <c r="L62" i="12"/>
  <c r="E28" i="3"/>
  <c r="K63" i="12"/>
  <c r="L63" i="12"/>
  <c r="E29" i="3"/>
  <c r="K64" i="12"/>
  <c r="L64" i="12"/>
  <c r="E30" i="3"/>
  <c r="K65" i="12"/>
  <c r="L65" i="12"/>
  <c r="E31" i="3"/>
  <c r="K66" i="12"/>
  <c r="L66" i="12"/>
  <c r="E32" i="3"/>
  <c r="K67" i="12"/>
  <c r="L67" i="12"/>
  <c r="E33" i="3"/>
  <c r="K68" i="12"/>
  <c r="L68" i="12"/>
  <c r="E34" i="3"/>
  <c r="K69" i="12"/>
  <c r="L69" i="12"/>
  <c r="E35" i="3"/>
  <c r="K70" i="12"/>
  <c r="L70" i="12"/>
  <c r="E36" i="3"/>
  <c r="K71" i="12"/>
  <c r="L71" i="12"/>
  <c r="E37" i="3"/>
  <c r="K72" i="12"/>
  <c r="L72" i="12"/>
  <c r="E38" i="3"/>
  <c r="K73" i="12"/>
  <c r="L73" i="12"/>
  <c r="E39" i="3"/>
  <c r="K74" i="12"/>
  <c r="L74" i="12"/>
  <c r="E40" i="3"/>
  <c r="K75" i="12"/>
  <c r="L75" i="12"/>
  <c r="E41" i="3"/>
  <c r="K76" i="12"/>
  <c r="L76" i="12"/>
  <c r="E42" i="3"/>
  <c r="J36" i="12"/>
  <c r="E2" i="3"/>
  <c r="D37" i="12"/>
  <c r="D3" i="3"/>
  <c r="D38" i="12"/>
  <c r="D4" i="3"/>
  <c r="D39" i="12"/>
  <c r="F39" i="12"/>
  <c r="D5" i="3"/>
  <c r="D40" i="12"/>
  <c r="F40" i="12"/>
  <c r="D6" i="3"/>
  <c r="D41" i="12"/>
  <c r="F41" i="12"/>
  <c r="D7" i="3"/>
  <c r="D42" i="12"/>
  <c r="F42" i="12"/>
  <c r="D8" i="3"/>
  <c r="D43" i="12"/>
  <c r="F43" i="12"/>
  <c r="D9" i="3"/>
  <c r="D44" i="12"/>
  <c r="F44" i="12"/>
  <c r="D10" i="3"/>
  <c r="D45" i="12"/>
  <c r="F45" i="12"/>
  <c r="D11" i="3"/>
  <c r="D46" i="12"/>
  <c r="F46" i="12"/>
  <c r="D12" i="3"/>
  <c r="D47" i="12"/>
  <c r="F47" i="12"/>
  <c r="D13" i="3"/>
  <c r="D48" i="12"/>
  <c r="F48" i="12"/>
  <c r="D14" i="3"/>
  <c r="D49" i="12"/>
  <c r="F49" i="12"/>
  <c r="D15" i="3"/>
  <c r="D50" i="12"/>
  <c r="F50" i="12"/>
  <c r="D16" i="3"/>
  <c r="D51" i="12"/>
  <c r="F51" i="12"/>
  <c r="D17" i="3"/>
  <c r="D52" i="12"/>
  <c r="F52" i="12"/>
  <c r="D18" i="3"/>
  <c r="D53" i="12"/>
  <c r="F53" i="12"/>
  <c r="D19" i="3"/>
  <c r="D54" i="12"/>
  <c r="F54" i="12"/>
  <c r="D20" i="3"/>
  <c r="D55" i="12"/>
  <c r="F55" i="12"/>
  <c r="D21" i="3"/>
  <c r="D56" i="12"/>
  <c r="F56" i="12"/>
  <c r="D22" i="3"/>
  <c r="D57" i="12"/>
  <c r="F57" i="12"/>
  <c r="D23" i="3"/>
  <c r="D58" i="12"/>
  <c r="F58" i="12"/>
  <c r="D24" i="3"/>
  <c r="D59" i="12"/>
  <c r="F59" i="12"/>
  <c r="D25" i="3"/>
  <c r="D60" i="12"/>
  <c r="F60" i="12"/>
  <c r="D26" i="3"/>
  <c r="D61" i="12"/>
  <c r="F61" i="12"/>
  <c r="D27" i="3"/>
  <c r="D62" i="12"/>
  <c r="F62" i="12"/>
  <c r="D28" i="3"/>
  <c r="D63" i="12"/>
  <c r="F63" i="12"/>
  <c r="D29" i="3"/>
  <c r="E63" i="12"/>
  <c r="E64" i="12"/>
  <c r="F64" i="12"/>
  <c r="D30" i="3"/>
  <c r="E65" i="12"/>
  <c r="F65" i="12"/>
  <c r="D31" i="3"/>
  <c r="E66" i="12"/>
  <c r="F66" i="12"/>
  <c r="D32" i="3"/>
  <c r="E67" i="12"/>
  <c r="F67" i="12"/>
  <c r="D33" i="3"/>
  <c r="E68" i="12"/>
  <c r="F68" i="12"/>
  <c r="D34" i="3"/>
  <c r="E69" i="12"/>
  <c r="F69" i="12"/>
  <c r="D35" i="3"/>
  <c r="E70" i="12"/>
  <c r="F70" i="12"/>
  <c r="D36" i="3"/>
  <c r="E71" i="12"/>
  <c r="F71" i="12"/>
  <c r="D37" i="3"/>
  <c r="E72" i="12"/>
  <c r="F72" i="12"/>
  <c r="D38" i="3"/>
  <c r="E73" i="12"/>
  <c r="F73" i="12"/>
  <c r="D39" i="3"/>
  <c r="E74" i="12"/>
  <c r="F74" i="12"/>
  <c r="D40" i="3"/>
  <c r="E75" i="12"/>
  <c r="F75" i="12"/>
  <c r="D41" i="3"/>
  <c r="E76" i="12"/>
  <c r="F76" i="12"/>
  <c r="D42" i="3"/>
  <c r="D36" i="12"/>
  <c r="D2" i="3"/>
  <c r="J35" i="12"/>
  <c r="L35" i="12"/>
  <c r="J34" i="12"/>
  <c r="L34" i="12"/>
  <c r="J33" i="12"/>
  <c r="L33" i="12"/>
  <c r="J32" i="12"/>
  <c r="L32" i="12"/>
  <c r="J31" i="12"/>
  <c r="L31" i="12"/>
  <c r="J30" i="12"/>
  <c r="L30" i="12"/>
  <c r="J29" i="12"/>
  <c r="L29" i="12"/>
  <c r="J28" i="12"/>
  <c r="L28" i="12"/>
  <c r="J27" i="12"/>
  <c r="L27" i="12"/>
  <c r="D17" i="12"/>
  <c r="F17" i="12"/>
  <c r="D18" i="12"/>
  <c r="F18" i="12"/>
  <c r="D19" i="12"/>
  <c r="F19" i="12"/>
  <c r="D20" i="12"/>
  <c r="F20" i="12"/>
  <c r="D21" i="12"/>
  <c r="F21" i="12"/>
  <c r="D22" i="12"/>
  <c r="F22" i="12"/>
  <c r="D23" i="12"/>
  <c r="F23" i="12"/>
  <c r="D24" i="12"/>
  <c r="F24" i="12"/>
  <c r="D25" i="12"/>
  <c r="F25" i="12"/>
  <c r="D26" i="12"/>
  <c r="F26" i="12"/>
  <c r="D27" i="12"/>
  <c r="F27" i="12"/>
  <c r="D28" i="12"/>
  <c r="F28" i="12"/>
  <c r="D29" i="12"/>
  <c r="F29" i="12"/>
  <c r="D30" i="12"/>
  <c r="F30" i="12"/>
  <c r="D31" i="12"/>
  <c r="F31" i="12"/>
  <c r="D32" i="12"/>
  <c r="F32" i="12"/>
  <c r="D33" i="12"/>
  <c r="F33" i="12"/>
  <c r="D34" i="12"/>
  <c r="F34" i="12"/>
  <c r="D35" i="12"/>
  <c r="F35" i="12"/>
  <c r="D16" i="12"/>
  <c r="F16" i="12"/>
  <c r="E10" i="6"/>
  <c r="F10" i="6"/>
  <c r="B24" i="5"/>
  <c r="B3" i="3"/>
  <c r="C24" i="5"/>
  <c r="C3" i="3"/>
  <c r="E12" i="6"/>
  <c r="F12" i="6"/>
  <c r="D24" i="5"/>
  <c r="E11" i="6"/>
  <c r="F11" i="6"/>
  <c r="E24" i="5"/>
  <c r="E13" i="6"/>
  <c r="F19" i="5"/>
  <c r="F13" i="6"/>
  <c r="F24" i="5"/>
  <c r="F20" i="5"/>
  <c r="E16" i="6"/>
  <c r="G19" i="5"/>
  <c r="F16" i="6"/>
  <c r="G24" i="5"/>
  <c r="G20" i="5"/>
  <c r="G3" i="3"/>
  <c r="B4" i="3"/>
  <c r="C4" i="3"/>
  <c r="F21" i="5"/>
  <c r="G21" i="5"/>
  <c r="G4" i="3"/>
  <c r="B5" i="3"/>
  <c r="C5" i="3"/>
  <c r="F22" i="5"/>
  <c r="G22" i="5"/>
  <c r="G5" i="3"/>
  <c r="B6" i="3"/>
  <c r="C6" i="3"/>
  <c r="F23" i="5"/>
  <c r="G23" i="5"/>
  <c r="G6" i="3"/>
  <c r="B7" i="3"/>
  <c r="C7" i="3"/>
  <c r="G7" i="3"/>
  <c r="G10" i="6"/>
  <c r="B29" i="5"/>
  <c r="B25" i="5"/>
  <c r="B8" i="3"/>
  <c r="C29" i="5"/>
  <c r="C25" i="5"/>
  <c r="C8" i="3"/>
  <c r="G12" i="6"/>
  <c r="D29" i="5"/>
  <c r="D25" i="5"/>
  <c r="G11" i="6"/>
  <c r="E29" i="5"/>
  <c r="E25" i="5"/>
  <c r="G13" i="6"/>
  <c r="F29" i="5"/>
  <c r="F25" i="5"/>
  <c r="G16" i="6"/>
  <c r="G29" i="5"/>
  <c r="G25" i="5"/>
  <c r="G8" i="3"/>
  <c r="B26" i="5"/>
  <c r="B9" i="3"/>
  <c r="C26" i="5"/>
  <c r="C9" i="3"/>
  <c r="D26" i="5"/>
  <c r="E26" i="5"/>
  <c r="F26" i="5"/>
  <c r="G26" i="5"/>
  <c r="G9" i="3"/>
  <c r="B27" i="5"/>
  <c r="B10" i="3"/>
  <c r="C27" i="5"/>
  <c r="C10" i="3"/>
  <c r="D27" i="5"/>
  <c r="E27" i="5"/>
  <c r="F27" i="5"/>
  <c r="G27" i="5"/>
  <c r="G10" i="3"/>
  <c r="B28" i="5"/>
  <c r="B11" i="3"/>
  <c r="C28" i="5"/>
  <c r="C11" i="3"/>
  <c r="D28" i="5"/>
  <c r="E28" i="5"/>
  <c r="F28" i="5"/>
  <c r="G28" i="5"/>
  <c r="G11" i="3"/>
  <c r="B12" i="3"/>
  <c r="C12" i="3"/>
  <c r="G12" i="3"/>
  <c r="H10" i="6"/>
  <c r="B34" i="5"/>
  <c r="B30" i="5"/>
  <c r="B13" i="3"/>
  <c r="C34" i="5"/>
  <c r="C30" i="5"/>
  <c r="C13" i="3"/>
  <c r="H12" i="6"/>
  <c r="D34" i="5"/>
  <c r="D30" i="5"/>
  <c r="H11" i="6"/>
  <c r="E34" i="5"/>
  <c r="E30" i="5"/>
  <c r="H13" i="6"/>
  <c r="F34" i="5"/>
  <c r="F30" i="5"/>
  <c r="H16" i="6"/>
  <c r="G34" i="5"/>
  <c r="G30" i="5"/>
  <c r="G13" i="3"/>
  <c r="B31" i="5"/>
  <c r="B14" i="3"/>
  <c r="C31" i="5"/>
  <c r="C14" i="3"/>
  <c r="D31" i="5"/>
  <c r="E31" i="5"/>
  <c r="F31" i="5"/>
  <c r="G31" i="5"/>
  <c r="G14" i="3"/>
  <c r="B32" i="5"/>
  <c r="B15" i="3"/>
  <c r="C32" i="5"/>
  <c r="C15" i="3"/>
  <c r="D32" i="5"/>
  <c r="E32" i="5"/>
  <c r="F32" i="5"/>
  <c r="G32" i="5"/>
  <c r="G15" i="3"/>
  <c r="B33" i="5"/>
  <c r="B16" i="3"/>
  <c r="C33" i="5"/>
  <c r="C16" i="3"/>
  <c r="D33" i="5"/>
  <c r="E33" i="5"/>
  <c r="F33" i="5"/>
  <c r="G33" i="5"/>
  <c r="G16" i="3"/>
  <c r="B17" i="3"/>
  <c r="C17" i="3"/>
  <c r="G17" i="3"/>
  <c r="I10" i="6"/>
  <c r="B39" i="5"/>
  <c r="B35" i="5"/>
  <c r="B18" i="3"/>
  <c r="C39" i="5"/>
  <c r="C35" i="5"/>
  <c r="C18" i="3"/>
  <c r="I12" i="6"/>
  <c r="D39" i="5"/>
  <c r="D35" i="5"/>
  <c r="I11" i="6"/>
  <c r="E39" i="5"/>
  <c r="E35" i="5"/>
  <c r="I13" i="6"/>
  <c r="F39" i="5"/>
  <c r="F35" i="5"/>
  <c r="I16" i="6"/>
  <c r="G39" i="5"/>
  <c r="G35" i="5"/>
  <c r="G18" i="3"/>
  <c r="B36" i="5"/>
  <c r="B19" i="3"/>
  <c r="C36" i="5"/>
  <c r="C19" i="3"/>
  <c r="D36" i="5"/>
  <c r="E36" i="5"/>
  <c r="F36" i="5"/>
  <c r="G36" i="5"/>
  <c r="G19" i="3"/>
  <c r="B37" i="5"/>
  <c r="B20" i="3"/>
  <c r="C37" i="5"/>
  <c r="C20" i="3"/>
  <c r="D37" i="5"/>
  <c r="E37" i="5"/>
  <c r="F37" i="5"/>
  <c r="G37" i="5"/>
  <c r="G20" i="3"/>
  <c r="B38" i="5"/>
  <c r="B21" i="3"/>
  <c r="C38" i="5"/>
  <c r="C21" i="3"/>
  <c r="D38" i="5"/>
  <c r="E38" i="5"/>
  <c r="F38" i="5"/>
  <c r="G38" i="5"/>
  <c r="G21" i="3"/>
  <c r="B22" i="3"/>
  <c r="C22" i="3"/>
  <c r="G22" i="3"/>
  <c r="J10" i="6"/>
  <c r="B44" i="5"/>
  <c r="B40" i="5"/>
  <c r="B23" i="3"/>
  <c r="C44" i="5"/>
  <c r="C40" i="5"/>
  <c r="C23" i="3"/>
  <c r="J12" i="6"/>
  <c r="D44" i="5"/>
  <c r="D40" i="5"/>
  <c r="J11" i="6"/>
  <c r="E44" i="5"/>
  <c r="E40" i="5"/>
  <c r="J13" i="6"/>
  <c r="F44" i="5"/>
  <c r="F40" i="5"/>
  <c r="J16" i="6"/>
  <c r="G44" i="5"/>
  <c r="G40" i="5"/>
  <c r="G23" i="3"/>
  <c r="B41" i="5"/>
  <c r="B24" i="3"/>
  <c r="C41" i="5"/>
  <c r="C24" i="3"/>
  <c r="D41" i="5"/>
  <c r="E41" i="5"/>
  <c r="F41" i="5"/>
  <c r="G41" i="5"/>
  <c r="G24" i="3"/>
  <c r="B42" i="5"/>
  <c r="B25" i="3"/>
  <c r="C42" i="5"/>
  <c r="C25" i="3"/>
  <c r="D42" i="5"/>
  <c r="E42" i="5"/>
  <c r="F42" i="5"/>
  <c r="G42" i="5"/>
  <c r="G25" i="3"/>
  <c r="B43" i="5"/>
  <c r="B26" i="3"/>
  <c r="C43" i="5"/>
  <c r="C26" i="3"/>
  <c r="D43" i="5"/>
  <c r="E43" i="5"/>
  <c r="F43" i="5"/>
  <c r="G43" i="5"/>
  <c r="G26" i="3"/>
  <c r="B27" i="3"/>
  <c r="C27" i="3"/>
  <c r="G27" i="3"/>
  <c r="K10" i="6"/>
  <c r="B49" i="5"/>
  <c r="B45" i="5"/>
  <c r="B28" i="3"/>
  <c r="C49" i="5"/>
  <c r="C45" i="5"/>
  <c r="C28" i="3"/>
  <c r="K12" i="6"/>
  <c r="D49" i="5"/>
  <c r="D45" i="5"/>
  <c r="K11" i="6"/>
  <c r="E49" i="5"/>
  <c r="E45" i="5"/>
  <c r="K13" i="6"/>
  <c r="F49" i="5"/>
  <c r="F45" i="5"/>
  <c r="K16" i="6"/>
  <c r="G49" i="5"/>
  <c r="G45" i="5"/>
  <c r="G28" i="3"/>
  <c r="B46" i="5"/>
  <c r="B29" i="3"/>
  <c r="C46" i="5"/>
  <c r="C29" i="3"/>
  <c r="D46" i="5"/>
  <c r="E46" i="5"/>
  <c r="F46" i="5"/>
  <c r="G46" i="5"/>
  <c r="G29" i="3"/>
  <c r="B47" i="5"/>
  <c r="B30" i="3"/>
  <c r="C47" i="5"/>
  <c r="C30" i="3"/>
  <c r="D47" i="5"/>
  <c r="E47" i="5"/>
  <c r="F47" i="5"/>
  <c r="G47" i="5"/>
  <c r="G30" i="3"/>
  <c r="B48" i="5"/>
  <c r="B31" i="3"/>
  <c r="C48" i="5"/>
  <c r="C31" i="3"/>
  <c r="D48" i="5"/>
  <c r="E48" i="5"/>
  <c r="F48" i="5"/>
  <c r="G48" i="5"/>
  <c r="G31" i="3"/>
  <c r="B32" i="3"/>
  <c r="C32" i="3"/>
  <c r="G32" i="3"/>
  <c r="L10" i="6"/>
  <c r="B54" i="5"/>
  <c r="B50" i="5"/>
  <c r="B33" i="3"/>
  <c r="C54" i="5"/>
  <c r="C50" i="5"/>
  <c r="C33" i="3"/>
  <c r="L12" i="6"/>
  <c r="D54" i="5"/>
  <c r="D50" i="5"/>
  <c r="L11" i="6"/>
  <c r="E54" i="5"/>
  <c r="E50" i="5"/>
  <c r="L13" i="6"/>
  <c r="F54" i="5"/>
  <c r="F50" i="5"/>
  <c r="L16" i="6"/>
  <c r="G54" i="5"/>
  <c r="G50" i="5"/>
  <c r="G33" i="3"/>
  <c r="B51" i="5"/>
  <c r="B34" i="3"/>
  <c r="C51" i="5"/>
  <c r="C34" i="3"/>
  <c r="D51" i="5"/>
  <c r="E51" i="5"/>
  <c r="F51" i="5"/>
  <c r="G51" i="5"/>
  <c r="G34" i="3"/>
  <c r="B52" i="5"/>
  <c r="B35" i="3"/>
  <c r="C52" i="5"/>
  <c r="C35" i="3"/>
  <c r="D52" i="5"/>
  <c r="E52" i="5"/>
  <c r="F52" i="5"/>
  <c r="G52" i="5"/>
  <c r="G35" i="3"/>
  <c r="B53" i="5"/>
  <c r="B36" i="3"/>
  <c r="C53" i="5"/>
  <c r="C36" i="3"/>
  <c r="D53" i="5"/>
  <c r="E53" i="5"/>
  <c r="F53" i="5"/>
  <c r="G53" i="5"/>
  <c r="G36" i="3"/>
  <c r="B37" i="3"/>
  <c r="C37" i="3"/>
  <c r="G37" i="3"/>
  <c r="M10" i="6"/>
  <c r="B59" i="5"/>
  <c r="B55" i="5"/>
  <c r="B38" i="3"/>
  <c r="C59" i="5"/>
  <c r="C55" i="5"/>
  <c r="C38" i="3"/>
  <c r="M12" i="6"/>
  <c r="D59" i="5"/>
  <c r="D55" i="5"/>
  <c r="M11" i="6"/>
  <c r="E59" i="5"/>
  <c r="E55" i="5"/>
  <c r="M13" i="6"/>
  <c r="F59" i="5"/>
  <c r="F55" i="5"/>
  <c r="M16" i="6"/>
  <c r="G59" i="5"/>
  <c r="G55" i="5"/>
  <c r="G38" i="3"/>
  <c r="B56" i="5"/>
  <c r="B39" i="3"/>
  <c r="C56" i="5"/>
  <c r="C39" i="3"/>
  <c r="D56" i="5"/>
  <c r="E56" i="5"/>
  <c r="F56" i="5"/>
  <c r="G56" i="5"/>
  <c r="G39" i="3"/>
  <c r="B57" i="5"/>
  <c r="B40" i="3"/>
  <c r="C57" i="5"/>
  <c r="C40" i="3"/>
  <c r="D57" i="5"/>
  <c r="E57" i="5"/>
  <c r="F57" i="5"/>
  <c r="G57" i="5"/>
  <c r="G40" i="3"/>
  <c r="B58" i="5"/>
  <c r="B41" i="3"/>
  <c r="C58" i="5"/>
  <c r="C41" i="3"/>
  <c r="D58" i="5"/>
  <c r="E58" i="5"/>
  <c r="F58" i="5"/>
  <c r="G58" i="5"/>
  <c r="G41" i="3"/>
  <c r="B42" i="3"/>
  <c r="C42" i="3"/>
  <c r="G42" i="3"/>
  <c r="C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B15" i="5"/>
  <c r="C15" i="5"/>
  <c r="D15" i="5"/>
  <c r="E15" i="5"/>
  <c r="F15" i="5"/>
  <c r="G15" i="5"/>
  <c r="B16" i="5"/>
  <c r="C16" i="5"/>
  <c r="D16" i="5"/>
  <c r="E16" i="5"/>
  <c r="F16" i="5"/>
  <c r="G16" i="5"/>
  <c r="B17" i="5"/>
  <c r="C17" i="5"/>
  <c r="D17" i="5"/>
  <c r="E17" i="5"/>
  <c r="F17" i="5"/>
  <c r="G17" i="5"/>
  <c r="C18" i="5"/>
  <c r="D18" i="5"/>
  <c r="E18" i="5"/>
  <c r="F18" i="5"/>
  <c r="G18"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<sst xmlns="http://schemas.openxmlformats.org/spreadsheetml/2006/main" count="161" uniqueCount="121">
  <si>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</si>
  <si>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</si>
  <si>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</si>
  <si>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</si>
  <si>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</si>
  <si>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</si>
  <si>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</si>
  <si>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</si>
  <si>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</si>
  <si>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</si>
  <si>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</si>
  <si>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</si>
  <si>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</si>
  <si>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</si>
  <si>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</si>
  <si>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</si>
  <si>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</si>
  <si>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</si>
  <si>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</si>
  <si>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</si>
  <si>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</si>
  <si>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</si>
  <si>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</si>
  <si>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</si>
  <si>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</si>
  <si>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</si>
  <si>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</si>
  <si>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</si>
  <si>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</si>
  <si>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</si>
  <si>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</si>
  <si>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</si>
  <si>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</si>
  <si>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</si>
  <si>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</si>
  <si>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</si>
  <si>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</si>
  <si>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</si>
  <si>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</si>
  <si>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</si>
  <si>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</si>
  <si>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</si>
  <si>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</si>
  <si>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</si>
  <si>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</si>
  <si>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</si>
  <si>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</si>
  <si>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</si>
  <si>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</si>
  <si>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</si>
  <si>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</si>
  <si>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</si>
  <si>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</si>
  <si>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</si>
  <si>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</si>
  <si>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</si>
  <si>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</si>
  <si>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</si>
  <si>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</si>
  <si>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</si>
  <si>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</si>
  <si>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</si>
  <si>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</si>
  <si>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</si>
  <si>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</si>
  <si>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</si>
  <si>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</si>
  <si>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</si>
  <si>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</si>
  <si>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</si>
  <si>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</si>
  <si>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</si>
  <si>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</si>
  <si>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</si>
  <si>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</si>
  <si>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</si>
  <si>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</si>
  <si>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</si>
  <si>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</si>
  <si>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</si>
  <si>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</si>
  <si>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</si>
  <si>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Source</t>
  </si>
  <si>
    <t>Conversion of the original PRIMES data from ktoe to TJ</t>
  </si>
  <si>
    <t>Interpolation of the PRIMES data for years not reported in PRIMES</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</si>
  <si>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</si>
  <si>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</si>
  <si>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</si>
  <si>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</si>
  <si>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The table on this page displays the PRIMES data converted from ktoe to TJ.</t>
  </si>
  <si>
    <t>Based on the 2012 IEA Energy Balances</t>
  </si>
  <si>
    <t>Based on the 2012 IEA Energy Balances ( Primary solid biofuels / (Industrial waste + Municipal waste (renewable) + Primary solid biofuels) )</t>
  </si>
  <si>
    <t>Conversions</t>
  </si>
  <si>
    <t>Geq to MJ</t>
  </si>
  <si>
    <t>MJ/Geq</t>
  </si>
  <si>
    <t>Gas production according to NLOG (billion Geq)</t>
  </si>
  <si>
    <t>Gas production according to NLOG (TJ)</t>
  </si>
  <si>
    <t>Interpolation</t>
  </si>
  <si>
    <t>Timecurve</t>
  </si>
  <si>
    <t>Calculation of natural gas time curve</t>
  </si>
  <si>
    <t>Sm3 to MJ</t>
  </si>
  <si>
    <t>MJ/Sm3</t>
  </si>
  <si>
    <t>Calculation of crude oil time curve</t>
  </si>
  <si>
    <t>Oil production according to NLOG (TJ)</t>
  </si>
  <si>
    <t>Oil production according to NLOG (million Sm3)</t>
  </si>
  <si>
    <t>This analysis is used to transform the PRIMES forecast for Production of carriers into timecurves that can be used by the ETM. The timecurves for the Netherlands are partly based on Primes data and partly based on NLOG data.</t>
  </si>
  <si>
    <t>5. Fill the NLOG data ion the NLOG sheet</t>
  </si>
  <si>
    <t>6. Use the export timecurves button in the Dashboard to export the timecurves in the ETM format.</t>
  </si>
  <si>
    <t>NLOG</t>
  </si>
  <si>
    <t>For the Netherlands NLOG provides information about the production of natural gas and crude oil. Please provide the data on the NLOG sheet.</t>
  </si>
  <si>
    <t>http://www.nlog.nl/nl/oilGas/oilGas.html</t>
  </si>
  <si>
    <t>http://www.nlog.nl/nl/oilGas/grafiek_prod_profielen_2013-2037_PUBLIC.xls</t>
  </si>
  <si>
    <t>On this page PRIMES data and the country specific assumptions must be entered, with the source of the data when applicable. Please provide country specific data for NL on the NLOG sheet. Furthermore, it is assumed that the uranium production in NL is 0.</t>
  </si>
  <si>
    <t>PRIMES</t>
  </si>
  <si>
    <t>This page presents the values from PRIMES (in red) and the energy balance (in blue). The values from PRIMES are scaled by the corresponding dashboard items. PRIMES only reports data for 5 year intervals. We have linearly interpolated the data between these data points.</t>
  </si>
  <si>
    <t>For 2010, 2011 and 2012 the production values from the IEA energy balance are used.</t>
  </si>
  <si>
    <t>This page presents the values from NLOG (in black) and the energy balance (in blue).</t>
  </si>
  <si>
    <t>nl</t>
  </si>
  <si>
    <t>Improved analysis by adding values from energy balance</t>
  </si>
  <si>
    <t>interpolated</t>
  </si>
  <si>
    <t>http://refman.et-model.com/publications/1880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</si>
</sst>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General_)"/>
    <numFmt numFmtId="165" formatCode="0_)"/>
    <numFmt numFmtId="166" formatCode="[$-409]mmmm\ d\,\ yyyy;@"/>
    <numFmt numFmtId="167" formatCode="0.000000"/>
    <numFmt numFmtId="168" formatCode="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3366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9">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s>
  <cellStyleXfs count="211">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9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2" fontId="0" fillId="3" borderId="0" xfId="0" applyNumberFormat="1" applyFill="1" applyBorder="1" applyAlignment="1">
      <alignment horizontal="left"/>
    </xf>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0" fillId="0" borderId="0" xfId="0" applyNumberFormat="1"/>
    <xf numFmtId="0" fontId="9" fillId="3" borderId="4" xfId="0" applyFont="1" applyFill="1" applyBorder="1"/>
    <xf numFmtId="0" fontId="0" fillId="3" borderId="5" xfId="0" applyFill="1" applyBorder="1"/>
    <xf numFmtId="0" fontId="9" fillId="3" borderId="5" xfId="0" applyFont="1" applyFill="1" applyBorder="1"/>
    <xf numFmtId="0" fontId="0" fillId="3" borderId="6" xfId="0" applyFill="1" applyBorder="1"/>
    <xf numFmtId="0" fontId="0" fillId="3" borderId="1" xfId="0" applyFill="1" applyBorder="1"/>
    <xf numFmtId="0" fontId="0" fillId="3" borderId="2" xfId="0" applyFill="1" applyBorder="1"/>
    <xf numFmtId="10" fontId="0" fillId="3" borderId="3" xfId="0" applyNumberFormat="1" applyFill="1" applyBorder="1"/>
    <xf numFmtId="10" fontId="0" fillId="3" borderId="0" xfId="0" applyNumberFormat="1" applyFill="1" applyBorder="1"/>
    <xf numFmtId="0" fontId="9" fillId="3" borderId="1" xfId="0" applyFont="1" applyFill="1" applyBorder="1"/>
    <xf numFmtId="0" fontId="0" fillId="3" borderId="7" xfId="0" applyFill="1" applyBorder="1"/>
    <xf numFmtId="0" fontId="0" fillId="3" borderId="8" xfId="0" applyFill="1" applyBorder="1"/>
    <xf numFmtId="0" fontId="0" fillId="3" borderId="9" xfId="0" applyFill="1" applyBorder="1"/>
    <xf numFmtId="0" fontId="0" fillId="3" borderId="26" xfId="0" applyFill="1" applyBorder="1"/>
    <xf numFmtId="0" fontId="0" fillId="3" borderId="27" xfId="0" applyFill="1" applyBorder="1"/>
    <xf numFmtId="10" fontId="0" fillId="3" borderId="3" xfId="0" applyNumberFormat="1" applyFill="1" applyBorder="1" applyAlignment="1">
      <alignment vertical="center"/>
    </xf>
    <xf numFmtId="3" fontId="24" fillId="0" borderId="0" xfId="0" applyNumberFormat="1" applyFont="1"/>
    <xf numFmtId="0" fontId="24" fillId="0" borderId="0" xfId="0" applyFont="1" applyFill="1"/>
    <xf numFmtId="3" fontId="24" fillId="0" borderId="0" xfId="0" applyNumberFormat="1" applyFont="1" applyFill="1" applyBorder="1" applyAlignment="1">
      <alignment vertical="top" wrapText="1"/>
    </xf>
    <xf numFmtId="3" fontId="0" fillId="0" borderId="0" xfId="0" applyNumberFormat="1" applyFill="1"/>
    <xf numFmtId="0" fontId="16" fillId="0" borderId="10" xfId="0" applyFont="1" applyFill="1" applyBorder="1" applyAlignment="1">
      <alignment horizontal="left"/>
    </xf>
    <xf numFmtId="0" fontId="15" fillId="0" borderId="11" xfId="0" applyFont="1" applyFill="1" applyBorder="1" applyAlignment="1">
      <alignment horizontal="left"/>
    </xf>
    <xf numFmtId="0" fontId="15" fillId="0" borderId="12" xfId="0" applyFont="1" applyFill="1" applyBorder="1" applyAlignment="1">
      <alignment horizontal="left"/>
    </xf>
    <xf numFmtId="0" fontId="15" fillId="0" borderId="0" xfId="0" applyFont="1" applyFill="1"/>
    <xf numFmtId="0" fontId="21" fillId="0" borderId="0" xfId="0" applyFont="1" applyFill="1" applyBorder="1"/>
    <xf numFmtId="0" fontId="0" fillId="0" borderId="0" xfId="0" applyFill="1" applyBorder="1"/>
    <xf numFmtId="0" fontId="21" fillId="0" borderId="0" xfId="0" applyFont="1" applyFill="1" applyBorder="1" applyAlignment="1">
      <alignment vertical="top"/>
    </xf>
    <xf numFmtId="0" fontId="15" fillId="0" borderId="0" xfId="0" applyFont="1" applyFill="1" applyBorder="1" applyAlignment="1">
      <alignment horizontal="left" vertical="top" wrapText="1"/>
    </xf>
    <xf numFmtId="0" fontId="9" fillId="0" borderId="25" xfId="0" applyFont="1" applyFill="1" applyBorder="1"/>
    <xf numFmtId="3" fontId="9" fillId="0" borderId="25" xfId="0" applyNumberFormat="1" applyFont="1" applyFill="1" applyBorder="1"/>
    <xf numFmtId="168" fontId="0" fillId="0" borderId="0" xfId="0" applyNumberFormat="1" applyFill="1"/>
    <xf numFmtId="3" fontId="24" fillId="0" borderId="0" xfId="0" applyNumberFormat="1" applyFont="1" applyFill="1"/>
    <xf numFmtId="3" fontId="0" fillId="0" borderId="0" xfId="0" applyNumberFormat="1" applyFill="1" applyBorder="1"/>
    <xf numFmtId="0" fontId="0" fillId="0" borderId="16" xfId="0" applyFill="1" applyBorder="1"/>
    <xf numFmtId="3" fontId="0" fillId="0" borderId="16" xfId="0" applyNumberFormat="1" applyFill="1" applyBorder="1"/>
    <xf numFmtId="1" fontId="2" fillId="0" borderId="0" xfId="0" applyNumberFormat="1"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0" fillId="3" borderId="28" xfId="0" applyFill="1" applyBorder="1" applyAlignment="1">
      <alignment horizontal="left" wrapText="1"/>
    </xf>
    <xf numFmtId="0" fontId="0" fillId="3" borderId="26" xfId="0" applyFill="1" applyBorder="1" applyAlignment="1">
      <alignment horizontal="left" wrapText="1"/>
    </xf>
    <xf numFmtId="0" fontId="0" fillId="3" borderId="27" xfId="0" applyFill="1" applyBorder="1" applyAlignment="1">
      <alignment horizontal="left" wrapText="1"/>
    </xf>
    <xf numFmtId="0" fontId="15" fillId="0" borderId="13" xfId="0" applyFont="1" applyFill="1" applyBorder="1" applyAlignment="1">
      <alignment horizontal="left" vertical="top" wrapText="1"/>
    </xf>
    <xf numFmtId="0" fontId="15" fillId="0" borderId="0" xfId="0" applyFont="1" applyFill="1" applyBorder="1" applyAlignment="1">
      <alignment horizontal="left" vertical="top" wrapText="1"/>
    </xf>
    <xf numFmtId="0" fontId="15" fillId="0" borderId="14" xfId="0" applyFont="1" applyFill="1" applyBorder="1" applyAlignment="1">
      <alignment horizontal="left" vertical="top" wrapText="1"/>
    </xf>
    <xf numFmtId="0" fontId="15" fillId="0" borderId="15" xfId="0" applyFont="1" applyFill="1" applyBorder="1" applyAlignment="1">
      <alignment horizontal="left" vertical="top" wrapText="1"/>
    </xf>
    <xf numFmtId="0" fontId="15" fillId="0" borderId="16" xfId="0" applyFont="1" applyFill="1" applyBorder="1" applyAlignment="1">
      <alignment horizontal="left" vertical="top" wrapText="1"/>
    </xf>
    <xf numFmtId="0" fontId="15" fillId="0" borderId="17" xfId="0" applyFont="1" applyFill="1" applyBorder="1" applyAlignment="1">
      <alignment horizontal="left" vertical="top" wrapText="1"/>
    </xf>
  </cellXfs>
  <cellStyles count="211">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293.076</c:v>
                </c:pt>
                <c:pt idx="1">
                  <c:v>301.4496</c:v>
                </c:pt>
                <c:pt idx="2">
                  <c:v>309.8232</c:v>
                </c:pt>
                <c:pt idx="3">
                  <c:v>318.1968</c:v>
                </c:pt>
                <c:pt idx="4">
                  <c:v>326.5704</c:v>
                </c:pt>
                <c:pt idx="5">
                  <c:v>334.944</c:v>
                </c:pt>
                <c:pt idx="6">
                  <c:v>267.9552</c:v>
                </c:pt>
                <c:pt idx="7">
                  <c:v>200.9664</c:v>
                </c:pt>
                <c:pt idx="8">
                  <c:v>133.9776</c:v>
                </c:pt>
                <c:pt idx="9">
                  <c:v>66.98880000000003</c:v>
                </c:pt>
                <c:pt idx="10" formatCode="#,##0">
                  <c:v>0.0</c:v>
                </c:pt>
                <c:pt idx="11" formatCode="#,##0">
                  <c:v>0.0</c:v>
                </c:pt>
                <c:pt idx="12" formatCode="#,##0">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formatCode="#,##0">
                  <c:v>0.0</c:v>
                </c:pt>
                <c:pt idx="11" formatCode="#,##0">
                  <c:v>0.0</c:v>
                </c:pt>
                <c:pt idx="12" formatCode="#,##0">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2.185635204E6</c:v>
                </c:pt>
                <c:pt idx="1">
                  <c:v>2.2197408768E6</c:v>
                </c:pt>
                <c:pt idx="2">
                  <c:v>2.2538465496E6</c:v>
                </c:pt>
                <c:pt idx="3">
                  <c:v>2.2879522224E6</c:v>
                </c:pt>
                <c:pt idx="4">
                  <c:v>2.3220578952E6</c:v>
                </c:pt>
                <c:pt idx="5">
                  <c:v>2.356163568E6</c:v>
                </c:pt>
                <c:pt idx="6">
                  <c:v>2.4159324544E6</c:v>
                </c:pt>
                <c:pt idx="7">
                  <c:v>2.4757013408E6</c:v>
                </c:pt>
                <c:pt idx="8">
                  <c:v>2.5354702272E6</c:v>
                </c:pt>
                <c:pt idx="9">
                  <c:v>2.5952391136E6</c:v>
                </c:pt>
                <c:pt idx="10">
                  <c:v>2.655008E6</c:v>
                </c:pt>
                <c:pt idx="11">
                  <c:v>2.416832E6</c:v>
                </c:pt>
                <c:pt idx="12">
                  <c:v>2.405569E6</c:v>
                </c:pt>
                <c:pt idx="13">
                  <c:v>2.31819088133333E6</c:v>
                </c:pt>
                <c:pt idx="14">
                  <c:v>2.58032523733333E6</c:v>
                </c:pt>
                <c:pt idx="15">
                  <c:v>2.667703356E6</c:v>
                </c:pt>
                <c:pt idx="16">
                  <c:v>2.6460408528E6</c:v>
                </c:pt>
                <c:pt idx="17">
                  <c:v>2.6243783496E6</c:v>
                </c:pt>
                <c:pt idx="18">
                  <c:v>2.6027158464E6</c:v>
                </c:pt>
                <c:pt idx="19">
                  <c:v>2.5810533432E6</c:v>
                </c:pt>
                <c:pt idx="20">
                  <c:v>2.55939084E6</c:v>
                </c:pt>
                <c:pt idx="21">
                  <c:v>2.4639904152E6</c:v>
                </c:pt>
                <c:pt idx="22">
                  <c:v>2.3685899904E6</c:v>
                </c:pt>
                <c:pt idx="23">
                  <c:v>2.2731895656E6</c:v>
                </c:pt>
                <c:pt idx="24">
                  <c:v>2.1777891408E6</c:v>
                </c:pt>
                <c:pt idx="25">
                  <c:v>2.082388716E6</c:v>
                </c:pt>
                <c:pt idx="26">
                  <c:v>2.0213367984E6</c:v>
                </c:pt>
                <c:pt idx="27">
                  <c:v>1.9602848808E6</c:v>
                </c:pt>
                <c:pt idx="28">
                  <c:v>1.8992329632E6</c:v>
                </c:pt>
                <c:pt idx="29">
                  <c:v>1.8381810456E6</c:v>
                </c:pt>
                <c:pt idx="30">
                  <c:v>1.777129128E6</c:v>
                </c:pt>
                <c:pt idx="31">
                  <c:v>1.7871104592E6</c:v>
                </c:pt>
                <c:pt idx="32">
                  <c:v>1.7970917904E6</c:v>
                </c:pt>
                <c:pt idx="33">
                  <c:v>1.8070731216E6</c:v>
                </c:pt>
                <c:pt idx="34">
                  <c:v>1.8170544528E6</c:v>
                </c:pt>
                <c:pt idx="35">
                  <c:v>1.827035784E6</c:v>
                </c:pt>
                <c:pt idx="36">
                  <c:v>1.8384155064E6</c:v>
                </c:pt>
                <c:pt idx="37">
                  <c:v>1.8497952288E6</c:v>
                </c:pt>
                <c:pt idx="38">
                  <c:v>1.8611749512E6</c:v>
                </c:pt>
                <c:pt idx="39">
                  <c:v>1.8725546736E6</c:v>
                </c:pt>
                <c:pt idx="40">
                  <c:v>1.883934396E6</c:v>
                </c:pt>
                <c:pt idx="41">
                  <c:v>1.8557739792E6</c:v>
                </c:pt>
                <c:pt idx="42">
                  <c:v>1.8276135624E6</c:v>
                </c:pt>
                <c:pt idx="43">
                  <c:v>1.7994531456E6</c:v>
                </c:pt>
                <c:pt idx="44">
                  <c:v>1.7712927288E6</c:v>
                </c:pt>
                <c:pt idx="45">
                  <c:v>1.743132312E6</c:v>
                </c:pt>
                <c:pt idx="46">
                  <c:v>1.688243364E6</c:v>
                </c:pt>
                <c:pt idx="47">
                  <c:v>1.633354416E6</c:v>
                </c:pt>
                <c:pt idx="48">
                  <c:v>1.578465468E6</c:v>
                </c:pt>
                <c:pt idx="49">
                  <c:v>1.52357652E6</c:v>
                </c:pt>
                <c:pt idx="50">
                  <c:v>1.468687572E6</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101697.372</c:v>
                </c:pt>
                <c:pt idx="1">
                  <c:v>100960.4952</c:v>
                </c:pt>
                <c:pt idx="2">
                  <c:v>100223.6184</c:v>
                </c:pt>
                <c:pt idx="3">
                  <c:v>99486.74160000001</c:v>
                </c:pt>
                <c:pt idx="4">
                  <c:v>98749.86480000001</c:v>
                </c:pt>
                <c:pt idx="5">
                  <c:v>98012.98800000001</c:v>
                </c:pt>
                <c:pt idx="6">
                  <c:v>92507.59040000001</c:v>
                </c:pt>
                <c:pt idx="7">
                  <c:v>87002.1928</c:v>
                </c:pt>
                <c:pt idx="8">
                  <c:v>81496.79520000001</c:v>
                </c:pt>
                <c:pt idx="9">
                  <c:v>75991.3976</c:v>
                </c:pt>
                <c:pt idx="10">
                  <c:v>70486.0</c:v>
                </c:pt>
                <c:pt idx="11">
                  <c:v>71225.0</c:v>
                </c:pt>
                <c:pt idx="12">
                  <c:v>74785.0</c:v>
                </c:pt>
                <c:pt idx="13">
                  <c:v>61202.89466666667</c:v>
                </c:pt>
                <c:pt idx="14">
                  <c:v>47620.78933333333</c:v>
                </c:pt>
                <c:pt idx="15">
                  <c:v>34038.684</c:v>
                </c:pt>
                <c:pt idx="16">
                  <c:v>27230.9472</c:v>
                </c:pt>
                <c:pt idx="17">
                  <c:v>20423.2104</c:v>
                </c:pt>
                <c:pt idx="18">
                  <c:v>13615.4736</c:v>
                </c:pt>
                <c:pt idx="19">
                  <c:v>6807.736799999999</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42412.284</c:v>
                </c:pt>
                <c:pt idx="1">
                  <c:v>42563.0088</c:v>
                </c:pt>
                <c:pt idx="2">
                  <c:v>42713.7336</c:v>
                </c:pt>
                <c:pt idx="3">
                  <c:v>42864.4584</c:v>
                </c:pt>
                <c:pt idx="4">
                  <c:v>43015.1832</c:v>
                </c:pt>
                <c:pt idx="5">
                  <c:v>43165.908</c:v>
                </c:pt>
                <c:pt idx="6">
                  <c:v>43107.2928</c:v>
                </c:pt>
                <c:pt idx="7">
                  <c:v>43048.6776</c:v>
                </c:pt>
                <c:pt idx="8">
                  <c:v>42990.0624</c:v>
                </c:pt>
                <c:pt idx="9">
                  <c:v>42931.4472</c:v>
                </c:pt>
                <c:pt idx="10">
                  <c:v>42872.832</c:v>
                </c:pt>
                <c:pt idx="11">
                  <c:v>42864.4584</c:v>
                </c:pt>
                <c:pt idx="12">
                  <c:v>42856.0848</c:v>
                </c:pt>
                <c:pt idx="13">
                  <c:v>42847.7112</c:v>
                </c:pt>
                <c:pt idx="14">
                  <c:v>42839.3376</c:v>
                </c:pt>
                <c:pt idx="15">
                  <c:v>42830.964</c:v>
                </c:pt>
                <c:pt idx="16">
                  <c:v>42839.3376</c:v>
                </c:pt>
                <c:pt idx="17">
                  <c:v>42847.7112</c:v>
                </c:pt>
                <c:pt idx="18">
                  <c:v>42856.0848</c:v>
                </c:pt>
                <c:pt idx="19">
                  <c:v>42864.4584</c:v>
                </c:pt>
                <c:pt idx="20">
                  <c:v>42872.832</c:v>
                </c:pt>
                <c:pt idx="21">
                  <c:v>43065.4248</c:v>
                </c:pt>
                <c:pt idx="22">
                  <c:v>43258.0176</c:v>
                </c:pt>
                <c:pt idx="23">
                  <c:v>43450.61040000001</c:v>
                </c:pt>
                <c:pt idx="24">
                  <c:v>43643.2032</c:v>
                </c:pt>
                <c:pt idx="25">
                  <c:v>43835.796</c:v>
                </c:pt>
                <c:pt idx="26">
                  <c:v>45527.2632</c:v>
                </c:pt>
                <c:pt idx="27">
                  <c:v>47218.7304</c:v>
                </c:pt>
                <c:pt idx="28">
                  <c:v>48910.1976</c:v>
                </c:pt>
                <c:pt idx="29">
                  <c:v>50601.66480000001</c:v>
                </c:pt>
                <c:pt idx="30">
                  <c:v>52293.13200000001</c:v>
                </c:pt>
                <c:pt idx="31">
                  <c:v>65163.3552</c:v>
                </c:pt>
                <c:pt idx="32">
                  <c:v>78033.5784</c:v>
                </c:pt>
                <c:pt idx="33">
                  <c:v>90903.8016</c:v>
                </c:pt>
                <c:pt idx="34">
                  <c:v>103774.0248</c:v>
                </c:pt>
                <c:pt idx="35">
                  <c:v>116644.248</c:v>
                </c:pt>
                <c:pt idx="36">
                  <c:v>116644.248</c:v>
                </c:pt>
                <c:pt idx="37">
                  <c:v>116644.248</c:v>
                </c:pt>
                <c:pt idx="38">
                  <c:v>116644.248</c:v>
                </c:pt>
                <c:pt idx="39">
                  <c:v>116644.248</c:v>
                </c:pt>
                <c:pt idx="40">
                  <c:v>116644.248</c:v>
                </c:pt>
                <c:pt idx="41">
                  <c:v>115597.548</c:v>
                </c:pt>
                <c:pt idx="42">
                  <c:v>114550.848</c:v>
                </c:pt>
                <c:pt idx="43">
                  <c:v>113504.148</c:v>
                </c:pt>
                <c:pt idx="44">
                  <c:v>112457.448</c:v>
                </c:pt>
                <c:pt idx="45">
                  <c:v>111410.748</c:v>
                </c:pt>
                <c:pt idx="46">
                  <c:v>111410.748</c:v>
                </c:pt>
                <c:pt idx="47">
                  <c:v>111410.748</c:v>
                </c:pt>
                <c:pt idx="48">
                  <c:v>111410.748</c:v>
                </c:pt>
                <c:pt idx="49">
                  <c:v>111410.748</c:v>
                </c:pt>
                <c:pt idx="50">
                  <c:v>111410.748</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47621.3833296</c:v>
                </c:pt>
                <c:pt idx="1">
                  <c:v>50430.2907024</c:v>
                </c:pt>
                <c:pt idx="2">
                  <c:v>53239.1980752</c:v>
                </c:pt>
                <c:pt idx="3">
                  <c:v>56048.105448</c:v>
                </c:pt>
                <c:pt idx="4">
                  <c:v>58857.0128208</c:v>
                </c:pt>
                <c:pt idx="5">
                  <c:v>61665.9201936</c:v>
                </c:pt>
                <c:pt idx="6">
                  <c:v>66144.56694912001</c:v>
                </c:pt>
                <c:pt idx="7">
                  <c:v>70623.21370464</c:v>
                </c:pt>
                <c:pt idx="8">
                  <c:v>75101.86046016</c:v>
                </c:pt>
                <c:pt idx="9">
                  <c:v>79580.50721568</c:v>
                </c:pt>
                <c:pt idx="10">
                  <c:v>84059.15397120001</c:v>
                </c:pt>
                <c:pt idx="11">
                  <c:v>85323.16228896001</c:v>
                </c:pt>
                <c:pt idx="12">
                  <c:v>86587.17060672</c:v>
                </c:pt>
                <c:pt idx="13">
                  <c:v>87851.17892448</c:v>
                </c:pt>
                <c:pt idx="14">
                  <c:v>89115.18724224</c:v>
                </c:pt>
                <c:pt idx="15">
                  <c:v>90379.19556</c:v>
                </c:pt>
                <c:pt idx="16">
                  <c:v>92595.11137632001</c:v>
                </c:pt>
                <c:pt idx="17">
                  <c:v>94811.02719264</c:v>
                </c:pt>
                <c:pt idx="18">
                  <c:v>97026.94300896001</c:v>
                </c:pt>
                <c:pt idx="19">
                  <c:v>99242.85882528</c:v>
                </c:pt>
                <c:pt idx="20">
                  <c:v>101458.7746416</c:v>
                </c:pt>
                <c:pt idx="21">
                  <c:v>101125.86710112</c:v>
                </c:pt>
                <c:pt idx="22">
                  <c:v>100792.95956064</c:v>
                </c:pt>
                <c:pt idx="23">
                  <c:v>100460.05202016</c:v>
                </c:pt>
                <c:pt idx="24">
                  <c:v>100127.14447968</c:v>
                </c:pt>
                <c:pt idx="25">
                  <c:v>99794.2369392</c:v>
                </c:pt>
                <c:pt idx="26">
                  <c:v>100522.472184</c:v>
                </c:pt>
                <c:pt idx="27">
                  <c:v>101250.7074288</c:v>
                </c:pt>
                <c:pt idx="28">
                  <c:v>101978.9426736</c:v>
                </c:pt>
                <c:pt idx="29">
                  <c:v>102707.1779184</c:v>
                </c:pt>
                <c:pt idx="30">
                  <c:v>103435.4131632</c:v>
                </c:pt>
                <c:pt idx="31">
                  <c:v>104304.09377664</c:v>
                </c:pt>
                <c:pt idx="32">
                  <c:v>105172.77439008</c:v>
                </c:pt>
                <c:pt idx="33">
                  <c:v>106041.45500352</c:v>
                </c:pt>
                <c:pt idx="34">
                  <c:v>106910.13561696</c:v>
                </c:pt>
                <c:pt idx="35">
                  <c:v>107778.8162304</c:v>
                </c:pt>
                <c:pt idx="36">
                  <c:v>108262.57250016</c:v>
                </c:pt>
                <c:pt idx="37">
                  <c:v>108746.32876992</c:v>
                </c:pt>
                <c:pt idx="38">
                  <c:v>109230.08503968</c:v>
                </c:pt>
                <c:pt idx="39">
                  <c:v>109713.84130944</c:v>
                </c:pt>
                <c:pt idx="40">
                  <c:v>110197.5975792</c:v>
                </c:pt>
                <c:pt idx="41">
                  <c:v>111295.15212672</c:v>
                </c:pt>
                <c:pt idx="42">
                  <c:v>112392.70667424</c:v>
                </c:pt>
                <c:pt idx="43">
                  <c:v>113490.26122176</c:v>
                </c:pt>
                <c:pt idx="44">
                  <c:v>114587.81576928</c:v>
                </c:pt>
                <c:pt idx="45">
                  <c:v>115685.3703168</c:v>
                </c:pt>
                <c:pt idx="46">
                  <c:v>117474.74834688</c:v>
                </c:pt>
                <c:pt idx="47">
                  <c:v>119264.12637696</c:v>
                </c:pt>
                <c:pt idx="48">
                  <c:v>121053.50440704</c:v>
                </c:pt>
                <c:pt idx="49">
                  <c:v>122842.88243712</c:v>
                </c:pt>
                <c:pt idx="50">
                  <c:v>124632.2604672</c:v>
                </c:pt>
              </c:numCache>
            </c:numRef>
          </c:val>
          <c:smooth val="0"/>
        </c:ser>
        <c:dLbls>
          <c:showLegendKey val="0"/>
          <c:showVal val="0"/>
          <c:showCatName val="0"/>
          <c:showSerName val="0"/>
          <c:showPercent val="0"/>
          <c:showBubbleSize val="0"/>
        </c:dLbls>
        <c:marker val="1"/>
        <c:smooth val="0"/>
        <c:axId val="2081365240"/>
        <c:axId val="2081398328"/>
      </c:lineChart>
      <c:catAx>
        <c:axId val="2081365240"/>
        <c:scaling>
          <c:orientation val="minMax"/>
        </c:scaling>
        <c:delete val="0"/>
        <c:axPos val="b"/>
        <c:majorTickMark val="out"/>
        <c:minorTickMark val="none"/>
        <c:tickLblPos val="nextTo"/>
        <c:crossAx val="2081398328"/>
        <c:crosses val="autoZero"/>
        <c:auto val="1"/>
        <c:lblAlgn val="ctr"/>
        <c:lblOffset val="100"/>
        <c:noMultiLvlLbl val="0"/>
      </c:catAx>
      <c:valAx>
        <c:axId val="2081398328"/>
        <c:scaling>
          <c:orientation val="minMax"/>
        </c:scaling>
        <c:delete val="0"/>
        <c:axPos val="l"/>
        <c:majorGridlines/>
        <c:numFmt formatCode="General" sourceLinked="1"/>
        <c:majorTickMark val="out"/>
        <c:minorTickMark val="none"/>
        <c:tickLblPos val="nextTo"/>
        <c:crossAx val="208136524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7" sqref="C7"/>
    </sheetView>
  </sheetViews>
  <sheetFormatPr baseColWidth="10" defaultRowHeight="15" x14ac:dyDescent="0"/>
  <cols>
    <col min="1" max="1" width="10.83203125" style="14"/>
    <col min="2" max="2" width="13.33203125" style="14" customWidth="1"/>
    <col min="3" max="3" width="44" style="14" customWidth="1"/>
    <col min="4" max="13" width="10.83203125" style="14" customWidth="1"/>
    <col min="14" max="16384" width="10.83203125" style="14"/>
  </cols>
  <sheetData>
    <row r="2" spans="2:8" ht="20">
      <c r="B2" s="13" t="s">
        <v>24</v>
      </c>
    </row>
    <row r="4" spans="2:8">
      <c r="B4" s="15" t="s">
        <v>25</v>
      </c>
      <c r="C4" s="16" t="s">
        <v>49</v>
      </c>
      <c r="D4" s="17"/>
      <c r="F4" s="18"/>
      <c r="G4" s="19"/>
      <c r="H4" s="18"/>
    </row>
    <row r="5" spans="2:8">
      <c r="B5" s="20" t="s">
        <v>26</v>
      </c>
      <c r="C5" s="130">
        <f>MAX(Changelog!D:D)</f>
        <v>1.01</v>
      </c>
      <c r="D5" s="22"/>
      <c r="F5" s="19"/>
      <c r="G5" s="19"/>
      <c r="H5" s="19"/>
    </row>
    <row r="6" spans="2:8">
      <c r="B6" s="20" t="s">
        <v>27</v>
      </c>
      <c r="C6" s="21" t="s">
        <v>117</v>
      </c>
      <c r="D6" s="22"/>
      <c r="F6" s="19"/>
      <c r="G6" s="19"/>
      <c r="H6" s="19"/>
    </row>
    <row r="7" spans="2:8">
      <c r="B7" s="20" t="s">
        <v>28</v>
      </c>
      <c r="C7" s="21">
        <v>2012</v>
      </c>
      <c r="D7" s="22"/>
      <c r="F7" s="19"/>
      <c r="G7" s="19"/>
      <c r="H7" s="19"/>
    </row>
    <row r="8" spans="2:8">
      <c r="B8" s="20" t="s">
        <v>29</v>
      </c>
      <c r="C8" s="23">
        <f>MAX(Changelog!B:B)</f>
        <v>41828</v>
      </c>
      <c r="D8" s="22"/>
      <c r="F8" s="19"/>
      <c r="G8" s="19"/>
      <c r="H8" s="19"/>
    </row>
    <row r="9" spans="2:8">
      <c r="B9" s="20" t="s">
        <v>30</v>
      </c>
      <c r="C9" s="19" t="s">
        <v>76</v>
      </c>
      <c r="D9" s="22"/>
      <c r="F9" s="19"/>
      <c r="G9" s="19"/>
      <c r="H9" s="19"/>
    </row>
    <row r="10" spans="2:8">
      <c r="B10" s="24" t="s">
        <v>31</v>
      </c>
      <c r="C10" s="25" t="s">
        <v>32</v>
      </c>
      <c r="D10" s="26"/>
      <c r="F10" s="19"/>
      <c r="G10" s="19"/>
      <c r="H10" s="19"/>
    </row>
    <row r="12" spans="2:8">
      <c r="B12" s="15" t="s">
        <v>33</v>
      </c>
      <c r="C12" s="16"/>
      <c r="D12" s="17"/>
    </row>
    <row r="13" spans="2:8">
      <c r="B13" s="27"/>
      <c r="C13" s="19"/>
      <c r="D13" s="22"/>
    </row>
    <row r="14" spans="2:8">
      <c r="B14" s="27" t="s">
        <v>34</v>
      </c>
      <c r="C14" s="28" t="s">
        <v>35</v>
      </c>
      <c r="D14" s="22"/>
    </row>
    <row r="15" spans="2:8" ht="16" thickBot="1">
      <c r="B15" s="27"/>
      <c r="C15" s="18" t="s">
        <v>36</v>
      </c>
      <c r="D15" s="22"/>
    </row>
    <row r="16" spans="2:8" ht="16" thickBot="1">
      <c r="B16" s="27"/>
      <c r="C16" s="29" t="s">
        <v>37</v>
      </c>
      <c r="D16" s="22"/>
    </row>
    <row r="17" spans="2:4">
      <c r="B17" s="27"/>
      <c r="C17" s="19" t="s">
        <v>38</v>
      </c>
      <c r="D17" s="22"/>
    </row>
    <row r="18" spans="2:4">
      <c r="B18" s="27"/>
      <c r="C18" s="19"/>
      <c r="D18" s="22"/>
    </row>
    <row r="19" spans="2:4">
      <c r="B19" s="27" t="s">
        <v>39</v>
      </c>
      <c r="C19" s="30" t="s">
        <v>40</v>
      </c>
      <c r="D19" s="22"/>
    </row>
    <row r="20" spans="2:4">
      <c r="B20" s="27"/>
      <c r="C20" s="31" t="s">
        <v>41</v>
      </c>
      <c r="D20" s="22"/>
    </row>
    <row r="21" spans="2:4">
      <c r="B21" s="27"/>
      <c r="C21" s="32" t="s">
        <v>42</v>
      </c>
      <c r="D21" s="22"/>
    </row>
    <row r="22" spans="2:4">
      <c r="B22" s="27"/>
      <c r="C22" s="33" t="s">
        <v>43</v>
      </c>
      <c r="D22" s="22"/>
    </row>
    <row r="23" spans="2:4">
      <c r="B23" s="34"/>
      <c r="C23" s="35" t="s">
        <v>44</v>
      </c>
      <c r="D23" s="22"/>
    </row>
    <row r="24" spans="2:4">
      <c r="B24" s="34"/>
      <c r="C24" s="36" t="s">
        <v>45</v>
      </c>
      <c r="D24" s="22"/>
    </row>
    <row r="25" spans="2:4">
      <c r="B25" s="34"/>
      <c r="C25" s="37" t="s">
        <v>46</v>
      </c>
      <c r="D25" s="22"/>
    </row>
    <row r="26" spans="2:4">
      <c r="B26" s="34"/>
      <c r="C26" s="38" t="s">
        <v>47</v>
      </c>
      <c r="D26" s="22"/>
    </row>
    <row r="27" spans="2:4">
      <c r="B27" s="39"/>
      <c r="C27" s="25"/>
      <c r="D27" s="26"/>
    </row>
    <row r="29" spans="2:4">
      <c r="B29" s="15" t="s">
        <v>48</v>
      </c>
      <c r="C29" s="16"/>
      <c r="D29" s="17"/>
    </row>
    <row r="30" spans="2:4">
      <c r="B30" s="34"/>
      <c r="C30" s="19"/>
      <c r="D30" s="22"/>
    </row>
    <row r="31" spans="2:4">
      <c r="B31" s="34"/>
      <c r="C31" s="19"/>
      <c r="D31" s="22"/>
    </row>
    <row r="32" spans="2:4">
      <c r="B32" s="34"/>
      <c r="C32" s="19"/>
      <c r="D32" s="22"/>
    </row>
    <row r="33" spans="2:4">
      <c r="B33" s="34"/>
      <c r="C33" s="19"/>
      <c r="D33" s="22"/>
    </row>
    <row r="34" spans="2:4">
      <c r="B34" s="34"/>
      <c r="C34" s="19"/>
      <c r="D34" s="22"/>
    </row>
    <row r="35" spans="2:4">
      <c r="B35" s="34"/>
      <c r="C35" s="19"/>
      <c r="D35" s="22"/>
    </row>
    <row r="36" spans="2:4">
      <c r="B36" s="34"/>
      <c r="C36" s="19"/>
      <c r="D36" s="22"/>
    </row>
    <row r="37" spans="2:4">
      <c r="B37" s="34"/>
      <c r="C37" s="19"/>
      <c r="D37" s="22"/>
    </row>
    <row r="38" spans="2:4">
      <c r="B38" s="34"/>
      <c r="C38" s="19"/>
      <c r="D38" s="22"/>
    </row>
    <row r="39" spans="2:4">
      <c r="B39" s="39"/>
      <c r="C39" s="25"/>
      <c r="D39" s="26"/>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election activeCell="D8" sqref="D8"/>
    </sheetView>
  </sheetViews>
  <sheetFormatPr baseColWidth="10" defaultRowHeight="15" x14ac:dyDescent="0"/>
  <cols>
    <col min="1" max="1" width="10.83203125" style="14"/>
    <col min="2" max="2" width="17.6640625" style="14" bestFit="1" customWidth="1"/>
    <col min="3" max="3" width="59.5" style="14" customWidth="1"/>
    <col min="4" max="16384" width="10.83203125" style="14"/>
  </cols>
  <sheetData>
    <row r="2" spans="2:4" ht="20">
      <c r="B2" s="13" t="s">
        <v>50</v>
      </c>
    </row>
    <row r="4" spans="2:4">
      <c r="B4" s="40" t="s">
        <v>29</v>
      </c>
      <c r="C4" s="41" t="s">
        <v>51</v>
      </c>
      <c r="D4" s="42" t="s">
        <v>52</v>
      </c>
    </row>
    <row r="5" spans="2:4">
      <c r="B5" s="43"/>
      <c r="C5" s="18"/>
      <c r="D5" s="44"/>
    </row>
    <row r="6" spans="2:4">
      <c r="B6" s="45">
        <v>41794</v>
      </c>
      <c r="C6" s="46" t="s">
        <v>75</v>
      </c>
      <c r="D6" s="47">
        <v>1</v>
      </c>
    </row>
    <row r="7" spans="2:4">
      <c r="B7" s="48">
        <v>41828</v>
      </c>
      <c r="C7" s="46" t="s">
        <v>118</v>
      </c>
      <c r="D7" s="47">
        <v>1.01</v>
      </c>
    </row>
    <row r="8" spans="2:4">
      <c r="B8" s="48"/>
      <c r="C8" s="46"/>
      <c r="D8" s="47"/>
    </row>
    <row r="9" spans="2:4">
      <c r="B9" s="48"/>
      <c r="C9" s="46"/>
      <c r="D9" s="47"/>
    </row>
    <row r="10" spans="2:4">
      <c r="B10" s="48"/>
      <c r="C10" s="46"/>
      <c r="D10" s="47"/>
    </row>
    <row r="11" spans="2:4">
      <c r="B11" s="48"/>
      <c r="C11" s="46"/>
      <c r="D11" s="47"/>
    </row>
    <row r="12" spans="2:4">
      <c r="B12" s="48"/>
      <c r="C12" s="46"/>
      <c r="D12" s="47"/>
    </row>
    <row r="13" spans="2:4">
      <c r="B13" s="48"/>
      <c r="C13" s="46"/>
      <c r="D13" s="47"/>
    </row>
    <row r="14" spans="2:4">
      <c r="B14" s="48"/>
      <c r="C14" s="49"/>
      <c r="D14" s="47"/>
    </row>
    <row r="15" spans="2:4">
      <c r="B15" s="48"/>
      <c r="C15" s="46"/>
      <c r="D15" s="47"/>
    </row>
    <row r="16" spans="2:4">
      <c r="B16" s="50"/>
      <c r="C16" s="51"/>
      <c r="D16" s="47"/>
    </row>
    <row r="17" spans="2:4">
      <c r="B17" s="48"/>
      <c r="C17" s="46"/>
      <c r="D17" s="47"/>
    </row>
    <row r="18" spans="2:4">
      <c r="B18" s="48"/>
      <c r="C18" s="49"/>
      <c r="D18" s="47"/>
    </row>
    <row r="19" spans="2:4">
      <c r="B19" s="48"/>
      <c r="C19" s="46"/>
      <c r="D19" s="47"/>
    </row>
    <row r="20" spans="2:4">
      <c r="B20" s="48"/>
      <c r="C20" s="46"/>
      <c r="D20" s="47"/>
    </row>
    <row r="21" spans="2:4">
      <c r="B21" s="48"/>
      <c r="C21" s="49"/>
      <c r="D21" s="47"/>
    </row>
    <row r="22" spans="2:4">
      <c r="B22" s="52"/>
      <c r="C22" s="51"/>
      <c r="D22" s="53"/>
    </row>
    <row r="23" spans="2:4">
      <c r="B23" s="52"/>
      <c r="C23" s="51"/>
      <c r="D23" s="53"/>
    </row>
    <row r="24" spans="2:4">
      <c r="B24" s="52"/>
      <c r="C24" s="51"/>
      <c r="D24" s="53"/>
    </row>
    <row r="25" spans="2:4">
      <c r="B25" s="52"/>
      <c r="C25" s="51"/>
      <c r="D25" s="53"/>
    </row>
    <row r="26" spans="2:4">
      <c r="B26" s="52"/>
      <c r="C26" s="51"/>
      <c r="D26" s="53"/>
    </row>
    <row r="27" spans="2:4">
      <c r="B27" s="52"/>
      <c r="C27" s="51"/>
      <c r="D27" s="53"/>
    </row>
    <row r="28" spans="2:4">
      <c r="B28" s="52"/>
      <c r="C28" s="51"/>
      <c r="D28" s="53"/>
    </row>
    <row r="29" spans="2:4">
      <c r="B29" s="52"/>
      <c r="C29" s="51"/>
      <c r="D29" s="53"/>
    </row>
    <row r="30" spans="2:4">
      <c r="B30" s="52"/>
      <c r="C30" s="51"/>
      <c r="D30" s="53"/>
    </row>
    <row r="31" spans="2:4">
      <c r="B31" s="54"/>
      <c r="C31" s="55"/>
      <c r="D31" s="56"/>
    </row>
    <row r="32" spans="2:4">
      <c r="B32" s="52"/>
      <c r="C32" s="51"/>
      <c r="D32" s="53"/>
    </row>
    <row r="33" spans="2:4">
      <c r="B33" s="52"/>
      <c r="C33" s="51"/>
      <c r="D33" s="53"/>
    </row>
    <row r="34" spans="2:4">
      <c r="B34" s="52"/>
      <c r="C34" s="51"/>
      <c r="D34" s="53"/>
    </row>
    <row r="35" spans="2:4">
      <c r="B35" s="52"/>
      <c r="C35" s="51"/>
      <c r="D35" s="53"/>
    </row>
    <row r="36" spans="2:4">
      <c r="B36" s="48"/>
      <c r="C36" s="46"/>
      <c r="D36" s="47"/>
    </row>
    <row r="37" spans="2:4">
      <c r="B37" s="57"/>
      <c r="C37" s="58"/>
      <c r="D37" s="59"/>
    </row>
    <row r="38" spans="2:4">
      <c r="D38" s="60"/>
    </row>
    <row r="39" spans="2:4">
      <c r="D39" s="60"/>
    </row>
    <row r="40" spans="2:4">
      <c r="D40" s="60"/>
    </row>
    <row r="41" spans="2:4">
      <c r="D41" s="60"/>
    </row>
    <row r="42" spans="2:4">
      <c r="D42" s="60"/>
    </row>
    <row r="43" spans="2:4">
      <c r="D43" s="60"/>
    </row>
    <row r="44" spans="2:4">
      <c r="D44" s="60"/>
    </row>
    <row r="45" spans="2:4">
      <c r="D45" s="6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4"/>
  <sheetViews>
    <sheetView workbookViewId="0">
      <selection activeCell="C12" sqref="C12"/>
    </sheetView>
  </sheetViews>
  <sheetFormatPr baseColWidth="10" defaultRowHeight="15" x14ac:dyDescent="0"/>
  <cols>
    <col min="1" max="1" width="8.6640625" style="14" customWidth="1"/>
    <col min="2" max="2" width="35.83203125" style="14" customWidth="1"/>
    <col min="3" max="3" width="100.83203125" style="14" customWidth="1"/>
    <col min="4" max="16384" width="10.83203125" style="14"/>
  </cols>
  <sheetData>
    <row r="2" spans="2:3" ht="20">
      <c r="B2" s="13" t="s">
        <v>53</v>
      </c>
    </row>
    <row r="4" spans="2:3" ht="30" customHeight="1">
      <c r="B4" s="61" t="s">
        <v>54</v>
      </c>
      <c r="C4" s="62" t="s">
        <v>55</v>
      </c>
    </row>
    <row r="5" spans="2:3" s="65" customFormat="1" ht="30" customHeight="1">
      <c r="B5" s="63" t="s">
        <v>24</v>
      </c>
      <c r="C5" s="64" t="s">
        <v>56</v>
      </c>
    </row>
    <row r="6" spans="2:3" s="65" customFormat="1" ht="30" customHeight="1">
      <c r="B6" s="66" t="s">
        <v>50</v>
      </c>
      <c r="C6" s="67" t="s">
        <v>57</v>
      </c>
    </row>
    <row r="7" spans="2:3" s="65" customFormat="1" ht="30" customHeight="1">
      <c r="B7" s="66" t="s">
        <v>53</v>
      </c>
      <c r="C7" s="64" t="s">
        <v>58</v>
      </c>
    </row>
    <row r="8" spans="2:3" s="65" customFormat="1" ht="30" customHeight="1">
      <c r="B8" s="66" t="s">
        <v>59</v>
      </c>
      <c r="C8" s="64" t="s">
        <v>60</v>
      </c>
    </row>
    <row r="9" spans="2:3" s="65" customFormat="1" ht="30" customHeight="1">
      <c r="B9" s="66" t="s">
        <v>18</v>
      </c>
      <c r="C9" s="64" t="s">
        <v>61</v>
      </c>
    </row>
    <row r="10" spans="2:3" s="65" customFormat="1" ht="30" customHeight="1">
      <c r="B10" s="68" t="s">
        <v>41</v>
      </c>
      <c r="C10" s="64" t="s">
        <v>62</v>
      </c>
    </row>
    <row r="11" spans="2:3" s="65" customFormat="1" ht="30" customHeight="1">
      <c r="B11" s="70" t="s">
        <v>108</v>
      </c>
      <c r="C11" s="64" t="s">
        <v>109</v>
      </c>
    </row>
    <row r="12" spans="2:3" s="65" customFormat="1" ht="30" customHeight="1">
      <c r="B12" s="70" t="s">
        <v>80</v>
      </c>
      <c r="C12" s="64" t="s">
        <v>83</v>
      </c>
    </row>
    <row r="13" spans="2:3" s="65" customFormat="1" ht="30" customHeight="1">
      <c r="B13" s="70" t="s">
        <v>79</v>
      </c>
      <c r="C13" s="69" t="s">
        <v>84</v>
      </c>
    </row>
    <row r="14" spans="2:3" s="65" customFormat="1" ht="30" customHeight="1">
      <c r="B14" s="71" t="s">
        <v>77</v>
      </c>
      <c r="C14" s="64"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1"/>
  <sheetViews>
    <sheetView workbookViewId="0">
      <selection activeCell="B17" sqref="B17"/>
    </sheetView>
  </sheetViews>
  <sheetFormatPr baseColWidth="10" defaultRowHeight="15" x14ac:dyDescent="0"/>
  <cols>
    <col min="1" max="1" width="10.83203125" style="14" customWidth="1"/>
    <col min="2" max="2" width="140.83203125" style="14" customWidth="1"/>
    <col min="3" max="3" width="20.33203125" style="14" customWidth="1"/>
    <col min="4" max="16384" width="10.83203125" style="14"/>
  </cols>
  <sheetData>
    <row r="2" spans="2:3" ht="20">
      <c r="B2" s="13" t="s">
        <v>59</v>
      </c>
    </row>
    <row r="4" spans="2:3">
      <c r="B4" s="72" t="s">
        <v>63</v>
      </c>
      <c r="C4" s="19"/>
    </row>
    <row r="5" spans="2:3">
      <c r="B5" s="73"/>
      <c r="C5" s="19"/>
    </row>
    <row r="6" spans="2:3" ht="30">
      <c r="B6" s="74" t="s">
        <v>105</v>
      </c>
      <c r="C6" s="19"/>
    </row>
    <row r="7" spans="2:3">
      <c r="B7" s="75"/>
      <c r="C7" s="19"/>
    </row>
    <row r="8" spans="2:3" ht="15" customHeight="1">
      <c r="B8" s="76"/>
      <c r="C8" s="19"/>
    </row>
    <row r="9" spans="2:3" ht="15" customHeight="1">
      <c r="B9" s="72" t="s">
        <v>64</v>
      </c>
      <c r="C9" s="19"/>
    </row>
    <row r="10" spans="2:3" ht="15" customHeight="1">
      <c r="B10" s="73"/>
      <c r="C10" s="19"/>
    </row>
    <row r="11" spans="2:3" ht="15" customHeight="1">
      <c r="B11" s="77" t="s">
        <v>85</v>
      </c>
      <c r="C11" s="19"/>
    </row>
    <row r="12" spans="2:3" ht="15" customHeight="1">
      <c r="B12" s="77" t="s">
        <v>86</v>
      </c>
      <c r="C12" s="19"/>
    </row>
    <row r="13" spans="2:3" ht="15" customHeight="1">
      <c r="B13" s="77" t="s">
        <v>87</v>
      </c>
      <c r="C13" s="19"/>
    </row>
    <row r="14" spans="2:3" ht="15" customHeight="1">
      <c r="B14" s="77" t="s">
        <v>81</v>
      </c>
      <c r="C14" s="19"/>
    </row>
    <row r="15" spans="2:3" ht="15" customHeight="1">
      <c r="B15" s="77" t="s">
        <v>106</v>
      </c>
      <c r="C15" s="19"/>
    </row>
    <row r="16" spans="2:3" ht="15" customHeight="1">
      <c r="B16" s="77" t="s">
        <v>107</v>
      </c>
      <c r="C16" s="19"/>
    </row>
    <row r="17" spans="2:3" ht="15" customHeight="1">
      <c r="B17" s="78"/>
      <c r="C17" s="19"/>
    </row>
    <row r="18" spans="2:3">
      <c r="B18" s="79"/>
    </row>
    <row r="19" spans="2:3">
      <c r="B19" s="80" t="s">
        <v>65</v>
      </c>
    </row>
    <row r="20" spans="2:3">
      <c r="B20" s="81"/>
    </row>
    <row r="21" spans="2:3" ht="90">
      <c r="B21" s="82" t="s">
        <v>66</v>
      </c>
    </row>
    <row r="22" spans="2:3">
      <c r="B22" s="83"/>
    </row>
    <row r="25" spans="2:3" ht="15" customHeight="1"/>
    <row r="31" spans="2:3"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election activeCell="C20" sqref="C20"/>
    </sheetView>
  </sheetViews>
  <sheetFormatPr baseColWidth="10" defaultRowHeight="15" x14ac:dyDescent="0"/>
  <cols>
    <col min="1" max="1" width="10.83203125" style="14"/>
    <col min="2" max="2" width="25.83203125" style="14" customWidth="1"/>
    <col min="3" max="4" width="75.83203125" style="14" customWidth="1"/>
    <col min="5" max="16384" width="10.83203125" style="14"/>
  </cols>
  <sheetData>
    <row r="2" spans="1:6" ht="20">
      <c r="B2" s="13" t="s">
        <v>18</v>
      </c>
      <c r="C2" s="13"/>
    </row>
    <row r="3" spans="1:6">
      <c r="A3" s="84"/>
      <c r="B3" s="84"/>
      <c r="C3" s="84"/>
      <c r="D3" s="84"/>
    </row>
    <row r="4" spans="1:6">
      <c r="A4" s="84"/>
      <c r="B4" s="85" t="s">
        <v>67</v>
      </c>
      <c r="C4" s="86"/>
      <c r="D4" s="84"/>
    </row>
    <row r="5" spans="1:6" ht="79" customHeight="1">
      <c r="A5" s="84"/>
      <c r="B5" s="177" t="s">
        <v>68</v>
      </c>
      <c r="C5" s="178"/>
      <c r="D5" s="84"/>
    </row>
    <row r="6" spans="1:6" ht="16" thickBot="1">
      <c r="A6" s="84"/>
      <c r="B6" s="84"/>
      <c r="C6" s="84"/>
      <c r="D6" s="84"/>
    </row>
    <row r="7" spans="1:6">
      <c r="A7" s="84"/>
      <c r="B7" s="87" t="s">
        <v>69</v>
      </c>
      <c r="C7" s="88"/>
      <c r="D7" s="89"/>
    </row>
    <row r="8" spans="1:6">
      <c r="A8" s="84"/>
      <c r="B8" s="90"/>
      <c r="C8" s="91"/>
      <c r="D8" s="92"/>
      <c r="F8" s="93"/>
    </row>
    <row r="9" spans="1:6">
      <c r="A9" s="84"/>
      <c r="B9" s="94" t="s">
        <v>70</v>
      </c>
      <c r="C9" s="95" t="s">
        <v>71</v>
      </c>
      <c r="D9" s="96" t="s">
        <v>72</v>
      </c>
    </row>
    <row r="10" spans="1:6">
      <c r="A10" s="84"/>
      <c r="B10" s="97"/>
      <c r="C10" s="98"/>
      <c r="D10" s="99"/>
    </row>
    <row r="11" spans="1:6" ht="30">
      <c r="B11" s="102"/>
      <c r="C11" s="101" t="s">
        <v>88</v>
      </c>
      <c r="D11" s="103"/>
      <c r="F11" s="104"/>
    </row>
    <row r="12" spans="1:6">
      <c r="B12" s="102"/>
      <c r="C12" s="101"/>
      <c r="D12" s="103"/>
      <c r="F12" s="104"/>
    </row>
    <row r="13" spans="1:6" ht="16" thickBot="1">
      <c r="B13" s="105"/>
      <c r="C13" s="106"/>
      <c r="D13" s="107"/>
    </row>
    <row r="14" spans="1:6" ht="16" thickBot="1">
      <c r="B14" s="84"/>
      <c r="C14" s="84"/>
      <c r="D14" s="84"/>
    </row>
    <row r="15" spans="1:6">
      <c r="B15" s="87" t="s">
        <v>73</v>
      </c>
      <c r="C15" s="88"/>
      <c r="D15" s="89"/>
    </row>
    <row r="16" spans="1:6">
      <c r="B16" s="90"/>
      <c r="C16" s="91"/>
      <c r="D16" s="92"/>
    </row>
    <row r="17" spans="2:4">
      <c r="B17" s="94" t="s">
        <v>70</v>
      </c>
      <c r="C17" s="95" t="s">
        <v>71</v>
      </c>
      <c r="D17" s="96" t="s">
        <v>74</v>
      </c>
    </row>
    <row r="18" spans="2:4">
      <c r="B18" s="97"/>
      <c r="C18" s="108"/>
      <c r="D18" s="99"/>
    </row>
    <row r="19" spans="2:4">
      <c r="B19" s="100"/>
      <c r="C19" s="101" t="s">
        <v>115</v>
      </c>
      <c r="D19" s="103"/>
    </row>
    <row r="20" spans="2:4">
      <c r="B20" s="100"/>
      <c r="C20" s="109"/>
      <c r="D20" s="110"/>
    </row>
    <row r="21" spans="2:4" ht="16" thickBot="1">
      <c r="B21" s="111"/>
      <c r="C21" s="112"/>
      <c r="D21" s="113"/>
    </row>
    <row r="22" spans="2:4">
      <c r="B22" s="84"/>
      <c r="C22" s="84"/>
      <c r="D22" s="84"/>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P35"/>
  <sheetViews>
    <sheetView tabSelected="1" workbookViewId="0"/>
  </sheetViews>
  <sheetFormatPr baseColWidth="10" defaultRowHeight="15" x14ac:dyDescent="0"/>
  <cols>
    <col min="1" max="1" width="10.83203125" style="1"/>
    <col min="2" max="2" width="28.6640625" style="1" customWidth="1"/>
    <col min="3" max="16384" width="10.83203125" style="1"/>
  </cols>
  <sheetData>
    <row r="1" spans="1:16">
      <c r="A1" s="14"/>
      <c r="B1" s="14"/>
      <c r="C1" s="14"/>
      <c r="D1" s="114"/>
      <c r="E1" s="84"/>
      <c r="F1" s="84"/>
      <c r="G1" s="84"/>
      <c r="H1" s="84"/>
      <c r="I1" s="84"/>
      <c r="J1" s="14"/>
      <c r="K1" s="14"/>
      <c r="L1" s="14"/>
      <c r="M1" s="14"/>
      <c r="N1" s="14"/>
      <c r="O1" s="14"/>
      <c r="P1" s="14"/>
    </row>
    <row r="2" spans="1:16" ht="20">
      <c r="A2" s="14"/>
      <c r="B2" s="13" t="s">
        <v>41</v>
      </c>
      <c r="C2" s="14"/>
      <c r="D2" s="114"/>
      <c r="E2" s="84"/>
      <c r="F2" s="84"/>
      <c r="G2" s="84"/>
      <c r="H2" s="84"/>
      <c r="I2" s="84"/>
      <c r="J2" s="14"/>
      <c r="K2" s="121"/>
      <c r="L2" s="18"/>
      <c r="M2" s="19"/>
      <c r="N2" s="14"/>
      <c r="O2" s="14"/>
      <c r="P2" s="14"/>
    </row>
    <row r="3" spans="1:16" ht="15" customHeight="1">
      <c r="A3" s="14"/>
      <c r="B3" s="115"/>
      <c r="C3" s="84"/>
      <c r="D3" s="116"/>
      <c r="E3" s="84"/>
      <c r="F3" s="84"/>
      <c r="G3" s="84"/>
      <c r="H3" s="84"/>
      <c r="I3" s="84"/>
      <c r="J3" s="84"/>
      <c r="K3" s="122"/>
      <c r="L3" s="19"/>
      <c r="M3" s="19"/>
      <c r="N3" s="14"/>
      <c r="O3" s="14"/>
      <c r="P3" s="14"/>
    </row>
    <row r="4" spans="1:16" ht="15" customHeight="1">
      <c r="A4" s="14"/>
      <c r="B4" s="117" t="s">
        <v>67</v>
      </c>
      <c r="C4" s="118"/>
      <c r="D4" s="118"/>
      <c r="E4" s="118"/>
      <c r="F4" s="118"/>
      <c r="G4" s="119"/>
      <c r="H4" s="91"/>
      <c r="I4" s="91"/>
      <c r="J4" s="84"/>
      <c r="K4" s="123"/>
      <c r="L4" s="19"/>
      <c r="M4" s="19"/>
      <c r="N4" s="14"/>
      <c r="O4" s="14"/>
      <c r="P4" s="14"/>
    </row>
    <row r="5" spans="1:16" ht="15" customHeight="1">
      <c r="A5" s="14"/>
      <c r="B5" s="179" t="s">
        <v>112</v>
      </c>
      <c r="C5" s="180"/>
      <c r="D5" s="180"/>
      <c r="E5" s="180"/>
      <c r="F5" s="180"/>
      <c r="G5" s="181"/>
      <c r="H5" s="120"/>
      <c r="I5" s="120"/>
      <c r="J5" s="84"/>
      <c r="K5" s="124"/>
      <c r="L5" s="19"/>
      <c r="M5" s="19"/>
      <c r="N5" s="14"/>
      <c r="O5" s="14"/>
      <c r="P5" s="14"/>
    </row>
    <row r="6" spans="1:16">
      <c r="A6" s="14"/>
      <c r="B6" s="179"/>
      <c r="C6" s="180"/>
      <c r="D6" s="180"/>
      <c r="E6" s="180"/>
      <c r="F6" s="180"/>
      <c r="G6" s="181"/>
      <c r="H6" s="120"/>
      <c r="I6" s="120"/>
      <c r="J6" s="84"/>
      <c r="K6" s="124"/>
      <c r="L6" s="19"/>
      <c r="M6" s="19"/>
      <c r="N6" s="14"/>
      <c r="O6" s="14"/>
      <c r="P6" s="14"/>
    </row>
    <row r="7" spans="1:16">
      <c r="A7" s="14"/>
      <c r="B7" s="177"/>
      <c r="C7" s="182"/>
      <c r="D7" s="182"/>
      <c r="E7" s="182"/>
      <c r="F7" s="182"/>
      <c r="G7" s="178"/>
      <c r="H7" s="120"/>
      <c r="I7" s="120"/>
      <c r="J7" s="84"/>
      <c r="K7" s="124"/>
      <c r="L7" s="19"/>
      <c r="M7" s="19"/>
      <c r="N7" s="14"/>
      <c r="O7" s="14"/>
      <c r="P7" s="14"/>
    </row>
    <row r="8" spans="1:16" ht="15" customHeight="1" thickBot="1">
      <c r="A8" s="14"/>
      <c r="B8" s="14"/>
      <c r="C8" s="14"/>
      <c r="D8" s="114"/>
      <c r="E8" s="84"/>
      <c r="F8" s="84"/>
      <c r="G8" s="84"/>
      <c r="H8" s="84"/>
      <c r="I8" s="84"/>
      <c r="J8" s="14"/>
      <c r="K8" s="14"/>
      <c r="L8" s="14"/>
      <c r="M8" s="14"/>
      <c r="N8" s="14"/>
      <c r="O8" s="14"/>
      <c r="P8" s="14"/>
    </row>
    <row r="9" spans="1:16">
      <c r="A9" s="14"/>
      <c r="B9" s="142" t="s">
        <v>18</v>
      </c>
      <c r="C9" s="143"/>
      <c r="D9" s="143"/>
      <c r="E9" s="143"/>
      <c r="F9" s="144" t="s">
        <v>82</v>
      </c>
      <c r="G9" s="143"/>
      <c r="H9" s="143"/>
      <c r="I9" s="143"/>
      <c r="J9" s="143"/>
      <c r="K9" s="143"/>
      <c r="L9" s="143"/>
      <c r="M9" s="143"/>
      <c r="N9" s="145"/>
      <c r="O9" s="14"/>
      <c r="P9" s="14"/>
    </row>
    <row r="10" spans="1:16" ht="16" thickBot="1">
      <c r="A10" s="14"/>
      <c r="B10" s="146"/>
      <c r="C10" s="19"/>
      <c r="D10" s="19"/>
      <c r="E10" s="19"/>
      <c r="F10" s="19"/>
      <c r="G10" s="19"/>
      <c r="H10" s="19"/>
      <c r="I10" s="19"/>
      <c r="J10" s="19"/>
      <c r="K10" s="19"/>
      <c r="L10" s="19"/>
      <c r="M10" s="19"/>
      <c r="N10" s="147"/>
      <c r="O10" s="14"/>
      <c r="P10" s="14"/>
    </row>
    <row r="11" spans="1:16" ht="15" customHeight="1" thickBot="1">
      <c r="A11" s="14"/>
      <c r="B11" s="146" t="s">
        <v>21</v>
      </c>
      <c r="C11" s="14"/>
      <c r="D11" s="148">
        <v>1</v>
      </c>
      <c r="E11" s="19"/>
      <c r="F11" s="29" t="s">
        <v>90</v>
      </c>
      <c r="G11" s="154"/>
      <c r="H11" s="154"/>
      <c r="I11" s="154"/>
      <c r="J11" s="154"/>
      <c r="K11" s="154"/>
      <c r="L11" s="154"/>
      <c r="M11" s="155"/>
      <c r="N11" s="147"/>
      <c r="O11" s="14"/>
      <c r="P11" s="14"/>
    </row>
    <row r="12" spans="1:16" ht="15" customHeight="1" thickBot="1">
      <c r="A12" s="14"/>
      <c r="B12" s="146" t="s">
        <v>22</v>
      </c>
      <c r="C12" s="14"/>
      <c r="D12" s="148">
        <v>0</v>
      </c>
      <c r="E12" s="19"/>
      <c r="F12" s="29" t="s">
        <v>90</v>
      </c>
      <c r="G12" s="154"/>
      <c r="H12" s="154"/>
      <c r="I12" s="154"/>
      <c r="J12" s="154"/>
      <c r="K12" s="154"/>
      <c r="L12" s="154"/>
      <c r="M12" s="155"/>
      <c r="N12" s="147"/>
      <c r="O12" s="14"/>
      <c r="P12" s="14"/>
    </row>
    <row r="13" spans="1:16" ht="16" thickBot="1">
      <c r="A13" s="14"/>
      <c r="B13" s="146"/>
      <c r="C13" s="14"/>
      <c r="D13" s="149"/>
      <c r="E13" s="19"/>
      <c r="F13" s="19"/>
      <c r="G13" s="19"/>
      <c r="H13" s="19"/>
      <c r="I13" s="19"/>
      <c r="J13" s="19"/>
      <c r="K13" s="19"/>
      <c r="L13" s="19"/>
      <c r="M13" s="19"/>
      <c r="N13" s="147"/>
      <c r="O13" s="14"/>
      <c r="P13" s="14"/>
    </row>
    <row r="14" spans="1:16" ht="30" customHeight="1" thickBot="1">
      <c r="A14" s="14"/>
      <c r="B14" s="146" t="s">
        <v>23</v>
      </c>
      <c r="C14" s="14"/>
      <c r="D14" s="156">
        <v>0.62119999999999997</v>
      </c>
      <c r="E14" s="19"/>
      <c r="F14" s="183" t="s">
        <v>91</v>
      </c>
      <c r="G14" s="184"/>
      <c r="H14" s="184"/>
      <c r="I14" s="184"/>
      <c r="J14" s="184"/>
      <c r="K14" s="184"/>
      <c r="L14" s="184"/>
      <c r="M14" s="185"/>
      <c r="N14" s="147"/>
      <c r="O14" s="14"/>
      <c r="P14" s="14"/>
    </row>
    <row r="15" spans="1:16">
      <c r="A15" s="14"/>
      <c r="B15" s="146"/>
      <c r="C15" s="14"/>
      <c r="D15" s="19"/>
      <c r="E15" s="19"/>
      <c r="F15" s="19"/>
      <c r="G15" s="19"/>
      <c r="H15" s="19"/>
      <c r="I15" s="19"/>
      <c r="J15" s="19"/>
      <c r="K15" s="19"/>
      <c r="L15" s="19"/>
      <c r="M15" s="19"/>
      <c r="N15" s="147"/>
      <c r="O15" s="14"/>
      <c r="P15" s="14"/>
    </row>
    <row r="16" spans="1:16">
      <c r="A16" s="14"/>
      <c r="B16" s="146" t="s">
        <v>20</v>
      </c>
      <c r="C16" s="14"/>
      <c r="D16" s="19">
        <v>41.868000000000002</v>
      </c>
      <c r="E16" s="19"/>
      <c r="F16" s="19"/>
      <c r="G16" s="19"/>
      <c r="H16" s="19"/>
      <c r="I16" s="19"/>
      <c r="J16" s="19"/>
      <c r="K16" s="19"/>
      <c r="L16" s="19"/>
      <c r="M16" s="19"/>
      <c r="N16" s="147"/>
      <c r="O16" s="14"/>
      <c r="P16" s="14"/>
    </row>
    <row r="17" spans="1:16">
      <c r="A17" s="14"/>
      <c r="B17" s="146"/>
      <c r="C17" s="19"/>
      <c r="D17" s="19"/>
      <c r="E17" s="19"/>
      <c r="F17" s="19"/>
      <c r="G17" s="19"/>
      <c r="H17" s="19"/>
      <c r="I17" s="19"/>
      <c r="J17" s="19"/>
      <c r="K17" s="19"/>
      <c r="L17" s="19"/>
      <c r="M17" s="19"/>
      <c r="N17" s="147"/>
      <c r="O17" s="14"/>
      <c r="P17" s="14"/>
    </row>
    <row r="18" spans="1:16">
      <c r="A18" s="14"/>
      <c r="B18" s="150" t="s">
        <v>113</v>
      </c>
      <c r="C18" s="19"/>
      <c r="D18" s="19"/>
      <c r="E18" s="19"/>
      <c r="F18" s="19"/>
      <c r="G18" s="19"/>
      <c r="H18" s="19"/>
      <c r="I18" s="19"/>
      <c r="J18" s="19"/>
      <c r="K18" s="19"/>
      <c r="L18" s="19"/>
      <c r="M18" s="19"/>
      <c r="N18" s="147"/>
      <c r="O18" s="14"/>
      <c r="P18" s="14"/>
    </row>
    <row r="19" spans="1:16">
      <c r="A19" s="14"/>
      <c r="B19" s="125" t="s">
        <v>7</v>
      </c>
      <c r="C19" s="126">
        <v>2000</v>
      </c>
      <c r="D19" s="126">
        <v>2005</v>
      </c>
      <c r="E19" s="126">
        <v>2010</v>
      </c>
      <c r="F19" s="126">
        <v>2015</v>
      </c>
      <c r="G19" s="126">
        <v>2020</v>
      </c>
      <c r="H19" s="126">
        <v>2025</v>
      </c>
      <c r="I19" s="126">
        <v>2030</v>
      </c>
      <c r="J19" s="126">
        <v>2035</v>
      </c>
      <c r="K19" s="126">
        <v>2040</v>
      </c>
      <c r="L19" s="126">
        <v>2045</v>
      </c>
      <c r="M19" s="126">
        <v>2050</v>
      </c>
      <c r="N19" s="147"/>
      <c r="O19" s="14"/>
      <c r="P19" s="14"/>
    </row>
    <row r="20" spans="1:16" ht="16" thickBot="1">
      <c r="A20" s="14"/>
      <c r="B20" s="127"/>
      <c r="C20" s="3"/>
      <c r="D20" s="3"/>
      <c r="E20" s="3"/>
      <c r="F20" s="3"/>
      <c r="G20" s="3"/>
      <c r="H20" s="3"/>
      <c r="I20" s="3"/>
      <c r="J20" s="3"/>
      <c r="K20" s="3"/>
      <c r="L20" s="3"/>
      <c r="M20" s="3"/>
      <c r="N20" s="147"/>
      <c r="O20" s="14"/>
      <c r="P20" s="14"/>
    </row>
    <row r="21" spans="1:16">
      <c r="A21" s="14"/>
      <c r="B21" s="125" t="s">
        <v>8</v>
      </c>
      <c r="C21" s="4">
        <v>57578</v>
      </c>
      <c r="D21" s="5">
        <v>62233</v>
      </c>
      <c r="E21" s="5">
        <v>70173</v>
      </c>
      <c r="F21" s="5">
        <v>70173</v>
      </c>
      <c r="G21" s="5">
        <v>68825</v>
      </c>
      <c r="H21" s="5">
        <v>58087</v>
      </c>
      <c r="I21" s="5">
        <v>51504</v>
      </c>
      <c r="J21" s="5">
        <v>54669</v>
      </c>
      <c r="K21" s="5">
        <v>56471</v>
      </c>
      <c r="L21" s="5">
        <v>53930</v>
      </c>
      <c r="M21" s="6">
        <v>48460</v>
      </c>
      <c r="N21" s="147"/>
      <c r="O21" s="14"/>
      <c r="P21" s="14"/>
    </row>
    <row r="22" spans="1:16">
      <c r="A22" s="14"/>
      <c r="B22" s="128" t="s">
        <v>9</v>
      </c>
      <c r="C22" s="7">
        <v>7</v>
      </c>
      <c r="D22" s="8">
        <v>8</v>
      </c>
      <c r="E22" s="8">
        <v>6</v>
      </c>
      <c r="F22" s="8">
        <v>0</v>
      </c>
      <c r="G22" s="8">
        <v>0</v>
      </c>
      <c r="H22" s="8">
        <v>0</v>
      </c>
      <c r="I22" s="8">
        <v>0</v>
      </c>
      <c r="J22" s="8">
        <v>0</v>
      </c>
      <c r="K22" s="8">
        <v>0</v>
      </c>
      <c r="L22" s="8">
        <v>0</v>
      </c>
      <c r="M22" s="9">
        <v>0</v>
      </c>
      <c r="N22" s="147"/>
      <c r="O22" s="14"/>
      <c r="P22" s="14"/>
    </row>
    <row r="23" spans="1:16">
      <c r="A23" s="14"/>
      <c r="B23" s="128" t="s">
        <v>10</v>
      </c>
      <c r="C23" s="7">
        <v>2429</v>
      </c>
      <c r="D23" s="8">
        <v>2341</v>
      </c>
      <c r="E23" s="8">
        <v>1989</v>
      </c>
      <c r="F23" s="8">
        <v>813</v>
      </c>
      <c r="G23" s="8">
        <v>0</v>
      </c>
      <c r="H23" s="8">
        <v>0</v>
      </c>
      <c r="I23" s="8">
        <v>0</v>
      </c>
      <c r="J23" s="8">
        <v>0</v>
      </c>
      <c r="K23" s="8">
        <v>0</v>
      </c>
      <c r="L23" s="8">
        <v>0</v>
      </c>
      <c r="M23" s="9">
        <v>0</v>
      </c>
      <c r="N23" s="147"/>
      <c r="O23" s="14"/>
      <c r="P23" s="14"/>
    </row>
    <row r="24" spans="1:16">
      <c r="A24" s="14"/>
      <c r="B24" s="128" t="s">
        <v>3</v>
      </c>
      <c r="C24" s="7">
        <v>52203</v>
      </c>
      <c r="D24" s="8">
        <v>56276</v>
      </c>
      <c r="E24" s="8">
        <v>63534</v>
      </c>
      <c r="F24" s="8">
        <v>63717</v>
      </c>
      <c r="G24" s="8">
        <v>61130</v>
      </c>
      <c r="H24" s="8">
        <v>49737</v>
      </c>
      <c r="I24" s="8">
        <v>42446</v>
      </c>
      <c r="J24" s="8">
        <v>43638</v>
      </c>
      <c r="K24" s="8">
        <v>44997</v>
      </c>
      <c r="L24" s="8">
        <v>41634</v>
      </c>
      <c r="M24" s="9">
        <v>35079</v>
      </c>
      <c r="N24" s="147"/>
      <c r="O24" s="14"/>
      <c r="P24" s="14"/>
    </row>
    <row r="25" spans="1:16">
      <c r="A25" s="14"/>
      <c r="B25" s="128" t="s">
        <v>11</v>
      </c>
      <c r="C25" s="7">
        <v>1013</v>
      </c>
      <c r="D25" s="8">
        <v>1031</v>
      </c>
      <c r="E25" s="8">
        <v>1024</v>
      </c>
      <c r="F25" s="8">
        <v>1023</v>
      </c>
      <c r="G25" s="8">
        <v>1024</v>
      </c>
      <c r="H25" s="8">
        <v>1047</v>
      </c>
      <c r="I25" s="8">
        <v>1249</v>
      </c>
      <c r="J25" s="8">
        <v>2786</v>
      </c>
      <c r="K25" s="8">
        <v>2786</v>
      </c>
      <c r="L25" s="8">
        <v>2661</v>
      </c>
      <c r="M25" s="9">
        <v>2661</v>
      </c>
      <c r="N25" s="147"/>
      <c r="O25" s="14"/>
      <c r="P25" s="14"/>
    </row>
    <row r="26" spans="1:16">
      <c r="A26" s="14"/>
      <c r="B26" s="128" t="s">
        <v>12</v>
      </c>
      <c r="C26" s="7">
        <v>1926</v>
      </c>
      <c r="D26" s="8">
        <v>2577</v>
      </c>
      <c r="E26" s="8">
        <v>3621</v>
      </c>
      <c r="F26" s="8">
        <v>4620</v>
      </c>
      <c r="G26" s="8">
        <v>6671</v>
      </c>
      <c r="H26" s="8">
        <v>7303</v>
      </c>
      <c r="I26" s="8">
        <v>7809</v>
      </c>
      <c r="J26" s="8">
        <v>8245</v>
      </c>
      <c r="K26" s="8">
        <v>8689</v>
      </c>
      <c r="L26" s="8">
        <v>9636</v>
      </c>
      <c r="M26" s="9">
        <v>10720</v>
      </c>
      <c r="N26" s="147"/>
      <c r="O26" s="14"/>
      <c r="P26" s="14"/>
    </row>
    <row r="27" spans="1:16">
      <c r="A27" s="14"/>
      <c r="B27" s="129" t="s">
        <v>13</v>
      </c>
      <c r="C27" s="7">
        <v>12</v>
      </c>
      <c r="D27" s="8">
        <v>8</v>
      </c>
      <c r="E27" s="8">
        <v>9</v>
      </c>
      <c r="F27" s="8">
        <v>9</v>
      </c>
      <c r="G27" s="8">
        <v>9</v>
      </c>
      <c r="H27" s="8">
        <v>9</v>
      </c>
      <c r="I27" s="8">
        <v>9</v>
      </c>
      <c r="J27" s="8">
        <v>9</v>
      </c>
      <c r="K27" s="8">
        <v>9</v>
      </c>
      <c r="L27" s="8">
        <v>9</v>
      </c>
      <c r="M27" s="9">
        <v>9</v>
      </c>
      <c r="N27" s="147"/>
      <c r="O27" s="14"/>
      <c r="P27" s="14"/>
    </row>
    <row r="28" spans="1:16">
      <c r="A28" s="14"/>
      <c r="B28" s="129" t="s">
        <v>14</v>
      </c>
      <c r="C28" s="7">
        <v>1831</v>
      </c>
      <c r="D28" s="8">
        <v>2371</v>
      </c>
      <c r="E28" s="8">
        <v>3232</v>
      </c>
      <c r="F28" s="8">
        <v>3475</v>
      </c>
      <c r="G28" s="8">
        <v>3901</v>
      </c>
      <c r="H28" s="8">
        <v>3837</v>
      </c>
      <c r="I28" s="8">
        <v>3977</v>
      </c>
      <c r="J28" s="8">
        <v>4144</v>
      </c>
      <c r="K28" s="8">
        <v>4237</v>
      </c>
      <c r="L28" s="8">
        <v>4448</v>
      </c>
      <c r="M28" s="9">
        <v>4792</v>
      </c>
      <c r="N28" s="147"/>
      <c r="O28" s="14"/>
      <c r="P28" s="14"/>
    </row>
    <row r="29" spans="1:16">
      <c r="A29" s="14"/>
      <c r="B29" s="129" t="s">
        <v>15</v>
      </c>
      <c r="C29" s="7">
        <v>71</v>
      </c>
      <c r="D29" s="8">
        <v>178</v>
      </c>
      <c r="E29" s="8">
        <v>343</v>
      </c>
      <c r="F29" s="8">
        <v>983</v>
      </c>
      <c r="G29" s="8">
        <v>2342</v>
      </c>
      <c r="H29" s="8">
        <v>2800</v>
      </c>
      <c r="I29" s="8">
        <v>2970</v>
      </c>
      <c r="J29" s="8">
        <v>3092</v>
      </c>
      <c r="K29" s="8">
        <v>3499</v>
      </c>
      <c r="L29" s="8">
        <v>4152</v>
      </c>
      <c r="M29" s="9">
        <v>4926</v>
      </c>
      <c r="N29" s="147"/>
      <c r="O29" s="14"/>
      <c r="P29" s="14"/>
    </row>
    <row r="30" spans="1:16">
      <c r="A30" s="14"/>
      <c r="B30" s="129" t="s">
        <v>16</v>
      </c>
      <c r="C30" s="7">
        <v>11</v>
      </c>
      <c r="D30" s="8">
        <v>21</v>
      </c>
      <c r="E30" s="8">
        <v>29</v>
      </c>
      <c r="F30" s="8">
        <v>145</v>
      </c>
      <c r="G30" s="8">
        <v>369</v>
      </c>
      <c r="H30" s="8">
        <v>608</v>
      </c>
      <c r="I30" s="8">
        <v>807</v>
      </c>
      <c r="J30" s="8">
        <v>956</v>
      </c>
      <c r="K30" s="8">
        <v>901</v>
      </c>
      <c r="L30" s="8">
        <v>985</v>
      </c>
      <c r="M30" s="9">
        <v>954</v>
      </c>
      <c r="N30" s="147"/>
      <c r="O30" s="14"/>
      <c r="P30" s="14"/>
    </row>
    <row r="31" spans="1:16" ht="16" thickBot="1">
      <c r="A31" s="14"/>
      <c r="B31" s="129" t="s">
        <v>17</v>
      </c>
      <c r="C31" s="10">
        <v>0</v>
      </c>
      <c r="D31" s="11">
        <v>0</v>
      </c>
      <c r="E31" s="11">
        <v>8</v>
      </c>
      <c r="F31" s="11">
        <v>7</v>
      </c>
      <c r="G31" s="11">
        <v>49</v>
      </c>
      <c r="H31" s="11">
        <v>48</v>
      </c>
      <c r="I31" s="11">
        <v>47</v>
      </c>
      <c r="J31" s="11">
        <v>45</v>
      </c>
      <c r="K31" s="11">
        <v>43</v>
      </c>
      <c r="L31" s="11">
        <v>42</v>
      </c>
      <c r="M31" s="12">
        <v>40</v>
      </c>
      <c r="N31" s="147"/>
      <c r="O31" s="14"/>
      <c r="P31" s="14"/>
    </row>
    <row r="32" spans="1:16">
      <c r="A32" s="14"/>
      <c r="B32" s="146"/>
      <c r="C32" s="19"/>
      <c r="D32" s="19"/>
      <c r="E32" s="19"/>
      <c r="F32" s="19"/>
      <c r="G32" s="19"/>
      <c r="H32" s="19"/>
      <c r="I32" s="19"/>
      <c r="J32" s="19"/>
      <c r="K32" s="19"/>
      <c r="L32" s="19"/>
      <c r="M32" s="19"/>
      <c r="N32" s="147"/>
      <c r="O32" s="14"/>
      <c r="P32" s="14"/>
    </row>
    <row r="33" spans="1:16" ht="16" thickBot="1">
      <c r="A33" s="14"/>
      <c r="B33" s="151"/>
      <c r="C33" s="152"/>
      <c r="D33" s="152"/>
      <c r="E33" s="152"/>
      <c r="F33" s="152"/>
      <c r="G33" s="152"/>
      <c r="H33" s="152"/>
      <c r="I33" s="152"/>
      <c r="J33" s="152"/>
      <c r="K33" s="152"/>
      <c r="L33" s="152"/>
      <c r="M33" s="152"/>
      <c r="N33" s="153"/>
      <c r="O33" s="14"/>
      <c r="P33" s="14"/>
    </row>
    <row r="34" spans="1:16">
      <c r="A34" s="14"/>
      <c r="B34" s="14"/>
      <c r="C34" s="14"/>
      <c r="D34" s="14"/>
      <c r="E34" s="14"/>
      <c r="F34" s="14"/>
      <c r="G34" s="14"/>
      <c r="H34" s="14"/>
      <c r="I34" s="14"/>
      <c r="J34" s="14"/>
      <c r="K34" s="14"/>
      <c r="L34" s="14"/>
      <c r="M34" s="14"/>
      <c r="N34" s="14"/>
      <c r="O34" s="14"/>
      <c r="P34" s="14"/>
    </row>
    <row r="35" spans="1:16">
      <c r="A35" s="14"/>
      <c r="B35" s="14"/>
      <c r="C35" s="14"/>
      <c r="D35" s="14"/>
      <c r="E35" s="14"/>
      <c r="F35" s="14"/>
      <c r="G35" s="14"/>
      <c r="H35" s="14"/>
      <c r="I35" s="14"/>
      <c r="J35" s="14"/>
      <c r="K35" s="14"/>
      <c r="L35" s="14"/>
      <c r="M35" s="14"/>
      <c r="N35" s="14"/>
      <c r="O35" s="14"/>
      <c r="P35" s="14"/>
    </row>
  </sheetData>
  <mergeCells count="2">
    <mergeCell ref="B5:G7"/>
    <mergeCell ref="F14:M14"/>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8" tint="0.39997558519241921"/>
  </sheetPr>
  <dimension ref="B2:M76"/>
  <sheetViews>
    <sheetView workbookViewId="0">
      <selection activeCell="C9" sqref="C9"/>
    </sheetView>
  </sheetViews>
  <sheetFormatPr baseColWidth="10" defaultRowHeight="15" x14ac:dyDescent="0"/>
  <cols>
    <col min="1" max="1" width="3.83203125" style="1" customWidth="1"/>
    <col min="2" max="3" width="10.83203125" style="1"/>
    <col min="4" max="4" width="10.83203125" style="160"/>
    <col min="5" max="16384" width="10.83203125" style="1"/>
  </cols>
  <sheetData>
    <row r="2" spans="2:13" ht="15" customHeight="1">
      <c r="B2" s="161" t="s">
        <v>67</v>
      </c>
      <c r="C2" s="162"/>
      <c r="D2" s="162"/>
      <c r="E2" s="162"/>
      <c r="F2" s="162"/>
      <c r="G2" s="163"/>
      <c r="H2" s="109"/>
      <c r="I2" s="109"/>
      <c r="J2" s="164"/>
      <c r="K2" s="165"/>
      <c r="L2" s="166"/>
      <c r="M2" s="166"/>
    </row>
    <row r="3" spans="2:13" ht="15" customHeight="1">
      <c r="B3" s="186" t="s">
        <v>116</v>
      </c>
      <c r="C3" s="187"/>
      <c r="D3" s="187"/>
      <c r="E3" s="187"/>
      <c r="F3" s="187"/>
      <c r="G3" s="188"/>
      <c r="H3" s="101"/>
      <c r="I3" s="101"/>
      <c r="J3" s="164"/>
      <c r="K3" s="167"/>
      <c r="L3" s="166"/>
      <c r="M3" s="166"/>
    </row>
    <row r="4" spans="2:13">
      <c r="B4" s="189"/>
      <c r="C4" s="190"/>
      <c r="D4" s="190"/>
      <c r="E4" s="190"/>
      <c r="F4" s="190"/>
      <c r="G4" s="191"/>
      <c r="H4" s="101"/>
      <c r="I4" s="101"/>
      <c r="J4" s="164"/>
      <c r="K4" s="167"/>
      <c r="L4" s="166"/>
      <c r="M4" s="166"/>
    </row>
    <row r="5" spans="2:13">
      <c r="B5" s="168"/>
      <c r="C5" s="168"/>
      <c r="D5" s="168"/>
      <c r="E5" s="168"/>
      <c r="F5" s="168"/>
      <c r="G5" s="168"/>
    </row>
    <row r="6" spans="2:13">
      <c r="B6" s="140" t="s">
        <v>82</v>
      </c>
      <c r="C6" s="1" t="s">
        <v>110</v>
      </c>
    </row>
    <row r="7" spans="2:13">
      <c r="B7" s="140"/>
      <c r="C7" s="1" t="s">
        <v>111</v>
      </c>
    </row>
    <row r="8" spans="2:13">
      <c r="B8" s="140"/>
      <c r="C8" s="1" t="s">
        <v>120</v>
      </c>
    </row>
    <row r="10" spans="2:13">
      <c r="B10" s="140" t="s">
        <v>92</v>
      </c>
    </row>
    <row r="11" spans="2:13">
      <c r="B11" s="1" t="s">
        <v>93</v>
      </c>
      <c r="C11" s="1">
        <v>31.669</v>
      </c>
      <c r="D11" s="160" t="s">
        <v>94</v>
      </c>
    </row>
    <row r="12" spans="2:13">
      <c r="B12" s="1" t="s">
        <v>100</v>
      </c>
      <c r="C12" s="160">
        <v>35500</v>
      </c>
      <c r="D12" s="160" t="s">
        <v>101</v>
      </c>
    </row>
    <row r="14" spans="2:13">
      <c r="B14" s="140" t="s">
        <v>99</v>
      </c>
      <c r="H14" s="140" t="s">
        <v>102</v>
      </c>
      <c r="J14" s="160"/>
    </row>
    <row r="15" spans="2:13">
      <c r="B15" s="169" t="s">
        <v>0</v>
      </c>
      <c r="C15" s="169" t="s">
        <v>95</v>
      </c>
      <c r="D15" s="170" t="s">
        <v>96</v>
      </c>
      <c r="E15" s="169" t="s">
        <v>97</v>
      </c>
      <c r="F15" s="169" t="s">
        <v>98</v>
      </c>
      <c r="H15" s="169" t="s">
        <v>0</v>
      </c>
      <c r="I15" s="169" t="s">
        <v>104</v>
      </c>
      <c r="J15" s="170" t="s">
        <v>103</v>
      </c>
      <c r="K15" s="169" t="s">
        <v>97</v>
      </c>
      <c r="L15" s="169" t="s">
        <v>98</v>
      </c>
    </row>
    <row r="16" spans="2:13">
      <c r="B16" s="1">
        <v>1990</v>
      </c>
      <c r="C16" s="171">
        <v>73.196768150643194</v>
      </c>
      <c r="D16" s="160">
        <f>C16*1000000000*$C$11/1000000</f>
        <v>2318068.4505627193</v>
      </c>
      <c r="F16" s="160">
        <f>D16</f>
        <v>2318068.4505627193</v>
      </c>
      <c r="I16" s="171"/>
      <c r="J16" s="160"/>
      <c r="L16" s="160"/>
    </row>
    <row r="17" spans="2:12">
      <c r="B17" s="1">
        <v>1991</v>
      </c>
      <c r="C17" s="171">
        <v>82.623567828954521</v>
      </c>
      <c r="D17" s="160">
        <f t="shared" ref="D17:D63" si="0">C17*1000000000*$C$11/1000000</f>
        <v>2616605.7695751605</v>
      </c>
      <c r="F17" s="160">
        <f t="shared" ref="F17:F63" si="1">D17</f>
        <v>2616605.7695751605</v>
      </c>
      <c r="I17" s="171"/>
      <c r="J17" s="160"/>
      <c r="L17" s="160"/>
    </row>
    <row r="18" spans="2:12">
      <c r="B18" s="1">
        <v>1992</v>
      </c>
      <c r="C18" s="171">
        <v>82.88207990011523</v>
      </c>
      <c r="D18" s="160">
        <f t="shared" si="0"/>
        <v>2624792.5883567496</v>
      </c>
      <c r="F18" s="160">
        <f t="shared" si="1"/>
        <v>2624792.5883567496</v>
      </c>
      <c r="I18" s="171"/>
      <c r="J18" s="160"/>
      <c r="L18" s="160"/>
    </row>
    <row r="19" spans="2:12">
      <c r="B19" s="1">
        <v>1993</v>
      </c>
      <c r="C19" s="171">
        <v>83.778502546445779</v>
      </c>
      <c r="D19" s="160">
        <f t="shared" si="0"/>
        <v>2653181.3971433914</v>
      </c>
      <c r="F19" s="160">
        <f t="shared" si="1"/>
        <v>2653181.3971433914</v>
      </c>
      <c r="I19" s="171"/>
      <c r="J19" s="160"/>
      <c r="L19" s="160"/>
    </row>
    <row r="20" spans="2:12">
      <c r="B20" s="1">
        <v>1994</v>
      </c>
      <c r="C20" s="171">
        <v>78.858887744354604</v>
      </c>
      <c r="D20" s="160">
        <f t="shared" si="0"/>
        <v>2497382.1159759657</v>
      </c>
      <c r="F20" s="160">
        <f t="shared" si="1"/>
        <v>2497382.1159759657</v>
      </c>
      <c r="I20" s="171"/>
      <c r="J20" s="160"/>
      <c r="L20" s="160"/>
    </row>
    <row r="21" spans="2:12">
      <c r="B21" s="1">
        <v>1995</v>
      </c>
      <c r="C21" s="171">
        <v>78.854098952835997</v>
      </c>
      <c r="D21" s="160">
        <f t="shared" si="0"/>
        <v>2497230.4597373633</v>
      </c>
      <c r="F21" s="160">
        <f t="shared" si="1"/>
        <v>2497230.4597373633</v>
      </c>
      <c r="I21" s="171"/>
      <c r="J21" s="160"/>
      <c r="L21" s="160"/>
    </row>
    <row r="22" spans="2:12">
      <c r="B22" s="1">
        <v>1996</v>
      </c>
      <c r="C22" s="171">
        <v>89.856779097758277</v>
      </c>
      <c r="D22" s="160">
        <f t="shared" si="0"/>
        <v>2845674.3372469069</v>
      </c>
      <c r="F22" s="160">
        <f t="shared" si="1"/>
        <v>2845674.3372469069</v>
      </c>
      <c r="I22" s="171"/>
      <c r="J22" s="160"/>
      <c r="L22" s="160"/>
    </row>
    <row r="23" spans="2:12">
      <c r="B23" s="1">
        <v>1997</v>
      </c>
      <c r="C23" s="171">
        <v>82.476390909766309</v>
      </c>
      <c r="D23" s="160">
        <f t="shared" si="0"/>
        <v>2611944.8237213893</v>
      </c>
      <c r="F23" s="160">
        <f t="shared" si="1"/>
        <v>2611944.8237213893</v>
      </c>
      <c r="I23" s="171"/>
      <c r="J23" s="160"/>
      <c r="L23" s="160"/>
    </row>
    <row r="24" spans="2:12">
      <c r="B24" s="1">
        <v>1998</v>
      </c>
      <c r="C24" s="171">
        <v>80.870937905643004</v>
      </c>
      <c r="D24" s="160">
        <f t="shared" si="0"/>
        <v>2561101.7325338088</v>
      </c>
      <c r="F24" s="160">
        <f t="shared" si="1"/>
        <v>2561101.7325338088</v>
      </c>
      <c r="I24" s="171"/>
      <c r="J24" s="160"/>
      <c r="L24" s="160"/>
    </row>
    <row r="25" spans="2:12">
      <c r="B25" s="1">
        <v>1999</v>
      </c>
      <c r="C25" s="171">
        <v>73.366063990639873</v>
      </c>
      <c r="D25" s="160">
        <f t="shared" si="0"/>
        <v>2323429.880519574</v>
      </c>
      <c r="F25" s="160">
        <f t="shared" si="1"/>
        <v>2323429.880519574</v>
      </c>
      <c r="I25" s="171"/>
      <c r="J25" s="160"/>
      <c r="L25" s="160"/>
    </row>
    <row r="26" spans="2:12">
      <c r="B26" s="1">
        <v>2000</v>
      </c>
      <c r="C26" s="171">
        <v>69.195088912569048</v>
      </c>
      <c r="D26" s="160">
        <f t="shared" si="0"/>
        <v>2191339.2707721493</v>
      </c>
      <c r="F26" s="160">
        <f t="shared" si="1"/>
        <v>2191339.2707721493</v>
      </c>
      <c r="I26" s="171"/>
      <c r="J26" s="160"/>
      <c r="L26" s="160"/>
    </row>
    <row r="27" spans="2:12">
      <c r="B27" s="1">
        <v>2001</v>
      </c>
      <c r="C27" s="171">
        <v>73.541758268860292</v>
      </c>
      <c r="D27" s="160">
        <f t="shared" si="0"/>
        <v>2328993.9426165367</v>
      </c>
      <c r="F27" s="160">
        <f t="shared" si="1"/>
        <v>2328993.9426165367</v>
      </c>
      <c r="H27" s="1">
        <v>2001</v>
      </c>
      <c r="I27" s="171">
        <v>1.6275999999999999</v>
      </c>
      <c r="J27" s="160">
        <f>I27*1000000*$C$12/1000000</f>
        <v>57779.8</v>
      </c>
      <c r="L27" s="160">
        <f t="shared" ref="L27:L56" si="2">J27</f>
        <v>57779.8</v>
      </c>
    </row>
    <row r="28" spans="2:12">
      <c r="B28" s="1">
        <v>2002</v>
      </c>
      <c r="C28" s="171">
        <v>71.614343972117041</v>
      </c>
      <c r="D28" s="160">
        <f t="shared" si="0"/>
        <v>2267954.6592529747</v>
      </c>
      <c r="F28" s="160">
        <f t="shared" si="1"/>
        <v>2267954.6592529747</v>
      </c>
      <c r="H28" s="1">
        <v>2002</v>
      </c>
      <c r="I28" s="171">
        <v>2.6754000000000002</v>
      </c>
      <c r="J28" s="160">
        <f t="shared" ref="J28:J56" si="3">I28*1000000*$C$12/1000000</f>
        <v>94976.7</v>
      </c>
      <c r="L28" s="160">
        <f t="shared" si="2"/>
        <v>94976.7</v>
      </c>
    </row>
    <row r="29" spans="2:12">
      <c r="B29" s="1">
        <v>2003</v>
      </c>
      <c r="C29" s="171">
        <v>69.07551025813332</v>
      </c>
      <c r="D29" s="160">
        <f t="shared" si="0"/>
        <v>2187552.334364824</v>
      </c>
      <c r="F29" s="160">
        <f t="shared" si="1"/>
        <v>2187552.334364824</v>
      </c>
      <c r="H29" s="1">
        <v>2003</v>
      </c>
      <c r="I29" s="171">
        <v>2.74</v>
      </c>
      <c r="J29" s="160">
        <f t="shared" si="3"/>
        <v>97270</v>
      </c>
      <c r="L29" s="160">
        <f t="shared" si="2"/>
        <v>97270</v>
      </c>
    </row>
    <row r="30" spans="2:12">
      <c r="B30" s="1">
        <v>2004</v>
      </c>
      <c r="C30" s="171">
        <v>78.289999999999992</v>
      </c>
      <c r="D30" s="160">
        <f t="shared" si="0"/>
        <v>2479366.0099999993</v>
      </c>
      <c r="F30" s="160">
        <f t="shared" si="1"/>
        <v>2479366.0099999993</v>
      </c>
      <c r="H30" s="1">
        <v>2004</v>
      </c>
      <c r="I30" s="171">
        <v>2.4630000000000001</v>
      </c>
      <c r="J30" s="160">
        <f t="shared" si="3"/>
        <v>87436.5</v>
      </c>
      <c r="L30" s="160">
        <f t="shared" si="2"/>
        <v>87436.5</v>
      </c>
    </row>
    <row r="31" spans="2:12">
      <c r="B31" s="1">
        <v>2005</v>
      </c>
      <c r="C31" s="171">
        <v>72.838999999999999</v>
      </c>
      <c r="D31" s="160">
        <f t="shared" si="0"/>
        <v>2306738.2910000002</v>
      </c>
      <c r="F31" s="160">
        <f t="shared" si="1"/>
        <v>2306738.2910000002</v>
      </c>
      <c r="H31" s="1">
        <v>2005</v>
      </c>
      <c r="I31" s="171">
        <v>1.8250999999999999</v>
      </c>
      <c r="J31" s="160">
        <f t="shared" si="3"/>
        <v>64791.05</v>
      </c>
      <c r="L31" s="160">
        <f t="shared" si="2"/>
        <v>64791.05</v>
      </c>
    </row>
    <row r="32" spans="2:12">
      <c r="B32" s="1">
        <v>2006</v>
      </c>
      <c r="C32" s="171">
        <v>70.742863999999997</v>
      </c>
      <c r="D32" s="160">
        <f t="shared" si="0"/>
        <v>2240355.7600159999</v>
      </c>
      <c r="F32" s="160">
        <f t="shared" si="1"/>
        <v>2240355.7600159999</v>
      </c>
      <c r="H32" s="1">
        <v>2006</v>
      </c>
      <c r="I32" s="171">
        <v>1.5605</v>
      </c>
      <c r="J32" s="160">
        <f t="shared" si="3"/>
        <v>55397.75</v>
      </c>
      <c r="L32" s="160">
        <f t="shared" si="2"/>
        <v>55397.75</v>
      </c>
    </row>
    <row r="33" spans="2:13">
      <c r="B33" s="1">
        <v>2007</v>
      </c>
      <c r="C33" s="171">
        <v>68.660200000000003</v>
      </c>
      <c r="D33" s="160">
        <f t="shared" si="0"/>
        <v>2174399.8738000002</v>
      </c>
      <c r="F33" s="160">
        <f t="shared" si="1"/>
        <v>2174399.8738000002</v>
      </c>
      <c r="H33" s="1">
        <v>2007</v>
      </c>
      <c r="I33" s="171">
        <v>2.4969999999999999</v>
      </c>
      <c r="J33" s="160">
        <f t="shared" si="3"/>
        <v>88643.5</v>
      </c>
      <c r="L33" s="160">
        <f t="shared" si="2"/>
        <v>88643.5</v>
      </c>
    </row>
    <row r="34" spans="2:13">
      <c r="B34" s="1">
        <v>2008</v>
      </c>
      <c r="C34" s="171">
        <v>79.606000000000009</v>
      </c>
      <c r="D34" s="160">
        <f t="shared" si="0"/>
        <v>2521042.4140000003</v>
      </c>
      <c r="F34" s="160">
        <f t="shared" si="1"/>
        <v>2521042.4140000003</v>
      </c>
      <c r="H34" s="1">
        <v>2008</v>
      </c>
      <c r="I34" s="171">
        <v>2.1024000000000003</v>
      </c>
      <c r="J34" s="160">
        <f t="shared" si="3"/>
        <v>74635.200000000012</v>
      </c>
      <c r="L34" s="160">
        <f t="shared" si="2"/>
        <v>74635.200000000012</v>
      </c>
    </row>
    <row r="35" spans="2:13">
      <c r="B35" s="1">
        <v>2009</v>
      </c>
      <c r="C35" s="171">
        <v>73.5</v>
      </c>
      <c r="D35" s="160">
        <f t="shared" si="0"/>
        <v>2327671.5</v>
      </c>
      <c r="F35" s="160">
        <f t="shared" si="1"/>
        <v>2327671.5</v>
      </c>
      <c r="H35" s="1">
        <v>2009</v>
      </c>
      <c r="I35" s="171">
        <v>1.5597000000000001</v>
      </c>
      <c r="J35" s="160">
        <f t="shared" si="3"/>
        <v>55369.35</v>
      </c>
      <c r="L35" s="160">
        <f t="shared" si="2"/>
        <v>55369.35</v>
      </c>
    </row>
    <row r="36" spans="2:13">
      <c r="B36" s="1">
        <v>2010</v>
      </c>
      <c r="C36" s="171">
        <v>84.720546204151262</v>
      </c>
      <c r="D36" s="160">
        <f t="shared" si="0"/>
        <v>2683014.9777392661</v>
      </c>
      <c r="F36" s="159">
        <v>2655008</v>
      </c>
      <c r="H36" s="1">
        <v>2010</v>
      </c>
      <c r="I36" s="171">
        <v>1.228</v>
      </c>
      <c r="J36" s="160">
        <f t="shared" si="3"/>
        <v>43594</v>
      </c>
      <c r="L36" s="172">
        <v>70486</v>
      </c>
    </row>
    <row r="37" spans="2:13">
      <c r="B37" s="1">
        <v>2011</v>
      </c>
      <c r="C37" s="171">
        <v>77.474655676286304</v>
      </c>
      <c r="D37" s="160">
        <f t="shared" si="0"/>
        <v>2453544.8706123112</v>
      </c>
      <c r="F37" s="159">
        <v>2416832</v>
      </c>
      <c r="H37" s="1">
        <v>2011</v>
      </c>
      <c r="I37" s="171">
        <v>1.2697000000000001</v>
      </c>
      <c r="J37" s="160">
        <f t="shared" si="3"/>
        <v>45074.35</v>
      </c>
      <c r="L37" s="172">
        <v>71225</v>
      </c>
    </row>
    <row r="38" spans="2:13">
      <c r="B38" s="1">
        <v>2012</v>
      </c>
      <c r="C38" s="171">
        <v>76.910223884261598</v>
      </c>
      <c r="D38" s="160">
        <f t="shared" si="0"/>
        <v>2435669.8801906807</v>
      </c>
      <c r="F38" s="172">
        <v>2405569</v>
      </c>
      <c r="H38" s="1">
        <v>2012</v>
      </c>
      <c r="I38" s="171">
        <v>1.323</v>
      </c>
      <c r="J38" s="160">
        <f t="shared" si="3"/>
        <v>46966.5</v>
      </c>
      <c r="L38" s="172">
        <v>74785</v>
      </c>
    </row>
    <row r="39" spans="2:13">
      <c r="B39" s="1">
        <v>2013</v>
      </c>
      <c r="C39" s="171">
        <v>72.822321922220141</v>
      </c>
      <c r="D39" s="160">
        <f t="shared" si="0"/>
        <v>2306210.1129547898</v>
      </c>
      <c r="F39" s="160">
        <f t="shared" si="1"/>
        <v>2306210.1129547898</v>
      </c>
      <c r="H39" s="1">
        <v>2013</v>
      </c>
      <c r="I39" s="171">
        <v>1.3356239999999999</v>
      </c>
      <c r="J39" s="160">
        <f t="shared" si="3"/>
        <v>47414.652000000002</v>
      </c>
      <c r="L39" s="176">
        <f>L$38+(L$40-L$38)/($H$40-$H$38)*($H39-$H$38)</f>
        <v>95060.013500000001</v>
      </c>
      <c r="M39" s="2" t="s">
        <v>119</v>
      </c>
    </row>
    <row r="40" spans="2:13">
      <c r="B40" s="1">
        <v>2014</v>
      </c>
      <c r="C40" s="171">
        <v>72.814522607463374</v>
      </c>
      <c r="D40" s="160">
        <f t="shared" si="0"/>
        <v>2305963.116455758</v>
      </c>
      <c r="F40" s="160">
        <f t="shared" si="1"/>
        <v>2305963.116455758</v>
      </c>
      <c r="H40" s="1">
        <v>2014</v>
      </c>
      <c r="I40" s="171">
        <v>3.2488739999999998</v>
      </c>
      <c r="J40" s="160">
        <f t="shared" si="3"/>
        <v>115335.027</v>
      </c>
      <c r="L40" s="160">
        <f t="shared" si="2"/>
        <v>115335.027</v>
      </c>
    </row>
    <row r="41" spans="2:13">
      <c r="B41" s="1">
        <v>2015</v>
      </c>
      <c r="C41" s="171">
        <v>71.15478607053987</v>
      </c>
      <c r="D41" s="160">
        <f t="shared" si="0"/>
        <v>2253400.9200679273</v>
      </c>
      <c r="F41" s="160">
        <f t="shared" si="1"/>
        <v>2253400.9200679273</v>
      </c>
      <c r="H41" s="1">
        <v>2015</v>
      </c>
      <c r="I41" s="171">
        <v>2.3905940000000001</v>
      </c>
      <c r="J41" s="160">
        <f t="shared" si="3"/>
        <v>84866.087</v>
      </c>
      <c r="L41" s="160">
        <f t="shared" si="2"/>
        <v>84866.087</v>
      </c>
    </row>
    <row r="42" spans="2:13">
      <c r="B42" s="1">
        <v>2016</v>
      </c>
      <c r="C42" s="171">
        <v>69.194209276342008</v>
      </c>
      <c r="D42" s="160">
        <f t="shared" si="0"/>
        <v>2191311.4135724753</v>
      </c>
      <c r="F42" s="160">
        <f t="shared" si="1"/>
        <v>2191311.4135724753</v>
      </c>
      <c r="H42" s="1">
        <v>2016</v>
      </c>
      <c r="I42" s="171">
        <v>1.7817780000000001</v>
      </c>
      <c r="J42" s="160">
        <f t="shared" si="3"/>
        <v>63253.118999999999</v>
      </c>
      <c r="L42" s="160">
        <f t="shared" si="2"/>
        <v>63253.118999999999</v>
      </c>
    </row>
    <row r="43" spans="2:13">
      <c r="B43" s="1">
        <v>2017</v>
      </c>
      <c r="C43" s="171">
        <v>67.835037125992613</v>
      </c>
      <c r="D43" s="160">
        <f t="shared" si="0"/>
        <v>2148267.7907430599</v>
      </c>
      <c r="F43" s="160">
        <f t="shared" si="1"/>
        <v>2148267.7907430599</v>
      </c>
      <c r="H43" s="1">
        <v>2017</v>
      </c>
      <c r="I43" s="171">
        <v>1.43858</v>
      </c>
      <c r="J43" s="160">
        <f t="shared" si="3"/>
        <v>51069.59</v>
      </c>
      <c r="L43" s="160">
        <f t="shared" si="2"/>
        <v>51069.59</v>
      </c>
    </row>
    <row r="44" spans="2:13">
      <c r="B44" s="1">
        <v>2018</v>
      </c>
      <c r="C44" s="171">
        <v>67.713748682060043</v>
      </c>
      <c r="D44" s="160">
        <f t="shared" si="0"/>
        <v>2144426.7070121593</v>
      </c>
      <c r="F44" s="160">
        <f t="shared" si="1"/>
        <v>2144426.7070121593</v>
      </c>
      <c r="H44" s="1">
        <v>2018</v>
      </c>
      <c r="I44" s="171">
        <v>1.3627960000000001</v>
      </c>
      <c r="J44" s="160">
        <f t="shared" si="3"/>
        <v>48379.258000000009</v>
      </c>
      <c r="L44" s="160">
        <f t="shared" si="2"/>
        <v>48379.258000000009</v>
      </c>
    </row>
    <row r="45" spans="2:13">
      <c r="B45" s="1">
        <v>2019</v>
      </c>
      <c r="C45" s="171">
        <v>66.855593599405879</v>
      </c>
      <c r="D45" s="160">
        <f t="shared" si="0"/>
        <v>2117249.7936995849</v>
      </c>
      <c r="F45" s="160">
        <f t="shared" si="1"/>
        <v>2117249.7936995849</v>
      </c>
      <c r="H45" s="1">
        <v>2019</v>
      </c>
      <c r="I45" s="171">
        <v>1.1648799999999999</v>
      </c>
      <c r="J45" s="160">
        <f t="shared" si="3"/>
        <v>41353.24</v>
      </c>
      <c r="L45" s="160">
        <f t="shared" si="2"/>
        <v>41353.24</v>
      </c>
    </row>
    <row r="46" spans="2:13">
      <c r="B46" s="1">
        <v>2020</v>
      </c>
      <c r="C46" s="171">
        <v>65.966801156488685</v>
      </c>
      <c r="D46" s="160">
        <f t="shared" si="0"/>
        <v>2089102.6258248403</v>
      </c>
      <c r="F46" s="160">
        <f t="shared" si="1"/>
        <v>2089102.6258248403</v>
      </c>
      <c r="H46" s="1">
        <v>2020</v>
      </c>
      <c r="I46" s="171">
        <v>1.1070679999999999</v>
      </c>
      <c r="J46" s="160">
        <f t="shared" si="3"/>
        <v>39300.913999999997</v>
      </c>
      <c r="L46" s="160">
        <f t="shared" si="2"/>
        <v>39300.913999999997</v>
      </c>
    </row>
    <row r="47" spans="2:13">
      <c r="B47" s="1">
        <v>2021</v>
      </c>
      <c r="C47" s="171">
        <v>64.51891850132813</v>
      </c>
      <c r="D47" s="160">
        <f t="shared" si="0"/>
        <v>2043249.6300185604</v>
      </c>
      <c r="F47" s="160">
        <f t="shared" si="1"/>
        <v>2043249.6300185604</v>
      </c>
      <c r="H47" s="1">
        <v>2021</v>
      </c>
      <c r="I47" s="171">
        <v>1.0250140000000001</v>
      </c>
      <c r="J47" s="160">
        <f t="shared" si="3"/>
        <v>36387.99700000001</v>
      </c>
      <c r="L47" s="160">
        <f t="shared" si="2"/>
        <v>36387.99700000001</v>
      </c>
    </row>
    <row r="48" spans="2:13">
      <c r="B48" s="1">
        <v>2022</v>
      </c>
      <c r="C48" s="171">
        <v>58.639684773398386</v>
      </c>
      <c r="D48" s="160">
        <f t="shared" si="0"/>
        <v>1857060.1770887533</v>
      </c>
      <c r="F48" s="160">
        <f t="shared" si="1"/>
        <v>1857060.1770887533</v>
      </c>
      <c r="H48" s="1">
        <v>2022</v>
      </c>
      <c r="I48" s="171">
        <v>0.90418200000000004</v>
      </c>
      <c r="J48" s="160">
        <f t="shared" si="3"/>
        <v>32098.460999999999</v>
      </c>
      <c r="L48" s="160">
        <f t="shared" si="2"/>
        <v>32098.460999999999</v>
      </c>
    </row>
    <row r="49" spans="2:12">
      <c r="B49" s="1">
        <v>2023</v>
      </c>
      <c r="C49" s="171">
        <v>51.655428985143217</v>
      </c>
      <c r="D49" s="160">
        <f t="shared" si="0"/>
        <v>1635875.7805305007</v>
      </c>
      <c r="F49" s="160">
        <f t="shared" si="1"/>
        <v>1635875.7805305007</v>
      </c>
      <c r="H49" s="1">
        <v>2023</v>
      </c>
      <c r="I49" s="171">
        <v>0.85816599999999998</v>
      </c>
      <c r="J49" s="160">
        <f t="shared" si="3"/>
        <v>30464.893</v>
      </c>
      <c r="L49" s="160">
        <f t="shared" si="2"/>
        <v>30464.893</v>
      </c>
    </row>
    <row r="50" spans="2:12">
      <c r="B50" s="1">
        <v>2024</v>
      </c>
      <c r="C50" s="171">
        <v>46.490658559963322</v>
      </c>
      <c r="D50" s="160">
        <f t="shared" si="0"/>
        <v>1472312.6659354784</v>
      </c>
      <c r="F50" s="160">
        <f t="shared" si="1"/>
        <v>1472312.6659354784</v>
      </c>
      <c r="H50" s="1">
        <v>2024</v>
      </c>
      <c r="I50" s="171">
        <v>0.8171520000000001</v>
      </c>
      <c r="J50" s="160">
        <f t="shared" si="3"/>
        <v>29008.896000000004</v>
      </c>
      <c r="L50" s="160">
        <f t="shared" si="2"/>
        <v>29008.896000000004</v>
      </c>
    </row>
    <row r="51" spans="2:12">
      <c r="B51" s="1">
        <v>2025</v>
      </c>
      <c r="C51" s="171">
        <v>41.973935037654684</v>
      </c>
      <c r="D51" s="160">
        <f t="shared" si="0"/>
        <v>1329272.5487074864</v>
      </c>
      <c r="F51" s="160">
        <f t="shared" si="1"/>
        <v>1329272.5487074864</v>
      </c>
      <c r="H51" s="1">
        <v>2025</v>
      </c>
      <c r="I51" s="171">
        <v>0.84513800000000006</v>
      </c>
      <c r="J51" s="160">
        <f t="shared" si="3"/>
        <v>30002.399000000001</v>
      </c>
      <c r="L51" s="160">
        <f t="shared" si="2"/>
        <v>30002.399000000001</v>
      </c>
    </row>
    <row r="52" spans="2:12">
      <c r="B52" s="1">
        <v>2026</v>
      </c>
      <c r="C52" s="171">
        <v>37.778310973213259</v>
      </c>
      <c r="D52" s="160">
        <f t="shared" si="0"/>
        <v>1196401.3302106906</v>
      </c>
      <c r="F52" s="160">
        <f t="shared" si="1"/>
        <v>1196401.3302106906</v>
      </c>
      <c r="H52" s="1">
        <v>2026</v>
      </c>
      <c r="I52" s="171">
        <v>0.75209399999999993</v>
      </c>
      <c r="J52" s="160">
        <f t="shared" si="3"/>
        <v>26699.336999999996</v>
      </c>
      <c r="L52" s="160">
        <f t="shared" si="2"/>
        <v>26699.336999999996</v>
      </c>
    </row>
    <row r="53" spans="2:12">
      <c r="B53" s="1">
        <v>2027</v>
      </c>
      <c r="C53" s="171">
        <v>34.10012192369652</v>
      </c>
      <c r="D53" s="160">
        <f t="shared" si="0"/>
        <v>1079916.7612015451</v>
      </c>
      <c r="F53" s="160">
        <f t="shared" si="1"/>
        <v>1079916.7612015451</v>
      </c>
      <c r="H53" s="1">
        <v>2027</v>
      </c>
      <c r="I53" s="171">
        <v>0.69208799999999993</v>
      </c>
      <c r="J53" s="160">
        <f t="shared" si="3"/>
        <v>24569.123999999996</v>
      </c>
      <c r="L53" s="160">
        <f t="shared" si="2"/>
        <v>24569.123999999996</v>
      </c>
    </row>
    <row r="54" spans="2:12">
      <c r="B54" s="1">
        <v>2028</v>
      </c>
      <c r="C54" s="171">
        <v>31.020095815400744</v>
      </c>
      <c r="D54" s="160">
        <f t="shared" si="0"/>
        <v>982375.41437792627</v>
      </c>
      <c r="F54" s="160">
        <f t="shared" si="1"/>
        <v>982375.41437792627</v>
      </c>
      <c r="H54" s="1">
        <v>2028</v>
      </c>
      <c r="I54" s="171">
        <v>0.66808199999999995</v>
      </c>
      <c r="J54" s="160">
        <f t="shared" si="3"/>
        <v>23716.911</v>
      </c>
      <c r="L54" s="160">
        <f t="shared" si="2"/>
        <v>23716.911</v>
      </c>
    </row>
    <row r="55" spans="2:12">
      <c r="B55" s="1">
        <v>2029</v>
      </c>
      <c r="C55" s="171">
        <v>28.051085355792175</v>
      </c>
      <c r="D55" s="160">
        <f t="shared" si="0"/>
        <v>888349.82213258243</v>
      </c>
      <c r="F55" s="160">
        <f t="shared" si="1"/>
        <v>888349.82213258243</v>
      </c>
      <c r="H55" s="1">
        <v>2029</v>
      </c>
      <c r="I55" s="171">
        <v>0.663076</v>
      </c>
      <c r="J55" s="160">
        <f t="shared" si="3"/>
        <v>23539.198</v>
      </c>
      <c r="L55" s="160">
        <f t="shared" si="2"/>
        <v>23539.198</v>
      </c>
    </row>
    <row r="56" spans="2:12">
      <c r="B56" s="1">
        <v>2030</v>
      </c>
      <c r="C56" s="171">
        <v>25.601712171519907</v>
      </c>
      <c r="D56" s="160">
        <f t="shared" si="0"/>
        <v>810780.62275986385</v>
      </c>
      <c r="F56" s="160">
        <f t="shared" si="1"/>
        <v>810780.62275986385</v>
      </c>
      <c r="H56" s="1">
        <v>2030</v>
      </c>
      <c r="I56" s="171">
        <v>0.61307199999999995</v>
      </c>
      <c r="J56" s="160">
        <f t="shared" si="3"/>
        <v>21764.056</v>
      </c>
      <c r="K56" s="160">
        <f>J56</f>
        <v>21764.056</v>
      </c>
      <c r="L56" s="160">
        <f t="shared" si="2"/>
        <v>21764.056</v>
      </c>
    </row>
    <row r="57" spans="2:12">
      <c r="B57" s="1">
        <v>2031</v>
      </c>
      <c r="C57" s="171">
        <v>23.524521408285757</v>
      </c>
      <c r="D57" s="160">
        <f t="shared" si="0"/>
        <v>744998.06847900175</v>
      </c>
      <c r="F57" s="160">
        <f t="shared" si="1"/>
        <v>744998.06847900175</v>
      </c>
      <c r="H57" s="1">
        <v>2031</v>
      </c>
      <c r="I57" s="171"/>
      <c r="J57" s="160"/>
      <c r="K57" s="173">
        <f>MAX(K56+($J$56-$J$55),0)</f>
        <v>19988.914000000001</v>
      </c>
      <c r="L57" s="160">
        <f t="shared" ref="L57:L63" si="4">K57</f>
        <v>19988.914000000001</v>
      </c>
    </row>
    <row r="58" spans="2:12">
      <c r="B58" s="1">
        <v>2032</v>
      </c>
      <c r="C58" s="171">
        <v>21.798076453988319</v>
      </c>
      <c r="D58" s="160">
        <f t="shared" si="0"/>
        <v>690323.28322135611</v>
      </c>
      <c r="F58" s="160">
        <f t="shared" si="1"/>
        <v>690323.28322135611</v>
      </c>
      <c r="H58" s="1">
        <v>2032</v>
      </c>
      <c r="I58" s="171"/>
      <c r="J58" s="160"/>
      <c r="K58" s="173">
        <f t="shared" ref="K58:K76" si="5">MAX(K57+($J$56-$J$55),0)</f>
        <v>18213.772000000001</v>
      </c>
      <c r="L58" s="160">
        <f t="shared" si="4"/>
        <v>18213.772000000001</v>
      </c>
    </row>
    <row r="59" spans="2:12">
      <c r="B59" s="1">
        <v>2033</v>
      </c>
      <c r="C59" s="171">
        <v>20.318518206212147</v>
      </c>
      <c r="D59" s="160">
        <f t="shared" si="0"/>
        <v>643467.1530725325</v>
      </c>
      <c r="F59" s="160">
        <f t="shared" si="1"/>
        <v>643467.1530725325</v>
      </c>
      <c r="H59" s="1">
        <v>2033</v>
      </c>
      <c r="I59" s="171"/>
      <c r="J59" s="160"/>
      <c r="K59" s="173">
        <f t="shared" si="5"/>
        <v>16438.63</v>
      </c>
      <c r="L59" s="160">
        <f t="shared" si="4"/>
        <v>16438.63</v>
      </c>
    </row>
    <row r="60" spans="2:12">
      <c r="B60" s="1">
        <v>2034</v>
      </c>
      <c r="C60" s="171">
        <v>18.697580888494109</v>
      </c>
      <c r="D60" s="160">
        <f t="shared" si="0"/>
        <v>592133.68915771996</v>
      </c>
      <c r="F60" s="160">
        <f t="shared" si="1"/>
        <v>592133.68915771996</v>
      </c>
      <c r="H60" s="1">
        <v>2034</v>
      </c>
      <c r="I60" s="171"/>
      <c r="J60" s="160"/>
      <c r="K60" s="173">
        <f t="shared" si="5"/>
        <v>14663.488000000001</v>
      </c>
      <c r="L60" s="160">
        <f t="shared" si="4"/>
        <v>14663.488000000001</v>
      </c>
    </row>
    <row r="61" spans="2:12">
      <c r="B61" s="1">
        <v>2035</v>
      </c>
      <c r="C61" s="171">
        <v>17.211371913420646</v>
      </c>
      <c r="D61" s="160">
        <f t="shared" si="0"/>
        <v>545066.93712611846</v>
      </c>
      <c r="F61" s="160">
        <f t="shared" si="1"/>
        <v>545066.93712611846</v>
      </c>
      <c r="H61" s="1">
        <v>2035</v>
      </c>
      <c r="I61" s="171"/>
      <c r="J61" s="160"/>
      <c r="K61" s="173">
        <f t="shared" si="5"/>
        <v>12888.346000000001</v>
      </c>
      <c r="L61" s="160">
        <f t="shared" si="4"/>
        <v>12888.346000000001</v>
      </c>
    </row>
    <row r="62" spans="2:12">
      <c r="B62" s="1">
        <v>2036</v>
      </c>
      <c r="C62" s="171">
        <v>15.526009328863541</v>
      </c>
      <c r="D62" s="160">
        <f t="shared" si="0"/>
        <v>491693.18943577947</v>
      </c>
      <c r="F62" s="160">
        <f t="shared" si="1"/>
        <v>491693.18943577947</v>
      </c>
      <c r="H62" s="1">
        <v>2036</v>
      </c>
      <c r="I62" s="171"/>
      <c r="J62" s="160"/>
      <c r="K62" s="173">
        <f t="shared" si="5"/>
        <v>11113.204000000002</v>
      </c>
      <c r="L62" s="160">
        <f t="shared" si="4"/>
        <v>11113.204000000002</v>
      </c>
    </row>
    <row r="63" spans="2:12">
      <c r="B63" s="1">
        <v>2037</v>
      </c>
      <c r="C63" s="171">
        <v>14.029328222068383</v>
      </c>
      <c r="D63" s="160">
        <f t="shared" si="0"/>
        <v>444294.79546468362</v>
      </c>
      <c r="E63" s="160">
        <f>D63</f>
        <v>444294.79546468362</v>
      </c>
      <c r="F63" s="160">
        <f t="shared" si="1"/>
        <v>444294.79546468362</v>
      </c>
      <c r="H63" s="1">
        <v>2037</v>
      </c>
      <c r="I63" s="171"/>
      <c r="J63" s="160"/>
      <c r="K63" s="173">
        <f t="shared" si="5"/>
        <v>9338.0620000000017</v>
      </c>
      <c r="L63" s="160">
        <f t="shared" si="4"/>
        <v>9338.0620000000017</v>
      </c>
    </row>
    <row r="64" spans="2:12">
      <c r="B64" s="1">
        <v>2038</v>
      </c>
      <c r="E64" s="160">
        <f>MAX(E63+($D$63-$D$62),0)</f>
        <v>396896.40149358776</v>
      </c>
      <c r="F64" s="160">
        <f>E64</f>
        <v>396896.40149358776</v>
      </c>
      <c r="H64" s="1">
        <v>2038</v>
      </c>
      <c r="J64" s="160"/>
      <c r="K64" s="173">
        <f t="shared" si="5"/>
        <v>7562.9200000000019</v>
      </c>
      <c r="L64" s="160">
        <f>K64</f>
        <v>7562.9200000000019</v>
      </c>
    </row>
    <row r="65" spans="2:12">
      <c r="B65" s="1">
        <v>2039</v>
      </c>
      <c r="E65" s="160">
        <f t="shared" ref="E65:E76" si="6">MAX(E64+($D$63-$D$62),0)</f>
        <v>349498.00752249191</v>
      </c>
      <c r="F65" s="160">
        <f t="shared" ref="F65:F76" si="7">E65</f>
        <v>349498.00752249191</v>
      </c>
      <c r="H65" s="1">
        <v>2039</v>
      </c>
      <c r="J65" s="160"/>
      <c r="K65" s="173">
        <f t="shared" si="5"/>
        <v>5787.7780000000021</v>
      </c>
      <c r="L65" s="160">
        <f t="shared" ref="L65:L76" si="8">K65</f>
        <v>5787.7780000000021</v>
      </c>
    </row>
    <row r="66" spans="2:12">
      <c r="B66" s="1">
        <v>2040</v>
      </c>
      <c r="E66" s="160">
        <f t="shared" si="6"/>
        <v>302099.61355139606</v>
      </c>
      <c r="F66" s="160">
        <f t="shared" si="7"/>
        <v>302099.61355139606</v>
      </c>
      <c r="H66" s="1">
        <v>2040</v>
      </c>
      <c r="J66" s="160"/>
      <c r="K66" s="173">
        <f t="shared" si="5"/>
        <v>4012.6360000000022</v>
      </c>
      <c r="L66" s="160">
        <f t="shared" si="8"/>
        <v>4012.6360000000022</v>
      </c>
    </row>
    <row r="67" spans="2:12">
      <c r="B67" s="1">
        <v>2041</v>
      </c>
      <c r="E67" s="160">
        <f t="shared" si="6"/>
        <v>254701.21958030021</v>
      </c>
      <c r="F67" s="160">
        <f t="shared" si="7"/>
        <v>254701.21958030021</v>
      </c>
      <c r="H67" s="1">
        <v>2041</v>
      </c>
      <c r="J67" s="160"/>
      <c r="K67" s="173">
        <f t="shared" si="5"/>
        <v>2237.4940000000024</v>
      </c>
      <c r="L67" s="160">
        <f t="shared" si="8"/>
        <v>2237.4940000000024</v>
      </c>
    </row>
    <row r="68" spans="2:12">
      <c r="B68" s="1">
        <v>2042</v>
      </c>
      <c r="E68" s="160">
        <f t="shared" si="6"/>
        <v>207302.82560920436</v>
      </c>
      <c r="F68" s="160">
        <f t="shared" si="7"/>
        <v>207302.82560920436</v>
      </c>
      <c r="H68" s="1">
        <v>2042</v>
      </c>
      <c r="J68" s="160"/>
      <c r="K68" s="173">
        <f t="shared" si="5"/>
        <v>462.35200000000259</v>
      </c>
      <c r="L68" s="160">
        <f t="shared" si="8"/>
        <v>462.35200000000259</v>
      </c>
    </row>
    <row r="69" spans="2:12">
      <c r="B69" s="1">
        <v>2043</v>
      </c>
      <c r="E69" s="160">
        <f t="shared" si="6"/>
        <v>159904.43163810851</v>
      </c>
      <c r="F69" s="160">
        <f t="shared" si="7"/>
        <v>159904.43163810851</v>
      </c>
      <c r="H69" s="1">
        <v>2043</v>
      </c>
      <c r="J69" s="160"/>
      <c r="K69" s="173">
        <f t="shared" si="5"/>
        <v>0</v>
      </c>
      <c r="L69" s="160">
        <f t="shared" si="8"/>
        <v>0</v>
      </c>
    </row>
    <row r="70" spans="2:12">
      <c r="B70" s="1">
        <v>2044</v>
      </c>
      <c r="E70" s="160">
        <f t="shared" si="6"/>
        <v>112506.03766701266</v>
      </c>
      <c r="F70" s="160">
        <f t="shared" si="7"/>
        <v>112506.03766701266</v>
      </c>
      <c r="H70" s="1">
        <v>2044</v>
      </c>
      <c r="J70" s="160"/>
      <c r="K70" s="173">
        <f t="shared" si="5"/>
        <v>0</v>
      </c>
      <c r="L70" s="160">
        <f t="shared" si="8"/>
        <v>0</v>
      </c>
    </row>
    <row r="71" spans="2:12">
      <c r="B71" s="1">
        <v>2045</v>
      </c>
      <c r="E71" s="160">
        <f t="shared" si="6"/>
        <v>65107.643695916806</v>
      </c>
      <c r="F71" s="160">
        <f t="shared" si="7"/>
        <v>65107.643695916806</v>
      </c>
      <c r="H71" s="1">
        <v>2045</v>
      </c>
      <c r="J71" s="160"/>
      <c r="K71" s="173">
        <f t="shared" si="5"/>
        <v>0</v>
      </c>
      <c r="L71" s="160">
        <f t="shared" si="8"/>
        <v>0</v>
      </c>
    </row>
    <row r="72" spans="2:12">
      <c r="B72" s="1">
        <v>2046</v>
      </c>
      <c r="E72" s="160">
        <f t="shared" si="6"/>
        <v>17709.249724820955</v>
      </c>
      <c r="F72" s="160">
        <f t="shared" si="7"/>
        <v>17709.249724820955</v>
      </c>
      <c r="H72" s="1">
        <v>2046</v>
      </c>
      <c r="J72" s="160"/>
      <c r="K72" s="173">
        <f t="shared" si="5"/>
        <v>0</v>
      </c>
      <c r="L72" s="160">
        <f t="shared" si="8"/>
        <v>0</v>
      </c>
    </row>
    <row r="73" spans="2:12">
      <c r="B73" s="1">
        <v>2047</v>
      </c>
      <c r="E73" s="160">
        <f t="shared" si="6"/>
        <v>0</v>
      </c>
      <c r="F73" s="160">
        <f t="shared" si="7"/>
        <v>0</v>
      </c>
      <c r="H73" s="1">
        <v>2047</v>
      </c>
      <c r="J73" s="160"/>
      <c r="K73" s="173">
        <f t="shared" si="5"/>
        <v>0</v>
      </c>
      <c r="L73" s="160">
        <f t="shared" si="8"/>
        <v>0</v>
      </c>
    </row>
    <row r="74" spans="2:12">
      <c r="B74" s="1">
        <v>2048</v>
      </c>
      <c r="E74" s="160">
        <f t="shared" si="6"/>
        <v>0</v>
      </c>
      <c r="F74" s="160">
        <f t="shared" si="7"/>
        <v>0</v>
      </c>
      <c r="H74" s="1">
        <v>2048</v>
      </c>
      <c r="J74" s="160"/>
      <c r="K74" s="173">
        <f t="shared" si="5"/>
        <v>0</v>
      </c>
      <c r="L74" s="160">
        <f t="shared" si="8"/>
        <v>0</v>
      </c>
    </row>
    <row r="75" spans="2:12">
      <c r="B75" s="1">
        <v>2049</v>
      </c>
      <c r="E75" s="160">
        <f t="shared" si="6"/>
        <v>0</v>
      </c>
      <c r="F75" s="160">
        <f t="shared" si="7"/>
        <v>0</v>
      </c>
      <c r="H75" s="1">
        <v>2049</v>
      </c>
      <c r="J75" s="160"/>
      <c r="K75" s="173">
        <f t="shared" si="5"/>
        <v>0</v>
      </c>
      <c r="L75" s="160">
        <f t="shared" si="8"/>
        <v>0</v>
      </c>
    </row>
    <row r="76" spans="2:12">
      <c r="B76" s="174">
        <v>2050</v>
      </c>
      <c r="C76" s="174"/>
      <c r="D76" s="175"/>
      <c r="E76" s="175">
        <f t="shared" si="6"/>
        <v>0</v>
      </c>
      <c r="F76" s="175">
        <f t="shared" si="7"/>
        <v>0</v>
      </c>
      <c r="H76" s="174">
        <v>2050</v>
      </c>
      <c r="I76" s="174"/>
      <c r="J76" s="175"/>
      <c r="K76" s="175">
        <f t="shared" si="5"/>
        <v>0</v>
      </c>
      <c r="L76" s="175">
        <f t="shared" si="8"/>
        <v>0</v>
      </c>
    </row>
  </sheetData>
  <mergeCells count="1">
    <mergeCell ref="B3:G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4" customFormat="1" ht="15" customHeight="1">
      <c r="B2" s="117" t="s">
        <v>67</v>
      </c>
      <c r="C2" s="118"/>
      <c r="D2" s="118"/>
      <c r="E2" s="118"/>
      <c r="F2" s="118"/>
      <c r="G2" s="119"/>
      <c r="H2" s="91"/>
      <c r="I2" s="91"/>
      <c r="J2" s="84"/>
      <c r="K2" s="123"/>
      <c r="L2" s="19"/>
      <c r="M2" s="19"/>
    </row>
    <row r="3" spans="2:13" s="14" customFormat="1" ht="15" customHeight="1">
      <c r="B3" s="179" t="s">
        <v>89</v>
      </c>
      <c r="C3" s="180"/>
      <c r="D3" s="180"/>
      <c r="E3" s="180"/>
      <c r="F3" s="180"/>
      <c r="G3" s="181"/>
      <c r="H3" s="120"/>
      <c r="I3" s="120"/>
      <c r="J3" s="84"/>
      <c r="K3" s="124"/>
      <c r="L3" s="19"/>
      <c r="M3" s="19"/>
    </row>
    <row r="4" spans="2:13" s="14" customFormat="1">
      <c r="B4" s="179"/>
      <c r="C4" s="180"/>
      <c r="D4" s="180"/>
      <c r="E4" s="180"/>
      <c r="F4" s="180"/>
      <c r="G4" s="181"/>
      <c r="H4" s="120"/>
      <c r="I4" s="120"/>
      <c r="J4" s="84"/>
      <c r="K4" s="124"/>
      <c r="L4" s="19"/>
      <c r="M4" s="19"/>
    </row>
    <row r="5" spans="2:13" s="14" customFormat="1">
      <c r="B5" s="177"/>
      <c r="C5" s="182"/>
      <c r="D5" s="182"/>
      <c r="E5" s="182"/>
      <c r="F5" s="182"/>
      <c r="G5" s="178"/>
      <c r="H5" s="120"/>
      <c r="I5" s="120"/>
      <c r="J5" s="84"/>
      <c r="K5" s="124"/>
      <c r="L5" s="19"/>
      <c r="M5" s="19"/>
    </row>
    <row r="6" spans="2:13">
      <c r="B6" s="131"/>
      <c r="C6" s="131"/>
      <c r="D6" s="131"/>
      <c r="E6" s="131"/>
      <c r="F6" s="131"/>
      <c r="G6" s="131"/>
      <c r="H6" s="131"/>
      <c r="I6" s="131"/>
      <c r="J6" s="131"/>
      <c r="K6" s="131"/>
      <c r="L6" s="131"/>
      <c r="M6" s="131"/>
    </row>
    <row r="7" spans="2:13">
      <c r="B7" s="132" t="s">
        <v>19</v>
      </c>
      <c r="C7" s="136">
        <v>2000</v>
      </c>
      <c r="D7" s="136">
        <v>2005</v>
      </c>
      <c r="E7" s="136">
        <v>2010</v>
      </c>
      <c r="F7" s="136">
        <v>2015</v>
      </c>
      <c r="G7" s="136">
        <v>2020</v>
      </c>
      <c r="H7" s="136">
        <v>2025</v>
      </c>
      <c r="I7" s="136">
        <v>2030</v>
      </c>
      <c r="J7" s="136">
        <v>2035</v>
      </c>
      <c r="K7" s="136">
        <v>2040</v>
      </c>
      <c r="L7" s="136">
        <v>2045</v>
      </c>
      <c r="M7" s="136">
        <v>2050</v>
      </c>
    </row>
    <row r="8" spans="2:13">
      <c r="B8" s="133"/>
      <c r="C8" s="137"/>
      <c r="D8" s="137"/>
      <c r="E8" s="137"/>
      <c r="F8" s="137"/>
      <c r="G8" s="137"/>
      <c r="H8" s="137"/>
      <c r="I8" s="137"/>
      <c r="J8" s="137"/>
      <c r="K8" s="137"/>
      <c r="L8" s="137"/>
      <c r="M8" s="137"/>
    </row>
    <row r="9" spans="2:13">
      <c r="B9" s="133" t="s">
        <v>8</v>
      </c>
      <c r="C9" s="138">
        <f>Dashboard!C21*ktoe_TJ</f>
        <v>2410675.7039999999</v>
      </c>
      <c r="D9" s="138">
        <f>Dashboard!D21*ktoe_TJ</f>
        <v>2605571.2439999999</v>
      </c>
      <c r="E9" s="138">
        <f>Dashboard!E21*ktoe_TJ</f>
        <v>2938003.1640000003</v>
      </c>
      <c r="F9" s="138">
        <f>Dashboard!F21*ktoe_TJ</f>
        <v>2938003.1640000003</v>
      </c>
      <c r="G9" s="138">
        <f>Dashboard!G21*ktoe_TJ</f>
        <v>2881565.1</v>
      </c>
      <c r="H9" s="138">
        <f>Dashboard!H21*ktoe_TJ</f>
        <v>2431986.5160000003</v>
      </c>
      <c r="I9" s="138">
        <f>Dashboard!I21*ktoe_TJ</f>
        <v>2156369.4720000001</v>
      </c>
      <c r="J9" s="138">
        <f>Dashboard!J21*ktoe_TJ</f>
        <v>2288881.6920000003</v>
      </c>
      <c r="K9" s="138">
        <f>Dashboard!K21*ktoe_TJ</f>
        <v>2364327.8280000002</v>
      </c>
      <c r="L9" s="138">
        <f>Dashboard!L21*ktoe_TJ</f>
        <v>2257941.2400000002</v>
      </c>
      <c r="M9" s="138">
        <f>Dashboard!M21*ktoe_TJ</f>
        <v>2028923.28</v>
      </c>
    </row>
    <row r="10" spans="2:13">
      <c r="B10" s="135" t="s">
        <v>9</v>
      </c>
      <c r="C10" s="139">
        <f>Dashboard!C22*ktoe_TJ</f>
        <v>293.07600000000002</v>
      </c>
      <c r="D10" s="139">
        <f>Dashboard!D22*ktoe_TJ</f>
        <v>334.94400000000002</v>
      </c>
      <c r="E10" s="139">
        <f>Dashboard!E22*ktoe_TJ</f>
        <v>251.20800000000003</v>
      </c>
      <c r="F10" s="139">
        <f>Dashboard!F22*ktoe_TJ</f>
        <v>0</v>
      </c>
      <c r="G10" s="139">
        <f>Dashboard!G22*ktoe_TJ</f>
        <v>0</v>
      </c>
      <c r="H10" s="139">
        <f>Dashboard!H22*ktoe_TJ</f>
        <v>0</v>
      </c>
      <c r="I10" s="139">
        <f>Dashboard!I22*ktoe_TJ</f>
        <v>0</v>
      </c>
      <c r="J10" s="139">
        <f>Dashboard!J22*ktoe_TJ</f>
        <v>0</v>
      </c>
      <c r="K10" s="139">
        <f>Dashboard!K22*ktoe_TJ</f>
        <v>0</v>
      </c>
      <c r="L10" s="139">
        <f>Dashboard!L22*ktoe_TJ</f>
        <v>0</v>
      </c>
      <c r="M10" s="139">
        <f>Dashboard!M22*ktoe_TJ</f>
        <v>0</v>
      </c>
    </row>
    <row r="11" spans="2:13">
      <c r="B11" s="135" t="s">
        <v>10</v>
      </c>
      <c r="C11" s="139">
        <f>Dashboard!C23*ktoe_TJ</f>
        <v>101697.372</v>
      </c>
      <c r="D11" s="139">
        <f>Dashboard!D23*ktoe_TJ</f>
        <v>98012.988000000012</v>
      </c>
      <c r="E11" s="139">
        <f>Dashboard!E23*ktoe_TJ</f>
        <v>83275.452000000005</v>
      </c>
      <c r="F11" s="139">
        <f>Dashboard!F23*ktoe_TJ</f>
        <v>34038.684000000001</v>
      </c>
      <c r="G11" s="139">
        <f>Dashboard!G23*ktoe_TJ</f>
        <v>0</v>
      </c>
      <c r="H11" s="139">
        <f>Dashboard!H23*ktoe_TJ</f>
        <v>0</v>
      </c>
      <c r="I11" s="139">
        <f>Dashboard!I23*ktoe_TJ</f>
        <v>0</v>
      </c>
      <c r="J11" s="139">
        <f>Dashboard!J23*ktoe_TJ</f>
        <v>0</v>
      </c>
      <c r="K11" s="139">
        <f>Dashboard!K23*ktoe_TJ</f>
        <v>0</v>
      </c>
      <c r="L11" s="139">
        <f>Dashboard!L23*ktoe_TJ</f>
        <v>0</v>
      </c>
      <c r="M11" s="139">
        <f>Dashboard!M23*ktoe_TJ</f>
        <v>0</v>
      </c>
    </row>
    <row r="12" spans="2:13">
      <c r="B12" s="135" t="s">
        <v>3</v>
      </c>
      <c r="C12" s="139">
        <f>Dashboard!C24*ktoe_TJ</f>
        <v>2185635.2039999999</v>
      </c>
      <c r="D12" s="139">
        <f>Dashboard!D24*ktoe_TJ</f>
        <v>2356163.568</v>
      </c>
      <c r="E12" s="139">
        <f>Dashboard!E24*ktoe_TJ</f>
        <v>2660041.5120000001</v>
      </c>
      <c r="F12" s="139">
        <f>Dashboard!F24*ktoe_TJ</f>
        <v>2667703.3560000001</v>
      </c>
      <c r="G12" s="139">
        <f>Dashboard!G24*ktoe_TJ</f>
        <v>2559390.8400000003</v>
      </c>
      <c r="H12" s="139">
        <f>Dashboard!H24*ktoe_TJ</f>
        <v>2082388.716</v>
      </c>
      <c r="I12" s="139">
        <f>Dashboard!I24*ktoe_TJ</f>
        <v>1777129.128</v>
      </c>
      <c r="J12" s="139">
        <f>Dashboard!J24*ktoe_TJ</f>
        <v>1827035.784</v>
      </c>
      <c r="K12" s="139">
        <f>Dashboard!K24*ktoe_TJ</f>
        <v>1883934.3960000002</v>
      </c>
      <c r="L12" s="139">
        <f>Dashboard!L24*ktoe_TJ</f>
        <v>1743132.3120000002</v>
      </c>
      <c r="M12" s="139">
        <f>Dashboard!M24*ktoe_TJ</f>
        <v>1468687.5720000002</v>
      </c>
    </row>
    <row r="13" spans="2:13">
      <c r="B13" s="135" t="s">
        <v>11</v>
      </c>
      <c r="C13" s="139">
        <f>Dashboard!C25*ktoe_TJ</f>
        <v>42412.284</v>
      </c>
      <c r="D13" s="139">
        <f>Dashboard!D25*ktoe_TJ</f>
        <v>43165.908000000003</v>
      </c>
      <c r="E13" s="139">
        <f>Dashboard!E25*ktoe_TJ</f>
        <v>42872.832000000002</v>
      </c>
      <c r="F13" s="139">
        <f>Dashboard!F25*ktoe_TJ</f>
        <v>42830.964</v>
      </c>
      <c r="G13" s="139">
        <f>Dashboard!G25*ktoe_TJ</f>
        <v>42872.832000000002</v>
      </c>
      <c r="H13" s="139">
        <f>Dashboard!H25*ktoe_TJ</f>
        <v>43835.796000000002</v>
      </c>
      <c r="I13" s="139">
        <f>Dashboard!I25*ktoe_TJ</f>
        <v>52293.132000000005</v>
      </c>
      <c r="J13" s="139">
        <f>Dashboard!J25*ktoe_TJ</f>
        <v>116644.24800000001</v>
      </c>
      <c r="K13" s="139">
        <f>Dashboard!K25*ktoe_TJ</f>
        <v>116644.24800000001</v>
      </c>
      <c r="L13" s="139">
        <f>Dashboard!L25*ktoe_TJ</f>
        <v>111410.74800000001</v>
      </c>
      <c r="M13" s="139">
        <f>Dashboard!M25*ktoe_TJ</f>
        <v>111410.74800000001</v>
      </c>
    </row>
    <row r="14" spans="2:13">
      <c r="B14" s="135" t="s">
        <v>12</v>
      </c>
      <c r="C14" s="139">
        <f>Dashboard!C26*ktoe_TJ</f>
        <v>80637.768000000011</v>
      </c>
      <c r="D14" s="139">
        <f>Dashboard!D26*ktoe_TJ</f>
        <v>107893.83600000001</v>
      </c>
      <c r="E14" s="139">
        <f>Dashboard!E26*ktoe_TJ</f>
        <v>151604.02800000002</v>
      </c>
      <c r="F14" s="139">
        <f>Dashboard!F26*ktoe_TJ</f>
        <v>193430.16</v>
      </c>
      <c r="G14" s="139">
        <f>Dashboard!G26*ktoe_TJ</f>
        <v>279301.42800000001</v>
      </c>
      <c r="H14" s="139">
        <f>Dashboard!H26*ktoe_TJ</f>
        <v>305762.00400000002</v>
      </c>
      <c r="I14" s="139">
        <f>Dashboard!I26*ktoe_TJ</f>
        <v>326947.212</v>
      </c>
      <c r="J14" s="139">
        <f>Dashboard!J26*ktoe_TJ</f>
        <v>345201.66000000003</v>
      </c>
      <c r="K14" s="139">
        <f>Dashboard!K26*ktoe_TJ</f>
        <v>363791.05200000003</v>
      </c>
      <c r="L14" s="139">
        <f>Dashboard!L26*ktoe_TJ</f>
        <v>403440.04800000001</v>
      </c>
      <c r="M14" s="139">
        <f>Dashboard!M26*ktoe_TJ</f>
        <v>448824.96</v>
      </c>
    </row>
    <row r="15" spans="2:13">
      <c r="B15" s="135" t="s">
        <v>13</v>
      </c>
      <c r="C15" s="139">
        <f>Dashboard!C27*ktoe_TJ</f>
        <v>502.41600000000005</v>
      </c>
      <c r="D15" s="139">
        <f>Dashboard!D27*ktoe_TJ</f>
        <v>334.94400000000002</v>
      </c>
      <c r="E15" s="139">
        <f>Dashboard!E27*ktoe_TJ</f>
        <v>376.81200000000001</v>
      </c>
      <c r="F15" s="139">
        <f>Dashboard!F27*ktoe_TJ</f>
        <v>376.81200000000001</v>
      </c>
      <c r="G15" s="139">
        <f>Dashboard!G27*ktoe_TJ</f>
        <v>376.81200000000001</v>
      </c>
      <c r="H15" s="139">
        <f>Dashboard!H27*ktoe_TJ</f>
        <v>376.81200000000001</v>
      </c>
      <c r="I15" s="139">
        <f>Dashboard!I27*ktoe_TJ</f>
        <v>376.81200000000001</v>
      </c>
      <c r="J15" s="139">
        <f>Dashboard!J27*ktoe_TJ</f>
        <v>376.81200000000001</v>
      </c>
      <c r="K15" s="139">
        <f>Dashboard!K27*ktoe_TJ</f>
        <v>376.81200000000001</v>
      </c>
      <c r="L15" s="139">
        <f>Dashboard!L27*ktoe_TJ</f>
        <v>376.81200000000001</v>
      </c>
      <c r="M15" s="139">
        <f>Dashboard!M27*ktoe_TJ</f>
        <v>376.81200000000001</v>
      </c>
    </row>
    <row r="16" spans="2:13">
      <c r="B16" s="135" t="s">
        <v>14</v>
      </c>
      <c r="C16" s="139">
        <f>Dashboard!C28*ktoe_TJ</f>
        <v>76660.308000000005</v>
      </c>
      <c r="D16" s="139">
        <f>Dashboard!D28*ktoe_TJ</f>
        <v>99269.028000000006</v>
      </c>
      <c r="E16" s="139">
        <f>Dashboard!E28*ktoe_TJ</f>
        <v>135317.37600000002</v>
      </c>
      <c r="F16" s="139">
        <f>Dashboard!F28*ktoe_TJ</f>
        <v>145491.30000000002</v>
      </c>
      <c r="G16" s="139">
        <f>Dashboard!G28*ktoe_TJ</f>
        <v>163327.068</v>
      </c>
      <c r="H16" s="139">
        <f>Dashboard!H28*ktoe_TJ</f>
        <v>160647.516</v>
      </c>
      <c r="I16" s="139">
        <f>Dashboard!I28*ktoe_TJ</f>
        <v>166509.03600000002</v>
      </c>
      <c r="J16" s="139">
        <f>Dashboard!J28*ktoe_TJ</f>
        <v>173500.992</v>
      </c>
      <c r="K16" s="139">
        <f>Dashboard!K28*ktoe_TJ</f>
        <v>177394.71600000001</v>
      </c>
      <c r="L16" s="139">
        <f>Dashboard!L28*ktoe_TJ</f>
        <v>186228.864</v>
      </c>
      <c r="M16" s="139">
        <f>Dashboard!M28*ktoe_TJ</f>
        <v>200631.45600000001</v>
      </c>
    </row>
    <row r="17" spans="2:13">
      <c r="B17" s="134" t="s">
        <v>15</v>
      </c>
      <c r="C17" s="139">
        <f>Dashboard!C29*ktoe_TJ</f>
        <v>2972.6280000000002</v>
      </c>
      <c r="D17" s="139">
        <f>Dashboard!D29*ktoe_TJ</f>
        <v>7452.5040000000008</v>
      </c>
      <c r="E17" s="139">
        <f>Dashboard!E29*ktoe_TJ</f>
        <v>14360.724</v>
      </c>
      <c r="F17" s="139">
        <f>Dashboard!F29*ktoe_TJ</f>
        <v>41156.243999999999</v>
      </c>
      <c r="G17" s="139">
        <f>Dashboard!G29*ktoe_TJ</f>
        <v>98054.856</v>
      </c>
      <c r="H17" s="139">
        <f>Dashboard!H29*ktoe_TJ</f>
        <v>117230.40000000001</v>
      </c>
      <c r="I17" s="139">
        <f>Dashboard!I29*ktoe_TJ</f>
        <v>124347.96</v>
      </c>
      <c r="J17" s="139">
        <f>Dashboard!J29*ktoe_TJ</f>
        <v>129455.856</v>
      </c>
      <c r="K17" s="139">
        <f>Dashboard!K29*ktoe_TJ</f>
        <v>146496.13200000001</v>
      </c>
      <c r="L17" s="139">
        <f>Dashboard!L29*ktoe_TJ</f>
        <v>173835.93600000002</v>
      </c>
      <c r="M17" s="139">
        <f>Dashboard!M29*ktoe_TJ</f>
        <v>206241.76800000001</v>
      </c>
    </row>
    <row r="18" spans="2:13">
      <c r="B18" s="134" t="s">
        <v>16</v>
      </c>
      <c r="C18" s="139">
        <f>Dashboard!C30*ktoe_TJ</f>
        <v>460.548</v>
      </c>
      <c r="D18" s="139">
        <f>Dashboard!D30*ktoe_TJ</f>
        <v>879.22800000000007</v>
      </c>
      <c r="E18" s="139">
        <f>Dashboard!E30*ktoe_TJ</f>
        <v>1214.172</v>
      </c>
      <c r="F18" s="139">
        <f>Dashboard!F30*ktoe_TJ</f>
        <v>6070.8600000000006</v>
      </c>
      <c r="G18" s="139">
        <f>Dashboard!G30*ktoe_TJ</f>
        <v>15449.292000000001</v>
      </c>
      <c r="H18" s="139">
        <f>Dashboard!H30*ktoe_TJ</f>
        <v>25455.744000000002</v>
      </c>
      <c r="I18" s="139">
        <f>Dashboard!I30*ktoe_TJ</f>
        <v>33787.476000000002</v>
      </c>
      <c r="J18" s="139">
        <f>Dashboard!J30*ktoe_TJ</f>
        <v>40025.808000000005</v>
      </c>
      <c r="K18" s="139">
        <f>Dashboard!K30*ktoe_TJ</f>
        <v>37723.067999999999</v>
      </c>
      <c r="L18" s="139">
        <f>Dashboard!L30*ktoe_TJ</f>
        <v>41239.980000000003</v>
      </c>
      <c r="M18" s="139">
        <f>Dashboard!M30*ktoe_TJ</f>
        <v>39942.072</v>
      </c>
    </row>
    <row r="19" spans="2:13">
      <c r="B19" s="134" t="s">
        <v>17</v>
      </c>
      <c r="C19" s="139">
        <f>Dashboard!C31*ktoe_TJ</f>
        <v>0</v>
      </c>
      <c r="D19" s="139">
        <f>Dashboard!D31*ktoe_TJ</f>
        <v>0</v>
      </c>
      <c r="E19" s="139">
        <f>Dashboard!E31*ktoe_TJ</f>
        <v>334.94400000000002</v>
      </c>
      <c r="F19" s="139">
        <f>Dashboard!F31*ktoe_TJ</f>
        <v>293.07600000000002</v>
      </c>
      <c r="G19" s="139">
        <f>Dashboard!G31*ktoe_TJ</f>
        <v>2051.5320000000002</v>
      </c>
      <c r="H19" s="139">
        <f>Dashboard!H31*ktoe_TJ</f>
        <v>2009.6640000000002</v>
      </c>
      <c r="I19" s="139">
        <f>Dashboard!I31*ktoe_TJ</f>
        <v>1967.796</v>
      </c>
      <c r="J19" s="139">
        <f>Dashboard!J31*ktoe_TJ</f>
        <v>1884.0600000000002</v>
      </c>
      <c r="K19" s="139">
        <f>Dashboard!K31*ktoe_TJ</f>
        <v>1800.3240000000001</v>
      </c>
      <c r="L19" s="139">
        <f>Dashboard!L31*ktoe_TJ</f>
        <v>1758.4560000000001</v>
      </c>
      <c r="M19" s="139">
        <f>Dashboard!M31*ktoe_TJ</f>
        <v>1674.72</v>
      </c>
    </row>
    <row r="20" spans="2:13">
      <c r="B20" s="131"/>
      <c r="C20" s="131"/>
      <c r="D20" s="131"/>
      <c r="E20" s="131"/>
      <c r="F20" s="131"/>
      <c r="G20" s="131"/>
      <c r="H20" s="131"/>
      <c r="I20" s="131"/>
      <c r="J20" s="131"/>
      <c r="K20" s="131"/>
      <c r="L20" s="131"/>
      <c r="M20" s="131"/>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D22" sqref="D22"/>
    </sheetView>
  </sheetViews>
  <sheetFormatPr baseColWidth="10" defaultRowHeight="15" x14ac:dyDescent="0"/>
  <cols>
    <col min="1" max="6" width="10.83203125" style="1"/>
    <col min="7" max="7" width="12.5" style="1" customWidth="1"/>
    <col min="8" max="16384" width="10.83203125" style="1"/>
  </cols>
  <sheetData>
    <row r="2" spans="1:13" s="14" customFormat="1" ht="15" customHeight="1">
      <c r="B2" s="117" t="s">
        <v>67</v>
      </c>
      <c r="C2" s="118"/>
      <c r="D2" s="118"/>
      <c r="E2" s="118"/>
      <c r="F2" s="118"/>
      <c r="G2" s="119"/>
      <c r="H2" s="91"/>
      <c r="I2" s="91"/>
      <c r="J2" s="84"/>
      <c r="K2" s="123"/>
      <c r="L2" s="19"/>
      <c r="M2" s="19"/>
    </row>
    <row r="3" spans="1:13" s="14" customFormat="1" ht="15" customHeight="1">
      <c r="B3" s="179" t="s">
        <v>114</v>
      </c>
      <c r="C3" s="180"/>
      <c r="D3" s="180"/>
      <c r="E3" s="180"/>
      <c r="F3" s="180"/>
      <c r="G3" s="181"/>
      <c r="H3" s="120"/>
      <c r="I3" s="120"/>
      <c r="J3" s="84"/>
      <c r="K3" s="124"/>
      <c r="L3" s="19"/>
      <c r="M3" s="19"/>
    </row>
    <row r="4" spans="1:13" s="14" customFormat="1">
      <c r="B4" s="179"/>
      <c r="C4" s="180"/>
      <c r="D4" s="180"/>
      <c r="E4" s="180"/>
      <c r="F4" s="180"/>
      <c r="G4" s="181"/>
      <c r="H4" s="120"/>
      <c r="I4" s="120"/>
      <c r="J4" s="84"/>
      <c r="K4" s="124"/>
      <c r="L4" s="19"/>
      <c r="M4" s="19"/>
    </row>
    <row r="5" spans="1:13" s="14" customFormat="1">
      <c r="B5" s="179"/>
      <c r="C5" s="180"/>
      <c r="D5" s="180"/>
      <c r="E5" s="180"/>
      <c r="F5" s="180"/>
      <c r="G5" s="181"/>
      <c r="H5" s="120"/>
      <c r="I5" s="120"/>
      <c r="J5" s="84"/>
      <c r="K5" s="124"/>
      <c r="L5" s="19"/>
      <c r="M5" s="19"/>
    </row>
    <row r="6" spans="1:13">
      <c r="B6" s="177"/>
      <c r="C6" s="182"/>
      <c r="D6" s="182"/>
      <c r="E6" s="182"/>
      <c r="F6" s="182"/>
      <c r="G6" s="178"/>
    </row>
    <row r="8" spans="1:13">
      <c r="A8" s="140" t="s">
        <v>0</v>
      </c>
      <c r="B8" s="140" t="s">
        <v>1</v>
      </c>
      <c r="C8" s="140" t="s">
        <v>2</v>
      </c>
      <c r="D8" s="140" t="s">
        <v>3</v>
      </c>
      <c r="E8" s="140" t="s">
        <v>4</v>
      </c>
      <c r="F8" s="140" t="s">
        <v>5</v>
      </c>
      <c r="G8" s="140" t="s">
        <v>6</v>
      </c>
    </row>
    <row r="9" spans="1:13">
      <c r="A9" s="2">
        <v>2000</v>
      </c>
      <c r="B9" s="2">
        <f>conversion_to_TJ!C10*Dashboard!$D$11</f>
        <v>293.07600000000002</v>
      </c>
      <c r="C9" s="2">
        <f>conversion_to_TJ!C10*Dashboard!$D$12</f>
        <v>0</v>
      </c>
      <c r="D9" s="2">
        <f>conversion_to_TJ!C12</f>
        <v>2185635.2039999999</v>
      </c>
      <c r="E9" s="2">
        <f>conversion_to_TJ!C11</f>
        <v>101697.372</v>
      </c>
      <c r="F9" s="2">
        <f>conversion_to_TJ!C13</f>
        <v>42412.284</v>
      </c>
      <c r="G9" s="2">
        <f>conversion_to_TJ!C16*Dashboard!$D$14</f>
        <v>47621.383329600001</v>
      </c>
    </row>
    <row r="10" spans="1:13">
      <c r="A10" s="1">
        <v>2001</v>
      </c>
      <c r="B10" s="1">
        <f>B$9+(B$14-B$9)/($A$14-$A$9)*($A10-$A$9)</f>
        <v>301.44960000000003</v>
      </c>
      <c r="C10" s="1">
        <f t="shared" ref="C10:G10" si="0">C$9+(C$14-C$9)/($A$14-$A$9)*($A10-$A$9)</f>
        <v>0</v>
      </c>
      <c r="D10" s="1">
        <f t="shared" si="0"/>
        <v>2219740.8767999997</v>
      </c>
      <c r="E10" s="1">
        <f t="shared" si="0"/>
        <v>100960.4952</v>
      </c>
      <c r="F10" s="1">
        <f t="shared" si="0"/>
        <v>42563.008800000003</v>
      </c>
      <c r="G10" s="1">
        <f t="shared" si="0"/>
        <v>50430.290702400001</v>
      </c>
    </row>
    <row r="11" spans="1:13">
      <c r="A11" s="1">
        <v>2002</v>
      </c>
      <c r="B11" s="1">
        <f t="shared" ref="B11:G13" si="1">B$9+(B$14-B$9)/($A$14-$A$9)*($A11-$A$9)</f>
        <v>309.82320000000004</v>
      </c>
      <c r="C11" s="1">
        <f t="shared" si="1"/>
        <v>0</v>
      </c>
      <c r="D11" s="1">
        <f t="shared" si="1"/>
        <v>2253846.5496</v>
      </c>
      <c r="E11" s="1">
        <f t="shared" si="1"/>
        <v>100223.61840000001</v>
      </c>
      <c r="F11" s="1">
        <f t="shared" si="1"/>
        <v>42713.7336</v>
      </c>
      <c r="G11" s="1">
        <f t="shared" si="1"/>
        <v>53239.198075200002</v>
      </c>
    </row>
    <row r="12" spans="1:13">
      <c r="A12" s="1">
        <v>2003</v>
      </c>
      <c r="B12" s="1">
        <f t="shared" si="1"/>
        <v>318.1968</v>
      </c>
      <c r="C12" s="1">
        <f t="shared" si="1"/>
        <v>0</v>
      </c>
      <c r="D12" s="1">
        <f t="shared" si="1"/>
        <v>2287952.2223999999</v>
      </c>
      <c r="E12" s="1">
        <f t="shared" si="1"/>
        <v>99486.741600000008</v>
      </c>
      <c r="F12" s="1">
        <f t="shared" si="1"/>
        <v>42864.458400000003</v>
      </c>
      <c r="G12" s="1">
        <f t="shared" si="1"/>
        <v>56048.105448000002</v>
      </c>
    </row>
    <row r="13" spans="1:13">
      <c r="A13" s="1">
        <v>2004</v>
      </c>
      <c r="B13" s="1">
        <f t="shared" si="1"/>
        <v>326.57040000000001</v>
      </c>
      <c r="C13" s="1">
        <f t="shared" si="1"/>
        <v>0</v>
      </c>
      <c r="D13" s="1">
        <f t="shared" si="1"/>
        <v>2322057.8952000001</v>
      </c>
      <c r="E13" s="1">
        <f t="shared" si="1"/>
        <v>98749.86480000001</v>
      </c>
      <c r="F13" s="1">
        <f t="shared" si="1"/>
        <v>43015.183199999999</v>
      </c>
      <c r="G13" s="1">
        <f t="shared" si="1"/>
        <v>58857.012820800002</v>
      </c>
    </row>
    <row r="14" spans="1:13">
      <c r="A14" s="2">
        <v>2005</v>
      </c>
      <c r="B14" s="2">
        <f>conversion_to_TJ!D10*Dashboard!$D$11</f>
        <v>334.94400000000002</v>
      </c>
      <c r="C14" s="2">
        <f>conversion_to_TJ!D10*Dashboard!$D$12</f>
        <v>0</v>
      </c>
      <c r="D14" s="2">
        <f>conversion_to_TJ!D12</f>
        <v>2356163.568</v>
      </c>
      <c r="E14" s="2">
        <f>conversion_to_TJ!D11</f>
        <v>98012.988000000012</v>
      </c>
      <c r="F14" s="2">
        <f>conversion_to_TJ!D13</f>
        <v>43165.908000000003</v>
      </c>
      <c r="G14" s="2">
        <f>conversion_to_TJ!D16*Dashboard!$D$14</f>
        <v>61665.920193600003</v>
      </c>
    </row>
    <row r="15" spans="1:13">
      <c r="A15" s="1">
        <v>2006</v>
      </c>
      <c r="B15" s="1">
        <f>B$14+(B$19-B$14)/($A$19-$A$14)*($A15-$A$14)</f>
        <v>267.95519999999999</v>
      </c>
      <c r="C15" s="1">
        <f t="shared" ref="C15:G15" si="2">C$14+(C$19-C$14)/($A$19-$A$14)*($A15-$A$14)</f>
        <v>0</v>
      </c>
      <c r="D15" s="1">
        <f t="shared" si="2"/>
        <v>2415932.4544000002</v>
      </c>
      <c r="E15" s="1">
        <f t="shared" si="2"/>
        <v>92507.590400000016</v>
      </c>
      <c r="F15" s="1">
        <f t="shared" si="2"/>
        <v>43107.292800000003</v>
      </c>
      <c r="G15" s="1">
        <f t="shared" si="2"/>
        <v>66144.56694912001</v>
      </c>
    </row>
    <row r="16" spans="1:13">
      <c r="A16" s="1">
        <v>2007</v>
      </c>
      <c r="B16" s="1">
        <f t="shared" ref="B16:G18" si="3">B$14+(B$19-B$14)/($A$19-$A$14)*($A16-$A$14)</f>
        <v>200.96640000000002</v>
      </c>
      <c r="C16" s="1">
        <f t="shared" si="3"/>
        <v>0</v>
      </c>
      <c r="D16" s="1">
        <f t="shared" si="3"/>
        <v>2475701.3407999999</v>
      </c>
      <c r="E16" s="1">
        <f t="shared" si="3"/>
        <v>87002.192800000004</v>
      </c>
      <c r="F16" s="1">
        <f t="shared" si="3"/>
        <v>43048.677600000003</v>
      </c>
      <c r="G16" s="1">
        <f t="shared" si="3"/>
        <v>70623.213704640002</v>
      </c>
    </row>
    <row r="17" spans="1:7">
      <c r="A17" s="1">
        <v>2008</v>
      </c>
      <c r="B17" s="1">
        <f t="shared" si="3"/>
        <v>133.97760000000002</v>
      </c>
      <c r="C17" s="1">
        <f t="shared" si="3"/>
        <v>0</v>
      </c>
      <c r="D17" s="1">
        <f t="shared" si="3"/>
        <v>2535470.2272000001</v>
      </c>
      <c r="E17" s="1">
        <f t="shared" si="3"/>
        <v>81496.795200000008</v>
      </c>
      <c r="F17" s="1">
        <f t="shared" si="3"/>
        <v>42990.062400000003</v>
      </c>
      <c r="G17" s="1">
        <f t="shared" si="3"/>
        <v>75101.860460160009</v>
      </c>
    </row>
    <row r="18" spans="1:7">
      <c r="A18" s="1">
        <v>2009</v>
      </c>
      <c r="B18" s="1">
        <f>B$14+(B$19-B$14)/($A$19-$A$14)*($A18-$A$14)</f>
        <v>66.988800000000026</v>
      </c>
      <c r="C18" s="1">
        <f t="shared" si="3"/>
        <v>0</v>
      </c>
      <c r="D18" s="1">
        <f t="shared" si="3"/>
        <v>2595239.1135999998</v>
      </c>
      <c r="E18" s="1">
        <f t="shared" si="3"/>
        <v>75991.397599999997</v>
      </c>
      <c r="F18" s="1">
        <f t="shared" si="3"/>
        <v>42931.447200000002</v>
      </c>
      <c r="G18" s="1">
        <f t="shared" si="3"/>
        <v>79580.507215680002</v>
      </c>
    </row>
    <row r="19" spans="1:7">
      <c r="A19" s="2">
        <v>2010</v>
      </c>
      <c r="B19" s="157">
        <v>0</v>
      </c>
      <c r="C19" s="157">
        <v>0</v>
      </c>
      <c r="D19" s="158">
        <v>2655008</v>
      </c>
      <c r="E19" s="158">
        <v>70486</v>
      </c>
      <c r="F19" s="2">
        <f>conversion_to_TJ!E13</f>
        <v>42872.832000000002</v>
      </c>
      <c r="G19" s="2">
        <f>conversion_to_TJ!E16*Dashboard!$D$14</f>
        <v>84059.153971200009</v>
      </c>
    </row>
    <row r="20" spans="1:7">
      <c r="A20" s="1">
        <v>2011</v>
      </c>
      <c r="B20" s="157">
        <v>0</v>
      </c>
      <c r="C20" s="157">
        <v>0</v>
      </c>
      <c r="D20" s="158">
        <v>2416832</v>
      </c>
      <c r="E20" s="158">
        <v>71225</v>
      </c>
      <c r="F20" s="1">
        <f t="shared" ref="F20:G20" si="4">F$19+(F$24-F$19)/($A$24-$A$19)*($A20-$A$19)</f>
        <v>42864.458400000003</v>
      </c>
      <c r="G20" s="1">
        <f t="shared" si="4"/>
        <v>85323.162288960011</v>
      </c>
    </row>
    <row r="21" spans="1:7">
      <c r="A21" s="1">
        <v>2012</v>
      </c>
      <c r="B21" s="157">
        <v>0</v>
      </c>
      <c r="C21" s="157">
        <v>0</v>
      </c>
      <c r="D21" s="158">
        <v>2405569</v>
      </c>
      <c r="E21" s="158">
        <v>74785</v>
      </c>
      <c r="F21" s="1">
        <f t="shared" ref="F21:G23" si="5">F$19+(F$24-F$19)/($A$24-$A$19)*($A21-$A$19)</f>
        <v>42856.084800000004</v>
      </c>
      <c r="G21" s="1">
        <f t="shared" si="5"/>
        <v>86587.170606720014</v>
      </c>
    </row>
    <row r="22" spans="1:7">
      <c r="A22" s="1">
        <v>2013</v>
      </c>
      <c r="B22" s="1">
        <f>B$21+(B$24-B$21)/($A$24-$A$21)*($A22-$A$21)</f>
        <v>0</v>
      </c>
      <c r="C22" s="1">
        <f>C$21+(C$24-C$21)/($A$24-$A$21)*($A22-$A$21)</f>
        <v>0</v>
      </c>
      <c r="D22" s="1">
        <f>D$21+(D$24-D$21)/($A$24-$A$21)*($A21-$A$22)</f>
        <v>2318190.8813333334</v>
      </c>
      <c r="E22" s="1">
        <f>E$21+(E$24-E$21)/($A$24-$A$21)*($A22-$A$21)</f>
        <v>61202.894666666667</v>
      </c>
      <c r="F22" s="1">
        <f t="shared" si="5"/>
        <v>42847.711199999998</v>
      </c>
      <c r="G22" s="1">
        <f t="shared" si="5"/>
        <v>87851.178924480002</v>
      </c>
    </row>
    <row r="23" spans="1:7">
      <c r="A23" s="1">
        <v>2014</v>
      </c>
      <c r="B23" s="1">
        <f>B$21+(B$24-B$21)/($A$24-$A$21)*($A23-$A$21)</f>
        <v>0</v>
      </c>
      <c r="C23" s="1">
        <f>C$21+(C$24-C$21)/($A$24-$A$21)*($A23-$A$21)</f>
        <v>0</v>
      </c>
      <c r="D23" s="1">
        <f>D$21+(D$24-D$21)/($A$24-$A$21)*($A23-$A$21)</f>
        <v>2580325.2373333336</v>
      </c>
      <c r="E23" s="1">
        <f>E$21+(E$24-E$21)/($A$24-$A$21)*($A23-$A$21)</f>
        <v>47620.789333333334</v>
      </c>
      <c r="F23" s="1">
        <f t="shared" si="5"/>
        <v>42839.337599999999</v>
      </c>
      <c r="G23" s="1">
        <f t="shared" si="5"/>
        <v>89115.187242240005</v>
      </c>
    </row>
    <row r="24" spans="1:7">
      <c r="A24" s="2">
        <v>2015</v>
      </c>
      <c r="B24" s="2">
        <f>conversion_to_TJ!F10*Dashboard!$D$11</f>
        <v>0</v>
      </c>
      <c r="C24" s="2">
        <f>conversion_to_TJ!F10*Dashboard!$D$12</f>
        <v>0</v>
      </c>
      <c r="D24" s="2">
        <f>conversion_to_TJ!F12</f>
        <v>2667703.3560000001</v>
      </c>
      <c r="E24" s="2">
        <f>conversion_to_TJ!F11</f>
        <v>34038.684000000001</v>
      </c>
      <c r="F24" s="2">
        <f>conversion_to_TJ!F13</f>
        <v>42830.964</v>
      </c>
      <c r="G24" s="2">
        <f>conversion_to_TJ!F16*Dashboard!$D$14</f>
        <v>90379.195560000007</v>
      </c>
    </row>
    <row r="25" spans="1:7">
      <c r="A25" s="1">
        <v>2016</v>
      </c>
      <c r="B25" s="1">
        <f>B$24+(B$29-B$24)/($A$29-$A$24)*($A25-$A$24)</f>
        <v>0</v>
      </c>
      <c r="C25" s="1">
        <f t="shared" ref="C25:G25" si="6">C$24+(C$29-C$24)/($A$29-$A$24)*($A25-$A$24)</f>
        <v>0</v>
      </c>
      <c r="D25" s="1">
        <f t="shared" si="6"/>
        <v>2646040.8528</v>
      </c>
      <c r="E25" s="1">
        <f t="shared" si="6"/>
        <v>27230.947200000002</v>
      </c>
      <c r="F25" s="1">
        <f t="shared" si="6"/>
        <v>42839.337599999999</v>
      </c>
      <c r="G25" s="1">
        <f t="shared" si="6"/>
        <v>92595.111376320012</v>
      </c>
    </row>
    <row r="26" spans="1:7">
      <c r="A26" s="1">
        <v>2017</v>
      </c>
      <c r="B26" s="1">
        <f t="shared" ref="B26:G28" si="7">B$24+(B$29-B$24)/($A$29-$A$24)*($A26-$A$24)</f>
        <v>0</v>
      </c>
      <c r="C26" s="1">
        <f t="shared" si="7"/>
        <v>0</v>
      </c>
      <c r="D26" s="1">
        <f t="shared" si="7"/>
        <v>2624378.3496000003</v>
      </c>
      <c r="E26" s="1">
        <f t="shared" si="7"/>
        <v>20423.2104</v>
      </c>
      <c r="F26" s="1">
        <f t="shared" si="7"/>
        <v>42847.711199999998</v>
      </c>
      <c r="G26" s="1">
        <f t="shared" si="7"/>
        <v>94811.027192640002</v>
      </c>
    </row>
    <row r="27" spans="1:7">
      <c r="A27" s="1">
        <v>2018</v>
      </c>
      <c r="B27" s="1">
        <f t="shared" si="7"/>
        <v>0</v>
      </c>
      <c r="C27" s="1">
        <f t="shared" si="7"/>
        <v>0</v>
      </c>
      <c r="D27" s="1">
        <f t="shared" si="7"/>
        <v>2602715.8464000002</v>
      </c>
      <c r="E27" s="1">
        <f t="shared" si="7"/>
        <v>13615.473599999998</v>
      </c>
      <c r="F27" s="1">
        <f t="shared" si="7"/>
        <v>42856.084800000004</v>
      </c>
      <c r="G27" s="1">
        <f t="shared" si="7"/>
        <v>97026.943008960006</v>
      </c>
    </row>
    <row r="28" spans="1:7">
      <c r="A28" s="1">
        <v>2019</v>
      </c>
      <c r="B28" s="1">
        <f t="shared" si="7"/>
        <v>0</v>
      </c>
      <c r="C28" s="1">
        <f t="shared" si="7"/>
        <v>0</v>
      </c>
      <c r="D28" s="1">
        <f t="shared" si="7"/>
        <v>2581053.3432000005</v>
      </c>
      <c r="E28" s="1">
        <f t="shared" si="7"/>
        <v>6807.7367999999988</v>
      </c>
      <c r="F28" s="1">
        <f t="shared" si="7"/>
        <v>42864.458400000003</v>
      </c>
      <c r="G28" s="1">
        <f t="shared" si="7"/>
        <v>99242.858825279996</v>
      </c>
    </row>
    <row r="29" spans="1:7">
      <c r="A29" s="2">
        <v>2020</v>
      </c>
      <c r="B29" s="2">
        <f>conversion_to_TJ!G10*Dashboard!$D$11</f>
        <v>0</v>
      </c>
      <c r="C29" s="2">
        <f>conversion_to_TJ!G10*Dashboard!$D$12</f>
        <v>0</v>
      </c>
      <c r="D29" s="2">
        <f>conversion_to_TJ!G12</f>
        <v>2559390.8400000003</v>
      </c>
      <c r="E29" s="2">
        <f>conversion_to_TJ!G11</f>
        <v>0</v>
      </c>
      <c r="F29" s="2">
        <f>conversion_to_TJ!G13</f>
        <v>42872.832000000002</v>
      </c>
      <c r="G29" s="2">
        <f>conversion_to_TJ!G16*Dashboard!$D$14</f>
        <v>101458.7746416</v>
      </c>
    </row>
    <row r="30" spans="1:7">
      <c r="A30" s="1">
        <v>2021</v>
      </c>
      <c r="B30" s="1">
        <f>B$29+(B$34-B$29)/($A$34-$A$29)*($A30-$A$29)</f>
        <v>0</v>
      </c>
      <c r="C30" s="1">
        <f t="shared" ref="C30:G30" si="8">C$29+(C$34-C$29)/($A$34-$A$29)*($A30-$A$29)</f>
        <v>0</v>
      </c>
      <c r="D30" s="1">
        <f t="shared" si="8"/>
        <v>2463990.4152000002</v>
      </c>
      <c r="E30" s="1">
        <f t="shared" si="8"/>
        <v>0</v>
      </c>
      <c r="F30" s="1">
        <f t="shared" si="8"/>
        <v>43065.424800000001</v>
      </c>
      <c r="G30" s="1">
        <f t="shared" si="8"/>
        <v>101125.86710112001</v>
      </c>
    </row>
    <row r="31" spans="1:7">
      <c r="A31" s="1">
        <v>2022</v>
      </c>
      <c r="B31" s="1">
        <f t="shared" ref="B31:G33" si="9">B$29+(B$34-B$29)/($A$34-$A$29)*($A31-$A$29)</f>
        <v>0</v>
      </c>
      <c r="C31" s="1">
        <f t="shared" si="9"/>
        <v>0</v>
      </c>
      <c r="D31" s="1">
        <f t="shared" si="9"/>
        <v>2368589.9904</v>
      </c>
      <c r="E31" s="1">
        <f t="shared" si="9"/>
        <v>0</v>
      </c>
      <c r="F31" s="1">
        <f t="shared" si="9"/>
        <v>43258.017599999999</v>
      </c>
      <c r="G31" s="1">
        <f t="shared" si="9"/>
        <v>100792.95956064</v>
      </c>
    </row>
    <row r="32" spans="1:7">
      <c r="A32" s="1">
        <v>2023</v>
      </c>
      <c r="B32" s="1">
        <f t="shared" si="9"/>
        <v>0</v>
      </c>
      <c r="C32" s="1">
        <f t="shared" si="9"/>
        <v>0</v>
      </c>
      <c r="D32" s="1">
        <f t="shared" si="9"/>
        <v>2273189.5656000003</v>
      </c>
      <c r="E32" s="1">
        <f t="shared" si="9"/>
        <v>0</v>
      </c>
      <c r="F32" s="1">
        <f t="shared" si="9"/>
        <v>43450.610400000005</v>
      </c>
      <c r="G32" s="1">
        <f t="shared" si="9"/>
        <v>100460.05202016</v>
      </c>
    </row>
    <row r="33" spans="1:7">
      <c r="A33" s="1">
        <v>2024</v>
      </c>
      <c r="B33" s="1">
        <f t="shared" si="9"/>
        <v>0</v>
      </c>
      <c r="C33" s="1">
        <f t="shared" si="9"/>
        <v>0</v>
      </c>
      <c r="D33" s="1">
        <f t="shared" si="9"/>
        <v>2177789.1408000002</v>
      </c>
      <c r="E33" s="1">
        <f t="shared" si="9"/>
        <v>0</v>
      </c>
      <c r="F33" s="1">
        <f t="shared" si="9"/>
        <v>43643.203200000004</v>
      </c>
      <c r="G33" s="1">
        <f t="shared" si="9"/>
        <v>100127.14447967999</v>
      </c>
    </row>
    <row r="34" spans="1:7">
      <c r="A34" s="2">
        <v>2025</v>
      </c>
      <c r="B34" s="2">
        <f>conversion_to_TJ!H10*Dashboard!$D$11</f>
        <v>0</v>
      </c>
      <c r="C34" s="2">
        <f>conversion_to_TJ!H10*Dashboard!$D$12</f>
        <v>0</v>
      </c>
      <c r="D34" s="2">
        <f>conversion_to_TJ!H12</f>
        <v>2082388.716</v>
      </c>
      <c r="E34" s="2">
        <f>conversion_to_TJ!H11</f>
        <v>0</v>
      </c>
      <c r="F34" s="2">
        <f>conversion_to_TJ!H13</f>
        <v>43835.796000000002</v>
      </c>
      <c r="G34" s="2">
        <f>conversion_to_TJ!H16*Dashboard!$D$14</f>
        <v>99794.236939199996</v>
      </c>
    </row>
    <row r="35" spans="1:7">
      <c r="A35" s="1">
        <v>2026</v>
      </c>
      <c r="B35" s="1">
        <f>B$34+(B$39-B$34)/($A$39-$A$34)*($A35-$A$34)</f>
        <v>0</v>
      </c>
      <c r="C35" s="1">
        <f t="shared" ref="C35:G35" si="10">C$34+(C$39-C$34)/($A$39-$A$34)*($A35-$A$34)</f>
        <v>0</v>
      </c>
      <c r="D35" s="1">
        <f t="shared" si="10"/>
        <v>2021336.7984</v>
      </c>
      <c r="E35" s="1">
        <f t="shared" si="10"/>
        <v>0</v>
      </c>
      <c r="F35" s="1">
        <f t="shared" si="10"/>
        <v>45527.263200000001</v>
      </c>
      <c r="G35" s="1">
        <f t="shared" si="10"/>
        <v>100522.472184</v>
      </c>
    </row>
    <row r="36" spans="1:7">
      <c r="A36" s="1">
        <v>2027</v>
      </c>
      <c r="B36" s="1">
        <f t="shared" ref="B36:G38" si="11">B$34+(B$39-B$34)/($A$39-$A$34)*($A36-$A$34)</f>
        <v>0</v>
      </c>
      <c r="C36" s="1">
        <f t="shared" si="11"/>
        <v>0</v>
      </c>
      <c r="D36" s="1">
        <f t="shared" si="11"/>
        <v>1960284.8807999999</v>
      </c>
      <c r="E36" s="1">
        <f t="shared" si="11"/>
        <v>0</v>
      </c>
      <c r="F36" s="1">
        <f t="shared" si="11"/>
        <v>47218.7304</v>
      </c>
      <c r="G36" s="1">
        <f t="shared" si="11"/>
        <v>101250.7074288</v>
      </c>
    </row>
    <row r="37" spans="1:7">
      <c r="A37" s="1">
        <v>2028</v>
      </c>
      <c r="B37" s="1">
        <f t="shared" si="11"/>
        <v>0</v>
      </c>
      <c r="C37" s="1">
        <f t="shared" si="11"/>
        <v>0</v>
      </c>
      <c r="D37" s="1">
        <f t="shared" si="11"/>
        <v>1899232.9632000001</v>
      </c>
      <c r="E37" s="1">
        <f t="shared" si="11"/>
        <v>0</v>
      </c>
      <c r="F37" s="1">
        <f t="shared" si="11"/>
        <v>48910.1976</v>
      </c>
      <c r="G37" s="1">
        <f t="shared" si="11"/>
        <v>101978.9426736</v>
      </c>
    </row>
    <row r="38" spans="1:7">
      <c r="A38" s="1">
        <v>2029</v>
      </c>
      <c r="B38" s="1">
        <f t="shared" si="11"/>
        <v>0</v>
      </c>
      <c r="C38" s="1">
        <f t="shared" si="11"/>
        <v>0</v>
      </c>
      <c r="D38" s="1">
        <f t="shared" si="11"/>
        <v>1838181.0456000001</v>
      </c>
      <c r="E38" s="1">
        <f t="shared" si="11"/>
        <v>0</v>
      </c>
      <c r="F38" s="1">
        <f t="shared" si="11"/>
        <v>50601.664800000006</v>
      </c>
      <c r="G38" s="1">
        <f t="shared" si="11"/>
        <v>102707.1779184</v>
      </c>
    </row>
    <row r="39" spans="1:7">
      <c r="A39" s="2">
        <v>2030</v>
      </c>
      <c r="B39" s="2">
        <f>conversion_to_TJ!I10*Dashboard!$D$11</f>
        <v>0</v>
      </c>
      <c r="C39" s="2">
        <f>conversion_to_TJ!I10*Dashboard!$D$12</f>
        <v>0</v>
      </c>
      <c r="D39" s="2">
        <f>conversion_to_TJ!I12</f>
        <v>1777129.128</v>
      </c>
      <c r="E39" s="2">
        <f>conversion_to_TJ!I11</f>
        <v>0</v>
      </c>
      <c r="F39" s="2">
        <f>conversion_to_TJ!I13</f>
        <v>52293.132000000005</v>
      </c>
      <c r="G39" s="2">
        <f>conversion_to_TJ!I16*Dashboard!$D$14</f>
        <v>103435.41316320001</v>
      </c>
    </row>
    <row r="40" spans="1:7">
      <c r="A40" s="1">
        <v>2031</v>
      </c>
      <c r="B40" s="1">
        <f>B$39+(B$44-B$39)/($A$44-$A$39)*($A40-$A$39)</f>
        <v>0</v>
      </c>
      <c r="C40" s="1">
        <f t="shared" ref="C40:G40" si="12">C$39+(C$44-C$39)/($A$44-$A$39)*($A40-$A$39)</f>
        <v>0</v>
      </c>
      <c r="D40" s="1">
        <f t="shared" si="12"/>
        <v>1787110.4591999999</v>
      </c>
      <c r="E40" s="1">
        <f t="shared" si="12"/>
        <v>0</v>
      </c>
      <c r="F40" s="1">
        <f t="shared" si="12"/>
        <v>65163.355200000005</v>
      </c>
      <c r="G40" s="1">
        <f t="shared" si="12"/>
        <v>104304.09377664</v>
      </c>
    </row>
    <row r="41" spans="1:7">
      <c r="A41" s="1">
        <v>2032</v>
      </c>
      <c r="B41" s="1">
        <f t="shared" ref="B41:G43" si="13">B$39+(B$44-B$39)/($A$44-$A$39)*($A41-$A$39)</f>
        <v>0</v>
      </c>
      <c r="C41" s="1">
        <f t="shared" si="13"/>
        <v>0</v>
      </c>
      <c r="D41" s="1">
        <f t="shared" si="13"/>
        <v>1797091.7904000001</v>
      </c>
      <c r="E41" s="1">
        <f t="shared" si="13"/>
        <v>0</v>
      </c>
      <c r="F41" s="1">
        <f t="shared" si="13"/>
        <v>78033.578399999999</v>
      </c>
      <c r="G41" s="1">
        <f t="shared" si="13"/>
        <v>105172.77439008</v>
      </c>
    </row>
    <row r="42" spans="1:7">
      <c r="A42" s="1">
        <v>2033</v>
      </c>
      <c r="B42" s="1">
        <f t="shared" si="13"/>
        <v>0</v>
      </c>
      <c r="C42" s="1">
        <f t="shared" si="13"/>
        <v>0</v>
      </c>
      <c r="D42" s="1">
        <f t="shared" si="13"/>
        <v>1807073.1216</v>
      </c>
      <c r="E42" s="1">
        <f t="shared" si="13"/>
        <v>0</v>
      </c>
      <c r="F42" s="1">
        <f t="shared" si="13"/>
        <v>90903.801600000006</v>
      </c>
      <c r="G42" s="1">
        <f t="shared" si="13"/>
        <v>106041.45500352001</v>
      </c>
    </row>
    <row r="43" spans="1:7">
      <c r="A43" s="1">
        <v>2034</v>
      </c>
      <c r="B43" s="1">
        <f t="shared" si="13"/>
        <v>0</v>
      </c>
      <c r="C43" s="1">
        <f t="shared" si="13"/>
        <v>0</v>
      </c>
      <c r="D43" s="1">
        <f t="shared" si="13"/>
        <v>1817054.4528000001</v>
      </c>
      <c r="E43" s="1">
        <f t="shared" si="13"/>
        <v>0</v>
      </c>
      <c r="F43" s="1">
        <f t="shared" si="13"/>
        <v>103774.02480000001</v>
      </c>
      <c r="G43" s="1">
        <f t="shared" si="13"/>
        <v>106910.13561696</v>
      </c>
    </row>
    <row r="44" spans="1:7">
      <c r="A44" s="2">
        <v>2035</v>
      </c>
      <c r="B44" s="2">
        <f>conversion_to_TJ!J10*Dashboard!$D$11</f>
        <v>0</v>
      </c>
      <c r="C44" s="2">
        <f>conversion_to_TJ!J10*Dashboard!$D$12</f>
        <v>0</v>
      </c>
      <c r="D44" s="2">
        <f>conversion_to_TJ!J12</f>
        <v>1827035.784</v>
      </c>
      <c r="E44" s="2">
        <f>conversion_to_TJ!J11</f>
        <v>0</v>
      </c>
      <c r="F44" s="2">
        <f>conversion_to_TJ!J13</f>
        <v>116644.24800000001</v>
      </c>
      <c r="G44" s="2">
        <f>conversion_to_TJ!J16*Dashboard!$D$14</f>
        <v>107778.8162304</v>
      </c>
    </row>
    <row r="45" spans="1:7">
      <c r="A45" s="1">
        <v>2036</v>
      </c>
      <c r="B45" s="1">
        <f>B$44+(B$49-B$44)/($A$49-$A$44)*($A45-$A$44)</f>
        <v>0</v>
      </c>
      <c r="C45" s="1">
        <f t="shared" ref="C45:G45" si="14">C$44+(C$49-C$44)/($A$49-$A$44)*($A45-$A$44)</f>
        <v>0</v>
      </c>
      <c r="D45" s="1">
        <f t="shared" si="14"/>
        <v>1838415.5064000001</v>
      </c>
      <c r="E45" s="1">
        <f t="shared" si="14"/>
        <v>0</v>
      </c>
      <c r="F45" s="1">
        <f t="shared" si="14"/>
        <v>116644.24800000001</v>
      </c>
      <c r="G45" s="1">
        <f t="shared" si="14"/>
        <v>108262.57250016001</v>
      </c>
    </row>
    <row r="46" spans="1:7">
      <c r="A46" s="1">
        <v>2037</v>
      </c>
      <c r="B46" s="1">
        <f t="shared" ref="B46:G48" si="15">B$44+(B$49-B$44)/($A$49-$A$44)*($A46-$A$44)</f>
        <v>0</v>
      </c>
      <c r="C46" s="1">
        <f t="shared" si="15"/>
        <v>0</v>
      </c>
      <c r="D46" s="1">
        <f t="shared" si="15"/>
        <v>1849795.2288000002</v>
      </c>
      <c r="E46" s="1">
        <f t="shared" si="15"/>
        <v>0</v>
      </c>
      <c r="F46" s="1">
        <f t="shared" si="15"/>
        <v>116644.24800000001</v>
      </c>
      <c r="G46" s="1">
        <f t="shared" si="15"/>
        <v>108746.32876992</v>
      </c>
    </row>
    <row r="47" spans="1:7">
      <c r="A47" s="1">
        <v>2038</v>
      </c>
      <c r="B47" s="1">
        <f t="shared" si="15"/>
        <v>0</v>
      </c>
      <c r="C47" s="1">
        <f t="shared" si="15"/>
        <v>0</v>
      </c>
      <c r="D47" s="1">
        <f t="shared" si="15"/>
        <v>1861174.9512</v>
      </c>
      <c r="E47" s="1">
        <f t="shared" si="15"/>
        <v>0</v>
      </c>
      <c r="F47" s="1">
        <f t="shared" si="15"/>
        <v>116644.24800000001</v>
      </c>
      <c r="G47" s="1">
        <f t="shared" si="15"/>
        <v>109230.08503968001</v>
      </c>
    </row>
    <row r="48" spans="1:7">
      <c r="A48" s="1">
        <v>2039</v>
      </c>
      <c r="B48" s="1">
        <f t="shared" si="15"/>
        <v>0</v>
      </c>
      <c r="C48" s="1">
        <f t="shared" si="15"/>
        <v>0</v>
      </c>
      <c r="D48" s="1">
        <f t="shared" si="15"/>
        <v>1872554.6736000001</v>
      </c>
      <c r="E48" s="1">
        <f t="shared" si="15"/>
        <v>0</v>
      </c>
      <c r="F48" s="1">
        <f t="shared" si="15"/>
        <v>116644.24800000001</v>
      </c>
      <c r="G48" s="1">
        <f t="shared" si="15"/>
        <v>109713.84130944</v>
      </c>
    </row>
    <row r="49" spans="1:7">
      <c r="A49" s="2">
        <v>2040</v>
      </c>
      <c r="B49" s="2">
        <f>conversion_to_TJ!K10*Dashboard!$D$11</f>
        <v>0</v>
      </c>
      <c r="C49" s="2">
        <f>conversion_to_TJ!K10*Dashboard!$D$12</f>
        <v>0</v>
      </c>
      <c r="D49" s="2">
        <f>conversion_to_TJ!K12</f>
        <v>1883934.3960000002</v>
      </c>
      <c r="E49" s="2">
        <f>conversion_to_TJ!K11</f>
        <v>0</v>
      </c>
      <c r="F49" s="2">
        <f>conversion_to_TJ!K13</f>
        <v>116644.24800000001</v>
      </c>
      <c r="G49" s="2">
        <f>conversion_to_TJ!K16*Dashboard!$D$14</f>
        <v>110197.59757920001</v>
      </c>
    </row>
    <row r="50" spans="1:7">
      <c r="A50" s="1">
        <v>2041</v>
      </c>
      <c r="B50" s="1">
        <f>B$49+(B$54-B$49)/($A$54-$A$49)*($A50-$A$49)</f>
        <v>0</v>
      </c>
      <c r="C50" s="1">
        <f t="shared" ref="C50:G50" si="16">C$49+(C$54-C$49)/($A$54-$A$49)*($A50-$A$49)</f>
        <v>0</v>
      </c>
      <c r="D50" s="1">
        <f t="shared" si="16"/>
        <v>1855773.9792000002</v>
      </c>
      <c r="E50" s="1">
        <f t="shared" si="16"/>
        <v>0</v>
      </c>
      <c r="F50" s="1">
        <f t="shared" si="16"/>
        <v>115597.54800000001</v>
      </c>
      <c r="G50" s="1">
        <f t="shared" si="16"/>
        <v>111295.15212672</v>
      </c>
    </row>
    <row r="51" spans="1:7">
      <c r="A51" s="1">
        <v>2042</v>
      </c>
      <c r="B51" s="1">
        <f t="shared" ref="B51:G53" si="17">B$49+(B$54-B$49)/($A$54-$A$49)*($A51-$A$49)</f>
        <v>0</v>
      </c>
      <c r="C51" s="1">
        <f t="shared" si="17"/>
        <v>0</v>
      </c>
      <c r="D51" s="1">
        <f t="shared" si="17"/>
        <v>1827613.5624000002</v>
      </c>
      <c r="E51" s="1">
        <f t="shared" si="17"/>
        <v>0</v>
      </c>
      <c r="F51" s="1">
        <f t="shared" si="17"/>
        <v>114550.84800000001</v>
      </c>
      <c r="G51" s="1">
        <f t="shared" si="17"/>
        <v>112392.70667424001</v>
      </c>
    </row>
    <row r="52" spans="1:7">
      <c r="A52" s="1">
        <v>2043</v>
      </c>
      <c r="B52" s="1">
        <f t="shared" si="17"/>
        <v>0</v>
      </c>
      <c r="C52" s="1">
        <f t="shared" si="17"/>
        <v>0</v>
      </c>
      <c r="D52" s="1">
        <f t="shared" si="17"/>
        <v>1799453.1456000002</v>
      </c>
      <c r="E52" s="1">
        <f t="shared" si="17"/>
        <v>0</v>
      </c>
      <c r="F52" s="1">
        <f t="shared" si="17"/>
        <v>113504.148</v>
      </c>
      <c r="G52" s="1">
        <f t="shared" si="17"/>
        <v>113490.26122176</v>
      </c>
    </row>
    <row r="53" spans="1:7">
      <c r="A53" s="1">
        <v>2044</v>
      </c>
      <c r="B53" s="1">
        <f t="shared" si="17"/>
        <v>0</v>
      </c>
      <c r="C53" s="1">
        <f t="shared" si="17"/>
        <v>0</v>
      </c>
      <c r="D53" s="1">
        <f t="shared" si="17"/>
        <v>1771292.7288000002</v>
      </c>
      <c r="E53" s="1">
        <f t="shared" si="17"/>
        <v>0</v>
      </c>
      <c r="F53" s="1">
        <f t="shared" si="17"/>
        <v>112457.448</v>
      </c>
      <c r="G53" s="1">
        <f t="shared" si="17"/>
        <v>114587.81576928</v>
      </c>
    </row>
    <row r="54" spans="1:7">
      <c r="A54" s="2">
        <v>2045</v>
      </c>
      <c r="B54" s="2">
        <f>conversion_to_TJ!L10*Dashboard!$D$11</f>
        <v>0</v>
      </c>
      <c r="C54" s="2">
        <f>conversion_to_TJ!L10*Dashboard!$D$12</f>
        <v>0</v>
      </c>
      <c r="D54" s="2">
        <f>conversion_to_TJ!L12</f>
        <v>1743132.3120000002</v>
      </c>
      <c r="E54" s="2">
        <f>conversion_to_TJ!L11</f>
        <v>0</v>
      </c>
      <c r="F54" s="2">
        <f>conversion_to_TJ!L13</f>
        <v>111410.74800000001</v>
      </c>
      <c r="G54" s="2">
        <f>conversion_to_TJ!L16*Dashboard!$D$14</f>
        <v>115685.37031679999</v>
      </c>
    </row>
    <row r="55" spans="1:7">
      <c r="A55" s="1">
        <v>2046</v>
      </c>
      <c r="B55" s="1">
        <f>B$54+(B$59-B$54)/($A$59-$A$54)*($A55-$A$54)</f>
        <v>0</v>
      </c>
      <c r="C55" s="1">
        <f t="shared" ref="C55:G55" si="18">C$54+(C$59-C$54)/($A$59-$A$54)*($A55-$A$54)</f>
        <v>0</v>
      </c>
      <c r="D55" s="1">
        <f t="shared" si="18"/>
        <v>1688243.3640000001</v>
      </c>
      <c r="E55" s="1">
        <f t="shared" si="18"/>
        <v>0</v>
      </c>
      <c r="F55" s="1">
        <f t="shared" si="18"/>
        <v>111410.74800000001</v>
      </c>
      <c r="G55" s="1">
        <f t="shared" si="18"/>
        <v>117474.74834687999</v>
      </c>
    </row>
    <row r="56" spans="1:7">
      <c r="A56" s="1">
        <v>2047</v>
      </c>
      <c r="B56" s="1">
        <f t="shared" ref="B56:G58" si="19">B$54+(B$59-B$54)/($A$59-$A$54)*($A56-$A$54)</f>
        <v>0</v>
      </c>
      <c r="C56" s="1">
        <f t="shared" si="19"/>
        <v>0</v>
      </c>
      <c r="D56" s="1">
        <f t="shared" si="19"/>
        <v>1633354.4160000002</v>
      </c>
      <c r="E56" s="1">
        <f t="shared" si="19"/>
        <v>0</v>
      </c>
      <c r="F56" s="1">
        <f t="shared" si="19"/>
        <v>111410.74800000001</v>
      </c>
      <c r="G56" s="1">
        <f t="shared" si="19"/>
        <v>119264.12637695999</v>
      </c>
    </row>
    <row r="57" spans="1:7">
      <c r="A57" s="1">
        <v>2048</v>
      </c>
      <c r="B57" s="1">
        <f t="shared" si="19"/>
        <v>0</v>
      </c>
      <c r="C57" s="1">
        <f t="shared" si="19"/>
        <v>0</v>
      </c>
      <c r="D57" s="1">
        <f t="shared" si="19"/>
        <v>1578465.4680000001</v>
      </c>
      <c r="E57" s="1">
        <f t="shared" si="19"/>
        <v>0</v>
      </c>
      <c r="F57" s="1">
        <f t="shared" si="19"/>
        <v>111410.74800000001</v>
      </c>
      <c r="G57" s="1">
        <f t="shared" si="19"/>
        <v>121053.50440704</v>
      </c>
    </row>
    <row r="58" spans="1:7">
      <c r="A58" s="1">
        <v>2049</v>
      </c>
      <c r="B58" s="1">
        <f t="shared" si="19"/>
        <v>0</v>
      </c>
      <c r="C58" s="1">
        <f t="shared" si="19"/>
        <v>0</v>
      </c>
      <c r="D58" s="1">
        <f t="shared" si="19"/>
        <v>1523576.5200000003</v>
      </c>
      <c r="E58" s="1">
        <f t="shared" si="19"/>
        <v>0</v>
      </c>
      <c r="F58" s="1">
        <f t="shared" si="19"/>
        <v>111410.74800000001</v>
      </c>
      <c r="G58" s="1">
        <f t="shared" si="19"/>
        <v>122842.88243712</v>
      </c>
    </row>
    <row r="59" spans="1:7">
      <c r="A59" s="2">
        <v>2050</v>
      </c>
      <c r="B59" s="2">
        <f>conversion_to_TJ!M10*Dashboard!$D$11</f>
        <v>0</v>
      </c>
      <c r="C59" s="2">
        <f>conversion_to_TJ!M10*Dashboard!$D$12</f>
        <v>0</v>
      </c>
      <c r="D59" s="2">
        <f>conversion_to_TJ!M12</f>
        <v>1468687.5720000002</v>
      </c>
      <c r="E59" s="2">
        <f>conversion_to_TJ!M11</f>
        <v>0</v>
      </c>
      <c r="F59" s="2">
        <f>conversion_to_TJ!M13</f>
        <v>111410.74800000001</v>
      </c>
      <c r="G59" s="2">
        <f>conversion_to_TJ!M16*Dashboard!$D$14</f>
        <v>124632.2604672</v>
      </c>
    </row>
  </sheetData>
  <mergeCells count="1">
    <mergeCell ref="B3:G6"/>
  </mergeCells>
  <pageMargins left="0.75" right="0.75" top="1" bottom="1" header="0.5" footer="0.5"/>
  <pageSetup paperSize="9" orientation="portrait" horizontalDpi="4294967292" verticalDpi="4294967292"/>
  <ignoredErrors>
    <ignoredError sqref="D22" formula="1"/>
  </ignoredErrors>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election activeCell="A2" sqref="A2:XFD2"/>
    </sheetView>
  </sheetViews>
  <sheetFormatPr baseColWidth="10" defaultRowHeight="15" x14ac:dyDescent="0"/>
  <cols>
    <col min="1" max="7" width="10.83203125" style="141"/>
  </cols>
  <sheetData>
    <row r="1" spans="1:7">
      <c r="A1" s="141" t="s">
        <v>0</v>
      </c>
      <c r="B1" s="141" t="s">
        <v>1</v>
      </c>
      <c r="C1" s="141" t="s">
        <v>2</v>
      </c>
      <c r="D1" s="141" t="s">
        <v>3</v>
      </c>
      <c r="E1" s="141" t="s">
        <v>4</v>
      </c>
      <c r="F1" s="141" t="s">
        <v>5</v>
      </c>
      <c r="G1" s="141" t="s">
        <v>6</v>
      </c>
    </row>
    <row r="2" spans="1:7">
      <c r="A2" s="141">
        <v>2010</v>
      </c>
      <c r="B2" s="141">
        <f>interpolation!B19</f>
        <v>0</v>
      </c>
      <c r="C2" s="141">
        <f>interpolation!C19</f>
        <v>0</v>
      </c>
      <c r="D2" s="141">
        <f>NLOG!F36</f>
        <v>2655008</v>
      </c>
      <c r="E2" s="141">
        <f>NLOG!L36</f>
        <v>70486</v>
      </c>
      <c r="F2" s="141">
        <v>0</v>
      </c>
      <c r="G2" s="141">
        <f>interpolation!G19</f>
        <v>84059.153971200009</v>
      </c>
    </row>
    <row r="3" spans="1:7">
      <c r="A3" s="141">
        <v>2011</v>
      </c>
      <c r="B3" s="141">
        <f>interpolation!B20</f>
        <v>0</v>
      </c>
      <c r="C3" s="141">
        <f>interpolation!C20</f>
        <v>0</v>
      </c>
      <c r="D3" s="141">
        <f>NLOG!F37</f>
        <v>2416832</v>
      </c>
      <c r="E3" s="141">
        <f>NLOG!L37</f>
        <v>71225</v>
      </c>
      <c r="F3" s="141">
        <v>0</v>
      </c>
      <c r="G3" s="141">
        <f>interpolation!G20</f>
        <v>85323.162288960011</v>
      </c>
    </row>
    <row r="4" spans="1:7">
      <c r="A4" s="141">
        <v>2012</v>
      </c>
      <c r="B4" s="141">
        <f>interpolation!B21</f>
        <v>0</v>
      </c>
      <c r="C4" s="141">
        <f>interpolation!C21</f>
        <v>0</v>
      </c>
      <c r="D4" s="141">
        <f>NLOG!F38</f>
        <v>2405569</v>
      </c>
      <c r="E4" s="141">
        <f>NLOG!L38</f>
        <v>74785</v>
      </c>
      <c r="F4" s="141">
        <v>0</v>
      </c>
      <c r="G4" s="141">
        <f>interpolation!G21</f>
        <v>86587.170606720014</v>
      </c>
    </row>
    <row r="5" spans="1:7">
      <c r="A5" s="141">
        <v>2013</v>
      </c>
      <c r="B5" s="141">
        <f>interpolation!B22</f>
        <v>0</v>
      </c>
      <c r="C5" s="141">
        <f>interpolation!C22</f>
        <v>0</v>
      </c>
      <c r="D5" s="141">
        <f>NLOG!F39</f>
        <v>2306210.1129547898</v>
      </c>
      <c r="E5" s="141">
        <f>NLOG!L39</f>
        <v>95060.013500000001</v>
      </c>
      <c r="F5" s="141">
        <v>0</v>
      </c>
      <c r="G5" s="141">
        <f>interpolation!G22</f>
        <v>87851.178924480002</v>
      </c>
    </row>
    <row r="6" spans="1:7">
      <c r="A6" s="141">
        <v>2014</v>
      </c>
      <c r="B6" s="141">
        <f>interpolation!B23</f>
        <v>0</v>
      </c>
      <c r="C6" s="141">
        <f>interpolation!C23</f>
        <v>0</v>
      </c>
      <c r="D6" s="141">
        <f>NLOG!F40</f>
        <v>2305963.116455758</v>
      </c>
      <c r="E6" s="141">
        <f>NLOG!L40</f>
        <v>115335.027</v>
      </c>
      <c r="F6" s="141">
        <v>0</v>
      </c>
      <c r="G6" s="141">
        <f>interpolation!G23</f>
        <v>89115.187242240005</v>
      </c>
    </row>
    <row r="7" spans="1:7">
      <c r="A7" s="141">
        <v>2015</v>
      </c>
      <c r="B7" s="141">
        <f>interpolation!B24</f>
        <v>0</v>
      </c>
      <c r="C7" s="141">
        <f>interpolation!C24</f>
        <v>0</v>
      </c>
      <c r="D7" s="141">
        <f>NLOG!F41</f>
        <v>2253400.9200679273</v>
      </c>
      <c r="E7" s="141">
        <f>NLOG!L41</f>
        <v>84866.087</v>
      </c>
      <c r="F7" s="141">
        <v>0</v>
      </c>
      <c r="G7" s="141">
        <f>interpolation!G24</f>
        <v>90379.195560000007</v>
      </c>
    </row>
    <row r="8" spans="1:7">
      <c r="A8" s="141">
        <v>2016</v>
      </c>
      <c r="B8" s="141">
        <f>interpolation!B25</f>
        <v>0</v>
      </c>
      <c r="C8" s="141">
        <f>interpolation!C25</f>
        <v>0</v>
      </c>
      <c r="D8" s="141">
        <f>NLOG!F42</f>
        <v>2191311.4135724753</v>
      </c>
      <c r="E8" s="141">
        <f>NLOG!L42</f>
        <v>63253.118999999999</v>
      </c>
      <c r="F8" s="141">
        <v>0</v>
      </c>
      <c r="G8" s="141">
        <f>interpolation!G25</f>
        <v>92595.111376320012</v>
      </c>
    </row>
    <row r="9" spans="1:7">
      <c r="A9" s="141">
        <v>2017</v>
      </c>
      <c r="B9" s="141">
        <f>interpolation!B26</f>
        <v>0</v>
      </c>
      <c r="C9" s="141">
        <f>interpolation!C26</f>
        <v>0</v>
      </c>
      <c r="D9" s="141">
        <f>NLOG!F43</f>
        <v>2148267.7907430599</v>
      </c>
      <c r="E9" s="141">
        <f>NLOG!L43</f>
        <v>51069.59</v>
      </c>
      <c r="F9" s="141">
        <v>0</v>
      </c>
      <c r="G9" s="141">
        <f>interpolation!G26</f>
        <v>94811.027192640002</v>
      </c>
    </row>
    <row r="10" spans="1:7">
      <c r="A10" s="141">
        <v>2018</v>
      </c>
      <c r="B10" s="141">
        <f>interpolation!B27</f>
        <v>0</v>
      </c>
      <c r="C10" s="141">
        <f>interpolation!C27</f>
        <v>0</v>
      </c>
      <c r="D10" s="141">
        <f>NLOG!F44</f>
        <v>2144426.7070121593</v>
      </c>
      <c r="E10" s="141">
        <f>NLOG!L44</f>
        <v>48379.258000000009</v>
      </c>
      <c r="F10" s="141">
        <v>0</v>
      </c>
      <c r="G10" s="141">
        <f>interpolation!G27</f>
        <v>97026.943008960006</v>
      </c>
    </row>
    <row r="11" spans="1:7">
      <c r="A11" s="141">
        <v>2019</v>
      </c>
      <c r="B11" s="141">
        <f>interpolation!B28</f>
        <v>0</v>
      </c>
      <c r="C11" s="141">
        <f>interpolation!C28</f>
        <v>0</v>
      </c>
      <c r="D11" s="141">
        <f>NLOG!F45</f>
        <v>2117249.7936995849</v>
      </c>
      <c r="E11" s="141">
        <f>NLOG!L45</f>
        <v>41353.24</v>
      </c>
      <c r="F11" s="141">
        <v>0</v>
      </c>
      <c r="G11" s="141">
        <f>interpolation!G28</f>
        <v>99242.858825279996</v>
      </c>
    </row>
    <row r="12" spans="1:7">
      <c r="A12" s="141">
        <v>2020</v>
      </c>
      <c r="B12" s="141">
        <f>interpolation!B29</f>
        <v>0</v>
      </c>
      <c r="C12" s="141">
        <f>interpolation!C29</f>
        <v>0</v>
      </c>
      <c r="D12" s="141">
        <f>NLOG!F46</f>
        <v>2089102.6258248403</v>
      </c>
      <c r="E12" s="141">
        <f>NLOG!L46</f>
        <v>39300.913999999997</v>
      </c>
      <c r="F12" s="141">
        <v>0</v>
      </c>
      <c r="G12" s="141">
        <f>interpolation!G29</f>
        <v>101458.7746416</v>
      </c>
    </row>
    <row r="13" spans="1:7">
      <c r="A13" s="141">
        <v>2021</v>
      </c>
      <c r="B13" s="141">
        <f>interpolation!B30</f>
        <v>0</v>
      </c>
      <c r="C13" s="141">
        <f>interpolation!C30</f>
        <v>0</v>
      </c>
      <c r="D13" s="141">
        <f>NLOG!F47</f>
        <v>2043249.6300185604</v>
      </c>
      <c r="E13" s="141">
        <f>NLOG!L47</f>
        <v>36387.99700000001</v>
      </c>
      <c r="F13" s="141">
        <v>0</v>
      </c>
      <c r="G13" s="141">
        <f>interpolation!G30</f>
        <v>101125.86710112001</v>
      </c>
    </row>
    <row r="14" spans="1:7">
      <c r="A14" s="141">
        <v>2022</v>
      </c>
      <c r="B14" s="141">
        <f>interpolation!B31</f>
        <v>0</v>
      </c>
      <c r="C14" s="141">
        <f>interpolation!C31</f>
        <v>0</v>
      </c>
      <c r="D14" s="141">
        <f>NLOG!F48</f>
        <v>1857060.1770887533</v>
      </c>
      <c r="E14" s="141">
        <f>NLOG!L48</f>
        <v>32098.460999999999</v>
      </c>
      <c r="F14" s="141">
        <v>0</v>
      </c>
      <c r="G14" s="141">
        <f>interpolation!G31</f>
        <v>100792.95956064</v>
      </c>
    </row>
    <row r="15" spans="1:7">
      <c r="A15" s="141">
        <v>2023</v>
      </c>
      <c r="B15" s="141">
        <f>interpolation!B32</f>
        <v>0</v>
      </c>
      <c r="C15" s="141">
        <f>interpolation!C32</f>
        <v>0</v>
      </c>
      <c r="D15" s="141">
        <f>NLOG!F49</f>
        <v>1635875.7805305007</v>
      </c>
      <c r="E15" s="141">
        <f>NLOG!L49</f>
        <v>30464.893</v>
      </c>
      <c r="F15" s="141">
        <v>0</v>
      </c>
      <c r="G15" s="141">
        <f>interpolation!G32</f>
        <v>100460.05202016</v>
      </c>
    </row>
    <row r="16" spans="1:7">
      <c r="A16" s="141">
        <v>2024</v>
      </c>
      <c r="B16" s="141">
        <f>interpolation!B33</f>
        <v>0</v>
      </c>
      <c r="C16" s="141">
        <f>interpolation!C33</f>
        <v>0</v>
      </c>
      <c r="D16" s="141">
        <f>NLOG!F50</f>
        <v>1472312.6659354784</v>
      </c>
      <c r="E16" s="141">
        <f>NLOG!L50</f>
        <v>29008.896000000004</v>
      </c>
      <c r="F16" s="141">
        <v>0</v>
      </c>
      <c r="G16" s="141">
        <f>interpolation!G33</f>
        <v>100127.14447967999</v>
      </c>
    </row>
    <row r="17" spans="1:7">
      <c r="A17" s="141">
        <v>2025</v>
      </c>
      <c r="B17" s="141">
        <f>interpolation!B34</f>
        <v>0</v>
      </c>
      <c r="C17" s="141">
        <f>interpolation!C34</f>
        <v>0</v>
      </c>
      <c r="D17" s="141">
        <f>NLOG!F51</f>
        <v>1329272.5487074864</v>
      </c>
      <c r="E17" s="141">
        <f>NLOG!L51</f>
        <v>30002.399000000001</v>
      </c>
      <c r="F17" s="141">
        <v>0</v>
      </c>
      <c r="G17" s="141">
        <f>interpolation!G34</f>
        <v>99794.236939199996</v>
      </c>
    </row>
    <row r="18" spans="1:7">
      <c r="A18" s="141">
        <v>2026</v>
      </c>
      <c r="B18" s="141">
        <f>interpolation!B35</f>
        <v>0</v>
      </c>
      <c r="C18" s="141">
        <f>interpolation!C35</f>
        <v>0</v>
      </c>
      <c r="D18" s="141">
        <f>NLOG!F52</f>
        <v>1196401.3302106906</v>
      </c>
      <c r="E18" s="141">
        <f>NLOG!L52</f>
        <v>26699.336999999996</v>
      </c>
      <c r="F18" s="141">
        <v>0</v>
      </c>
      <c r="G18" s="141">
        <f>interpolation!G35</f>
        <v>100522.472184</v>
      </c>
    </row>
    <row r="19" spans="1:7">
      <c r="A19" s="141">
        <v>2027</v>
      </c>
      <c r="B19" s="141">
        <f>interpolation!B36</f>
        <v>0</v>
      </c>
      <c r="C19" s="141">
        <f>interpolation!C36</f>
        <v>0</v>
      </c>
      <c r="D19" s="141">
        <f>NLOG!F53</f>
        <v>1079916.7612015451</v>
      </c>
      <c r="E19" s="141">
        <f>NLOG!L53</f>
        <v>24569.123999999996</v>
      </c>
      <c r="F19" s="141">
        <v>0</v>
      </c>
      <c r="G19" s="141">
        <f>interpolation!G36</f>
        <v>101250.7074288</v>
      </c>
    </row>
    <row r="20" spans="1:7">
      <c r="A20" s="141">
        <v>2028</v>
      </c>
      <c r="B20" s="141">
        <f>interpolation!B37</f>
        <v>0</v>
      </c>
      <c r="C20" s="141">
        <f>interpolation!C37</f>
        <v>0</v>
      </c>
      <c r="D20" s="141">
        <f>NLOG!F54</f>
        <v>982375.41437792627</v>
      </c>
      <c r="E20" s="141">
        <f>NLOG!L54</f>
        <v>23716.911</v>
      </c>
      <c r="F20" s="141">
        <v>0</v>
      </c>
      <c r="G20" s="141">
        <f>interpolation!G37</f>
        <v>101978.9426736</v>
      </c>
    </row>
    <row r="21" spans="1:7">
      <c r="A21" s="141">
        <v>2029</v>
      </c>
      <c r="B21" s="141">
        <f>interpolation!B38</f>
        <v>0</v>
      </c>
      <c r="C21" s="141">
        <f>interpolation!C38</f>
        <v>0</v>
      </c>
      <c r="D21" s="141">
        <f>NLOG!F55</f>
        <v>888349.82213258243</v>
      </c>
      <c r="E21" s="141">
        <f>NLOG!L55</f>
        <v>23539.198</v>
      </c>
      <c r="F21" s="141">
        <v>0</v>
      </c>
      <c r="G21" s="141">
        <f>interpolation!G38</f>
        <v>102707.1779184</v>
      </c>
    </row>
    <row r="22" spans="1:7">
      <c r="A22" s="141">
        <v>2030</v>
      </c>
      <c r="B22" s="141">
        <f>interpolation!B39</f>
        <v>0</v>
      </c>
      <c r="C22" s="141">
        <f>interpolation!C39</f>
        <v>0</v>
      </c>
      <c r="D22" s="141">
        <f>NLOG!F56</f>
        <v>810780.62275986385</v>
      </c>
      <c r="E22" s="141">
        <f>NLOG!L56</f>
        <v>21764.056</v>
      </c>
      <c r="F22" s="141">
        <v>0</v>
      </c>
      <c r="G22" s="141">
        <f>interpolation!G39</f>
        <v>103435.41316320001</v>
      </c>
    </row>
    <row r="23" spans="1:7">
      <c r="A23" s="141">
        <v>2031</v>
      </c>
      <c r="B23" s="141">
        <f>interpolation!B40</f>
        <v>0</v>
      </c>
      <c r="C23" s="141">
        <f>interpolation!C40</f>
        <v>0</v>
      </c>
      <c r="D23" s="141">
        <f>NLOG!F57</f>
        <v>744998.06847900175</v>
      </c>
      <c r="E23" s="141">
        <f>NLOG!L57</f>
        <v>19988.914000000001</v>
      </c>
      <c r="F23" s="141">
        <v>0</v>
      </c>
      <c r="G23" s="141">
        <f>interpolation!G40</f>
        <v>104304.09377664</v>
      </c>
    </row>
    <row r="24" spans="1:7">
      <c r="A24" s="141">
        <v>2032</v>
      </c>
      <c r="B24" s="141">
        <f>interpolation!B41</f>
        <v>0</v>
      </c>
      <c r="C24" s="141">
        <f>interpolation!C41</f>
        <v>0</v>
      </c>
      <c r="D24" s="141">
        <f>NLOG!F58</f>
        <v>690323.28322135611</v>
      </c>
      <c r="E24" s="141">
        <f>NLOG!L58</f>
        <v>18213.772000000001</v>
      </c>
      <c r="F24" s="141">
        <v>0</v>
      </c>
      <c r="G24" s="141">
        <f>interpolation!G41</f>
        <v>105172.77439008</v>
      </c>
    </row>
    <row r="25" spans="1:7">
      <c r="A25" s="141">
        <v>2033</v>
      </c>
      <c r="B25" s="141">
        <f>interpolation!B42</f>
        <v>0</v>
      </c>
      <c r="C25" s="141">
        <f>interpolation!C42</f>
        <v>0</v>
      </c>
      <c r="D25" s="141">
        <f>NLOG!F59</f>
        <v>643467.1530725325</v>
      </c>
      <c r="E25" s="141">
        <f>NLOG!L59</f>
        <v>16438.63</v>
      </c>
      <c r="F25" s="141">
        <v>0</v>
      </c>
      <c r="G25" s="141">
        <f>interpolation!G42</f>
        <v>106041.45500352001</v>
      </c>
    </row>
    <row r="26" spans="1:7">
      <c r="A26" s="141">
        <v>2034</v>
      </c>
      <c r="B26" s="141">
        <f>interpolation!B43</f>
        <v>0</v>
      </c>
      <c r="C26" s="141">
        <f>interpolation!C43</f>
        <v>0</v>
      </c>
      <c r="D26" s="141">
        <f>NLOG!F60</f>
        <v>592133.68915771996</v>
      </c>
      <c r="E26" s="141">
        <f>NLOG!L60</f>
        <v>14663.488000000001</v>
      </c>
      <c r="F26" s="141">
        <v>0</v>
      </c>
      <c r="G26" s="141">
        <f>interpolation!G43</f>
        <v>106910.13561696</v>
      </c>
    </row>
    <row r="27" spans="1:7">
      <c r="A27" s="141">
        <v>2035</v>
      </c>
      <c r="B27" s="141">
        <f>interpolation!B44</f>
        <v>0</v>
      </c>
      <c r="C27" s="141">
        <f>interpolation!C44</f>
        <v>0</v>
      </c>
      <c r="D27" s="141">
        <f>NLOG!F61</f>
        <v>545066.93712611846</v>
      </c>
      <c r="E27" s="141">
        <f>NLOG!L61</f>
        <v>12888.346000000001</v>
      </c>
      <c r="F27" s="141">
        <v>0</v>
      </c>
      <c r="G27" s="141">
        <f>interpolation!G44</f>
        <v>107778.8162304</v>
      </c>
    </row>
    <row r="28" spans="1:7">
      <c r="A28" s="141">
        <v>2036</v>
      </c>
      <c r="B28" s="141">
        <f>interpolation!B45</f>
        <v>0</v>
      </c>
      <c r="C28" s="141">
        <f>interpolation!C45</f>
        <v>0</v>
      </c>
      <c r="D28" s="141">
        <f>NLOG!F62</f>
        <v>491693.18943577947</v>
      </c>
      <c r="E28" s="141">
        <f>NLOG!L62</f>
        <v>11113.204000000002</v>
      </c>
      <c r="F28" s="141">
        <v>0</v>
      </c>
      <c r="G28" s="141">
        <f>interpolation!G45</f>
        <v>108262.57250016001</v>
      </c>
    </row>
    <row r="29" spans="1:7">
      <c r="A29" s="141">
        <v>2037</v>
      </c>
      <c r="B29" s="141">
        <f>interpolation!B46</f>
        <v>0</v>
      </c>
      <c r="C29" s="141">
        <f>interpolation!C46</f>
        <v>0</v>
      </c>
      <c r="D29" s="141">
        <f>NLOG!F63</f>
        <v>444294.79546468362</v>
      </c>
      <c r="E29" s="141">
        <f>NLOG!L63</f>
        <v>9338.0620000000017</v>
      </c>
      <c r="F29" s="141">
        <v>0</v>
      </c>
      <c r="G29" s="141">
        <f>interpolation!G46</f>
        <v>108746.32876992</v>
      </c>
    </row>
    <row r="30" spans="1:7">
      <c r="A30" s="141">
        <v>2038</v>
      </c>
      <c r="B30" s="141">
        <f>interpolation!B47</f>
        <v>0</v>
      </c>
      <c r="C30" s="141">
        <f>interpolation!C47</f>
        <v>0</v>
      </c>
      <c r="D30" s="141">
        <f>NLOG!F64</f>
        <v>396896.40149358776</v>
      </c>
      <c r="E30" s="141">
        <f>NLOG!L64</f>
        <v>7562.9200000000019</v>
      </c>
      <c r="F30" s="141">
        <v>0</v>
      </c>
      <c r="G30" s="141">
        <f>interpolation!G47</f>
        <v>109230.08503968001</v>
      </c>
    </row>
    <row r="31" spans="1:7">
      <c r="A31" s="141">
        <v>2039</v>
      </c>
      <c r="B31" s="141">
        <f>interpolation!B48</f>
        <v>0</v>
      </c>
      <c r="C31" s="141">
        <f>interpolation!C48</f>
        <v>0</v>
      </c>
      <c r="D31" s="141">
        <f>NLOG!F65</f>
        <v>349498.00752249191</v>
      </c>
      <c r="E31" s="141">
        <f>NLOG!L65</f>
        <v>5787.7780000000021</v>
      </c>
      <c r="F31" s="141">
        <v>0</v>
      </c>
      <c r="G31" s="141">
        <f>interpolation!G48</f>
        <v>109713.84130944</v>
      </c>
    </row>
    <row r="32" spans="1:7">
      <c r="A32" s="141">
        <v>2040</v>
      </c>
      <c r="B32" s="141">
        <f>interpolation!B49</f>
        <v>0</v>
      </c>
      <c r="C32" s="141">
        <f>interpolation!C49</f>
        <v>0</v>
      </c>
      <c r="D32" s="141">
        <f>NLOG!F66</f>
        <v>302099.61355139606</v>
      </c>
      <c r="E32" s="141">
        <f>NLOG!L66</f>
        <v>4012.6360000000022</v>
      </c>
      <c r="F32" s="141">
        <v>0</v>
      </c>
      <c r="G32" s="141">
        <f>interpolation!G49</f>
        <v>110197.59757920001</v>
      </c>
    </row>
    <row r="33" spans="1:7">
      <c r="A33" s="141">
        <v>2041</v>
      </c>
      <c r="B33" s="141">
        <f>interpolation!B50</f>
        <v>0</v>
      </c>
      <c r="C33" s="141">
        <f>interpolation!C50</f>
        <v>0</v>
      </c>
      <c r="D33" s="141">
        <f>NLOG!F67</f>
        <v>254701.21958030021</v>
      </c>
      <c r="E33" s="141">
        <f>NLOG!L67</f>
        <v>2237.4940000000024</v>
      </c>
      <c r="F33" s="141">
        <v>0</v>
      </c>
      <c r="G33" s="141">
        <f>interpolation!G50</f>
        <v>111295.15212672</v>
      </c>
    </row>
    <row r="34" spans="1:7">
      <c r="A34" s="141">
        <v>2042</v>
      </c>
      <c r="B34" s="141">
        <f>interpolation!B51</f>
        <v>0</v>
      </c>
      <c r="C34" s="141">
        <f>interpolation!C51</f>
        <v>0</v>
      </c>
      <c r="D34" s="141">
        <f>NLOG!F68</f>
        <v>207302.82560920436</v>
      </c>
      <c r="E34" s="141">
        <f>NLOG!L68</f>
        <v>462.35200000000259</v>
      </c>
      <c r="F34" s="141">
        <v>0</v>
      </c>
      <c r="G34" s="141">
        <f>interpolation!G51</f>
        <v>112392.70667424001</v>
      </c>
    </row>
    <row r="35" spans="1:7">
      <c r="A35" s="141">
        <v>2043</v>
      </c>
      <c r="B35" s="141">
        <f>interpolation!B52</f>
        <v>0</v>
      </c>
      <c r="C35" s="141">
        <f>interpolation!C52</f>
        <v>0</v>
      </c>
      <c r="D35" s="141">
        <f>NLOG!F69</f>
        <v>159904.43163810851</v>
      </c>
      <c r="E35" s="141">
        <f>NLOG!L69</f>
        <v>0</v>
      </c>
      <c r="F35" s="141">
        <v>0</v>
      </c>
      <c r="G35" s="141">
        <f>interpolation!G52</f>
        <v>113490.26122176</v>
      </c>
    </row>
    <row r="36" spans="1:7">
      <c r="A36" s="141">
        <v>2044</v>
      </c>
      <c r="B36" s="141">
        <f>interpolation!B53</f>
        <v>0</v>
      </c>
      <c r="C36" s="141">
        <f>interpolation!C53</f>
        <v>0</v>
      </c>
      <c r="D36" s="141">
        <f>NLOG!F70</f>
        <v>112506.03766701266</v>
      </c>
      <c r="E36" s="141">
        <f>NLOG!L70</f>
        <v>0</v>
      </c>
      <c r="F36" s="141">
        <v>0</v>
      </c>
      <c r="G36" s="141">
        <f>interpolation!G53</f>
        <v>114587.81576928</v>
      </c>
    </row>
    <row r="37" spans="1:7">
      <c r="A37" s="141">
        <v>2045</v>
      </c>
      <c r="B37" s="141">
        <f>interpolation!B54</f>
        <v>0</v>
      </c>
      <c r="C37" s="141">
        <f>interpolation!C54</f>
        <v>0</v>
      </c>
      <c r="D37" s="141">
        <f>NLOG!F71</f>
        <v>65107.643695916806</v>
      </c>
      <c r="E37" s="141">
        <f>NLOG!L71</f>
        <v>0</v>
      </c>
      <c r="F37" s="141">
        <v>0</v>
      </c>
      <c r="G37" s="141">
        <f>interpolation!G54</f>
        <v>115685.37031679999</v>
      </c>
    </row>
    <row r="38" spans="1:7">
      <c r="A38" s="141">
        <v>2046</v>
      </c>
      <c r="B38" s="141">
        <f>interpolation!B55</f>
        <v>0</v>
      </c>
      <c r="C38" s="141">
        <f>interpolation!C55</f>
        <v>0</v>
      </c>
      <c r="D38" s="141">
        <f>NLOG!F72</f>
        <v>17709.249724820955</v>
      </c>
      <c r="E38" s="141">
        <f>NLOG!L72</f>
        <v>0</v>
      </c>
      <c r="F38" s="141">
        <v>0</v>
      </c>
      <c r="G38" s="141">
        <f>interpolation!G55</f>
        <v>117474.74834687999</v>
      </c>
    </row>
    <row r="39" spans="1:7">
      <c r="A39" s="141">
        <v>2047</v>
      </c>
      <c r="B39" s="141">
        <f>interpolation!B56</f>
        <v>0</v>
      </c>
      <c r="C39" s="141">
        <f>interpolation!C56</f>
        <v>0</v>
      </c>
      <c r="D39" s="141">
        <f>NLOG!F73</f>
        <v>0</v>
      </c>
      <c r="E39" s="141">
        <f>NLOG!L73</f>
        <v>0</v>
      </c>
      <c r="F39" s="141">
        <v>0</v>
      </c>
      <c r="G39" s="141">
        <f>interpolation!G56</f>
        <v>119264.12637695999</v>
      </c>
    </row>
    <row r="40" spans="1:7">
      <c r="A40" s="141">
        <v>2048</v>
      </c>
      <c r="B40" s="141">
        <f>interpolation!B57</f>
        <v>0</v>
      </c>
      <c r="C40" s="141">
        <f>interpolation!C57</f>
        <v>0</v>
      </c>
      <c r="D40" s="141">
        <f>NLOG!F74</f>
        <v>0</v>
      </c>
      <c r="E40" s="141">
        <f>NLOG!L74</f>
        <v>0</v>
      </c>
      <c r="F40" s="141">
        <v>0</v>
      </c>
      <c r="G40" s="141">
        <f>interpolation!G57</f>
        <v>121053.50440704</v>
      </c>
    </row>
    <row r="41" spans="1:7">
      <c r="A41" s="141">
        <v>2049</v>
      </c>
      <c r="B41" s="141">
        <f>interpolation!B58</f>
        <v>0</v>
      </c>
      <c r="C41" s="141">
        <f>interpolation!C58</f>
        <v>0</v>
      </c>
      <c r="D41" s="141">
        <f>NLOG!F75</f>
        <v>0</v>
      </c>
      <c r="E41" s="141">
        <f>NLOG!L75</f>
        <v>0</v>
      </c>
      <c r="F41" s="141">
        <v>0</v>
      </c>
      <c r="G41" s="141">
        <f>interpolation!G58</f>
        <v>122842.88243712</v>
      </c>
    </row>
    <row r="42" spans="1:7">
      <c r="A42" s="141">
        <v>2050</v>
      </c>
      <c r="B42" s="141">
        <f>interpolation!B59</f>
        <v>0</v>
      </c>
      <c r="C42" s="141">
        <f>interpolation!C59</f>
        <v>0</v>
      </c>
      <c r="D42" s="141">
        <f>NLOG!F76</f>
        <v>0</v>
      </c>
      <c r="E42" s="141">
        <f>NLOG!L76</f>
        <v>0</v>
      </c>
      <c r="F42" s="141">
        <v>0</v>
      </c>
      <c r="G42" s="141">
        <f>interpolation!G59</f>
        <v>124632.2604672</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Cover sheet</vt:lpstr>
      <vt:lpstr>Changelog</vt:lpstr>
      <vt:lpstr>Contents</vt:lpstr>
      <vt:lpstr>Introduction</vt:lpstr>
      <vt:lpstr>Assumptions</vt:lpstr>
      <vt:lpstr>Dashboard</vt:lpstr>
      <vt:lpstr>NLOG</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Wouter Terlouw</cp:lastModifiedBy>
  <dcterms:created xsi:type="dcterms:W3CDTF">2014-06-04T09:13:49Z</dcterms:created>
  <dcterms:modified xsi:type="dcterms:W3CDTF">2014-07-14T08:08:16Z</dcterms:modified>
</cp:coreProperties>
</file>