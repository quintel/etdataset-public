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09"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alexander/Git/etdataset/source_analyses/de/2015/3_primary_production/"/>
    </mc:Choice>
  </mc:AlternateContent>
  <xr:revisionPtr revIDLastSave="0" documentId="13_ncr:1_{D8823A72-3EB2-2540-A180-7E41871A8946}" xr6:coauthVersionLast="34" xr6:coauthVersionMax="34" xr10:uidLastSave="{00000000-0000-0000-0000-000000000000}"/>
  <bookViews>
    <workbookView xWindow="0" yWindow="460" windowWidth="51200" windowHeight="28260" tabRatio="500" firstSheet="3" activeTab="5"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79021"/>
  <extLst>
    <ext xmlns:mx="http://schemas.microsoft.com/office/mac/excel/2008/main" uri="{7523E5D3-25F3-A5E0-1632-64F254C22452}">
      <mx:ArchID Flags="2"/>
    </ext>
  </extLst>
</workbook>
</file>

<file path=xl/calcChain.xml><?xml version="1.0" encoding="utf-8"?>
<calcChain xmlns="http://schemas.openxmlformats.org/spreadsheetml/2006/main">
  <c r="G24" i="5" l="1"/>
  <c r="D11" i="2" l="1"/>
  <c r="E10" i="6"/>
  <c r="F10" i="6"/>
  <c r="B3" i="3"/>
  <c r="C3" i="3"/>
  <c r="E12" i="6"/>
  <c r="F12" i="6"/>
  <c r="D3" i="3"/>
  <c r="E11" i="6"/>
  <c r="F11" i="6"/>
  <c r="E3" i="3"/>
  <c r="E13" i="6"/>
  <c r="F13" i="6"/>
  <c r="F3" i="3"/>
  <c r="E16" i="6"/>
  <c r="G19" i="5" s="1"/>
  <c r="F16" i="6"/>
  <c r="G7" i="3" s="1"/>
  <c r="B4" i="3"/>
  <c r="C4" i="3"/>
  <c r="D4" i="3"/>
  <c r="E4" i="3"/>
  <c r="F4" i="3"/>
  <c r="G10" i="6"/>
  <c r="C29" i="5" s="1"/>
  <c r="B29" i="5"/>
  <c r="G12" i="6"/>
  <c r="D29" i="5" s="1"/>
  <c r="D12" i="3" s="1"/>
  <c r="G11" i="6"/>
  <c r="E29" i="5"/>
  <c r="G13" i="6"/>
  <c r="F29" i="5" s="1"/>
  <c r="G16" i="6"/>
  <c r="G29" i="5" s="1"/>
  <c r="H10" i="6"/>
  <c r="B34" i="5" s="1"/>
  <c r="B17" i="3" s="1"/>
  <c r="H12" i="6"/>
  <c r="D34" i="5" s="1"/>
  <c r="H11" i="6"/>
  <c r="E34" i="5" s="1"/>
  <c r="H13" i="6"/>
  <c r="F34" i="5" s="1"/>
  <c r="H16" i="6"/>
  <c r="G34" i="5" s="1"/>
  <c r="G17" i="3" s="1"/>
  <c r="I10" i="6"/>
  <c r="B39" i="5" s="1"/>
  <c r="B22" i="3" s="1"/>
  <c r="C39" i="5"/>
  <c r="I12" i="6"/>
  <c r="D39" i="5" s="1"/>
  <c r="I11" i="6"/>
  <c r="E39" i="5" s="1"/>
  <c r="E22" i="3" s="1"/>
  <c r="I13" i="6"/>
  <c r="F39" i="5" s="1"/>
  <c r="F22" i="3" s="1"/>
  <c r="I16" i="6"/>
  <c r="G39" i="5" s="1"/>
  <c r="G22" i="3" s="1"/>
  <c r="J10" i="6"/>
  <c r="B44" i="5" s="1"/>
  <c r="J12" i="6"/>
  <c r="D44" i="5" s="1"/>
  <c r="J11" i="6"/>
  <c r="E44" i="5" s="1"/>
  <c r="E27" i="3" s="1"/>
  <c r="J13" i="6"/>
  <c r="F44" i="5" s="1"/>
  <c r="J16" i="6"/>
  <c r="G44" i="5" s="1"/>
  <c r="G27" i="3" s="1"/>
  <c r="K10" i="6"/>
  <c r="C49" i="5" s="1"/>
  <c r="K12" i="6"/>
  <c r="D49" i="5" s="1"/>
  <c r="K11" i="6"/>
  <c r="E49" i="5" s="1"/>
  <c r="K13" i="6"/>
  <c r="F49" i="5" s="1"/>
  <c r="F32" i="3" s="1"/>
  <c r="K16" i="6"/>
  <c r="G49" i="5" s="1"/>
  <c r="L10" i="6"/>
  <c r="B54" i="5" s="1"/>
  <c r="L12" i="6"/>
  <c r="D54" i="5" s="1"/>
  <c r="D37" i="3" s="1"/>
  <c r="L11" i="6"/>
  <c r="E54" i="5" s="1"/>
  <c r="L13" i="6"/>
  <c r="F54" i="5" s="1"/>
  <c r="F37" i="3" s="1"/>
  <c r="L16" i="6"/>
  <c r="G54" i="5" s="1"/>
  <c r="M10" i="6"/>
  <c r="B59" i="5" s="1"/>
  <c r="B42" i="3" s="1"/>
  <c r="M12" i="6"/>
  <c r="D59" i="5" s="1"/>
  <c r="M11" i="6"/>
  <c r="E59" i="5" s="1"/>
  <c r="E42" i="3" s="1"/>
  <c r="M13" i="6"/>
  <c r="F59" i="5" s="1"/>
  <c r="M16" i="6"/>
  <c r="G59" i="5" s="1"/>
  <c r="G42" i="3" s="1"/>
  <c r="D42" i="3"/>
  <c r="C2" i="3"/>
  <c r="D2" i="3"/>
  <c r="E2" i="3"/>
  <c r="F2" i="3"/>
  <c r="B2" i="3"/>
  <c r="C10" i="6"/>
  <c r="B9" i="5" s="1"/>
  <c r="C12" i="6"/>
  <c r="D9" i="5" s="1"/>
  <c r="C11" i="6"/>
  <c r="E9" i="5" s="1"/>
  <c r="C13" i="6"/>
  <c r="F9" i="5" s="1"/>
  <c r="C16" i="6"/>
  <c r="G9" i="5" s="1"/>
  <c r="C8" i="7"/>
  <c r="C5" i="7"/>
  <c r="D10" i="6"/>
  <c r="B14" i="5" s="1"/>
  <c r="B16" i="5" s="1"/>
  <c r="D12" i="6"/>
  <c r="D14" i="5" s="1"/>
  <c r="D17" i="5" s="1"/>
  <c r="D11" i="6"/>
  <c r="E14" i="5" s="1"/>
  <c r="D13" i="6"/>
  <c r="F14" i="5" s="1"/>
  <c r="F18" i="5" s="1"/>
  <c r="D16" i="6"/>
  <c r="G14" i="5" s="1"/>
  <c r="D15"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B40" i="5" l="1"/>
  <c r="B23" i="3" s="1"/>
  <c r="D12" i="5"/>
  <c r="D40" i="5"/>
  <c r="D23" i="3" s="1"/>
  <c r="G42" i="5"/>
  <c r="G25" i="3" s="1"/>
  <c r="G45" i="5"/>
  <c r="G28" i="3" s="1"/>
  <c r="G47" i="5"/>
  <c r="G30" i="3" s="1"/>
  <c r="E32" i="3"/>
  <c r="E45" i="5"/>
  <c r="E28" i="3" s="1"/>
  <c r="F35" i="5"/>
  <c r="F18" i="3" s="1"/>
  <c r="F37" i="5"/>
  <c r="F20" i="3" s="1"/>
  <c r="G27" i="5"/>
  <c r="G10" i="3" s="1"/>
  <c r="G25" i="5"/>
  <c r="G8" i="3" s="1"/>
  <c r="G28" i="5"/>
  <c r="G11" i="3" s="1"/>
  <c r="G26" i="5"/>
  <c r="G9" i="3" s="1"/>
  <c r="G12" i="3"/>
  <c r="G23" i="5"/>
  <c r="G6" i="3" s="1"/>
  <c r="G2" i="3"/>
  <c r="G22" i="5"/>
  <c r="G5" i="3" s="1"/>
  <c r="D22" i="5"/>
  <c r="D5" i="3" s="1"/>
  <c r="D7" i="3"/>
  <c r="E23" i="5"/>
  <c r="E22" i="5"/>
  <c r="E25" i="5"/>
  <c r="E27" i="5"/>
  <c r="E7" i="3"/>
  <c r="D36" i="5"/>
  <c r="D19" i="3" s="1"/>
  <c r="D38" i="5"/>
  <c r="D21" i="3" s="1"/>
  <c r="D51" i="5"/>
  <c r="D34" i="3" s="1"/>
  <c r="F25" i="5"/>
  <c r="F8" i="3" s="1"/>
  <c r="B13" i="5"/>
  <c r="G16" i="5"/>
  <c r="E58" i="5"/>
  <c r="E41" i="3" s="1"/>
  <c r="G32" i="3"/>
  <c r="E47" i="5"/>
  <c r="E30" i="3" s="1"/>
  <c r="B49" i="5"/>
  <c r="E43" i="5"/>
  <c r="E26" i="3" s="1"/>
  <c r="G40" i="5"/>
  <c r="G23" i="3" s="1"/>
  <c r="C44" i="5"/>
  <c r="C42" i="5" s="1"/>
  <c r="C25" i="3" s="1"/>
  <c r="B23" i="5"/>
  <c r="B6" i="3" s="1"/>
  <c r="C14" i="5"/>
  <c r="C16" i="5" s="1"/>
  <c r="C59" i="5"/>
  <c r="C42" i="3" s="1"/>
  <c r="G48" i="5"/>
  <c r="G31" i="3" s="1"/>
  <c r="G46" i="5"/>
  <c r="G29" i="3" s="1"/>
  <c r="E41" i="5"/>
  <c r="E24" i="3" s="1"/>
  <c r="C22" i="3"/>
  <c r="B37" i="5"/>
  <c r="B20" i="3" s="1"/>
  <c r="C9" i="5"/>
  <c r="E48" i="5"/>
  <c r="E31" i="3" s="1"/>
  <c r="F45" i="5"/>
  <c r="F28" i="3" s="1"/>
  <c r="F12" i="5"/>
  <c r="F15" i="5"/>
  <c r="F17" i="5"/>
  <c r="C32" i="3"/>
  <c r="C48" i="5"/>
  <c r="C31" i="3" s="1"/>
  <c r="F13" i="5"/>
  <c r="B11" i="5"/>
  <c r="B37" i="3"/>
  <c r="B55" i="5"/>
  <c r="B38" i="3" s="1"/>
  <c r="B56" i="5"/>
  <c r="B39" i="3" s="1"/>
  <c r="B57" i="5"/>
  <c r="B40" i="3" s="1"/>
  <c r="B58" i="5"/>
  <c r="B41" i="3" s="1"/>
  <c r="F16" i="5"/>
  <c r="E15" i="5"/>
  <c r="E17" i="5"/>
  <c r="E16" i="5"/>
  <c r="E18" i="5"/>
  <c r="B15" i="5"/>
  <c r="B17" i="5"/>
  <c r="G11" i="5"/>
  <c r="G13" i="5"/>
  <c r="G10" i="5"/>
  <c r="G12" i="5"/>
  <c r="E10" i="5"/>
  <c r="E12" i="5"/>
  <c r="E11" i="5"/>
  <c r="E13" i="5"/>
  <c r="D56" i="5"/>
  <c r="D39" i="3" s="1"/>
  <c r="D57" i="5"/>
  <c r="D40" i="3" s="1"/>
  <c r="D58" i="5"/>
  <c r="D41" i="3" s="1"/>
  <c r="D55" i="5"/>
  <c r="D38" i="3" s="1"/>
  <c r="E55" i="5"/>
  <c r="E38" i="3" s="1"/>
  <c r="E50" i="5"/>
  <c r="E33" i="3" s="1"/>
  <c r="E57" i="5"/>
  <c r="E40" i="3" s="1"/>
  <c r="E51" i="5"/>
  <c r="E34" i="3" s="1"/>
  <c r="E52" i="5"/>
  <c r="E35" i="3" s="1"/>
  <c r="E53" i="5"/>
  <c r="E36" i="3" s="1"/>
  <c r="E37" i="3"/>
  <c r="E56" i="5"/>
  <c r="E39" i="3" s="1"/>
  <c r="C12" i="3"/>
  <c r="C26" i="5"/>
  <c r="C9" i="3" s="1"/>
  <c r="C28" i="5"/>
  <c r="C11" i="3" s="1"/>
  <c r="C25" i="5"/>
  <c r="C8" i="3" s="1"/>
  <c r="C27" i="5"/>
  <c r="C10" i="3" s="1"/>
  <c r="B10" i="5"/>
  <c r="B12" i="5"/>
  <c r="G56" i="5"/>
  <c r="G39" i="3" s="1"/>
  <c r="G57" i="5"/>
  <c r="G40" i="3" s="1"/>
  <c r="G37" i="3"/>
  <c r="G55" i="5"/>
  <c r="G38" i="3" s="1"/>
  <c r="G51" i="5"/>
  <c r="G34" i="3" s="1"/>
  <c r="G52" i="5"/>
  <c r="G35" i="3" s="1"/>
  <c r="G53" i="5"/>
  <c r="G36" i="3" s="1"/>
  <c r="G50" i="5"/>
  <c r="G33" i="3" s="1"/>
  <c r="B18" i="5"/>
  <c r="F11" i="5"/>
  <c r="F10" i="5"/>
  <c r="D10" i="5"/>
  <c r="D11" i="5"/>
  <c r="D13" i="5"/>
  <c r="D16" i="5"/>
  <c r="D18" i="5"/>
  <c r="G58" i="5"/>
  <c r="G41" i="3" s="1"/>
  <c r="F42" i="3"/>
  <c r="F55" i="5"/>
  <c r="F38" i="3" s="1"/>
  <c r="B12" i="3"/>
  <c r="B30" i="5"/>
  <c r="B13" i="3" s="1"/>
  <c r="G17" i="5"/>
  <c r="G15" i="5"/>
  <c r="C15" i="5"/>
  <c r="D50" i="5"/>
  <c r="D33" i="3" s="1"/>
  <c r="C54" i="5"/>
  <c r="C51" i="5" s="1"/>
  <c r="C34" i="3" s="1"/>
  <c r="F17" i="3"/>
  <c r="F33" i="5"/>
  <c r="F16" i="3" s="1"/>
  <c r="B33" i="5"/>
  <c r="B16" i="3" s="1"/>
  <c r="D32" i="5"/>
  <c r="D15" i="3" s="1"/>
  <c r="F31" i="5"/>
  <c r="F14" i="3" s="1"/>
  <c r="B31" i="5"/>
  <c r="B14" i="3" s="1"/>
  <c r="E12" i="3"/>
  <c r="E30" i="5"/>
  <c r="E13" i="3" s="1"/>
  <c r="E31" i="5"/>
  <c r="E14" i="3" s="1"/>
  <c r="E32" i="5"/>
  <c r="E15" i="3" s="1"/>
  <c r="E33" i="5"/>
  <c r="E16" i="3" s="1"/>
  <c r="B32" i="3"/>
  <c r="B50" i="5"/>
  <c r="B33" i="3" s="1"/>
  <c r="F27" i="3"/>
  <c r="F46" i="5"/>
  <c r="F29" i="3" s="1"/>
  <c r="F47" i="5"/>
  <c r="F30" i="3" s="1"/>
  <c r="F48" i="5"/>
  <c r="F31" i="3" s="1"/>
  <c r="D17" i="3"/>
  <c r="D35" i="5"/>
  <c r="D18" i="3" s="1"/>
  <c r="F58" i="5"/>
  <c r="F41" i="3" s="1"/>
  <c r="F57" i="5"/>
  <c r="F40" i="3" s="1"/>
  <c r="F56" i="5"/>
  <c r="F39" i="3" s="1"/>
  <c r="D32" i="3"/>
  <c r="E46" i="5"/>
  <c r="E29" i="3" s="1"/>
  <c r="G43" i="5"/>
  <c r="G26" i="3" s="1"/>
  <c r="E42" i="5"/>
  <c r="E25" i="3" s="1"/>
  <c r="G41" i="5"/>
  <c r="G24" i="3" s="1"/>
  <c r="E40" i="5"/>
  <c r="E23" i="3" s="1"/>
  <c r="D46" i="5"/>
  <c r="D29" i="3" s="1"/>
  <c r="D47" i="5"/>
  <c r="D30" i="3" s="1"/>
  <c r="D48" i="5"/>
  <c r="D31" i="3" s="1"/>
  <c r="F38" i="5"/>
  <c r="F21" i="3" s="1"/>
  <c r="B38" i="5"/>
  <c r="B21" i="3" s="1"/>
  <c r="D37" i="5"/>
  <c r="D20" i="3" s="1"/>
  <c r="F36" i="5"/>
  <c r="F19" i="3" s="1"/>
  <c r="B36" i="5"/>
  <c r="B19" i="3" s="1"/>
  <c r="F41" i="5"/>
  <c r="F24" i="3" s="1"/>
  <c r="F42" i="5"/>
  <c r="F25" i="3" s="1"/>
  <c r="F43" i="5"/>
  <c r="F26" i="3" s="1"/>
  <c r="D41" i="5"/>
  <c r="D24" i="3" s="1"/>
  <c r="D42" i="5"/>
  <c r="D25" i="3" s="1"/>
  <c r="D43" i="5"/>
  <c r="D26" i="3" s="1"/>
  <c r="D22" i="3"/>
  <c r="B35" i="5"/>
  <c r="B18" i="3" s="1"/>
  <c r="G35" i="5"/>
  <c r="G18" i="3" s="1"/>
  <c r="G36" i="5"/>
  <c r="G19" i="3" s="1"/>
  <c r="G37" i="5"/>
  <c r="G20" i="3" s="1"/>
  <c r="G38" i="5"/>
  <c r="G21" i="3" s="1"/>
  <c r="E17" i="3"/>
  <c r="E35" i="5"/>
  <c r="E18" i="3" s="1"/>
  <c r="E36" i="5"/>
  <c r="E19" i="3" s="1"/>
  <c r="E37" i="5"/>
  <c r="E20" i="3" s="1"/>
  <c r="E38" i="5"/>
  <c r="E21" i="3" s="1"/>
  <c r="C34" i="5"/>
  <c r="C31" i="5" s="1"/>
  <c r="C14" i="3" s="1"/>
  <c r="E28" i="5"/>
  <c r="E26" i="5"/>
  <c r="F30" i="5"/>
  <c r="F13" i="3" s="1"/>
  <c r="F12" i="3"/>
  <c r="F23" i="5"/>
  <c r="F6" i="3" s="1"/>
  <c r="F22" i="5"/>
  <c r="F5" i="3" s="1"/>
  <c r="F7" i="3"/>
  <c r="F26" i="5"/>
  <c r="F9" i="3" s="1"/>
  <c r="F27" i="5"/>
  <c r="F10" i="3" s="1"/>
  <c r="F28" i="5"/>
  <c r="F11" i="3" s="1"/>
  <c r="D26" i="5"/>
  <c r="D9" i="3" s="1"/>
  <c r="D27" i="5"/>
  <c r="D10" i="3" s="1"/>
  <c r="D28" i="5"/>
  <c r="D11" i="3" s="1"/>
  <c r="B25" i="5"/>
  <c r="B8" i="3" s="1"/>
  <c r="D30" i="5"/>
  <c r="D13" i="3" s="1"/>
  <c r="G18" i="5"/>
  <c r="F53" i="5"/>
  <c r="F36" i="3" s="1"/>
  <c r="D53" i="5"/>
  <c r="D36" i="3" s="1"/>
  <c r="B53" i="5"/>
  <c r="B36" i="3" s="1"/>
  <c r="F52" i="5"/>
  <c r="F35" i="3" s="1"/>
  <c r="D52" i="5"/>
  <c r="D35" i="3" s="1"/>
  <c r="B52" i="5"/>
  <c r="B35" i="3" s="1"/>
  <c r="F51" i="5"/>
  <c r="F34" i="3" s="1"/>
  <c r="B51" i="5"/>
  <c r="B34" i="3" s="1"/>
  <c r="F50" i="5"/>
  <c r="F33" i="3" s="1"/>
  <c r="D45" i="5"/>
  <c r="D28" i="3" s="1"/>
  <c r="D27" i="3"/>
  <c r="F40" i="5"/>
  <c r="F23" i="3" s="1"/>
  <c r="B27" i="3"/>
  <c r="B45" i="5"/>
  <c r="B28" i="3" s="1"/>
  <c r="B46" i="5"/>
  <c r="B29" i="3" s="1"/>
  <c r="B47" i="5"/>
  <c r="B30" i="3" s="1"/>
  <c r="B48" i="5"/>
  <c r="B31" i="3" s="1"/>
  <c r="B41" i="5"/>
  <c r="B24" i="3" s="1"/>
  <c r="B42" i="5"/>
  <c r="B25" i="3" s="1"/>
  <c r="B43" i="5"/>
  <c r="B26" i="3" s="1"/>
  <c r="D33" i="5"/>
  <c r="D16" i="3" s="1"/>
  <c r="F32" i="5"/>
  <c r="F15" i="3" s="1"/>
  <c r="B32" i="5"/>
  <c r="B15" i="3" s="1"/>
  <c r="D31" i="5"/>
  <c r="D14" i="3" s="1"/>
  <c r="G30" i="5"/>
  <c r="G13" i="3" s="1"/>
  <c r="G31" i="5"/>
  <c r="G14" i="3" s="1"/>
  <c r="G32" i="5"/>
  <c r="G15" i="3" s="1"/>
  <c r="G33" i="5"/>
  <c r="G16" i="3" s="1"/>
  <c r="D25" i="5"/>
  <c r="D8" i="3" s="1"/>
  <c r="G21" i="5"/>
  <c r="G4" i="3" s="1"/>
  <c r="G20" i="5"/>
  <c r="G3" i="3" s="1"/>
  <c r="C23" i="5"/>
  <c r="C6" i="3" s="1"/>
  <c r="C22" i="5"/>
  <c r="C5" i="3" s="1"/>
  <c r="C7" i="3"/>
  <c r="D23" i="5"/>
  <c r="D6" i="3" s="1"/>
  <c r="E10" i="3" l="1"/>
  <c r="E11" i="3"/>
  <c r="E8" i="3"/>
  <c r="E5" i="3"/>
  <c r="E9" i="3"/>
  <c r="E6" i="3"/>
  <c r="C12" i="5"/>
  <c r="C46" i="5"/>
  <c r="C29" i="3" s="1"/>
  <c r="C47" i="5"/>
  <c r="C30" i="3" s="1"/>
  <c r="C45" i="5"/>
  <c r="C28" i="3" s="1"/>
  <c r="B28" i="5"/>
  <c r="B11" i="3" s="1"/>
  <c r="B7" i="3"/>
  <c r="B27" i="5"/>
  <c r="B10" i="3" s="1"/>
  <c r="B22" i="5"/>
  <c r="B5" i="3" s="1"/>
  <c r="B26" i="5"/>
  <c r="B9" i="3" s="1"/>
  <c r="C10" i="5"/>
  <c r="C18" i="5"/>
  <c r="C17" i="5"/>
  <c r="C13" i="5"/>
  <c r="C41" i="5"/>
  <c r="C24" i="3" s="1"/>
  <c r="C40" i="5"/>
  <c r="C23" i="3" s="1"/>
  <c r="C27" i="3"/>
  <c r="C43" i="5"/>
  <c r="C26" i="3" s="1"/>
  <c r="C11" i="5"/>
  <c r="C33" i="5"/>
  <c r="C16" i="3" s="1"/>
  <c r="C56" i="5"/>
  <c r="C39" i="3" s="1"/>
  <c r="C37" i="3"/>
  <c r="C55" i="5"/>
  <c r="C38" i="3" s="1"/>
  <c r="C57" i="5"/>
  <c r="C40" i="3" s="1"/>
  <c r="C58" i="5"/>
  <c r="C41" i="3" s="1"/>
  <c r="C53" i="5"/>
  <c r="C36" i="3" s="1"/>
  <c r="C35" i="5"/>
  <c r="C18" i="3" s="1"/>
  <c r="C36" i="5"/>
  <c r="C19" i="3" s="1"/>
  <c r="C37" i="5"/>
  <c r="C20" i="3" s="1"/>
  <c r="C38" i="5"/>
  <c r="C21" i="3" s="1"/>
  <c r="C17" i="3"/>
  <c r="C30" i="5"/>
  <c r="C13" i="3" s="1"/>
  <c r="C52" i="5"/>
  <c r="C35" i="3" s="1"/>
  <c r="C32" i="5"/>
  <c r="C15" i="3" s="1"/>
  <c r="C50" i="5"/>
  <c r="C33" i="3" s="1"/>
</calcChain>
</file>

<file path=xl/sharedStrings.xml><?xml version="1.0" encoding="utf-8"?>
<sst xmlns="http://schemas.openxmlformats.org/spreadsheetml/2006/main" count="136" uniqueCount="103">
  <si>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</si>
  <si>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</si>
  <si>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</si>
  <si>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</si>
  <si>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</si>
  <si>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</si>
  <si>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</si>
  <si>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</si>
  <si>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</si>
  <si>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</si>
  <si>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</si>
  <si>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</si>
  <si>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</si>
  <si>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</si>
  <si>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</si>
  <si>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</si>
  <si>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</si>
  <si>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</si>
  <si>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</si>
  <si>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</si>
  <si>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</si>
  <si>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</si>
  <si>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</si>
  <si>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</si>
  <si>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</si>
  <si>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</si>
  <si>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</si>
  <si>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</si>
  <si>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</si>
  <si>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</si>
  <si>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</si>
  <si>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</si>
  <si>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</si>
  <si>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</si>
  <si>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</si>
  <si>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</si>
  <si>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</si>
  <si>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</si>
  <si>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</si>
  <si>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</si>
  <si>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</si>
  <si>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</si>
  <si>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</si>
  <si>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</si>
  <si>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</si>
  <si>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</si>
  <si>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</si>
  <si>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</si>
  <si>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</si>
  <si>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</si>
  <si>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</si>
  <si>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</si>
  <si>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</si>
  <si>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</si>
  <si>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</si>
  <si>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</si>
  <si>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</si>
  <si>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</si>
  <si>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</si>
  <si>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</si>
  <si>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</si>
  <si>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</si>
  <si>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</si>
  <si>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</si>
  <si>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</si>
  <si>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</si>
  <si>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</si>
  <si>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</si>
  <si>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</si>
  <si>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</si>
  <si>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</si>
  <si>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</si>
  <si>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</si>
  <si>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</si>
  <si>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</si>
  <si>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</si>
  <si>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</si>
  <si>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</si>
  <si>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</si>
  <si>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</si>
  <si>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</si>
  <si>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</si>
  <si>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</si>
  <si>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</si>
  <si>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</si>
  <si>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</si>
  <si>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</si>
  <si>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</si>
  <si>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</si>
  <si>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</si>
  <si>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</si>
  <si>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</si>
  <si>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</si>
  <si>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</si>
  <si>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uk</t>
  </si>
  <si>
    <t>IEA energy balance</t>
  </si>
  <si>
    <t>The values for 2010, 2011, 2012 and 2015 are taken from the IEA energy balances for those years.</t>
  </si>
  <si>
    <t>Based on the 2015 IEA Energy Balances</t>
  </si>
  <si>
    <t>Based on the 2015 IEA Energy Balances ( Primary solid biofuels / (Industrial waste + Municipal waste (renewable) + Primary solid biofuels) )</t>
  </si>
  <si>
    <t>Production (incl.recovery of products) (ktoe)</t>
  </si>
  <si>
    <t xml:space="preserve">Solids in PRIMES data includes both primary products (hard coal and lignite) and derived fuels (patent fuels, coke, tar, pitch and benzole). </t>
  </si>
  <si>
    <t>See p. 125 of: https://refman.energytransitionmodel.com/publications/2096</t>
  </si>
  <si>
    <t>https://refman.energytransitionmodel.com/publications/2096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</si>
</sst>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eneral_)"/>
    <numFmt numFmtId="165" formatCode="0_)"/>
    <numFmt numFmtId="166" formatCode="[$-409]mmmm\ d\,\ yyyy;@"/>
    <numFmt numFmtId="167" formatCode="0.000000"/>
    <numFmt numFmtId="173" formatCode="#,##0.0"/>
  </numFmts>
  <fonts count="26">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0000FF"/>
      <name val="Calibri"/>
      <family val="2"/>
      <scheme val="minor"/>
    </font>
    <font>
      <sz val="10"/>
      <color theme="1"/>
      <name val="Arial,Bold"/>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9">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8">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1" fontId="14" fillId="0" borderId="0" xfId="0" applyNumberFormat="1" applyFont="1"/>
    <xf numFmtId="173" fontId="2" fillId="0" borderId="0" xfId="0" applyNumberFormat="1" applyFont="1" applyFill="1"/>
    <xf numFmtId="173" fontId="0" fillId="0" borderId="0" xfId="0" applyNumberFormat="1" applyFill="1"/>
    <xf numFmtId="173" fontId="24" fillId="0" borderId="0" xfId="0" applyNumberFormat="1" applyFont="1" applyFill="1"/>
    <xf numFmtId="173" fontId="15" fillId="0" borderId="0" xfId="0" applyNumberFormat="1" applyFont="1" applyFill="1"/>
    <xf numFmtId="0" fontId="25" fillId="0" borderId="0" xfId="0" applyFont="1"/>
  </cellXfs>
  <cellStyles count="179">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Normal" xfId="0" builtinId="0"/>
    <cellStyle name="Normal_AppendixAU" xfId="1" xr:uid="{00000000-0005-0000-0000-0000B1000000}"/>
    <cellStyle name="Percent 2" xfId="162" xr:uid="{00000000-0005-0000-0000-0000B2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E8D7-9140-A274-D69F80CCB0CA}"/>
            </c:ext>
          </c:extLst>
        </c:ser>
        <c:ser>
          <c:idx val="1"/>
          <c:order val="1"/>
          <c:tx>
            <c:strRef>
              <c:f>interpolation!$B$8</c:f>
              <c:strCache>
                <c:ptCount val="1"/>
                <c:pt idx="0">
                  <c:v>Coal</c:v>
                </c:pt>
              </c:strCache>
            </c:strRef>
          </c:tx>
          <c:val>
            <c:numRef>
              <c:f>interpolation!$B$9:$B$59</c:f>
              <c:numCache>
                <c:formatCode>#,##0.0</c:formatCode>
                <c:ptCount val="51"/>
                <c:pt idx="0">
                  <c:v>271608.61005359993</c:v>
                </c:pt>
                <c:pt idx="1">
                  <c:v>267895.06164215994</c:v>
                </c:pt>
                <c:pt idx="2">
                  <c:v>264181.51323071995</c:v>
                </c:pt>
                <c:pt idx="3">
                  <c:v>260467.96481927999</c:v>
                </c:pt>
                <c:pt idx="4">
                  <c:v>256754.41640784004</c:v>
                </c:pt>
                <c:pt idx="5">
                  <c:v>253040.86799640005</c:v>
                </c:pt>
                <c:pt idx="6">
                  <c:v>273365.95239712001</c:v>
                </c:pt>
                <c:pt idx="7">
                  <c:v>293691.03679784003</c:v>
                </c:pt>
                <c:pt idx="8">
                  <c:v>314016.12119855999</c:v>
                </c:pt>
                <c:pt idx="9">
                  <c:v>334341.20559927996</c:v>
                </c:pt>
                <c:pt idx="10">
                  <c:v>354666.29</c:v>
                </c:pt>
                <c:pt idx="11">
                  <c:v>352869.28</c:v>
                </c:pt>
                <c:pt idx="12">
                  <c:v>316825.83</c:v>
                </c:pt>
                <c:pt idx="13">
                  <c:v>275403.88666666666</c:v>
                </c:pt>
                <c:pt idx="14">
                  <c:v>233981.94333333336</c:v>
                </c:pt>
                <c:pt idx="15">
                  <c:v>192560</c:v>
                </c:pt>
                <c:pt idx="16">
                  <c:v>187408.27501962555</c:v>
                </c:pt>
                <c:pt idx="17">
                  <c:v>182256.55003925113</c:v>
                </c:pt>
                <c:pt idx="18">
                  <c:v>177104.82505887668</c:v>
                </c:pt>
                <c:pt idx="19">
                  <c:v>171953.10007850226</c:v>
                </c:pt>
                <c:pt idx="20">
                  <c:v>166801.37509812781</c:v>
                </c:pt>
                <c:pt idx="21">
                  <c:v>165331.48313511061</c:v>
                </c:pt>
                <c:pt idx="22">
                  <c:v>163861.59117209344</c:v>
                </c:pt>
                <c:pt idx="23">
                  <c:v>162391.69920907624</c:v>
                </c:pt>
                <c:pt idx="24">
                  <c:v>160921.80724605906</c:v>
                </c:pt>
                <c:pt idx="25">
                  <c:v>159451.91528304186</c:v>
                </c:pt>
                <c:pt idx="26">
                  <c:v>153246.97910605857</c:v>
                </c:pt>
                <c:pt idx="27">
                  <c:v>147042.04292907528</c:v>
                </c:pt>
                <c:pt idx="28">
                  <c:v>140837.10675209199</c:v>
                </c:pt>
                <c:pt idx="29">
                  <c:v>134632.1705751087</c:v>
                </c:pt>
                <c:pt idx="30">
                  <c:v>128427.23439812539</c:v>
                </c:pt>
                <c:pt idx="31">
                  <c:v>125148.99442665273</c:v>
                </c:pt>
                <c:pt idx="32">
                  <c:v>121870.75445518007</c:v>
                </c:pt>
                <c:pt idx="33">
                  <c:v>118592.5144837074</c:v>
                </c:pt>
                <c:pt idx="34">
                  <c:v>115314.27451223474</c:v>
                </c:pt>
                <c:pt idx="35">
                  <c:v>112036.03454076208</c:v>
                </c:pt>
                <c:pt idx="36">
                  <c:v>111953.8433560035</c:v>
                </c:pt>
                <c:pt idx="37">
                  <c:v>111871.65217124493</c:v>
                </c:pt>
                <c:pt idx="38">
                  <c:v>111789.46098648636</c:v>
                </c:pt>
                <c:pt idx="39">
                  <c:v>111707.26980172779</c:v>
                </c:pt>
                <c:pt idx="40">
                  <c:v>111625.07861696921</c:v>
                </c:pt>
                <c:pt idx="41">
                  <c:v>106330.94355324288</c:v>
                </c:pt>
                <c:pt idx="42">
                  <c:v>101036.80848951652</c:v>
                </c:pt>
                <c:pt idx="43">
                  <c:v>95742.673425790184</c:v>
                </c:pt>
                <c:pt idx="44">
                  <c:v>90448.538362063846</c:v>
                </c:pt>
                <c:pt idx="45">
                  <c:v>85154.403298337493</c:v>
                </c:pt>
                <c:pt idx="46">
                  <c:v>93283.239602645233</c:v>
                </c:pt>
                <c:pt idx="47">
                  <c:v>101412.07590695297</c:v>
                </c:pt>
                <c:pt idx="48">
                  <c:v>109540.91221126073</c:v>
                </c:pt>
                <c:pt idx="49">
                  <c:v>117669.74851556847</c:v>
                </c:pt>
                <c:pt idx="50">
                  <c:v>125798.58481987621</c:v>
                </c:pt>
              </c:numCache>
            </c:numRef>
          </c:val>
          <c:smooth val="0"/>
          <c:extLst>
            <c:ext xmlns:c16="http://schemas.microsoft.com/office/drawing/2014/chart" uri="{C3380CC4-5D6E-409C-BE32-E72D297353CC}">
              <c16:uniqueId val="{00000001-E8D7-9140-A274-D69F80CCB0CA}"/>
            </c:ext>
          </c:extLst>
        </c:ser>
        <c:ser>
          <c:idx val="2"/>
          <c:order val="2"/>
          <c:tx>
            <c:strRef>
              <c:f>interpolation!$C$8</c:f>
              <c:strCache>
                <c:ptCount val="1"/>
                <c:pt idx="0">
                  <c:v>Lignite</c:v>
                </c:pt>
              </c:strCache>
            </c:strRef>
          </c:tx>
          <c:val>
            <c:numRef>
              <c:f>interpolation!$C$9:$C$59</c:f>
              <c:numCache>
                <c:formatCode>#,##0.0</c:formatCode>
                <c:ptCount val="51"/>
                <c:pt idx="0">
                  <c:v>2266789.6147464002</c:v>
                </c:pt>
                <c:pt idx="1">
                  <c:v>2235797.1032378403</c:v>
                </c:pt>
                <c:pt idx="2">
                  <c:v>2204804.5917292805</c:v>
                </c:pt>
                <c:pt idx="3">
                  <c:v>2173812.0802207203</c:v>
                </c:pt>
                <c:pt idx="4">
                  <c:v>2142819.5687121605</c:v>
                </c:pt>
                <c:pt idx="5">
                  <c:v>2111827.0572036006</c:v>
                </c:pt>
                <c:pt idx="6">
                  <c:v>1996385.9977628805</c:v>
                </c:pt>
                <c:pt idx="7">
                  <c:v>1880944.9383221604</c:v>
                </c:pt>
                <c:pt idx="8">
                  <c:v>1765503.8788814403</c:v>
                </c:pt>
                <c:pt idx="9">
                  <c:v>1650062.8194407201</c:v>
                </c:pt>
                <c:pt idx="10">
                  <c:v>1534621.76</c:v>
                </c:pt>
                <c:pt idx="11">
                  <c:v>1595225.06</c:v>
                </c:pt>
                <c:pt idx="12">
                  <c:v>1675934.42</c:v>
                </c:pt>
                <c:pt idx="13">
                  <c:v>1653265.2566666666</c:v>
                </c:pt>
                <c:pt idx="14">
                  <c:v>1630596.0933333333</c:v>
                </c:pt>
                <c:pt idx="15">
                  <c:v>1607926.93</c:v>
                </c:pt>
                <c:pt idx="16">
                  <c:v>1564759.5401918283</c:v>
                </c:pt>
                <c:pt idx="17">
                  <c:v>1521592.1503836566</c:v>
                </c:pt>
                <c:pt idx="18">
                  <c:v>1478424.760575485</c:v>
                </c:pt>
                <c:pt idx="19">
                  <c:v>1435257.3707673133</c:v>
                </c:pt>
                <c:pt idx="20">
                  <c:v>1392089.9809591416</c:v>
                </c:pt>
                <c:pt idx="21">
                  <c:v>1379822.5648565777</c:v>
                </c:pt>
                <c:pt idx="22">
                  <c:v>1367555.1487540137</c:v>
                </c:pt>
                <c:pt idx="23">
                  <c:v>1355287.7326514495</c:v>
                </c:pt>
                <c:pt idx="24">
                  <c:v>1343020.3165488855</c:v>
                </c:pt>
                <c:pt idx="25">
                  <c:v>1330752.9004463216</c:v>
                </c:pt>
                <c:pt idx="26">
                  <c:v>1278967.7788944889</c:v>
                </c:pt>
                <c:pt idx="27">
                  <c:v>1227182.6573426565</c:v>
                </c:pt>
                <c:pt idx="28">
                  <c:v>1175397.5357908239</c:v>
                </c:pt>
                <c:pt idx="29">
                  <c:v>1123612.4142389914</c:v>
                </c:pt>
                <c:pt idx="30">
                  <c:v>1071827.2926871588</c:v>
                </c:pt>
                <c:pt idx="31">
                  <c:v>1044467.7759158963</c:v>
                </c:pt>
                <c:pt idx="32">
                  <c:v>1017108.2591446338</c:v>
                </c:pt>
                <c:pt idx="33">
                  <c:v>989748.74237337126</c:v>
                </c:pt>
                <c:pt idx="34">
                  <c:v>962389.22560210875</c:v>
                </c:pt>
                <c:pt idx="35">
                  <c:v>935029.70883084624</c:v>
                </c:pt>
                <c:pt idx="36">
                  <c:v>934343.75810197333</c:v>
                </c:pt>
                <c:pt idx="37">
                  <c:v>933657.80737310043</c:v>
                </c:pt>
                <c:pt idx="38">
                  <c:v>932971.8566442274</c:v>
                </c:pt>
                <c:pt idx="39">
                  <c:v>932285.90591535449</c:v>
                </c:pt>
                <c:pt idx="40">
                  <c:v>931599.95518648159</c:v>
                </c:pt>
                <c:pt idx="41">
                  <c:v>887416.19245837291</c:v>
                </c:pt>
                <c:pt idx="42">
                  <c:v>843232.42973026424</c:v>
                </c:pt>
                <c:pt idx="43">
                  <c:v>799048.66700215556</c:v>
                </c:pt>
                <c:pt idx="44">
                  <c:v>754864.90427404689</c:v>
                </c:pt>
                <c:pt idx="45">
                  <c:v>710681.14154593821</c:v>
                </c:pt>
                <c:pt idx="46">
                  <c:v>778522.73799217015</c:v>
                </c:pt>
                <c:pt idx="47">
                  <c:v>846364.33443840221</c:v>
                </c:pt>
                <c:pt idx="48">
                  <c:v>914205.93088463414</c:v>
                </c:pt>
                <c:pt idx="49">
                  <c:v>982047.52733086608</c:v>
                </c:pt>
                <c:pt idx="50">
                  <c:v>1049889.123777098</c:v>
                </c:pt>
              </c:numCache>
            </c:numRef>
          </c:val>
          <c:smooth val="0"/>
          <c:extLst>
            <c:ext xmlns:c16="http://schemas.microsoft.com/office/drawing/2014/chart" uri="{C3380CC4-5D6E-409C-BE32-E72D297353CC}">
              <c16:uniqueId val="{00000002-E8D7-9140-A274-D69F80CCB0CA}"/>
            </c:ext>
          </c:extLst>
        </c:ser>
        <c:ser>
          <c:idx val="3"/>
          <c:order val="3"/>
          <c:tx>
            <c:strRef>
              <c:f>interpolation!$D$8</c:f>
              <c:strCache>
                <c:ptCount val="1"/>
                <c:pt idx="0">
                  <c:v>Natural gas</c:v>
                </c:pt>
              </c:strCache>
            </c:strRef>
          </c:tx>
          <c:val>
            <c:numRef>
              <c:f>interpolation!$D$9:$D$59</c:f>
              <c:numCache>
                <c:formatCode>#,##0.0</c:formatCode>
                <c:ptCount val="51"/>
                <c:pt idx="0">
                  <c:v>662556.9131999996</c:v>
                </c:pt>
                <c:pt idx="1">
                  <c:v>650071.03823999967</c:v>
                </c:pt>
                <c:pt idx="2">
                  <c:v>637585.16327999975</c:v>
                </c:pt>
                <c:pt idx="3">
                  <c:v>625099.2883199997</c:v>
                </c:pt>
                <c:pt idx="4">
                  <c:v>612613.41335999977</c:v>
                </c:pt>
                <c:pt idx="5">
                  <c:v>600127.53839999984</c:v>
                </c:pt>
                <c:pt idx="6">
                  <c:v>561249.52471999987</c:v>
                </c:pt>
                <c:pt idx="7">
                  <c:v>522371.5110399999</c:v>
                </c:pt>
                <c:pt idx="8">
                  <c:v>483493.49735999992</c:v>
                </c:pt>
                <c:pt idx="9">
                  <c:v>444615.48367999995</c:v>
                </c:pt>
                <c:pt idx="10">
                  <c:v>405737.47</c:v>
                </c:pt>
                <c:pt idx="11">
                  <c:v>455935.95</c:v>
                </c:pt>
                <c:pt idx="12">
                  <c:v>400513.56</c:v>
                </c:pt>
                <c:pt idx="13">
                  <c:v>355421.73666666669</c:v>
                </c:pt>
                <c:pt idx="14">
                  <c:v>310329.91333333333</c:v>
                </c:pt>
                <c:pt idx="15">
                  <c:v>265238.09000000003</c:v>
                </c:pt>
                <c:pt idx="16">
                  <c:v>295046.41524991271</c:v>
                </c:pt>
                <c:pt idx="17">
                  <c:v>324854.74049982533</c:v>
                </c:pt>
                <c:pt idx="18">
                  <c:v>354663.06574973802</c:v>
                </c:pt>
                <c:pt idx="19">
                  <c:v>384471.3909996507</c:v>
                </c:pt>
                <c:pt idx="20">
                  <c:v>414279.71624956332</c:v>
                </c:pt>
                <c:pt idx="21">
                  <c:v>400661.50403356209</c:v>
                </c:pt>
                <c:pt idx="22">
                  <c:v>387043.29181756091</c:v>
                </c:pt>
                <c:pt idx="23">
                  <c:v>373425.07960155967</c:v>
                </c:pt>
                <c:pt idx="24">
                  <c:v>359806.86738555849</c:v>
                </c:pt>
                <c:pt idx="25">
                  <c:v>346188.65516955726</c:v>
                </c:pt>
                <c:pt idx="26">
                  <c:v>328950.07064494444</c:v>
                </c:pt>
                <c:pt idx="27">
                  <c:v>311711.48612033162</c:v>
                </c:pt>
                <c:pt idx="28">
                  <c:v>294472.90159571881</c:v>
                </c:pt>
                <c:pt idx="29">
                  <c:v>277234.31707110599</c:v>
                </c:pt>
                <c:pt idx="30">
                  <c:v>259995.73254649318</c:v>
                </c:pt>
                <c:pt idx="31">
                  <c:v>244830.24397849853</c:v>
                </c:pt>
                <c:pt idx="32">
                  <c:v>229664.75541050392</c:v>
                </c:pt>
                <c:pt idx="33">
                  <c:v>214499.26684250927</c:v>
                </c:pt>
                <c:pt idx="34">
                  <c:v>199333.77827451465</c:v>
                </c:pt>
                <c:pt idx="35">
                  <c:v>184168.28970652001</c:v>
                </c:pt>
                <c:pt idx="36">
                  <c:v>170430.02840878718</c:v>
                </c:pt>
                <c:pt idx="37">
                  <c:v>156691.76711105433</c:v>
                </c:pt>
                <c:pt idx="38">
                  <c:v>142953.50581332151</c:v>
                </c:pt>
                <c:pt idx="39">
                  <c:v>129215.24451558867</c:v>
                </c:pt>
                <c:pt idx="40">
                  <c:v>115476.98321785583</c:v>
                </c:pt>
                <c:pt idx="41">
                  <c:v>113789.39915631985</c:v>
                </c:pt>
                <c:pt idx="42">
                  <c:v>112101.81509478386</c:v>
                </c:pt>
                <c:pt idx="43">
                  <c:v>110414.23103324788</c:v>
                </c:pt>
                <c:pt idx="44">
                  <c:v>108726.64697171189</c:v>
                </c:pt>
                <c:pt idx="45">
                  <c:v>107039.06291017591</c:v>
                </c:pt>
                <c:pt idx="46">
                  <c:v>105392.04758520916</c:v>
                </c:pt>
                <c:pt idx="47">
                  <c:v>103745.03226024241</c:v>
                </c:pt>
                <c:pt idx="48">
                  <c:v>102098.01693527566</c:v>
                </c:pt>
                <c:pt idx="49">
                  <c:v>100451.00161030891</c:v>
                </c:pt>
                <c:pt idx="50">
                  <c:v>98803.986285342166</c:v>
                </c:pt>
              </c:numCache>
            </c:numRef>
          </c:val>
          <c:smooth val="0"/>
          <c:extLst>
            <c:ext xmlns:c16="http://schemas.microsoft.com/office/drawing/2014/chart" uri="{C3380CC4-5D6E-409C-BE32-E72D297353CC}">
              <c16:uniqueId val="{00000003-E8D7-9140-A274-D69F80CCB0CA}"/>
            </c:ext>
          </c:extLst>
        </c:ser>
        <c:ser>
          <c:idx val="4"/>
          <c:order val="4"/>
          <c:tx>
            <c:strRef>
              <c:f>interpolation!$E$8</c:f>
              <c:strCache>
                <c:ptCount val="1"/>
                <c:pt idx="0">
                  <c:v>Crude oil</c:v>
                </c:pt>
              </c:strCache>
            </c:strRef>
          </c:tx>
          <c:val>
            <c:numRef>
              <c:f>interpolation!$E$9:$E$59</c:f>
              <c:numCache>
                <c:formatCode>#,##0.0</c:formatCode>
                <c:ptCount val="51"/>
                <c:pt idx="0">
                  <c:v>195958.98720000041</c:v>
                </c:pt>
                <c:pt idx="1">
                  <c:v>205183.34496000019</c:v>
                </c:pt>
                <c:pt idx="2">
                  <c:v>214407.70271999994</c:v>
                </c:pt>
                <c:pt idx="3">
                  <c:v>223632.06047999972</c:v>
                </c:pt>
                <c:pt idx="4">
                  <c:v>232856.4182399995</c:v>
                </c:pt>
                <c:pt idx="5">
                  <c:v>242080.77599999926</c:v>
                </c:pt>
                <c:pt idx="6">
                  <c:v>221424.7127999994</c:v>
                </c:pt>
                <c:pt idx="7">
                  <c:v>200768.64959999954</c:v>
                </c:pt>
                <c:pt idx="8">
                  <c:v>180112.58639999971</c:v>
                </c:pt>
                <c:pt idx="9">
                  <c:v>159456.52319999985</c:v>
                </c:pt>
                <c:pt idx="10">
                  <c:v>138800.46</c:v>
                </c:pt>
                <c:pt idx="11">
                  <c:v>144628.23000000001</c:v>
                </c:pt>
                <c:pt idx="12">
                  <c:v>141223.07</c:v>
                </c:pt>
                <c:pt idx="13">
                  <c:v>143550.72</c:v>
                </c:pt>
                <c:pt idx="14">
                  <c:v>145878.37000000002</c:v>
                </c:pt>
                <c:pt idx="15">
                  <c:v>148206.02000000002</c:v>
                </c:pt>
                <c:pt idx="16">
                  <c:v>150460.92503461882</c:v>
                </c:pt>
                <c:pt idx="17">
                  <c:v>152715.83006923762</c:v>
                </c:pt>
                <c:pt idx="18">
                  <c:v>154970.73510385645</c:v>
                </c:pt>
                <c:pt idx="19">
                  <c:v>157225.64013847525</c:v>
                </c:pt>
                <c:pt idx="20">
                  <c:v>159480.54517309405</c:v>
                </c:pt>
                <c:pt idx="21">
                  <c:v>152167.02571099959</c:v>
                </c:pt>
                <c:pt idx="22">
                  <c:v>144853.50624890512</c:v>
                </c:pt>
                <c:pt idx="23">
                  <c:v>137539.98678681065</c:v>
                </c:pt>
                <c:pt idx="24">
                  <c:v>130226.46732471618</c:v>
                </c:pt>
                <c:pt idx="25">
                  <c:v>122912.94786262172</c:v>
                </c:pt>
                <c:pt idx="26">
                  <c:v>117233.30531876684</c:v>
                </c:pt>
                <c:pt idx="27">
                  <c:v>111553.66277491197</c:v>
                </c:pt>
                <c:pt idx="28">
                  <c:v>105874.02023105707</c:v>
                </c:pt>
                <c:pt idx="29">
                  <c:v>100194.3776872022</c:v>
                </c:pt>
                <c:pt idx="30">
                  <c:v>94514.735143347323</c:v>
                </c:pt>
                <c:pt idx="31">
                  <c:v>90180.807599278589</c:v>
                </c:pt>
                <c:pt idx="32">
                  <c:v>85846.88005520984</c:v>
                </c:pt>
                <c:pt idx="33">
                  <c:v>81512.952511141106</c:v>
                </c:pt>
                <c:pt idx="34">
                  <c:v>77179.024967072357</c:v>
                </c:pt>
                <c:pt idx="35">
                  <c:v>72845.097423003623</c:v>
                </c:pt>
                <c:pt idx="36">
                  <c:v>69510.415587972122</c:v>
                </c:pt>
                <c:pt idx="37">
                  <c:v>66175.733752940636</c:v>
                </c:pt>
                <c:pt idx="38">
                  <c:v>62841.051917909135</c:v>
                </c:pt>
                <c:pt idx="39">
                  <c:v>59506.370082877642</c:v>
                </c:pt>
                <c:pt idx="40">
                  <c:v>56171.688247846148</c:v>
                </c:pt>
                <c:pt idx="41">
                  <c:v>53614.042910422577</c:v>
                </c:pt>
                <c:pt idx="42">
                  <c:v>51056.397572999005</c:v>
                </c:pt>
                <c:pt idx="43">
                  <c:v>48498.752235575434</c:v>
                </c:pt>
                <c:pt idx="44">
                  <c:v>45941.106898151855</c:v>
                </c:pt>
                <c:pt idx="45">
                  <c:v>43383.461560728283</c:v>
                </c:pt>
                <c:pt idx="46">
                  <c:v>34706.769248582626</c:v>
                </c:pt>
                <c:pt idx="47">
                  <c:v>26030.07693643697</c:v>
                </c:pt>
                <c:pt idx="48">
                  <c:v>17353.384624291313</c:v>
                </c:pt>
                <c:pt idx="49">
                  <c:v>8676.6923121456566</c:v>
                </c:pt>
                <c:pt idx="50">
                  <c:v>0</c:v>
                </c:pt>
              </c:numCache>
            </c:numRef>
          </c:val>
          <c:smooth val="0"/>
          <c:extLst>
            <c:ext xmlns:c16="http://schemas.microsoft.com/office/drawing/2014/chart" uri="{C3380CC4-5D6E-409C-BE32-E72D297353CC}">
              <c16:uniqueId val="{00000004-E8D7-9140-A274-D69F80CCB0CA}"/>
            </c:ext>
          </c:extLst>
        </c:ser>
        <c:ser>
          <c:idx val="5"/>
          <c:order val="5"/>
          <c:tx>
            <c:strRef>
              <c:f>interpolation!$F$8</c:f>
              <c:strCache>
                <c:ptCount val="1"/>
                <c:pt idx="0">
                  <c:v>Uranium oxide</c:v>
                </c:pt>
              </c:strCache>
            </c:strRef>
          </c:tx>
          <c:val>
            <c:numRef>
              <c:f>interpolation!$F$9:$F$59</c:f>
              <c:numCache>
                <c:formatCode>#,##0.0</c:formatCode>
                <c:ptCount val="51"/>
                <c:pt idx="0">
                  <c:v>1831745.9340000001</c:v>
                </c:pt>
                <c:pt idx="1">
                  <c:v>1817595.3873600001</c:v>
                </c:pt>
                <c:pt idx="2">
                  <c:v>1803444.84072</c:v>
                </c:pt>
                <c:pt idx="3">
                  <c:v>1789294.2940800001</c:v>
                </c:pt>
                <c:pt idx="4">
                  <c:v>1775143.7474400001</c:v>
                </c:pt>
                <c:pt idx="5">
                  <c:v>1760993.2008</c:v>
                </c:pt>
                <c:pt idx="6">
                  <c:v>1715517.39264</c:v>
                </c:pt>
                <c:pt idx="7">
                  <c:v>1670041.58448</c:v>
                </c:pt>
                <c:pt idx="8">
                  <c:v>1624565.7763199999</c:v>
                </c:pt>
                <c:pt idx="9">
                  <c:v>1579089.9681599999</c:v>
                </c:pt>
                <c:pt idx="10">
                  <c:v>1533614.16</c:v>
                </c:pt>
                <c:pt idx="11">
                  <c:v>1178965.28</c:v>
                </c:pt>
                <c:pt idx="12">
                  <c:v>1085213.49</c:v>
                </c:pt>
                <c:pt idx="13">
                  <c:v>1057242.9333333333</c:v>
                </c:pt>
                <c:pt idx="14">
                  <c:v>1029272.3766666666</c:v>
                </c:pt>
                <c:pt idx="15">
                  <c:v>1001301.82</c:v>
                </c:pt>
                <c:pt idx="16">
                  <c:v>871995.84767210879</c:v>
                </c:pt>
                <c:pt idx="17">
                  <c:v>742689.87534421764</c:v>
                </c:pt>
                <c:pt idx="18">
                  <c:v>613383.90301632648</c:v>
                </c:pt>
                <c:pt idx="19">
                  <c:v>484077.93068843533</c:v>
                </c:pt>
                <c:pt idx="20">
                  <c:v>354771.95836054417</c:v>
                </c:pt>
                <c:pt idx="21">
                  <c:v>283817.56668843533</c:v>
                </c:pt>
                <c:pt idx="22">
                  <c:v>212863.17501632651</c:v>
                </c:pt>
                <c:pt idx="23">
                  <c:v>141908.78334421769</c:v>
                </c:pt>
                <c:pt idx="24">
                  <c:v>70954.391672108846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5-E8D7-9140-A274-D69F80CCB0CA}"/>
            </c:ext>
          </c:extLst>
        </c:ser>
        <c:ser>
          <c:idx val="6"/>
          <c:order val="6"/>
          <c:tx>
            <c:strRef>
              <c:f>interpolation!$G$8</c:f>
              <c:strCache>
                <c:ptCount val="1"/>
                <c:pt idx="0">
                  <c:v>Woody biomass</c:v>
                </c:pt>
              </c:strCache>
            </c:strRef>
          </c:tx>
          <c:val>
            <c:numRef>
              <c:f>interpolation!$G$9:$G$59</c:f>
              <c:numCache>
                <c:formatCode>#,##0.0</c:formatCode>
                <c:ptCount val="51"/>
                <c:pt idx="0">
                  <c:v>243800.11134509475</c:v>
                </c:pt>
                <c:pt idx="1">
                  <c:v>283254.88037376537</c:v>
                </c:pt>
                <c:pt idx="2">
                  <c:v>322709.64940243599</c:v>
                </c:pt>
                <c:pt idx="3">
                  <c:v>362164.41843110655</c:v>
                </c:pt>
                <c:pt idx="4">
                  <c:v>401619.18745977717</c:v>
                </c:pt>
                <c:pt idx="5">
                  <c:v>441073.95648844779</c:v>
                </c:pt>
                <c:pt idx="6">
                  <c:v>507563.48887349176</c:v>
                </c:pt>
                <c:pt idx="7">
                  <c:v>574053.02125853579</c:v>
                </c:pt>
                <c:pt idx="8">
                  <c:v>640542.55364357971</c:v>
                </c:pt>
                <c:pt idx="9">
                  <c:v>707032.08602862363</c:v>
                </c:pt>
                <c:pt idx="10">
                  <c:v>773521.61841366766</c:v>
                </c:pt>
                <c:pt idx="11">
                  <c:v>790077.38679511147</c:v>
                </c:pt>
                <c:pt idx="12">
                  <c:v>806633.15517655516</c:v>
                </c:pt>
                <c:pt idx="13">
                  <c:v>823188.92355799896</c:v>
                </c:pt>
                <c:pt idx="14">
                  <c:v>839744.69193944265</c:v>
                </c:pt>
                <c:pt idx="15">
                  <c:v>856300.46032088646</c:v>
                </c:pt>
                <c:pt idx="16">
                  <c:v>883992.79658410675</c:v>
                </c:pt>
                <c:pt idx="17">
                  <c:v>911685.13284732692</c:v>
                </c:pt>
                <c:pt idx="18">
                  <c:v>939377.46911054722</c:v>
                </c:pt>
                <c:pt idx="19">
                  <c:v>967069.80537376739</c:v>
                </c:pt>
                <c:pt idx="20">
                  <c:v>994762.14163698768</c:v>
                </c:pt>
                <c:pt idx="21">
                  <c:v>984346.51302249427</c:v>
                </c:pt>
                <c:pt idx="22">
                  <c:v>973930.88440800086</c:v>
                </c:pt>
                <c:pt idx="23">
                  <c:v>963515.25579350744</c:v>
                </c:pt>
                <c:pt idx="24">
                  <c:v>953099.62717901403</c:v>
                </c:pt>
                <c:pt idx="25">
                  <c:v>942683.99856452062</c:v>
                </c:pt>
                <c:pt idx="26">
                  <c:v>934834.37150575826</c:v>
                </c:pt>
                <c:pt idx="27">
                  <c:v>926984.74444699602</c:v>
                </c:pt>
                <c:pt idx="28">
                  <c:v>919135.11738823366</c:v>
                </c:pt>
                <c:pt idx="29">
                  <c:v>911285.49032947142</c:v>
                </c:pt>
                <c:pt idx="30">
                  <c:v>903435.86327070906</c:v>
                </c:pt>
                <c:pt idx="31">
                  <c:v>902913.67094843951</c:v>
                </c:pt>
                <c:pt idx="32">
                  <c:v>902391.47862616996</c:v>
                </c:pt>
                <c:pt idx="33">
                  <c:v>901869.2863039003</c:v>
                </c:pt>
                <c:pt idx="34">
                  <c:v>901347.09398163075</c:v>
                </c:pt>
                <c:pt idx="35">
                  <c:v>900824.9016593612</c:v>
                </c:pt>
                <c:pt idx="36">
                  <c:v>915092.91655790305</c:v>
                </c:pt>
                <c:pt idx="37">
                  <c:v>929360.9314564449</c:v>
                </c:pt>
                <c:pt idx="38">
                  <c:v>943628.94635498687</c:v>
                </c:pt>
                <c:pt idx="39">
                  <c:v>957896.96125352872</c:v>
                </c:pt>
                <c:pt idx="40">
                  <c:v>972164.97615207057</c:v>
                </c:pt>
                <c:pt idx="41">
                  <c:v>977839.07796017686</c:v>
                </c:pt>
                <c:pt idx="42">
                  <c:v>983513.17976828315</c:v>
                </c:pt>
                <c:pt idx="43">
                  <c:v>989187.28157638933</c:v>
                </c:pt>
                <c:pt idx="44">
                  <c:v>994861.38338449562</c:v>
                </c:pt>
                <c:pt idx="45">
                  <c:v>1000535.4851926019</c:v>
                </c:pt>
                <c:pt idx="46">
                  <c:v>1003164.8946786505</c:v>
                </c:pt>
                <c:pt idx="47">
                  <c:v>1005794.3041646993</c:v>
                </c:pt>
                <c:pt idx="48">
                  <c:v>1008423.7136507479</c:v>
                </c:pt>
                <c:pt idx="49">
                  <c:v>1011053.1231367966</c:v>
                </c:pt>
                <c:pt idx="50">
                  <c:v>1013682.5326228453</c:v>
                </c:pt>
              </c:numCache>
            </c:numRef>
          </c:val>
          <c:smooth val="0"/>
          <c:extLst>
            <c:ext xmlns:c16="http://schemas.microsoft.com/office/drawing/2014/chart" uri="{C3380CC4-5D6E-409C-BE32-E72D297353CC}">
              <c16:uniqueId val="{00000006-E8D7-9140-A274-D69F80CCB0CA}"/>
            </c:ext>
          </c:extLst>
        </c:ser>
        <c:dLbls>
          <c:showLegendKey val="0"/>
          <c:showVal val="0"/>
          <c:showCatName val="0"/>
          <c:showSerName val="0"/>
          <c:showPercent val="0"/>
          <c:showBubbleSize val="0"/>
        </c:dLbls>
        <c:marker val="1"/>
        <c:smooth val="0"/>
        <c:axId val="2125886072"/>
        <c:axId val="2125889048"/>
      </c:lineChart>
      <c:catAx>
        <c:axId val="2125886072"/>
        <c:scaling>
          <c:orientation val="minMax"/>
        </c:scaling>
        <c:delete val="0"/>
        <c:axPos val="b"/>
        <c:majorTickMark val="out"/>
        <c:minorTickMark val="none"/>
        <c:tickLblPos val="nextTo"/>
        <c:crossAx val="2125889048"/>
        <c:crosses val="autoZero"/>
        <c:auto val="1"/>
        <c:lblAlgn val="ctr"/>
        <c:lblOffset val="100"/>
        <c:noMultiLvlLbl val="0"/>
      </c:catAx>
      <c:valAx>
        <c:axId val="2125889048"/>
        <c:scaling>
          <c:orientation val="minMax"/>
        </c:scaling>
        <c:delete val="0"/>
        <c:axPos val="l"/>
        <c:majorGridlines/>
        <c:numFmt formatCode="General" sourceLinked="1"/>
        <c:majorTickMark val="out"/>
        <c:minorTickMark val="none"/>
        <c:tickLblPos val="nextTo"/>
        <c:crossAx val="2125886072"/>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de</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election activeCell="C6" sqref="C6"/>
    </sheetView>
  </sheetViews>
  <sheetFormatPr baseColWidth="10" defaultRowHeight="16"/>
  <cols>
    <col min="1" max="1" width="10.83203125" style="16"/>
    <col min="2" max="2" width="13.33203125" style="16" customWidth="1"/>
    <col min="3" max="3" width="44" style="16" customWidth="1"/>
    <col min="4" max="13" width="10.83203125" style="16" customWidth="1"/>
    <col min="14" max="16384" width="10.83203125" style="16"/>
  </cols>
  <sheetData>
    <row r="2" spans="2:8" ht="21">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94</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7" thickBot="1">
      <c r="B15" s="29"/>
      <c r="C15" s="20" t="s">
        <v>36</v>
      </c>
      <c r="D15" s="24"/>
    </row>
    <row r="16" spans="2:8" ht="17"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heetViews>
  <sheetFormatPr baseColWidth="10" defaultRowHeight="16"/>
  <cols>
    <col min="1" max="1" width="10.83203125" style="16"/>
    <col min="2" max="2" width="17.6640625" style="16" bestFit="1" customWidth="1"/>
    <col min="3" max="3" width="59.5" style="16" customWidth="1"/>
    <col min="4" max="16384" width="10.83203125" style="16"/>
  </cols>
  <sheetData>
    <row r="2" spans="2:4" ht="21">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3"/>
  <sheetViews>
    <sheetView workbookViewId="0"/>
  </sheetViews>
  <sheetFormatPr baseColWidth="10" defaultRowHeight="16"/>
  <cols>
    <col min="1" max="1" width="8.6640625" style="16" customWidth="1"/>
    <col min="2" max="2" width="35.83203125" style="16" customWidth="1"/>
    <col min="3" max="3" width="100.83203125" style="16" customWidth="1"/>
    <col min="4" max="16384" width="10.83203125" style="16"/>
  </cols>
  <sheetData>
    <row r="2" spans="2:3" ht="21">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0"/>
  <sheetViews>
    <sheetView workbookViewId="0">
      <selection activeCell="B58" sqref="B58"/>
    </sheetView>
  </sheetViews>
  <sheetFormatPr baseColWidth="10" defaultRowHeight="16"/>
  <cols>
    <col min="1" max="1" width="10.83203125" style="16" customWidth="1"/>
    <col min="2" max="2" width="140.83203125" style="16" customWidth="1"/>
    <col min="3" max="3" width="20.33203125" style="16" customWidth="1"/>
    <col min="4" max="16384" width="10.83203125" style="16"/>
  </cols>
  <sheetData>
    <row r="2" spans="2:3" ht="21">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6">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38"/>
  <sheetViews>
    <sheetView workbookViewId="0">
      <selection activeCell="D12" sqref="D12"/>
    </sheetView>
  </sheetViews>
  <sheetFormatPr baseColWidth="10" defaultRowHeight="16"/>
  <cols>
    <col min="1" max="1" width="10.83203125" style="16"/>
    <col min="2" max="2" width="25.83203125" style="16" customWidth="1"/>
    <col min="3" max="4" width="75.83203125" style="16" customWidth="1"/>
    <col min="5" max="16384" width="10.83203125" style="16"/>
  </cols>
  <sheetData>
    <row r="2" spans="1:6" ht="21">
      <c r="B2" s="15" t="s">
        <v>18</v>
      </c>
      <c r="C2" s="15"/>
    </row>
    <row r="3" spans="1:6">
      <c r="A3" s="86"/>
      <c r="B3" s="86"/>
      <c r="C3" s="86"/>
      <c r="D3" s="86"/>
    </row>
    <row r="4" spans="1:6">
      <c r="A4" s="86"/>
      <c r="B4" s="87" t="s">
        <v>67</v>
      </c>
      <c r="C4" s="88"/>
      <c r="D4" s="86"/>
    </row>
    <row r="5" spans="1:6" ht="79" customHeight="1">
      <c r="A5" s="86"/>
      <c r="B5" s="156" t="s">
        <v>68</v>
      </c>
      <c r="C5" s="157"/>
      <c r="D5" s="86"/>
    </row>
    <row r="6" spans="1:6" ht="17"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2">
      <c r="B11" s="104"/>
      <c r="C11" s="103" t="s">
        <v>90</v>
      </c>
      <c r="D11" s="105"/>
      <c r="F11" s="106"/>
    </row>
    <row r="12" spans="1:6" ht="32">
      <c r="B12" s="104"/>
      <c r="C12" s="103" t="s">
        <v>100</v>
      </c>
      <c r="D12" s="105" t="s">
        <v>101</v>
      </c>
      <c r="F12" s="106"/>
    </row>
    <row r="13" spans="1:6">
      <c r="B13" s="104"/>
      <c r="C13" s="103"/>
      <c r="D13" s="105"/>
      <c r="F13" s="106"/>
    </row>
    <row r="14" spans="1:6" ht="17" thickBot="1">
      <c r="B14" s="107"/>
      <c r="C14" s="108"/>
      <c r="D14" s="109"/>
    </row>
    <row r="15" spans="1:6" ht="17" thickBot="1">
      <c r="B15" s="86"/>
      <c r="C15" s="86"/>
      <c r="D15" s="86"/>
    </row>
    <row r="16" spans="1:6">
      <c r="B16" s="89" t="s">
        <v>73</v>
      </c>
      <c r="C16" s="90"/>
      <c r="D16" s="91"/>
    </row>
    <row r="17" spans="2:4">
      <c r="B17" s="92"/>
      <c r="C17" s="93"/>
      <c r="D17" s="94"/>
    </row>
    <row r="18" spans="2:4">
      <c r="B18" s="96" t="s">
        <v>70</v>
      </c>
      <c r="C18" s="97" t="s">
        <v>71</v>
      </c>
      <c r="D18" s="98" t="s">
        <v>74</v>
      </c>
    </row>
    <row r="19" spans="2:4">
      <c r="B19" s="99"/>
      <c r="C19" s="110"/>
      <c r="D19" s="101"/>
    </row>
    <row r="20" spans="2:4" ht="32">
      <c r="B20" s="102"/>
      <c r="C20" s="103" t="s">
        <v>96</v>
      </c>
      <c r="D20" s="112" t="s">
        <v>95</v>
      </c>
    </row>
    <row r="21" spans="2:4">
      <c r="B21" s="102"/>
      <c r="C21" s="111"/>
      <c r="D21" s="112"/>
    </row>
    <row r="22" spans="2:4" ht="17" thickBot="1">
      <c r="B22" s="113"/>
      <c r="C22" s="114"/>
      <c r="D22" s="115"/>
    </row>
    <row r="23" spans="2:4">
      <c r="B23" s="86"/>
      <c r="C23" s="86"/>
      <c r="D23" s="86"/>
    </row>
    <row r="38" spans="3:3">
      <c r="C38" s="167"/>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abSelected="1" workbookViewId="0">
      <selection activeCell="H7" sqref="H7"/>
    </sheetView>
  </sheetViews>
  <sheetFormatPr baseColWidth="10" defaultRowHeight="16"/>
  <cols>
    <col min="2" max="2" width="28.6640625" customWidth="1"/>
  </cols>
  <sheetData>
    <row r="1" spans="2:14" s="16" customFormat="1">
      <c r="D1" s="116"/>
      <c r="E1" s="86"/>
      <c r="F1" s="86"/>
      <c r="G1" s="86"/>
      <c r="H1" s="86"/>
      <c r="I1" s="86"/>
    </row>
    <row r="2" spans="2:14" s="16" customFormat="1" ht="21">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8" t="s">
        <v>91</v>
      </c>
      <c r="C5" s="159"/>
      <c r="D5" s="159"/>
      <c r="E5" s="159"/>
      <c r="F5" s="159"/>
      <c r="G5" s="160"/>
      <c r="H5" s="122"/>
      <c r="I5" s="122"/>
      <c r="J5" s="86"/>
      <c r="K5" s="126"/>
      <c r="L5" s="21"/>
      <c r="M5" s="21"/>
    </row>
    <row r="6" spans="2:14" s="16" customFormat="1">
      <c r="B6" s="158"/>
      <c r="C6" s="159"/>
      <c r="D6" s="159"/>
      <c r="E6" s="159"/>
      <c r="F6" s="159"/>
      <c r="G6" s="160"/>
      <c r="H6" s="122"/>
      <c r="I6" s="122"/>
      <c r="J6" s="86"/>
      <c r="K6" s="126"/>
      <c r="L6" s="21"/>
      <c r="M6" s="21"/>
    </row>
    <row r="7" spans="2:14" s="16" customFormat="1">
      <c r="B7" s="156"/>
      <c r="C7" s="161"/>
      <c r="D7" s="161"/>
      <c r="E7" s="161"/>
      <c r="F7" s="161"/>
      <c r="G7" s="157"/>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7" thickBot="1">
      <c r="B10" s="129"/>
      <c r="C10" s="130"/>
      <c r="D10" s="130"/>
      <c r="E10" s="130"/>
      <c r="F10" s="130"/>
      <c r="G10" s="130"/>
      <c r="H10" s="130"/>
      <c r="I10" s="130"/>
      <c r="J10" s="130"/>
      <c r="K10" s="130"/>
      <c r="L10" s="130"/>
      <c r="M10" s="130"/>
      <c r="N10" s="131"/>
    </row>
    <row r="11" spans="2:14" ht="15" customHeight="1" thickBot="1">
      <c r="B11" s="129" t="s">
        <v>21</v>
      </c>
      <c r="D11" s="13">
        <f>1-D12</f>
        <v>0.10699999999999998</v>
      </c>
      <c r="E11" s="130"/>
      <c r="F11" s="141" t="s">
        <v>97</v>
      </c>
      <c r="G11" s="130"/>
      <c r="H11" s="130"/>
      <c r="I11" s="130"/>
      <c r="J11" s="130"/>
      <c r="K11" s="130"/>
      <c r="L11" s="130"/>
      <c r="M11" s="130"/>
      <c r="N11" s="131"/>
    </row>
    <row r="12" spans="2:14" ht="15" customHeight="1" thickBot="1">
      <c r="B12" s="129" t="s">
        <v>22</v>
      </c>
      <c r="D12" s="13">
        <v>0.89300000000000002</v>
      </c>
      <c r="E12" s="130"/>
      <c r="F12" s="141" t="s">
        <v>97</v>
      </c>
      <c r="G12" s="130"/>
      <c r="H12" s="130"/>
      <c r="I12" s="130"/>
      <c r="J12" s="130"/>
      <c r="K12" s="130"/>
      <c r="L12" s="130"/>
      <c r="M12" s="130"/>
      <c r="N12" s="131"/>
    </row>
    <row r="13" spans="2:14" ht="17" thickBot="1">
      <c r="B13" s="129"/>
      <c r="D13" s="14"/>
      <c r="E13" s="130"/>
      <c r="F13" s="130"/>
      <c r="G13" s="130"/>
      <c r="H13" s="130"/>
      <c r="I13" s="130"/>
      <c r="J13" s="130"/>
      <c r="K13" s="130"/>
      <c r="L13" s="130"/>
      <c r="M13" s="130"/>
      <c r="N13" s="131"/>
    </row>
    <row r="14" spans="2:14" ht="17" thickBot="1">
      <c r="B14" s="129" t="s">
        <v>23</v>
      </c>
      <c r="D14" s="13">
        <v>0.73936179425712312</v>
      </c>
      <c r="E14" s="130"/>
      <c r="F14" s="142" t="s">
        <v>98</v>
      </c>
      <c r="G14" s="130"/>
      <c r="H14" s="130"/>
      <c r="I14" s="130"/>
      <c r="J14" s="130"/>
      <c r="K14" s="130"/>
      <c r="L14" s="130"/>
      <c r="M14" s="130"/>
      <c r="N14" s="131"/>
    </row>
    <row r="15" spans="2:14">
      <c r="B15" s="129"/>
      <c r="D15" s="130"/>
      <c r="E15" s="130"/>
      <c r="F15" s="130"/>
      <c r="G15" s="162"/>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c r="B20" s="134"/>
      <c r="C20" s="3"/>
      <c r="D20" s="3"/>
      <c r="E20" s="3"/>
      <c r="F20" s="3"/>
      <c r="G20" s="3"/>
      <c r="H20" s="3"/>
      <c r="I20" s="3"/>
      <c r="J20" s="3"/>
      <c r="K20" s="3"/>
      <c r="L20" s="3"/>
      <c r="M20" s="3"/>
      <c r="N20" s="131"/>
    </row>
    <row r="21" spans="2:14">
      <c r="B21" s="132" t="s">
        <v>99</v>
      </c>
      <c r="C21" s="4">
        <v>135548.99999999991</v>
      </c>
      <c r="D21" s="5">
        <v>137355.6999999999</v>
      </c>
      <c r="E21" s="5">
        <v>129648.09999999993</v>
      </c>
      <c r="F21" s="5">
        <v>120921.23677894901</v>
      </c>
      <c r="G21" s="5">
        <v>109452.10052550393</v>
      </c>
      <c r="H21" s="5">
        <v>96326.782004605571</v>
      </c>
      <c r="I21" s="5">
        <v>88300.867460354784</v>
      </c>
      <c r="J21" s="5">
        <v>82976.949915346166</v>
      </c>
      <c r="K21" s="5">
        <v>87394.435772734738</v>
      </c>
      <c r="L21" s="5">
        <v>88147.616762206759</v>
      </c>
      <c r="M21" s="6">
        <v>99233.883358802064</v>
      </c>
      <c r="N21" s="131"/>
    </row>
    <row r="22" spans="2:14">
      <c r="B22" s="135" t="s">
        <v>9</v>
      </c>
      <c r="C22" s="7">
        <v>60628.599999999991</v>
      </c>
      <c r="D22" s="8">
        <v>56483.900000000016</v>
      </c>
      <c r="E22" s="8">
        <v>45905.899999999994</v>
      </c>
      <c r="F22" s="8">
        <v>42340.162598232353</v>
      </c>
      <c r="G22" s="8">
        <v>37233.480368235156</v>
      </c>
      <c r="H22" s="8">
        <v>35592.930537149216</v>
      </c>
      <c r="I22" s="8">
        <v>28667.586870289579</v>
      </c>
      <c r="J22" s="8">
        <v>25008.735630352734</v>
      </c>
      <c r="K22" s="8">
        <v>24917.001858303494</v>
      </c>
      <c r="L22" s="8">
        <v>19008.205427636276</v>
      </c>
      <c r="M22" s="9">
        <v>28080.818491377046</v>
      </c>
      <c r="N22" s="131"/>
    </row>
    <row r="23" spans="2:14">
      <c r="B23" s="135" t="s">
        <v>10</v>
      </c>
      <c r="C23" s="7">
        <v>4680.4000000000096</v>
      </c>
      <c r="D23" s="8">
        <v>5781.9999999999818</v>
      </c>
      <c r="E23" s="8">
        <v>4753.9000000000106</v>
      </c>
      <c r="F23" s="8">
        <v>4963.9374347153944</v>
      </c>
      <c r="G23" s="8">
        <v>3809.1273806509516</v>
      </c>
      <c r="H23" s="8">
        <v>2935.7253239376541</v>
      </c>
      <c r="I23" s="8">
        <v>2257.445665982309</v>
      </c>
      <c r="J23" s="8">
        <v>1739.8752608914592</v>
      </c>
      <c r="K23" s="8">
        <v>1341.637724463699</v>
      </c>
      <c r="L23" s="8">
        <v>1036.196177527665</v>
      </c>
      <c r="M23" s="9">
        <v>0</v>
      </c>
      <c r="N23" s="131"/>
    </row>
    <row r="24" spans="2:14">
      <c r="B24" s="135" t="s">
        <v>3</v>
      </c>
      <c r="C24" s="7">
        <v>15824.899999999989</v>
      </c>
      <c r="D24" s="8">
        <v>14333.799999999996</v>
      </c>
      <c r="E24" s="8">
        <v>11113.3</v>
      </c>
      <c r="F24" s="8">
        <v>10748.645542314132</v>
      </c>
      <c r="G24" s="8">
        <v>9894.9010282211548</v>
      </c>
      <c r="H24" s="8">
        <v>8268.5739746239906</v>
      </c>
      <c r="I24" s="8">
        <v>6209.8913859389786</v>
      </c>
      <c r="J24" s="8">
        <v>4398.7840285306202</v>
      </c>
      <c r="K24" s="8">
        <v>2758.1203596507075</v>
      </c>
      <c r="L24" s="8">
        <v>2556.5840954947907</v>
      </c>
      <c r="M24" s="9">
        <v>2359.8926694693359</v>
      </c>
      <c r="N24" s="131"/>
    </row>
    <row r="25" spans="2:14">
      <c r="B25" s="135" t="s">
        <v>11</v>
      </c>
      <c r="C25" s="7">
        <v>43750.5</v>
      </c>
      <c r="D25" s="8">
        <v>42060.6</v>
      </c>
      <c r="E25" s="8">
        <v>36256.9</v>
      </c>
      <c r="F25" s="8">
        <v>23824.944352019953</v>
      </c>
      <c r="G25" s="8">
        <v>8473.5826492916822</v>
      </c>
      <c r="H25" s="8">
        <v>0</v>
      </c>
      <c r="I25" s="8">
        <v>0</v>
      </c>
      <c r="J25" s="8">
        <v>0</v>
      </c>
      <c r="K25" s="8">
        <v>0</v>
      </c>
      <c r="L25" s="8">
        <v>0</v>
      </c>
      <c r="M25" s="9">
        <v>0</v>
      </c>
      <c r="N25" s="131"/>
    </row>
    <row r="26" spans="2:14">
      <c r="B26" s="135" t="s">
        <v>12</v>
      </c>
      <c r="C26" s="7">
        <v>10664.6</v>
      </c>
      <c r="D26" s="8">
        <v>18695.399999999998</v>
      </c>
      <c r="E26" s="8">
        <v>31618.1</v>
      </c>
      <c r="F26" s="8">
        <v>39043.546851667175</v>
      </c>
      <c r="G26" s="8">
        <v>50041.009099104987</v>
      </c>
      <c r="H26" s="8">
        <v>49529.55216889469</v>
      </c>
      <c r="I26" s="8">
        <v>51165.943538143911</v>
      </c>
      <c r="J26" s="8">
        <v>51829.554995571365</v>
      </c>
      <c r="K26" s="8">
        <v>58377.675830316854</v>
      </c>
      <c r="L26" s="8">
        <v>65546.631061548032</v>
      </c>
      <c r="M26" s="9">
        <v>68793.172197955675</v>
      </c>
      <c r="N26" s="131"/>
    </row>
    <row r="27" spans="2:14">
      <c r="B27" s="136" t="s">
        <v>13</v>
      </c>
      <c r="C27" s="7">
        <v>1868.6</v>
      </c>
      <c r="D27" s="8">
        <v>1688.6</v>
      </c>
      <c r="E27" s="8">
        <v>1801.6000000000001</v>
      </c>
      <c r="F27" s="8">
        <v>1924.7316063128251</v>
      </c>
      <c r="G27" s="8">
        <v>1935.4049171032052</v>
      </c>
      <c r="H27" s="8">
        <v>1978.6834485112415</v>
      </c>
      <c r="I27" s="8">
        <v>2048.4930308268781</v>
      </c>
      <c r="J27" s="8">
        <v>2214.1628726943686</v>
      </c>
      <c r="K27" s="8">
        <v>2354.2582157950328</v>
      </c>
      <c r="L27" s="8">
        <v>2525.9550111751623</v>
      </c>
      <c r="M27" s="9">
        <v>2637.2024975832996</v>
      </c>
      <c r="N27" s="131"/>
    </row>
    <row r="28" spans="2:14">
      <c r="B28" s="136" t="s">
        <v>14</v>
      </c>
      <c r="C28" s="7">
        <v>7875.7999999999993</v>
      </c>
      <c r="D28" s="8">
        <v>14248.599999999999</v>
      </c>
      <c r="E28" s="8">
        <v>24988.100000000002</v>
      </c>
      <c r="F28" s="8">
        <v>27662.215280325083</v>
      </c>
      <c r="G28" s="8">
        <v>32135.127551336198</v>
      </c>
      <c r="H28" s="8">
        <v>30452.777871726881</v>
      </c>
      <c r="I28" s="8">
        <v>29184.893036721776</v>
      </c>
      <c r="J28" s="8">
        <v>29100.547663189336</v>
      </c>
      <c r="K28" s="8">
        <v>31405.141191017454</v>
      </c>
      <c r="L28" s="8">
        <v>32321.631564498624</v>
      </c>
      <c r="M28" s="9">
        <v>32746.338163604913</v>
      </c>
      <c r="N28" s="131"/>
    </row>
    <row r="29" spans="2:14">
      <c r="B29" s="136" t="s">
        <v>15</v>
      </c>
      <c r="C29" s="7">
        <v>804.10000000000014</v>
      </c>
      <c r="D29" s="8">
        <v>2341.3000000000002</v>
      </c>
      <c r="E29" s="8">
        <v>3249.6</v>
      </c>
      <c r="F29" s="8">
        <v>5689.1855604541843</v>
      </c>
      <c r="G29" s="8">
        <v>9412.6779672999837</v>
      </c>
      <c r="H29" s="8">
        <v>9737.6650758923461</v>
      </c>
      <c r="I29" s="8">
        <v>11035.878977855165</v>
      </c>
      <c r="J29" s="8">
        <v>11184.893055056766</v>
      </c>
      <c r="K29" s="8">
        <v>11956.876464103812</v>
      </c>
      <c r="L29" s="8">
        <v>15413.317860518204</v>
      </c>
      <c r="M29" s="9">
        <v>16826.677950991882</v>
      </c>
      <c r="N29" s="131"/>
    </row>
    <row r="30" spans="2:14">
      <c r="B30" s="136" t="s">
        <v>16</v>
      </c>
      <c r="C30" s="7">
        <v>116.10000000000001</v>
      </c>
      <c r="D30" s="8">
        <v>370.80000000000007</v>
      </c>
      <c r="E30" s="8">
        <v>1492.6000000000001</v>
      </c>
      <c r="F30" s="8">
        <v>3575.2041613332835</v>
      </c>
      <c r="G30" s="8">
        <v>5529.7791930500598</v>
      </c>
      <c r="H30" s="8">
        <v>6269.5257674147551</v>
      </c>
      <c r="I30" s="8">
        <v>7382.9440075120428</v>
      </c>
      <c r="J30" s="8">
        <v>7224.8987740499442</v>
      </c>
      <c r="K30" s="8">
        <v>7700.3184605199813</v>
      </c>
      <c r="L30" s="8">
        <v>8197.9704868645113</v>
      </c>
      <c r="M30" s="9">
        <v>9483.6172113637185</v>
      </c>
      <c r="N30" s="131"/>
    </row>
    <row r="31" spans="2:14" ht="17" thickBot="1">
      <c r="B31" s="136" t="s">
        <v>17</v>
      </c>
      <c r="C31" s="10">
        <v>0</v>
      </c>
      <c r="D31" s="11">
        <v>46.100000000000009</v>
      </c>
      <c r="E31" s="11">
        <v>86.2</v>
      </c>
      <c r="F31" s="11">
        <v>192.21024324180158</v>
      </c>
      <c r="G31" s="11">
        <v>1028.01947031554</v>
      </c>
      <c r="H31" s="11">
        <v>1090.900005349469</v>
      </c>
      <c r="I31" s="11">
        <v>1513.7344852280457</v>
      </c>
      <c r="J31" s="11">
        <v>2105.052630580954</v>
      </c>
      <c r="K31" s="11">
        <v>4961.0814988805714</v>
      </c>
      <c r="L31" s="11">
        <v>7087.756138491528</v>
      </c>
      <c r="M31" s="12">
        <v>7099.3363744118669</v>
      </c>
      <c r="N31" s="131"/>
    </row>
    <row r="32" spans="2:14">
      <c r="B32" s="129"/>
      <c r="C32" s="130"/>
      <c r="D32" s="130"/>
      <c r="E32" s="130"/>
      <c r="F32" s="130" t="s">
        <v>102</v>
      </c>
      <c r="G32" s="130"/>
      <c r="H32" s="130"/>
      <c r="I32" s="130"/>
      <c r="J32" s="130"/>
      <c r="K32" s="130"/>
      <c r="L32" s="130"/>
      <c r="M32" s="130"/>
      <c r="N32" s="131"/>
    </row>
    <row r="33" spans="2:14" ht="17"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B18" sqref="B18"/>
    </sheetView>
  </sheetViews>
  <sheetFormatPr baseColWidth="10" defaultRowHeight="16"/>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8" t="s">
        <v>92</v>
      </c>
      <c r="C3" s="159"/>
      <c r="D3" s="159"/>
      <c r="E3" s="159"/>
      <c r="F3" s="159"/>
      <c r="G3" s="160"/>
      <c r="H3" s="122"/>
      <c r="I3" s="122"/>
      <c r="J3" s="86"/>
      <c r="K3" s="126"/>
      <c r="L3" s="21"/>
      <c r="M3" s="21"/>
    </row>
    <row r="4" spans="2:13" s="16" customFormat="1">
      <c r="B4" s="158"/>
      <c r="C4" s="159"/>
      <c r="D4" s="159"/>
      <c r="E4" s="159"/>
      <c r="F4" s="159"/>
      <c r="G4" s="160"/>
      <c r="H4" s="122"/>
      <c r="I4" s="122"/>
      <c r="J4" s="86"/>
      <c r="K4" s="126"/>
      <c r="L4" s="21"/>
      <c r="M4" s="21"/>
    </row>
    <row r="5" spans="2:13" s="16" customFormat="1">
      <c r="B5" s="156"/>
      <c r="C5" s="161"/>
      <c r="D5" s="161"/>
      <c r="E5" s="161"/>
      <c r="F5" s="161"/>
      <c r="G5" s="157"/>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5675165.5319999969</v>
      </c>
      <c r="D9" s="152">
        <f>Dashboard!D21*ktoe_TJ</f>
        <v>5750808.4475999959</v>
      </c>
      <c r="E9" s="152">
        <f>Dashboard!E21*ktoe_TJ</f>
        <v>5428106.6507999972</v>
      </c>
      <c r="F9" s="152">
        <f>Dashboard!F21*ktoe_TJ</f>
        <v>5062730.3414610373</v>
      </c>
      <c r="G9" s="152">
        <f>Dashboard!G21*ktoe_TJ</f>
        <v>4582540.5448017986</v>
      </c>
      <c r="H9" s="152">
        <f>Dashboard!H21*ktoe_TJ</f>
        <v>4033009.7089688261</v>
      </c>
      <c r="I9" s="152">
        <f>Dashboard!I21*ktoe_TJ</f>
        <v>3696980.7188301343</v>
      </c>
      <c r="J9" s="152">
        <f>Dashboard!J21*ktoe_TJ</f>
        <v>3474078.9390557134</v>
      </c>
      <c r="K9" s="152">
        <f>Dashboard!K21*ktoe_TJ</f>
        <v>3659030.2369328584</v>
      </c>
      <c r="L9" s="152">
        <f>Dashboard!L21*ktoe_TJ</f>
        <v>3690564.4186000726</v>
      </c>
      <c r="M9" s="152">
        <f>Dashboard!M21*ktoe_TJ</f>
        <v>4154724.228466325</v>
      </c>
    </row>
    <row r="10" spans="2:13">
      <c r="B10" s="149" t="s">
        <v>9</v>
      </c>
      <c r="C10" s="153">
        <f>Dashboard!C22*ktoe_TJ</f>
        <v>2538398.2248</v>
      </c>
      <c r="D10" s="153">
        <f>Dashboard!D22*ktoe_TJ</f>
        <v>2364867.9252000009</v>
      </c>
      <c r="E10" s="153">
        <f>Dashboard!E22*ktoe_TJ</f>
        <v>1921988.2211999998</v>
      </c>
      <c r="F10" s="153">
        <f>Dashboard!F22*ktoe_TJ</f>
        <v>1772697.9276627921</v>
      </c>
      <c r="G10" s="153">
        <f>Dashboard!G22*ktoe_TJ</f>
        <v>1558891.3560572695</v>
      </c>
      <c r="H10" s="153">
        <f>Dashboard!H22*ktoe_TJ</f>
        <v>1490204.8157293634</v>
      </c>
      <c r="I10" s="153">
        <f>Dashboard!I22*ktoe_TJ</f>
        <v>1200254.5270852842</v>
      </c>
      <c r="J10" s="153">
        <f>Dashboard!J22*ktoe_TJ</f>
        <v>1047065.7433716083</v>
      </c>
      <c r="K10" s="153">
        <f>Dashboard!K22*ktoe_TJ</f>
        <v>1043225.0338034508</v>
      </c>
      <c r="L10" s="153">
        <f>Dashboard!L22*ktoe_TJ</f>
        <v>795835.54484427569</v>
      </c>
      <c r="M10" s="153">
        <f>Dashboard!M22*ktoe_TJ</f>
        <v>1175687.7085969741</v>
      </c>
    </row>
    <row r="11" spans="2:13">
      <c r="B11" s="149" t="s">
        <v>10</v>
      </c>
      <c r="C11" s="153">
        <f>Dashboard!C23*ktoe_TJ</f>
        <v>195958.98720000041</v>
      </c>
      <c r="D11" s="153">
        <f>Dashboard!D23*ktoe_TJ</f>
        <v>242080.77599999926</v>
      </c>
      <c r="E11" s="153">
        <f>Dashboard!E23*ktoe_TJ</f>
        <v>199036.28520000045</v>
      </c>
      <c r="F11" s="153">
        <f>Dashboard!F23*ktoe_TJ</f>
        <v>207830.13251666413</v>
      </c>
      <c r="G11" s="153">
        <f>Dashboard!G23*ktoe_TJ</f>
        <v>159480.54517309405</v>
      </c>
      <c r="H11" s="153">
        <f>Dashboard!H23*ktoe_TJ</f>
        <v>122912.94786262172</v>
      </c>
      <c r="I11" s="153">
        <f>Dashboard!I23*ktoe_TJ</f>
        <v>94514.735143347323</v>
      </c>
      <c r="J11" s="153">
        <f>Dashboard!J23*ktoe_TJ</f>
        <v>72845.097423003623</v>
      </c>
      <c r="K11" s="153">
        <f>Dashboard!K23*ktoe_TJ</f>
        <v>56171.688247846148</v>
      </c>
      <c r="L11" s="153">
        <f>Dashboard!L23*ktoe_TJ</f>
        <v>43383.461560728283</v>
      </c>
      <c r="M11" s="153">
        <f>Dashboard!M23*ktoe_TJ</f>
        <v>0</v>
      </c>
    </row>
    <row r="12" spans="2:13">
      <c r="B12" s="149" t="s">
        <v>3</v>
      </c>
      <c r="C12" s="153">
        <f>Dashboard!C24*ktoe_TJ</f>
        <v>662556.9131999996</v>
      </c>
      <c r="D12" s="153">
        <f>Dashboard!D24*ktoe_TJ</f>
        <v>600127.53839999984</v>
      </c>
      <c r="E12" s="153">
        <f>Dashboard!E24*ktoe_TJ</f>
        <v>465291.64439999999</v>
      </c>
      <c r="F12" s="153">
        <f>Dashboard!F24*ktoe_TJ</f>
        <v>450024.29156560812</v>
      </c>
      <c r="G12" s="153">
        <f>Dashboard!G24*ktoe_TJ</f>
        <v>414279.71624956332</v>
      </c>
      <c r="H12" s="153">
        <f>Dashboard!H24*ktoe_TJ</f>
        <v>346188.65516955726</v>
      </c>
      <c r="I12" s="153">
        <f>Dashboard!I24*ktoe_TJ</f>
        <v>259995.73254649318</v>
      </c>
      <c r="J12" s="153">
        <f>Dashboard!J24*ktoe_TJ</f>
        <v>184168.28970652001</v>
      </c>
      <c r="K12" s="153">
        <f>Dashboard!K24*ktoe_TJ</f>
        <v>115476.98321785583</v>
      </c>
      <c r="L12" s="153">
        <f>Dashboard!L24*ktoe_TJ</f>
        <v>107039.06291017591</v>
      </c>
      <c r="M12" s="153">
        <f>Dashboard!M24*ktoe_TJ</f>
        <v>98803.986285342166</v>
      </c>
    </row>
    <row r="13" spans="2:13">
      <c r="B13" s="149" t="s">
        <v>11</v>
      </c>
      <c r="C13" s="153">
        <f>Dashboard!C25*ktoe_TJ</f>
        <v>1831745.9340000001</v>
      </c>
      <c r="D13" s="153">
        <f>Dashboard!D25*ktoe_TJ</f>
        <v>1760993.2008</v>
      </c>
      <c r="E13" s="153">
        <f>Dashboard!E25*ktoe_TJ</f>
        <v>1518003.8892000001</v>
      </c>
      <c r="F13" s="153">
        <f>Dashboard!F25*ktoe_TJ</f>
        <v>997502.77013037144</v>
      </c>
      <c r="G13" s="153">
        <f>Dashboard!G25*ktoe_TJ</f>
        <v>354771.95836054417</v>
      </c>
      <c r="H13" s="153">
        <f>Dashboard!H25*ktoe_TJ</f>
        <v>0</v>
      </c>
      <c r="I13" s="153">
        <f>Dashboard!I25*ktoe_TJ</f>
        <v>0</v>
      </c>
      <c r="J13" s="153">
        <f>Dashboard!J25*ktoe_TJ</f>
        <v>0</v>
      </c>
      <c r="K13" s="153">
        <f>Dashboard!K25*ktoe_TJ</f>
        <v>0</v>
      </c>
      <c r="L13" s="153">
        <f>Dashboard!L25*ktoe_TJ</f>
        <v>0</v>
      </c>
      <c r="M13" s="153">
        <f>Dashboard!M25*ktoe_TJ</f>
        <v>0</v>
      </c>
    </row>
    <row r="14" spans="2:13">
      <c r="B14" s="149" t="s">
        <v>12</v>
      </c>
      <c r="C14" s="153">
        <f>Dashboard!C26*ktoe_TJ</f>
        <v>446505.47280000005</v>
      </c>
      <c r="D14" s="153">
        <f>Dashboard!D26*ktoe_TJ</f>
        <v>782739.00719999999</v>
      </c>
      <c r="E14" s="153">
        <f>Dashboard!E26*ktoe_TJ</f>
        <v>1323786.6107999999</v>
      </c>
      <c r="F14" s="153">
        <f>Dashboard!F26*ktoe_TJ</f>
        <v>1634675.2195856015</v>
      </c>
      <c r="G14" s="153">
        <f>Dashboard!G26*ktoe_TJ</f>
        <v>2095116.9689613278</v>
      </c>
      <c r="H14" s="153">
        <f>Dashboard!H26*ktoe_TJ</f>
        <v>2073703.2902072831</v>
      </c>
      <c r="I14" s="153">
        <f>Dashboard!I26*ktoe_TJ</f>
        <v>2142215.7240550094</v>
      </c>
      <c r="J14" s="153">
        <f>Dashboard!J26*ktoe_TJ</f>
        <v>2169999.8085545818</v>
      </c>
      <c r="K14" s="153">
        <f>Dashboard!K26*ktoe_TJ</f>
        <v>2444156.5316637061</v>
      </c>
      <c r="L14" s="153">
        <f>Dashboard!L26*ktoe_TJ</f>
        <v>2744306.3492848934</v>
      </c>
      <c r="M14" s="153">
        <f>Dashboard!M26*ktoe_TJ</f>
        <v>2880232.5335840085</v>
      </c>
    </row>
    <row r="15" spans="2:13">
      <c r="B15" s="149" t="s">
        <v>13</v>
      </c>
      <c r="C15" s="153">
        <f>Dashboard!C27*ktoe_TJ</f>
        <v>78234.544800000003</v>
      </c>
      <c r="D15" s="153">
        <f>Dashboard!D27*ktoe_TJ</f>
        <v>70698.304799999998</v>
      </c>
      <c r="E15" s="153">
        <f>Dashboard!E27*ktoe_TJ</f>
        <v>75429.388800000015</v>
      </c>
      <c r="F15" s="153">
        <f>Dashboard!F27*ktoe_TJ</f>
        <v>80584.662893105371</v>
      </c>
      <c r="G15" s="153">
        <f>Dashboard!G27*ktoe_TJ</f>
        <v>81031.533069276993</v>
      </c>
      <c r="H15" s="153">
        <f>Dashboard!H27*ktoe_TJ</f>
        <v>82843.518622268661</v>
      </c>
      <c r="I15" s="153">
        <f>Dashboard!I27*ktoe_TJ</f>
        <v>85766.306214659737</v>
      </c>
      <c r="J15" s="153">
        <f>Dashboard!J27*ktoe_TJ</f>
        <v>92702.57115396783</v>
      </c>
      <c r="K15" s="153">
        <f>Dashboard!K27*ktoe_TJ</f>
        <v>98568.082978906445</v>
      </c>
      <c r="L15" s="153">
        <f>Dashboard!L27*ktoe_TJ</f>
        <v>105756.68440788171</v>
      </c>
      <c r="M15" s="153">
        <f>Dashboard!M27*ktoe_TJ</f>
        <v>110414.3941688176</v>
      </c>
    </row>
    <row r="16" spans="2:13">
      <c r="B16" s="149" t="s">
        <v>14</v>
      </c>
      <c r="C16" s="153">
        <f>Dashboard!C28*ktoe_TJ</f>
        <v>329743.99439999997</v>
      </c>
      <c r="D16" s="153">
        <f>Dashboard!D28*ktoe_TJ</f>
        <v>596560.3848</v>
      </c>
      <c r="E16" s="153">
        <f>Dashboard!E28*ktoe_TJ</f>
        <v>1046201.7708000002</v>
      </c>
      <c r="F16" s="153">
        <f>Dashboard!F28*ktoe_TJ</f>
        <v>1158161.6293566506</v>
      </c>
      <c r="G16" s="153">
        <f>Dashboard!G28*ktoe_TJ</f>
        <v>1345433.520319344</v>
      </c>
      <c r="H16" s="153">
        <f>Dashboard!H28*ktoe_TJ</f>
        <v>1274996.9039334611</v>
      </c>
      <c r="I16" s="153">
        <f>Dashboard!I28*ktoe_TJ</f>
        <v>1221913.1016614675</v>
      </c>
      <c r="J16" s="153">
        <f>Dashboard!J28*ktoe_TJ</f>
        <v>1218381.7295624111</v>
      </c>
      <c r="K16" s="153">
        <f>Dashboard!K28*ktoe_TJ</f>
        <v>1314870.4513855188</v>
      </c>
      <c r="L16" s="153">
        <f>Dashboard!L28*ktoe_TJ</f>
        <v>1353242.0703424285</v>
      </c>
      <c r="M16" s="153">
        <f>Dashboard!M28*ktoe_TJ</f>
        <v>1371023.6862338106</v>
      </c>
    </row>
    <row r="17" spans="2:13">
      <c r="B17" s="148" t="s">
        <v>15</v>
      </c>
      <c r="C17" s="153">
        <f>Dashboard!C29*ktoe_TJ</f>
        <v>33666.058800000006</v>
      </c>
      <c r="D17" s="153">
        <f>Dashboard!D29*ktoe_TJ</f>
        <v>98025.548400000014</v>
      </c>
      <c r="E17" s="153">
        <f>Dashboard!E29*ktoe_TJ</f>
        <v>136054.25280000002</v>
      </c>
      <c r="F17" s="153">
        <f>Dashboard!F29*ktoe_TJ</f>
        <v>238194.8210450958</v>
      </c>
      <c r="G17" s="153">
        <f>Dashboard!G29*ktoe_TJ</f>
        <v>394090.00113491574</v>
      </c>
      <c r="H17" s="153">
        <f>Dashboard!H29*ktoe_TJ</f>
        <v>407696.56139746075</v>
      </c>
      <c r="I17" s="153">
        <f>Dashboard!I29*ktoe_TJ</f>
        <v>462050.18104484008</v>
      </c>
      <c r="J17" s="153">
        <f>Dashboard!J29*ktoe_TJ</f>
        <v>468289.10242911667</v>
      </c>
      <c r="K17" s="153">
        <f>Dashboard!K29*ktoe_TJ</f>
        <v>500610.50379909843</v>
      </c>
      <c r="L17" s="153">
        <f>Dashboard!L29*ktoe_TJ</f>
        <v>645324.79218417616</v>
      </c>
      <c r="M17" s="153">
        <f>Dashboard!M29*ktoe_TJ</f>
        <v>704499.35245212808</v>
      </c>
    </row>
    <row r="18" spans="2:13">
      <c r="B18" s="148" t="s">
        <v>16</v>
      </c>
      <c r="C18" s="153">
        <f>Dashboard!C30*ktoe_TJ</f>
        <v>4860.8748000000005</v>
      </c>
      <c r="D18" s="153">
        <f>Dashboard!D30*ktoe_TJ</f>
        <v>15524.654400000003</v>
      </c>
      <c r="E18" s="153">
        <f>Dashboard!E30*ktoe_TJ</f>
        <v>62492.176800000008</v>
      </c>
      <c r="F18" s="153">
        <f>Dashboard!F30*ktoe_TJ</f>
        <v>149686.64782670193</v>
      </c>
      <c r="G18" s="153">
        <f>Dashboard!G30*ktoe_TJ</f>
        <v>231520.79525461991</v>
      </c>
      <c r="H18" s="153">
        <f>Dashboard!H30*ktoe_TJ</f>
        <v>262492.504830121</v>
      </c>
      <c r="I18" s="153">
        <f>Dashboard!I30*ktoe_TJ</f>
        <v>309109.09970651421</v>
      </c>
      <c r="J18" s="153">
        <f>Dashboard!J30*ktoe_TJ</f>
        <v>302492.0618719231</v>
      </c>
      <c r="K18" s="153">
        <f>Dashboard!K30*ktoe_TJ</f>
        <v>322396.9333050506</v>
      </c>
      <c r="L18" s="153">
        <f>Dashboard!L30*ktoe_TJ</f>
        <v>343232.62834404339</v>
      </c>
      <c r="M18" s="153">
        <f>Dashboard!M30*ktoe_TJ</f>
        <v>397060.08540537622</v>
      </c>
    </row>
    <row r="19" spans="2:13">
      <c r="B19" s="148" t="s">
        <v>17</v>
      </c>
      <c r="C19" s="153">
        <f>Dashboard!C31*ktoe_TJ</f>
        <v>0</v>
      </c>
      <c r="D19" s="153">
        <f>Dashboard!D31*ktoe_TJ</f>
        <v>1930.1148000000005</v>
      </c>
      <c r="E19" s="153">
        <f>Dashboard!E31*ktoe_TJ</f>
        <v>3609.0216000000005</v>
      </c>
      <c r="F19" s="153">
        <f>Dashboard!F31*ktoe_TJ</f>
        <v>8047.4584640477487</v>
      </c>
      <c r="G19" s="153">
        <f>Dashboard!G31*ktoe_TJ</f>
        <v>43041.119183171031</v>
      </c>
      <c r="H19" s="153">
        <f>Dashboard!H31*ktoe_TJ</f>
        <v>45673.80142397157</v>
      </c>
      <c r="I19" s="153">
        <f>Dashboard!I31*ktoe_TJ</f>
        <v>63377.035427527822</v>
      </c>
      <c r="J19" s="153">
        <f>Dashboard!J31*ktoe_TJ</f>
        <v>88134.343537163382</v>
      </c>
      <c r="K19" s="153">
        <f>Dashboard!K31*ktoe_TJ</f>
        <v>207710.56019513178</v>
      </c>
      <c r="L19" s="153">
        <f>Dashboard!L31*ktoe_TJ</f>
        <v>296750.17400636332</v>
      </c>
      <c r="M19" s="153">
        <f>Dashboard!M31*ktoe_TJ</f>
        <v>297235.01532387605</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workbookViewId="0">
      <selection activeCell="E24" sqref="E24"/>
    </sheetView>
  </sheetViews>
  <sheetFormatPr baseColWidth="10" defaultRowHeight="16"/>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8" t="s">
        <v>93</v>
      </c>
      <c r="C3" s="159"/>
      <c r="D3" s="159"/>
      <c r="E3" s="159"/>
      <c r="F3" s="159"/>
      <c r="G3" s="160"/>
      <c r="H3" s="122"/>
      <c r="I3" s="122"/>
      <c r="J3" s="86"/>
      <c r="K3" s="126"/>
      <c r="L3" s="21"/>
      <c r="M3" s="21"/>
    </row>
    <row r="4" spans="1:13" s="16" customFormat="1">
      <c r="B4" s="158"/>
      <c r="C4" s="159"/>
      <c r="D4" s="159"/>
      <c r="E4" s="159"/>
      <c r="F4" s="159"/>
      <c r="G4" s="160"/>
      <c r="H4" s="122"/>
      <c r="I4" s="122"/>
      <c r="J4" s="86"/>
      <c r="K4" s="126"/>
      <c r="L4" s="21"/>
      <c r="M4" s="21"/>
    </row>
    <row r="5" spans="1:13" s="16" customFormat="1">
      <c r="B5" s="156"/>
      <c r="C5" s="161"/>
      <c r="D5" s="161"/>
      <c r="E5" s="161"/>
      <c r="F5" s="161"/>
      <c r="G5" s="157"/>
      <c r="H5" s="122"/>
      <c r="I5" s="122"/>
      <c r="J5" s="86"/>
      <c r="K5" s="126"/>
      <c r="L5" s="21"/>
      <c r="M5" s="21"/>
    </row>
    <row r="8" spans="1:13">
      <c r="A8" s="154" t="s">
        <v>0</v>
      </c>
      <c r="B8" s="154" t="s">
        <v>1</v>
      </c>
      <c r="C8" s="154" t="s">
        <v>2</v>
      </c>
      <c r="D8" s="154" t="s">
        <v>3</v>
      </c>
      <c r="E8" s="154" t="s">
        <v>4</v>
      </c>
      <c r="F8" s="154" t="s">
        <v>5</v>
      </c>
      <c r="G8" s="154" t="s">
        <v>6</v>
      </c>
    </row>
    <row r="9" spans="1:13">
      <c r="A9" s="2">
        <v>2000</v>
      </c>
      <c r="B9" s="163">
        <f>conversion_to_TJ!C10*Dashboard!$D$11</f>
        <v>271608.61005359993</v>
      </c>
      <c r="C9" s="163">
        <f>conversion_to_TJ!C10*Dashboard!$D$12</f>
        <v>2266789.6147464002</v>
      </c>
      <c r="D9" s="163">
        <f>conversion_to_TJ!C12</f>
        <v>662556.9131999996</v>
      </c>
      <c r="E9" s="163">
        <f>conversion_to_TJ!C11</f>
        <v>195958.98720000041</v>
      </c>
      <c r="F9" s="163">
        <f>conversion_to_TJ!C13</f>
        <v>1831745.9340000001</v>
      </c>
      <c r="G9" s="163">
        <f>conversion_to_TJ!C16*Dashboard!$D$14</f>
        <v>243800.11134509475</v>
      </c>
    </row>
    <row r="10" spans="1:13">
      <c r="A10" s="1">
        <v>2001</v>
      </c>
      <c r="B10" s="164">
        <f>B$9+(B$14-B$9)/($A$14-$A$9)*($A10-$A$9)</f>
        <v>267895.06164215994</v>
      </c>
      <c r="C10" s="164">
        <f t="shared" ref="C10:G10" si="0">C$9+(C$14-C$9)/($A$14-$A$9)*($A10-$A$9)</f>
        <v>2235797.1032378403</v>
      </c>
      <c r="D10" s="164">
        <f t="shared" si="0"/>
        <v>650071.03823999967</v>
      </c>
      <c r="E10" s="164">
        <f t="shared" si="0"/>
        <v>205183.34496000019</v>
      </c>
      <c r="F10" s="164">
        <f t="shared" si="0"/>
        <v>1817595.3873600001</v>
      </c>
      <c r="G10" s="164">
        <f t="shared" si="0"/>
        <v>283254.88037376537</v>
      </c>
    </row>
    <row r="11" spans="1:13">
      <c r="A11" s="1">
        <v>2002</v>
      </c>
      <c r="B11" s="164">
        <f t="shared" ref="B11:G13" si="1">B$9+(B$14-B$9)/($A$14-$A$9)*($A11-$A$9)</f>
        <v>264181.51323071995</v>
      </c>
      <c r="C11" s="164">
        <f t="shared" si="1"/>
        <v>2204804.5917292805</v>
      </c>
      <c r="D11" s="164">
        <f t="shared" si="1"/>
        <v>637585.16327999975</v>
      </c>
      <c r="E11" s="164">
        <f t="shared" si="1"/>
        <v>214407.70271999994</v>
      </c>
      <c r="F11" s="164">
        <f t="shared" si="1"/>
        <v>1803444.84072</v>
      </c>
      <c r="G11" s="164">
        <f t="shared" si="1"/>
        <v>322709.64940243599</v>
      </c>
    </row>
    <row r="12" spans="1:13">
      <c r="A12" s="1">
        <v>2003</v>
      </c>
      <c r="B12" s="164">
        <f t="shared" si="1"/>
        <v>260467.96481927999</v>
      </c>
      <c r="C12" s="164">
        <f t="shared" si="1"/>
        <v>2173812.0802207203</v>
      </c>
      <c r="D12" s="164">
        <f t="shared" si="1"/>
        <v>625099.2883199997</v>
      </c>
      <c r="E12" s="164">
        <f t="shared" si="1"/>
        <v>223632.06047999972</v>
      </c>
      <c r="F12" s="164">
        <f t="shared" si="1"/>
        <v>1789294.2940800001</v>
      </c>
      <c r="G12" s="164">
        <f t="shared" si="1"/>
        <v>362164.41843110655</v>
      </c>
    </row>
    <row r="13" spans="1:13">
      <c r="A13" s="1">
        <v>2004</v>
      </c>
      <c r="B13" s="164">
        <f t="shared" si="1"/>
        <v>256754.41640784004</v>
      </c>
      <c r="C13" s="164">
        <f t="shared" si="1"/>
        <v>2142819.5687121605</v>
      </c>
      <c r="D13" s="164">
        <f t="shared" si="1"/>
        <v>612613.41335999977</v>
      </c>
      <c r="E13" s="164">
        <f t="shared" si="1"/>
        <v>232856.4182399995</v>
      </c>
      <c r="F13" s="164">
        <f t="shared" si="1"/>
        <v>1775143.7474400001</v>
      </c>
      <c r="G13" s="164">
        <f t="shared" si="1"/>
        <v>401619.18745977717</v>
      </c>
    </row>
    <row r="14" spans="1:13">
      <c r="A14" s="2">
        <v>2005</v>
      </c>
      <c r="B14" s="163">
        <f>conversion_to_TJ!D10*Dashboard!$D$11</f>
        <v>253040.86799640005</v>
      </c>
      <c r="C14" s="163">
        <f>conversion_to_TJ!D10*Dashboard!$D$12</f>
        <v>2111827.0572036006</v>
      </c>
      <c r="D14" s="163">
        <f>conversion_to_TJ!D12</f>
        <v>600127.53839999984</v>
      </c>
      <c r="E14" s="163">
        <f>conversion_to_TJ!D11</f>
        <v>242080.77599999926</v>
      </c>
      <c r="F14" s="163">
        <f>conversion_to_TJ!D13</f>
        <v>1760993.2008</v>
      </c>
      <c r="G14" s="163">
        <f>conversion_to_TJ!D16*Dashboard!$D$14</f>
        <v>441073.95648844779</v>
      </c>
    </row>
    <row r="15" spans="1:13">
      <c r="A15" s="1">
        <v>2006</v>
      </c>
      <c r="B15" s="164">
        <f>B$14+(B$19-B$14)/($A$19-$A$14)*($A15-$A$14)</f>
        <v>273365.95239712001</v>
      </c>
      <c r="C15" s="164">
        <f t="shared" ref="C15:G15" si="2">C$14+(C$19-C$14)/($A$19-$A$14)*($A15-$A$14)</f>
        <v>1996385.9977628805</v>
      </c>
      <c r="D15" s="164">
        <f t="shared" si="2"/>
        <v>561249.52471999987</v>
      </c>
      <c r="E15" s="164">
        <f t="shared" si="2"/>
        <v>221424.7127999994</v>
      </c>
      <c r="F15" s="164">
        <f t="shared" si="2"/>
        <v>1715517.39264</v>
      </c>
      <c r="G15" s="164">
        <f t="shared" si="2"/>
        <v>507563.48887349176</v>
      </c>
    </row>
    <row r="16" spans="1:13">
      <c r="A16" s="1">
        <v>2007</v>
      </c>
      <c r="B16" s="164">
        <f t="shared" ref="B16:G18" si="3">B$14+(B$19-B$14)/($A$19-$A$14)*($A16-$A$14)</f>
        <v>293691.03679784003</v>
      </c>
      <c r="C16" s="164">
        <f t="shared" si="3"/>
        <v>1880944.9383221604</v>
      </c>
      <c r="D16" s="164">
        <f t="shared" si="3"/>
        <v>522371.5110399999</v>
      </c>
      <c r="E16" s="164">
        <f t="shared" si="3"/>
        <v>200768.64959999954</v>
      </c>
      <c r="F16" s="164">
        <f t="shared" si="3"/>
        <v>1670041.58448</v>
      </c>
      <c r="G16" s="164">
        <f t="shared" si="3"/>
        <v>574053.02125853579</v>
      </c>
    </row>
    <row r="17" spans="1:7">
      <c r="A17" s="1">
        <v>2008</v>
      </c>
      <c r="B17" s="164">
        <f t="shared" si="3"/>
        <v>314016.12119855999</v>
      </c>
      <c r="C17" s="164">
        <f t="shared" si="3"/>
        <v>1765503.8788814403</v>
      </c>
      <c r="D17" s="164">
        <f t="shared" si="3"/>
        <v>483493.49735999992</v>
      </c>
      <c r="E17" s="164">
        <f t="shared" si="3"/>
        <v>180112.58639999971</v>
      </c>
      <c r="F17" s="164">
        <f t="shared" si="3"/>
        <v>1624565.7763199999</v>
      </c>
      <c r="G17" s="164">
        <f t="shared" si="3"/>
        <v>640542.55364357971</v>
      </c>
    </row>
    <row r="18" spans="1:7">
      <c r="A18" s="1">
        <v>2009</v>
      </c>
      <c r="B18" s="164">
        <f t="shared" si="3"/>
        <v>334341.20559927996</v>
      </c>
      <c r="C18" s="164">
        <f t="shared" si="3"/>
        <v>1650062.8194407201</v>
      </c>
      <c r="D18" s="164">
        <f t="shared" si="3"/>
        <v>444615.48367999995</v>
      </c>
      <c r="E18" s="164">
        <f t="shared" si="3"/>
        <v>159456.52319999985</v>
      </c>
      <c r="F18" s="164">
        <f t="shared" si="3"/>
        <v>1579089.9681599999</v>
      </c>
      <c r="G18" s="164">
        <f t="shared" si="3"/>
        <v>707032.08602862363</v>
      </c>
    </row>
    <row r="19" spans="1:7">
      <c r="A19" s="155">
        <v>2010</v>
      </c>
      <c r="B19" s="165">
        <v>354666.29</v>
      </c>
      <c r="C19" s="165">
        <v>1534621.76</v>
      </c>
      <c r="D19" s="165">
        <v>405737.47</v>
      </c>
      <c r="E19" s="165">
        <v>138800.46</v>
      </c>
      <c r="F19" s="165">
        <v>1533614.16</v>
      </c>
      <c r="G19" s="163">
        <f>conversion_to_TJ!E16*Dashboard!$D$14</f>
        <v>773521.61841366766</v>
      </c>
    </row>
    <row r="20" spans="1:7">
      <c r="A20" s="155">
        <v>2011</v>
      </c>
      <c r="B20" s="165">
        <v>352869.28</v>
      </c>
      <c r="C20" s="165">
        <v>1595225.06</v>
      </c>
      <c r="D20" s="165">
        <v>455935.95</v>
      </c>
      <c r="E20" s="165">
        <v>144628.23000000001</v>
      </c>
      <c r="F20" s="165">
        <v>1178965.28</v>
      </c>
      <c r="G20" s="166">
        <f t="shared" ref="G20" si="4">G$19+(G$24-G$19)/($A$24-$A$19)*($A20-$A$19)</f>
        <v>790077.38679511147</v>
      </c>
    </row>
    <row r="21" spans="1:7">
      <c r="A21" s="155">
        <v>2012</v>
      </c>
      <c r="B21" s="165">
        <v>316825.83</v>
      </c>
      <c r="C21" s="165">
        <v>1675934.42</v>
      </c>
      <c r="D21" s="165">
        <v>400513.56</v>
      </c>
      <c r="E21" s="165">
        <v>141223.07</v>
      </c>
      <c r="F21" s="165">
        <v>1085213.49</v>
      </c>
      <c r="G21" s="166">
        <f t="shared" ref="G21:G23" si="5">G$19+(G$24-G$19)/($A$24-$A$19)*($A21-$A$19)</f>
        <v>806633.15517655516</v>
      </c>
    </row>
    <row r="22" spans="1:7">
      <c r="A22" s="1">
        <v>2013</v>
      </c>
      <c r="B22" s="164">
        <f>B$21+(B$24-B$21)/($A$24-$A$21)*($A22-$A$21)</f>
        <v>275403.88666666666</v>
      </c>
      <c r="C22" s="164">
        <f t="shared" ref="C22:F23" si="6">C$21+(C$24-C$21)/($A$24-$A$21)*($A22-$A$21)</f>
        <v>1653265.2566666666</v>
      </c>
      <c r="D22" s="164">
        <f t="shared" si="6"/>
        <v>355421.73666666669</v>
      </c>
      <c r="E22" s="164">
        <f t="shared" si="6"/>
        <v>143550.72</v>
      </c>
      <c r="F22" s="164">
        <f t="shared" si="6"/>
        <v>1057242.9333333333</v>
      </c>
      <c r="G22" s="164">
        <f t="shared" si="5"/>
        <v>823188.92355799896</v>
      </c>
    </row>
    <row r="23" spans="1:7">
      <c r="A23" s="1">
        <v>2014</v>
      </c>
      <c r="B23" s="164">
        <f>B$21+(B$24-B$21)/($A$24-$A$21)*($A23-$A$21)</f>
        <v>233981.94333333336</v>
      </c>
      <c r="C23" s="164">
        <f t="shared" si="6"/>
        <v>1630596.0933333333</v>
      </c>
      <c r="D23" s="164">
        <f t="shared" si="6"/>
        <v>310329.91333333333</v>
      </c>
      <c r="E23" s="164">
        <f t="shared" si="6"/>
        <v>145878.37000000002</v>
      </c>
      <c r="F23" s="164">
        <f t="shared" si="6"/>
        <v>1029272.3766666666</v>
      </c>
      <c r="G23" s="164">
        <f t="shared" si="5"/>
        <v>839744.69193944265</v>
      </c>
    </row>
    <row r="24" spans="1:7">
      <c r="A24" s="155">
        <v>2015</v>
      </c>
      <c r="B24" s="165">
        <v>192560</v>
      </c>
      <c r="C24" s="165">
        <v>1607926.93</v>
      </c>
      <c r="D24" s="165">
        <v>265238.09000000003</v>
      </c>
      <c r="E24" s="165">
        <v>148206.02000000002</v>
      </c>
      <c r="F24" s="165">
        <v>1001301.82</v>
      </c>
      <c r="G24" s="163">
        <f>conversion_to_TJ!F16*Dashboard!$D$14</f>
        <v>856300.46032088646</v>
      </c>
    </row>
    <row r="25" spans="1:7">
      <c r="A25" s="1">
        <v>2016</v>
      </c>
      <c r="B25" s="164">
        <f>B$24+(B$29-B$24)/($A$29-$A$24)*($A25-$A$24)</f>
        <v>187408.27501962555</v>
      </c>
      <c r="C25" s="164">
        <f t="shared" ref="C25:G25" si="7">C$24+(C$29-C$24)/($A$29-$A$24)*($A25-$A$24)</f>
        <v>1564759.5401918283</v>
      </c>
      <c r="D25" s="164">
        <f t="shared" si="7"/>
        <v>295046.41524991271</v>
      </c>
      <c r="E25" s="164">
        <f t="shared" si="7"/>
        <v>150460.92503461882</v>
      </c>
      <c r="F25" s="164">
        <f t="shared" si="7"/>
        <v>871995.84767210879</v>
      </c>
      <c r="G25" s="164">
        <f t="shared" si="7"/>
        <v>883992.79658410675</v>
      </c>
    </row>
    <row r="26" spans="1:7">
      <c r="A26" s="1">
        <v>2017</v>
      </c>
      <c r="B26" s="164">
        <f t="shared" ref="B26:G28" si="8">B$24+(B$29-B$24)/($A$29-$A$24)*($A26-$A$24)</f>
        <v>182256.55003925113</v>
      </c>
      <c r="C26" s="164">
        <f t="shared" si="8"/>
        <v>1521592.1503836566</v>
      </c>
      <c r="D26" s="164">
        <f t="shared" si="8"/>
        <v>324854.74049982533</v>
      </c>
      <c r="E26" s="164">
        <f t="shared" si="8"/>
        <v>152715.83006923762</v>
      </c>
      <c r="F26" s="164">
        <f t="shared" si="8"/>
        <v>742689.87534421764</v>
      </c>
      <c r="G26" s="164">
        <f t="shared" si="8"/>
        <v>911685.13284732692</v>
      </c>
    </row>
    <row r="27" spans="1:7">
      <c r="A27" s="1">
        <v>2018</v>
      </c>
      <c r="B27" s="164">
        <f t="shared" si="8"/>
        <v>177104.82505887668</v>
      </c>
      <c r="C27" s="164">
        <f t="shared" si="8"/>
        <v>1478424.760575485</v>
      </c>
      <c r="D27" s="164">
        <f t="shared" si="8"/>
        <v>354663.06574973802</v>
      </c>
      <c r="E27" s="164">
        <f t="shared" si="8"/>
        <v>154970.73510385645</v>
      </c>
      <c r="F27" s="164">
        <f t="shared" si="8"/>
        <v>613383.90301632648</v>
      </c>
      <c r="G27" s="164">
        <f t="shared" si="8"/>
        <v>939377.46911054722</v>
      </c>
    </row>
    <row r="28" spans="1:7">
      <c r="A28" s="1">
        <v>2019</v>
      </c>
      <c r="B28" s="164">
        <f t="shared" si="8"/>
        <v>171953.10007850226</v>
      </c>
      <c r="C28" s="164">
        <f t="shared" si="8"/>
        <v>1435257.3707673133</v>
      </c>
      <c r="D28" s="164">
        <f t="shared" si="8"/>
        <v>384471.3909996507</v>
      </c>
      <c r="E28" s="164">
        <f t="shared" si="8"/>
        <v>157225.64013847525</v>
      </c>
      <c r="F28" s="164">
        <f t="shared" si="8"/>
        <v>484077.93068843533</v>
      </c>
      <c r="G28" s="164">
        <f t="shared" si="8"/>
        <v>967069.80537376739</v>
      </c>
    </row>
    <row r="29" spans="1:7">
      <c r="A29" s="2">
        <v>2020</v>
      </c>
      <c r="B29" s="163">
        <f>conversion_to_TJ!G10*Dashboard!$D$11</f>
        <v>166801.37509812781</v>
      </c>
      <c r="C29" s="163">
        <f>conversion_to_TJ!G10*Dashboard!$D$12</f>
        <v>1392089.9809591416</v>
      </c>
      <c r="D29" s="163">
        <f>conversion_to_TJ!G12</f>
        <v>414279.71624956332</v>
      </c>
      <c r="E29" s="163">
        <f>conversion_to_TJ!G11</f>
        <v>159480.54517309405</v>
      </c>
      <c r="F29" s="163">
        <f>conversion_to_TJ!G13</f>
        <v>354771.95836054417</v>
      </c>
      <c r="G29" s="163">
        <f>conversion_to_TJ!G16*Dashboard!$D$14</f>
        <v>994762.14163698768</v>
      </c>
    </row>
    <row r="30" spans="1:7">
      <c r="A30" s="1">
        <v>2021</v>
      </c>
      <c r="B30" s="164">
        <f>B$29+(B$34-B$29)/($A$34-$A$29)*($A30-$A$29)</f>
        <v>165331.48313511061</v>
      </c>
      <c r="C30" s="164">
        <f t="shared" ref="C30:G30" si="9">C$29+(C$34-C$29)/($A$34-$A$29)*($A30-$A$29)</f>
        <v>1379822.5648565777</v>
      </c>
      <c r="D30" s="164">
        <f t="shared" si="9"/>
        <v>400661.50403356209</v>
      </c>
      <c r="E30" s="164">
        <f t="shared" si="9"/>
        <v>152167.02571099959</v>
      </c>
      <c r="F30" s="164">
        <f t="shared" si="9"/>
        <v>283817.56668843533</v>
      </c>
      <c r="G30" s="164">
        <f t="shared" si="9"/>
        <v>984346.51302249427</v>
      </c>
    </row>
    <row r="31" spans="1:7">
      <c r="A31" s="1">
        <v>2022</v>
      </c>
      <c r="B31" s="164">
        <f t="shared" ref="B31:G33" si="10">B$29+(B$34-B$29)/($A$34-$A$29)*($A31-$A$29)</f>
        <v>163861.59117209344</v>
      </c>
      <c r="C31" s="164">
        <f t="shared" si="10"/>
        <v>1367555.1487540137</v>
      </c>
      <c r="D31" s="164">
        <f t="shared" si="10"/>
        <v>387043.29181756091</v>
      </c>
      <c r="E31" s="164">
        <f t="shared" si="10"/>
        <v>144853.50624890512</v>
      </c>
      <c r="F31" s="164">
        <f t="shared" si="10"/>
        <v>212863.17501632651</v>
      </c>
      <c r="G31" s="164">
        <f t="shared" si="10"/>
        <v>973930.88440800086</v>
      </c>
    </row>
    <row r="32" spans="1:7">
      <c r="A32" s="1">
        <v>2023</v>
      </c>
      <c r="B32" s="164">
        <f t="shared" si="10"/>
        <v>162391.69920907624</v>
      </c>
      <c r="C32" s="164">
        <f t="shared" si="10"/>
        <v>1355287.7326514495</v>
      </c>
      <c r="D32" s="164">
        <f t="shared" si="10"/>
        <v>373425.07960155967</v>
      </c>
      <c r="E32" s="164">
        <f t="shared" si="10"/>
        <v>137539.98678681065</v>
      </c>
      <c r="F32" s="164">
        <f t="shared" si="10"/>
        <v>141908.78334421769</v>
      </c>
      <c r="G32" s="164">
        <f t="shared" si="10"/>
        <v>963515.25579350744</v>
      </c>
    </row>
    <row r="33" spans="1:7">
      <c r="A33" s="1">
        <v>2024</v>
      </c>
      <c r="B33" s="164">
        <f t="shared" si="10"/>
        <v>160921.80724605906</v>
      </c>
      <c r="C33" s="164">
        <f t="shared" si="10"/>
        <v>1343020.3165488855</v>
      </c>
      <c r="D33" s="164">
        <f t="shared" si="10"/>
        <v>359806.86738555849</v>
      </c>
      <c r="E33" s="164">
        <f t="shared" si="10"/>
        <v>130226.46732471618</v>
      </c>
      <c r="F33" s="164">
        <f t="shared" si="10"/>
        <v>70954.391672108846</v>
      </c>
      <c r="G33" s="164">
        <f t="shared" si="10"/>
        <v>953099.62717901403</v>
      </c>
    </row>
    <row r="34" spans="1:7">
      <c r="A34" s="2">
        <v>2025</v>
      </c>
      <c r="B34" s="163">
        <f>conversion_to_TJ!H10*Dashboard!$D$11</f>
        <v>159451.91528304186</v>
      </c>
      <c r="C34" s="163">
        <f>conversion_to_TJ!H10*Dashboard!$D$12</f>
        <v>1330752.9004463216</v>
      </c>
      <c r="D34" s="163">
        <f>conversion_to_TJ!H12</f>
        <v>346188.65516955726</v>
      </c>
      <c r="E34" s="163">
        <f>conversion_to_TJ!H11</f>
        <v>122912.94786262172</v>
      </c>
      <c r="F34" s="163">
        <f>conversion_to_TJ!H13</f>
        <v>0</v>
      </c>
      <c r="G34" s="163">
        <f>conversion_to_TJ!H16*Dashboard!$D$14</f>
        <v>942683.99856452062</v>
      </c>
    </row>
    <row r="35" spans="1:7">
      <c r="A35" s="1">
        <v>2026</v>
      </c>
      <c r="B35" s="164">
        <f>B$34+(B$39-B$34)/($A$39-$A$34)*($A35-$A$34)</f>
        <v>153246.97910605857</v>
      </c>
      <c r="C35" s="164">
        <f t="shared" ref="C35:G35" si="11">C$34+(C$39-C$34)/($A$39-$A$34)*($A35-$A$34)</f>
        <v>1278967.7788944889</v>
      </c>
      <c r="D35" s="164">
        <f t="shared" si="11"/>
        <v>328950.07064494444</v>
      </c>
      <c r="E35" s="164">
        <f t="shared" si="11"/>
        <v>117233.30531876684</v>
      </c>
      <c r="F35" s="164">
        <f t="shared" si="11"/>
        <v>0</v>
      </c>
      <c r="G35" s="164">
        <f t="shared" si="11"/>
        <v>934834.37150575826</v>
      </c>
    </row>
    <row r="36" spans="1:7">
      <c r="A36" s="1">
        <v>2027</v>
      </c>
      <c r="B36" s="164">
        <f t="shared" ref="B36:G38" si="12">B$34+(B$39-B$34)/($A$39-$A$34)*($A36-$A$34)</f>
        <v>147042.04292907528</v>
      </c>
      <c r="C36" s="164">
        <f t="shared" si="12"/>
        <v>1227182.6573426565</v>
      </c>
      <c r="D36" s="164">
        <f t="shared" si="12"/>
        <v>311711.48612033162</v>
      </c>
      <c r="E36" s="164">
        <f t="shared" si="12"/>
        <v>111553.66277491197</v>
      </c>
      <c r="F36" s="164">
        <f t="shared" si="12"/>
        <v>0</v>
      </c>
      <c r="G36" s="164">
        <f t="shared" si="12"/>
        <v>926984.74444699602</v>
      </c>
    </row>
    <row r="37" spans="1:7">
      <c r="A37" s="1">
        <v>2028</v>
      </c>
      <c r="B37" s="164">
        <f t="shared" si="12"/>
        <v>140837.10675209199</v>
      </c>
      <c r="C37" s="164">
        <f t="shared" si="12"/>
        <v>1175397.5357908239</v>
      </c>
      <c r="D37" s="164">
        <f t="shared" si="12"/>
        <v>294472.90159571881</v>
      </c>
      <c r="E37" s="164">
        <f t="shared" si="12"/>
        <v>105874.02023105707</v>
      </c>
      <c r="F37" s="164">
        <f t="shared" si="12"/>
        <v>0</v>
      </c>
      <c r="G37" s="164">
        <f t="shared" si="12"/>
        <v>919135.11738823366</v>
      </c>
    </row>
    <row r="38" spans="1:7">
      <c r="A38" s="1">
        <v>2029</v>
      </c>
      <c r="B38" s="164">
        <f t="shared" si="12"/>
        <v>134632.1705751087</v>
      </c>
      <c r="C38" s="164">
        <f t="shared" si="12"/>
        <v>1123612.4142389914</v>
      </c>
      <c r="D38" s="164">
        <f t="shared" si="12"/>
        <v>277234.31707110599</v>
      </c>
      <c r="E38" s="164">
        <f t="shared" si="12"/>
        <v>100194.3776872022</v>
      </c>
      <c r="F38" s="164">
        <f t="shared" si="12"/>
        <v>0</v>
      </c>
      <c r="G38" s="164">
        <f t="shared" si="12"/>
        <v>911285.49032947142</v>
      </c>
    </row>
    <row r="39" spans="1:7">
      <c r="A39" s="2">
        <v>2030</v>
      </c>
      <c r="B39" s="163">
        <f>conversion_to_TJ!I10*Dashboard!$D$11</f>
        <v>128427.23439812539</v>
      </c>
      <c r="C39" s="163">
        <f>conversion_to_TJ!I10*Dashboard!$D$12</f>
        <v>1071827.2926871588</v>
      </c>
      <c r="D39" s="163">
        <f>conversion_to_TJ!I12</f>
        <v>259995.73254649318</v>
      </c>
      <c r="E39" s="163">
        <f>conversion_to_TJ!I11</f>
        <v>94514.735143347323</v>
      </c>
      <c r="F39" s="163">
        <f>conversion_to_TJ!I13</f>
        <v>0</v>
      </c>
      <c r="G39" s="163">
        <f>conversion_to_TJ!I16*Dashboard!$D$14</f>
        <v>903435.86327070906</v>
      </c>
    </row>
    <row r="40" spans="1:7">
      <c r="A40" s="1">
        <v>2031</v>
      </c>
      <c r="B40" s="164">
        <f>B$39+(B$44-B$39)/($A$44-$A$39)*($A40-$A$39)</f>
        <v>125148.99442665273</v>
      </c>
      <c r="C40" s="164">
        <f t="shared" ref="C40:G40" si="13">C$39+(C$44-C$39)/($A$44-$A$39)*($A40-$A$39)</f>
        <v>1044467.7759158963</v>
      </c>
      <c r="D40" s="164">
        <f t="shared" si="13"/>
        <v>244830.24397849853</v>
      </c>
      <c r="E40" s="164">
        <f t="shared" si="13"/>
        <v>90180.807599278589</v>
      </c>
      <c r="F40" s="164">
        <f t="shared" si="13"/>
        <v>0</v>
      </c>
      <c r="G40" s="164">
        <f t="shared" si="13"/>
        <v>902913.67094843951</v>
      </c>
    </row>
    <row r="41" spans="1:7">
      <c r="A41" s="1">
        <v>2032</v>
      </c>
      <c r="B41" s="164">
        <f t="shared" ref="B41:G43" si="14">B$39+(B$44-B$39)/($A$44-$A$39)*($A41-$A$39)</f>
        <v>121870.75445518007</v>
      </c>
      <c r="C41" s="164">
        <f t="shared" si="14"/>
        <v>1017108.2591446338</v>
      </c>
      <c r="D41" s="164">
        <f t="shared" si="14"/>
        <v>229664.75541050392</v>
      </c>
      <c r="E41" s="164">
        <f t="shared" si="14"/>
        <v>85846.88005520984</v>
      </c>
      <c r="F41" s="164">
        <f t="shared" si="14"/>
        <v>0</v>
      </c>
      <c r="G41" s="164">
        <f t="shared" si="14"/>
        <v>902391.47862616996</v>
      </c>
    </row>
    <row r="42" spans="1:7">
      <c r="A42" s="1">
        <v>2033</v>
      </c>
      <c r="B42" s="164">
        <f t="shared" si="14"/>
        <v>118592.5144837074</v>
      </c>
      <c r="C42" s="164">
        <f t="shared" si="14"/>
        <v>989748.74237337126</v>
      </c>
      <c r="D42" s="164">
        <f t="shared" si="14"/>
        <v>214499.26684250927</v>
      </c>
      <c r="E42" s="164">
        <f t="shared" si="14"/>
        <v>81512.952511141106</v>
      </c>
      <c r="F42" s="164">
        <f t="shared" si="14"/>
        <v>0</v>
      </c>
      <c r="G42" s="164">
        <f t="shared" si="14"/>
        <v>901869.2863039003</v>
      </c>
    </row>
    <row r="43" spans="1:7">
      <c r="A43" s="1">
        <v>2034</v>
      </c>
      <c r="B43" s="164">
        <f t="shared" si="14"/>
        <v>115314.27451223474</v>
      </c>
      <c r="C43" s="164">
        <f t="shared" si="14"/>
        <v>962389.22560210875</v>
      </c>
      <c r="D43" s="164">
        <f t="shared" si="14"/>
        <v>199333.77827451465</v>
      </c>
      <c r="E43" s="164">
        <f t="shared" si="14"/>
        <v>77179.024967072357</v>
      </c>
      <c r="F43" s="164">
        <f t="shared" si="14"/>
        <v>0</v>
      </c>
      <c r="G43" s="164">
        <f t="shared" si="14"/>
        <v>901347.09398163075</v>
      </c>
    </row>
    <row r="44" spans="1:7">
      <c r="A44" s="2">
        <v>2035</v>
      </c>
      <c r="B44" s="163">
        <f>conversion_to_TJ!J10*Dashboard!$D$11</f>
        <v>112036.03454076208</v>
      </c>
      <c r="C44" s="163">
        <f>conversion_to_TJ!J10*Dashboard!$D$12</f>
        <v>935029.70883084624</v>
      </c>
      <c r="D44" s="163">
        <f>conversion_to_TJ!J12</f>
        <v>184168.28970652001</v>
      </c>
      <c r="E44" s="163">
        <f>conversion_to_TJ!J11</f>
        <v>72845.097423003623</v>
      </c>
      <c r="F44" s="163">
        <f>conversion_to_TJ!J13</f>
        <v>0</v>
      </c>
      <c r="G44" s="163">
        <f>conversion_to_TJ!J16*Dashboard!$D$14</f>
        <v>900824.9016593612</v>
      </c>
    </row>
    <row r="45" spans="1:7">
      <c r="A45" s="1">
        <v>2036</v>
      </c>
      <c r="B45" s="164">
        <f>B$44+(B$49-B$44)/($A$49-$A$44)*($A45-$A$44)</f>
        <v>111953.8433560035</v>
      </c>
      <c r="C45" s="164">
        <f t="shared" ref="C45:G45" si="15">C$44+(C$49-C$44)/($A$49-$A$44)*($A45-$A$44)</f>
        <v>934343.75810197333</v>
      </c>
      <c r="D45" s="164">
        <f t="shared" si="15"/>
        <v>170430.02840878718</v>
      </c>
      <c r="E45" s="164">
        <f t="shared" si="15"/>
        <v>69510.415587972122</v>
      </c>
      <c r="F45" s="164">
        <f t="shared" si="15"/>
        <v>0</v>
      </c>
      <c r="G45" s="164">
        <f t="shared" si="15"/>
        <v>915092.91655790305</v>
      </c>
    </row>
    <row r="46" spans="1:7">
      <c r="A46" s="1">
        <v>2037</v>
      </c>
      <c r="B46" s="164">
        <f t="shared" ref="B46:G48" si="16">B$44+(B$49-B$44)/($A$49-$A$44)*($A46-$A$44)</f>
        <v>111871.65217124493</v>
      </c>
      <c r="C46" s="164">
        <f t="shared" si="16"/>
        <v>933657.80737310043</v>
      </c>
      <c r="D46" s="164">
        <f t="shared" si="16"/>
        <v>156691.76711105433</v>
      </c>
      <c r="E46" s="164">
        <f t="shared" si="16"/>
        <v>66175.733752940636</v>
      </c>
      <c r="F46" s="164">
        <f t="shared" si="16"/>
        <v>0</v>
      </c>
      <c r="G46" s="164">
        <f t="shared" si="16"/>
        <v>929360.9314564449</v>
      </c>
    </row>
    <row r="47" spans="1:7">
      <c r="A47" s="1">
        <v>2038</v>
      </c>
      <c r="B47" s="164">
        <f t="shared" si="16"/>
        <v>111789.46098648636</v>
      </c>
      <c r="C47" s="164">
        <f t="shared" si="16"/>
        <v>932971.8566442274</v>
      </c>
      <c r="D47" s="164">
        <f t="shared" si="16"/>
        <v>142953.50581332151</v>
      </c>
      <c r="E47" s="164">
        <f t="shared" si="16"/>
        <v>62841.051917909135</v>
      </c>
      <c r="F47" s="164">
        <f t="shared" si="16"/>
        <v>0</v>
      </c>
      <c r="G47" s="164">
        <f t="shared" si="16"/>
        <v>943628.94635498687</v>
      </c>
    </row>
    <row r="48" spans="1:7">
      <c r="A48" s="1">
        <v>2039</v>
      </c>
      <c r="B48" s="164">
        <f t="shared" si="16"/>
        <v>111707.26980172779</v>
      </c>
      <c r="C48" s="164">
        <f t="shared" si="16"/>
        <v>932285.90591535449</v>
      </c>
      <c r="D48" s="164">
        <f t="shared" si="16"/>
        <v>129215.24451558867</v>
      </c>
      <c r="E48" s="164">
        <f t="shared" si="16"/>
        <v>59506.370082877642</v>
      </c>
      <c r="F48" s="164">
        <f t="shared" si="16"/>
        <v>0</v>
      </c>
      <c r="G48" s="164">
        <f t="shared" si="16"/>
        <v>957896.96125352872</v>
      </c>
    </row>
    <row r="49" spans="1:7">
      <c r="A49" s="2">
        <v>2040</v>
      </c>
      <c r="B49" s="163">
        <f>conversion_to_TJ!K10*Dashboard!$D$11</f>
        <v>111625.07861696921</v>
      </c>
      <c r="C49" s="163">
        <f>conversion_to_TJ!K10*Dashboard!$D$12</f>
        <v>931599.95518648159</v>
      </c>
      <c r="D49" s="163">
        <f>conversion_to_TJ!K12</f>
        <v>115476.98321785583</v>
      </c>
      <c r="E49" s="163">
        <f>conversion_to_TJ!K11</f>
        <v>56171.688247846148</v>
      </c>
      <c r="F49" s="163">
        <f>conversion_to_TJ!K13</f>
        <v>0</v>
      </c>
      <c r="G49" s="163">
        <f>conversion_to_TJ!K16*Dashboard!$D$14</f>
        <v>972164.97615207057</v>
      </c>
    </row>
    <row r="50" spans="1:7">
      <c r="A50" s="1">
        <v>2041</v>
      </c>
      <c r="B50" s="164">
        <f>B$49+(B$54-B$49)/($A$54-$A$49)*($A50-$A$49)</f>
        <v>106330.94355324288</v>
      </c>
      <c r="C50" s="164">
        <f t="shared" ref="C50:G50" si="17">C$49+(C$54-C$49)/($A$54-$A$49)*($A50-$A$49)</f>
        <v>887416.19245837291</v>
      </c>
      <c r="D50" s="164">
        <f t="shared" si="17"/>
        <v>113789.39915631985</v>
      </c>
      <c r="E50" s="164">
        <f t="shared" si="17"/>
        <v>53614.042910422577</v>
      </c>
      <c r="F50" s="164">
        <f t="shared" si="17"/>
        <v>0</v>
      </c>
      <c r="G50" s="164">
        <f t="shared" si="17"/>
        <v>977839.07796017686</v>
      </c>
    </row>
    <row r="51" spans="1:7">
      <c r="A51" s="1">
        <v>2042</v>
      </c>
      <c r="B51" s="164">
        <f t="shared" ref="B51:G53" si="18">B$49+(B$54-B$49)/($A$54-$A$49)*($A51-$A$49)</f>
        <v>101036.80848951652</v>
      </c>
      <c r="C51" s="164">
        <f t="shared" si="18"/>
        <v>843232.42973026424</v>
      </c>
      <c r="D51" s="164">
        <f t="shared" si="18"/>
        <v>112101.81509478386</v>
      </c>
      <c r="E51" s="164">
        <f t="shared" si="18"/>
        <v>51056.397572999005</v>
      </c>
      <c r="F51" s="164">
        <f t="shared" si="18"/>
        <v>0</v>
      </c>
      <c r="G51" s="164">
        <f t="shared" si="18"/>
        <v>983513.17976828315</v>
      </c>
    </row>
    <row r="52" spans="1:7">
      <c r="A52" s="1">
        <v>2043</v>
      </c>
      <c r="B52" s="164">
        <f t="shared" si="18"/>
        <v>95742.673425790184</v>
      </c>
      <c r="C52" s="164">
        <f t="shared" si="18"/>
        <v>799048.66700215556</v>
      </c>
      <c r="D52" s="164">
        <f t="shared" si="18"/>
        <v>110414.23103324788</v>
      </c>
      <c r="E52" s="164">
        <f t="shared" si="18"/>
        <v>48498.752235575434</v>
      </c>
      <c r="F52" s="164">
        <f t="shared" si="18"/>
        <v>0</v>
      </c>
      <c r="G52" s="164">
        <f t="shared" si="18"/>
        <v>989187.28157638933</v>
      </c>
    </row>
    <row r="53" spans="1:7">
      <c r="A53" s="1">
        <v>2044</v>
      </c>
      <c r="B53" s="164">
        <f t="shared" si="18"/>
        <v>90448.538362063846</v>
      </c>
      <c r="C53" s="164">
        <f t="shared" si="18"/>
        <v>754864.90427404689</v>
      </c>
      <c r="D53" s="164">
        <f t="shared" si="18"/>
        <v>108726.64697171189</v>
      </c>
      <c r="E53" s="164">
        <f t="shared" si="18"/>
        <v>45941.106898151855</v>
      </c>
      <c r="F53" s="164">
        <f t="shared" si="18"/>
        <v>0</v>
      </c>
      <c r="G53" s="164">
        <f t="shared" si="18"/>
        <v>994861.38338449562</v>
      </c>
    </row>
    <row r="54" spans="1:7">
      <c r="A54" s="2">
        <v>2045</v>
      </c>
      <c r="B54" s="163">
        <f>conversion_to_TJ!L10*Dashboard!$D$11</f>
        <v>85154.403298337493</v>
      </c>
      <c r="C54" s="163">
        <f>conversion_to_TJ!L10*Dashboard!$D$12</f>
        <v>710681.14154593821</v>
      </c>
      <c r="D54" s="163">
        <f>conversion_to_TJ!L12</f>
        <v>107039.06291017591</v>
      </c>
      <c r="E54" s="163">
        <f>conversion_to_TJ!L11</f>
        <v>43383.461560728283</v>
      </c>
      <c r="F54" s="163">
        <f>conversion_to_TJ!L13</f>
        <v>0</v>
      </c>
      <c r="G54" s="163">
        <f>conversion_to_TJ!L16*Dashboard!$D$14</f>
        <v>1000535.4851926019</v>
      </c>
    </row>
    <row r="55" spans="1:7">
      <c r="A55" s="1">
        <v>2046</v>
      </c>
      <c r="B55" s="164">
        <f>B$54+(B$59-B$54)/($A$59-$A$54)*($A55-$A$54)</f>
        <v>93283.239602645233</v>
      </c>
      <c r="C55" s="164">
        <f t="shared" ref="C55:G55" si="19">C$54+(C$59-C$54)/($A$59-$A$54)*($A55-$A$54)</f>
        <v>778522.73799217015</v>
      </c>
      <c r="D55" s="164">
        <f t="shared" si="19"/>
        <v>105392.04758520916</v>
      </c>
      <c r="E55" s="164">
        <f t="shared" si="19"/>
        <v>34706.769248582626</v>
      </c>
      <c r="F55" s="164">
        <f t="shared" si="19"/>
        <v>0</v>
      </c>
      <c r="G55" s="164">
        <f t="shared" si="19"/>
        <v>1003164.8946786505</v>
      </c>
    </row>
    <row r="56" spans="1:7">
      <c r="A56" s="1">
        <v>2047</v>
      </c>
      <c r="B56" s="164">
        <f t="shared" ref="B56:G58" si="20">B$54+(B$59-B$54)/($A$59-$A$54)*($A56-$A$54)</f>
        <v>101412.07590695297</v>
      </c>
      <c r="C56" s="164">
        <f t="shared" si="20"/>
        <v>846364.33443840221</v>
      </c>
      <c r="D56" s="164">
        <f t="shared" si="20"/>
        <v>103745.03226024241</v>
      </c>
      <c r="E56" s="164">
        <f t="shared" si="20"/>
        <v>26030.07693643697</v>
      </c>
      <c r="F56" s="164">
        <f t="shared" si="20"/>
        <v>0</v>
      </c>
      <c r="G56" s="164">
        <f t="shared" si="20"/>
        <v>1005794.3041646993</v>
      </c>
    </row>
    <row r="57" spans="1:7">
      <c r="A57" s="1">
        <v>2048</v>
      </c>
      <c r="B57" s="164">
        <f t="shared" si="20"/>
        <v>109540.91221126073</v>
      </c>
      <c r="C57" s="164">
        <f t="shared" si="20"/>
        <v>914205.93088463414</v>
      </c>
      <c r="D57" s="164">
        <f t="shared" si="20"/>
        <v>102098.01693527566</v>
      </c>
      <c r="E57" s="164">
        <f t="shared" si="20"/>
        <v>17353.384624291313</v>
      </c>
      <c r="F57" s="164">
        <f t="shared" si="20"/>
        <v>0</v>
      </c>
      <c r="G57" s="164">
        <f t="shared" si="20"/>
        <v>1008423.7136507479</v>
      </c>
    </row>
    <row r="58" spans="1:7">
      <c r="A58" s="1">
        <v>2049</v>
      </c>
      <c r="B58" s="164">
        <f t="shared" si="20"/>
        <v>117669.74851556847</v>
      </c>
      <c r="C58" s="164">
        <f t="shared" si="20"/>
        <v>982047.52733086608</v>
      </c>
      <c r="D58" s="164">
        <f t="shared" si="20"/>
        <v>100451.00161030891</v>
      </c>
      <c r="E58" s="164">
        <f t="shared" si="20"/>
        <v>8676.6923121456566</v>
      </c>
      <c r="F58" s="164">
        <f t="shared" si="20"/>
        <v>0</v>
      </c>
      <c r="G58" s="164">
        <f t="shared" si="20"/>
        <v>1011053.1231367966</v>
      </c>
    </row>
    <row r="59" spans="1:7">
      <c r="A59" s="2">
        <v>2050</v>
      </c>
      <c r="B59" s="163">
        <f>conversion_to_TJ!M10*Dashboard!$D$11</f>
        <v>125798.58481987621</v>
      </c>
      <c r="C59" s="163">
        <f>conversion_to_TJ!M10*Dashboard!$D$12</f>
        <v>1049889.123777098</v>
      </c>
      <c r="D59" s="163">
        <f>conversion_to_TJ!M12</f>
        <v>98803.986285342166</v>
      </c>
      <c r="E59" s="163">
        <f>conversion_to_TJ!M11</f>
        <v>0</v>
      </c>
      <c r="F59" s="163">
        <f>conversion_to_TJ!M13</f>
        <v>0</v>
      </c>
      <c r="G59" s="163">
        <f>conversion_to_TJ!M16*Dashboard!$D$14</f>
        <v>1013682.5326228453</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sheetData>
    <row r="1" spans="1:7">
      <c r="A1" t="s">
        <v>0</v>
      </c>
      <c r="B1" t="s">
        <v>1</v>
      </c>
      <c r="C1" t="s">
        <v>2</v>
      </c>
      <c r="D1" t="s">
        <v>3</v>
      </c>
      <c r="E1" t="s">
        <v>4</v>
      </c>
      <c r="F1" t="s">
        <v>5</v>
      </c>
      <c r="G1" t="s">
        <v>6</v>
      </c>
    </row>
    <row r="2" spans="1:7">
      <c r="A2">
        <v>2010</v>
      </c>
      <c r="B2">
        <f>interpolation!B19</f>
        <v>354666.29</v>
      </c>
      <c r="C2">
        <f>interpolation!C19</f>
        <v>1534621.76</v>
      </c>
      <c r="D2">
        <f>interpolation!D19</f>
        <v>405737.47</v>
      </c>
      <c r="E2">
        <f>interpolation!E19</f>
        <v>138800.46</v>
      </c>
      <c r="F2">
        <f>interpolation!F19</f>
        <v>1533614.16</v>
      </c>
      <c r="G2">
        <f>interpolation!G19</f>
        <v>773521.61841366766</v>
      </c>
    </row>
    <row r="3" spans="1:7">
      <c r="A3">
        <v>2011</v>
      </c>
      <c r="B3">
        <f>interpolation!B20</f>
        <v>352869.28</v>
      </c>
      <c r="C3">
        <f>interpolation!C20</f>
        <v>1595225.06</v>
      </c>
      <c r="D3">
        <f>interpolation!D20</f>
        <v>455935.95</v>
      </c>
      <c r="E3">
        <f>interpolation!E20</f>
        <v>144628.23000000001</v>
      </c>
      <c r="F3">
        <f>interpolation!F20</f>
        <v>1178965.28</v>
      </c>
      <c r="G3">
        <f>interpolation!G20</f>
        <v>790077.38679511147</v>
      </c>
    </row>
    <row r="4" spans="1:7">
      <c r="A4">
        <v>2012</v>
      </c>
      <c r="B4">
        <f>interpolation!B21</f>
        <v>316825.83</v>
      </c>
      <c r="C4">
        <f>interpolation!C21</f>
        <v>1675934.42</v>
      </c>
      <c r="D4">
        <f>interpolation!D21</f>
        <v>400513.56</v>
      </c>
      <c r="E4">
        <f>interpolation!E21</f>
        <v>141223.07</v>
      </c>
      <c r="F4">
        <f>interpolation!F21</f>
        <v>1085213.49</v>
      </c>
      <c r="G4">
        <f>interpolation!G21</f>
        <v>806633.15517655516</v>
      </c>
    </row>
    <row r="5" spans="1:7">
      <c r="A5">
        <v>2013</v>
      </c>
      <c r="B5">
        <f>interpolation!B22</f>
        <v>275403.88666666666</v>
      </c>
      <c r="C5">
        <f>interpolation!C22</f>
        <v>1653265.2566666666</v>
      </c>
      <c r="D5">
        <f>interpolation!D22</f>
        <v>355421.73666666669</v>
      </c>
      <c r="E5">
        <f>interpolation!E22</f>
        <v>143550.72</v>
      </c>
      <c r="F5">
        <f>interpolation!F22</f>
        <v>1057242.9333333333</v>
      </c>
      <c r="G5">
        <f>interpolation!G22</f>
        <v>823188.92355799896</v>
      </c>
    </row>
    <row r="6" spans="1:7">
      <c r="A6">
        <v>2014</v>
      </c>
      <c r="B6">
        <f>interpolation!B23</f>
        <v>233981.94333333336</v>
      </c>
      <c r="C6">
        <f>interpolation!C23</f>
        <v>1630596.0933333333</v>
      </c>
      <c r="D6">
        <f>interpolation!D23</f>
        <v>310329.91333333333</v>
      </c>
      <c r="E6">
        <f>interpolation!E23</f>
        <v>145878.37000000002</v>
      </c>
      <c r="F6">
        <f>interpolation!F23</f>
        <v>1029272.3766666666</v>
      </c>
      <c r="G6">
        <f>interpolation!G23</f>
        <v>839744.69193944265</v>
      </c>
    </row>
    <row r="7" spans="1:7">
      <c r="A7">
        <v>2015</v>
      </c>
      <c r="B7">
        <f>interpolation!B24</f>
        <v>192560</v>
      </c>
      <c r="C7">
        <f>interpolation!C24</f>
        <v>1607926.93</v>
      </c>
      <c r="D7">
        <f>interpolation!D24</f>
        <v>265238.09000000003</v>
      </c>
      <c r="E7">
        <f>interpolation!E24</f>
        <v>148206.02000000002</v>
      </c>
      <c r="F7">
        <f>interpolation!F24</f>
        <v>1001301.82</v>
      </c>
      <c r="G7">
        <f>interpolation!G24</f>
        <v>856300.46032088646</v>
      </c>
    </row>
    <row r="8" spans="1:7">
      <c r="A8">
        <v>2016</v>
      </c>
      <c r="B8">
        <f>interpolation!B25</f>
        <v>187408.27501962555</v>
      </c>
      <c r="C8">
        <f>interpolation!C25</f>
        <v>1564759.5401918283</v>
      </c>
      <c r="D8">
        <f>interpolation!D25</f>
        <v>295046.41524991271</v>
      </c>
      <c r="E8">
        <f>interpolation!E25</f>
        <v>150460.92503461882</v>
      </c>
      <c r="F8">
        <f>interpolation!F25</f>
        <v>871995.84767210879</v>
      </c>
      <c r="G8">
        <f>interpolation!G25</f>
        <v>883992.79658410675</v>
      </c>
    </row>
    <row r="9" spans="1:7">
      <c r="A9">
        <v>2017</v>
      </c>
      <c r="B9">
        <f>interpolation!B26</f>
        <v>182256.55003925113</v>
      </c>
      <c r="C9">
        <f>interpolation!C26</f>
        <v>1521592.1503836566</v>
      </c>
      <c r="D9">
        <f>interpolation!D26</f>
        <v>324854.74049982533</v>
      </c>
      <c r="E9">
        <f>interpolation!E26</f>
        <v>152715.83006923762</v>
      </c>
      <c r="F9">
        <f>interpolation!F26</f>
        <v>742689.87534421764</v>
      </c>
      <c r="G9">
        <f>interpolation!G26</f>
        <v>911685.13284732692</v>
      </c>
    </row>
    <row r="10" spans="1:7">
      <c r="A10">
        <v>2018</v>
      </c>
      <c r="B10">
        <f>interpolation!B27</f>
        <v>177104.82505887668</v>
      </c>
      <c r="C10">
        <f>interpolation!C27</f>
        <v>1478424.760575485</v>
      </c>
      <c r="D10">
        <f>interpolation!D27</f>
        <v>354663.06574973802</v>
      </c>
      <c r="E10">
        <f>interpolation!E27</f>
        <v>154970.73510385645</v>
      </c>
      <c r="F10">
        <f>interpolation!F27</f>
        <v>613383.90301632648</v>
      </c>
      <c r="G10">
        <f>interpolation!G27</f>
        <v>939377.46911054722</v>
      </c>
    </row>
    <row r="11" spans="1:7">
      <c r="A11">
        <v>2019</v>
      </c>
      <c r="B11">
        <f>interpolation!B28</f>
        <v>171953.10007850226</v>
      </c>
      <c r="C11">
        <f>interpolation!C28</f>
        <v>1435257.3707673133</v>
      </c>
      <c r="D11">
        <f>interpolation!D28</f>
        <v>384471.3909996507</v>
      </c>
      <c r="E11">
        <f>interpolation!E28</f>
        <v>157225.64013847525</v>
      </c>
      <c r="F11">
        <f>interpolation!F28</f>
        <v>484077.93068843533</v>
      </c>
      <c r="G11">
        <f>interpolation!G28</f>
        <v>967069.80537376739</v>
      </c>
    </row>
    <row r="12" spans="1:7">
      <c r="A12">
        <v>2020</v>
      </c>
      <c r="B12">
        <f>interpolation!B29</f>
        <v>166801.37509812781</v>
      </c>
      <c r="C12">
        <f>interpolation!C29</f>
        <v>1392089.9809591416</v>
      </c>
      <c r="D12">
        <f>interpolation!D29</f>
        <v>414279.71624956332</v>
      </c>
      <c r="E12">
        <f>interpolation!E29</f>
        <v>159480.54517309405</v>
      </c>
      <c r="F12">
        <f>interpolation!F29</f>
        <v>354771.95836054417</v>
      </c>
      <c r="G12">
        <f>interpolation!G29</f>
        <v>994762.14163698768</v>
      </c>
    </row>
    <row r="13" spans="1:7">
      <c r="A13">
        <v>2021</v>
      </c>
      <c r="B13">
        <f>interpolation!B30</f>
        <v>165331.48313511061</v>
      </c>
      <c r="C13">
        <f>interpolation!C30</f>
        <v>1379822.5648565777</v>
      </c>
      <c r="D13">
        <f>interpolation!D30</f>
        <v>400661.50403356209</v>
      </c>
      <c r="E13">
        <f>interpolation!E30</f>
        <v>152167.02571099959</v>
      </c>
      <c r="F13">
        <f>interpolation!F30</f>
        <v>283817.56668843533</v>
      </c>
      <c r="G13">
        <f>interpolation!G30</f>
        <v>984346.51302249427</v>
      </c>
    </row>
    <row r="14" spans="1:7">
      <c r="A14">
        <v>2022</v>
      </c>
      <c r="B14">
        <f>interpolation!B31</f>
        <v>163861.59117209344</v>
      </c>
      <c r="C14">
        <f>interpolation!C31</f>
        <v>1367555.1487540137</v>
      </c>
      <c r="D14">
        <f>interpolation!D31</f>
        <v>387043.29181756091</v>
      </c>
      <c r="E14">
        <f>interpolation!E31</f>
        <v>144853.50624890512</v>
      </c>
      <c r="F14">
        <f>interpolation!F31</f>
        <v>212863.17501632651</v>
      </c>
      <c r="G14">
        <f>interpolation!G31</f>
        <v>973930.88440800086</v>
      </c>
    </row>
    <row r="15" spans="1:7">
      <c r="A15">
        <v>2023</v>
      </c>
      <c r="B15">
        <f>interpolation!B32</f>
        <v>162391.69920907624</v>
      </c>
      <c r="C15">
        <f>interpolation!C32</f>
        <v>1355287.7326514495</v>
      </c>
      <c r="D15">
        <f>interpolation!D32</f>
        <v>373425.07960155967</v>
      </c>
      <c r="E15">
        <f>interpolation!E32</f>
        <v>137539.98678681065</v>
      </c>
      <c r="F15">
        <f>interpolation!F32</f>
        <v>141908.78334421769</v>
      </c>
      <c r="G15">
        <f>interpolation!G32</f>
        <v>963515.25579350744</v>
      </c>
    </row>
    <row r="16" spans="1:7">
      <c r="A16">
        <v>2024</v>
      </c>
      <c r="B16">
        <f>interpolation!B33</f>
        <v>160921.80724605906</v>
      </c>
      <c r="C16">
        <f>interpolation!C33</f>
        <v>1343020.3165488855</v>
      </c>
      <c r="D16">
        <f>interpolation!D33</f>
        <v>359806.86738555849</v>
      </c>
      <c r="E16">
        <f>interpolation!E33</f>
        <v>130226.46732471618</v>
      </c>
      <c r="F16">
        <f>interpolation!F33</f>
        <v>70954.391672108846</v>
      </c>
      <c r="G16">
        <f>interpolation!G33</f>
        <v>953099.62717901403</v>
      </c>
    </row>
    <row r="17" spans="1:7">
      <c r="A17">
        <v>2025</v>
      </c>
      <c r="B17">
        <f>interpolation!B34</f>
        <v>159451.91528304186</v>
      </c>
      <c r="C17">
        <f>interpolation!C34</f>
        <v>1330752.9004463216</v>
      </c>
      <c r="D17">
        <f>interpolation!D34</f>
        <v>346188.65516955726</v>
      </c>
      <c r="E17">
        <f>interpolation!E34</f>
        <v>122912.94786262172</v>
      </c>
      <c r="F17">
        <f>interpolation!F34</f>
        <v>0</v>
      </c>
      <c r="G17">
        <f>interpolation!G34</f>
        <v>942683.99856452062</v>
      </c>
    </row>
    <row r="18" spans="1:7">
      <c r="A18">
        <v>2026</v>
      </c>
      <c r="B18">
        <f>interpolation!B35</f>
        <v>153246.97910605857</v>
      </c>
      <c r="C18">
        <f>interpolation!C35</f>
        <v>1278967.7788944889</v>
      </c>
      <c r="D18">
        <f>interpolation!D35</f>
        <v>328950.07064494444</v>
      </c>
      <c r="E18">
        <f>interpolation!E35</f>
        <v>117233.30531876684</v>
      </c>
      <c r="F18">
        <f>interpolation!F35</f>
        <v>0</v>
      </c>
      <c r="G18">
        <f>interpolation!G35</f>
        <v>934834.37150575826</v>
      </c>
    </row>
    <row r="19" spans="1:7">
      <c r="A19">
        <v>2027</v>
      </c>
      <c r="B19">
        <f>interpolation!B36</f>
        <v>147042.04292907528</v>
      </c>
      <c r="C19">
        <f>interpolation!C36</f>
        <v>1227182.6573426565</v>
      </c>
      <c r="D19">
        <f>interpolation!D36</f>
        <v>311711.48612033162</v>
      </c>
      <c r="E19">
        <f>interpolation!E36</f>
        <v>111553.66277491197</v>
      </c>
      <c r="F19">
        <f>interpolation!F36</f>
        <v>0</v>
      </c>
      <c r="G19">
        <f>interpolation!G36</f>
        <v>926984.74444699602</v>
      </c>
    </row>
    <row r="20" spans="1:7">
      <c r="A20">
        <v>2028</v>
      </c>
      <c r="B20">
        <f>interpolation!B37</f>
        <v>140837.10675209199</v>
      </c>
      <c r="C20">
        <f>interpolation!C37</f>
        <v>1175397.5357908239</v>
      </c>
      <c r="D20">
        <f>interpolation!D37</f>
        <v>294472.90159571881</v>
      </c>
      <c r="E20">
        <f>interpolation!E37</f>
        <v>105874.02023105707</v>
      </c>
      <c r="F20">
        <f>interpolation!F37</f>
        <v>0</v>
      </c>
      <c r="G20">
        <f>interpolation!G37</f>
        <v>919135.11738823366</v>
      </c>
    </row>
    <row r="21" spans="1:7">
      <c r="A21">
        <v>2029</v>
      </c>
      <c r="B21">
        <f>interpolation!B38</f>
        <v>134632.1705751087</v>
      </c>
      <c r="C21">
        <f>interpolation!C38</f>
        <v>1123612.4142389914</v>
      </c>
      <c r="D21">
        <f>interpolation!D38</f>
        <v>277234.31707110599</v>
      </c>
      <c r="E21">
        <f>interpolation!E38</f>
        <v>100194.3776872022</v>
      </c>
      <c r="F21">
        <f>interpolation!F38</f>
        <v>0</v>
      </c>
      <c r="G21">
        <f>interpolation!G38</f>
        <v>911285.49032947142</v>
      </c>
    </row>
    <row r="22" spans="1:7">
      <c r="A22">
        <v>2030</v>
      </c>
      <c r="B22">
        <f>interpolation!B39</f>
        <v>128427.23439812539</v>
      </c>
      <c r="C22">
        <f>interpolation!C39</f>
        <v>1071827.2926871588</v>
      </c>
      <c r="D22">
        <f>interpolation!D39</f>
        <v>259995.73254649318</v>
      </c>
      <c r="E22">
        <f>interpolation!E39</f>
        <v>94514.735143347323</v>
      </c>
      <c r="F22">
        <f>interpolation!F39</f>
        <v>0</v>
      </c>
      <c r="G22">
        <f>interpolation!G39</f>
        <v>903435.86327070906</v>
      </c>
    </row>
    <row r="23" spans="1:7">
      <c r="A23">
        <v>2031</v>
      </c>
      <c r="B23">
        <f>interpolation!B40</f>
        <v>125148.99442665273</v>
      </c>
      <c r="C23">
        <f>interpolation!C40</f>
        <v>1044467.7759158963</v>
      </c>
      <c r="D23">
        <f>interpolation!D40</f>
        <v>244830.24397849853</v>
      </c>
      <c r="E23">
        <f>interpolation!E40</f>
        <v>90180.807599278589</v>
      </c>
      <c r="F23">
        <f>interpolation!F40</f>
        <v>0</v>
      </c>
      <c r="G23">
        <f>interpolation!G40</f>
        <v>902913.67094843951</v>
      </c>
    </row>
    <row r="24" spans="1:7">
      <c r="A24">
        <v>2032</v>
      </c>
      <c r="B24">
        <f>interpolation!B41</f>
        <v>121870.75445518007</v>
      </c>
      <c r="C24">
        <f>interpolation!C41</f>
        <v>1017108.2591446338</v>
      </c>
      <c r="D24">
        <f>interpolation!D41</f>
        <v>229664.75541050392</v>
      </c>
      <c r="E24">
        <f>interpolation!E41</f>
        <v>85846.88005520984</v>
      </c>
      <c r="F24">
        <f>interpolation!F41</f>
        <v>0</v>
      </c>
      <c r="G24">
        <f>interpolation!G41</f>
        <v>902391.47862616996</v>
      </c>
    </row>
    <row r="25" spans="1:7">
      <c r="A25">
        <v>2033</v>
      </c>
      <c r="B25">
        <f>interpolation!B42</f>
        <v>118592.5144837074</v>
      </c>
      <c r="C25">
        <f>interpolation!C42</f>
        <v>989748.74237337126</v>
      </c>
      <c r="D25">
        <f>interpolation!D42</f>
        <v>214499.26684250927</v>
      </c>
      <c r="E25">
        <f>interpolation!E42</f>
        <v>81512.952511141106</v>
      </c>
      <c r="F25">
        <f>interpolation!F42</f>
        <v>0</v>
      </c>
      <c r="G25">
        <f>interpolation!G42</f>
        <v>901869.2863039003</v>
      </c>
    </row>
    <row r="26" spans="1:7">
      <c r="A26">
        <v>2034</v>
      </c>
      <c r="B26">
        <f>interpolation!B43</f>
        <v>115314.27451223474</v>
      </c>
      <c r="C26">
        <f>interpolation!C43</f>
        <v>962389.22560210875</v>
      </c>
      <c r="D26">
        <f>interpolation!D43</f>
        <v>199333.77827451465</v>
      </c>
      <c r="E26">
        <f>interpolation!E43</f>
        <v>77179.024967072357</v>
      </c>
      <c r="F26">
        <f>interpolation!F43</f>
        <v>0</v>
      </c>
      <c r="G26">
        <f>interpolation!G43</f>
        <v>901347.09398163075</v>
      </c>
    </row>
    <row r="27" spans="1:7">
      <c r="A27">
        <v>2035</v>
      </c>
      <c r="B27">
        <f>interpolation!B44</f>
        <v>112036.03454076208</v>
      </c>
      <c r="C27">
        <f>interpolation!C44</f>
        <v>935029.70883084624</v>
      </c>
      <c r="D27">
        <f>interpolation!D44</f>
        <v>184168.28970652001</v>
      </c>
      <c r="E27">
        <f>interpolation!E44</f>
        <v>72845.097423003623</v>
      </c>
      <c r="F27">
        <f>interpolation!F44</f>
        <v>0</v>
      </c>
      <c r="G27">
        <f>interpolation!G44</f>
        <v>900824.9016593612</v>
      </c>
    </row>
    <row r="28" spans="1:7">
      <c r="A28">
        <v>2036</v>
      </c>
      <c r="B28">
        <f>interpolation!B45</f>
        <v>111953.8433560035</v>
      </c>
      <c r="C28">
        <f>interpolation!C45</f>
        <v>934343.75810197333</v>
      </c>
      <c r="D28">
        <f>interpolation!D45</f>
        <v>170430.02840878718</v>
      </c>
      <c r="E28">
        <f>interpolation!E45</f>
        <v>69510.415587972122</v>
      </c>
      <c r="F28">
        <f>interpolation!F45</f>
        <v>0</v>
      </c>
      <c r="G28">
        <f>interpolation!G45</f>
        <v>915092.91655790305</v>
      </c>
    </row>
    <row r="29" spans="1:7">
      <c r="A29">
        <v>2037</v>
      </c>
      <c r="B29">
        <f>interpolation!B46</f>
        <v>111871.65217124493</v>
      </c>
      <c r="C29">
        <f>interpolation!C46</f>
        <v>933657.80737310043</v>
      </c>
      <c r="D29">
        <f>interpolation!D46</f>
        <v>156691.76711105433</v>
      </c>
      <c r="E29">
        <f>interpolation!E46</f>
        <v>66175.733752940636</v>
      </c>
      <c r="F29">
        <f>interpolation!F46</f>
        <v>0</v>
      </c>
      <c r="G29">
        <f>interpolation!G46</f>
        <v>929360.9314564449</v>
      </c>
    </row>
    <row r="30" spans="1:7">
      <c r="A30">
        <v>2038</v>
      </c>
      <c r="B30">
        <f>interpolation!B47</f>
        <v>111789.46098648636</v>
      </c>
      <c r="C30">
        <f>interpolation!C47</f>
        <v>932971.8566442274</v>
      </c>
      <c r="D30">
        <f>interpolation!D47</f>
        <v>142953.50581332151</v>
      </c>
      <c r="E30">
        <f>interpolation!E47</f>
        <v>62841.051917909135</v>
      </c>
      <c r="F30">
        <f>interpolation!F47</f>
        <v>0</v>
      </c>
      <c r="G30">
        <f>interpolation!G47</f>
        <v>943628.94635498687</v>
      </c>
    </row>
    <row r="31" spans="1:7">
      <c r="A31">
        <v>2039</v>
      </c>
      <c r="B31">
        <f>interpolation!B48</f>
        <v>111707.26980172779</v>
      </c>
      <c r="C31">
        <f>interpolation!C48</f>
        <v>932285.90591535449</v>
      </c>
      <c r="D31">
        <f>interpolation!D48</f>
        <v>129215.24451558867</v>
      </c>
      <c r="E31">
        <f>interpolation!E48</f>
        <v>59506.370082877642</v>
      </c>
      <c r="F31">
        <f>interpolation!F48</f>
        <v>0</v>
      </c>
      <c r="G31">
        <f>interpolation!G48</f>
        <v>957896.96125352872</v>
      </c>
    </row>
    <row r="32" spans="1:7">
      <c r="A32">
        <v>2040</v>
      </c>
      <c r="B32">
        <f>interpolation!B49</f>
        <v>111625.07861696921</v>
      </c>
      <c r="C32">
        <f>interpolation!C49</f>
        <v>931599.95518648159</v>
      </c>
      <c r="D32">
        <f>interpolation!D49</f>
        <v>115476.98321785583</v>
      </c>
      <c r="E32">
        <f>interpolation!E49</f>
        <v>56171.688247846148</v>
      </c>
      <c r="F32">
        <f>interpolation!F49</f>
        <v>0</v>
      </c>
      <c r="G32">
        <f>interpolation!G49</f>
        <v>972164.97615207057</v>
      </c>
    </row>
    <row r="33" spans="1:7">
      <c r="A33">
        <v>2041</v>
      </c>
      <c r="B33">
        <f>interpolation!B50</f>
        <v>106330.94355324288</v>
      </c>
      <c r="C33">
        <f>interpolation!C50</f>
        <v>887416.19245837291</v>
      </c>
      <c r="D33">
        <f>interpolation!D50</f>
        <v>113789.39915631985</v>
      </c>
      <c r="E33">
        <f>interpolation!E50</f>
        <v>53614.042910422577</v>
      </c>
      <c r="F33">
        <f>interpolation!F50</f>
        <v>0</v>
      </c>
      <c r="G33">
        <f>interpolation!G50</f>
        <v>977839.07796017686</v>
      </c>
    </row>
    <row r="34" spans="1:7">
      <c r="A34">
        <v>2042</v>
      </c>
      <c r="B34">
        <f>interpolation!B51</f>
        <v>101036.80848951652</v>
      </c>
      <c r="C34">
        <f>interpolation!C51</f>
        <v>843232.42973026424</v>
      </c>
      <c r="D34">
        <f>interpolation!D51</f>
        <v>112101.81509478386</v>
      </c>
      <c r="E34">
        <f>interpolation!E51</f>
        <v>51056.397572999005</v>
      </c>
      <c r="F34">
        <f>interpolation!F51</f>
        <v>0</v>
      </c>
      <c r="G34">
        <f>interpolation!G51</f>
        <v>983513.17976828315</v>
      </c>
    </row>
    <row r="35" spans="1:7">
      <c r="A35">
        <v>2043</v>
      </c>
      <c r="B35">
        <f>interpolation!B52</f>
        <v>95742.673425790184</v>
      </c>
      <c r="C35">
        <f>interpolation!C52</f>
        <v>799048.66700215556</v>
      </c>
      <c r="D35">
        <f>interpolation!D52</f>
        <v>110414.23103324788</v>
      </c>
      <c r="E35">
        <f>interpolation!E52</f>
        <v>48498.752235575434</v>
      </c>
      <c r="F35">
        <f>interpolation!F52</f>
        <v>0</v>
      </c>
      <c r="G35">
        <f>interpolation!G52</f>
        <v>989187.28157638933</v>
      </c>
    </row>
    <row r="36" spans="1:7">
      <c r="A36">
        <v>2044</v>
      </c>
      <c r="B36">
        <f>interpolation!B53</f>
        <v>90448.538362063846</v>
      </c>
      <c r="C36">
        <f>interpolation!C53</f>
        <v>754864.90427404689</v>
      </c>
      <c r="D36">
        <f>interpolation!D53</f>
        <v>108726.64697171189</v>
      </c>
      <c r="E36">
        <f>interpolation!E53</f>
        <v>45941.106898151855</v>
      </c>
      <c r="F36">
        <f>interpolation!F53</f>
        <v>0</v>
      </c>
      <c r="G36">
        <f>interpolation!G53</f>
        <v>994861.38338449562</v>
      </c>
    </row>
    <row r="37" spans="1:7">
      <c r="A37">
        <v>2045</v>
      </c>
      <c r="B37">
        <f>interpolation!B54</f>
        <v>85154.403298337493</v>
      </c>
      <c r="C37">
        <f>interpolation!C54</f>
        <v>710681.14154593821</v>
      </c>
      <c r="D37">
        <f>interpolation!D54</f>
        <v>107039.06291017591</v>
      </c>
      <c r="E37">
        <f>interpolation!E54</f>
        <v>43383.461560728283</v>
      </c>
      <c r="F37">
        <f>interpolation!F54</f>
        <v>0</v>
      </c>
      <c r="G37">
        <f>interpolation!G54</f>
        <v>1000535.4851926019</v>
      </c>
    </row>
    <row r="38" spans="1:7">
      <c r="A38">
        <v>2046</v>
      </c>
      <c r="B38">
        <f>interpolation!B55</f>
        <v>93283.239602645233</v>
      </c>
      <c r="C38">
        <f>interpolation!C55</f>
        <v>778522.73799217015</v>
      </c>
      <c r="D38">
        <f>interpolation!D55</f>
        <v>105392.04758520916</v>
      </c>
      <c r="E38">
        <f>interpolation!E55</f>
        <v>34706.769248582626</v>
      </c>
      <c r="F38">
        <f>interpolation!F55</f>
        <v>0</v>
      </c>
      <c r="G38">
        <f>interpolation!G55</f>
        <v>1003164.8946786505</v>
      </c>
    </row>
    <row r="39" spans="1:7">
      <c r="A39">
        <v>2047</v>
      </c>
      <c r="B39">
        <f>interpolation!B56</f>
        <v>101412.07590695297</v>
      </c>
      <c r="C39">
        <f>interpolation!C56</f>
        <v>846364.33443840221</v>
      </c>
      <c r="D39">
        <f>interpolation!D56</f>
        <v>103745.03226024241</v>
      </c>
      <c r="E39">
        <f>interpolation!E56</f>
        <v>26030.07693643697</v>
      </c>
      <c r="F39">
        <f>interpolation!F56</f>
        <v>0</v>
      </c>
      <c r="G39">
        <f>interpolation!G56</f>
        <v>1005794.3041646993</v>
      </c>
    </row>
    <row r="40" spans="1:7">
      <c r="A40">
        <v>2048</v>
      </c>
      <c r="B40">
        <f>interpolation!B57</f>
        <v>109540.91221126073</v>
      </c>
      <c r="C40">
        <f>interpolation!C57</f>
        <v>914205.93088463414</v>
      </c>
      <c r="D40">
        <f>interpolation!D57</f>
        <v>102098.01693527566</v>
      </c>
      <c r="E40">
        <f>interpolation!E57</f>
        <v>17353.384624291313</v>
      </c>
      <c r="F40">
        <f>interpolation!F57</f>
        <v>0</v>
      </c>
      <c r="G40">
        <f>interpolation!G57</f>
        <v>1008423.7136507479</v>
      </c>
    </row>
    <row r="41" spans="1:7">
      <c r="A41">
        <v>2049</v>
      </c>
      <c r="B41">
        <f>interpolation!B58</f>
        <v>117669.74851556847</v>
      </c>
      <c r="C41">
        <f>interpolation!C58</f>
        <v>982047.52733086608</v>
      </c>
      <c r="D41">
        <f>interpolation!D58</f>
        <v>100451.00161030891</v>
      </c>
      <c r="E41">
        <f>interpolation!E58</f>
        <v>8676.6923121456566</v>
      </c>
      <c r="F41">
        <f>interpolation!F58</f>
        <v>0</v>
      </c>
      <c r="G41">
        <f>interpolation!G58</f>
        <v>1011053.1231367966</v>
      </c>
    </row>
    <row r="42" spans="1:7">
      <c r="A42">
        <v>2050</v>
      </c>
      <c r="B42">
        <f>interpolation!B59</f>
        <v>125798.58481987621</v>
      </c>
      <c r="C42">
        <f>interpolation!C59</f>
        <v>1049889.123777098</v>
      </c>
      <c r="D42">
        <f>interpolation!D59</f>
        <v>98803.986285342166</v>
      </c>
      <c r="E42">
        <f>interpolation!E59</f>
        <v>0</v>
      </c>
      <c r="F42">
        <f>interpolation!F59</f>
        <v>0</v>
      </c>
      <c r="G42">
        <f>interpolation!G59</f>
        <v>1013682.5326228453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Alexander Wirtz</cp:lastModifiedBy>
  <dcterms:created xsi:type="dcterms:W3CDTF">2014-06-04T09:13:49Z</dcterms:created>
  <dcterms:modified xsi:type="dcterms:W3CDTF">2018-08-02T14:16:23Z</dcterms:modified>
</cp:coreProperties>
</file>