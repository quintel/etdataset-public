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56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11" i="2" l="1"/>
  <c r="E10" i="6"/>
  <c r="B19" i="5"/>
  <c r="F10" i="6"/>
  <c r="B24" i="5"/>
  <c r="B20" i="5"/>
  <c r="B3" i="3"/>
  <c r="C19" i="5"/>
  <c r="C24" i="5"/>
  <c r="C20" i="5"/>
  <c r="C3" i="3"/>
  <c r="E12" i="6"/>
  <c r="D19" i="5"/>
  <c r="F12" i="6"/>
  <c r="D24" i="5"/>
  <c r="D20" i="5"/>
  <c r="D3" i="3"/>
  <c r="E11" i="6"/>
  <c r="E19" i="5"/>
  <c r="F11" i="6"/>
  <c r="E24" i="5"/>
  <c r="E20" i="5"/>
  <c r="E3" i="3"/>
  <c r="E13" i="6"/>
  <c r="F19" i="5"/>
  <c r="F13" i="6"/>
  <c r="F24" i="5"/>
  <c r="F20" i="5"/>
  <c r="F3" i="3"/>
  <c r="E16" i="6"/>
  <c r="G19" i="5"/>
  <c r="F16" i="6"/>
  <c r="G24" i="5"/>
  <c r="G20" i="5"/>
  <c r="G3" i="3"/>
  <c r="B21" i="5"/>
  <c r="B4" i="3"/>
  <c r="C21" i="5"/>
  <c r="C4" i="3"/>
  <c r="D21" i="5"/>
  <c r="D4" i="3"/>
  <c r="E21" i="5"/>
  <c r="E4" i="3"/>
  <c r="F21" i="5"/>
  <c r="F4" i="3"/>
  <c r="G21" i="5"/>
  <c r="G4" i="3"/>
  <c r="B22" i="5"/>
  <c r="B5" i="3"/>
  <c r="C22" i="5"/>
  <c r="C5" i="3"/>
  <c r="D22" i="5"/>
  <c r="D5" i="3"/>
  <c r="E22" i="5"/>
  <c r="E5" i="3"/>
  <c r="F22" i="5"/>
  <c r="F5" i="3"/>
  <c r="G22" i="5"/>
  <c r="G5" i="3"/>
  <c r="B23" i="5"/>
  <c r="B6" i="3"/>
  <c r="C23" i="5"/>
  <c r="C6" i="3"/>
  <c r="D23" i="5"/>
  <c r="D6" i="3"/>
  <c r="E23" i="5"/>
  <c r="E6" i="3"/>
  <c r="F23" i="5"/>
  <c r="F6" i="3"/>
  <c r="G23" i="5"/>
  <c r="G6" i="3"/>
  <c r="B7" i="3"/>
  <c r="C7" i="3"/>
  <c r="D7" i="3"/>
  <c r="E7" i="3"/>
  <c r="F7" i="3"/>
  <c r="G7" i="3"/>
  <c r="G10" i="6"/>
  <c r="B29" i="5"/>
  <c r="B25" i="5"/>
  <c r="B8" i="3"/>
  <c r="C29" i="5"/>
  <c r="C25" i="5"/>
  <c r="C8" i="3"/>
  <c r="G12" i="6"/>
  <c r="D29" i="5"/>
  <c r="D25" i="5"/>
  <c r="D8" i="3"/>
  <c r="G11" i="6"/>
  <c r="E29" i="5"/>
  <c r="E25" i="5"/>
  <c r="E8" i="3"/>
  <c r="G13" i="6"/>
  <c r="F29" i="5"/>
  <c r="F25" i="5"/>
  <c r="F8" i="3"/>
  <c r="G16" i="6"/>
  <c r="G29" i="5"/>
  <c r="G25" i="5"/>
  <c r="G8" i="3"/>
  <c r="B26" i="5"/>
  <c r="B9" i="3"/>
  <c r="C26" i="5"/>
  <c r="C9" i="3"/>
  <c r="D26" i="5"/>
  <c r="D9" i="3"/>
  <c r="E26" i="5"/>
  <c r="E9" i="3"/>
  <c r="F26" i="5"/>
  <c r="F9" i="3"/>
  <c r="G26" i="5"/>
  <c r="G9" i="3"/>
  <c r="B27" i="5"/>
  <c r="B10" i="3"/>
  <c r="C27" i="5"/>
  <c r="C10" i="3"/>
  <c r="D27" i="5"/>
  <c r="D10" i="3"/>
  <c r="E27" i="5"/>
  <c r="E10" i="3"/>
  <c r="F27" i="5"/>
  <c r="F10" i="3"/>
  <c r="G27" i="5"/>
  <c r="G10" i="3"/>
  <c r="B28" i="5"/>
  <c r="B11" i="3"/>
  <c r="C28" i="5"/>
  <c r="C11" i="3"/>
  <c r="D28" i="5"/>
  <c r="D11" i="3"/>
  <c r="E28" i="5"/>
  <c r="E11" i="3"/>
  <c r="F28" i="5"/>
  <c r="F11" i="3"/>
  <c r="G28" i="5"/>
  <c r="G11" i="3"/>
  <c r="B12" i="3"/>
  <c r="C12" i="3"/>
  <c r="D12" i="3"/>
  <c r="E12" i="3"/>
  <c r="F12" i="3"/>
  <c r="G12" i="3"/>
  <c r="H10" i="6"/>
  <c r="B34" i="5"/>
  <c r="B30" i="5"/>
  <c r="B13" i="3"/>
  <c r="C34" i="5"/>
  <c r="C30" i="5"/>
  <c r="C13" i="3"/>
  <c r="H12" i="6"/>
  <c r="D34" i="5"/>
  <c r="D30" i="5"/>
  <c r="D13" i="3"/>
  <c r="H11" i="6"/>
  <c r="E34" i="5"/>
  <c r="E30" i="5"/>
  <c r="E13" i="3"/>
  <c r="H13" i="6"/>
  <c r="F34" i="5"/>
  <c r="F30" i="5"/>
  <c r="F13" i="3"/>
  <c r="H16" i="6"/>
  <c r="G34" i="5"/>
  <c r="G30" i="5"/>
  <c r="G13" i="3"/>
  <c r="B31" i="5"/>
  <c r="B14" i="3"/>
  <c r="C31" i="5"/>
  <c r="C14" i="3"/>
  <c r="D31" i="5"/>
  <c r="D14" i="3"/>
  <c r="E31" i="5"/>
  <c r="E14" i="3"/>
  <c r="F31" i="5"/>
  <c r="F14" i="3"/>
  <c r="G31" i="5"/>
  <c r="G14" i="3"/>
  <c r="B32" i="5"/>
  <c r="B15" i="3"/>
  <c r="C32" i="5"/>
  <c r="C15" i="3"/>
  <c r="D32" i="5"/>
  <c r="D15" i="3"/>
  <c r="E32" i="5"/>
  <c r="E15" i="3"/>
  <c r="F32" i="5"/>
  <c r="F15" i="3"/>
  <c r="G32" i="5"/>
  <c r="G15" i="3"/>
  <c r="B33" i="5"/>
  <c r="B16" i="3"/>
  <c r="C33" i="5"/>
  <c r="C16" i="3"/>
  <c r="D33" i="5"/>
  <c r="D16" i="3"/>
  <c r="E33" i="5"/>
  <c r="E16" i="3"/>
  <c r="F33" i="5"/>
  <c r="F16" i="3"/>
  <c r="G33" i="5"/>
  <c r="G16" i="3"/>
  <c r="B17" i="3"/>
  <c r="C17" i="3"/>
  <c r="D17" i="3"/>
  <c r="E17" i="3"/>
  <c r="F17" i="3"/>
  <c r="G17" i="3"/>
  <c r="I10" i="6"/>
  <c r="B39" i="5"/>
  <c r="B35" i="5"/>
  <c r="B18" i="3"/>
  <c r="C39" i="5"/>
  <c r="C35" i="5"/>
  <c r="C18" i="3"/>
  <c r="I12" i="6"/>
  <c r="D39" i="5"/>
  <c r="D35" i="5"/>
  <c r="D18" i="3"/>
  <c r="I11" i="6"/>
  <c r="E39" i="5"/>
  <c r="E35" i="5"/>
  <c r="E18" i="3"/>
  <c r="I13" i="6"/>
  <c r="F39" i="5"/>
  <c r="F35" i="5"/>
  <c r="F18" i="3"/>
  <c r="I16" i="6"/>
  <c r="G39" i="5"/>
  <c r="G35" i="5"/>
  <c r="G18" i="3"/>
  <c r="B36" i="5"/>
  <c r="B19" i="3"/>
  <c r="C36" i="5"/>
  <c r="C19" i="3"/>
  <c r="D36" i="5"/>
  <c r="D19" i="3"/>
  <c r="E36" i="5"/>
  <c r="E19" i="3"/>
  <c r="F36" i="5"/>
  <c r="F19" i="3"/>
  <c r="G36" i="5"/>
  <c r="G19" i="3"/>
  <c r="B37" i="5"/>
  <c r="B20" i="3"/>
  <c r="C37" i="5"/>
  <c r="C20" i="3"/>
  <c r="D37" i="5"/>
  <c r="D20" i="3"/>
  <c r="E37" i="5"/>
  <c r="E20" i="3"/>
  <c r="F37" i="5"/>
  <c r="F20" i="3"/>
  <c r="G37" i="5"/>
  <c r="G20" i="3"/>
  <c r="B38" i="5"/>
  <c r="B21" i="3"/>
  <c r="C38" i="5"/>
  <c r="C21" i="3"/>
  <c r="D38" i="5"/>
  <c r="D21" i="3"/>
  <c r="E38" i="5"/>
  <c r="E21" i="3"/>
  <c r="F38" i="5"/>
  <c r="F21" i="3"/>
  <c r="G38" i="5"/>
  <c r="G21" i="3"/>
  <c r="B22" i="3"/>
  <c r="C22" i="3"/>
  <c r="D22" i="3"/>
  <c r="E22" i="3"/>
  <c r="F22" i="3"/>
  <c r="G22" i="3"/>
  <c r="J10" i="6"/>
  <c r="B44" i="5"/>
  <c r="B40" i="5"/>
  <c r="B23" i="3"/>
  <c r="C44" i="5"/>
  <c r="C40" i="5"/>
  <c r="C23" i="3"/>
  <c r="J12" i="6"/>
  <c r="D44" i="5"/>
  <c r="D40" i="5"/>
  <c r="D23" i="3"/>
  <c r="J11" i="6"/>
  <c r="E44" i="5"/>
  <c r="E40" i="5"/>
  <c r="E23" i="3"/>
  <c r="J13" i="6"/>
  <c r="F44" i="5"/>
  <c r="F40" i="5"/>
  <c r="F23" i="3"/>
  <c r="J16" i="6"/>
  <c r="G44" i="5"/>
  <c r="G40" i="5"/>
  <c r="G23" i="3"/>
  <c r="B41" i="5"/>
  <c r="B24" i="3"/>
  <c r="C41" i="5"/>
  <c r="C24" i="3"/>
  <c r="D41" i="5"/>
  <c r="D24" i="3"/>
  <c r="E41" i="5"/>
  <c r="E24" i="3"/>
  <c r="F41" i="5"/>
  <c r="F24" i="3"/>
  <c r="G41" i="5"/>
  <c r="G24" i="3"/>
  <c r="B42" i="5"/>
  <c r="B25" i="3"/>
  <c r="C42" i="5"/>
  <c r="C25" i="3"/>
  <c r="D42" i="5"/>
  <c r="D25" i="3"/>
  <c r="E42" i="5"/>
  <c r="E25" i="3"/>
  <c r="F42" i="5"/>
  <c r="F25" i="3"/>
  <c r="G42" i="5"/>
  <c r="G25" i="3"/>
  <c r="B43" i="5"/>
  <c r="B26" i="3"/>
  <c r="C43" i="5"/>
  <c r="C26" i="3"/>
  <c r="D43" i="5"/>
  <c r="D26" i="3"/>
  <c r="E43" i="5"/>
  <c r="E26" i="3"/>
  <c r="F43" i="5"/>
  <c r="F26" i="3"/>
  <c r="G43" i="5"/>
  <c r="G26" i="3"/>
  <c r="B27" i="3"/>
  <c r="C27" i="3"/>
  <c r="D27" i="3"/>
  <c r="E27" i="3"/>
  <c r="F27" i="3"/>
  <c r="G27" i="3"/>
  <c r="K10" i="6"/>
  <c r="B49" i="5"/>
  <c r="B45" i="5"/>
  <c r="B28" i="3"/>
  <c r="C49" i="5"/>
  <c r="C45" i="5"/>
  <c r="C28" i="3"/>
  <c r="K12" i="6"/>
  <c r="D49" i="5"/>
  <c r="D45" i="5"/>
  <c r="D28" i="3"/>
  <c r="K11" i="6"/>
  <c r="E49" i="5"/>
  <c r="E45" i="5"/>
  <c r="E28" i="3"/>
  <c r="K13" i="6"/>
  <c r="F49" i="5"/>
  <c r="F45" i="5"/>
  <c r="F28" i="3"/>
  <c r="K16" i="6"/>
  <c r="G49" i="5"/>
  <c r="G45" i="5"/>
  <c r="G28" i="3"/>
  <c r="B46" i="5"/>
  <c r="B29" i="3"/>
  <c r="C46" i="5"/>
  <c r="C29" i="3"/>
  <c r="D46" i="5"/>
  <c r="D29" i="3"/>
  <c r="E46" i="5"/>
  <c r="E29" i="3"/>
  <c r="F46" i="5"/>
  <c r="F29" i="3"/>
  <c r="G46" i="5"/>
  <c r="G29" i="3"/>
  <c r="B47" i="5"/>
  <c r="B30" i="3"/>
  <c r="C47" i="5"/>
  <c r="C30" i="3"/>
  <c r="D47" i="5"/>
  <c r="D30" i="3"/>
  <c r="E47" i="5"/>
  <c r="E30" i="3"/>
  <c r="F47" i="5"/>
  <c r="F30" i="3"/>
  <c r="G47" i="5"/>
  <c r="G30" i="3"/>
  <c r="B48" i="5"/>
  <c r="B31" i="3"/>
  <c r="C48" i="5"/>
  <c r="C31" i="3"/>
  <c r="D48" i="5"/>
  <c r="D31" i="3"/>
  <c r="E48" i="5"/>
  <c r="E31" i="3"/>
  <c r="F48" i="5"/>
  <c r="F31" i="3"/>
  <c r="G48" i="5"/>
  <c r="G31" i="3"/>
  <c r="B32" i="3"/>
  <c r="C32" i="3"/>
  <c r="D32" i="3"/>
  <c r="E32" i="3"/>
  <c r="F32" i="3"/>
  <c r="G32" i="3"/>
  <c r="L10" i="6"/>
  <c r="B54" i="5"/>
  <c r="B50" i="5"/>
  <c r="B33" i="3"/>
  <c r="C54" i="5"/>
  <c r="C50" i="5"/>
  <c r="C33" i="3"/>
  <c r="L12" i="6"/>
  <c r="D54" i="5"/>
  <c r="D50" i="5"/>
  <c r="D33" i="3"/>
  <c r="L11" i="6"/>
  <c r="E54" i="5"/>
  <c r="E50" i="5"/>
  <c r="E33" i="3"/>
  <c r="L13" i="6"/>
  <c r="F54" i="5"/>
  <c r="F50" i="5"/>
  <c r="F33" i="3"/>
  <c r="L16" i="6"/>
  <c r="G54" i="5"/>
  <c r="G50" i="5"/>
  <c r="G33" i="3"/>
  <c r="B51" i="5"/>
  <c r="B34" i="3"/>
  <c r="C51" i="5"/>
  <c r="C34" i="3"/>
  <c r="D51" i="5"/>
  <c r="D34" i="3"/>
  <c r="E51" i="5"/>
  <c r="E34" i="3"/>
  <c r="F51" i="5"/>
  <c r="F34" i="3"/>
  <c r="G51" i="5"/>
  <c r="G34" i="3"/>
  <c r="B52" i="5"/>
  <c r="B35" i="3"/>
  <c r="C52" i="5"/>
  <c r="C35" i="3"/>
  <c r="D52" i="5"/>
  <c r="D35" i="3"/>
  <c r="E52" i="5"/>
  <c r="E35" i="3"/>
  <c r="F52" i="5"/>
  <c r="F35" i="3"/>
  <c r="G52" i="5"/>
  <c r="G35" i="3"/>
  <c r="B53" i="5"/>
  <c r="B36" i="3"/>
  <c r="C53" i="5"/>
  <c r="C36" i="3"/>
  <c r="D53" i="5"/>
  <c r="D36" i="3"/>
  <c r="E53" i="5"/>
  <c r="E36" i="3"/>
  <c r="F53" i="5"/>
  <c r="F36" i="3"/>
  <c r="G53" i="5"/>
  <c r="G36" i="3"/>
  <c r="B37" i="3"/>
  <c r="C37" i="3"/>
  <c r="D37" i="3"/>
  <c r="E37" i="3"/>
  <c r="F37" i="3"/>
  <c r="G37" i="3"/>
  <c r="M10" i="6"/>
  <c r="B59" i="5"/>
  <c r="B55" i="5"/>
  <c r="B38" i="3"/>
  <c r="C59" i="5"/>
  <c r="C55" i="5"/>
  <c r="C38" i="3"/>
  <c r="M12" i="6"/>
  <c r="D59" i="5"/>
  <c r="D55" i="5"/>
  <c r="D38" i="3"/>
  <c r="M11" i="6"/>
  <c r="E59" i="5"/>
  <c r="E55" i="5"/>
  <c r="E38" i="3"/>
  <c r="M13" i="6"/>
  <c r="F59" i="5"/>
  <c r="F55" i="5"/>
  <c r="F38" i="3"/>
  <c r="M16" i="6"/>
  <c r="G59" i="5"/>
  <c r="G55" i="5"/>
  <c r="G38" i="3"/>
  <c r="B56" i="5"/>
  <c r="B39" i="3"/>
  <c r="C56" i="5"/>
  <c r="C39" i="3"/>
  <c r="D56" i="5"/>
  <c r="D39" i="3"/>
  <c r="E56" i="5"/>
  <c r="E39" i="3"/>
  <c r="F56" i="5"/>
  <c r="F39" i="3"/>
  <c r="G56" i="5"/>
  <c r="G39" i="3"/>
  <c r="B57" i="5"/>
  <c r="B40" i="3"/>
  <c r="C57" i="5"/>
  <c r="C40" i="3"/>
  <c r="D57" i="5"/>
  <c r="D40" i="3"/>
  <c r="E57" i="5"/>
  <c r="E40" i="3"/>
  <c r="F57" i="5"/>
  <c r="F40" i="3"/>
  <c r="G57" i="5"/>
  <c r="G40" i="3"/>
  <c r="B58" i="5"/>
  <c r="B41" i="3"/>
  <c r="C58" i="5"/>
  <c r="C41" i="3"/>
  <c r="D58" i="5"/>
  <c r="D41" i="3"/>
  <c r="E58" i="5"/>
  <c r="E41" i="3"/>
  <c r="F58" i="5"/>
  <c r="F41" i="3"/>
  <c r="G58" i="5"/>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B15" i="5"/>
  <c r="C15" i="5"/>
  <c r="D15" i="5"/>
  <c r="E15" i="5"/>
  <c r="F15" i="5"/>
  <c r="G15" i="5"/>
  <c r="B16" i="5"/>
  <c r="C16" i="5"/>
  <c r="D16" i="5"/>
  <c r="E16" i="5"/>
  <c r="F16" i="5"/>
  <c r="G16" i="5"/>
  <c r="B17" i="5"/>
  <c r="C17" i="5"/>
  <c r="D17" i="5"/>
  <c r="E17" i="5"/>
  <c r="F17" i="5"/>
  <c r="G17" i="5"/>
  <c r="B18" i="5"/>
  <c r="C18" i="5"/>
  <c r="D18" i="5"/>
  <c r="E18" i="5"/>
  <c r="F18" i="5"/>
  <c r="G18"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<sst xmlns="http://schemas.openxmlformats.org/spreadsheetml/2006/main" count="131" uniqueCount="97">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</sst>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7">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7">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403607.980548</c:v>
                </c:pt>
                <c:pt idx="1">
                  <c:v>398094.6432096001</c:v>
                </c:pt>
                <c:pt idx="2">
                  <c:v>392581.3058712001</c:v>
                </c:pt>
                <c:pt idx="3">
                  <c:v>387067.9685328001</c:v>
                </c:pt>
                <c:pt idx="4">
                  <c:v>381554.6311944001</c:v>
                </c:pt>
                <c:pt idx="5">
                  <c:v>376041.2938560001</c:v>
                </c:pt>
                <c:pt idx="6">
                  <c:v>360912.5683848001</c:v>
                </c:pt>
                <c:pt idx="7">
                  <c:v>345783.8429136001</c:v>
                </c:pt>
                <c:pt idx="8">
                  <c:v>330655.1174424001</c:v>
                </c:pt>
                <c:pt idx="9">
                  <c:v>315526.3919712001</c:v>
                </c:pt>
                <c:pt idx="10">
                  <c:v>300397.6665000001</c:v>
                </c:pt>
                <c:pt idx="11">
                  <c:v>290135.2168008001</c:v>
                </c:pt>
                <c:pt idx="12">
                  <c:v>279872.7671016001</c:v>
                </c:pt>
                <c:pt idx="13">
                  <c:v>269610.3174024</c:v>
                </c:pt>
                <c:pt idx="14">
                  <c:v>259347.8677032</c:v>
                </c:pt>
                <c:pt idx="15">
                  <c:v>249085.418004</c:v>
                </c:pt>
                <c:pt idx="16">
                  <c:v>240214.2838128</c:v>
                </c:pt>
                <c:pt idx="17">
                  <c:v>231343.1496216001</c:v>
                </c:pt>
                <c:pt idx="18">
                  <c:v>222472.0154304</c:v>
                </c:pt>
                <c:pt idx="19">
                  <c:v>213600.8812392</c:v>
                </c:pt>
                <c:pt idx="20">
                  <c:v>204729.747048</c:v>
                </c:pt>
                <c:pt idx="21">
                  <c:v>199808.8837776</c:v>
                </c:pt>
                <c:pt idx="22">
                  <c:v>194888.0205072</c:v>
                </c:pt>
                <c:pt idx="23">
                  <c:v>189967.1572368001</c:v>
                </c:pt>
                <c:pt idx="24">
                  <c:v>185046.2939664001</c:v>
                </c:pt>
                <c:pt idx="25">
                  <c:v>180125.4306960001</c:v>
                </c:pt>
                <c:pt idx="26">
                  <c:v>162284.638536</c:v>
                </c:pt>
                <c:pt idx="27">
                  <c:v>144443.846376</c:v>
                </c:pt>
                <c:pt idx="28">
                  <c:v>126603.054216</c:v>
                </c:pt>
                <c:pt idx="29">
                  <c:v>108762.262056</c:v>
                </c:pt>
                <c:pt idx="30">
                  <c:v>90921.46989600001</c:v>
                </c:pt>
                <c:pt idx="31">
                  <c:v>88157.47851360001</c:v>
                </c:pt>
                <c:pt idx="32">
                  <c:v>85393.48713120002</c:v>
                </c:pt>
                <c:pt idx="33">
                  <c:v>82629.49574880002</c:v>
                </c:pt>
                <c:pt idx="34">
                  <c:v>79865.5043664</c:v>
                </c:pt>
                <c:pt idx="35">
                  <c:v>77101.51298400002</c:v>
                </c:pt>
                <c:pt idx="36">
                  <c:v>71605.48387680002</c:v>
                </c:pt>
                <c:pt idx="37">
                  <c:v>66109.45476960002</c:v>
                </c:pt>
                <c:pt idx="38">
                  <c:v>60613.42566240002</c:v>
                </c:pt>
                <c:pt idx="39">
                  <c:v>55117.39655520001</c:v>
                </c:pt>
                <c:pt idx="40">
                  <c:v>49621.36744800002</c:v>
                </c:pt>
                <c:pt idx="41">
                  <c:v>45715.03280640002</c:v>
                </c:pt>
                <c:pt idx="42">
                  <c:v>41808.69816480001</c:v>
                </c:pt>
                <c:pt idx="43">
                  <c:v>37902.36352320001</c:v>
                </c:pt>
                <c:pt idx="44">
                  <c:v>33996.02888160001</c:v>
                </c:pt>
                <c:pt idx="45">
                  <c:v>30089.69424000001</c:v>
                </c:pt>
                <c:pt idx="46">
                  <c:v>28969.9848216</c:v>
                </c:pt>
                <c:pt idx="47">
                  <c:v>27850.2754032</c:v>
                </c:pt>
                <c:pt idx="48">
                  <c:v>26730.56598480001</c:v>
                </c:pt>
                <c:pt idx="49">
                  <c:v>25610.85656640001</c:v>
                </c:pt>
                <c:pt idx="50">
                  <c:v>24491.147148</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2.134806991452E6</c:v>
                </c:pt>
                <c:pt idx="1">
                  <c:v>2.1056452511904E6</c:v>
                </c:pt>
                <c:pt idx="2">
                  <c:v>2.0764835109288E6</c:v>
                </c:pt>
                <c:pt idx="3">
                  <c:v>2.0473217706672E6</c:v>
                </c:pt>
                <c:pt idx="4">
                  <c:v>2.0181600304056E6</c:v>
                </c:pt>
                <c:pt idx="5">
                  <c:v>1.988998290144E6</c:v>
                </c:pt>
                <c:pt idx="6">
                  <c:v>1.9089777988152E6</c:v>
                </c:pt>
                <c:pt idx="7">
                  <c:v>1.8289573074864E6</c:v>
                </c:pt>
                <c:pt idx="8">
                  <c:v>1.7489368161576E6</c:v>
                </c:pt>
                <c:pt idx="9">
                  <c:v>1.6689163248288E6</c:v>
                </c:pt>
                <c:pt idx="10">
                  <c:v>1.5888958335E6</c:v>
                </c:pt>
                <c:pt idx="11">
                  <c:v>1.5346145743992E6</c:v>
                </c:pt>
                <c:pt idx="12">
                  <c:v>1.4803333152984E6</c:v>
                </c:pt>
                <c:pt idx="13">
                  <c:v>1.4260520561976E6</c:v>
                </c:pt>
                <c:pt idx="14">
                  <c:v>1.3717707970968E6</c:v>
                </c:pt>
                <c:pt idx="15">
                  <c:v>1.317489537996E6</c:v>
                </c:pt>
                <c:pt idx="16">
                  <c:v>1.2705673753872E6</c:v>
                </c:pt>
                <c:pt idx="17">
                  <c:v>1.2236452127784E6</c:v>
                </c:pt>
                <c:pt idx="18">
                  <c:v>1.1767230501696E6</c:v>
                </c:pt>
                <c:pt idx="19">
                  <c:v>1.1298008875608E6</c:v>
                </c:pt>
                <c:pt idx="20">
                  <c:v>1.082878724952E6</c:v>
                </c:pt>
                <c:pt idx="21">
                  <c:v>1.0568507626224E6</c:v>
                </c:pt>
                <c:pt idx="22">
                  <c:v>1.0308228002928E6</c:v>
                </c:pt>
                <c:pt idx="23">
                  <c:v>1.0047948379632E6</c:v>
                </c:pt>
                <c:pt idx="24">
                  <c:v>978766.8756336</c:v>
                </c:pt>
                <c:pt idx="25">
                  <c:v>952738.913304</c:v>
                </c:pt>
                <c:pt idx="26">
                  <c:v>858373.465464</c:v>
                </c:pt>
                <c:pt idx="27">
                  <c:v>764008.017624</c:v>
                </c:pt>
                <c:pt idx="28">
                  <c:v>669642.569784</c:v>
                </c:pt>
                <c:pt idx="29">
                  <c:v>575277.121944</c:v>
                </c:pt>
                <c:pt idx="30">
                  <c:v>480911.674104</c:v>
                </c:pt>
                <c:pt idx="31">
                  <c:v>466292.0718864</c:v>
                </c:pt>
                <c:pt idx="32">
                  <c:v>451672.4696688</c:v>
                </c:pt>
                <c:pt idx="33">
                  <c:v>437052.8674512</c:v>
                </c:pt>
                <c:pt idx="34">
                  <c:v>422433.2652336</c:v>
                </c:pt>
                <c:pt idx="35">
                  <c:v>407813.663016</c:v>
                </c:pt>
                <c:pt idx="36">
                  <c:v>378743.4713232</c:v>
                </c:pt>
                <c:pt idx="37">
                  <c:v>349673.2796304</c:v>
                </c:pt>
                <c:pt idx="38">
                  <c:v>320603.0879376</c:v>
                </c:pt>
                <c:pt idx="39">
                  <c:v>291532.8962448001</c:v>
                </c:pt>
                <c:pt idx="40">
                  <c:v>262462.704552</c:v>
                </c:pt>
                <c:pt idx="41">
                  <c:v>241800.8967936</c:v>
                </c:pt>
                <c:pt idx="42">
                  <c:v>221139.0890352</c:v>
                </c:pt>
                <c:pt idx="43">
                  <c:v>200477.2812768</c:v>
                </c:pt>
                <c:pt idx="44">
                  <c:v>179815.4735184</c:v>
                </c:pt>
                <c:pt idx="45">
                  <c:v>159153.66576</c:v>
                </c:pt>
                <c:pt idx="46">
                  <c:v>153231.1775784</c:v>
                </c:pt>
                <c:pt idx="47">
                  <c:v>147308.6893968</c:v>
                </c:pt>
                <c:pt idx="48">
                  <c:v>141386.2012152</c:v>
                </c:pt>
                <c:pt idx="49">
                  <c:v>135463.7130336</c:v>
                </c:pt>
                <c:pt idx="50">
                  <c:v>129541.224852</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662561.1</c:v>
                </c:pt>
                <c:pt idx="1">
                  <c:v>649297.3176</c:v>
                </c:pt>
                <c:pt idx="2">
                  <c:v>636033.5352</c:v>
                </c:pt>
                <c:pt idx="3">
                  <c:v>622769.7528</c:v>
                </c:pt>
                <c:pt idx="4">
                  <c:v>609505.9704000001</c:v>
                </c:pt>
                <c:pt idx="5">
                  <c:v>596242.1880000001</c:v>
                </c:pt>
                <c:pt idx="6">
                  <c:v>558167.4288</c:v>
                </c:pt>
                <c:pt idx="7">
                  <c:v>520092.6696</c:v>
                </c:pt>
                <c:pt idx="8">
                  <c:v>482017.9104</c:v>
                </c:pt>
                <c:pt idx="9">
                  <c:v>443943.1512</c:v>
                </c:pt>
                <c:pt idx="10">
                  <c:v>405868.392</c:v>
                </c:pt>
                <c:pt idx="11">
                  <c:v>396682.5528</c:v>
                </c:pt>
                <c:pt idx="12">
                  <c:v>387496.7136</c:v>
                </c:pt>
                <c:pt idx="13">
                  <c:v>378310.8744</c:v>
                </c:pt>
                <c:pt idx="14">
                  <c:v>369125.0352</c:v>
                </c:pt>
                <c:pt idx="15">
                  <c:v>359939.196</c:v>
                </c:pt>
                <c:pt idx="16">
                  <c:v>362267.0568</c:v>
                </c:pt>
                <c:pt idx="17">
                  <c:v>364594.9176</c:v>
                </c:pt>
                <c:pt idx="18">
                  <c:v>366922.7784</c:v>
                </c:pt>
                <c:pt idx="19">
                  <c:v>369250.6392</c:v>
                </c:pt>
                <c:pt idx="20">
                  <c:v>371578.5</c:v>
                </c:pt>
                <c:pt idx="21">
                  <c:v>357887.664</c:v>
                </c:pt>
                <c:pt idx="22">
                  <c:v>344196.828</c:v>
                </c:pt>
                <c:pt idx="23">
                  <c:v>330505.992</c:v>
                </c:pt>
                <c:pt idx="24">
                  <c:v>316815.156</c:v>
                </c:pt>
                <c:pt idx="25">
                  <c:v>303124.32</c:v>
                </c:pt>
                <c:pt idx="26">
                  <c:v>292414.4856</c:v>
                </c:pt>
                <c:pt idx="27">
                  <c:v>281704.6512</c:v>
                </c:pt>
                <c:pt idx="28">
                  <c:v>270994.8168</c:v>
                </c:pt>
                <c:pt idx="29">
                  <c:v>260284.9824</c:v>
                </c:pt>
                <c:pt idx="30">
                  <c:v>249575.148</c:v>
                </c:pt>
                <c:pt idx="31">
                  <c:v>237173.8464</c:v>
                </c:pt>
                <c:pt idx="32">
                  <c:v>224772.5448</c:v>
                </c:pt>
                <c:pt idx="33">
                  <c:v>212371.2432</c:v>
                </c:pt>
                <c:pt idx="34">
                  <c:v>199969.9416</c:v>
                </c:pt>
                <c:pt idx="35">
                  <c:v>187568.64</c:v>
                </c:pt>
                <c:pt idx="36">
                  <c:v>172119.348</c:v>
                </c:pt>
                <c:pt idx="37">
                  <c:v>156670.056</c:v>
                </c:pt>
                <c:pt idx="38">
                  <c:v>141220.764</c:v>
                </c:pt>
                <c:pt idx="39">
                  <c:v>125771.472</c:v>
                </c:pt>
                <c:pt idx="40">
                  <c:v>110322.18</c:v>
                </c:pt>
                <c:pt idx="41">
                  <c:v>108312.516</c:v>
                </c:pt>
                <c:pt idx="42">
                  <c:v>106302.852</c:v>
                </c:pt>
                <c:pt idx="43">
                  <c:v>104293.188</c:v>
                </c:pt>
                <c:pt idx="44">
                  <c:v>102283.524</c:v>
                </c:pt>
                <c:pt idx="45">
                  <c:v>100273.86</c:v>
                </c:pt>
                <c:pt idx="46">
                  <c:v>97451.9568</c:v>
                </c:pt>
                <c:pt idx="47">
                  <c:v>94630.0536</c:v>
                </c:pt>
                <c:pt idx="48">
                  <c:v>91808.1504</c:v>
                </c:pt>
                <c:pt idx="49">
                  <c:v>88986.2472</c:v>
                </c:pt>
                <c:pt idx="50">
                  <c:v>86164.344</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197575.092</c:v>
                </c:pt>
                <c:pt idx="1">
                  <c:v>207271.7208</c:v>
                </c:pt>
                <c:pt idx="2">
                  <c:v>216968.3496</c:v>
                </c:pt>
                <c:pt idx="3">
                  <c:v>226664.9784</c:v>
                </c:pt>
                <c:pt idx="4">
                  <c:v>236361.6072</c:v>
                </c:pt>
                <c:pt idx="5">
                  <c:v>246058.236</c:v>
                </c:pt>
                <c:pt idx="6">
                  <c:v>237425.0544</c:v>
                </c:pt>
                <c:pt idx="7">
                  <c:v>228791.8728</c:v>
                </c:pt>
                <c:pt idx="8">
                  <c:v>220158.6912</c:v>
                </c:pt>
                <c:pt idx="9">
                  <c:v>211525.5096</c:v>
                </c:pt>
                <c:pt idx="10">
                  <c:v>202892.328</c:v>
                </c:pt>
                <c:pt idx="11">
                  <c:v>194937.408</c:v>
                </c:pt>
                <c:pt idx="12">
                  <c:v>186982.488</c:v>
                </c:pt>
                <c:pt idx="13">
                  <c:v>179027.568</c:v>
                </c:pt>
                <c:pt idx="14">
                  <c:v>171072.648</c:v>
                </c:pt>
                <c:pt idx="15">
                  <c:v>163117.728</c:v>
                </c:pt>
                <c:pt idx="16">
                  <c:v>156510.9576</c:v>
                </c:pt>
                <c:pt idx="17">
                  <c:v>149904.1872</c:v>
                </c:pt>
                <c:pt idx="18">
                  <c:v>143297.4168</c:v>
                </c:pt>
                <c:pt idx="19">
                  <c:v>136690.6464</c:v>
                </c:pt>
                <c:pt idx="20">
                  <c:v>130083.876</c:v>
                </c:pt>
                <c:pt idx="21">
                  <c:v>127086.1272</c:v>
                </c:pt>
                <c:pt idx="22">
                  <c:v>124088.3784</c:v>
                </c:pt>
                <c:pt idx="23">
                  <c:v>121090.6296</c:v>
                </c:pt>
                <c:pt idx="24">
                  <c:v>118092.8808</c:v>
                </c:pt>
                <c:pt idx="25">
                  <c:v>115095.132</c:v>
                </c:pt>
                <c:pt idx="26">
                  <c:v>112884.5016</c:v>
                </c:pt>
                <c:pt idx="27">
                  <c:v>110673.8712</c:v>
                </c:pt>
                <c:pt idx="28">
                  <c:v>108463.2408</c:v>
                </c:pt>
                <c:pt idx="29">
                  <c:v>106252.6104</c:v>
                </c:pt>
                <c:pt idx="30">
                  <c:v>104041.98</c:v>
                </c:pt>
                <c:pt idx="31">
                  <c:v>93859.6824</c:v>
                </c:pt>
                <c:pt idx="32">
                  <c:v>83677.3848</c:v>
                </c:pt>
                <c:pt idx="33">
                  <c:v>73495.08720000001</c:v>
                </c:pt>
                <c:pt idx="34">
                  <c:v>63312.7896</c:v>
                </c:pt>
                <c:pt idx="35">
                  <c:v>53130.49200000001</c:v>
                </c:pt>
                <c:pt idx="36">
                  <c:v>47662.5312</c:v>
                </c:pt>
                <c:pt idx="37">
                  <c:v>42194.5704</c:v>
                </c:pt>
                <c:pt idx="38">
                  <c:v>36726.6096</c:v>
                </c:pt>
                <c:pt idx="39">
                  <c:v>31258.6488</c:v>
                </c:pt>
                <c:pt idx="40">
                  <c:v>25790.688</c:v>
                </c:pt>
                <c:pt idx="41">
                  <c:v>20632.5504</c:v>
                </c:pt>
                <c:pt idx="42">
                  <c:v>15474.4128</c:v>
                </c:pt>
                <c:pt idx="43">
                  <c:v>10316.2752</c:v>
                </c:pt>
                <c:pt idx="44">
                  <c:v>5158.137600000002</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1.831725E6</c:v>
                </c:pt>
                <c:pt idx="1">
                  <c:v>1.8175819896E6</c:v>
                </c:pt>
                <c:pt idx="2">
                  <c:v>1.8034389792E6</c:v>
                </c:pt>
                <c:pt idx="3">
                  <c:v>1.7892959688E6</c:v>
                </c:pt>
                <c:pt idx="4">
                  <c:v>1.7751529584E6</c:v>
                </c:pt>
                <c:pt idx="5">
                  <c:v>1.761009948E6</c:v>
                </c:pt>
                <c:pt idx="6">
                  <c:v>1.7124095736E6</c:v>
                </c:pt>
                <c:pt idx="7">
                  <c:v>1.6638091992E6</c:v>
                </c:pt>
                <c:pt idx="8">
                  <c:v>1.6152088248E6</c:v>
                </c:pt>
                <c:pt idx="9">
                  <c:v>1.5666084504E6</c:v>
                </c:pt>
                <c:pt idx="10">
                  <c:v>1.518008076E6</c:v>
                </c:pt>
                <c:pt idx="11">
                  <c:v>1.4165786592E6</c:v>
                </c:pt>
                <c:pt idx="12">
                  <c:v>1.3151492424E6</c:v>
                </c:pt>
                <c:pt idx="13">
                  <c:v>1.2137198256E6</c:v>
                </c:pt>
                <c:pt idx="14">
                  <c:v>1.1122904088E6</c:v>
                </c:pt>
                <c:pt idx="15">
                  <c:v>1.010860992E6</c:v>
                </c:pt>
                <c:pt idx="16">
                  <c:v>876297.2400000001</c:v>
                </c:pt>
                <c:pt idx="17">
                  <c:v>741733.4880000001</c:v>
                </c:pt>
                <c:pt idx="18">
                  <c:v>607169.736</c:v>
                </c:pt>
                <c:pt idx="19">
                  <c:v>472605.984</c:v>
                </c:pt>
                <c:pt idx="20">
                  <c:v>338042.232</c:v>
                </c:pt>
                <c:pt idx="21">
                  <c:v>270433.7856</c:v>
                </c:pt>
                <c:pt idx="22">
                  <c:v>202825.3392</c:v>
                </c:pt>
                <c:pt idx="23">
                  <c:v>135216.8928</c:v>
                </c:pt>
                <c:pt idx="24">
                  <c:v>67608.44640000002</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245719.2391776</c:v>
                </c:pt>
                <c:pt idx="1">
                  <c:v>282883.33672056</c:v>
                </c:pt>
                <c:pt idx="2">
                  <c:v>320047.43426352</c:v>
                </c:pt>
                <c:pt idx="3">
                  <c:v>357211.53180648</c:v>
                </c:pt>
                <c:pt idx="4">
                  <c:v>394375.62934944</c:v>
                </c:pt>
                <c:pt idx="5">
                  <c:v>431539.7268924</c:v>
                </c:pt>
                <c:pt idx="6">
                  <c:v>530246.120148</c:v>
                </c:pt>
                <c:pt idx="7">
                  <c:v>628952.5134036</c:v>
                </c:pt>
                <c:pt idx="8">
                  <c:v>727658.9066592</c:v>
                </c:pt>
                <c:pt idx="9">
                  <c:v>826365.2999148001</c:v>
                </c:pt>
                <c:pt idx="10">
                  <c:v>925071.6931704001</c:v>
                </c:pt>
                <c:pt idx="11">
                  <c:v>930139.8087088801</c:v>
                </c:pt>
                <c:pt idx="12">
                  <c:v>935207.9242473601</c:v>
                </c:pt>
                <c:pt idx="13">
                  <c:v>940276.03978584</c:v>
                </c:pt>
                <c:pt idx="14">
                  <c:v>945344.15532432</c:v>
                </c:pt>
                <c:pt idx="15">
                  <c:v>950412.2708628</c:v>
                </c:pt>
                <c:pt idx="16">
                  <c:v>953674.36249176</c:v>
                </c:pt>
                <c:pt idx="17">
                  <c:v>956936.45412072</c:v>
                </c:pt>
                <c:pt idx="18">
                  <c:v>960198.54574968</c:v>
                </c:pt>
                <c:pt idx="19">
                  <c:v>963460.6373786401</c:v>
                </c:pt>
                <c:pt idx="20">
                  <c:v>966722.7290076001</c:v>
                </c:pt>
                <c:pt idx="21">
                  <c:v>965979.0721036801</c:v>
                </c:pt>
                <c:pt idx="22">
                  <c:v>965235.4151997601</c:v>
                </c:pt>
                <c:pt idx="23">
                  <c:v>964491.75829584</c:v>
                </c:pt>
                <c:pt idx="24">
                  <c:v>963748.10139192</c:v>
                </c:pt>
                <c:pt idx="25">
                  <c:v>963004.444488</c:v>
                </c:pt>
                <c:pt idx="26">
                  <c:v>962716.98047472</c:v>
                </c:pt>
                <c:pt idx="27">
                  <c:v>962429.51646144</c:v>
                </c:pt>
                <c:pt idx="28">
                  <c:v>962142.0524481601</c:v>
                </c:pt>
                <c:pt idx="29">
                  <c:v>961854.5884348801</c:v>
                </c:pt>
                <c:pt idx="30">
                  <c:v>961567.1244216001</c:v>
                </c:pt>
                <c:pt idx="31">
                  <c:v>964266.78645936</c:v>
                </c:pt>
                <c:pt idx="32">
                  <c:v>966966.44849712</c:v>
                </c:pt>
                <c:pt idx="33">
                  <c:v>969666.11053488</c:v>
                </c:pt>
                <c:pt idx="34">
                  <c:v>972365.77257264</c:v>
                </c:pt>
                <c:pt idx="35">
                  <c:v>975065.4346103999</c:v>
                </c:pt>
                <c:pt idx="36">
                  <c:v>978702.47930016</c:v>
                </c:pt>
                <c:pt idx="37">
                  <c:v>982339.52398992</c:v>
                </c:pt>
                <c:pt idx="38">
                  <c:v>985976.56867968</c:v>
                </c:pt>
                <c:pt idx="39">
                  <c:v>989613.61336944</c:v>
                </c:pt>
                <c:pt idx="40">
                  <c:v>993250.6580592</c:v>
                </c:pt>
                <c:pt idx="41">
                  <c:v>1.00317441573504E6</c:v>
                </c:pt>
                <c:pt idx="42">
                  <c:v>1.01309817341088E6</c:v>
                </c:pt>
                <c:pt idx="43">
                  <c:v>1.02302193108672E6</c:v>
                </c:pt>
                <c:pt idx="44">
                  <c:v>1.03294568876256E6</c:v>
                </c:pt>
                <c:pt idx="45">
                  <c:v>1.0428694464384E6</c:v>
                </c:pt>
                <c:pt idx="46">
                  <c:v>1.04266322225496E6</c:v>
                </c:pt>
                <c:pt idx="47">
                  <c:v>1.04245699807152E6</c:v>
                </c:pt>
                <c:pt idx="48">
                  <c:v>1.04225077388808E6</c:v>
                </c:pt>
                <c:pt idx="49">
                  <c:v>1.04204454970464E6</c:v>
                </c:pt>
                <c:pt idx="50">
                  <c:v>1.0418383255212E6</c:v>
                </c:pt>
              </c:numCache>
            </c:numRef>
          </c:val>
          <c:smooth val="0"/>
        </c:ser>
        <c:dLbls>
          <c:showLegendKey val="0"/>
          <c:showVal val="0"/>
          <c:showCatName val="0"/>
          <c:showSerName val="0"/>
          <c:showPercent val="0"/>
          <c:showBubbleSize val="0"/>
        </c:dLbls>
        <c:marker val="1"/>
        <c:smooth val="0"/>
        <c:axId val="2081576600"/>
        <c:axId val="2081578920"/>
      </c:lineChart>
      <c:catAx>
        <c:axId val="2081576600"/>
        <c:scaling>
          <c:orientation val="minMax"/>
        </c:scaling>
        <c:delete val="0"/>
        <c:axPos val="b"/>
        <c:majorTickMark val="out"/>
        <c:minorTickMark val="none"/>
        <c:tickLblPos val="nextTo"/>
        <c:crossAx val="2081578920"/>
        <c:crosses val="autoZero"/>
        <c:auto val="1"/>
        <c:lblAlgn val="ctr"/>
        <c:lblOffset val="100"/>
        <c:noMultiLvlLbl val="0"/>
      </c:catAx>
      <c:valAx>
        <c:axId val="2081578920"/>
        <c:scaling>
          <c:orientation val="minMax"/>
        </c:scaling>
        <c:delete val="0"/>
        <c:axPos val="l"/>
        <c:majorGridlines/>
        <c:numFmt formatCode="General" sourceLinked="1"/>
        <c:majorTickMark val="out"/>
        <c:minorTickMark val="none"/>
        <c:tickLblPos val="nextTo"/>
        <c:crossAx val="2081576600"/>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topLeftCell="A3" workbookViewId="0">
      <selection activeCell="D13" sqref="D13"/>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f>1-D12</f>
        <v>0.15900000000000003</v>
      </c>
      <c r="E11" s="130"/>
      <c r="F11" s="141" t="s">
        <v>94</v>
      </c>
      <c r="G11" s="130"/>
      <c r="H11" s="130"/>
      <c r="I11" s="130"/>
      <c r="J11" s="130"/>
      <c r="K11" s="130"/>
      <c r="L11" s="130"/>
      <c r="M11" s="130"/>
      <c r="N11" s="131"/>
    </row>
    <row r="12" spans="2:14" ht="15" customHeight="1" thickBot="1">
      <c r="B12" s="129" t="s">
        <v>22</v>
      </c>
      <c r="D12" s="13">
        <v>0.84099999999999997</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0.74629999999999996</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135698</v>
      </c>
      <c r="D21" s="5">
        <v>137004</v>
      </c>
      <c r="E21" s="5">
        <v>132514</v>
      </c>
      <c r="F21" s="5">
        <v>117145</v>
      </c>
      <c r="G21" s="5">
        <v>99062</v>
      </c>
      <c r="H21" s="5">
        <v>89767</v>
      </c>
      <c r="I21" s="5">
        <v>77803</v>
      </c>
      <c r="J21" s="5">
        <v>76462</v>
      </c>
      <c r="K21" s="5">
        <v>71446</v>
      </c>
      <c r="L21" s="5">
        <v>74819</v>
      </c>
      <c r="M21" s="6">
        <v>76965</v>
      </c>
      <c r="N21" s="131"/>
    </row>
    <row r="22" spans="2:14">
      <c r="B22" s="135" t="s">
        <v>9</v>
      </c>
      <c r="C22" s="7">
        <v>60629</v>
      </c>
      <c r="D22" s="8">
        <v>56488</v>
      </c>
      <c r="E22" s="8">
        <v>45125</v>
      </c>
      <c r="F22" s="8">
        <v>37417</v>
      </c>
      <c r="G22" s="8">
        <v>30754</v>
      </c>
      <c r="H22" s="8">
        <v>27058</v>
      </c>
      <c r="I22" s="8">
        <v>13658</v>
      </c>
      <c r="J22" s="8">
        <v>11582</v>
      </c>
      <c r="K22" s="8">
        <v>7454</v>
      </c>
      <c r="L22" s="8">
        <v>4520</v>
      </c>
      <c r="M22" s="9">
        <v>3679</v>
      </c>
      <c r="N22" s="131"/>
    </row>
    <row r="23" spans="2:14">
      <c r="B23" s="135" t="s">
        <v>10</v>
      </c>
      <c r="C23" s="7">
        <v>4719</v>
      </c>
      <c r="D23" s="8">
        <v>5877</v>
      </c>
      <c r="E23" s="8">
        <v>4846</v>
      </c>
      <c r="F23" s="8">
        <v>3896</v>
      </c>
      <c r="G23" s="8">
        <v>3107</v>
      </c>
      <c r="H23" s="8">
        <v>2749</v>
      </c>
      <c r="I23" s="8">
        <v>2485</v>
      </c>
      <c r="J23" s="8">
        <v>1269</v>
      </c>
      <c r="K23" s="8">
        <v>616</v>
      </c>
      <c r="L23" s="8">
        <v>0</v>
      </c>
      <c r="M23" s="9">
        <v>0</v>
      </c>
      <c r="N23" s="131"/>
    </row>
    <row r="24" spans="2:14">
      <c r="B24" s="135" t="s">
        <v>3</v>
      </c>
      <c r="C24" s="7">
        <v>15825</v>
      </c>
      <c r="D24" s="8">
        <v>14241</v>
      </c>
      <c r="E24" s="8">
        <v>9694</v>
      </c>
      <c r="F24" s="8">
        <v>8597</v>
      </c>
      <c r="G24" s="8">
        <v>8875</v>
      </c>
      <c r="H24" s="8">
        <v>7240</v>
      </c>
      <c r="I24" s="8">
        <v>5961</v>
      </c>
      <c r="J24" s="8">
        <v>4480</v>
      </c>
      <c r="K24" s="8">
        <v>2635</v>
      </c>
      <c r="L24" s="8">
        <v>2395</v>
      </c>
      <c r="M24" s="9">
        <v>2058</v>
      </c>
      <c r="N24" s="131"/>
    </row>
    <row r="25" spans="2:14">
      <c r="B25" s="135" t="s">
        <v>11</v>
      </c>
      <c r="C25" s="7">
        <v>43750</v>
      </c>
      <c r="D25" s="8">
        <v>42061</v>
      </c>
      <c r="E25" s="8">
        <v>36257</v>
      </c>
      <c r="F25" s="8">
        <v>24144</v>
      </c>
      <c r="G25" s="8">
        <v>8074</v>
      </c>
      <c r="H25" s="8">
        <v>0</v>
      </c>
      <c r="I25" s="8">
        <v>0</v>
      </c>
      <c r="J25" s="8">
        <v>0</v>
      </c>
      <c r="K25" s="8">
        <v>0</v>
      </c>
      <c r="L25" s="8">
        <v>0</v>
      </c>
      <c r="M25" s="9">
        <v>0</v>
      </c>
      <c r="N25" s="131"/>
    </row>
    <row r="26" spans="2:14">
      <c r="B26" s="135" t="s">
        <v>12</v>
      </c>
      <c r="C26" s="7">
        <v>10775</v>
      </c>
      <c r="D26" s="8">
        <v>18338</v>
      </c>
      <c r="E26" s="8">
        <v>36593</v>
      </c>
      <c r="F26" s="8">
        <v>43091</v>
      </c>
      <c r="G26" s="8">
        <v>48253</v>
      </c>
      <c r="H26" s="8">
        <v>52719</v>
      </c>
      <c r="I26" s="8">
        <v>55699</v>
      </c>
      <c r="J26" s="8">
        <v>59130</v>
      </c>
      <c r="K26" s="8">
        <v>60741</v>
      </c>
      <c r="L26" s="8">
        <v>67904</v>
      </c>
      <c r="M26" s="9">
        <v>71228</v>
      </c>
      <c r="N26" s="131"/>
    </row>
    <row r="27" spans="2:14">
      <c r="B27" s="136" t="s">
        <v>13</v>
      </c>
      <c r="C27" s="7">
        <v>1869</v>
      </c>
      <c r="D27" s="8">
        <v>1684</v>
      </c>
      <c r="E27" s="8">
        <v>1756</v>
      </c>
      <c r="F27" s="8">
        <v>1927</v>
      </c>
      <c r="G27" s="8">
        <v>1966</v>
      </c>
      <c r="H27" s="8">
        <v>2075</v>
      </c>
      <c r="I27" s="8">
        <v>2229</v>
      </c>
      <c r="J27" s="8">
        <v>2254</v>
      </c>
      <c r="K27" s="8">
        <v>2329</v>
      </c>
      <c r="L27" s="8">
        <v>2402</v>
      </c>
      <c r="M27" s="9">
        <v>2501</v>
      </c>
      <c r="N27" s="131"/>
    </row>
    <row r="28" spans="2:14">
      <c r="B28" s="136" t="s">
        <v>14</v>
      </c>
      <c r="C28" s="7">
        <v>7864</v>
      </c>
      <c r="D28" s="8">
        <v>13811</v>
      </c>
      <c r="E28" s="8">
        <v>29606</v>
      </c>
      <c r="F28" s="8">
        <v>30417</v>
      </c>
      <c r="G28" s="8">
        <v>30939</v>
      </c>
      <c r="H28" s="8">
        <v>30820</v>
      </c>
      <c r="I28" s="8">
        <v>30774</v>
      </c>
      <c r="J28" s="8">
        <v>31206</v>
      </c>
      <c r="K28" s="8">
        <v>31788</v>
      </c>
      <c r="L28" s="8">
        <v>33376</v>
      </c>
      <c r="M28" s="9">
        <v>33343</v>
      </c>
      <c r="N28" s="131"/>
    </row>
    <row r="29" spans="2:14">
      <c r="B29" s="136" t="s">
        <v>15</v>
      </c>
      <c r="C29" s="7">
        <v>804</v>
      </c>
      <c r="D29" s="8">
        <v>2341</v>
      </c>
      <c r="E29" s="8">
        <v>3250</v>
      </c>
      <c r="F29" s="8">
        <v>5380</v>
      </c>
      <c r="G29" s="8">
        <v>8153</v>
      </c>
      <c r="H29" s="8">
        <v>11385</v>
      </c>
      <c r="I29" s="8">
        <v>14023</v>
      </c>
      <c r="J29" s="8">
        <v>15431</v>
      </c>
      <c r="K29" s="8">
        <v>15326</v>
      </c>
      <c r="L29" s="8">
        <v>17173</v>
      </c>
      <c r="M29" s="9">
        <v>18654</v>
      </c>
      <c r="N29" s="131"/>
    </row>
    <row r="30" spans="2:14">
      <c r="B30" s="136" t="s">
        <v>16</v>
      </c>
      <c r="C30" s="7">
        <v>115</v>
      </c>
      <c r="D30" s="8">
        <v>353</v>
      </c>
      <c r="E30" s="8">
        <v>1452</v>
      </c>
      <c r="F30" s="8">
        <v>4247</v>
      </c>
      <c r="G30" s="8">
        <v>5874</v>
      </c>
      <c r="H30" s="8">
        <v>7070</v>
      </c>
      <c r="I30" s="8">
        <v>7238</v>
      </c>
      <c r="J30" s="8">
        <v>7810</v>
      </c>
      <c r="K30" s="8">
        <v>8598</v>
      </c>
      <c r="L30" s="8">
        <v>9226</v>
      </c>
      <c r="M30" s="9">
        <v>9543</v>
      </c>
      <c r="N30" s="131"/>
    </row>
    <row r="31" spans="2:14" ht="16" thickBot="1">
      <c r="B31" s="136" t="s">
        <v>17</v>
      </c>
      <c r="C31" s="10">
        <v>123</v>
      </c>
      <c r="D31" s="11">
        <v>148</v>
      </c>
      <c r="E31" s="11">
        <v>529</v>
      </c>
      <c r="F31" s="11">
        <v>1119</v>
      </c>
      <c r="G31" s="11">
        <v>1320</v>
      </c>
      <c r="H31" s="11">
        <v>1368</v>
      </c>
      <c r="I31" s="11">
        <v>1435</v>
      </c>
      <c r="J31" s="11">
        <v>2428</v>
      </c>
      <c r="K31" s="11">
        <v>2701</v>
      </c>
      <c r="L31" s="11">
        <v>5727</v>
      </c>
      <c r="M31" s="12">
        <v>7187</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5681403.8640000001</v>
      </c>
      <c r="D9" s="152">
        <f>Dashboard!D21*ktoe_TJ</f>
        <v>5736083.4720000001</v>
      </c>
      <c r="E9" s="152">
        <f>Dashboard!E21*ktoe_TJ</f>
        <v>5548096.1520000007</v>
      </c>
      <c r="F9" s="152">
        <f>Dashboard!F21*ktoe_TJ</f>
        <v>4904626.8600000003</v>
      </c>
      <c r="G9" s="152">
        <f>Dashboard!G21*ktoe_TJ</f>
        <v>4147527.8160000001</v>
      </c>
      <c r="H9" s="152">
        <f>Dashboard!H21*ktoe_TJ</f>
        <v>3758364.7560000001</v>
      </c>
      <c r="I9" s="152">
        <f>Dashboard!I21*ktoe_TJ</f>
        <v>3257456.0040000002</v>
      </c>
      <c r="J9" s="152">
        <f>Dashboard!J21*ktoe_TJ</f>
        <v>3201311.0160000003</v>
      </c>
      <c r="K9" s="152">
        <f>Dashboard!K21*ktoe_TJ</f>
        <v>2991301.128</v>
      </c>
      <c r="L9" s="152">
        <f>Dashboard!L21*ktoe_TJ</f>
        <v>3132521.892</v>
      </c>
      <c r="M9" s="152">
        <f>Dashboard!M21*ktoe_TJ</f>
        <v>3222370.62</v>
      </c>
    </row>
    <row r="10" spans="2:13">
      <c r="B10" s="149" t="s">
        <v>9</v>
      </c>
      <c r="C10" s="153">
        <f>Dashboard!C22*ktoe_TJ</f>
        <v>2538414.9720000001</v>
      </c>
      <c r="D10" s="153">
        <f>Dashboard!D22*ktoe_TJ</f>
        <v>2365039.5840000003</v>
      </c>
      <c r="E10" s="153">
        <f>Dashboard!E22*ktoe_TJ</f>
        <v>1889293.5</v>
      </c>
      <c r="F10" s="153">
        <f>Dashboard!F22*ktoe_TJ</f>
        <v>1566574.956</v>
      </c>
      <c r="G10" s="153">
        <f>Dashboard!G22*ktoe_TJ</f>
        <v>1287608.4720000001</v>
      </c>
      <c r="H10" s="153">
        <f>Dashboard!H22*ktoe_TJ</f>
        <v>1132864.344</v>
      </c>
      <c r="I10" s="153">
        <f>Dashboard!I22*ktoe_TJ</f>
        <v>571833.14399999997</v>
      </c>
      <c r="J10" s="153">
        <f>Dashboard!J22*ktoe_TJ</f>
        <v>484915.17600000004</v>
      </c>
      <c r="K10" s="153">
        <f>Dashboard!K22*ktoe_TJ</f>
        <v>312084.07200000004</v>
      </c>
      <c r="L10" s="153">
        <f>Dashboard!L22*ktoe_TJ</f>
        <v>189243.36000000002</v>
      </c>
      <c r="M10" s="153">
        <f>Dashboard!M22*ktoe_TJ</f>
        <v>154032.372</v>
      </c>
    </row>
    <row r="11" spans="2:13">
      <c r="B11" s="149" t="s">
        <v>10</v>
      </c>
      <c r="C11" s="153">
        <f>Dashboard!C23*ktoe_TJ</f>
        <v>197575.092</v>
      </c>
      <c r="D11" s="153">
        <f>Dashboard!D23*ktoe_TJ</f>
        <v>246058.236</v>
      </c>
      <c r="E11" s="153">
        <f>Dashboard!E23*ktoe_TJ</f>
        <v>202892.32800000001</v>
      </c>
      <c r="F11" s="153">
        <f>Dashboard!F23*ktoe_TJ</f>
        <v>163117.728</v>
      </c>
      <c r="G11" s="153">
        <f>Dashboard!G23*ktoe_TJ</f>
        <v>130083.876</v>
      </c>
      <c r="H11" s="153">
        <f>Dashboard!H23*ktoe_TJ</f>
        <v>115095.13200000001</v>
      </c>
      <c r="I11" s="153">
        <f>Dashboard!I23*ktoe_TJ</f>
        <v>104041.98000000001</v>
      </c>
      <c r="J11" s="153">
        <f>Dashboard!J23*ktoe_TJ</f>
        <v>53130.492000000006</v>
      </c>
      <c r="K11" s="153">
        <f>Dashboard!K23*ktoe_TJ</f>
        <v>25790.688000000002</v>
      </c>
      <c r="L11" s="153">
        <f>Dashboard!L23*ktoe_TJ</f>
        <v>0</v>
      </c>
      <c r="M11" s="153">
        <f>Dashboard!M23*ktoe_TJ</f>
        <v>0</v>
      </c>
    </row>
    <row r="12" spans="2:13">
      <c r="B12" s="149" t="s">
        <v>3</v>
      </c>
      <c r="C12" s="153">
        <f>Dashboard!C24*ktoe_TJ</f>
        <v>662561.1</v>
      </c>
      <c r="D12" s="153">
        <f>Dashboard!D24*ktoe_TJ</f>
        <v>596242.18800000008</v>
      </c>
      <c r="E12" s="153">
        <f>Dashboard!E24*ktoe_TJ</f>
        <v>405868.39199999999</v>
      </c>
      <c r="F12" s="153">
        <f>Dashboard!F24*ktoe_TJ</f>
        <v>359939.196</v>
      </c>
      <c r="G12" s="153">
        <f>Dashboard!G24*ktoe_TJ</f>
        <v>371578.5</v>
      </c>
      <c r="H12" s="153">
        <f>Dashboard!H24*ktoe_TJ</f>
        <v>303124.32</v>
      </c>
      <c r="I12" s="153">
        <f>Dashboard!I24*ktoe_TJ</f>
        <v>249575.14800000002</v>
      </c>
      <c r="J12" s="153">
        <f>Dashboard!J24*ktoe_TJ</f>
        <v>187568.64000000001</v>
      </c>
      <c r="K12" s="153">
        <f>Dashboard!K24*ktoe_TJ</f>
        <v>110322.18000000001</v>
      </c>
      <c r="L12" s="153">
        <f>Dashboard!L24*ktoe_TJ</f>
        <v>100273.86</v>
      </c>
      <c r="M12" s="153">
        <f>Dashboard!M24*ktoe_TJ</f>
        <v>86164.343999999997</v>
      </c>
    </row>
    <row r="13" spans="2:13">
      <c r="B13" s="149" t="s">
        <v>11</v>
      </c>
      <c r="C13" s="153">
        <f>Dashboard!C25*ktoe_TJ</f>
        <v>1831725</v>
      </c>
      <c r="D13" s="153">
        <f>Dashboard!D25*ktoe_TJ</f>
        <v>1761009.9480000001</v>
      </c>
      <c r="E13" s="153">
        <f>Dashboard!E25*ktoe_TJ</f>
        <v>1518008.0760000001</v>
      </c>
      <c r="F13" s="153">
        <f>Dashboard!F25*ktoe_TJ</f>
        <v>1010860.9920000001</v>
      </c>
      <c r="G13" s="153">
        <f>Dashboard!G25*ktoe_TJ</f>
        <v>338042.23200000002</v>
      </c>
      <c r="H13" s="153">
        <f>Dashboard!H25*ktoe_TJ</f>
        <v>0</v>
      </c>
      <c r="I13" s="153">
        <f>Dashboard!I25*ktoe_TJ</f>
        <v>0</v>
      </c>
      <c r="J13" s="153">
        <f>Dashboard!J25*ktoe_TJ</f>
        <v>0</v>
      </c>
      <c r="K13" s="153">
        <f>Dashboard!K25*ktoe_TJ</f>
        <v>0</v>
      </c>
      <c r="L13" s="153">
        <f>Dashboard!L25*ktoe_TJ</f>
        <v>0</v>
      </c>
      <c r="M13" s="153">
        <f>Dashboard!M25*ktoe_TJ</f>
        <v>0</v>
      </c>
    </row>
    <row r="14" spans="2:13">
      <c r="B14" s="149" t="s">
        <v>12</v>
      </c>
      <c r="C14" s="153">
        <f>Dashboard!C26*ktoe_TJ</f>
        <v>451127.7</v>
      </c>
      <c r="D14" s="153">
        <f>Dashboard!D26*ktoe_TJ</f>
        <v>767775.38400000008</v>
      </c>
      <c r="E14" s="153">
        <f>Dashboard!E26*ktoe_TJ</f>
        <v>1532075.7240000002</v>
      </c>
      <c r="F14" s="153">
        <f>Dashboard!F26*ktoe_TJ</f>
        <v>1804133.9880000001</v>
      </c>
      <c r="G14" s="153">
        <f>Dashboard!G26*ktoe_TJ</f>
        <v>2020256.6040000001</v>
      </c>
      <c r="H14" s="153">
        <f>Dashboard!H26*ktoe_TJ</f>
        <v>2207239.0920000002</v>
      </c>
      <c r="I14" s="153">
        <f>Dashboard!I26*ktoe_TJ</f>
        <v>2332005.7320000003</v>
      </c>
      <c r="J14" s="153">
        <f>Dashboard!J26*ktoe_TJ</f>
        <v>2475654.8400000003</v>
      </c>
      <c r="K14" s="153">
        <f>Dashboard!K26*ktoe_TJ</f>
        <v>2543104.1880000001</v>
      </c>
      <c r="L14" s="153">
        <f>Dashboard!L26*ktoe_TJ</f>
        <v>2843004.6720000003</v>
      </c>
      <c r="M14" s="153">
        <f>Dashboard!M26*ktoe_TJ</f>
        <v>2982173.9040000001</v>
      </c>
    </row>
    <row r="15" spans="2:13">
      <c r="B15" s="149" t="s">
        <v>13</v>
      </c>
      <c r="C15" s="153">
        <f>Dashboard!C27*ktoe_TJ</f>
        <v>78251.292000000001</v>
      </c>
      <c r="D15" s="153">
        <f>Dashboard!D27*ktoe_TJ</f>
        <v>70505.712</v>
      </c>
      <c r="E15" s="153">
        <f>Dashboard!E27*ktoe_TJ</f>
        <v>73520.207999999999</v>
      </c>
      <c r="F15" s="153">
        <f>Dashboard!F27*ktoe_TJ</f>
        <v>80679.635999999999</v>
      </c>
      <c r="G15" s="153">
        <f>Dashboard!G27*ktoe_TJ</f>
        <v>82312.487999999998</v>
      </c>
      <c r="H15" s="153">
        <f>Dashboard!H27*ktoe_TJ</f>
        <v>86876.1</v>
      </c>
      <c r="I15" s="153">
        <f>Dashboard!I27*ktoe_TJ</f>
        <v>93323.772000000012</v>
      </c>
      <c r="J15" s="153">
        <f>Dashboard!J27*ktoe_TJ</f>
        <v>94370.472000000009</v>
      </c>
      <c r="K15" s="153">
        <f>Dashboard!K27*ktoe_TJ</f>
        <v>97510.572</v>
      </c>
      <c r="L15" s="153">
        <f>Dashboard!L27*ktoe_TJ</f>
        <v>100566.936</v>
      </c>
      <c r="M15" s="153">
        <f>Dashboard!M27*ktoe_TJ</f>
        <v>104711.868</v>
      </c>
    </row>
    <row r="16" spans="2:13">
      <c r="B16" s="149" t="s">
        <v>14</v>
      </c>
      <c r="C16" s="153">
        <f>Dashboard!C28*ktoe_TJ</f>
        <v>329249.95199999999</v>
      </c>
      <c r="D16" s="153">
        <f>Dashboard!D28*ktoe_TJ</f>
        <v>578238.94799999997</v>
      </c>
      <c r="E16" s="153">
        <f>Dashboard!E28*ktoe_TJ</f>
        <v>1239544.0080000001</v>
      </c>
      <c r="F16" s="153">
        <f>Dashboard!F28*ktoe_TJ</f>
        <v>1273498.956</v>
      </c>
      <c r="G16" s="153">
        <f>Dashboard!G28*ktoe_TJ</f>
        <v>1295354.0520000001</v>
      </c>
      <c r="H16" s="153">
        <f>Dashboard!H28*ktoe_TJ</f>
        <v>1290371.76</v>
      </c>
      <c r="I16" s="153">
        <f>Dashboard!I28*ktoe_TJ</f>
        <v>1288445.8320000002</v>
      </c>
      <c r="J16" s="153">
        <f>Dashboard!J28*ktoe_TJ</f>
        <v>1306532.808</v>
      </c>
      <c r="K16" s="153">
        <f>Dashboard!K28*ktoe_TJ</f>
        <v>1330899.9840000002</v>
      </c>
      <c r="L16" s="153">
        <f>Dashboard!L28*ktoe_TJ</f>
        <v>1397386.368</v>
      </c>
      <c r="M16" s="153">
        <f>Dashboard!M28*ktoe_TJ</f>
        <v>1396004.7240000002</v>
      </c>
    </row>
    <row r="17" spans="2:13">
      <c r="B17" s="148" t="s">
        <v>15</v>
      </c>
      <c r="C17" s="153">
        <f>Dashboard!C29*ktoe_TJ</f>
        <v>33661.872000000003</v>
      </c>
      <c r="D17" s="153">
        <f>Dashboard!D29*ktoe_TJ</f>
        <v>98012.988000000012</v>
      </c>
      <c r="E17" s="153">
        <f>Dashboard!E29*ktoe_TJ</f>
        <v>136071</v>
      </c>
      <c r="F17" s="153">
        <f>Dashboard!F29*ktoe_TJ</f>
        <v>225249.84000000003</v>
      </c>
      <c r="G17" s="153">
        <f>Dashboard!G29*ktoe_TJ</f>
        <v>341349.804</v>
      </c>
      <c r="H17" s="153">
        <f>Dashboard!H29*ktoe_TJ</f>
        <v>476667.18000000005</v>
      </c>
      <c r="I17" s="153">
        <f>Dashboard!I29*ktoe_TJ</f>
        <v>587114.96400000004</v>
      </c>
      <c r="J17" s="153">
        <f>Dashboard!J29*ktoe_TJ</f>
        <v>646065.10800000001</v>
      </c>
      <c r="K17" s="153">
        <f>Dashboard!K29*ktoe_TJ</f>
        <v>641668.96799999999</v>
      </c>
      <c r="L17" s="153">
        <f>Dashboard!L29*ktoe_TJ</f>
        <v>718999.16399999999</v>
      </c>
      <c r="M17" s="153">
        <f>Dashboard!M29*ktoe_TJ</f>
        <v>781005.67200000002</v>
      </c>
    </row>
    <row r="18" spans="2:13">
      <c r="B18" s="148" t="s">
        <v>16</v>
      </c>
      <c r="C18" s="153">
        <f>Dashboard!C30*ktoe_TJ</f>
        <v>4814.8200000000006</v>
      </c>
      <c r="D18" s="153">
        <f>Dashboard!D30*ktoe_TJ</f>
        <v>14779.404</v>
      </c>
      <c r="E18" s="153">
        <f>Dashboard!E30*ktoe_TJ</f>
        <v>60792.336000000003</v>
      </c>
      <c r="F18" s="153">
        <f>Dashboard!F30*ktoe_TJ</f>
        <v>177813.39600000001</v>
      </c>
      <c r="G18" s="153">
        <f>Dashboard!G30*ktoe_TJ</f>
        <v>245932.63200000001</v>
      </c>
      <c r="H18" s="153">
        <f>Dashboard!H30*ktoe_TJ</f>
        <v>296006.76</v>
      </c>
      <c r="I18" s="153">
        <f>Dashboard!I30*ktoe_TJ</f>
        <v>303040.58400000003</v>
      </c>
      <c r="J18" s="153">
        <f>Dashboard!J30*ktoe_TJ</f>
        <v>326989.08</v>
      </c>
      <c r="K18" s="153">
        <f>Dashboard!K30*ktoe_TJ</f>
        <v>359981.06400000001</v>
      </c>
      <c r="L18" s="153">
        <f>Dashboard!L30*ktoe_TJ</f>
        <v>386274.16800000001</v>
      </c>
      <c r="M18" s="153">
        <f>Dashboard!M30*ktoe_TJ</f>
        <v>399546.32400000002</v>
      </c>
    </row>
    <row r="19" spans="2:13">
      <c r="B19" s="148" t="s">
        <v>17</v>
      </c>
      <c r="C19" s="153">
        <f>Dashboard!C31*ktoe_TJ</f>
        <v>5149.7640000000001</v>
      </c>
      <c r="D19" s="153">
        <f>Dashboard!D31*ktoe_TJ</f>
        <v>6196.4639999999999</v>
      </c>
      <c r="E19" s="153">
        <f>Dashboard!E31*ktoe_TJ</f>
        <v>22148.172000000002</v>
      </c>
      <c r="F19" s="153">
        <f>Dashboard!F31*ktoe_TJ</f>
        <v>46850.292000000001</v>
      </c>
      <c r="G19" s="153">
        <f>Dashboard!G31*ktoe_TJ</f>
        <v>55265.760000000002</v>
      </c>
      <c r="H19" s="153">
        <f>Dashboard!H31*ktoe_TJ</f>
        <v>57275.424000000006</v>
      </c>
      <c r="I19" s="153">
        <f>Dashboard!I31*ktoe_TJ</f>
        <v>60080.58</v>
      </c>
      <c r="J19" s="153">
        <f>Dashboard!J31*ktoe_TJ</f>
        <v>101655.504</v>
      </c>
      <c r="K19" s="153">
        <f>Dashboard!K31*ktoe_TJ</f>
        <v>113085.46800000001</v>
      </c>
      <c r="L19" s="153">
        <f>Dashboard!L31*ktoe_TJ</f>
        <v>239778.03600000002</v>
      </c>
      <c r="M19" s="153">
        <f>Dashboard!M31*ktoe_TJ</f>
        <v>300905.31599999999</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F21" sqref="F21"/>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403607.98054800008</v>
      </c>
      <c r="C9" s="2">
        <f>conversion_to_TJ!C10*Dashboard!$D$12</f>
        <v>2134806.9914520001</v>
      </c>
      <c r="D9" s="2">
        <f>conversion_to_TJ!C12</f>
        <v>662561.1</v>
      </c>
      <c r="E9" s="2">
        <f>conversion_to_TJ!C11</f>
        <v>197575.092</v>
      </c>
      <c r="F9" s="2">
        <f>conversion_to_TJ!C13</f>
        <v>1831725</v>
      </c>
      <c r="G9" s="2">
        <f>conversion_to_TJ!C16*Dashboard!$D$14</f>
        <v>245719.23917759999</v>
      </c>
    </row>
    <row r="10" spans="1:13">
      <c r="A10" s="1">
        <v>2001</v>
      </c>
      <c r="B10" s="1">
        <f>B$9+(B$14-B$9)/($A$14-$A$9)*($A10-$A$9)</f>
        <v>398094.64320960006</v>
      </c>
      <c r="C10" s="1">
        <f t="shared" ref="C10:G10" si="0">C$9+(C$14-C$9)/($A$14-$A$9)*($A10-$A$9)</f>
        <v>2105645.2511904002</v>
      </c>
      <c r="D10" s="1">
        <f t="shared" si="0"/>
        <v>649297.31759999995</v>
      </c>
      <c r="E10" s="1">
        <f t="shared" si="0"/>
        <v>207271.72080000001</v>
      </c>
      <c r="F10" s="1">
        <f t="shared" si="0"/>
        <v>1817581.9896</v>
      </c>
      <c r="G10" s="1">
        <f t="shared" si="0"/>
        <v>282883.33672055998</v>
      </c>
    </row>
    <row r="11" spans="1:13">
      <c r="A11" s="1">
        <v>2002</v>
      </c>
      <c r="B11" s="1">
        <f t="shared" ref="B11:G13" si="1">B$9+(B$14-B$9)/($A$14-$A$9)*($A11-$A$9)</f>
        <v>392581.30587120011</v>
      </c>
      <c r="C11" s="1">
        <f t="shared" si="1"/>
        <v>2076483.5109288001</v>
      </c>
      <c r="D11" s="1">
        <f t="shared" si="1"/>
        <v>636033.53520000004</v>
      </c>
      <c r="E11" s="1">
        <f t="shared" si="1"/>
        <v>216968.34960000002</v>
      </c>
      <c r="F11" s="1">
        <f t="shared" si="1"/>
        <v>1803438.9791999999</v>
      </c>
      <c r="G11" s="1">
        <f t="shared" si="1"/>
        <v>320047.43426351994</v>
      </c>
    </row>
    <row r="12" spans="1:13">
      <c r="A12" s="1">
        <v>2003</v>
      </c>
      <c r="B12" s="1">
        <f t="shared" si="1"/>
        <v>387067.96853280009</v>
      </c>
      <c r="C12" s="1">
        <f t="shared" si="1"/>
        <v>2047321.7706672002</v>
      </c>
      <c r="D12" s="1">
        <f t="shared" si="1"/>
        <v>622769.75280000002</v>
      </c>
      <c r="E12" s="1">
        <f t="shared" si="1"/>
        <v>226664.97840000002</v>
      </c>
      <c r="F12" s="1">
        <f t="shared" si="1"/>
        <v>1789295.9688000001</v>
      </c>
      <c r="G12" s="1">
        <f t="shared" si="1"/>
        <v>357211.53180647996</v>
      </c>
    </row>
    <row r="13" spans="1:13">
      <c r="A13" s="1">
        <v>2004</v>
      </c>
      <c r="B13" s="1">
        <f t="shared" si="1"/>
        <v>381554.63119440014</v>
      </c>
      <c r="C13" s="1">
        <f t="shared" si="1"/>
        <v>2018160.0304056001</v>
      </c>
      <c r="D13" s="1">
        <f t="shared" si="1"/>
        <v>609505.97040000011</v>
      </c>
      <c r="E13" s="1">
        <f t="shared" si="1"/>
        <v>236361.6072</v>
      </c>
      <c r="F13" s="1">
        <f t="shared" si="1"/>
        <v>1775152.9584000001</v>
      </c>
      <c r="G13" s="1">
        <f t="shared" si="1"/>
        <v>394375.62934943999</v>
      </c>
    </row>
    <row r="14" spans="1:13">
      <c r="A14" s="2">
        <v>2005</v>
      </c>
      <c r="B14" s="2">
        <f>conversion_to_TJ!D10*Dashboard!$D$11</f>
        <v>376041.29385600012</v>
      </c>
      <c r="C14" s="2">
        <f>conversion_to_TJ!D10*Dashboard!$D$12</f>
        <v>1988998.2901440002</v>
      </c>
      <c r="D14" s="2">
        <f>conversion_to_TJ!D12</f>
        <v>596242.18800000008</v>
      </c>
      <c r="E14" s="2">
        <f>conversion_to_TJ!D11</f>
        <v>246058.236</v>
      </c>
      <c r="F14" s="2">
        <f>conversion_to_TJ!D13</f>
        <v>1761009.9480000001</v>
      </c>
      <c r="G14" s="2">
        <f>conversion_to_TJ!D16*Dashboard!$D$14</f>
        <v>431539.72689239995</v>
      </c>
    </row>
    <row r="15" spans="1:13">
      <c r="A15" s="1">
        <v>2006</v>
      </c>
      <c r="B15" s="1">
        <f>B$14+(B$19-B$14)/($A$19-$A$14)*($A15-$A$14)</f>
        <v>360912.56838480011</v>
      </c>
      <c r="C15" s="1">
        <f t="shared" ref="C15:G15" si="2">C$14+(C$19-C$14)/($A$19-$A$14)*($A15-$A$14)</f>
        <v>1908977.7988152001</v>
      </c>
      <c r="D15" s="1">
        <f t="shared" si="2"/>
        <v>558167.42880000011</v>
      </c>
      <c r="E15" s="1">
        <f t="shared" si="2"/>
        <v>237425.05439999999</v>
      </c>
      <c r="F15" s="1">
        <f t="shared" si="2"/>
        <v>1712409.5736</v>
      </c>
      <c r="G15" s="1">
        <f t="shared" si="2"/>
        <v>530246.12014799996</v>
      </c>
    </row>
    <row r="16" spans="1:13">
      <c r="A16" s="1">
        <v>2007</v>
      </c>
      <c r="B16" s="1">
        <f t="shared" ref="B16:G18" si="3">B$14+(B$19-B$14)/($A$19-$A$14)*($A16-$A$14)</f>
        <v>345783.84291360009</v>
      </c>
      <c r="C16" s="1">
        <f t="shared" si="3"/>
        <v>1828957.3074864</v>
      </c>
      <c r="D16" s="1">
        <f t="shared" si="3"/>
        <v>520092.66960000002</v>
      </c>
      <c r="E16" s="1">
        <f t="shared" si="3"/>
        <v>228791.87280000001</v>
      </c>
      <c r="F16" s="1">
        <f t="shared" si="3"/>
        <v>1663809.1992000001</v>
      </c>
      <c r="G16" s="1">
        <f t="shared" si="3"/>
        <v>628952.51340360008</v>
      </c>
    </row>
    <row r="17" spans="1:7">
      <c r="A17" s="1">
        <v>2008</v>
      </c>
      <c r="B17" s="1">
        <f t="shared" si="3"/>
        <v>330655.11744240008</v>
      </c>
      <c r="C17" s="1">
        <f t="shared" si="3"/>
        <v>1748936.8161575999</v>
      </c>
      <c r="D17" s="1">
        <f t="shared" si="3"/>
        <v>482017.91040000005</v>
      </c>
      <c r="E17" s="1">
        <f t="shared" si="3"/>
        <v>220158.6912</v>
      </c>
      <c r="F17" s="1">
        <f t="shared" si="3"/>
        <v>1615208.8248000001</v>
      </c>
      <c r="G17" s="1">
        <f t="shared" si="3"/>
        <v>727658.90665920009</v>
      </c>
    </row>
    <row r="18" spans="1:7">
      <c r="A18" s="1">
        <v>2009</v>
      </c>
      <c r="B18" s="1">
        <f t="shared" si="3"/>
        <v>315526.39197120006</v>
      </c>
      <c r="C18" s="1">
        <f t="shared" si="3"/>
        <v>1668916.3248288</v>
      </c>
      <c r="D18" s="1">
        <f t="shared" si="3"/>
        <v>443943.15120000002</v>
      </c>
      <c r="E18" s="1">
        <f t="shared" si="3"/>
        <v>211525.50959999999</v>
      </c>
      <c r="F18" s="1">
        <f t="shared" si="3"/>
        <v>1566608.4504000002</v>
      </c>
      <c r="G18" s="1">
        <f t="shared" si="3"/>
        <v>826365.2999148001</v>
      </c>
    </row>
    <row r="19" spans="1:7">
      <c r="A19" s="2">
        <v>2010</v>
      </c>
      <c r="B19" s="2">
        <f>conversion_to_TJ!E10*Dashboard!$D$11</f>
        <v>300397.66650000005</v>
      </c>
      <c r="C19" s="2">
        <f>conversion_to_TJ!E10*Dashboard!$D$12</f>
        <v>1588895.8334999999</v>
      </c>
      <c r="D19" s="2">
        <f>conversion_to_TJ!E12</f>
        <v>405868.39199999999</v>
      </c>
      <c r="E19" s="2">
        <f>conversion_to_TJ!E11</f>
        <v>202892.32800000001</v>
      </c>
      <c r="F19" s="2">
        <f>conversion_to_TJ!E13</f>
        <v>1518008.0760000001</v>
      </c>
      <c r="G19" s="2">
        <f>conversion_to_TJ!E16*Dashboard!$D$14</f>
        <v>925071.6931704001</v>
      </c>
    </row>
    <row r="20" spans="1:7">
      <c r="A20" s="1">
        <v>2011</v>
      </c>
      <c r="B20" s="1">
        <f>B$19+(B$24-B$19)/($A$24-$A$19)*($A20-$A$19)</f>
        <v>290135.21680080006</v>
      </c>
      <c r="C20" s="1">
        <f t="shared" ref="C20:G20" si="4">C$19+(C$24-C$19)/($A$24-$A$19)*($A20-$A$19)</f>
        <v>1534614.5743992</v>
      </c>
      <c r="D20" s="1">
        <f t="shared" si="4"/>
        <v>396682.5528</v>
      </c>
      <c r="E20" s="1">
        <f t="shared" si="4"/>
        <v>194937.408</v>
      </c>
      <c r="F20" s="1">
        <f t="shared" si="4"/>
        <v>1416578.6592000001</v>
      </c>
      <c r="G20" s="1">
        <f t="shared" si="4"/>
        <v>930139.8087088801</v>
      </c>
    </row>
    <row r="21" spans="1:7">
      <c r="A21" s="1">
        <v>2012</v>
      </c>
      <c r="B21" s="1">
        <f t="shared" ref="B21:G23" si="5">B$19+(B$24-B$19)/($A$24-$A$19)*($A21-$A$19)</f>
        <v>279872.76710160007</v>
      </c>
      <c r="C21" s="1">
        <f t="shared" si="5"/>
        <v>1480333.3152983999</v>
      </c>
      <c r="D21" s="1">
        <f t="shared" si="5"/>
        <v>387496.71360000002</v>
      </c>
      <c r="E21" s="1">
        <f t="shared" si="5"/>
        <v>186982.48800000001</v>
      </c>
      <c r="F21" s="1">
        <f t="shared" si="5"/>
        <v>1315149.2424000001</v>
      </c>
      <c r="G21" s="1">
        <f t="shared" si="5"/>
        <v>935207.92424736009</v>
      </c>
    </row>
    <row r="22" spans="1:7">
      <c r="A22" s="1">
        <v>2013</v>
      </c>
      <c r="B22" s="1">
        <f t="shared" si="5"/>
        <v>269610.31740240002</v>
      </c>
      <c r="C22" s="1">
        <f t="shared" si="5"/>
        <v>1426052.0561976</v>
      </c>
      <c r="D22" s="1">
        <f t="shared" si="5"/>
        <v>378310.87439999997</v>
      </c>
      <c r="E22" s="1">
        <f t="shared" si="5"/>
        <v>179027.568</v>
      </c>
      <c r="F22" s="1">
        <f t="shared" si="5"/>
        <v>1213719.8256000001</v>
      </c>
      <c r="G22" s="1">
        <f t="shared" si="5"/>
        <v>940276.03978583997</v>
      </c>
    </row>
    <row r="23" spans="1:7">
      <c r="A23" s="1">
        <v>2014</v>
      </c>
      <c r="B23" s="1">
        <f t="shared" si="5"/>
        <v>259347.86770320003</v>
      </c>
      <c r="C23" s="1">
        <f t="shared" si="5"/>
        <v>1371770.7970967998</v>
      </c>
      <c r="D23" s="1">
        <f t="shared" si="5"/>
        <v>369125.03519999998</v>
      </c>
      <c r="E23" s="1">
        <f t="shared" si="5"/>
        <v>171072.64800000002</v>
      </c>
      <c r="F23" s="1">
        <f t="shared" si="5"/>
        <v>1112290.4088000001</v>
      </c>
      <c r="G23" s="1">
        <f t="shared" si="5"/>
        <v>945344.15532431996</v>
      </c>
    </row>
    <row r="24" spans="1:7">
      <c r="A24" s="2">
        <v>2015</v>
      </c>
      <c r="B24" s="2">
        <f>conversion_to_TJ!F10*Dashboard!$D$11</f>
        <v>249085.41800400004</v>
      </c>
      <c r="C24" s="2">
        <f>conversion_to_TJ!F10*Dashboard!$D$12</f>
        <v>1317489.5379959999</v>
      </c>
      <c r="D24" s="2">
        <f>conversion_to_TJ!F12</f>
        <v>359939.196</v>
      </c>
      <c r="E24" s="2">
        <f>conversion_to_TJ!F11</f>
        <v>163117.728</v>
      </c>
      <c r="F24" s="2">
        <f>conversion_to_TJ!F13</f>
        <v>1010860.9920000001</v>
      </c>
      <c r="G24" s="2">
        <f>conversion_to_TJ!F16*Dashboard!$D$14</f>
        <v>950412.27086279995</v>
      </c>
    </row>
    <row r="25" spans="1:7">
      <c r="A25" s="1">
        <v>2016</v>
      </c>
      <c r="B25" s="1">
        <f>B$24+(B$29-B$24)/($A$29-$A$24)*($A25-$A$24)</f>
        <v>240214.28381280004</v>
      </c>
      <c r="C25" s="1">
        <f t="shared" ref="C25:G25" si="6">C$24+(C$29-C$24)/($A$29-$A$24)*($A25-$A$24)</f>
        <v>1270567.3753871999</v>
      </c>
      <c r="D25" s="1">
        <f t="shared" si="6"/>
        <v>362267.05680000002</v>
      </c>
      <c r="E25" s="1">
        <f t="shared" si="6"/>
        <v>156510.95759999999</v>
      </c>
      <c r="F25" s="1">
        <f t="shared" si="6"/>
        <v>876297.24000000011</v>
      </c>
      <c r="G25" s="1">
        <f t="shared" si="6"/>
        <v>953674.36249175994</v>
      </c>
    </row>
    <row r="26" spans="1:7">
      <c r="A26" s="1">
        <v>2017</v>
      </c>
      <c r="B26" s="1">
        <f t="shared" ref="B26:G28" si="7">B$24+(B$29-B$24)/($A$29-$A$24)*($A26-$A$24)</f>
        <v>231343.14962160005</v>
      </c>
      <c r="C26" s="1">
        <f t="shared" si="7"/>
        <v>1223645.2127783999</v>
      </c>
      <c r="D26" s="1">
        <f t="shared" si="7"/>
        <v>364594.91759999999</v>
      </c>
      <c r="E26" s="1">
        <f t="shared" si="7"/>
        <v>149904.18720000001</v>
      </c>
      <c r="F26" s="1">
        <f t="shared" si="7"/>
        <v>741733.48800000013</v>
      </c>
      <c r="G26" s="1">
        <f t="shared" si="7"/>
        <v>956936.45412072004</v>
      </c>
    </row>
    <row r="27" spans="1:7">
      <c r="A27" s="1">
        <v>2018</v>
      </c>
      <c r="B27" s="1">
        <f t="shared" si="7"/>
        <v>222472.01543040003</v>
      </c>
      <c r="C27" s="1">
        <f t="shared" si="7"/>
        <v>1176723.0501695999</v>
      </c>
      <c r="D27" s="1">
        <f t="shared" si="7"/>
        <v>366922.77840000001</v>
      </c>
      <c r="E27" s="1">
        <f t="shared" si="7"/>
        <v>143297.41680000001</v>
      </c>
      <c r="F27" s="1">
        <f t="shared" si="7"/>
        <v>607169.73600000003</v>
      </c>
      <c r="G27" s="1">
        <f t="shared" si="7"/>
        <v>960198.54574968002</v>
      </c>
    </row>
    <row r="28" spans="1:7">
      <c r="A28" s="1">
        <v>2019</v>
      </c>
      <c r="B28" s="1">
        <f t="shared" si="7"/>
        <v>213600.88123920004</v>
      </c>
      <c r="C28" s="1">
        <f t="shared" si="7"/>
        <v>1129800.8875608</v>
      </c>
      <c r="D28" s="1">
        <f t="shared" si="7"/>
        <v>369250.63919999998</v>
      </c>
      <c r="E28" s="1">
        <f t="shared" si="7"/>
        <v>136690.6464</v>
      </c>
      <c r="F28" s="1">
        <f t="shared" si="7"/>
        <v>472605.98400000005</v>
      </c>
      <c r="G28" s="1">
        <f t="shared" si="7"/>
        <v>963460.63737864012</v>
      </c>
    </row>
    <row r="29" spans="1:7">
      <c r="A29" s="2">
        <v>2020</v>
      </c>
      <c r="B29" s="2">
        <f>conversion_to_TJ!G10*Dashboard!$D$11</f>
        <v>204729.74704800005</v>
      </c>
      <c r="C29" s="2">
        <f>conversion_to_TJ!G10*Dashboard!$D$12</f>
        <v>1082878.724952</v>
      </c>
      <c r="D29" s="2">
        <f>conversion_to_TJ!G12</f>
        <v>371578.5</v>
      </c>
      <c r="E29" s="2">
        <f>conversion_to_TJ!G11</f>
        <v>130083.876</v>
      </c>
      <c r="F29" s="2">
        <f>conversion_to_TJ!G13</f>
        <v>338042.23200000002</v>
      </c>
      <c r="G29" s="2">
        <f>conversion_to_TJ!G16*Dashboard!$D$14</f>
        <v>966722.72900760011</v>
      </c>
    </row>
    <row r="30" spans="1:7">
      <c r="A30" s="1">
        <v>2021</v>
      </c>
      <c r="B30" s="1">
        <f>B$29+(B$34-B$29)/($A$34-$A$29)*($A30-$A$29)</f>
        <v>199808.88377760004</v>
      </c>
      <c r="C30" s="1">
        <f t="shared" ref="C30:G30" si="8">C$29+(C$34-C$29)/($A$34-$A$29)*($A30-$A$29)</f>
        <v>1056850.7626224</v>
      </c>
      <c r="D30" s="1">
        <f t="shared" si="8"/>
        <v>357887.66399999999</v>
      </c>
      <c r="E30" s="1">
        <f t="shared" si="8"/>
        <v>127086.1272</v>
      </c>
      <c r="F30" s="1">
        <f t="shared" si="8"/>
        <v>270433.7856</v>
      </c>
      <c r="G30" s="1">
        <f t="shared" si="8"/>
        <v>965979.07210368011</v>
      </c>
    </row>
    <row r="31" spans="1:7">
      <c r="A31" s="1">
        <v>2022</v>
      </c>
      <c r="B31" s="1">
        <f t="shared" ref="B31:G33" si="9">B$29+(B$34-B$29)/($A$34-$A$29)*($A31-$A$29)</f>
        <v>194888.02050720004</v>
      </c>
      <c r="C31" s="1">
        <f t="shared" si="9"/>
        <v>1030822.8002927999</v>
      </c>
      <c r="D31" s="1">
        <f t="shared" si="9"/>
        <v>344196.82799999998</v>
      </c>
      <c r="E31" s="1">
        <f t="shared" si="9"/>
        <v>124088.3784</v>
      </c>
      <c r="F31" s="1">
        <f t="shared" si="9"/>
        <v>202825.33920000002</v>
      </c>
      <c r="G31" s="1">
        <f t="shared" si="9"/>
        <v>965235.41519976011</v>
      </c>
    </row>
    <row r="32" spans="1:7">
      <c r="A32" s="1">
        <v>2023</v>
      </c>
      <c r="B32" s="1">
        <f t="shared" si="9"/>
        <v>189967.15723680006</v>
      </c>
      <c r="C32" s="1">
        <f t="shared" si="9"/>
        <v>1004794.8379631999</v>
      </c>
      <c r="D32" s="1">
        <f t="shared" si="9"/>
        <v>330505.99199999997</v>
      </c>
      <c r="E32" s="1">
        <f t="shared" si="9"/>
        <v>121090.62960000001</v>
      </c>
      <c r="F32" s="1">
        <f t="shared" si="9"/>
        <v>135216.89280000003</v>
      </c>
      <c r="G32" s="1">
        <f t="shared" si="9"/>
        <v>964491.75829584</v>
      </c>
    </row>
    <row r="33" spans="1:7">
      <c r="A33" s="1">
        <v>2024</v>
      </c>
      <c r="B33" s="1">
        <f t="shared" si="9"/>
        <v>185046.29396640006</v>
      </c>
      <c r="C33" s="1">
        <f t="shared" si="9"/>
        <v>978766.87563360005</v>
      </c>
      <c r="D33" s="1">
        <f t="shared" si="9"/>
        <v>316815.15600000002</v>
      </c>
      <c r="E33" s="1">
        <f t="shared" si="9"/>
        <v>118092.88080000001</v>
      </c>
      <c r="F33" s="1">
        <f t="shared" si="9"/>
        <v>67608.446400000015</v>
      </c>
      <c r="G33" s="1">
        <f t="shared" si="9"/>
        <v>963748.10139192</v>
      </c>
    </row>
    <row r="34" spans="1:7">
      <c r="A34" s="2">
        <v>2025</v>
      </c>
      <c r="B34" s="2">
        <f>conversion_to_TJ!H10*Dashboard!$D$11</f>
        <v>180125.43069600005</v>
      </c>
      <c r="C34" s="2">
        <f>conversion_to_TJ!H10*Dashboard!$D$12</f>
        <v>952738.91330400005</v>
      </c>
      <c r="D34" s="2">
        <f>conversion_to_TJ!H12</f>
        <v>303124.32</v>
      </c>
      <c r="E34" s="2">
        <f>conversion_to_TJ!H11</f>
        <v>115095.13200000001</v>
      </c>
      <c r="F34" s="2">
        <f>conversion_to_TJ!H13</f>
        <v>0</v>
      </c>
      <c r="G34" s="2">
        <f>conversion_to_TJ!H16*Dashboard!$D$14</f>
        <v>963004.44448800001</v>
      </c>
    </row>
    <row r="35" spans="1:7">
      <c r="A35" s="1">
        <v>2026</v>
      </c>
      <c r="B35" s="1">
        <f>B$34+(B$39-B$34)/($A$39-$A$34)*($A35-$A$34)</f>
        <v>162284.63853600004</v>
      </c>
      <c r="C35" s="1">
        <f t="shared" ref="C35:G35" si="10">C$34+(C$39-C$34)/($A$39-$A$34)*($A35-$A$34)</f>
        <v>858373.46546400001</v>
      </c>
      <c r="D35" s="1">
        <f t="shared" si="10"/>
        <v>292414.48560000001</v>
      </c>
      <c r="E35" s="1">
        <f t="shared" si="10"/>
        <v>112884.50160000002</v>
      </c>
      <c r="F35" s="1">
        <f t="shared" si="10"/>
        <v>0</v>
      </c>
      <c r="G35" s="1">
        <f t="shared" si="10"/>
        <v>962716.98047472001</v>
      </c>
    </row>
    <row r="36" spans="1:7">
      <c r="A36" s="1">
        <v>2027</v>
      </c>
      <c r="B36" s="1">
        <f t="shared" ref="B36:G38" si="11">B$34+(B$39-B$34)/($A$39-$A$34)*($A36-$A$34)</f>
        <v>144443.84637600003</v>
      </c>
      <c r="C36" s="1">
        <f t="shared" si="11"/>
        <v>764008.01762400009</v>
      </c>
      <c r="D36" s="1">
        <f t="shared" si="11"/>
        <v>281704.65120000002</v>
      </c>
      <c r="E36" s="1">
        <f t="shared" si="11"/>
        <v>110673.87120000001</v>
      </c>
      <c r="F36" s="1">
        <f t="shared" si="11"/>
        <v>0</v>
      </c>
      <c r="G36" s="1">
        <f t="shared" si="11"/>
        <v>962429.51646144001</v>
      </c>
    </row>
    <row r="37" spans="1:7">
      <c r="A37" s="1">
        <v>2028</v>
      </c>
      <c r="B37" s="1">
        <f t="shared" si="11"/>
        <v>126603.05421600003</v>
      </c>
      <c r="C37" s="1">
        <f t="shared" si="11"/>
        <v>669642.56978400005</v>
      </c>
      <c r="D37" s="1">
        <f t="shared" si="11"/>
        <v>270994.81680000003</v>
      </c>
      <c r="E37" s="1">
        <f t="shared" si="11"/>
        <v>108463.24080000001</v>
      </c>
      <c r="F37" s="1">
        <f t="shared" si="11"/>
        <v>0</v>
      </c>
      <c r="G37" s="1">
        <f t="shared" si="11"/>
        <v>962142.05244816013</v>
      </c>
    </row>
    <row r="38" spans="1:7">
      <c r="A38" s="1">
        <v>2029</v>
      </c>
      <c r="B38" s="1">
        <f t="shared" si="11"/>
        <v>108762.26205600002</v>
      </c>
      <c r="C38" s="1">
        <f t="shared" si="11"/>
        <v>575277.12194400001</v>
      </c>
      <c r="D38" s="1">
        <f t="shared" si="11"/>
        <v>260284.98240000001</v>
      </c>
      <c r="E38" s="1">
        <f t="shared" si="11"/>
        <v>106252.61040000001</v>
      </c>
      <c r="F38" s="1">
        <f t="shared" si="11"/>
        <v>0</v>
      </c>
      <c r="G38" s="1">
        <f t="shared" si="11"/>
        <v>961854.58843488013</v>
      </c>
    </row>
    <row r="39" spans="1:7">
      <c r="A39" s="2">
        <v>2030</v>
      </c>
      <c r="B39" s="2">
        <f>conversion_to_TJ!I10*Dashboard!$D$11</f>
        <v>90921.46989600001</v>
      </c>
      <c r="C39" s="2">
        <f>conversion_to_TJ!I10*Dashboard!$D$12</f>
        <v>480911.67410399998</v>
      </c>
      <c r="D39" s="2">
        <f>conversion_to_TJ!I12</f>
        <v>249575.14800000002</v>
      </c>
      <c r="E39" s="2">
        <f>conversion_to_TJ!I11</f>
        <v>104041.98000000001</v>
      </c>
      <c r="F39" s="2">
        <f>conversion_to_TJ!I13</f>
        <v>0</v>
      </c>
      <c r="G39" s="2">
        <f>conversion_to_TJ!I16*Dashboard!$D$14</f>
        <v>961567.12442160014</v>
      </c>
    </row>
    <row r="40" spans="1:7">
      <c r="A40" s="1">
        <v>2031</v>
      </c>
      <c r="B40" s="1">
        <f>B$39+(B$44-B$39)/($A$44-$A$39)*($A40-$A$39)</f>
        <v>88157.478513600014</v>
      </c>
      <c r="C40" s="1">
        <f t="shared" ref="C40:G40" si="12">C$39+(C$44-C$39)/($A$44-$A$39)*($A40-$A$39)</f>
        <v>466292.07188639999</v>
      </c>
      <c r="D40" s="1">
        <f t="shared" si="12"/>
        <v>237173.84640000001</v>
      </c>
      <c r="E40" s="1">
        <f t="shared" si="12"/>
        <v>93859.682400000005</v>
      </c>
      <c r="F40" s="1">
        <f t="shared" si="12"/>
        <v>0</v>
      </c>
      <c r="G40" s="1">
        <f t="shared" si="12"/>
        <v>964266.78645936004</v>
      </c>
    </row>
    <row r="41" spans="1:7">
      <c r="A41" s="1">
        <v>2032</v>
      </c>
      <c r="B41" s="1">
        <f t="shared" ref="B41:G43" si="13">B$39+(B$44-B$39)/($A$44-$A$39)*($A41-$A$39)</f>
        <v>85393.487131200018</v>
      </c>
      <c r="C41" s="1">
        <f t="shared" si="13"/>
        <v>451672.46966880001</v>
      </c>
      <c r="D41" s="1">
        <f t="shared" si="13"/>
        <v>224772.5448</v>
      </c>
      <c r="E41" s="1">
        <f t="shared" si="13"/>
        <v>83677.3848</v>
      </c>
      <c r="F41" s="1">
        <f t="shared" si="13"/>
        <v>0</v>
      </c>
      <c r="G41" s="1">
        <f t="shared" si="13"/>
        <v>966966.44849712006</v>
      </c>
    </row>
    <row r="42" spans="1:7">
      <c r="A42" s="1">
        <v>2033</v>
      </c>
      <c r="B42" s="1">
        <f t="shared" si="13"/>
        <v>82629.495748800022</v>
      </c>
      <c r="C42" s="1">
        <f t="shared" si="13"/>
        <v>437052.86745120003</v>
      </c>
      <c r="D42" s="1">
        <f t="shared" si="13"/>
        <v>212371.24320000003</v>
      </c>
      <c r="E42" s="1">
        <f t="shared" si="13"/>
        <v>73495.087200000009</v>
      </c>
      <c r="F42" s="1">
        <f t="shared" si="13"/>
        <v>0</v>
      </c>
      <c r="G42" s="1">
        <f t="shared" si="13"/>
        <v>969666.11053487996</v>
      </c>
    </row>
    <row r="43" spans="1:7">
      <c r="A43" s="1">
        <v>2034</v>
      </c>
      <c r="B43" s="1">
        <f t="shared" si="13"/>
        <v>79865.504366400011</v>
      </c>
      <c r="C43" s="1">
        <f t="shared" si="13"/>
        <v>422433.26523359999</v>
      </c>
      <c r="D43" s="1">
        <f t="shared" si="13"/>
        <v>199969.94160000002</v>
      </c>
      <c r="E43" s="1">
        <f t="shared" si="13"/>
        <v>63312.789600000004</v>
      </c>
      <c r="F43" s="1">
        <f t="shared" si="13"/>
        <v>0</v>
      </c>
      <c r="G43" s="1">
        <f t="shared" si="13"/>
        <v>972365.77257263998</v>
      </c>
    </row>
    <row r="44" spans="1:7">
      <c r="A44" s="2">
        <v>2035</v>
      </c>
      <c r="B44" s="2">
        <f>conversion_to_TJ!J10*Dashboard!$D$11</f>
        <v>77101.512984000015</v>
      </c>
      <c r="C44" s="2">
        <f>conversion_to_TJ!J10*Dashboard!$D$12</f>
        <v>407813.66301600001</v>
      </c>
      <c r="D44" s="2">
        <f>conversion_to_TJ!J12</f>
        <v>187568.64000000001</v>
      </c>
      <c r="E44" s="2">
        <f>conversion_to_TJ!J11</f>
        <v>53130.492000000006</v>
      </c>
      <c r="F44" s="2">
        <f>conversion_to_TJ!J13</f>
        <v>0</v>
      </c>
      <c r="G44" s="2">
        <f>conversion_to_TJ!J16*Dashboard!$D$14</f>
        <v>975065.43461039988</v>
      </c>
    </row>
    <row r="45" spans="1:7">
      <c r="A45" s="1">
        <v>2036</v>
      </c>
      <c r="B45" s="1">
        <f>B$44+(B$49-B$44)/($A$49-$A$44)*($A45-$A$44)</f>
        <v>71605.483876800019</v>
      </c>
      <c r="C45" s="1">
        <f t="shared" ref="C45:G45" si="14">C$44+(C$49-C$44)/($A$49-$A$44)*($A45-$A$44)</f>
        <v>378743.47132320004</v>
      </c>
      <c r="D45" s="1">
        <f t="shared" si="14"/>
        <v>172119.348</v>
      </c>
      <c r="E45" s="1">
        <f t="shared" si="14"/>
        <v>47662.531200000005</v>
      </c>
      <c r="F45" s="1">
        <f t="shared" si="14"/>
        <v>0</v>
      </c>
      <c r="G45" s="1">
        <f t="shared" si="14"/>
        <v>978702.47930015996</v>
      </c>
    </row>
    <row r="46" spans="1:7">
      <c r="A46" s="1">
        <v>2037</v>
      </c>
      <c r="B46" s="1">
        <f t="shared" ref="B46:G48" si="15">B$44+(B$49-B$44)/($A$49-$A$44)*($A46-$A$44)</f>
        <v>66109.454769600023</v>
      </c>
      <c r="C46" s="1">
        <f t="shared" si="15"/>
        <v>349673.27963040001</v>
      </c>
      <c r="D46" s="1">
        <f t="shared" si="15"/>
        <v>156670.05600000001</v>
      </c>
      <c r="E46" s="1">
        <f t="shared" si="15"/>
        <v>42194.570400000004</v>
      </c>
      <c r="F46" s="1">
        <f t="shared" si="15"/>
        <v>0</v>
      </c>
      <c r="G46" s="1">
        <f t="shared" si="15"/>
        <v>982339.52398991992</v>
      </c>
    </row>
    <row r="47" spans="1:7">
      <c r="A47" s="1">
        <v>2038</v>
      </c>
      <c r="B47" s="1">
        <f t="shared" si="15"/>
        <v>60613.425662400019</v>
      </c>
      <c r="C47" s="1">
        <f t="shared" si="15"/>
        <v>320603.08793760004</v>
      </c>
      <c r="D47" s="1">
        <f t="shared" si="15"/>
        <v>141220.76400000002</v>
      </c>
      <c r="E47" s="1">
        <f t="shared" si="15"/>
        <v>36726.609600000003</v>
      </c>
      <c r="F47" s="1">
        <f t="shared" si="15"/>
        <v>0</v>
      </c>
      <c r="G47" s="1">
        <f t="shared" si="15"/>
        <v>985976.56867968</v>
      </c>
    </row>
    <row r="48" spans="1:7">
      <c r="A48" s="1">
        <v>2039</v>
      </c>
      <c r="B48" s="1">
        <f t="shared" si="15"/>
        <v>55117.396555200015</v>
      </c>
      <c r="C48" s="1">
        <f t="shared" si="15"/>
        <v>291532.89624480007</v>
      </c>
      <c r="D48" s="1">
        <f t="shared" si="15"/>
        <v>125771.47200000001</v>
      </c>
      <c r="E48" s="1">
        <f t="shared" si="15"/>
        <v>31258.648800000003</v>
      </c>
      <c r="F48" s="1">
        <f t="shared" si="15"/>
        <v>0</v>
      </c>
      <c r="G48" s="1">
        <f t="shared" si="15"/>
        <v>989613.61336943996</v>
      </c>
    </row>
    <row r="49" spans="1:7">
      <c r="A49" s="2">
        <v>2040</v>
      </c>
      <c r="B49" s="2">
        <f>conversion_to_TJ!K10*Dashboard!$D$11</f>
        <v>49621.367448000019</v>
      </c>
      <c r="C49" s="2">
        <f>conversion_to_TJ!K10*Dashboard!$D$12</f>
        <v>262462.70455200004</v>
      </c>
      <c r="D49" s="2">
        <f>conversion_to_TJ!K12</f>
        <v>110322.18000000001</v>
      </c>
      <c r="E49" s="2">
        <f>conversion_to_TJ!K11</f>
        <v>25790.688000000002</v>
      </c>
      <c r="F49" s="2">
        <f>conversion_to_TJ!K13</f>
        <v>0</v>
      </c>
      <c r="G49" s="2">
        <f>conversion_to_TJ!K16*Dashboard!$D$14</f>
        <v>993250.65805920004</v>
      </c>
    </row>
    <row r="50" spans="1:7">
      <c r="A50" s="1">
        <v>2041</v>
      </c>
      <c r="B50" s="1">
        <f>B$49+(B$54-B$49)/($A$54-$A$49)*($A50-$A$49)</f>
        <v>45715.03280640002</v>
      </c>
      <c r="C50" s="1">
        <f t="shared" ref="C50:G50" si="16">C$49+(C$54-C$49)/($A$54-$A$49)*($A50-$A$49)</f>
        <v>241800.89679360003</v>
      </c>
      <c r="D50" s="1">
        <f t="shared" si="16"/>
        <v>108312.516</v>
      </c>
      <c r="E50" s="1">
        <f t="shared" si="16"/>
        <v>20632.5504</v>
      </c>
      <c r="F50" s="1">
        <f t="shared" si="16"/>
        <v>0</v>
      </c>
      <c r="G50" s="1">
        <f t="shared" si="16"/>
        <v>1003174.41573504</v>
      </c>
    </row>
    <row r="51" spans="1:7">
      <c r="A51" s="1">
        <v>2042</v>
      </c>
      <c r="B51" s="1">
        <f t="shared" ref="B51:G53" si="17">B$49+(B$54-B$49)/($A$54-$A$49)*($A51-$A$49)</f>
        <v>41808.698164800015</v>
      </c>
      <c r="C51" s="1">
        <f t="shared" si="17"/>
        <v>221139.08903520001</v>
      </c>
      <c r="D51" s="1">
        <f t="shared" si="17"/>
        <v>106302.852</v>
      </c>
      <c r="E51" s="1">
        <f t="shared" si="17"/>
        <v>15474.412800000002</v>
      </c>
      <c r="F51" s="1">
        <f t="shared" si="17"/>
        <v>0</v>
      </c>
      <c r="G51" s="1">
        <f t="shared" si="17"/>
        <v>1013098.17341088</v>
      </c>
    </row>
    <row r="52" spans="1:7">
      <c r="A52" s="1">
        <v>2043</v>
      </c>
      <c r="B52" s="1">
        <f t="shared" si="17"/>
        <v>37902.363523200009</v>
      </c>
      <c r="C52" s="1">
        <f t="shared" si="17"/>
        <v>200477.28127680003</v>
      </c>
      <c r="D52" s="1">
        <f t="shared" si="17"/>
        <v>104293.18800000001</v>
      </c>
      <c r="E52" s="1">
        <f t="shared" si="17"/>
        <v>10316.275200000002</v>
      </c>
      <c r="F52" s="1">
        <f t="shared" si="17"/>
        <v>0</v>
      </c>
      <c r="G52" s="1">
        <f t="shared" si="17"/>
        <v>1023021.93108672</v>
      </c>
    </row>
    <row r="53" spans="1:7">
      <c r="A53" s="1">
        <v>2044</v>
      </c>
      <c r="B53" s="1">
        <f t="shared" si="17"/>
        <v>33996.02888160001</v>
      </c>
      <c r="C53" s="1">
        <f t="shared" si="17"/>
        <v>179815.47351840002</v>
      </c>
      <c r="D53" s="1">
        <f t="shared" si="17"/>
        <v>102283.524</v>
      </c>
      <c r="E53" s="1">
        <f t="shared" si="17"/>
        <v>5158.1376000000018</v>
      </c>
      <c r="F53" s="1">
        <f t="shared" si="17"/>
        <v>0</v>
      </c>
      <c r="G53" s="1">
        <f t="shared" si="17"/>
        <v>1032945.68876256</v>
      </c>
    </row>
    <row r="54" spans="1:7">
      <c r="A54" s="2">
        <v>2045</v>
      </c>
      <c r="B54" s="2">
        <f>conversion_to_TJ!L10*Dashboard!$D$11</f>
        <v>30089.694240000008</v>
      </c>
      <c r="C54" s="2">
        <f>conversion_to_TJ!L10*Dashboard!$D$12</f>
        <v>159153.66576</v>
      </c>
      <c r="D54" s="2">
        <f>conversion_to_TJ!L12</f>
        <v>100273.86</v>
      </c>
      <c r="E54" s="2">
        <f>conversion_to_TJ!L11</f>
        <v>0</v>
      </c>
      <c r="F54" s="2">
        <f>conversion_to_TJ!L13</f>
        <v>0</v>
      </c>
      <c r="G54" s="2">
        <f>conversion_to_TJ!L16*Dashboard!$D$14</f>
        <v>1042869.4464384</v>
      </c>
    </row>
    <row r="55" spans="1:7">
      <c r="A55" s="1">
        <v>2046</v>
      </c>
      <c r="B55" s="1">
        <f>B$54+(B$59-B$54)/($A$59-$A$54)*($A55-$A$54)</f>
        <v>28969.984821600006</v>
      </c>
      <c r="C55" s="1">
        <f t="shared" ref="C55:G55" si="18">C$54+(C$59-C$54)/($A$59-$A$54)*($A55-$A$54)</f>
        <v>153231.17757840001</v>
      </c>
      <c r="D55" s="1">
        <f t="shared" si="18"/>
        <v>97451.9568</v>
      </c>
      <c r="E55" s="1">
        <f t="shared" si="18"/>
        <v>0</v>
      </c>
      <c r="F55" s="1">
        <f t="shared" si="18"/>
        <v>0</v>
      </c>
      <c r="G55" s="1">
        <f t="shared" si="18"/>
        <v>1042663.22225496</v>
      </c>
    </row>
    <row r="56" spans="1:7">
      <c r="A56" s="1">
        <v>2047</v>
      </c>
      <c r="B56" s="1">
        <f t="shared" ref="B56:G58" si="19">B$54+(B$59-B$54)/($A$59-$A$54)*($A56-$A$54)</f>
        <v>27850.275403200005</v>
      </c>
      <c r="C56" s="1">
        <f t="shared" si="19"/>
        <v>147308.68939680001</v>
      </c>
      <c r="D56" s="1">
        <f t="shared" si="19"/>
        <v>94630.053599999999</v>
      </c>
      <c r="E56" s="1">
        <f t="shared" si="19"/>
        <v>0</v>
      </c>
      <c r="F56" s="1">
        <f t="shared" si="19"/>
        <v>0</v>
      </c>
      <c r="G56" s="1">
        <f t="shared" si="19"/>
        <v>1042456.99807152</v>
      </c>
    </row>
    <row r="57" spans="1:7">
      <c r="A57" s="1">
        <v>2048</v>
      </c>
      <c r="B57" s="1">
        <f t="shared" si="19"/>
        <v>26730.565984800007</v>
      </c>
      <c r="C57" s="1">
        <f t="shared" si="19"/>
        <v>141386.20121520001</v>
      </c>
      <c r="D57" s="1">
        <f t="shared" si="19"/>
        <v>91808.150399999999</v>
      </c>
      <c r="E57" s="1">
        <f t="shared" si="19"/>
        <v>0</v>
      </c>
      <c r="F57" s="1">
        <f t="shared" si="19"/>
        <v>0</v>
      </c>
      <c r="G57" s="1">
        <f t="shared" si="19"/>
        <v>1042250.77388808</v>
      </c>
    </row>
    <row r="58" spans="1:7">
      <c r="A58" s="1">
        <v>2049</v>
      </c>
      <c r="B58" s="1">
        <f t="shared" si="19"/>
        <v>25610.856566400005</v>
      </c>
      <c r="C58" s="1">
        <f t="shared" si="19"/>
        <v>135463.71303360001</v>
      </c>
      <c r="D58" s="1">
        <f t="shared" si="19"/>
        <v>88986.247199999998</v>
      </c>
      <c r="E58" s="1">
        <f t="shared" si="19"/>
        <v>0</v>
      </c>
      <c r="F58" s="1">
        <f t="shared" si="19"/>
        <v>0</v>
      </c>
      <c r="G58" s="1">
        <f t="shared" si="19"/>
        <v>1042044.5497046401</v>
      </c>
    </row>
    <row r="59" spans="1:7">
      <c r="A59" s="2">
        <v>2050</v>
      </c>
      <c r="B59" s="2">
        <f>conversion_to_TJ!M10*Dashboard!$D$11</f>
        <v>24491.147148000004</v>
      </c>
      <c r="C59" s="2">
        <f>conversion_to_TJ!M10*Dashboard!$D$12</f>
        <v>129541.224852</v>
      </c>
      <c r="D59" s="2">
        <f>conversion_to_TJ!M12</f>
        <v>86164.343999999997</v>
      </c>
      <c r="E59" s="2">
        <f>conversion_to_TJ!M11</f>
        <v>0</v>
      </c>
      <c r="F59" s="2">
        <f>conversion_to_TJ!M13</f>
        <v>0</v>
      </c>
      <c r="G59" s="2">
        <f>conversion_to_TJ!M16*Dashboard!$D$14</f>
        <v>1041838.3255212001</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300397.66650000005</v>
      </c>
      <c r="C2">
        <f>interpolation!C19</f>
        <v>1588895.8334999999</v>
      </c>
      <c r="D2">
        <f>interpolation!D19</f>
        <v>405868.39199999999</v>
      </c>
      <c r="E2">
        <f>interpolation!E19</f>
        <v>202892.32800000001</v>
      </c>
      <c r="F2">
        <f>interpolation!F19</f>
        <v>1518008.0760000001</v>
      </c>
      <c r="G2">
        <f>interpolation!G19</f>
        <v>925071.6931704001</v>
      </c>
    </row>
    <row r="3" spans="1:7">
      <c r="A3">
        <v>2011</v>
      </c>
      <c r="B3">
        <f>interpolation!B20</f>
        <v>290135.21680080006</v>
      </c>
      <c r="C3">
        <f>interpolation!C20</f>
        <v>1534614.5743992</v>
      </c>
      <c r="D3">
        <f>interpolation!D20</f>
        <v>396682.5528</v>
      </c>
      <c r="E3">
        <f>interpolation!E20</f>
        <v>194937.408</v>
      </c>
      <c r="F3">
        <f>interpolation!F20</f>
        <v>1416578.6592000001</v>
      </c>
      <c r="G3">
        <f>interpolation!G20</f>
        <v>930139.8087088801</v>
      </c>
    </row>
    <row r="4" spans="1:7">
      <c r="A4">
        <v>2012</v>
      </c>
      <c r="B4">
        <f>interpolation!B21</f>
        <v>279872.76710160007</v>
      </c>
      <c r="C4">
        <f>interpolation!C21</f>
        <v>1480333.3152983999</v>
      </c>
      <c r="D4">
        <f>interpolation!D21</f>
        <v>387496.71360000002</v>
      </c>
      <c r="E4">
        <f>interpolation!E21</f>
        <v>186982.48800000001</v>
      </c>
      <c r="F4">
        <f>interpolation!F21</f>
        <v>1315149.2424000001</v>
      </c>
      <c r="G4">
        <f>interpolation!G21</f>
        <v>935207.92424736009</v>
      </c>
    </row>
    <row r="5" spans="1:7">
      <c r="A5">
        <v>2013</v>
      </c>
      <c r="B5">
        <f>interpolation!B22</f>
        <v>269610.31740240002</v>
      </c>
      <c r="C5">
        <f>interpolation!C22</f>
        <v>1426052.0561976</v>
      </c>
      <c r="D5">
        <f>interpolation!D22</f>
        <v>378310.87439999997</v>
      </c>
      <c r="E5">
        <f>interpolation!E22</f>
        <v>179027.568</v>
      </c>
      <c r="F5">
        <f>interpolation!F22</f>
        <v>1213719.8256000001</v>
      </c>
      <c r="G5">
        <f>interpolation!G22</f>
        <v>940276.03978583997</v>
      </c>
    </row>
    <row r="6" spans="1:7">
      <c r="A6">
        <v>2014</v>
      </c>
      <c r="B6">
        <f>interpolation!B23</f>
        <v>259347.86770320003</v>
      </c>
      <c r="C6">
        <f>interpolation!C23</f>
        <v>1371770.7970967998</v>
      </c>
      <c r="D6">
        <f>interpolation!D23</f>
        <v>369125.03519999998</v>
      </c>
      <c r="E6">
        <f>interpolation!E23</f>
        <v>171072.64800000002</v>
      </c>
      <c r="F6">
        <f>interpolation!F23</f>
        <v>1112290.4088000001</v>
      </c>
      <c r="G6">
        <f>interpolation!G23</f>
        <v>945344.15532431996</v>
      </c>
    </row>
    <row r="7" spans="1:7">
      <c r="A7">
        <v>2015</v>
      </c>
      <c r="B7">
        <f>interpolation!B24</f>
        <v>249085.41800400004</v>
      </c>
      <c r="C7">
        <f>interpolation!C24</f>
        <v>1317489.5379959999</v>
      </c>
      <c r="D7">
        <f>interpolation!D24</f>
        <v>359939.196</v>
      </c>
      <c r="E7">
        <f>interpolation!E24</f>
        <v>163117.728</v>
      </c>
      <c r="F7">
        <f>interpolation!F24</f>
        <v>1010860.9920000001</v>
      </c>
      <c r="G7">
        <f>interpolation!G24</f>
        <v>950412.27086279995</v>
      </c>
    </row>
    <row r="8" spans="1:7">
      <c r="A8">
        <v>2016</v>
      </c>
      <c r="B8">
        <f>interpolation!B25</f>
        <v>240214.28381280004</v>
      </c>
      <c r="C8">
        <f>interpolation!C25</f>
        <v>1270567.3753871999</v>
      </c>
      <c r="D8">
        <f>interpolation!D25</f>
        <v>362267.05680000002</v>
      </c>
      <c r="E8">
        <f>interpolation!E25</f>
        <v>156510.95759999999</v>
      </c>
      <c r="F8">
        <f>interpolation!F25</f>
        <v>876297.24000000011</v>
      </c>
      <c r="G8">
        <f>interpolation!G25</f>
        <v>953674.36249175994</v>
      </c>
    </row>
    <row r="9" spans="1:7">
      <c r="A9">
        <v>2017</v>
      </c>
      <c r="B9">
        <f>interpolation!B26</f>
        <v>231343.14962160005</v>
      </c>
      <c r="C9">
        <f>interpolation!C26</f>
        <v>1223645.2127783999</v>
      </c>
      <c r="D9">
        <f>interpolation!D26</f>
        <v>364594.91759999999</v>
      </c>
      <c r="E9">
        <f>interpolation!E26</f>
        <v>149904.18720000001</v>
      </c>
      <c r="F9">
        <f>interpolation!F26</f>
        <v>741733.48800000013</v>
      </c>
      <c r="G9">
        <f>interpolation!G26</f>
        <v>956936.45412072004</v>
      </c>
    </row>
    <row r="10" spans="1:7">
      <c r="A10">
        <v>2018</v>
      </c>
      <c r="B10">
        <f>interpolation!B27</f>
        <v>222472.01543040003</v>
      </c>
      <c r="C10">
        <f>interpolation!C27</f>
        <v>1176723.0501695999</v>
      </c>
      <c r="D10">
        <f>interpolation!D27</f>
        <v>366922.77840000001</v>
      </c>
      <c r="E10">
        <f>interpolation!E27</f>
        <v>143297.41680000001</v>
      </c>
      <c r="F10">
        <f>interpolation!F27</f>
        <v>607169.73600000003</v>
      </c>
      <c r="G10">
        <f>interpolation!G27</f>
        <v>960198.54574968002</v>
      </c>
    </row>
    <row r="11" spans="1:7">
      <c r="A11">
        <v>2019</v>
      </c>
      <c r="B11">
        <f>interpolation!B28</f>
        <v>213600.88123920004</v>
      </c>
      <c r="C11">
        <f>interpolation!C28</f>
        <v>1129800.8875608</v>
      </c>
      <c r="D11">
        <f>interpolation!D28</f>
        <v>369250.63919999998</v>
      </c>
      <c r="E11">
        <f>interpolation!E28</f>
        <v>136690.6464</v>
      </c>
      <c r="F11">
        <f>interpolation!F28</f>
        <v>472605.98400000005</v>
      </c>
      <c r="G11">
        <f>interpolation!G28</f>
        <v>963460.63737864012</v>
      </c>
    </row>
    <row r="12" spans="1:7">
      <c r="A12">
        <v>2020</v>
      </c>
      <c r="B12">
        <f>interpolation!B29</f>
        <v>204729.74704800005</v>
      </c>
      <c r="C12">
        <f>interpolation!C29</f>
        <v>1082878.724952</v>
      </c>
      <c r="D12">
        <f>interpolation!D29</f>
        <v>371578.5</v>
      </c>
      <c r="E12">
        <f>interpolation!E29</f>
        <v>130083.876</v>
      </c>
      <c r="F12">
        <f>interpolation!F29</f>
        <v>338042.23200000002</v>
      </c>
      <c r="G12">
        <f>interpolation!G29</f>
        <v>966722.72900760011</v>
      </c>
    </row>
    <row r="13" spans="1:7">
      <c r="A13">
        <v>2021</v>
      </c>
      <c r="B13">
        <f>interpolation!B30</f>
        <v>199808.88377760004</v>
      </c>
      <c r="C13">
        <f>interpolation!C30</f>
        <v>1056850.7626224</v>
      </c>
      <c r="D13">
        <f>interpolation!D30</f>
        <v>357887.66399999999</v>
      </c>
      <c r="E13">
        <f>interpolation!E30</f>
        <v>127086.1272</v>
      </c>
      <c r="F13">
        <f>interpolation!F30</f>
        <v>270433.7856</v>
      </c>
      <c r="G13">
        <f>interpolation!G30</f>
        <v>965979.07210368011</v>
      </c>
    </row>
    <row r="14" spans="1:7">
      <c r="A14">
        <v>2022</v>
      </c>
      <c r="B14">
        <f>interpolation!B31</f>
        <v>194888.02050720004</v>
      </c>
      <c r="C14">
        <f>interpolation!C31</f>
        <v>1030822.8002927999</v>
      </c>
      <c r="D14">
        <f>interpolation!D31</f>
        <v>344196.82799999998</v>
      </c>
      <c r="E14">
        <f>interpolation!E31</f>
        <v>124088.3784</v>
      </c>
      <c r="F14">
        <f>interpolation!F31</f>
        <v>202825.33920000002</v>
      </c>
      <c r="G14">
        <f>interpolation!G31</f>
        <v>965235.41519976011</v>
      </c>
    </row>
    <row r="15" spans="1:7">
      <c r="A15">
        <v>2023</v>
      </c>
      <c r="B15">
        <f>interpolation!B32</f>
        <v>189967.15723680006</v>
      </c>
      <c r="C15">
        <f>interpolation!C32</f>
        <v>1004794.8379631999</v>
      </c>
      <c r="D15">
        <f>interpolation!D32</f>
        <v>330505.99199999997</v>
      </c>
      <c r="E15">
        <f>interpolation!E32</f>
        <v>121090.62960000001</v>
      </c>
      <c r="F15">
        <f>interpolation!F32</f>
        <v>135216.89280000003</v>
      </c>
      <c r="G15">
        <f>interpolation!G32</f>
        <v>964491.75829584</v>
      </c>
    </row>
    <row r="16" spans="1:7">
      <c r="A16">
        <v>2024</v>
      </c>
      <c r="B16">
        <f>interpolation!B33</f>
        <v>185046.29396640006</v>
      </c>
      <c r="C16">
        <f>interpolation!C33</f>
        <v>978766.87563360005</v>
      </c>
      <c r="D16">
        <f>interpolation!D33</f>
        <v>316815.15600000002</v>
      </c>
      <c r="E16">
        <f>interpolation!E33</f>
        <v>118092.88080000001</v>
      </c>
      <c r="F16">
        <f>interpolation!F33</f>
        <v>67608.446400000015</v>
      </c>
      <c r="G16">
        <f>interpolation!G33</f>
        <v>963748.10139192</v>
      </c>
    </row>
    <row r="17" spans="1:7">
      <c r="A17">
        <v>2025</v>
      </c>
      <c r="B17">
        <f>interpolation!B34</f>
        <v>180125.43069600005</v>
      </c>
      <c r="C17">
        <f>interpolation!C34</f>
        <v>952738.91330400005</v>
      </c>
      <c r="D17">
        <f>interpolation!D34</f>
        <v>303124.32</v>
      </c>
      <c r="E17">
        <f>interpolation!E34</f>
        <v>115095.13200000001</v>
      </c>
      <c r="F17">
        <f>interpolation!F34</f>
        <v>0</v>
      </c>
      <c r="G17">
        <f>interpolation!G34</f>
        <v>963004.44448800001</v>
      </c>
    </row>
    <row r="18" spans="1:7">
      <c r="A18">
        <v>2026</v>
      </c>
      <c r="B18">
        <f>interpolation!B35</f>
        <v>162284.63853600004</v>
      </c>
      <c r="C18">
        <f>interpolation!C35</f>
        <v>858373.46546400001</v>
      </c>
      <c r="D18">
        <f>interpolation!D35</f>
        <v>292414.48560000001</v>
      </c>
      <c r="E18">
        <f>interpolation!E35</f>
        <v>112884.50160000002</v>
      </c>
      <c r="F18">
        <f>interpolation!F35</f>
        <v>0</v>
      </c>
      <c r="G18">
        <f>interpolation!G35</f>
        <v>962716.98047472001</v>
      </c>
    </row>
    <row r="19" spans="1:7">
      <c r="A19">
        <v>2027</v>
      </c>
      <c r="B19">
        <f>interpolation!B36</f>
        <v>144443.84637600003</v>
      </c>
      <c r="C19">
        <f>interpolation!C36</f>
        <v>764008.01762400009</v>
      </c>
      <c r="D19">
        <f>interpolation!D36</f>
        <v>281704.65120000002</v>
      </c>
      <c r="E19">
        <f>interpolation!E36</f>
        <v>110673.87120000001</v>
      </c>
      <c r="F19">
        <f>interpolation!F36</f>
        <v>0</v>
      </c>
      <c r="G19">
        <f>interpolation!G36</f>
        <v>962429.51646144001</v>
      </c>
    </row>
    <row r="20" spans="1:7">
      <c r="A20">
        <v>2028</v>
      </c>
      <c r="B20">
        <f>interpolation!B37</f>
        <v>126603.05421600003</v>
      </c>
      <c r="C20">
        <f>interpolation!C37</f>
        <v>669642.56978400005</v>
      </c>
      <c r="D20">
        <f>interpolation!D37</f>
        <v>270994.81680000003</v>
      </c>
      <c r="E20">
        <f>interpolation!E37</f>
        <v>108463.24080000001</v>
      </c>
      <c r="F20">
        <f>interpolation!F37</f>
        <v>0</v>
      </c>
      <c r="G20">
        <f>interpolation!G37</f>
        <v>962142.05244816013</v>
      </c>
    </row>
    <row r="21" spans="1:7">
      <c r="A21">
        <v>2029</v>
      </c>
      <c r="B21">
        <f>interpolation!B38</f>
        <v>108762.26205600002</v>
      </c>
      <c r="C21">
        <f>interpolation!C38</f>
        <v>575277.12194400001</v>
      </c>
      <c r="D21">
        <f>interpolation!D38</f>
        <v>260284.98240000001</v>
      </c>
      <c r="E21">
        <f>interpolation!E38</f>
        <v>106252.61040000001</v>
      </c>
      <c r="F21">
        <f>interpolation!F38</f>
        <v>0</v>
      </c>
      <c r="G21">
        <f>interpolation!G38</f>
        <v>961854.58843488013</v>
      </c>
    </row>
    <row r="22" spans="1:7">
      <c r="A22">
        <v>2030</v>
      </c>
      <c r="B22">
        <f>interpolation!B39</f>
        <v>90921.46989600001</v>
      </c>
      <c r="C22">
        <f>interpolation!C39</f>
        <v>480911.67410399998</v>
      </c>
      <c r="D22">
        <f>interpolation!D39</f>
        <v>249575.14800000002</v>
      </c>
      <c r="E22">
        <f>interpolation!E39</f>
        <v>104041.98000000001</v>
      </c>
      <c r="F22">
        <f>interpolation!F39</f>
        <v>0</v>
      </c>
      <c r="G22">
        <f>interpolation!G39</f>
        <v>961567.12442160014</v>
      </c>
    </row>
    <row r="23" spans="1:7">
      <c r="A23">
        <v>2031</v>
      </c>
      <c r="B23">
        <f>interpolation!B40</f>
        <v>88157.478513600014</v>
      </c>
      <c r="C23">
        <f>interpolation!C40</f>
        <v>466292.07188639999</v>
      </c>
      <c r="D23">
        <f>interpolation!D40</f>
        <v>237173.84640000001</v>
      </c>
      <c r="E23">
        <f>interpolation!E40</f>
        <v>93859.682400000005</v>
      </c>
      <c r="F23">
        <f>interpolation!F40</f>
        <v>0</v>
      </c>
      <c r="G23">
        <f>interpolation!G40</f>
        <v>964266.78645936004</v>
      </c>
    </row>
    <row r="24" spans="1:7">
      <c r="A24">
        <v>2032</v>
      </c>
      <c r="B24">
        <f>interpolation!B41</f>
        <v>85393.487131200018</v>
      </c>
      <c r="C24">
        <f>interpolation!C41</f>
        <v>451672.46966880001</v>
      </c>
      <c r="D24">
        <f>interpolation!D41</f>
        <v>224772.5448</v>
      </c>
      <c r="E24">
        <f>interpolation!E41</f>
        <v>83677.3848</v>
      </c>
      <c r="F24">
        <f>interpolation!F41</f>
        <v>0</v>
      </c>
      <c r="G24">
        <f>interpolation!G41</f>
        <v>966966.44849712006</v>
      </c>
    </row>
    <row r="25" spans="1:7">
      <c r="A25">
        <v>2033</v>
      </c>
      <c r="B25">
        <f>interpolation!B42</f>
        <v>82629.495748800022</v>
      </c>
      <c r="C25">
        <f>interpolation!C42</f>
        <v>437052.86745120003</v>
      </c>
      <c r="D25">
        <f>interpolation!D42</f>
        <v>212371.24320000003</v>
      </c>
      <c r="E25">
        <f>interpolation!E42</f>
        <v>73495.087200000009</v>
      </c>
      <c r="F25">
        <f>interpolation!F42</f>
        <v>0</v>
      </c>
      <c r="G25">
        <f>interpolation!G42</f>
        <v>969666.11053487996</v>
      </c>
    </row>
    <row r="26" spans="1:7">
      <c r="A26">
        <v>2034</v>
      </c>
      <c r="B26">
        <f>interpolation!B43</f>
        <v>79865.504366400011</v>
      </c>
      <c r="C26">
        <f>interpolation!C43</f>
        <v>422433.26523359999</v>
      </c>
      <c r="D26">
        <f>interpolation!D43</f>
        <v>199969.94160000002</v>
      </c>
      <c r="E26">
        <f>interpolation!E43</f>
        <v>63312.789600000004</v>
      </c>
      <c r="F26">
        <f>interpolation!F43</f>
        <v>0</v>
      </c>
      <c r="G26">
        <f>interpolation!G43</f>
        <v>972365.77257263998</v>
      </c>
    </row>
    <row r="27" spans="1:7">
      <c r="A27">
        <v>2035</v>
      </c>
      <c r="B27">
        <f>interpolation!B44</f>
        <v>77101.512984000015</v>
      </c>
      <c r="C27">
        <f>interpolation!C44</f>
        <v>407813.66301600001</v>
      </c>
      <c r="D27">
        <f>interpolation!D44</f>
        <v>187568.64000000001</v>
      </c>
      <c r="E27">
        <f>interpolation!E44</f>
        <v>53130.492000000006</v>
      </c>
      <c r="F27">
        <f>interpolation!F44</f>
        <v>0</v>
      </c>
      <c r="G27">
        <f>interpolation!G44</f>
        <v>975065.43461039988</v>
      </c>
    </row>
    <row r="28" spans="1:7">
      <c r="A28">
        <v>2036</v>
      </c>
      <c r="B28">
        <f>interpolation!B45</f>
        <v>71605.483876800019</v>
      </c>
      <c r="C28">
        <f>interpolation!C45</f>
        <v>378743.47132320004</v>
      </c>
      <c r="D28">
        <f>interpolation!D45</f>
        <v>172119.348</v>
      </c>
      <c r="E28">
        <f>interpolation!E45</f>
        <v>47662.531200000005</v>
      </c>
      <c r="F28">
        <f>interpolation!F45</f>
        <v>0</v>
      </c>
      <c r="G28">
        <f>interpolation!G45</f>
        <v>978702.47930015996</v>
      </c>
    </row>
    <row r="29" spans="1:7">
      <c r="A29">
        <v>2037</v>
      </c>
      <c r="B29">
        <f>interpolation!B46</f>
        <v>66109.454769600023</v>
      </c>
      <c r="C29">
        <f>interpolation!C46</f>
        <v>349673.27963040001</v>
      </c>
      <c r="D29">
        <f>interpolation!D46</f>
        <v>156670.05600000001</v>
      </c>
      <c r="E29">
        <f>interpolation!E46</f>
        <v>42194.570400000004</v>
      </c>
      <c r="F29">
        <f>interpolation!F46</f>
        <v>0</v>
      </c>
      <c r="G29">
        <f>interpolation!G46</f>
        <v>982339.52398991992</v>
      </c>
    </row>
    <row r="30" spans="1:7">
      <c r="A30">
        <v>2038</v>
      </c>
      <c r="B30">
        <f>interpolation!B47</f>
        <v>60613.425662400019</v>
      </c>
      <c r="C30">
        <f>interpolation!C47</f>
        <v>320603.08793760004</v>
      </c>
      <c r="D30">
        <f>interpolation!D47</f>
        <v>141220.76400000002</v>
      </c>
      <c r="E30">
        <f>interpolation!E47</f>
        <v>36726.609600000003</v>
      </c>
      <c r="F30">
        <f>interpolation!F47</f>
        <v>0</v>
      </c>
      <c r="G30">
        <f>interpolation!G47</f>
        <v>985976.56867968</v>
      </c>
    </row>
    <row r="31" spans="1:7">
      <c r="A31">
        <v>2039</v>
      </c>
      <c r="B31">
        <f>interpolation!B48</f>
        <v>55117.396555200015</v>
      </c>
      <c r="C31">
        <f>interpolation!C48</f>
        <v>291532.89624480007</v>
      </c>
      <c r="D31">
        <f>interpolation!D48</f>
        <v>125771.47200000001</v>
      </c>
      <c r="E31">
        <f>interpolation!E48</f>
        <v>31258.648800000003</v>
      </c>
      <c r="F31">
        <f>interpolation!F48</f>
        <v>0</v>
      </c>
      <c r="G31">
        <f>interpolation!G48</f>
        <v>989613.61336943996</v>
      </c>
    </row>
    <row r="32" spans="1:7">
      <c r="A32">
        <v>2040</v>
      </c>
      <c r="B32">
        <f>interpolation!B49</f>
        <v>49621.367448000019</v>
      </c>
      <c r="C32">
        <f>interpolation!C49</f>
        <v>262462.70455200004</v>
      </c>
      <c r="D32">
        <f>interpolation!D49</f>
        <v>110322.18000000001</v>
      </c>
      <c r="E32">
        <f>interpolation!E49</f>
        <v>25790.688000000002</v>
      </c>
      <c r="F32">
        <f>interpolation!F49</f>
        <v>0</v>
      </c>
      <c r="G32">
        <f>interpolation!G49</f>
        <v>993250.65805920004</v>
      </c>
    </row>
    <row r="33" spans="1:7">
      <c r="A33">
        <v>2041</v>
      </c>
      <c r="B33">
        <f>interpolation!B50</f>
        <v>45715.03280640002</v>
      </c>
      <c r="C33">
        <f>interpolation!C50</f>
        <v>241800.89679360003</v>
      </c>
      <c r="D33">
        <f>interpolation!D50</f>
        <v>108312.516</v>
      </c>
      <c r="E33">
        <f>interpolation!E50</f>
        <v>20632.5504</v>
      </c>
      <c r="F33">
        <f>interpolation!F50</f>
        <v>0</v>
      </c>
      <c r="G33">
        <f>interpolation!G50</f>
        <v>1003174.41573504</v>
      </c>
    </row>
    <row r="34" spans="1:7">
      <c r="A34">
        <v>2042</v>
      </c>
      <c r="B34">
        <f>interpolation!B51</f>
        <v>41808.698164800015</v>
      </c>
      <c r="C34">
        <f>interpolation!C51</f>
        <v>221139.08903520001</v>
      </c>
      <c r="D34">
        <f>interpolation!D51</f>
        <v>106302.852</v>
      </c>
      <c r="E34">
        <f>interpolation!E51</f>
        <v>15474.412800000002</v>
      </c>
      <c r="F34">
        <f>interpolation!F51</f>
        <v>0</v>
      </c>
      <c r="G34">
        <f>interpolation!G51</f>
        <v>1013098.17341088</v>
      </c>
    </row>
    <row r="35" spans="1:7">
      <c r="A35">
        <v>2043</v>
      </c>
      <c r="B35">
        <f>interpolation!B52</f>
        <v>37902.363523200009</v>
      </c>
      <c r="C35">
        <f>interpolation!C52</f>
        <v>200477.28127680003</v>
      </c>
      <c r="D35">
        <f>interpolation!D52</f>
        <v>104293.18800000001</v>
      </c>
      <c r="E35">
        <f>interpolation!E52</f>
        <v>10316.275200000002</v>
      </c>
      <c r="F35">
        <f>interpolation!F52</f>
        <v>0</v>
      </c>
      <c r="G35">
        <f>interpolation!G52</f>
        <v>1023021.93108672</v>
      </c>
    </row>
    <row r="36" spans="1:7">
      <c r="A36">
        <v>2044</v>
      </c>
      <c r="B36">
        <f>interpolation!B53</f>
        <v>33996.02888160001</v>
      </c>
      <c r="C36">
        <f>interpolation!C53</f>
        <v>179815.47351840002</v>
      </c>
      <c r="D36">
        <f>interpolation!D53</f>
        <v>102283.524</v>
      </c>
      <c r="E36">
        <f>interpolation!E53</f>
        <v>5158.1376000000018</v>
      </c>
      <c r="F36">
        <f>interpolation!F53</f>
        <v>0</v>
      </c>
      <c r="G36">
        <f>interpolation!G53</f>
        <v>1032945.68876256</v>
      </c>
    </row>
    <row r="37" spans="1:7">
      <c r="A37">
        <v>2045</v>
      </c>
      <c r="B37">
        <f>interpolation!B54</f>
        <v>30089.694240000008</v>
      </c>
      <c r="C37">
        <f>interpolation!C54</f>
        <v>159153.66576</v>
      </c>
      <c r="D37">
        <f>interpolation!D54</f>
        <v>100273.86</v>
      </c>
      <c r="E37">
        <f>interpolation!E54</f>
        <v>0</v>
      </c>
      <c r="F37">
        <f>interpolation!F54</f>
        <v>0</v>
      </c>
      <c r="G37">
        <f>interpolation!G54</f>
        <v>1042869.4464384</v>
      </c>
    </row>
    <row r="38" spans="1:7">
      <c r="A38">
        <v>2046</v>
      </c>
      <c r="B38">
        <f>interpolation!B55</f>
        <v>28969.984821600006</v>
      </c>
      <c r="C38">
        <f>interpolation!C55</f>
        <v>153231.17757840001</v>
      </c>
      <c r="D38">
        <f>interpolation!D55</f>
        <v>97451.9568</v>
      </c>
      <c r="E38">
        <f>interpolation!E55</f>
        <v>0</v>
      </c>
      <c r="F38">
        <f>interpolation!F55</f>
        <v>0</v>
      </c>
      <c r="G38">
        <f>interpolation!G55</f>
        <v>1042663.22225496</v>
      </c>
    </row>
    <row r="39" spans="1:7">
      <c r="A39">
        <v>2047</v>
      </c>
      <c r="B39">
        <f>interpolation!B56</f>
        <v>27850.275403200005</v>
      </c>
      <c r="C39">
        <f>interpolation!C56</f>
        <v>147308.68939680001</v>
      </c>
      <c r="D39">
        <f>interpolation!D56</f>
        <v>94630.053599999999</v>
      </c>
      <c r="E39">
        <f>interpolation!E56</f>
        <v>0</v>
      </c>
      <c r="F39">
        <f>interpolation!F56</f>
        <v>0</v>
      </c>
      <c r="G39">
        <f>interpolation!G56</f>
        <v>1042456.99807152</v>
      </c>
    </row>
    <row r="40" spans="1:7">
      <c r="A40">
        <v>2048</v>
      </c>
      <c r="B40">
        <f>interpolation!B57</f>
        <v>26730.565984800007</v>
      </c>
      <c r="C40">
        <f>interpolation!C57</f>
        <v>141386.20121520001</v>
      </c>
      <c r="D40">
        <f>interpolation!D57</f>
        <v>91808.150399999999</v>
      </c>
      <c r="E40">
        <f>interpolation!E57</f>
        <v>0</v>
      </c>
      <c r="F40">
        <f>interpolation!F57</f>
        <v>0</v>
      </c>
      <c r="G40">
        <f>interpolation!G57</f>
        <v>1042250.77388808</v>
      </c>
    </row>
    <row r="41" spans="1:7">
      <c r="A41">
        <v>2049</v>
      </c>
      <c r="B41">
        <f>interpolation!B58</f>
        <v>25610.856566400005</v>
      </c>
      <c r="C41">
        <f>interpolation!C58</f>
        <v>135463.71303360001</v>
      </c>
      <c r="D41">
        <f>interpolation!D58</f>
        <v>88986.247199999998</v>
      </c>
      <c r="E41">
        <f>interpolation!E58</f>
        <v>0</v>
      </c>
      <c r="F41">
        <f>interpolation!F58</f>
        <v>0</v>
      </c>
      <c r="G41">
        <f>interpolation!G58</f>
        <v>1042044.5497046401</v>
      </c>
    </row>
    <row r="42" spans="1:7">
      <c r="A42">
        <v>2050</v>
      </c>
      <c r="B42">
        <f>interpolation!B59</f>
        <v>24491.147148000004</v>
      </c>
      <c r="C42">
        <f>interpolation!C59</f>
        <v>129541.224852</v>
      </c>
      <c r="D42">
        <f>interpolation!D59</f>
        <v>86164.343999999997</v>
      </c>
      <c r="E42">
        <f>interpolation!E59</f>
        <v>0</v>
      </c>
      <c r="F42">
        <f>interpolation!F59</f>
        <v>0</v>
      </c>
      <c r="G42">
        <f>interpolation!G59</f>
        <v>1041838.3255212001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Wouter Terlouw</cp:lastModifiedBy>
  <dcterms:created xsi:type="dcterms:W3CDTF">2014-06-04T09:13:49Z</dcterms:created>
  <dcterms:modified xsi:type="dcterms:W3CDTF">2014-07-03T13:11:43Z</dcterms:modified>
</cp:coreProperties>
</file>