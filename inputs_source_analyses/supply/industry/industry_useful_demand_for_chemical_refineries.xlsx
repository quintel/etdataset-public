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kyradehaan/github/etdataset/inputs_source_analyses/demand/industry/"/>
    </mc:Choice>
  </mc:AlternateContent>
  <xr:revisionPtr revIDLastSave="0" documentId="13_ncr:1_{1FB8638D-F1A6-2742-8F21-C4C7855E4876}" xr6:coauthVersionLast="47" xr6:coauthVersionMax="47" xr10:uidLastSave="{00000000-0000-0000-0000-000000000000}"/>
  <bookViews>
    <workbookView xWindow="0" yWindow="0" windowWidth="25600" windowHeight="18000" tabRatio="762" activeTab="1" xr2:uid="{00000000-000D-0000-FFFF-FFFF00000000}"/>
  </bookViews>
  <sheets>
    <sheet name="Cover sheet" sheetId="14" r:id="rId1"/>
    <sheet name="Dashboard" sheetId="12" r:id="rId2"/>
    <sheet name="Sources" sheetId="15" r:id="rId3"/>
    <sheet name="Notes" sheetId="20" r:id="rId4"/>
  </sheets>
  <externalReferences>
    <externalReference r:id="rId5"/>
    <externalReference r:id="rId6"/>
  </externalReferences>
  <definedNames>
    <definedName name="exchange_rate_2011_2010">#REF!</definedName>
    <definedName name="Final_demand_residences">'[1]Fuel aggregation'!$L$11</definedName>
    <definedName name="hours_a_year">#REF!</definedName>
    <definedName name="km2_to_m2">#REF!</definedName>
    <definedName name="kW_to_MW">#REF!</definedName>
    <definedName name="kW_to_W">#REF!</definedName>
    <definedName name="kWp_to_MWp">#REF!</definedName>
    <definedName name="labor_cost">Notes!#REF!</definedName>
    <definedName name="licensing">Notes!#REF!</definedName>
    <definedName name="m2_to_km2">#REF!</definedName>
    <definedName name="overhead_GA">Notes!#REF!</definedName>
    <definedName name="sensitivity_07">'[2]Tornado Charts'!$I$48</definedName>
    <definedName name="STC">#REF!</definedName>
    <definedName name="STC_insolation">#REF!</definedName>
    <definedName name="tax_insurance">Notes!#REF!</definedName>
    <definedName name="W_to_MW">#REF!</definedName>
    <definedName name="Wp_to_kWp">#REF!</definedName>
    <definedName name="WP_to_MWp">#REF!</definedName>
  </definedNames>
  <calcPr calcId="191029" calcOnSave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7" i="12" l="1"/>
  <c r="C28" i="12"/>
  <c r="E24" i="12"/>
  <c r="E25" i="12"/>
  <c r="E26" i="12"/>
  <c r="E27" i="12"/>
  <c r="E28" i="12"/>
  <c r="E23" i="12"/>
  <c r="E22" i="12"/>
  <c r="C22" i="12"/>
  <c r="I22" i="12"/>
  <c r="C23" i="12"/>
  <c r="I23" i="12"/>
  <c r="C24" i="12"/>
  <c r="I24" i="12"/>
  <c r="C25" i="12"/>
  <c r="I25" i="12"/>
  <c r="C26" i="12"/>
  <c r="I26" i="12"/>
  <c r="I27" i="12"/>
  <c r="I28" i="12"/>
  <c r="I13" i="12"/>
  <c r="I14" i="12"/>
  <c r="I15" i="12"/>
  <c r="I16" i="12"/>
  <c r="I17" i="12"/>
  <c r="I18" i="12"/>
  <c r="I19" i="12"/>
  <c r="I20" i="12"/>
  <c r="I21" i="12"/>
  <c r="I12" i="12"/>
  <c r="D21" i="20"/>
  <c r="E15" i="12"/>
  <c r="E16" i="12"/>
  <c r="E17" i="12"/>
  <c r="E18" i="12"/>
  <c r="E19" i="12"/>
  <c r="E20" i="12"/>
  <c r="E21" i="12"/>
  <c r="E14" i="12"/>
  <c r="C12" i="12"/>
  <c r="C13" i="12"/>
  <c r="C14" i="12"/>
  <c r="C15" i="12"/>
  <c r="C16" i="12"/>
  <c r="C17" i="12"/>
  <c r="C18" i="12"/>
  <c r="C19" i="12"/>
  <c r="C20" i="12"/>
  <c r="C21" i="12"/>
  <c r="D36" i="20"/>
  <c r="D40" i="20" s="1"/>
  <c r="E13" i="12" s="1"/>
  <c r="D35" i="20"/>
  <c r="D39" i="20" s="1"/>
  <c r="E12" i="12" s="1"/>
  <c r="D16" i="20"/>
</calcChain>
</file>

<file path=xl/sharedStrings.xml><?xml version="1.0" encoding="utf-8"?>
<sst xmlns="http://schemas.openxmlformats.org/spreadsheetml/2006/main" count="104" uniqueCount="69">
  <si>
    <t>Source</t>
  </si>
  <si>
    <t>-</t>
  </si>
  <si>
    <t>Value</t>
  </si>
  <si>
    <t>Definition</t>
  </si>
  <si>
    <t>Unit</t>
  </si>
  <si>
    <t>Link</t>
  </si>
  <si>
    <t>Cover Sheet</t>
  </si>
  <si>
    <t>Document</t>
  </si>
  <si>
    <t>Country</t>
  </si>
  <si>
    <t>Organization</t>
  </si>
  <si>
    <t>Quintel Intelligence</t>
  </si>
  <si>
    <t>Definition on the sources</t>
  </si>
  <si>
    <t>Type</t>
  </si>
  <si>
    <t>Date published</t>
  </si>
  <si>
    <t>Date retrieved</t>
  </si>
  <si>
    <t>Attribute</t>
  </si>
  <si>
    <t>Legend</t>
  </si>
  <si>
    <t>Cells</t>
  </si>
  <si>
    <t>Intermediate (calculation)</t>
  </si>
  <si>
    <t>Result</t>
  </si>
  <si>
    <t>Manual input</t>
  </si>
  <si>
    <t>Reference to manual input or data input</t>
  </si>
  <si>
    <t>Tabs</t>
  </si>
  <si>
    <t>Introductory</t>
  </si>
  <si>
    <t>Dashboard</t>
  </si>
  <si>
    <t>Research data</t>
  </si>
  <si>
    <t>Sources</t>
  </si>
  <si>
    <t>Results</t>
  </si>
  <si>
    <t>Main calculations</t>
  </si>
  <si>
    <t>Additional calculations</t>
  </si>
  <si>
    <t>Output to csv</t>
  </si>
  <si>
    <t>Author</t>
  </si>
  <si>
    <t>Technical</t>
  </si>
  <si>
    <t>Subject year</t>
  </si>
  <si>
    <t>ETM Library URL</t>
  </si>
  <si>
    <t>Kas Kranenburg</t>
  </si>
  <si>
    <t>industry_useful_demand_for_chemical_refineries</t>
  </si>
  <si>
    <t>refinery_gas_output_conversion</t>
  </si>
  <si>
    <t>diesel_output_conversion</t>
  </si>
  <si>
    <t>kerosene_output_conversion</t>
  </si>
  <si>
    <t>lpg_output_conversion</t>
  </si>
  <si>
    <t>naphtha_output_conversion</t>
  </si>
  <si>
    <t>heavy_fuel_oil_output_conversion</t>
  </si>
  <si>
    <t>crude_oil_output_conversion</t>
  </si>
  <si>
    <t>loss_output_conversion</t>
  </si>
  <si>
    <t>oil_input_conversion</t>
  </si>
  <si>
    <t>electricity_input_conversion</t>
  </si>
  <si>
    <t>electricity_demand</t>
  </si>
  <si>
    <t>heat_demand</t>
  </si>
  <si>
    <t>relative_electricity</t>
  </si>
  <si>
    <t>relative_heat</t>
  </si>
  <si>
    <t>heat_input_conversion</t>
  </si>
  <si>
    <t>gasoline_output_conversion</t>
  </si>
  <si>
    <t>ETM, EU27_european_union_27_countries</t>
  </si>
  <si>
    <t>For the archetype refinery sector the values of the Europen EU27_european_union_27_countries dataset are used.</t>
  </si>
  <si>
    <t>Transformation node conversion effiencies</t>
  </si>
  <si>
    <t>- electricity demand in industry_useful_demand_for_chemical_refineries_electricity</t>
  </si>
  <si>
    <t>- useable heat demand in industry_useful_demand_for_chemical_refineries_useable_heat</t>
  </si>
  <si>
    <t>production industry transformation</t>
  </si>
  <si>
    <t>refinery products output conversion</t>
  </si>
  <si>
    <t>Heat production shares refinery sector</t>
  </si>
  <si>
    <t>network_gas_burner_share</t>
  </si>
  <si>
    <t>crude_oil_burner_share</t>
  </si>
  <si>
    <t>biomass_burner_share</t>
  </si>
  <si>
    <t>coal_burner_share</t>
  </si>
  <si>
    <t>steam_network_share</t>
  </si>
  <si>
    <t>hydrogen_burner_share</t>
  </si>
  <si>
    <t>Queried from EU27_european_union_27_countries for refinery transformation node efficiencies</t>
  </si>
  <si>
    <t>Queried from EU27_european_union_27_countries for heat production shares refinery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</si>
</sst>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32">
    <font>
      <sz val="12"/>
      <color theme="1"/>
      <name val="Lettertype hoofdtekst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Lettertype hoofdtekst"/>
      <family val="2"/>
    </font>
    <font>
      <u/>
      <sz val="12"/>
      <color theme="11"/>
      <name val="Lettertype hoofdtekst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1F497D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Lettertype hoofdtekst"/>
      <family val="2"/>
    </font>
    <font>
      <sz val="10"/>
      <name val="Arial"/>
      <family val="2"/>
    </font>
    <font>
      <sz val="12"/>
      <color rgb="FF333333"/>
      <name val="Calibri"/>
      <family val="2"/>
      <scheme val="minor"/>
    </font>
    <font>
      <sz val="12"/>
      <name val="Calibri"/>
      <family val="2"/>
    </font>
    <font>
      <sz val="11"/>
      <color rgb="FF000000"/>
      <name val="Calibri"/>
      <family val="2"/>
    </font>
    <font>
      <sz val="10"/>
      <color theme="1"/>
      <name val="Arial Unicode MS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</borders>
  <cellStyleXfs count="484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7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112">
    <xf numFmtId="0" fontId="0" fillId="0" borderId="0" xfId="0"/>
    <xf numFmtId="0" fontId="18" fillId="3" borderId="7" xfId="0" applyFont="1" applyFill="1" applyBorder="1"/>
    <xf numFmtId="0" fontId="19" fillId="3" borderId="16" xfId="0" applyFont="1" applyFill="1" applyBorder="1"/>
    <xf numFmtId="0" fontId="18" fillId="3" borderId="12" xfId="0" applyFont="1" applyFill="1" applyBorder="1"/>
    <xf numFmtId="0" fontId="20" fillId="3" borderId="7" xfId="0" applyFont="1" applyFill="1" applyBorder="1" applyAlignment="1">
      <alignment vertical="center"/>
    </xf>
    <xf numFmtId="49" fontId="18" fillId="2" borderId="8" xfId="0" applyNumberFormat="1" applyFont="1" applyFill="1" applyBorder="1" applyAlignment="1">
      <alignment horizontal="left"/>
    </xf>
    <xf numFmtId="0" fontId="20" fillId="3" borderId="1" xfId="0" applyFont="1" applyFill="1" applyBorder="1" applyAlignment="1">
      <alignment vertical="center"/>
    </xf>
    <xf numFmtId="0" fontId="18" fillId="3" borderId="13" xfId="0" applyFont="1" applyFill="1" applyBorder="1"/>
    <xf numFmtId="0" fontId="18" fillId="3" borderId="0" xfId="0" applyFont="1" applyFill="1"/>
    <xf numFmtId="0" fontId="17" fillId="2" borderId="0" xfId="0" applyFont="1" applyFill="1"/>
    <xf numFmtId="0" fontId="17" fillId="2" borderId="9" xfId="0" applyFont="1" applyFill="1" applyBorder="1"/>
    <xf numFmtId="0" fontId="17" fillId="0" borderId="9" xfId="0" applyFont="1" applyBorder="1"/>
    <xf numFmtId="0" fontId="19" fillId="0" borderId="9" xfId="0" applyFont="1" applyBorder="1"/>
    <xf numFmtId="49" fontId="17" fillId="2" borderId="0" xfId="0" applyNumberFormat="1" applyFont="1" applyFill="1"/>
    <xf numFmtId="49" fontId="17" fillId="2" borderId="9" xfId="0" applyNumberFormat="1" applyFont="1" applyFill="1" applyBorder="1"/>
    <xf numFmtId="0" fontId="19" fillId="0" borderId="0" xfId="0" applyFont="1"/>
    <xf numFmtId="0" fontId="14" fillId="2" borderId="0" xfId="0" applyFont="1" applyFill="1"/>
    <xf numFmtId="0" fontId="17" fillId="0" borderId="15" xfId="0" applyFont="1" applyBorder="1"/>
    <xf numFmtId="0" fontId="18" fillId="3" borderId="16" xfId="0" applyFont="1" applyFill="1" applyBorder="1"/>
    <xf numFmtId="0" fontId="18" fillId="3" borderId="2" xfId="0" applyFont="1" applyFill="1" applyBorder="1"/>
    <xf numFmtId="0" fontId="14" fillId="2" borderId="2" xfId="0" applyFont="1" applyFill="1" applyBorder="1"/>
    <xf numFmtId="0" fontId="21" fillId="3" borderId="0" xfId="0" applyFont="1" applyFill="1"/>
    <xf numFmtId="0" fontId="14" fillId="2" borderId="7" xfId="0" applyFont="1" applyFill="1" applyBorder="1"/>
    <xf numFmtId="0" fontId="17" fillId="0" borderId="0" xfId="0" applyFont="1"/>
    <xf numFmtId="0" fontId="13" fillId="2" borderId="0" xfId="0" applyFont="1" applyFill="1"/>
    <xf numFmtId="0" fontId="13" fillId="0" borderId="0" xfId="0" applyFont="1"/>
    <xf numFmtId="0" fontId="12" fillId="2" borderId="0" xfId="0" applyFont="1" applyFill="1"/>
    <xf numFmtId="0" fontId="12" fillId="2" borderId="3" xfId="0" applyFont="1" applyFill="1" applyBorder="1"/>
    <xf numFmtId="0" fontId="12" fillId="2" borderId="4" xfId="0" applyFont="1" applyFill="1" applyBorder="1"/>
    <xf numFmtId="0" fontId="12" fillId="2" borderId="6" xfId="0" applyFont="1" applyFill="1" applyBorder="1"/>
    <xf numFmtId="49" fontId="12" fillId="2" borderId="0" xfId="0" applyNumberFormat="1" applyFont="1" applyFill="1"/>
    <xf numFmtId="49" fontId="12" fillId="2" borderId="4" xfId="0" applyNumberFormat="1" applyFont="1" applyFill="1" applyBorder="1"/>
    <xf numFmtId="0" fontId="12" fillId="2" borderId="15" xfId="0" applyFont="1" applyFill="1" applyBorder="1"/>
    <xf numFmtId="0" fontId="22" fillId="2" borderId="0" xfId="0" applyFont="1" applyFill="1"/>
    <xf numFmtId="0" fontId="22" fillId="2" borderId="3" xfId="0" applyFont="1" applyFill="1" applyBorder="1"/>
    <xf numFmtId="0" fontId="22" fillId="2" borderId="4" xfId="0" applyFont="1" applyFill="1" applyBorder="1"/>
    <xf numFmtId="0" fontId="22" fillId="2" borderId="14" xfId="0" applyFont="1" applyFill="1" applyBorder="1"/>
    <xf numFmtId="0" fontId="23" fillId="2" borderId="0" xfId="0" applyFont="1" applyFill="1"/>
    <xf numFmtId="0" fontId="22" fillId="2" borderId="9" xfId="0" applyFont="1" applyFill="1" applyBorder="1"/>
    <xf numFmtId="0" fontId="22" fillId="2" borderId="6" xfId="0" applyFont="1" applyFill="1" applyBorder="1"/>
    <xf numFmtId="0" fontId="23" fillId="2" borderId="9" xfId="0" applyFont="1" applyFill="1" applyBorder="1"/>
    <xf numFmtId="0" fontId="17" fillId="2" borderId="16" xfId="0" applyFont="1" applyFill="1" applyBorder="1"/>
    <xf numFmtId="0" fontId="11" fillId="2" borderId="2" xfId="0" applyFont="1" applyFill="1" applyBorder="1"/>
    <xf numFmtId="0" fontId="17" fillId="2" borderId="7" xfId="0" applyFont="1" applyFill="1" applyBorder="1"/>
    <xf numFmtId="0" fontId="11" fillId="2" borderId="0" xfId="0" applyFont="1" applyFill="1"/>
    <xf numFmtId="0" fontId="24" fillId="2" borderId="0" xfId="0" applyFont="1" applyFill="1"/>
    <xf numFmtId="0" fontId="11" fillId="2" borderId="17" xfId="0" applyFont="1" applyFill="1" applyBorder="1"/>
    <xf numFmtId="0" fontId="11" fillId="4" borderId="0" xfId="0" applyFont="1" applyFill="1"/>
    <xf numFmtId="0" fontId="11" fillId="5" borderId="0" xfId="0" applyFont="1" applyFill="1"/>
    <xf numFmtId="0" fontId="11" fillId="6" borderId="0" xfId="0" applyFont="1" applyFill="1"/>
    <xf numFmtId="0" fontId="11" fillId="7" borderId="0" xfId="0" applyFont="1" applyFill="1"/>
    <xf numFmtId="0" fontId="11" fillId="2" borderId="7" xfId="0" applyFont="1" applyFill="1" applyBorder="1"/>
    <xf numFmtId="0" fontId="11" fillId="8" borderId="0" xfId="0" applyFont="1" applyFill="1"/>
    <xf numFmtId="0" fontId="11" fillId="9" borderId="0" xfId="0" applyFont="1" applyFill="1"/>
    <xf numFmtId="0" fontId="11" fillId="10" borderId="0" xfId="0" applyFont="1" applyFill="1"/>
    <xf numFmtId="0" fontId="11" fillId="11" borderId="0" xfId="0" applyFont="1" applyFill="1"/>
    <xf numFmtId="0" fontId="23" fillId="2" borderId="15" xfId="0" applyFont="1" applyFill="1" applyBorder="1"/>
    <xf numFmtId="0" fontId="22" fillId="2" borderId="18" xfId="0" applyFont="1" applyFill="1" applyBorder="1"/>
    <xf numFmtId="0" fontId="10" fillId="2" borderId="0" xfId="0" applyFont="1" applyFill="1"/>
    <xf numFmtId="0" fontId="9" fillId="2" borderId="0" xfId="0" applyFont="1" applyFill="1"/>
    <xf numFmtId="10" fontId="22" fillId="2" borderId="0" xfId="0" applyNumberFormat="1" applyFont="1" applyFill="1"/>
    <xf numFmtId="17" fontId="12" fillId="2" borderId="0" xfId="0" applyNumberFormat="1" applyFont="1" applyFill="1" applyAlignment="1">
      <alignment horizontal="right"/>
    </xf>
    <xf numFmtId="0" fontId="8" fillId="2" borderId="0" xfId="0" applyFont="1" applyFill="1"/>
    <xf numFmtId="0" fontId="7" fillId="0" borderId="0" xfId="0" applyFont="1"/>
    <xf numFmtId="0" fontId="7" fillId="2" borderId="0" xfId="0" applyFont="1" applyFill="1"/>
    <xf numFmtId="9" fontId="22" fillId="2" borderId="0" xfId="0" applyNumberFormat="1" applyFont="1" applyFill="1"/>
    <xf numFmtId="1" fontId="22" fillId="2" borderId="0" xfId="0" applyNumberFormat="1" applyFont="1" applyFill="1"/>
    <xf numFmtId="0" fontId="28" fillId="0" borderId="0" xfId="0" applyFont="1"/>
    <xf numFmtId="0" fontId="29" fillId="12" borderId="0" xfId="0" applyFont="1" applyFill="1"/>
    <xf numFmtId="164" fontId="22" fillId="2" borderId="0" xfId="0" applyNumberFormat="1" applyFont="1" applyFill="1"/>
    <xf numFmtId="0" fontId="29" fillId="12" borderId="6" xfId="0" applyFont="1" applyFill="1" applyBorder="1"/>
    <xf numFmtId="0" fontId="6" fillId="0" borderId="0" xfId="0" applyFont="1"/>
    <xf numFmtId="0" fontId="5" fillId="2" borderId="0" xfId="0" applyFont="1" applyFill="1"/>
    <xf numFmtId="0" fontId="15" fillId="12" borderId="0" xfId="177" applyFill="1" applyAlignment="1" applyProtection="1"/>
    <xf numFmtId="0" fontId="4" fillId="2" borderId="0" xfId="0" applyFont="1" applyFill="1"/>
    <xf numFmtId="0" fontId="15" fillId="2" borderId="0" xfId="177" applyFill="1" applyAlignment="1" applyProtection="1"/>
    <xf numFmtId="49" fontId="4" fillId="2" borderId="0" xfId="0" applyNumberFormat="1" applyFont="1" applyFill="1"/>
    <xf numFmtId="49" fontId="13" fillId="2" borderId="0" xfId="0" applyNumberFormat="1" applyFont="1" applyFill="1"/>
    <xf numFmtId="0" fontId="7" fillId="0" borderId="6" xfId="0" applyFont="1" applyBorder="1"/>
    <xf numFmtId="0" fontId="13" fillId="0" borderId="6" xfId="0" applyFont="1" applyBorder="1"/>
    <xf numFmtId="0" fontId="13" fillId="0" borderId="3" xfId="0" applyFont="1" applyBorder="1"/>
    <xf numFmtId="0" fontId="17" fillId="0" borderId="3" xfId="0" applyFont="1" applyBorder="1"/>
    <xf numFmtId="0" fontId="17" fillId="0" borderId="4" xfId="0" applyFont="1" applyBorder="1"/>
    <xf numFmtId="0" fontId="13" fillId="0" borderId="14" xfId="0" applyFont="1" applyBorder="1"/>
    <xf numFmtId="0" fontId="17" fillId="0" borderId="18" xfId="0" applyFont="1" applyBorder="1"/>
    <xf numFmtId="0" fontId="17" fillId="0" borderId="6" xfId="0" applyFont="1" applyBorder="1"/>
    <xf numFmtId="0" fontId="17" fillId="0" borderId="5" xfId="0" applyFont="1" applyBorder="1"/>
    <xf numFmtId="0" fontId="5" fillId="0" borderId="17" xfId="0" applyFont="1" applyBorder="1"/>
    <xf numFmtId="0" fontId="7" fillId="0" borderId="5" xfId="0" applyFont="1" applyBorder="1"/>
    <xf numFmtId="0" fontId="3" fillId="2" borderId="0" xfId="0" applyFont="1" applyFill="1"/>
    <xf numFmtId="0" fontId="3" fillId="0" borderId="6" xfId="0" applyFont="1" applyBorder="1"/>
    <xf numFmtId="0" fontId="3" fillId="0" borderId="0" xfId="0" applyFont="1"/>
    <xf numFmtId="0" fontId="3" fillId="0" borderId="5" xfId="0" applyFont="1" applyBorder="1"/>
    <xf numFmtId="0" fontId="7" fillId="2" borderId="10" xfId="0" applyFont="1" applyFill="1" applyBorder="1"/>
    <xf numFmtId="0" fontId="7" fillId="2" borderId="11" xfId="0" applyFont="1" applyFill="1" applyBorder="1"/>
    <xf numFmtId="0" fontId="2" fillId="0" borderId="6" xfId="0" applyFont="1" applyBorder="1"/>
    <xf numFmtId="0" fontId="30" fillId="0" borderId="0" xfId="0" applyFont="1"/>
    <xf numFmtId="4" fontId="30" fillId="0" borderId="0" xfId="0" applyNumberFormat="1" applyFont="1"/>
    <xf numFmtId="0" fontId="13" fillId="0" borderId="19" xfId="0" applyFont="1" applyBorder="1"/>
    <xf numFmtId="165" fontId="13" fillId="0" borderId="17" xfId="0" applyNumberFormat="1" applyFont="1" applyBorder="1"/>
    <xf numFmtId="0" fontId="1" fillId="2" borderId="0" xfId="0" applyFont="1" applyFill="1"/>
    <xf numFmtId="0" fontId="22" fillId="2" borderId="0" xfId="0" quotePrefix="1" applyFont="1" applyFill="1"/>
    <xf numFmtId="4" fontId="31" fillId="0" borderId="0" xfId="0" applyNumberFormat="1" applyFont="1"/>
    <xf numFmtId="0" fontId="25" fillId="12" borderId="16" xfId="0" applyFont="1" applyFill="1" applyBorder="1" applyAlignment="1">
      <alignment horizontal="left" vertical="top" wrapText="1"/>
    </xf>
    <xf numFmtId="0" fontId="25" fillId="12" borderId="2" xfId="0" applyFont="1" applyFill="1" applyBorder="1" applyAlignment="1">
      <alignment horizontal="left" vertical="top" wrapText="1"/>
    </xf>
    <xf numFmtId="0" fontId="25" fillId="12" borderId="12" xfId="0" applyFont="1" applyFill="1" applyBorder="1" applyAlignment="1">
      <alignment horizontal="left" vertical="top" wrapText="1"/>
    </xf>
    <xf numFmtId="0" fontId="25" fillId="12" borderId="7" xfId="0" applyFont="1" applyFill="1" applyBorder="1" applyAlignment="1">
      <alignment horizontal="left" vertical="top" wrapText="1"/>
    </xf>
    <xf numFmtId="0" fontId="25" fillId="12" borderId="0" xfId="0" applyFont="1" applyFill="1" applyAlignment="1">
      <alignment horizontal="left" vertical="top" wrapText="1"/>
    </xf>
    <xf numFmtId="0" fontId="25" fillId="12" borderId="8" xfId="0" applyFont="1" applyFill="1" applyBorder="1" applyAlignment="1">
      <alignment horizontal="left" vertical="top" wrapText="1"/>
    </xf>
    <xf numFmtId="0" fontId="25" fillId="12" borderId="1" xfId="0" applyFont="1" applyFill="1" applyBorder="1" applyAlignment="1">
      <alignment horizontal="left" vertical="top" wrapText="1"/>
    </xf>
    <xf numFmtId="0" fontId="25" fillId="12" borderId="9" xfId="0" applyFont="1" applyFill="1" applyBorder="1" applyAlignment="1">
      <alignment horizontal="left" vertical="top" wrapText="1"/>
    </xf>
    <xf numFmtId="0" fontId="25" fillId="12" borderId="13" xfId="0" applyFont="1" applyFill="1" applyBorder="1" applyAlignment="1">
      <alignment horizontal="left" vertical="top" wrapText="1"/>
    </xf>
  </cellXfs>
  <cellStyles count="48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89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1" builtinId="9" hidden="1"/>
    <cellStyle name="Followed Hyperlink" xfId="252" builtinId="9" hidden="1"/>
    <cellStyle name="Followed Hyperlink" xfId="253" builtinId="9" hidden="1"/>
    <cellStyle name="Followed Hyperlink" xfId="254" builtinId="9" hidden="1"/>
    <cellStyle name="Followed Hyperlink" xfId="255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Followed Hyperlink" xfId="282" builtinId="9" hidden="1"/>
    <cellStyle name="Followed Hyperlink" xfId="283" builtinId="9" hidden="1"/>
    <cellStyle name="Followed Hyperlink" xfId="284" builtinId="9" hidden="1"/>
    <cellStyle name="Followed Hyperlink" xfId="285" builtinId="9" hidden="1"/>
    <cellStyle name="Followed Hyperlink" xfId="286" builtinId="9" hidden="1"/>
    <cellStyle name="Followed Hyperlink" xfId="287" builtinId="9" hidden="1"/>
    <cellStyle name="Followed Hyperlink" xfId="288" builtinId="9" hidden="1"/>
    <cellStyle name="Followed Hyperlink" xfId="289" builtinId="9" hidden="1"/>
    <cellStyle name="Followed Hyperlink" xfId="290" builtinId="9" hidden="1"/>
    <cellStyle name="Followed Hyperlink" xfId="291" builtinId="9" hidden="1"/>
    <cellStyle name="Followed Hyperlink" xfId="292" builtinId="9" hidden="1"/>
    <cellStyle name="Followed Hyperlink" xfId="293" builtinId="9" hidden="1"/>
    <cellStyle name="Followed Hyperlink" xfId="294" builtinId="9" hidden="1"/>
    <cellStyle name="Followed Hyperlink" xfId="295" builtinId="9" hidden="1"/>
    <cellStyle name="Followed Hyperlink" xfId="296" builtinId="9" hidden="1"/>
    <cellStyle name="Followed Hyperlink" xfId="297" builtinId="9" hidden="1"/>
    <cellStyle name="Followed Hyperlink" xfId="298" builtinId="9" hidden="1"/>
    <cellStyle name="Followed Hyperlink" xfId="299" builtinId="9" hidden="1"/>
    <cellStyle name="Followed Hyperlink" xfId="300" builtinId="9" hidden="1"/>
    <cellStyle name="Followed Hyperlink" xfId="301" builtinId="9" hidden="1"/>
    <cellStyle name="Followed Hyperlink" xfId="302" builtinId="9" hidden="1"/>
    <cellStyle name="Followed Hyperlink" xfId="303" builtinId="9" hidden="1"/>
    <cellStyle name="Followed Hyperlink" xfId="304" builtinId="9" hidden="1"/>
    <cellStyle name="Followed Hyperlink" xfId="305" builtinId="9" hidden="1"/>
    <cellStyle name="Followed Hyperlink" xfId="306" builtinId="9" hidden="1"/>
    <cellStyle name="Followed Hyperlink" xfId="307" builtinId="9" hidden="1"/>
    <cellStyle name="Followed Hyperlink" xfId="308" builtinId="9" hidden="1"/>
    <cellStyle name="Followed Hyperlink" xfId="309" builtinId="9" hidden="1"/>
    <cellStyle name="Followed Hyperlink" xfId="310" builtinId="9" hidden="1"/>
    <cellStyle name="Followed Hyperlink" xfId="311" builtinId="9" hidden="1"/>
    <cellStyle name="Followed Hyperlink" xfId="312" builtinId="9" hidden="1"/>
    <cellStyle name="Followed Hyperlink" xfId="313" builtinId="9" hidden="1"/>
    <cellStyle name="Followed Hyperlink" xfId="314" builtinId="9" hidden="1"/>
    <cellStyle name="Followed Hyperlink" xfId="315" builtinId="9" hidden="1"/>
    <cellStyle name="Followed Hyperlink" xfId="316" builtinId="9" hidden="1"/>
    <cellStyle name="Followed Hyperlink" xfId="317" builtinId="9" hidden="1"/>
    <cellStyle name="Followed Hyperlink" xfId="318" builtinId="9" hidden="1"/>
    <cellStyle name="Followed Hyperlink" xfId="319" builtinId="9" hidden="1"/>
    <cellStyle name="Followed Hyperlink" xfId="320" builtinId="9" hidden="1"/>
    <cellStyle name="Followed Hyperlink" xfId="321" builtinId="9" hidden="1"/>
    <cellStyle name="Followed Hyperlink" xfId="322" builtinId="9" hidden="1"/>
    <cellStyle name="Followed Hyperlink" xfId="323" builtinId="9" hidden="1"/>
    <cellStyle name="Followed Hyperlink" xfId="324" builtinId="9" hidden="1"/>
    <cellStyle name="Followed Hyperlink" xfId="325" builtinId="9" hidden="1"/>
    <cellStyle name="Followed Hyperlink" xfId="326" builtinId="9" hidden="1"/>
    <cellStyle name="Followed Hyperlink" xfId="327" builtinId="9" hidden="1"/>
    <cellStyle name="Followed Hyperlink" xfId="328" builtinId="9" hidden="1"/>
    <cellStyle name="Followed Hyperlink" xfId="329" builtinId="9" hidden="1"/>
    <cellStyle name="Followed Hyperlink" xfId="330" builtinId="9" hidden="1"/>
    <cellStyle name="Followed Hyperlink" xfId="331" builtinId="9" hidden="1"/>
    <cellStyle name="Followed Hyperlink" xfId="332" builtinId="9" hidden="1"/>
    <cellStyle name="Followed Hyperlink" xfId="333" builtinId="9" hidden="1"/>
    <cellStyle name="Followed Hyperlink" xfId="334" builtinId="9" hidden="1"/>
    <cellStyle name="Followed Hyperlink" xfId="335" builtinId="9" hidden="1"/>
    <cellStyle name="Followed Hyperlink" xfId="336" builtinId="9" hidden="1"/>
    <cellStyle name="Followed Hyperlink" xfId="337" builtinId="9" hidden="1"/>
    <cellStyle name="Followed Hyperlink" xfId="338" builtinId="9" hidden="1"/>
    <cellStyle name="Followed Hyperlink" xfId="339" builtinId="9" hidden="1"/>
    <cellStyle name="Followed Hyperlink" xfId="340" builtinId="9" hidden="1"/>
    <cellStyle name="Followed Hyperlink" xfId="341" builtinId="9" hidden="1"/>
    <cellStyle name="Followed Hyperlink" xfId="342" builtinId="9" hidden="1"/>
    <cellStyle name="Followed Hyperlink" xfId="343" builtinId="9" hidden="1"/>
    <cellStyle name="Followed Hyperlink" xfId="344" builtinId="9" hidden="1"/>
    <cellStyle name="Followed Hyperlink" xfId="345" builtinId="9" hidden="1"/>
    <cellStyle name="Followed Hyperlink" xfId="346" builtinId="9" hidden="1"/>
    <cellStyle name="Followed Hyperlink" xfId="347" builtinId="9" hidden="1"/>
    <cellStyle name="Followed Hyperlink" xfId="348" builtinId="9" hidden="1"/>
    <cellStyle name="Followed Hyperlink" xfId="349" builtinId="9" hidden="1"/>
    <cellStyle name="Followed Hyperlink" xfId="350" builtinId="9" hidden="1"/>
    <cellStyle name="Followed Hyperlink" xfId="351" builtinId="9" hidden="1"/>
    <cellStyle name="Followed Hyperlink" xfId="352" builtinId="9" hidden="1"/>
    <cellStyle name="Followed Hyperlink" xfId="353" builtinId="9" hidden="1"/>
    <cellStyle name="Followed Hyperlink" xfId="354" builtinId="9" hidden="1"/>
    <cellStyle name="Followed Hyperlink" xfId="355" builtinId="9" hidden="1"/>
    <cellStyle name="Followed Hyperlink" xfId="356" builtinId="9" hidden="1"/>
    <cellStyle name="Followed Hyperlink" xfId="357" builtinId="9" hidden="1"/>
    <cellStyle name="Followed Hyperlink" xfId="358" builtinId="9" hidden="1"/>
    <cellStyle name="Followed Hyperlink" xfId="359" builtinId="9" hidden="1"/>
    <cellStyle name="Followed Hyperlink" xfId="360" builtinId="9" hidden="1"/>
    <cellStyle name="Followed Hyperlink" xfId="361" builtinId="9" hidden="1"/>
    <cellStyle name="Followed Hyperlink" xfId="362" builtinId="9" hidden="1"/>
    <cellStyle name="Followed Hyperlink" xfId="363" builtinId="9" hidden="1"/>
    <cellStyle name="Followed Hyperlink" xfId="364" builtinId="9" hidden="1"/>
    <cellStyle name="Followed Hyperlink" xfId="365" builtinId="9" hidden="1"/>
    <cellStyle name="Followed Hyperlink" xfId="366" builtinId="9" hidden="1"/>
    <cellStyle name="Followed Hyperlink" xfId="367" builtinId="9" hidden="1"/>
    <cellStyle name="Followed Hyperlink" xfId="368" builtinId="9" hidden="1"/>
    <cellStyle name="Followed Hyperlink" xfId="369" builtinId="9" hidden="1"/>
    <cellStyle name="Followed Hyperlink" xfId="370" builtinId="9" hidden="1"/>
    <cellStyle name="Followed Hyperlink" xfId="371" builtinId="9" hidden="1"/>
    <cellStyle name="Followed Hyperlink" xfId="372" builtinId="9" hidden="1"/>
    <cellStyle name="Followed Hyperlink" xfId="373" builtinId="9" hidden="1"/>
    <cellStyle name="Followed Hyperlink" xfId="374" builtinId="9" hidden="1"/>
    <cellStyle name="Followed Hyperlink" xfId="375" builtinId="9" hidden="1"/>
    <cellStyle name="Followed Hyperlink" xfId="376" builtinId="9" hidden="1"/>
    <cellStyle name="Followed Hyperlink" xfId="377" builtinId="9" hidden="1"/>
    <cellStyle name="Followed Hyperlink" xfId="378" builtinId="9" hidden="1"/>
    <cellStyle name="Followed Hyperlink" xfId="379" builtinId="9" hidden="1"/>
    <cellStyle name="Followed Hyperlink" xfId="380" builtinId="9" hidden="1"/>
    <cellStyle name="Followed Hyperlink" xfId="381" builtinId="9" hidden="1"/>
    <cellStyle name="Followed Hyperlink" xfId="382" builtinId="9" hidden="1"/>
    <cellStyle name="Followed Hyperlink" xfId="383" builtinId="9" hidden="1"/>
    <cellStyle name="Followed Hyperlink" xfId="384" builtinId="9" hidden="1"/>
    <cellStyle name="Followed Hyperlink" xfId="385" builtinId="9" hidden="1"/>
    <cellStyle name="Followed Hyperlink" xfId="386" builtinId="9" hidden="1"/>
    <cellStyle name="Followed Hyperlink" xfId="387" builtinId="9" hidden="1"/>
    <cellStyle name="Followed Hyperlink" xfId="388" builtinId="9" hidden="1"/>
    <cellStyle name="Followed Hyperlink" xfId="389" builtinId="9" hidden="1"/>
    <cellStyle name="Followed Hyperlink" xfId="390" builtinId="9" hidden="1"/>
    <cellStyle name="Followed Hyperlink" xfId="391" builtinId="9" hidden="1"/>
    <cellStyle name="Followed Hyperlink" xfId="392" builtinId="9" hidden="1"/>
    <cellStyle name="Followed Hyperlink" xfId="393" builtinId="9" hidden="1"/>
    <cellStyle name="Followed Hyperlink" xfId="394" builtinId="9" hidden="1"/>
    <cellStyle name="Followed Hyperlink" xfId="395" builtinId="9" hidden="1"/>
    <cellStyle name="Followed Hyperlink" xfId="396" builtinId="9" hidden="1"/>
    <cellStyle name="Followed Hyperlink" xfId="397" builtinId="9" hidden="1"/>
    <cellStyle name="Followed Hyperlink" xfId="398" builtinId="9" hidden="1"/>
    <cellStyle name="Followed Hyperlink" xfId="399" builtinId="9" hidden="1"/>
    <cellStyle name="Followed Hyperlink" xfId="400" builtinId="9" hidden="1"/>
    <cellStyle name="Followed Hyperlink" xfId="401" builtinId="9" hidden="1"/>
    <cellStyle name="Followed Hyperlink" xfId="402" builtinId="9" hidden="1"/>
    <cellStyle name="Followed Hyperlink" xfId="403" builtinId="9" hidden="1"/>
    <cellStyle name="Followed Hyperlink" xfId="404" builtinId="9" hidden="1"/>
    <cellStyle name="Followed Hyperlink" xfId="405" builtinId="9" hidden="1"/>
    <cellStyle name="Followed Hyperlink" xfId="406" builtinId="9" hidden="1"/>
    <cellStyle name="Followed Hyperlink" xfId="407" builtinId="9" hidden="1"/>
    <cellStyle name="Followed Hyperlink" xfId="408" builtinId="9" hidden="1"/>
    <cellStyle name="Followed Hyperlink" xfId="409" builtinId="9" hidden="1"/>
    <cellStyle name="Followed Hyperlink" xfId="410" builtinId="9" hidden="1"/>
    <cellStyle name="Followed Hyperlink" xfId="411" builtinId="9" hidden="1"/>
    <cellStyle name="Followed Hyperlink" xfId="412" builtinId="9" hidden="1"/>
    <cellStyle name="Followed Hyperlink" xfId="413" builtinId="9" hidden="1"/>
    <cellStyle name="Followed Hyperlink" xfId="414" builtinId="9" hidden="1"/>
    <cellStyle name="Followed Hyperlink" xfId="415" builtinId="9" hidden="1"/>
    <cellStyle name="Followed Hyperlink" xfId="416" builtinId="9" hidden="1"/>
    <cellStyle name="Followed Hyperlink" xfId="417" builtinId="9" hidden="1"/>
    <cellStyle name="Followed Hyperlink" xfId="418" builtinId="9" hidden="1"/>
    <cellStyle name="Followed Hyperlink" xfId="419" builtinId="9" hidden="1"/>
    <cellStyle name="Followed Hyperlink" xfId="420" builtinId="9" hidden="1"/>
    <cellStyle name="Followed Hyperlink" xfId="421" builtinId="9" hidden="1"/>
    <cellStyle name="Followed Hyperlink" xfId="422" builtinId="9" hidden="1"/>
    <cellStyle name="Followed Hyperlink" xfId="423" builtinId="9" hidden="1"/>
    <cellStyle name="Followed Hyperlink" xfId="424" builtinId="9" hidden="1"/>
    <cellStyle name="Followed Hyperlink" xfId="425" builtinId="9" hidden="1"/>
    <cellStyle name="Followed Hyperlink" xfId="426" builtinId="9" hidden="1"/>
    <cellStyle name="Followed Hyperlink" xfId="427" builtinId="9" hidden="1"/>
    <cellStyle name="Followed Hyperlink" xfId="428" builtinId="9" hidden="1"/>
    <cellStyle name="Followed Hyperlink" xfId="429" builtinId="9" hidden="1"/>
    <cellStyle name="Followed Hyperlink" xfId="430" builtinId="9" hidden="1"/>
    <cellStyle name="Followed Hyperlink" xfId="431" builtinId="9" hidden="1"/>
    <cellStyle name="Followed Hyperlink" xfId="432" builtinId="9" hidden="1"/>
    <cellStyle name="Followed Hyperlink" xfId="433" builtinId="9" hidden="1"/>
    <cellStyle name="Followed Hyperlink" xfId="434" builtinId="9" hidden="1"/>
    <cellStyle name="Followed Hyperlink" xfId="435" builtinId="9" hidden="1"/>
    <cellStyle name="Followed Hyperlink" xfId="436" builtinId="9" hidden="1"/>
    <cellStyle name="Followed Hyperlink" xfId="437" builtinId="9" hidden="1"/>
    <cellStyle name="Followed Hyperlink" xfId="438" builtinId="9" hidden="1"/>
    <cellStyle name="Followed Hyperlink" xfId="439" builtinId="9" hidden="1"/>
    <cellStyle name="Followed Hyperlink" xfId="440" builtinId="9" hidden="1"/>
    <cellStyle name="Followed Hyperlink" xfId="441" builtinId="9" hidden="1"/>
    <cellStyle name="Followed Hyperlink" xfId="442" builtinId="9" hidden="1"/>
    <cellStyle name="Followed Hyperlink" xfId="443" builtinId="9" hidden="1"/>
    <cellStyle name="Followed Hyperlink" xfId="444" builtinId="9" hidden="1"/>
    <cellStyle name="Followed Hyperlink" xfId="445" builtinId="9" hidden="1"/>
    <cellStyle name="Followed Hyperlink" xfId="446" builtinId="9" hidden="1"/>
    <cellStyle name="Followed Hyperlink" xfId="447" builtinId="9" hidden="1"/>
    <cellStyle name="Followed Hyperlink" xfId="448" builtinId="9" hidden="1"/>
    <cellStyle name="Followed Hyperlink" xfId="449" builtinId="9" hidden="1"/>
    <cellStyle name="Followed Hyperlink" xfId="450" builtinId="9" hidden="1"/>
    <cellStyle name="Followed Hyperlink" xfId="451" builtinId="9" hidden="1"/>
    <cellStyle name="Followed Hyperlink" xfId="452" builtinId="9" hidden="1"/>
    <cellStyle name="Followed Hyperlink" xfId="453" builtinId="9" hidden="1"/>
    <cellStyle name="Followed Hyperlink" xfId="454" builtinId="9" hidden="1"/>
    <cellStyle name="Followed Hyperlink" xfId="455" builtinId="9" hidden="1"/>
    <cellStyle name="Followed Hyperlink" xfId="456" builtinId="9" hidden="1"/>
    <cellStyle name="Followed Hyperlink" xfId="457" builtinId="9" hidden="1"/>
    <cellStyle name="Followed Hyperlink" xfId="458" builtinId="9" hidden="1"/>
    <cellStyle name="Followed Hyperlink" xfId="459" builtinId="9" hidden="1"/>
    <cellStyle name="Followed Hyperlink" xfId="460" builtinId="9" hidden="1"/>
    <cellStyle name="Followed Hyperlink" xfId="461" builtinId="9" hidden="1"/>
    <cellStyle name="Followed Hyperlink" xfId="462" builtinId="9" hidden="1"/>
    <cellStyle name="Followed Hyperlink" xfId="463" builtinId="9" hidden="1"/>
    <cellStyle name="Followed Hyperlink" xfId="464" builtinId="9" hidden="1"/>
    <cellStyle name="Followed Hyperlink" xfId="465" builtinId="9" hidden="1"/>
    <cellStyle name="Followed Hyperlink" xfId="466" builtinId="9" hidden="1"/>
    <cellStyle name="Followed Hyperlink" xfId="467" builtinId="9" hidden="1"/>
    <cellStyle name="Followed Hyperlink" xfId="468" builtinId="9" hidden="1"/>
    <cellStyle name="Followed Hyperlink" xfId="469" builtinId="9" hidden="1"/>
    <cellStyle name="Followed Hyperlink" xfId="470" builtinId="9" hidden="1"/>
    <cellStyle name="Followed Hyperlink" xfId="471" builtinId="9" hidden="1"/>
    <cellStyle name="Followed Hyperlink" xfId="472" builtinId="9" hidden="1"/>
    <cellStyle name="Followed Hyperlink" xfId="473" builtinId="9" hidden="1"/>
    <cellStyle name="Followed Hyperlink" xfId="474" builtinId="9" hidden="1"/>
    <cellStyle name="Followed Hyperlink" xfId="475" builtinId="9" hidden="1"/>
    <cellStyle name="Followed Hyperlink" xfId="476" builtinId="9" hidden="1"/>
    <cellStyle name="Followed Hyperlink" xfId="477" builtinId="9" hidden="1"/>
    <cellStyle name="Followed Hyperlink" xfId="478" builtinId="9" hidden="1"/>
    <cellStyle name="Followed Hyperlink" xfId="479" builtinId="9" hidden="1"/>
    <cellStyle name="Followed Hyperlink" xfId="480" builtinId="9" hidden="1"/>
    <cellStyle name="Followed Hyperlink" xfId="481" builtinId="9" hidden="1"/>
    <cellStyle name="Followed Hyperlink" xfId="482" builtinId="9" hidden="1"/>
    <cellStyle name="Followed Hyperlink" xfId="48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/>
    <cellStyle name="Normal" xfId="0" builtinId="0"/>
    <cellStyle name="Normal 2" xfId="275" xr:uid="{00000000-0005-0000-0000-0000E3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64257</xdr:colOff>
      <xdr:row>6</xdr:row>
      <xdr:rowOff>148228</xdr:rowOff>
    </xdr:from>
    <xdr:ext cx="5160561" cy="471985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8618977" y="1377588"/>
          <a:ext cx="5160561" cy="471985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EACH(</a:t>
          </a:r>
        </a:p>
        <a:p>
          <a:r>
            <a:rPr lang="en-US" sz="1100"/>
            <a:t>  V(industry_refinery_transformation_crude_oil, refinery_gas_output_conversion),</a:t>
          </a:r>
        </a:p>
        <a:p>
          <a:r>
            <a:rPr lang="en-US" sz="1100"/>
            <a:t>  V(industry_refinery_transformation_crude_oil, diesel_output_conversion),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  V(industry_refinery_transformation_crude_oil, gasoline_output_conversion),</a:t>
          </a:r>
        </a:p>
        <a:p>
          <a:r>
            <a:rPr lang="en-US" sz="1100"/>
            <a:t>  V(industry_refinery_transformation_crude_oil, kerosene_output_conversion),</a:t>
          </a:r>
        </a:p>
        <a:p>
          <a:r>
            <a:rPr lang="en-US" sz="1100"/>
            <a:t>  V(industry_refinery_transformation_crude_oil, lpg_output_conversion),</a:t>
          </a:r>
        </a:p>
        <a:p>
          <a:r>
            <a:rPr lang="en-US" sz="1100"/>
            <a:t>  V(industry_refinery_transformation_crude_oil, naphtha_output_conversion),</a:t>
          </a:r>
        </a:p>
        <a:p>
          <a:r>
            <a:rPr lang="en-US" sz="1100"/>
            <a:t>  V(industry_refinery_transformation_crude_oil, heavy_fuel_oil_output_conversion),</a:t>
          </a:r>
        </a:p>
        <a:p>
          <a:r>
            <a:rPr lang="en-US" sz="1100"/>
            <a:t>  V(industry_refinery_transformation_crude_oil, crude_oil_output_conversion),</a:t>
          </a:r>
        </a:p>
        <a:p>
          <a:r>
            <a:rPr lang="en-US" sz="1100"/>
            <a:t>  V(industry_refinery_transformation_crude_oil, "demand - output_of_loss"),</a:t>
          </a:r>
        </a:p>
        <a:p>
          <a:r>
            <a:rPr lang="en-US" sz="1100"/>
            <a:t>  V(industry_useful_demand_for_chemical_refineries_useable_heat,demand),</a:t>
          </a:r>
        </a:p>
        <a:p>
          <a:r>
            <a:rPr lang="en-US" sz="1100"/>
            <a:t>  V(industry_useful_demand_for_chemical_refineries_electricity,demand)</a:t>
          </a:r>
        </a:p>
        <a:p>
          <a:r>
            <a:rPr lang="en-US" sz="1100"/>
            <a:t>  )</a:t>
          </a:r>
        </a:p>
        <a:p>
          <a:pPr latinLnBrk="1"/>
          <a:r>
            <a:rPr lang="en-NL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</a:p>
        <a:p>
          <a:pPr latinLnBrk="1"/>
          <a:r>
            <a:rPr lang="en-NL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0.03606677222248948,</a:t>
          </a:r>
        </a:p>
        <a:p>
          <a:pPr latinLnBrk="1"/>
          <a:r>
            <a:rPr lang="en-NL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0.4037380405857508,</a:t>
          </a:r>
        </a:p>
        <a:p>
          <a:pPr latinLnBrk="1"/>
          <a:r>
            <a:rPr lang="en-NL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0.18021811791475195,</a:t>
          </a:r>
        </a:p>
        <a:p>
          <a:pPr latinLnBrk="1"/>
          <a:r>
            <a:rPr lang="en-NL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0.07896248156179492,</a:t>
          </a:r>
        </a:p>
        <a:p>
          <a:pPr latinLnBrk="1"/>
          <a:r>
            <a:rPr lang="en-NL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0.02682897008678425,</a:t>
          </a:r>
        </a:p>
        <a:p>
          <a:pPr latinLnBrk="1"/>
          <a:r>
            <a:rPr lang="en-NL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0.07403528917726634,</a:t>
          </a:r>
        </a:p>
        <a:p>
          <a:pPr latinLnBrk="1"/>
          <a:r>
            <a:rPr lang="en-NL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0.10233912209253931,</a:t>
          </a:r>
        </a:p>
        <a:p>
          <a:pPr latinLnBrk="1"/>
          <a:r>
            <a:rPr lang="en-NL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0.09022673191927089,</a:t>
          </a: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L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NL" sz="1100">
              <a:solidFill>
                <a:schemeClr val="dk1"/>
              </a:solidFill>
              <a:latin typeface="+mn-lt"/>
              <a:ea typeface="+mn-ea"/>
              <a:cs typeface="+mn-cs"/>
            </a:rPr>
            <a:t>23,987,762,856,000.004</a:t>
          </a:r>
          <a:r>
            <a:rPr lang="en-NL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</a:p>
        <a:p>
          <a:pPr latinLnBrk="1"/>
          <a:r>
            <a:rPr lang="en-NL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1,281,191,761,860.0,</a:t>
          </a:r>
        </a:p>
        <a:p>
          <a:pPr latinLnBrk="1"/>
          <a:r>
            <a:rPr lang="en-NL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123,192,275,000.00003,</a:t>
          </a:r>
        </a:p>
        <a:p>
          <a:pPr latinLnBrk="1"/>
          <a:r>
            <a:rPr lang="en-NL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endParaRPr lang="en-US" sz="1100"/>
        </a:p>
      </xdr:txBody>
    </xdr:sp>
    <xdr:clientData/>
  </xdr:oneCellAnchor>
  <xdr:oneCellAnchor>
    <xdr:from>
      <xdr:col>7</xdr:col>
      <xdr:colOff>179622</xdr:colOff>
      <xdr:row>35</xdr:row>
      <xdr:rowOff>121244</xdr:rowOff>
    </xdr:from>
    <xdr:ext cx="9065432" cy="285574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44D6DB-A0FA-354A-BE9B-85E3DD5E9432}"/>
            </a:ext>
          </a:extLst>
        </xdr:cNvPr>
        <xdr:cNvSpPr txBox="1"/>
      </xdr:nvSpPr>
      <xdr:spPr>
        <a:xfrm>
          <a:off x="10148439" y="7317911"/>
          <a:ext cx="9065432" cy="285574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EACH(</a:t>
          </a:r>
        </a:p>
        <a:p>
          <a:r>
            <a:rPr lang="en-US" sz="1100"/>
            <a:t>  V(industry_chemicals_refineries_network_gas_hybrid_heat,share_of_industry_useful_demand_for_chemical_refineries_useable_heat),</a:t>
          </a:r>
        </a:p>
        <a:p>
          <a:r>
            <a:rPr lang="en-US" sz="1100"/>
            <a:t>  V(industry_chemicals_refineries_burner_crude_oil, share_of_industry_useful_demand_for_chemical_refineries_useable_heat),</a:t>
          </a:r>
        </a:p>
        <a:p>
          <a:r>
            <a:rPr lang="en-US" sz="1100"/>
            <a:t>  V(industry_chemicals_refineries_burner_wood_pellets, share_of_industry_useful_demand_for_chemical_refineries_useable_heat),</a:t>
          </a:r>
        </a:p>
        <a:p>
          <a:r>
            <a:rPr lang="en-US" sz="1100"/>
            <a:t>  V(industry_chemicals_refineries_burner_coal,share_of_industry_useful_demand_for_chemical_refineries_useable_heat),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  V(industry_chemicals_refineries_hydrogen_hybrid_heat, share_of_industry_useful_demand_for_chemical_refineries_useable_heat),</a:t>
          </a:r>
        </a:p>
        <a:p>
          <a:r>
            <a:rPr lang="en-US" sz="1100"/>
            <a:t>  V(industry_final_demand_for_chemical_refineries_steam_hot_water,share_of_industry_useful_demand_for_chemical_refineries_useable_heat)</a:t>
          </a:r>
        </a:p>
        <a:p>
          <a:r>
            <a:rPr lang="en-US" sz="1100"/>
            <a:t>  )</a:t>
          </a:r>
        </a:p>
        <a:p>
          <a:pPr latinLnBrk="1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</a:p>
        <a:p>
          <a:pPr latinLnBrk="1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0.28675632027685954,</a:t>
          </a:r>
        </a:p>
        <a:p>
          <a:pPr latinLnBrk="1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0.6596449159437775,</a:t>
          </a:r>
        </a:p>
        <a:p>
          <a:pPr latinLnBrk="1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8.181507493290775e-05,</a:t>
          </a:r>
        </a:p>
        <a:p>
          <a:pPr latinLnBrk="1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0.0004337717557543334,</a:t>
          </a:r>
        </a:p>
        <a:p>
          <a:pPr latinLnBrk="1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0.0,</a:t>
          </a:r>
        </a:p>
        <a:p>
          <a:pPr latinLnBrk="1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0.05308317694867574,</a:t>
          </a:r>
        </a:p>
        <a:p>
          <a:pPr latinLnBrk="1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orinevandervlies/Downloads/6_residences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terwel/Downloads/01D_Current_Central_Hydrogen_Production_from_Natural_Gas_without_CO2_Sequestration_version_3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hangelog"/>
      <sheetName val="Contents"/>
      <sheetName val="Introduction"/>
      <sheetName val="Dataflow"/>
      <sheetName val="Assumptions"/>
      <sheetName val="Dashboard"/>
      <sheetName val="Corrected energy balance step 2"/>
      <sheetName val="technical_specs"/>
      <sheetName val="Application Shares"/>
      <sheetName val="Technology Shares"/>
      <sheetName val="Houses Shares"/>
      <sheetName val="Final demand per energy carrier"/>
      <sheetName val="Technology split final demand"/>
      <sheetName val="Electricity producer Shares"/>
      <sheetName val="Fuel aggregation"/>
      <sheetName val="Useful-final demand percentage"/>
      <sheetName val="csv_final_demand_coal"/>
      <sheetName val="csv_final_demand_crude_oil"/>
      <sheetName val="csv_final_demand_network_gas"/>
      <sheetName val="csv_final_demand_woodpellets"/>
      <sheetName val="csv_final_demand_electricity"/>
      <sheetName val="csv_final_demand_steam"/>
      <sheetName val="csv_cooling_electricity"/>
      <sheetName val="csv_heating_network_gas"/>
      <sheetName val="csv_heating_electricity"/>
      <sheetName val="csv_heating_heat_pump"/>
      <sheetName val="csv_water_network_gas"/>
      <sheetName val="csv_water_electricity"/>
      <sheetName val="csv_cooking_electricity"/>
      <sheetName val="csv_lighting_electricity"/>
      <sheetName val="csv_appliances_electricity"/>
      <sheetName val="csv_solar_thermal_heater"/>
      <sheetName val="csv_cooling_old-new"/>
      <sheetName val="csv_heating_old-new"/>
      <sheetName val="csv_cooling_insulation_old"/>
      <sheetName val="csv_cooling_insulation_new"/>
      <sheetName val="csv_heating_insulation_new"/>
      <sheetName val="csv_heating_insulation_old"/>
      <sheetName val="csv_heating_micro_chp_gas"/>
      <sheetName val="csv_water_micro_chp_gas"/>
      <sheetName val="csv_water_fuell_cell_gas"/>
      <sheetName val="csv_solar_space_heating_chld"/>
      <sheetName val="csv_solar_hot_water_chld"/>
      <sheetName val="csv_add_on_space_heating_child"/>
      <sheetName val="csv_add_on_hot water_child"/>
      <sheetName val="csv_hot_water_from_el_add_on"/>
      <sheetName val="csv_export_to_area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1">
          <cell r="L11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Description"/>
      <sheetName val="ProcessFlow"/>
      <sheetName val="Input_Sheet_Template"/>
      <sheetName val="Replacement Costs"/>
      <sheetName val="Capital Costs"/>
      <sheetName val="Plant Scaling"/>
      <sheetName val="Carbon Sequestration"/>
      <sheetName val="Results"/>
      <sheetName val="Tornado Charts"/>
      <sheetName val="Cash Flow Analysis"/>
      <sheetName val="Energy Feed &amp; Utility Prices"/>
      <sheetName val="Non-Energy Material Prices"/>
      <sheetName val="AEO Data"/>
      <sheetName val="HyARC Physical Property Data"/>
      <sheetName val="Debt Financing Calculations"/>
      <sheetName val="Depreciation"/>
      <sheetName val="Constants and Conversions"/>
      <sheetName val="Lists"/>
      <sheetName val="ProcessFlow - blank"/>
      <sheetName val="Description - blank"/>
      <sheetName val="Title - bl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I48">
            <v>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A1:C23"/>
  <sheetViews>
    <sheetView workbookViewId="0">
      <selection activeCell="C4" sqref="C4"/>
    </sheetView>
  </sheetViews>
  <sheetFormatPr baseColWidth="10" defaultColWidth="10.7109375" defaultRowHeight="16"/>
  <cols>
    <col min="1" max="1" width="3.42578125" style="22" customWidth="1"/>
    <col min="2" max="2" width="11.42578125" style="16" customWidth="1"/>
    <col min="3" max="3" width="38.42578125" style="16" customWidth="1"/>
    <col min="4" max="16384" width="10.7109375" style="16"/>
  </cols>
  <sheetData>
    <row r="1" spans="1:3" s="20" customFormat="1">
      <c r="A1" s="18"/>
      <c r="B1" s="19"/>
      <c r="C1" s="19"/>
    </row>
    <row r="2" spans="1:3" ht="21">
      <c r="A2" s="1"/>
      <c r="B2" s="21" t="s">
        <v>6</v>
      </c>
      <c r="C2" s="21"/>
    </row>
    <row r="3" spans="1:3">
      <c r="A3" s="1"/>
      <c r="B3" s="8"/>
      <c r="C3" s="8"/>
    </row>
    <row r="4" spans="1:3">
      <c r="A4" s="1"/>
      <c r="B4" s="2" t="s">
        <v>7</v>
      </c>
      <c r="C4" s="3" t="s">
        <v>36</v>
      </c>
    </row>
    <row r="5" spans="1:3">
      <c r="A5" s="1"/>
      <c r="B5" s="4" t="s">
        <v>31</v>
      </c>
      <c r="C5" s="5" t="s">
        <v>35</v>
      </c>
    </row>
    <row r="6" spans="1:3">
      <c r="A6" s="1"/>
      <c r="B6" s="6" t="s">
        <v>9</v>
      </c>
      <c r="C6" s="7" t="s">
        <v>10</v>
      </c>
    </row>
    <row r="7" spans="1:3">
      <c r="A7" s="1"/>
      <c r="B7" s="8"/>
      <c r="C7" s="8"/>
    </row>
    <row r="8" spans="1:3">
      <c r="A8" s="1"/>
      <c r="B8" s="8"/>
      <c r="C8" s="8"/>
    </row>
    <row r="9" spans="1:3">
      <c r="A9" s="1"/>
      <c r="B9" s="41" t="s">
        <v>16</v>
      </c>
      <c r="C9" s="42"/>
    </row>
    <row r="10" spans="1:3">
      <c r="A10" s="1"/>
      <c r="B10" s="43"/>
      <c r="C10" s="44"/>
    </row>
    <row r="11" spans="1:3">
      <c r="A11" s="1"/>
      <c r="B11" s="43" t="s">
        <v>17</v>
      </c>
      <c r="C11" s="45" t="s">
        <v>18</v>
      </c>
    </row>
    <row r="12" spans="1:3" ht="17" thickBot="1">
      <c r="A12" s="1"/>
      <c r="B12" s="43"/>
      <c r="C12" s="9" t="s">
        <v>19</v>
      </c>
    </row>
    <row r="13" spans="1:3" ht="17" thickBot="1">
      <c r="A13" s="1"/>
      <c r="B13" s="43"/>
      <c r="C13" s="46" t="s">
        <v>20</v>
      </c>
    </row>
    <row r="14" spans="1:3">
      <c r="A14" s="1"/>
      <c r="B14" s="43"/>
      <c r="C14" s="44" t="s">
        <v>21</v>
      </c>
    </row>
    <row r="15" spans="1:3">
      <c r="A15" s="1"/>
      <c r="B15" s="43"/>
      <c r="C15" s="44"/>
    </row>
    <row r="16" spans="1:3">
      <c r="A16" s="1"/>
      <c r="B16" s="43" t="s">
        <v>22</v>
      </c>
      <c r="C16" s="47" t="s">
        <v>23</v>
      </c>
    </row>
    <row r="17" spans="1:3">
      <c r="A17" s="1"/>
      <c r="B17" s="43"/>
      <c r="C17" s="48" t="s">
        <v>24</v>
      </c>
    </row>
    <row r="18" spans="1:3">
      <c r="A18" s="1"/>
      <c r="B18" s="43"/>
      <c r="C18" s="49" t="s">
        <v>25</v>
      </c>
    </row>
    <row r="19" spans="1:3">
      <c r="A19" s="1"/>
      <c r="B19" s="43"/>
      <c r="C19" s="50" t="s">
        <v>26</v>
      </c>
    </row>
    <row r="20" spans="1:3">
      <c r="A20" s="1"/>
      <c r="B20" s="51"/>
      <c r="C20" s="52" t="s">
        <v>27</v>
      </c>
    </row>
    <row r="21" spans="1:3">
      <c r="A21" s="1"/>
      <c r="B21" s="51"/>
      <c r="C21" s="53" t="s">
        <v>28</v>
      </c>
    </row>
    <row r="22" spans="1:3">
      <c r="A22" s="1"/>
      <c r="B22" s="51"/>
      <c r="C22" s="54" t="s">
        <v>29</v>
      </c>
    </row>
    <row r="23" spans="1:3">
      <c r="B23" s="51"/>
      <c r="C23" s="55" t="s">
        <v>30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2:K60"/>
  <sheetViews>
    <sheetView tabSelected="1" topLeftCell="A7" zoomScale="139" workbookViewId="0">
      <selection activeCell="C28" sqref="C28"/>
    </sheetView>
  </sheetViews>
  <sheetFormatPr baseColWidth="10" defaultColWidth="10.7109375" defaultRowHeight="16"/>
  <cols>
    <col min="1" max="2" width="3.42578125" style="24" customWidth="1"/>
    <col min="3" max="3" width="51.42578125" style="24" customWidth="1"/>
    <col min="4" max="4" width="9.42578125" style="24" customWidth="1"/>
    <col min="5" max="5" width="15.42578125" style="24" customWidth="1"/>
    <col min="6" max="6" width="4.42578125" style="24" customWidth="1"/>
    <col min="7" max="7" width="37.85546875" style="24" customWidth="1"/>
    <col min="8" max="8" width="5.140625" style="24" customWidth="1"/>
    <col min="9" max="9" width="42.42578125" style="24" customWidth="1"/>
    <col min="10" max="10" width="5.42578125" style="24" customWidth="1"/>
    <col min="11" max="16384" width="10.7109375" style="24"/>
  </cols>
  <sheetData>
    <row r="2" spans="1:11">
      <c r="B2" s="103"/>
      <c r="C2" s="104"/>
      <c r="D2" s="104"/>
      <c r="E2" s="105"/>
    </row>
    <row r="3" spans="1:11">
      <c r="B3" s="106"/>
      <c r="C3" s="107"/>
      <c r="D3" s="107"/>
      <c r="E3" s="108"/>
    </row>
    <row r="4" spans="1:11">
      <c r="B4" s="106"/>
      <c r="C4" s="107"/>
      <c r="D4" s="107"/>
      <c r="E4" s="108"/>
    </row>
    <row r="5" spans="1:11">
      <c r="B5" s="109"/>
      <c r="C5" s="110"/>
      <c r="D5" s="110"/>
      <c r="E5" s="111"/>
    </row>
    <row r="7" spans="1:11" ht="17" thickBot="1"/>
    <row r="8" spans="1:11">
      <c r="B8" s="80"/>
      <c r="C8" s="81"/>
      <c r="D8" s="82"/>
      <c r="E8" s="82"/>
      <c r="F8" s="82"/>
      <c r="G8" s="82"/>
      <c r="H8" s="82"/>
      <c r="I8" s="82"/>
      <c r="J8" s="83"/>
    </row>
    <row r="9" spans="1:11" s="9" customFormat="1">
      <c r="B9" s="17"/>
      <c r="C9" s="17" t="s">
        <v>15</v>
      </c>
      <c r="D9" s="12" t="s">
        <v>4</v>
      </c>
      <c r="E9" s="11" t="s">
        <v>2</v>
      </c>
      <c r="F9" s="11"/>
      <c r="G9" s="11" t="s">
        <v>3</v>
      </c>
      <c r="H9" s="11"/>
      <c r="I9" s="11" t="s">
        <v>0</v>
      </c>
      <c r="J9" s="84"/>
    </row>
    <row r="10" spans="1:11" s="9" customFormat="1">
      <c r="B10" s="85"/>
      <c r="C10" s="85"/>
      <c r="D10" s="15"/>
      <c r="E10" s="23"/>
      <c r="F10" s="23"/>
      <c r="G10" s="23"/>
      <c r="H10" s="23"/>
      <c r="I10" s="23"/>
      <c r="J10" s="86"/>
    </row>
    <row r="11" spans="1:11" s="9" customFormat="1" ht="17" thickBot="1">
      <c r="B11" s="85"/>
      <c r="C11" s="85" t="s">
        <v>32</v>
      </c>
      <c r="D11" s="15"/>
      <c r="E11" s="23"/>
      <c r="F11" s="23"/>
      <c r="G11" s="23"/>
      <c r="H11" s="23"/>
      <c r="I11" s="23"/>
      <c r="J11" s="86"/>
    </row>
    <row r="12" spans="1:11" ht="17" thickBot="1">
      <c r="A12" s="9"/>
      <c r="B12" s="85"/>
      <c r="C12" s="95" t="str">
        <f>Sources!C8</f>
        <v>electricity_input_conversion</v>
      </c>
      <c r="D12" s="15" t="s">
        <v>1</v>
      </c>
      <c r="E12" s="99">
        <f>ROUND(Notes!D39,5)</f>
        <v>5.1399999999999996E-3</v>
      </c>
      <c r="F12" s="25"/>
      <c r="G12" s="63"/>
      <c r="H12" s="23"/>
      <c r="I12" s="87" t="str">
        <f>Sources!$D$7</f>
        <v>ETM, EU27_european_union_27_countries</v>
      </c>
      <c r="J12" s="86"/>
      <c r="K12" s="9"/>
    </row>
    <row r="13" spans="1:11" ht="17" thickBot="1">
      <c r="A13" s="64"/>
      <c r="B13" s="78"/>
      <c r="C13" s="95" t="str">
        <f>Sources!C9</f>
        <v>heat_input_conversion</v>
      </c>
      <c r="D13" s="15" t="s">
        <v>1</v>
      </c>
      <c r="E13" s="99">
        <f>ROUND(Notes!D40,5)</f>
        <v>5.3409999999999999E-2</v>
      </c>
      <c r="F13" s="63"/>
      <c r="G13" s="71"/>
      <c r="H13" s="63"/>
      <c r="I13" s="87" t="str">
        <f>Sources!$D$7</f>
        <v>ETM, EU27_european_union_27_countries</v>
      </c>
      <c r="J13" s="88"/>
    </row>
    <row r="14" spans="1:11" ht="17" thickBot="1">
      <c r="A14" s="64"/>
      <c r="B14" s="78"/>
      <c r="C14" s="95" t="str">
        <f>Sources!C10</f>
        <v>refinery_gas_output_conversion</v>
      </c>
      <c r="D14" s="15" t="s">
        <v>1</v>
      </c>
      <c r="E14" s="99">
        <f>ROUND(Notes!D8,5)</f>
        <v>3.6069999999999998E-2</v>
      </c>
      <c r="F14" s="63"/>
      <c r="G14" s="63"/>
      <c r="H14" s="63"/>
      <c r="I14" s="87" t="str">
        <f>Sources!$D$7</f>
        <v>ETM, EU27_european_union_27_countries</v>
      </c>
      <c r="J14" s="88"/>
    </row>
    <row r="15" spans="1:11" ht="17" thickBot="1">
      <c r="B15" s="78"/>
      <c r="C15" s="95" t="str">
        <f>Sources!C11</f>
        <v>diesel_output_conversion</v>
      </c>
      <c r="D15" s="15" t="s">
        <v>1</v>
      </c>
      <c r="E15" s="99">
        <f>ROUND(Notes!D9,5)</f>
        <v>0.40373999999999999</v>
      </c>
      <c r="F15" s="63"/>
      <c r="G15" s="63"/>
      <c r="H15" s="63"/>
      <c r="I15" s="87" t="str">
        <f>Sources!$D$7</f>
        <v>ETM, EU27_european_union_27_countries</v>
      </c>
      <c r="J15" s="88"/>
    </row>
    <row r="16" spans="1:11" ht="17" thickBot="1">
      <c r="B16" s="78"/>
      <c r="C16" s="95" t="str">
        <f>Sources!C12</f>
        <v>gasoline_output_conversion</v>
      </c>
      <c r="D16" s="15" t="s">
        <v>1</v>
      </c>
      <c r="E16" s="99">
        <f>ROUND(Notes!D10,5)</f>
        <v>0.18021999999999999</v>
      </c>
      <c r="F16" s="63"/>
      <c r="G16" s="63"/>
      <c r="H16" s="63"/>
      <c r="I16" s="87" t="str">
        <f>Sources!$D$7</f>
        <v>ETM, EU27_european_union_27_countries</v>
      </c>
      <c r="J16" s="88"/>
    </row>
    <row r="17" spans="1:10" s="89" customFormat="1" ht="17" thickBot="1">
      <c r="B17" s="90"/>
      <c r="C17" s="95" t="str">
        <f>Sources!C13</f>
        <v>kerosene_output_conversion</v>
      </c>
      <c r="D17" s="15" t="s">
        <v>1</v>
      </c>
      <c r="E17" s="99">
        <f>ROUND(Notes!D11,5)</f>
        <v>7.8960000000000002E-2</v>
      </c>
      <c r="F17" s="91"/>
      <c r="G17" s="91"/>
      <c r="H17" s="91"/>
      <c r="I17" s="87" t="str">
        <f>Sources!$D$7</f>
        <v>ETM, EU27_european_union_27_countries</v>
      </c>
      <c r="J17" s="92"/>
    </row>
    <row r="18" spans="1:10" s="89" customFormat="1" ht="17" thickBot="1">
      <c r="B18" s="90"/>
      <c r="C18" s="95" t="str">
        <f>Sources!C14</f>
        <v>lpg_output_conversion</v>
      </c>
      <c r="D18" s="15" t="s">
        <v>1</v>
      </c>
      <c r="E18" s="99">
        <f>ROUND(Notes!D12,5)</f>
        <v>2.683E-2</v>
      </c>
      <c r="F18" s="91"/>
      <c r="G18" s="91"/>
      <c r="H18" s="91"/>
      <c r="I18" s="87" t="str">
        <f>Sources!$D$7</f>
        <v>ETM, EU27_european_union_27_countries</v>
      </c>
      <c r="J18" s="92"/>
    </row>
    <row r="19" spans="1:10" s="89" customFormat="1" ht="17" thickBot="1">
      <c r="B19" s="90"/>
      <c r="C19" s="95" t="str">
        <f>Sources!C15</f>
        <v>naphtha_output_conversion</v>
      </c>
      <c r="D19" s="15" t="s">
        <v>1</v>
      </c>
      <c r="E19" s="99">
        <f>ROUND(Notes!D13,5)</f>
        <v>7.4039999999999995E-2</v>
      </c>
      <c r="F19" s="91"/>
      <c r="G19" s="91"/>
      <c r="H19" s="91"/>
      <c r="I19" s="87" t="str">
        <f>Sources!$D$7</f>
        <v>ETM, EU27_european_union_27_countries</v>
      </c>
      <c r="J19" s="92"/>
    </row>
    <row r="20" spans="1:10" s="89" customFormat="1" ht="17" thickBot="1">
      <c r="B20" s="90"/>
      <c r="C20" s="95" t="str">
        <f>Sources!C16</f>
        <v>heavy_fuel_oil_output_conversion</v>
      </c>
      <c r="D20" s="15" t="s">
        <v>1</v>
      </c>
      <c r="E20" s="99">
        <f>ROUND(Notes!D14,5)</f>
        <v>0.10234</v>
      </c>
      <c r="F20" s="91"/>
      <c r="G20" s="91"/>
      <c r="H20" s="91"/>
      <c r="I20" s="87" t="str">
        <f>Sources!$D$7</f>
        <v>ETM, EU27_european_union_27_countries</v>
      </c>
      <c r="J20" s="92"/>
    </row>
    <row r="21" spans="1:10" ht="17" thickBot="1">
      <c r="B21" s="79"/>
      <c r="C21" s="95" t="str">
        <f>Sources!C17</f>
        <v>crude_oil_output_conversion</v>
      </c>
      <c r="D21" s="15" t="s">
        <v>1</v>
      </c>
      <c r="E21" s="99">
        <f>ROUND(Notes!D15,5)</f>
        <v>9.0230000000000005E-2</v>
      </c>
      <c r="F21" s="25"/>
      <c r="G21" s="25"/>
      <c r="H21" s="25"/>
      <c r="I21" s="87" t="str">
        <f>Sources!$D$7</f>
        <v>ETM, EU27_european_union_27_countries</v>
      </c>
      <c r="J21" s="92"/>
    </row>
    <row r="22" spans="1:10" ht="17" thickBot="1">
      <c r="A22" s="64"/>
      <c r="B22" s="79"/>
      <c r="C22" s="95" t="str">
        <f>Sources!C18</f>
        <v>loss_output_conversion</v>
      </c>
      <c r="D22" s="15" t="s">
        <v>1</v>
      </c>
      <c r="E22" s="99">
        <f>ROUND(Notes!D16,5)</f>
        <v>7.5799999999999999E-3</v>
      </c>
      <c r="F22" s="25"/>
      <c r="G22" s="25"/>
      <c r="H22" s="25"/>
      <c r="I22" s="87" t="str">
        <f>Sources!$D$7</f>
        <v>ETM, EU27_european_union_27_countries</v>
      </c>
      <c r="J22" s="92"/>
    </row>
    <row r="23" spans="1:10" ht="17" thickBot="1">
      <c r="A23" s="64"/>
      <c r="B23" s="79"/>
      <c r="C23" s="95" t="str">
        <f>Sources!C19</f>
        <v>network_gas_burner_share</v>
      </c>
      <c r="D23" s="15" t="s">
        <v>1</v>
      </c>
      <c r="E23" s="99">
        <f>ROUND(Notes!D19,5)</f>
        <v>0.28676000000000001</v>
      </c>
      <c r="F23" s="25"/>
      <c r="G23" s="25"/>
      <c r="H23" s="25"/>
      <c r="I23" s="87" t="str">
        <f>Sources!$D$7</f>
        <v>ETM, EU27_european_union_27_countries</v>
      </c>
      <c r="J23" s="92"/>
    </row>
    <row r="24" spans="1:10" ht="17" thickBot="1">
      <c r="A24" s="64"/>
      <c r="B24" s="79"/>
      <c r="C24" s="95" t="str">
        <f>Sources!C20</f>
        <v>crude_oil_burner_share</v>
      </c>
      <c r="D24" s="15" t="s">
        <v>1</v>
      </c>
      <c r="E24" s="99">
        <f>ROUND(Notes!D20,5)</f>
        <v>0.65964</v>
      </c>
      <c r="F24" s="25"/>
      <c r="G24" s="25"/>
      <c r="H24" s="25"/>
      <c r="I24" s="87" t="str">
        <f>Sources!$D$7</f>
        <v>ETM, EU27_european_union_27_countries</v>
      </c>
      <c r="J24" s="92"/>
    </row>
    <row r="25" spans="1:10" ht="17" thickBot="1">
      <c r="A25" s="64"/>
      <c r="B25" s="79"/>
      <c r="C25" s="95" t="str">
        <f>Sources!C21</f>
        <v>biomass_burner_share</v>
      </c>
      <c r="D25" s="15" t="s">
        <v>1</v>
      </c>
      <c r="E25" s="99">
        <f>ROUND(Notes!D21,5)</f>
        <v>8.0000000000000007E-5</v>
      </c>
      <c r="F25" s="25"/>
      <c r="G25" s="25"/>
      <c r="H25" s="25"/>
      <c r="I25" s="87" t="str">
        <f>Sources!$D$7</f>
        <v>ETM, EU27_european_union_27_countries</v>
      </c>
      <c r="J25" s="92"/>
    </row>
    <row r="26" spans="1:10" ht="17" thickBot="1">
      <c r="A26" s="64"/>
      <c r="B26" s="79"/>
      <c r="C26" s="95" t="str">
        <f>Sources!C22</f>
        <v>coal_burner_share</v>
      </c>
      <c r="D26" s="15" t="s">
        <v>1</v>
      </c>
      <c r="E26" s="99">
        <f>ROUND(Notes!D22,5)</f>
        <v>4.2999999999999999E-4</v>
      </c>
      <c r="F26" s="25"/>
      <c r="G26" s="25"/>
      <c r="H26" s="25"/>
      <c r="I26" s="87" t="str">
        <f>Sources!$D$7</f>
        <v>ETM, EU27_european_union_27_countries</v>
      </c>
      <c r="J26" s="92"/>
    </row>
    <row r="27" spans="1:10" ht="17" thickBot="1">
      <c r="A27" s="64"/>
      <c r="B27" s="79"/>
      <c r="C27" s="95" t="str">
        <f>Sources!C23</f>
        <v>hydrogen_burner_share</v>
      </c>
      <c r="D27" s="15" t="s">
        <v>1</v>
      </c>
      <c r="E27" s="99">
        <f>ROUND(Notes!D23,5)</f>
        <v>0</v>
      </c>
      <c r="F27" s="25"/>
      <c r="G27" s="25"/>
      <c r="H27" s="25"/>
      <c r="I27" s="87" t="str">
        <f>Sources!$D$7</f>
        <v>ETM, EU27_european_union_27_countries</v>
      </c>
      <c r="J27" s="92"/>
    </row>
    <row r="28" spans="1:10" ht="17" thickBot="1">
      <c r="A28" s="64"/>
      <c r="B28" s="79"/>
      <c r="C28" s="95" t="str">
        <f>Sources!C24</f>
        <v>steam_network_share</v>
      </c>
      <c r="D28" s="15" t="s">
        <v>1</v>
      </c>
      <c r="E28" s="99">
        <f>ROUND(Notes!D24,5)</f>
        <v>5.3080000000000002E-2</v>
      </c>
      <c r="F28" s="25"/>
      <c r="G28" s="25"/>
      <c r="H28" s="25"/>
      <c r="I28" s="87" t="str">
        <f>Sources!$D$7</f>
        <v>ETM, EU27_european_union_27_countries</v>
      </c>
      <c r="J28" s="92"/>
    </row>
    <row r="29" spans="1:10" ht="17" thickBot="1">
      <c r="B29" s="98"/>
      <c r="C29" s="93"/>
      <c r="D29" s="93" t="s">
        <v>1</v>
      </c>
      <c r="E29" s="99"/>
      <c r="F29" s="93"/>
      <c r="G29" s="93"/>
      <c r="H29" s="93"/>
      <c r="I29" s="87"/>
      <c r="J29" s="94"/>
    </row>
    <row r="30" spans="1:10">
      <c r="C30" s="77"/>
    </row>
    <row r="31" spans="1:10">
      <c r="C31" s="77"/>
    </row>
    <row r="32" spans="1:10">
      <c r="C32" s="77"/>
    </row>
    <row r="33" spans="3:3">
      <c r="C33" s="77"/>
    </row>
    <row r="34" spans="3:3">
      <c r="C34" s="77"/>
    </row>
    <row r="35" spans="3:3">
      <c r="C35" s="77"/>
    </row>
    <row r="36" spans="3:3">
      <c r="C36" s="77"/>
    </row>
    <row r="37" spans="3:3">
      <c r="C37" s="77"/>
    </row>
    <row r="38" spans="3:3">
      <c r="C38" s="77"/>
    </row>
    <row r="39" spans="3:3">
      <c r="C39" s="77"/>
    </row>
    <row r="40" spans="3:3">
      <c r="C40" s="77"/>
    </row>
    <row r="41" spans="3:3">
      <c r="C41" s="77"/>
    </row>
    <row r="42" spans="3:3">
      <c r="C42" s="77"/>
    </row>
    <row r="43" spans="3:3">
      <c r="C43" s="77"/>
    </row>
    <row r="44" spans="3:3">
      <c r="C44" s="77"/>
    </row>
    <row r="45" spans="3:3">
      <c r="C45" s="77"/>
    </row>
    <row r="46" spans="3:3">
      <c r="C46" s="77"/>
    </row>
    <row r="47" spans="3:3">
      <c r="C47" s="77"/>
    </row>
    <row r="48" spans="3:3">
      <c r="C48" s="77"/>
    </row>
    <row r="49" spans="3:3">
      <c r="C49" s="77"/>
    </row>
    <row r="50" spans="3:3">
      <c r="C50" s="77"/>
    </row>
    <row r="51" spans="3:3">
      <c r="C51" s="77"/>
    </row>
    <row r="52" spans="3:3">
      <c r="C52" s="77"/>
    </row>
    <row r="53" spans="3:3">
      <c r="C53" s="77"/>
    </row>
    <row r="54" spans="3:3">
      <c r="C54" s="77"/>
    </row>
    <row r="55" spans="3:3">
      <c r="C55" s="77"/>
    </row>
    <row r="56" spans="3:3">
      <c r="C56" s="77"/>
    </row>
    <row r="57" spans="3:3">
      <c r="C57" s="77"/>
    </row>
    <row r="58" spans="3:3">
      <c r="C58" s="77"/>
    </row>
    <row r="59" spans="3:3">
      <c r="C59" s="77"/>
    </row>
    <row r="60" spans="3:3">
      <c r="C60" s="77"/>
    </row>
  </sheetData>
  <mergeCells count="1">
    <mergeCell ref="B2:E5"/>
  </mergeCells>
  <pageMargins left="0.75" right="0.75" top="1" bottom="1" header="0.5" footer="0.5"/>
  <pageSetup paperSize="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79998168889431442"/>
  </sheetPr>
  <dimension ref="B1:J27"/>
  <sheetViews>
    <sheetView workbookViewId="0">
      <selection activeCell="C23" sqref="C23"/>
    </sheetView>
  </sheetViews>
  <sheetFormatPr baseColWidth="10" defaultColWidth="33.140625" defaultRowHeight="16"/>
  <cols>
    <col min="1" max="1" width="3.42578125" style="26" customWidth="1"/>
    <col min="2" max="2" width="6.42578125" style="26" customWidth="1"/>
    <col min="3" max="3" width="27.85546875" style="26" customWidth="1"/>
    <col min="4" max="4" width="16.140625" style="26" customWidth="1"/>
    <col min="5" max="5" width="10.140625" style="26" customWidth="1"/>
    <col min="6" max="7" width="13.140625" style="26" customWidth="1"/>
    <col min="8" max="8" width="12.42578125" style="30" customWidth="1"/>
    <col min="9" max="9" width="31.42578125" style="30" customWidth="1"/>
    <col min="10" max="10" width="98.42578125" style="26" customWidth="1"/>
    <col min="11" max="16384" width="33.140625" style="26"/>
  </cols>
  <sheetData>
    <row r="1" spans="2:10" ht="17" thickBot="1"/>
    <row r="2" spans="2:10">
      <c r="B2" s="27"/>
      <c r="C2" s="28"/>
      <c r="D2" s="28"/>
      <c r="E2" s="28"/>
      <c r="F2" s="28"/>
      <c r="G2" s="28"/>
      <c r="H2" s="31"/>
      <c r="I2" s="31"/>
      <c r="J2" s="28"/>
    </row>
    <row r="3" spans="2:10">
      <c r="B3" s="29"/>
      <c r="C3" s="9" t="s">
        <v>11</v>
      </c>
      <c r="D3" s="9"/>
      <c r="E3" s="9"/>
      <c r="F3" s="9"/>
      <c r="G3" s="9"/>
      <c r="H3" s="13"/>
      <c r="I3" s="13"/>
    </row>
    <row r="4" spans="2:10">
      <c r="B4" s="29"/>
    </row>
    <row r="5" spans="2:10">
      <c r="B5" s="32"/>
      <c r="C5" s="10" t="s">
        <v>12</v>
      </c>
      <c r="D5" s="10" t="s">
        <v>0</v>
      </c>
      <c r="E5" s="10" t="s">
        <v>8</v>
      </c>
      <c r="F5" s="10" t="s">
        <v>13</v>
      </c>
      <c r="G5" s="10" t="s">
        <v>33</v>
      </c>
      <c r="H5" s="14" t="s">
        <v>14</v>
      </c>
      <c r="I5" s="14" t="s">
        <v>34</v>
      </c>
      <c r="J5" s="10" t="s">
        <v>5</v>
      </c>
    </row>
    <row r="6" spans="2:10">
      <c r="B6" s="29"/>
      <c r="C6" s="9"/>
      <c r="D6" s="9"/>
      <c r="E6" s="9"/>
      <c r="F6" s="9"/>
      <c r="G6" s="9"/>
      <c r="H6" s="13"/>
      <c r="I6" s="13"/>
      <c r="J6" s="9"/>
    </row>
    <row r="7" spans="2:10">
      <c r="B7" s="29"/>
      <c r="C7" s="33" t="s">
        <v>45</v>
      </c>
      <c r="D7" s="100" t="s">
        <v>53</v>
      </c>
      <c r="E7" s="72"/>
      <c r="H7" s="61">
        <v>45901</v>
      </c>
      <c r="I7" s="59"/>
      <c r="J7" s="73"/>
    </row>
    <row r="8" spans="2:10">
      <c r="B8" s="29"/>
      <c r="C8" s="33" t="s">
        <v>46</v>
      </c>
      <c r="H8" s="26"/>
      <c r="I8" s="26"/>
    </row>
    <row r="9" spans="2:10">
      <c r="B9" s="29"/>
      <c r="C9" s="33" t="s">
        <v>51</v>
      </c>
      <c r="D9" s="62"/>
      <c r="E9" s="62"/>
      <c r="H9" s="61"/>
      <c r="I9" s="26"/>
    </row>
    <row r="10" spans="2:10">
      <c r="B10" s="29"/>
      <c r="C10" s="33" t="s">
        <v>37</v>
      </c>
      <c r="H10" s="26"/>
      <c r="I10" s="26"/>
    </row>
    <row r="11" spans="2:10">
      <c r="B11" s="29"/>
      <c r="C11" s="33" t="s">
        <v>38</v>
      </c>
      <c r="H11" s="26"/>
      <c r="I11" s="26"/>
    </row>
    <row r="12" spans="2:10">
      <c r="B12" s="29"/>
      <c r="C12" s="96" t="s">
        <v>52</v>
      </c>
      <c r="D12" s="67"/>
      <c r="E12" s="62"/>
      <c r="H12" s="61"/>
      <c r="I12" s="64"/>
      <c r="J12" s="58"/>
    </row>
    <row r="13" spans="2:10">
      <c r="B13" s="29"/>
      <c r="C13" s="33" t="s">
        <v>39</v>
      </c>
      <c r="E13" s="62"/>
      <c r="H13" s="61"/>
      <c r="I13" s="64"/>
      <c r="J13" s="58"/>
    </row>
    <row r="14" spans="2:10">
      <c r="B14" s="29"/>
      <c r="C14" s="33" t="s">
        <v>40</v>
      </c>
      <c r="D14" s="64"/>
      <c r="E14" s="64"/>
      <c r="H14" s="61"/>
      <c r="I14" s="64"/>
    </row>
    <row r="15" spans="2:10">
      <c r="B15" s="29"/>
      <c r="C15" s="33" t="s">
        <v>41</v>
      </c>
    </row>
    <row r="16" spans="2:10">
      <c r="B16" s="29"/>
      <c r="C16" s="33" t="s">
        <v>42</v>
      </c>
    </row>
    <row r="17" spans="2:10">
      <c r="B17" s="29"/>
      <c r="C17" s="33" t="s">
        <v>43</v>
      </c>
      <c r="D17" s="74"/>
      <c r="E17" s="74"/>
      <c r="H17" s="61"/>
      <c r="J17" s="75"/>
    </row>
    <row r="18" spans="2:10">
      <c r="B18" s="29"/>
      <c r="C18" s="33" t="s">
        <v>44</v>
      </c>
      <c r="H18" s="26"/>
      <c r="I18" s="26"/>
    </row>
    <row r="19" spans="2:10">
      <c r="B19" s="29"/>
      <c r="C19" s="33" t="s">
        <v>61</v>
      </c>
      <c r="H19" s="26"/>
      <c r="I19" s="26"/>
    </row>
    <row r="20" spans="2:10">
      <c r="B20" s="29"/>
      <c r="C20" s="33" t="s">
        <v>62</v>
      </c>
    </row>
    <row r="21" spans="2:10">
      <c r="B21" s="29"/>
      <c r="C21" s="33" t="s">
        <v>63</v>
      </c>
    </row>
    <row r="22" spans="2:10">
      <c r="B22" s="29"/>
      <c r="C22" s="33" t="s">
        <v>64</v>
      </c>
    </row>
    <row r="23" spans="2:10">
      <c r="B23" s="29"/>
      <c r="C23" s="33" t="s">
        <v>66</v>
      </c>
    </row>
    <row r="24" spans="2:10">
      <c r="B24" s="29"/>
      <c r="C24" s="33" t="s">
        <v>65</v>
      </c>
    </row>
    <row r="25" spans="2:10">
      <c r="B25" s="29"/>
    </row>
    <row r="27" spans="2:10">
      <c r="H27" s="76"/>
    </row>
  </sheetData>
  <phoneticPr fontId="26" type="noConversion"/>
  <pageMargins left="0.75" right="0.75" top="1" bottom="1" header="0.5" footer="0.5"/>
  <pageSetup paperSize="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79998168889431442"/>
  </sheetPr>
  <dimension ref="A1:N242"/>
  <sheetViews>
    <sheetView topLeftCell="A4" workbookViewId="0">
      <selection activeCell="C19" sqref="C19"/>
    </sheetView>
  </sheetViews>
  <sheetFormatPr baseColWidth="10" defaultColWidth="10.7109375" defaultRowHeight="16"/>
  <cols>
    <col min="1" max="2" width="3.42578125" style="33" customWidth="1"/>
    <col min="3" max="3" width="47.140625" style="33" customWidth="1"/>
    <col min="4" max="4" width="32.140625" style="33" bestFit="1" customWidth="1"/>
    <col min="5" max="5" width="9.140625" style="33" bestFit="1" customWidth="1"/>
    <col min="6" max="6" width="6.140625" style="33" customWidth="1"/>
    <col min="7" max="8" width="10.7109375" style="33"/>
    <col min="9" max="9" width="14.42578125" style="33" bestFit="1" customWidth="1"/>
    <col min="10" max="10" width="20.85546875" style="33" bestFit="1" customWidth="1"/>
    <col min="11" max="13" width="10.7109375" style="33"/>
    <col min="14" max="14" width="15.7109375" style="33" customWidth="1"/>
    <col min="15" max="15" width="10.7109375" style="33"/>
    <col min="16" max="16" width="54.7109375" style="33" customWidth="1"/>
    <col min="17" max="16384" width="10.7109375" style="33"/>
  </cols>
  <sheetData>
    <row r="1" spans="1:14" ht="17" thickBot="1"/>
    <row r="2" spans="1:14"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</row>
    <row r="3" spans="1:14">
      <c r="A3" s="37"/>
      <c r="B3" s="56"/>
      <c r="C3" s="40"/>
      <c r="D3" s="40"/>
      <c r="E3" s="40"/>
      <c r="F3" s="40"/>
      <c r="G3" s="40"/>
      <c r="H3" s="38"/>
      <c r="I3" s="38"/>
      <c r="J3" s="38"/>
      <c r="K3" s="38"/>
      <c r="L3" s="38"/>
      <c r="M3" s="38"/>
      <c r="N3" s="57"/>
    </row>
    <row r="4" spans="1:14">
      <c r="B4" s="39"/>
    </row>
    <row r="5" spans="1:14">
      <c r="B5" s="39"/>
      <c r="C5" s="33" t="s">
        <v>54</v>
      </c>
    </row>
    <row r="6" spans="1:14">
      <c r="B6" s="39"/>
      <c r="H6" s="33" t="s">
        <v>67</v>
      </c>
    </row>
    <row r="7" spans="1:14">
      <c r="B7" s="39"/>
      <c r="C7" s="37" t="s">
        <v>55</v>
      </c>
    </row>
    <row r="8" spans="1:14">
      <c r="B8" s="39"/>
      <c r="C8" s="33" t="s">
        <v>37</v>
      </c>
      <c r="D8" s="33">
        <v>3.6066772222489399E-2</v>
      </c>
    </row>
    <row r="9" spans="1:14">
      <c r="B9" s="39"/>
      <c r="C9" s="33" t="s">
        <v>38</v>
      </c>
      <c r="D9" s="33">
        <v>0.40373804058575002</v>
      </c>
    </row>
    <row r="10" spans="1:14">
      <c r="B10" s="39"/>
      <c r="C10" s="96" t="s">
        <v>52</v>
      </c>
      <c r="D10" s="33">
        <v>0.18021811791475101</v>
      </c>
    </row>
    <row r="11" spans="1:14">
      <c r="B11" s="39"/>
      <c r="C11" s="33" t="s">
        <v>39</v>
      </c>
      <c r="D11" s="33">
        <v>7.8962481561794903E-2</v>
      </c>
    </row>
    <row r="12" spans="1:14">
      <c r="B12" s="39"/>
      <c r="C12" s="33" t="s">
        <v>40</v>
      </c>
      <c r="D12" s="33">
        <v>2.6828970086784198E-2</v>
      </c>
    </row>
    <row r="13" spans="1:14">
      <c r="B13" s="39"/>
      <c r="C13" s="33" t="s">
        <v>41</v>
      </c>
      <c r="D13" s="33">
        <v>7.4035289177266303E-2</v>
      </c>
    </row>
    <row r="14" spans="1:14">
      <c r="B14" s="39"/>
      <c r="C14" s="33" t="s">
        <v>42</v>
      </c>
      <c r="D14" s="33">
        <v>0.10233912209253899</v>
      </c>
    </row>
    <row r="15" spans="1:14">
      <c r="B15" s="39"/>
      <c r="C15" s="33" t="s">
        <v>43</v>
      </c>
      <c r="D15" s="33">
        <v>9.0226731919270803E-2</v>
      </c>
    </row>
    <row r="16" spans="1:14">
      <c r="B16" s="39"/>
      <c r="C16" s="33" t="s">
        <v>44</v>
      </c>
      <c r="D16" s="33">
        <f>1-SUM(D8:D15)</f>
        <v>7.5844744393543939E-3</v>
      </c>
    </row>
    <row r="17" spans="2:4">
      <c r="B17" s="39"/>
    </row>
    <row r="18" spans="2:4">
      <c r="B18" s="39"/>
      <c r="C18" s="37" t="s">
        <v>60</v>
      </c>
    </row>
    <row r="19" spans="2:4">
      <c r="B19" s="39"/>
      <c r="C19" s="33" t="s">
        <v>61</v>
      </c>
      <c r="D19" s="33">
        <v>0.28675632027685899</v>
      </c>
    </row>
    <row r="20" spans="2:4">
      <c r="B20" s="39"/>
      <c r="C20" s="33" t="s">
        <v>62</v>
      </c>
      <c r="D20" s="33">
        <v>0.65964491594377705</v>
      </c>
    </row>
    <row r="21" spans="2:4">
      <c r="B21" s="39"/>
      <c r="C21" s="33" t="s">
        <v>63</v>
      </c>
      <c r="D21" s="33">
        <f>1-SUM(D19,D20,D22,D23,D24)</f>
        <v>8.1815074933988541E-5</v>
      </c>
    </row>
    <row r="22" spans="2:4">
      <c r="B22" s="39"/>
      <c r="C22" s="33" t="s">
        <v>64</v>
      </c>
      <c r="D22" s="33">
        <v>4.3377175575433298E-4</v>
      </c>
    </row>
    <row r="23" spans="2:4">
      <c r="B23" s="39"/>
      <c r="C23" s="33" t="s">
        <v>66</v>
      </c>
      <c r="D23" s="33">
        <v>0</v>
      </c>
    </row>
    <row r="24" spans="2:4">
      <c r="B24" s="39"/>
      <c r="C24" s="33" t="s">
        <v>65</v>
      </c>
      <c r="D24" s="33">
        <v>5.3083176948675703E-2</v>
      </c>
    </row>
    <row r="25" spans="2:4">
      <c r="B25" s="39"/>
    </row>
    <row r="26" spans="2:4">
      <c r="B26" s="39"/>
    </row>
    <row r="27" spans="2:4">
      <c r="B27" s="39"/>
    </row>
    <row r="28" spans="2:4">
      <c r="B28" s="39"/>
      <c r="C28" s="101" t="s">
        <v>56</v>
      </c>
    </row>
    <row r="29" spans="2:4">
      <c r="B29" s="39"/>
      <c r="C29" s="101" t="s">
        <v>57</v>
      </c>
    </row>
    <row r="30" spans="2:4">
      <c r="B30" s="39"/>
    </row>
    <row r="31" spans="2:4">
      <c r="B31" s="39"/>
      <c r="C31" s="33" t="s">
        <v>47</v>
      </c>
      <c r="D31" s="97">
        <v>123192275000</v>
      </c>
    </row>
    <row r="32" spans="2:4">
      <c r="B32" s="39"/>
      <c r="C32" s="33" t="s">
        <v>48</v>
      </c>
      <c r="D32" s="97">
        <v>1281191761860</v>
      </c>
    </row>
    <row r="33" spans="2:9" ht="17">
      <c r="B33" s="39"/>
      <c r="C33" s="33" t="s">
        <v>58</v>
      </c>
      <c r="D33" s="102">
        <v>23987762856000</v>
      </c>
    </row>
    <row r="34" spans="2:9">
      <c r="B34" s="39"/>
      <c r="H34" s="33" t="s">
        <v>68</v>
      </c>
    </row>
    <row r="35" spans="2:9">
      <c r="B35" s="39"/>
      <c r="C35" s="33" t="s">
        <v>49</v>
      </c>
      <c r="D35" s="33">
        <f>D31/D33</f>
        <v>5.1356300185027978E-3</v>
      </c>
    </row>
    <row r="36" spans="2:9">
      <c r="B36" s="39"/>
      <c r="C36" s="33" t="s">
        <v>50</v>
      </c>
      <c r="D36" s="33">
        <f>D32/D33</f>
        <v>5.3410222935380516E-2</v>
      </c>
    </row>
    <row r="37" spans="2:9">
      <c r="B37" s="39"/>
      <c r="H37" s="37"/>
    </row>
    <row r="38" spans="2:9">
      <c r="B38" s="39"/>
      <c r="C38" s="33" t="s">
        <v>59</v>
      </c>
      <c r="D38" s="33">
        <v>1</v>
      </c>
      <c r="G38" s="68"/>
      <c r="H38" s="68"/>
      <c r="I38" s="68"/>
    </row>
    <row r="39" spans="2:9">
      <c r="B39" s="39"/>
      <c r="C39" s="33" t="s">
        <v>46</v>
      </c>
      <c r="D39" s="33">
        <f>D35</f>
        <v>5.1356300185027978E-3</v>
      </c>
      <c r="G39" s="68"/>
      <c r="H39" s="68"/>
      <c r="I39" s="68"/>
    </row>
    <row r="40" spans="2:9">
      <c r="B40" s="39"/>
      <c r="C40" s="33" t="s">
        <v>51</v>
      </c>
      <c r="D40" s="33">
        <f>D36</f>
        <v>5.3410222935380516E-2</v>
      </c>
      <c r="G40" s="68"/>
      <c r="H40" s="68"/>
      <c r="I40" s="68"/>
    </row>
    <row r="41" spans="2:9">
      <c r="B41" s="39"/>
      <c r="G41" s="68"/>
      <c r="H41" s="68"/>
      <c r="I41" s="68"/>
    </row>
    <row r="42" spans="2:9">
      <c r="B42" s="39"/>
    </row>
    <row r="43" spans="2:9">
      <c r="B43" s="39"/>
    </row>
    <row r="44" spans="2:9">
      <c r="B44" s="39"/>
    </row>
    <row r="45" spans="2:9">
      <c r="B45" s="39"/>
    </row>
    <row r="46" spans="2:9">
      <c r="B46" s="39"/>
      <c r="E46" s="60"/>
    </row>
    <row r="47" spans="2:9">
      <c r="B47" s="39"/>
    </row>
    <row r="48" spans="2:9">
      <c r="B48" s="39"/>
    </row>
    <row r="49" spans="2:10">
      <c r="B49" s="39"/>
    </row>
    <row r="50" spans="2:10">
      <c r="B50" s="39"/>
      <c r="J50"/>
    </row>
    <row r="51" spans="2:10">
      <c r="B51" s="39"/>
    </row>
    <row r="52" spans="2:10">
      <c r="B52" s="39"/>
    </row>
    <row r="53" spans="2:10">
      <c r="B53" s="39"/>
    </row>
    <row r="54" spans="2:10">
      <c r="B54" s="39"/>
    </row>
    <row r="55" spans="2:10">
      <c r="B55" s="39"/>
    </row>
    <row r="56" spans="2:10">
      <c r="B56" s="39"/>
    </row>
    <row r="57" spans="2:10">
      <c r="B57" s="39"/>
    </row>
    <row r="58" spans="2:10">
      <c r="B58" s="39"/>
    </row>
    <row r="59" spans="2:10">
      <c r="B59" s="39"/>
    </row>
    <row r="60" spans="2:10">
      <c r="B60" s="39"/>
    </row>
    <row r="61" spans="2:10">
      <c r="B61" s="39"/>
    </row>
    <row r="62" spans="2:10">
      <c r="B62" s="39"/>
    </row>
    <row r="63" spans="2:10">
      <c r="B63" s="39"/>
    </row>
    <row r="64" spans="2:10">
      <c r="B64" s="39"/>
    </row>
    <row r="65" spans="2:6">
      <c r="B65" s="39"/>
    </row>
    <row r="66" spans="2:6">
      <c r="B66" s="39"/>
    </row>
    <row r="67" spans="2:6">
      <c r="B67" s="39"/>
    </row>
    <row r="68" spans="2:6">
      <c r="B68" s="39"/>
    </row>
    <row r="69" spans="2:6">
      <c r="B69" s="39"/>
    </row>
    <row r="70" spans="2:6">
      <c r="B70" s="39"/>
    </row>
    <row r="71" spans="2:6">
      <c r="B71" s="39"/>
    </row>
    <row r="72" spans="2:6">
      <c r="B72" s="39"/>
    </row>
    <row r="73" spans="2:6">
      <c r="B73" s="39"/>
    </row>
    <row r="74" spans="2:6">
      <c r="B74" s="39"/>
      <c r="C74" s="74"/>
    </row>
    <row r="75" spans="2:6">
      <c r="B75" s="39"/>
    </row>
    <row r="76" spans="2:6">
      <c r="B76" s="39"/>
    </row>
    <row r="77" spans="2:6">
      <c r="B77" s="39"/>
      <c r="E77" s="69"/>
    </row>
    <row r="78" spans="2:6">
      <c r="B78" s="39"/>
    </row>
    <row r="79" spans="2:6">
      <c r="B79" s="39"/>
    </row>
    <row r="80" spans="2:6">
      <c r="B80" s="39"/>
      <c r="F80" s="65"/>
    </row>
    <row r="81" spans="2:5">
      <c r="B81" s="39"/>
    </row>
    <row r="82" spans="2:5">
      <c r="B82" s="39"/>
    </row>
    <row r="83" spans="2:5">
      <c r="B83" s="39"/>
    </row>
    <row r="84" spans="2:5">
      <c r="B84" s="39"/>
    </row>
    <row r="85" spans="2:5">
      <c r="B85" s="39"/>
    </row>
    <row r="86" spans="2:5">
      <c r="B86" s="39"/>
    </row>
    <row r="87" spans="2:5">
      <c r="B87" s="39"/>
    </row>
    <row r="88" spans="2:5">
      <c r="B88" s="39"/>
    </row>
    <row r="89" spans="2:5">
      <c r="B89" s="39"/>
    </row>
    <row r="90" spans="2:5">
      <c r="B90" s="39"/>
    </row>
    <row r="91" spans="2:5">
      <c r="B91" s="39"/>
    </row>
    <row r="92" spans="2:5">
      <c r="B92" s="39"/>
      <c r="E92" s="66"/>
    </row>
    <row r="93" spans="2:5">
      <c r="B93" s="39"/>
    </row>
    <row r="94" spans="2:5">
      <c r="B94" s="39"/>
    </row>
    <row r="95" spans="2:5">
      <c r="B95" s="39"/>
    </row>
    <row r="96" spans="2:5">
      <c r="B96" s="39"/>
    </row>
    <row r="97" spans="2:2">
      <c r="B97" s="39"/>
    </row>
    <row r="98" spans="2:2">
      <c r="B98" s="39"/>
    </row>
    <row r="99" spans="2:2">
      <c r="B99" s="39"/>
    </row>
    <row r="100" spans="2:2">
      <c r="B100" s="39"/>
    </row>
    <row r="101" spans="2:2">
      <c r="B101" s="39"/>
    </row>
    <row r="102" spans="2:2">
      <c r="B102" s="39"/>
    </row>
    <row r="103" spans="2:2">
      <c r="B103" s="39"/>
    </row>
    <row r="104" spans="2:2">
      <c r="B104" s="39"/>
    </row>
    <row r="105" spans="2:2">
      <c r="B105" s="39"/>
    </row>
    <row r="106" spans="2:2">
      <c r="B106" s="39"/>
    </row>
    <row r="107" spans="2:2">
      <c r="B107" s="39"/>
    </row>
    <row r="108" spans="2:2">
      <c r="B108" s="39"/>
    </row>
    <row r="109" spans="2:2">
      <c r="B109" s="39"/>
    </row>
    <row r="110" spans="2:2">
      <c r="B110" s="39"/>
    </row>
    <row r="111" spans="2:2">
      <c r="B111" s="39"/>
    </row>
    <row r="112" spans="2:2">
      <c r="B112" s="39"/>
    </row>
    <row r="113" spans="2:2">
      <c r="B113" s="39"/>
    </row>
    <row r="114" spans="2:2">
      <c r="B114" s="39"/>
    </row>
    <row r="115" spans="2:2">
      <c r="B115" s="39"/>
    </row>
    <row r="116" spans="2:2">
      <c r="B116" s="39"/>
    </row>
    <row r="117" spans="2:2">
      <c r="B117" s="39"/>
    </row>
    <row r="118" spans="2:2">
      <c r="B118" s="39"/>
    </row>
    <row r="119" spans="2:2">
      <c r="B119" s="39"/>
    </row>
    <row r="120" spans="2:2">
      <c r="B120" s="39"/>
    </row>
    <row r="121" spans="2:2">
      <c r="B121" s="39"/>
    </row>
    <row r="122" spans="2:2">
      <c r="B122" s="39"/>
    </row>
    <row r="123" spans="2:2">
      <c r="B123" s="39"/>
    </row>
    <row r="124" spans="2:2">
      <c r="B124" s="39"/>
    </row>
    <row r="125" spans="2:2">
      <c r="B125" s="39"/>
    </row>
    <row r="126" spans="2:2">
      <c r="B126" s="39"/>
    </row>
    <row r="127" spans="2:2">
      <c r="B127" s="39"/>
    </row>
    <row r="128" spans="2:2">
      <c r="B128" s="39"/>
    </row>
    <row r="129" spans="2:2">
      <c r="B129" s="39"/>
    </row>
    <row r="130" spans="2:2">
      <c r="B130" s="39"/>
    </row>
    <row r="131" spans="2:2">
      <c r="B131" s="39"/>
    </row>
    <row r="132" spans="2:2">
      <c r="B132" s="39"/>
    </row>
    <row r="133" spans="2:2">
      <c r="B133" s="39"/>
    </row>
    <row r="134" spans="2:2">
      <c r="B134" s="39"/>
    </row>
    <row r="135" spans="2:2">
      <c r="B135" s="39"/>
    </row>
    <row r="136" spans="2:2">
      <c r="B136" s="39"/>
    </row>
    <row r="137" spans="2:2">
      <c r="B137" s="39"/>
    </row>
    <row r="138" spans="2:2">
      <c r="B138" s="39"/>
    </row>
    <row r="139" spans="2:2">
      <c r="B139" s="39"/>
    </row>
    <row r="140" spans="2:2">
      <c r="B140" s="39"/>
    </row>
    <row r="141" spans="2:2">
      <c r="B141" s="39"/>
    </row>
    <row r="142" spans="2:2">
      <c r="B142" s="39"/>
    </row>
    <row r="143" spans="2:2">
      <c r="B143" s="39"/>
    </row>
    <row r="144" spans="2:2">
      <c r="B144" s="39"/>
    </row>
    <row r="145" spans="1:2">
      <c r="A145" s="68"/>
      <c r="B145" s="70"/>
    </row>
    <row r="146" spans="1:2">
      <c r="A146" s="68"/>
      <c r="B146" s="70"/>
    </row>
    <row r="147" spans="1:2">
      <c r="A147" s="68"/>
      <c r="B147" s="70"/>
    </row>
    <row r="148" spans="1:2">
      <c r="A148" s="68"/>
      <c r="B148" s="70"/>
    </row>
    <row r="149" spans="1:2">
      <c r="A149" s="68"/>
      <c r="B149" s="70"/>
    </row>
    <row r="150" spans="1:2">
      <c r="A150" s="68"/>
      <c r="B150" s="70"/>
    </row>
    <row r="151" spans="1:2">
      <c r="A151" s="68"/>
      <c r="B151" s="70"/>
    </row>
    <row r="152" spans="1:2">
      <c r="A152" s="68"/>
      <c r="B152" s="70"/>
    </row>
    <row r="153" spans="1:2">
      <c r="A153" s="68"/>
      <c r="B153" s="70"/>
    </row>
    <row r="154" spans="1:2">
      <c r="A154" s="68"/>
      <c r="B154" s="70"/>
    </row>
    <row r="155" spans="1:2">
      <c r="A155" s="68"/>
      <c r="B155" s="70"/>
    </row>
    <row r="156" spans="1:2">
      <c r="A156" s="68"/>
      <c r="B156" s="70"/>
    </row>
    <row r="157" spans="1:2">
      <c r="A157" s="68"/>
      <c r="B157" s="70"/>
    </row>
    <row r="158" spans="1:2">
      <c r="A158" s="68"/>
      <c r="B158" s="70"/>
    </row>
    <row r="159" spans="1:2">
      <c r="A159" s="68"/>
      <c r="B159" s="70"/>
    </row>
    <row r="160" spans="1:2">
      <c r="A160" s="68"/>
      <c r="B160" s="70"/>
    </row>
    <row r="161" spans="1:2">
      <c r="A161" s="68"/>
      <c r="B161" s="70"/>
    </row>
    <row r="162" spans="1:2">
      <c r="A162" s="68"/>
      <c r="B162" s="70"/>
    </row>
    <row r="163" spans="1:2">
      <c r="A163" s="68"/>
      <c r="B163" s="70"/>
    </row>
    <row r="164" spans="1:2">
      <c r="A164" s="68"/>
      <c r="B164" s="70"/>
    </row>
    <row r="165" spans="1:2">
      <c r="A165" s="68"/>
      <c r="B165" s="70"/>
    </row>
    <row r="166" spans="1:2">
      <c r="A166" s="68"/>
      <c r="B166" s="70"/>
    </row>
    <row r="167" spans="1:2">
      <c r="A167" s="68"/>
      <c r="B167" s="70"/>
    </row>
    <row r="168" spans="1:2">
      <c r="A168" s="68"/>
      <c r="B168" s="70"/>
    </row>
    <row r="169" spans="1:2">
      <c r="A169" s="68"/>
      <c r="B169" s="70"/>
    </row>
    <row r="170" spans="1:2">
      <c r="A170" s="68"/>
      <c r="B170" s="70"/>
    </row>
    <row r="171" spans="1:2">
      <c r="A171" s="68"/>
      <c r="B171" s="70"/>
    </row>
    <row r="172" spans="1:2">
      <c r="A172" s="68"/>
      <c r="B172" s="70"/>
    </row>
    <row r="173" spans="1:2">
      <c r="A173" s="68"/>
      <c r="B173" s="70"/>
    </row>
    <row r="174" spans="1:2">
      <c r="A174" s="68"/>
      <c r="B174" s="70"/>
    </row>
    <row r="175" spans="1:2">
      <c r="A175" s="68"/>
      <c r="B175" s="70"/>
    </row>
    <row r="176" spans="1:2">
      <c r="A176" s="68"/>
      <c r="B176" s="70"/>
    </row>
    <row r="177" spans="1:2">
      <c r="A177" s="68"/>
      <c r="B177" s="70"/>
    </row>
    <row r="178" spans="1:2">
      <c r="A178" s="68"/>
      <c r="B178" s="70"/>
    </row>
    <row r="179" spans="1:2">
      <c r="A179" s="68"/>
      <c r="B179" s="70"/>
    </row>
    <row r="180" spans="1:2">
      <c r="A180" s="68"/>
      <c r="B180" s="70"/>
    </row>
    <row r="181" spans="1:2">
      <c r="A181" s="68"/>
      <c r="B181" s="70"/>
    </row>
    <row r="182" spans="1:2">
      <c r="A182" s="68"/>
      <c r="B182" s="70"/>
    </row>
    <row r="183" spans="1:2">
      <c r="A183" s="68"/>
      <c r="B183" s="70"/>
    </row>
    <row r="184" spans="1:2">
      <c r="A184" s="68"/>
      <c r="B184" s="70"/>
    </row>
    <row r="185" spans="1:2">
      <c r="A185" s="68"/>
      <c r="B185" s="70"/>
    </row>
    <row r="186" spans="1:2">
      <c r="A186" s="68"/>
      <c r="B186" s="70"/>
    </row>
    <row r="187" spans="1:2">
      <c r="A187" s="68"/>
      <c r="B187" s="70"/>
    </row>
    <row r="188" spans="1:2">
      <c r="A188" s="68"/>
      <c r="B188" s="70"/>
    </row>
    <row r="189" spans="1:2">
      <c r="A189" s="68"/>
      <c r="B189" s="70"/>
    </row>
    <row r="190" spans="1:2">
      <c r="A190" s="68"/>
      <c r="B190" s="70"/>
    </row>
    <row r="191" spans="1:2">
      <c r="A191" s="68"/>
      <c r="B191" s="70"/>
    </row>
    <row r="192" spans="1:2">
      <c r="A192" s="68"/>
      <c r="B192" s="70"/>
    </row>
    <row r="193" spans="1:2">
      <c r="A193" s="68"/>
      <c r="B193" s="70"/>
    </row>
    <row r="194" spans="1:2">
      <c r="A194" s="68"/>
      <c r="B194" s="70"/>
    </row>
    <row r="195" spans="1:2">
      <c r="A195" s="68"/>
      <c r="B195" s="70"/>
    </row>
    <row r="196" spans="1:2">
      <c r="A196" s="68"/>
      <c r="B196" s="70"/>
    </row>
    <row r="197" spans="1:2">
      <c r="A197" s="68"/>
      <c r="B197" s="70"/>
    </row>
    <row r="198" spans="1:2">
      <c r="A198" s="68"/>
      <c r="B198" s="70"/>
    </row>
    <row r="199" spans="1:2">
      <c r="A199" s="68"/>
      <c r="B199" s="70"/>
    </row>
    <row r="200" spans="1:2">
      <c r="A200" s="68"/>
      <c r="B200" s="70"/>
    </row>
    <row r="201" spans="1:2">
      <c r="A201" s="68"/>
      <c r="B201" s="70"/>
    </row>
    <row r="202" spans="1:2">
      <c r="A202" s="68"/>
      <c r="B202" s="70"/>
    </row>
    <row r="203" spans="1:2">
      <c r="A203" s="68"/>
      <c r="B203" s="70"/>
    </row>
    <row r="204" spans="1:2">
      <c r="A204" s="68"/>
      <c r="B204" s="70"/>
    </row>
    <row r="205" spans="1:2">
      <c r="A205" s="68"/>
      <c r="B205" s="70"/>
    </row>
    <row r="206" spans="1:2">
      <c r="A206" s="68"/>
      <c r="B206" s="70"/>
    </row>
    <row r="207" spans="1:2">
      <c r="A207" s="68"/>
      <c r="B207" s="70"/>
    </row>
    <row r="208" spans="1:2">
      <c r="A208" s="68"/>
      <c r="B208" s="70"/>
    </row>
    <row r="209" spans="1:2">
      <c r="A209" s="68"/>
      <c r="B209" s="70"/>
    </row>
    <row r="210" spans="1:2">
      <c r="A210" s="68"/>
      <c r="B210" s="70"/>
    </row>
    <row r="211" spans="1:2">
      <c r="A211" s="68"/>
      <c r="B211" s="70"/>
    </row>
    <row r="212" spans="1:2">
      <c r="A212" s="68"/>
      <c r="B212" s="70"/>
    </row>
    <row r="213" spans="1:2">
      <c r="A213" s="68"/>
      <c r="B213" s="70"/>
    </row>
    <row r="214" spans="1:2">
      <c r="A214" s="68"/>
      <c r="B214" s="70"/>
    </row>
    <row r="215" spans="1:2">
      <c r="A215" s="68"/>
      <c r="B215" s="70"/>
    </row>
    <row r="216" spans="1:2">
      <c r="A216" s="68"/>
      <c r="B216" s="70"/>
    </row>
    <row r="217" spans="1:2">
      <c r="A217" s="68"/>
      <c r="B217" s="70"/>
    </row>
    <row r="218" spans="1:2">
      <c r="A218" s="68"/>
      <c r="B218" s="70"/>
    </row>
    <row r="219" spans="1:2">
      <c r="A219" s="68"/>
      <c r="B219" s="70"/>
    </row>
    <row r="220" spans="1:2">
      <c r="A220" s="68"/>
      <c r="B220" s="70"/>
    </row>
    <row r="221" spans="1:2">
      <c r="A221" s="68"/>
      <c r="B221" s="70"/>
    </row>
    <row r="222" spans="1:2">
      <c r="A222" s="68"/>
      <c r="B222" s="70"/>
    </row>
    <row r="223" spans="1:2">
      <c r="A223" s="68"/>
      <c r="B223" s="70"/>
    </row>
    <row r="224" spans="1:2">
      <c r="A224" s="68"/>
      <c r="B224" s="70"/>
    </row>
    <row r="225" spans="1:2">
      <c r="A225" s="68"/>
      <c r="B225" s="70"/>
    </row>
    <row r="226" spans="1:2">
      <c r="A226" s="68"/>
      <c r="B226" s="70"/>
    </row>
    <row r="227" spans="1:2">
      <c r="A227" s="68"/>
      <c r="B227" s="70"/>
    </row>
    <row r="228" spans="1:2">
      <c r="A228" s="68"/>
      <c r="B228" s="70"/>
    </row>
    <row r="229" spans="1:2">
      <c r="A229" s="68"/>
      <c r="B229" s="70"/>
    </row>
    <row r="230" spans="1:2">
      <c r="A230" s="68"/>
      <c r="B230" s="70"/>
    </row>
    <row r="231" spans="1:2">
      <c r="A231" s="68"/>
      <c r="B231" s="70"/>
    </row>
    <row r="232" spans="1:2">
      <c r="A232" s="68"/>
      <c r="B232" s="70"/>
    </row>
    <row r="233" spans="1:2">
      <c r="A233" s="68"/>
      <c r="B233" s="70"/>
    </row>
    <row r="234" spans="1:2">
      <c r="A234" s="68"/>
      <c r="B234" s="70"/>
    </row>
    <row r="235" spans="1:2">
      <c r="A235" s="68"/>
      <c r="B235" s="70"/>
    </row>
    <row r="236" spans="1:2">
      <c r="A236" s="68"/>
      <c r="B236" s="70"/>
    </row>
    <row r="237" spans="1:2">
      <c r="A237" s="68"/>
      <c r="B237" s="70"/>
    </row>
    <row r="238" spans="1:2">
      <c r="A238" s="68"/>
      <c r="B238" s="70"/>
    </row>
    <row r="239" spans="1:2">
      <c r="A239" s="68"/>
      <c r="B239" s="70"/>
    </row>
    <row r="240" spans="1:2">
      <c r="A240" s="68"/>
      <c r="B240" s="70"/>
    </row>
    <row r="241" spans="1:2">
      <c r="A241" s="68"/>
      <c r="B241" s="70"/>
    </row>
    <row r="242" spans="1:2">
      <c r="A242" s="68"/>
      <c r="B242" s="70"/>
    </row>
  </sheetData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sheet</vt:lpstr>
      <vt:lpstr>Dashboard</vt:lpstr>
      <vt:lpstr>Sources</vt:lpstr>
      <vt:lpstr>Notes</vt:lpstr>
    </vt:vector>
  </TitlesOfParts>
  <Company>Quintel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Rothengatter</dc:creator>
  <cp:lastModifiedBy>Kyra de Haan</cp:lastModifiedBy>
  <cp:lastPrinted>2015-02-13T09:40:54Z</cp:lastPrinted>
  <dcterms:created xsi:type="dcterms:W3CDTF">2011-10-26T09:05:09Z</dcterms:created>
  <dcterms:modified xsi:type="dcterms:W3CDTF">2025-09-09T14:53:39Z</dcterms:modified>
</cp:coreProperties>
</file>