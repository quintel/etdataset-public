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0"/>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analyses/"/>
    </mc:Choice>
  </mc:AlternateContent>
  <xr:revisionPtr revIDLastSave="0" documentId="13_ncr:1_{75CBBE78-021D-8640-97BC-7C1E47A0EE28}" xr6:coauthVersionLast="47" xr6:coauthVersionMax="47" xr10:uidLastSave="{00000000-0000-0000-0000-000000000000}"/>
  <bookViews>
    <workbookView xWindow="0" yWindow="0" windowWidth="51200" windowHeight="28800" tabRatio="929" xr2:uid="{00000000-000D-0000-FFFF-FFFF00000000}"/>
  </bookViews>
  <sheets>
    <sheet name="Cover Sheet" sheetId="34" r:id="rId1"/>
    <sheet name="Changelog" sheetId="1" r:id="rId2"/>
    <sheet name="Contents" sheetId="18" r:id="rId3"/>
    <sheet name="Introduction" sheetId="10" r:id="rId4"/>
    <sheet name="Dataflow" sheetId="36" r:id="rId5"/>
    <sheet name="Assumptions" sheetId="3" r:id="rId6"/>
    <sheet name="Dashboard" sheetId="28" r:id="rId7"/>
    <sheet name="Corrected energy balance step 2" sheetId="12" r:id="rId8"/>
    <sheet name="technical_specs" sheetId="13" r:id="rId9"/>
    <sheet name="Application shares" sheetId="49" r:id="rId10"/>
    <sheet name="Technology shares" sheetId="43" r:id="rId11"/>
    <sheet name="Final demand per energy carrier" sheetId="30" r:id="rId12"/>
    <sheet name="Technology split final demand" sheetId="32" r:id="rId13"/>
    <sheet name="Final demand extracted from EB" sheetId="47" r:id="rId14"/>
    <sheet name="Fuel aggregation" sheetId="37" r:id="rId15"/>
    <sheet name="Tech split of useful demand" sheetId="48" r:id="rId16"/>
    <sheet name="csv_ps_final_demand_lighting" sheetId="22" r:id="rId17"/>
    <sheet name="csv_ps_space_heating_electricit" sheetId="50" r:id="rId18"/>
    <sheet name="csv_ps_cooling_electricity" sheetId="51" r:id="rId19"/>
    <sheet name="csv_ps_space_heating_gas" sheetId="52" r:id="rId20"/>
    <sheet name="csv_ps_final_demand_coal" sheetId="54" r:id="rId21"/>
    <sheet name="csv_ps_final_demand_gas" sheetId="57" r:id="rId22"/>
    <sheet name="csv_ps_final_demand_oil" sheetId="56" r:id="rId23"/>
    <sheet name="csv_ps_final_demand_electricity" sheetId="55" r:id="rId24"/>
    <sheet name="csv_ps_final_demand_wood_p" sheetId="58" r:id="rId25"/>
    <sheet name="csv_cooling_useful_insulation" sheetId="63" r:id="rId26"/>
    <sheet name="csv_ps_sector_electricity" sheetId="68" r:id="rId27"/>
  </sheets>
  <externalReferences>
    <externalReference r:id="rId28"/>
  </externalReferences>
  <definedNames>
    <definedName name="base_year">Dashboard!$E$12</definedName>
    <definedName name="country">Dashboard!$E$11</definedName>
    <definedName name="Eff_cooling_air_heatpump">technical_specs!$L$27</definedName>
    <definedName name="Eff_cooling_airco">technical_specs!$L$26</definedName>
    <definedName name="Eff_cooling_pump">technical_specs!$L$24</definedName>
    <definedName name="Eff_cooling_pump_storage">technical_specs!$L$25</definedName>
    <definedName name="Eff_lighting_lamp_fluorescent">technical_specs!#REF!</definedName>
    <definedName name="Eff_lighting_lamp_incandescent">technical_specs!#REF!</definedName>
    <definedName name="Eff_lighting_led">technical_specs!$L$32</definedName>
    <definedName name="Eff_lighting_tube_fluorescent_efficient">technical_specs!$L$31</definedName>
    <definedName name="Eff_lighting_tube_fluorescent_standartd">technical_specs!$L$30</definedName>
    <definedName name="Eff_space_heating_air_heatpump">technical_specs!$M$18+technical_specs!$L$17</definedName>
    <definedName name="Eff_space_heating_coal">technical_specs!$L$15</definedName>
    <definedName name="Eff_space_heating_district">technical_specs!$L$21</definedName>
    <definedName name="Eff_space_heating_electric">technical_specs!$L$14</definedName>
    <definedName name="Eff_space_heating_gas">technical_specs!$L$11</definedName>
    <definedName name="Eff_space_heating_oil">technical_specs!$L$16</definedName>
    <definedName name="Eff_space_heating_pump_gas">technical_specs!$L$13</definedName>
    <definedName name="Eff_space_heating_pump_storage">technical_specs!$L$12</definedName>
    <definedName name="Eff_space_heating_solar_thermal">technical_specs!$L$19</definedName>
    <definedName name="Eff_space_heating_woodpellets">technical_specs!$L$20</definedName>
    <definedName name="Final_demand_lighting">Dashboard!$E$25</definedName>
    <definedName name="Final_demand_residences">'Fuel aggregation'!$L$11</definedName>
    <definedName name="Final_demand_space_cooling">Dashboard!$E$24</definedName>
    <definedName name="Final_demand_space_heating">Dashboard!$E$23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17" i="32" l="1"/>
  <c r="D27" i="32"/>
  <c r="K17" i="13"/>
  <c r="L17" i="13" s="1"/>
  <c r="E17" i="32" s="1" a="1"/>
  <c r="E17" i="32" s="1"/>
  <c r="K27" i="13"/>
  <c r="L27" i="13" s="1"/>
  <c r="E27" i="32" s="1" a="1"/>
  <c r="E27" i="32" s="1"/>
  <c r="L52" i="28"/>
  <c r="L34" i="28"/>
  <c r="F27" i="32" l="1"/>
  <c r="J11" i="37"/>
  <c r="I11" i="37"/>
  <c r="F11" i="37" l="1"/>
  <c r="E11" i="37"/>
  <c r="E29" i="28" l="1"/>
  <c r="J39" i="30" s="1"/>
  <c r="D28" i="49" s="1"/>
  <c r="D30" i="32"/>
  <c r="D25" i="32"/>
  <c r="D24" i="32"/>
  <c r="D12" i="32"/>
  <c r="D11" i="32"/>
  <c r="D16" i="32"/>
  <c r="D15" i="32"/>
  <c r="D11" i="37"/>
  <c r="F11" i="30" s="1"/>
  <c r="J16" i="13"/>
  <c r="L16" i="13" s="1"/>
  <c r="J11" i="13"/>
  <c r="L11" i="13" s="1"/>
  <c r="G11" i="37"/>
  <c r="D13" i="47" s="1"/>
  <c r="D14" i="47" s="1"/>
  <c r="G19" i="32" s="1"/>
  <c r="D9" i="47"/>
  <c r="E38" i="28" s="1"/>
  <c r="D17" i="47"/>
  <c r="E39" i="28" s="1"/>
  <c r="G11" i="30"/>
  <c r="J15" i="13"/>
  <c r="L15" i="13" s="1"/>
  <c r="E15" i="32" s="1"/>
  <c r="C11" i="37"/>
  <c r="E11" i="30" s="1"/>
  <c r="K12" i="13"/>
  <c r="L12" i="13" s="1"/>
  <c r="E12" i="32" s="1"/>
  <c r="H11" i="37"/>
  <c r="J11" i="30" s="1"/>
  <c r="J14" i="13"/>
  <c r="L14" i="13" s="1"/>
  <c r="D14" i="32"/>
  <c r="K24" i="13"/>
  <c r="L24" i="13" s="1"/>
  <c r="E24" i="32" s="1"/>
  <c r="K25" i="13"/>
  <c r="L25" i="13" s="1"/>
  <c r="E25" i="32" s="1"/>
  <c r="K26" i="13"/>
  <c r="L26" i="13" s="1"/>
  <c r="E26" i="32" s="1"/>
  <c r="D26" i="32"/>
  <c r="J30" i="13"/>
  <c r="L30" i="13" s="1"/>
  <c r="E30" i="32" s="1"/>
  <c r="J31" i="13"/>
  <c r="L31" i="13" s="1"/>
  <c r="E31" i="32" s="1"/>
  <c r="D31" i="32"/>
  <c r="J32" i="13"/>
  <c r="L32" i="13" s="1"/>
  <c r="E32" i="32" s="1"/>
  <c r="D32" i="32"/>
  <c r="K13" i="13"/>
  <c r="L13" i="13" s="1"/>
  <c r="D13" i="32"/>
  <c r="L19" i="28"/>
  <c r="M19" i="28" s="1"/>
  <c r="H11" i="30"/>
  <c r="K11" i="30"/>
  <c r="L11" i="37"/>
  <c r="E21" i="28" s="1"/>
  <c r="E35" i="28"/>
  <c r="L59" i="28"/>
  <c r="P59" i="28" s="1"/>
  <c r="P52" i="28"/>
  <c r="M34" i="28"/>
  <c r="J21" i="13"/>
  <c r="L21" i="13" s="1"/>
  <c r="J20" i="13"/>
  <c r="J19" i="13"/>
  <c r="L19" i="13" s="1"/>
  <c r="B4" i="58"/>
  <c r="B3" i="58"/>
  <c r="L20" i="13"/>
  <c r="J20" i="37"/>
  <c r="J19" i="37"/>
  <c r="C5" i="34"/>
  <c r="C7" i="34"/>
  <c r="C6" i="34"/>
  <c r="F26" i="32" l="1"/>
  <c r="E16" i="32"/>
  <c r="F16" i="32" s="1"/>
  <c r="F17" i="32"/>
  <c r="M52" i="28"/>
  <c r="F30" i="32"/>
  <c r="P34" i="28"/>
  <c r="L29" i="28"/>
  <c r="M29" i="28" s="1"/>
  <c r="F32" i="32"/>
  <c r="F31" i="32"/>
  <c r="M59" i="28"/>
  <c r="E37" i="28"/>
  <c r="E41" i="28" s="1"/>
  <c r="F15" i="32"/>
  <c r="F24" i="32"/>
  <c r="F25" i="32"/>
  <c r="G25" i="32" s="1"/>
  <c r="I11" i="30"/>
  <c r="K11" i="37"/>
  <c r="K24" i="37" s="1"/>
  <c r="F12" i="32"/>
  <c r="D10" i="47"/>
  <c r="G20" i="32" s="1"/>
  <c r="D18" i="48" s="1"/>
  <c r="E18" i="48" s="1"/>
  <c r="F18" i="48" s="1"/>
  <c r="E13" i="32"/>
  <c r="F13" i="32" s="1"/>
  <c r="D17" i="48"/>
  <c r="E17" i="48" s="1"/>
  <c r="F17" i="48" s="1"/>
  <c r="D21" i="30"/>
  <c r="I21" i="30" s="1"/>
  <c r="I36" i="30" s="1"/>
  <c r="E14" i="32"/>
  <c r="F14" i="32" s="1"/>
  <c r="E11" i="32"/>
  <c r="F11" i="32" s="1"/>
  <c r="D18" i="47"/>
  <c r="G21" i="32" s="1"/>
  <c r="G24" i="32" l="1"/>
  <c r="D26" i="30" s="1"/>
  <c r="F26" i="30" s="1"/>
  <c r="D14" i="49" s="1"/>
  <c r="G27" i="32"/>
  <c r="E19" i="43" s="1"/>
  <c r="P29" i="28"/>
  <c r="G26" i="32"/>
  <c r="G30" i="32"/>
  <c r="E22" i="43" s="1"/>
  <c r="G12" i="32"/>
  <c r="G13" i="32"/>
  <c r="E10" i="43" s="1"/>
  <c r="G16" i="32"/>
  <c r="G11" i="32"/>
  <c r="E9" i="43" s="1"/>
  <c r="G17" i="32"/>
  <c r="G14" i="32"/>
  <c r="G15" i="32"/>
  <c r="D22" i="30"/>
  <c r="H22" i="30" s="1"/>
  <c r="H36" i="30" s="1"/>
  <c r="D27" i="30"/>
  <c r="J27" i="30" s="1"/>
  <c r="D23" i="49" s="1"/>
  <c r="E18" i="43"/>
  <c r="G32" i="32"/>
  <c r="G31" i="32"/>
  <c r="E17" i="43"/>
  <c r="D23" i="30"/>
  <c r="K23" i="30" s="1"/>
  <c r="K36" i="30" s="1"/>
  <c r="D19" i="48"/>
  <c r="E19" i="48" s="1"/>
  <c r="F19" i="48" s="1"/>
  <c r="D31" i="30" l="1"/>
  <c r="J31" i="30" s="1"/>
  <c r="F19" i="43"/>
  <c r="B5" i="51" s="1"/>
  <c r="F17" i="43"/>
  <c r="B4" i="51" s="1"/>
  <c r="F18" i="43"/>
  <c r="B3" i="51" s="1"/>
  <c r="D15" i="48"/>
  <c r="E15" i="48" s="1"/>
  <c r="F15" i="48" s="1"/>
  <c r="E14" i="43"/>
  <c r="D9" i="48"/>
  <c r="E9" i="48" s="1"/>
  <c r="F9" i="48" s="1"/>
  <c r="G9" i="48" s="1"/>
  <c r="D15" i="30"/>
  <c r="F15" i="30" s="1"/>
  <c r="D13" i="49" s="1"/>
  <c r="D28" i="30"/>
  <c r="J28" i="30" s="1"/>
  <c r="D11" i="48"/>
  <c r="E11" i="48" s="1"/>
  <c r="F11" i="48" s="1"/>
  <c r="D17" i="30"/>
  <c r="F17" i="30" s="1"/>
  <c r="E13" i="43"/>
  <c r="D18" i="30"/>
  <c r="J18" i="30" s="1"/>
  <c r="D12" i="48"/>
  <c r="E12" i="48" s="1"/>
  <c r="F12" i="48" s="1"/>
  <c r="D24" i="49"/>
  <c r="D10" i="48"/>
  <c r="E10" i="48" s="1"/>
  <c r="F10" i="48" s="1"/>
  <c r="D16" i="30"/>
  <c r="J16" i="30" s="1"/>
  <c r="E12" i="43"/>
  <c r="F10" i="43"/>
  <c r="B4" i="52" s="1"/>
  <c r="F9" i="43"/>
  <c r="B3" i="52" s="1"/>
  <c r="D32" i="30"/>
  <c r="J32" i="30" s="1"/>
  <c r="E23" i="43"/>
  <c r="D19" i="30"/>
  <c r="E19" i="30" s="1"/>
  <c r="D13" i="48"/>
  <c r="E13" i="48" s="1"/>
  <c r="F13" i="48" s="1"/>
  <c r="D20" i="30"/>
  <c r="G20" i="30" s="1"/>
  <c r="D14" i="48"/>
  <c r="E14" i="48" s="1"/>
  <c r="F14" i="48" s="1"/>
  <c r="D33" i="30"/>
  <c r="J33" i="30" s="1"/>
  <c r="E24" i="43"/>
  <c r="G13" i="48" l="1"/>
  <c r="F13" i="43"/>
  <c r="F14" i="43"/>
  <c r="B5" i="50" s="1"/>
  <c r="F12" i="43"/>
  <c r="B4" i="50" s="1"/>
  <c r="F36" i="30"/>
  <c r="F43" i="30" s="1"/>
  <c r="D15" i="49" s="1"/>
  <c r="G14" i="48"/>
  <c r="G17" i="48"/>
  <c r="G10" i="48"/>
  <c r="G15" i="48"/>
  <c r="G12" i="48"/>
  <c r="G19" i="48"/>
  <c r="G18" i="48"/>
  <c r="G11" i="48"/>
  <c r="L16" i="28"/>
  <c r="D9" i="49"/>
  <c r="E36" i="30"/>
  <c r="E43" i="30" s="1"/>
  <c r="F24" i="43"/>
  <c r="B5" i="22" s="1"/>
  <c r="F23" i="43"/>
  <c r="B4" i="22" s="1"/>
  <c r="F22" i="43"/>
  <c r="B3" i="22" s="1"/>
  <c r="J36" i="30"/>
  <c r="J42" i="30" s="1"/>
  <c r="D22" i="49"/>
  <c r="E15" i="49"/>
  <c r="B5" i="57" s="1"/>
  <c r="E13" i="49"/>
  <c r="B3" i="57" s="1"/>
  <c r="E14" i="49"/>
  <c r="B4" i="57" s="1"/>
  <c r="G36" i="30"/>
  <c r="G43" i="30" s="1"/>
  <c r="D18" i="49"/>
  <c r="B3" i="50" l="1"/>
  <c r="E32" i="28"/>
  <c r="L32" i="28" s="1"/>
  <c r="L15" i="28"/>
  <c r="D10" i="49"/>
  <c r="E10" i="49"/>
  <c r="B4" i="54" s="1"/>
  <c r="E9" i="49"/>
  <c r="B3" i="54" s="1"/>
  <c r="E31" i="28"/>
  <c r="D25" i="49"/>
  <c r="E18" i="49"/>
  <c r="B3" i="56" s="1"/>
  <c r="E19" i="49"/>
  <c r="B4" i="56" s="1"/>
  <c r="L17" i="28"/>
  <c r="D19" i="49"/>
  <c r="E25" i="49"/>
  <c r="B6" i="55" s="1"/>
  <c r="D27" i="49"/>
  <c r="E23" i="49"/>
  <c r="B4" i="55" s="1"/>
  <c r="E24" i="49"/>
  <c r="B5" i="55" s="1"/>
  <c r="E22" i="49"/>
  <c r="B3" i="55" s="1"/>
  <c r="M16" i="28"/>
  <c r="P16" i="28"/>
  <c r="M17" i="28" l="1"/>
  <c r="P17" i="28"/>
  <c r="L31" i="28"/>
  <c r="L11" i="28"/>
  <c r="P11" i="28" s="1"/>
  <c r="P15" i="28"/>
  <c r="M15" i="28"/>
  <c r="E27" i="49"/>
  <c r="B3" i="68" s="1"/>
  <c r="E28" i="49"/>
  <c r="B4" i="68" s="1"/>
  <c r="M32" i="28"/>
  <c r="P32" i="28"/>
  <c r="P31" i="28" l="1"/>
  <c r="L10" i="28" s="1"/>
  <c r="M31"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C83" authorId="0" shapeId="0" xr:uid="{00000000-0006-0000-0700-000001000000}">
      <text>
        <r>
          <rPr>
            <sz val="9"/>
            <color indexed="81"/>
            <rFont val="Arial"/>
            <family val="2"/>
          </rPr>
          <t xml:space="preserve">x  Not Applicable
</t>
        </r>
      </text>
    </comment>
    <comment ref="D83" authorId="0" shapeId="0" xr:uid="{00000000-0006-0000-0700-000002000000}">
      <text>
        <r>
          <rPr>
            <sz val="9"/>
            <color indexed="81"/>
            <rFont val="Arial"/>
            <family val="2"/>
          </rPr>
          <t xml:space="preserve">x  Not Applicable
</t>
        </r>
      </text>
    </comment>
    <comment ref="U83" authorId="0" shapeId="0" xr:uid="{00000000-0006-0000-0700-000003000000}">
      <text>
        <r>
          <rPr>
            <sz val="9"/>
            <color indexed="81"/>
            <rFont val="Arial"/>
            <family val="2"/>
          </rPr>
          <t xml:space="preserve">x  Not Applicable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<sst xmlns="http://schemas.openxmlformats.org/spreadsheetml/2006/main" count="949" uniqueCount="621">
  <si>
    <t>Changelog</t>
  </si>
  <si>
    <t>Document</t>
  </si>
  <si>
    <t>Version #</t>
  </si>
  <si>
    <t>Date</t>
  </si>
  <si>
    <t>Author</t>
  </si>
  <si>
    <t>Changes</t>
  </si>
  <si>
    <t>Version</t>
  </si>
  <si>
    <t>Created this document</t>
  </si>
  <si>
    <t>Legend</t>
  </si>
  <si>
    <t>Cells</t>
  </si>
  <si>
    <t>Intermediate (calculation)</t>
  </si>
  <si>
    <t>Result</t>
  </si>
  <si>
    <t>Manual input</t>
  </si>
  <si>
    <t>Reference to manual input or data input</t>
  </si>
  <si>
    <t>Tabs</t>
  </si>
  <si>
    <t>Results</t>
  </si>
  <si>
    <t>Additional calculations</t>
  </si>
  <si>
    <t>Research data</t>
  </si>
  <si>
    <t>Comments</t>
  </si>
  <si>
    <t>Commercial and Public Services analysis</t>
  </si>
  <si>
    <t>Organization</t>
  </si>
  <si>
    <t>Contents</t>
  </si>
  <si>
    <t>Tab</t>
  </si>
  <si>
    <t>Description</t>
  </si>
  <si>
    <t>An index with description of all the tabs in this analysis</t>
  </si>
  <si>
    <t>Introduction</t>
  </si>
  <si>
    <t>Assumptions</t>
  </si>
  <si>
    <t>A description of the modeling and country-specific assumptions for this analysis</t>
  </si>
  <si>
    <t>Dashboard</t>
  </si>
  <si>
    <t>On the dashboard, the country-specific assumptions can be changed manually. It also shows the most important checks</t>
  </si>
  <si>
    <t>Industry</t>
  </si>
  <si>
    <t>Other sources</t>
  </si>
  <si>
    <t>The Energytransition model</t>
  </si>
  <si>
    <t>This analysis</t>
  </si>
  <si>
    <t>Modeling assumptions</t>
  </si>
  <si>
    <t>Type</t>
  </si>
  <si>
    <t>Assumption</t>
  </si>
  <si>
    <t>Source</t>
  </si>
  <si>
    <t>General</t>
  </si>
  <si>
    <t>Hard coal (if no detail)</t>
  </si>
  <si>
    <t>Brown coal (if no detail)</t>
  </si>
  <si>
    <t>Anthracite</t>
  </si>
  <si>
    <t>Coking coal</t>
  </si>
  <si>
    <t>Other bituminous coal</t>
  </si>
  <si>
    <t>Sub-bituminous coal</t>
  </si>
  <si>
    <t>Peat</t>
  </si>
  <si>
    <t>Patent fuel</t>
  </si>
  <si>
    <t>Coke oven coke</t>
  </si>
  <si>
    <t>Gas coke</t>
  </si>
  <si>
    <t>Coal tar</t>
  </si>
  <si>
    <t>BKB/peat briquettes</t>
  </si>
  <si>
    <t>Gas works gas</t>
  </si>
  <si>
    <t>Coke oven gas</t>
  </si>
  <si>
    <t>Blast furnace gas</t>
  </si>
  <si>
    <t>Other recovered gases</t>
  </si>
  <si>
    <t>Lignite</t>
  </si>
  <si>
    <t>Crude/NGL/feedstocks (if no detail)</t>
  </si>
  <si>
    <t>Crude oil</t>
  </si>
  <si>
    <t>Natural gas liquids</t>
  </si>
  <si>
    <t>Refinery feedstocks</t>
  </si>
  <si>
    <t>Additives/blending components</t>
  </si>
  <si>
    <t>Other hydrocarbons</t>
  </si>
  <si>
    <t>Refinery gas</t>
  </si>
  <si>
    <t>Ethane</t>
  </si>
  <si>
    <t>Liquefied petroleum gases (LPG)</t>
  </si>
  <si>
    <t>Motor gasoline</t>
  </si>
  <si>
    <t>Aviation gasoline</t>
  </si>
  <si>
    <t>Gasoline type jet fuel</t>
  </si>
  <si>
    <t>Kerosene type jet fuel</t>
  </si>
  <si>
    <t>Other Kerosene</t>
  </si>
  <si>
    <t>Gas/diesel oil</t>
  </si>
  <si>
    <t>Fuel oil</t>
  </si>
  <si>
    <t>Naphtha</t>
  </si>
  <si>
    <t>White spirit &amp; SBP</t>
  </si>
  <si>
    <t>Lubricants</t>
  </si>
  <si>
    <t>Bitumen</t>
  </si>
  <si>
    <t>Paraffin waxes</t>
  </si>
  <si>
    <t>Petroleum coke</t>
  </si>
  <si>
    <t>Non-specified oil products</t>
  </si>
  <si>
    <t>Municipal waste (renewable)</t>
  </si>
  <si>
    <t>Industrial waste</t>
  </si>
  <si>
    <t>Municipal waste (non-renewable)</t>
  </si>
  <si>
    <t>Biogases</t>
  </si>
  <si>
    <t>Biogasoline</t>
  </si>
  <si>
    <t>Biodiesels</t>
  </si>
  <si>
    <t>Other liquid biofuels</t>
  </si>
  <si>
    <t>Primary solid biofuels</t>
  </si>
  <si>
    <t>Non-specified primary biofuels and waste</t>
  </si>
  <si>
    <t>A short introduction to the Energytransition model (ETM) and the Commercial and Public services analysis</t>
  </si>
  <si>
    <t>Lighting</t>
  </si>
  <si>
    <t>Space Heating</t>
  </si>
  <si>
    <t>Insulation</t>
  </si>
  <si>
    <t>Other</t>
  </si>
  <si>
    <t>Notes</t>
  </si>
  <si>
    <t>Checks</t>
  </si>
  <si>
    <t>Sector</t>
  </si>
  <si>
    <t>Value</t>
  </si>
  <si>
    <t>Unit</t>
  </si>
  <si>
    <t>Check</t>
  </si>
  <si>
    <t>Status</t>
  </si>
  <si>
    <t>Final demand</t>
  </si>
  <si>
    <t>Final energy demand used for Space Heating</t>
  </si>
  <si>
    <t>Final energy demand used for Lighting</t>
  </si>
  <si>
    <t>Space Cooling</t>
  </si>
  <si>
    <t>Final energy demand used for Space Cooling</t>
  </si>
  <si>
    <t>Percentage of heat delivered by gas-fired heaters</t>
  </si>
  <si>
    <t>Percentage of heat delivered by electric heaters</t>
  </si>
  <si>
    <t>Percentage of heat delivered by gas-fired heat pumps</t>
  </si>
  <si>
    <t>Percentage of heat delivered by electric heat pumps with thermal storage</t>
  </si>
  <si>
    <t>Percentage of heat delivered by coal-fired heaters</t>
  </si>
  <si>
    <t>Percentage of heat delivered by oil-fired heaters</t>
  </si>
  <si>
    <t>Percentage of cold delivered by gas-fired heat pumps</t>
  </si>
  <si>
    <t>Percentage of cold delivered by electric heat pumps with thermal storage</t>
  </si>
  <si>
    <t>Percentage of cold delivered by airconditioning</t>
  </si>
  <si>
    <t>Average thermal resistivity of roof</t>
  </si>
  <si>
    <t>Average thermal resistivity of floor</t>
  </si>
  <si>
    <t>Average thermal resistivity of outside walls</t>
  </si>
  <si>
    <t>Average thermal conductivity of windows</t>
  </si>
  <si>
    <t>All</t>
  </si>
  <si>
    <t>Space cooling</t>
  </si>
  <si>
    <t>Space heating</t>
  </si>
  <si>
    <t>Gas-fired heater</t>
  </si>
  <si>
    <t>Gas-fired heat pump</t>
  </si>
  <si>
    <t>Electric heat pump with thermal storage</t>
  </si>
  <si>
    <t>Electric heater</t>
  </si>
  <si>
    <t>Solar thermal panels</t>
  </si>
  <si>
    <t>Coal-fired heater</t>
  </si>
  <si>
    <t>Oil-fired heater</t>
  </si>
  <si>
    <t>Biomass-fired heater</t>
  </si>
  <si>
    <t>District heating</t>
  </si>
  <si>
    <t>Technology used</t>
  </si>
  <si>
    <t>Airconditioning</t>
  </si>
  <si>
    <t>LED lamps</t>
  </si>
  <si>
    <t>Total</t>
  </si>
  <si>
    <t>Total IEA value</t>
  </si>
  <si>
    <t>PRODUCT</t>
  </si>
  <si>
    <t>Natural Gas</t>
  </si>
  <si>
    <t>Charcoal</t>
  </si>
  <si>
    <t>Elec/heat output from non-specified manufactured gases</t>
  </si>
  <si>
    <t>Heat output from non-specified combustible fuels</t>
  </si>
  <si>
    <t>Nuclear</t>
  </si>
  <si>
    <t>Hydro</t>
  </si>
  <si>
    <t>Geothermal</t>
  </si>
  <si>
    <t>Solar photovoltaics</t>
  </si>
  <si>
    <t>Solar thermal</t>
  </si>
  <si>
    <t>Tide, wave and ocean</t>
  </si>
  <si>
    <t>Wind</t>
  </si>
  <si>
    <t>Electricity</t>
  </si>
  <si>
    <t>Heat</t>
  </si>
  <si>
    <t>Memo: Renewables</t>
  </si>
  <si>
    <t>FLOW</t>
  </si>
  <si>
    <t>Production</t>
  </si>
  <si>
    <t>Imports</t>
  </si>
  <si>
    <t>Exports</t>
  </si>
  <si>
    <t>International marine bunkers</t>
  </si>
  <si>
    <t>International aviation bunkers</t>
  </si>
  <si>
    <t>Stock changes</t>
  </si>
  <si>
    <t>Total primary energy supply</t>
  </si>
  <si>
    <t>Transfers</t>
  </si>
  <si>
    <t>Statistical differences</t>
  </si>
  <si>
    <t>Transformation processes</t>
  </si>
  <si>
    <t>Main activity producer electricity plants</t>
  </si>
  <si>
    <t>Autoproducer electricity plants</t>
  </si>
  <si>
    <t>Main activity producer CHP plants</t>
  </si>
  <si>
    <t>Autoproducer CHP plants</t>
  </si>
  <si>
    <t>Main activity producer heat plants</t>
  </si>
  <si>
    <t>Autoproducer heat plants</t>
  </si>
  <si>
    <t>Heat pumps</t>
  </si>
  <si>
    <t>Electric boilers</t>
  </si>
  <si>
    <t>Chemical heat for electricity production</t>
  </si>
  <si>
    <t>Petrochemical plants</t>
  </si>
  <si>
    <t>For blended natural gas</t>
  </si>
  <si>
    <t>Charcoal production plants</t>
  </si>
  <si>
    <t>Non-specified (transformation)</t>
  </si>
  <si>
    <t>Energy industry own use</t>
  </si>
  <si>
    <t>Coal mines</t>
  </si>
  <si>
    <t>Oil and gas extraction</t>
  </si>
  <si>
    <t>Gasification plants for biogases</t>
  </si>
  <si>
    <t>Liquefaction (LNG) / regasification plants</t>
  </si>
  <si>
    <t>Own use in electricity, CHP and heat plants</t>
  </si>
  <si>
    <t>Pumped storage plants</t>
  </si>
  <si>
    <t>Nuclear industry</t>
  </si>
  <si>
    <t>Non-specified (energy)</t>
  </si>
  <si>
    <t>Losses</t>
  </si>
  <si>
    <t>Total final consumption</t>
  </si>
  <si>
    <t>Iron and steel</t>
  </si>
  <si>
    <t>Chemical and petrochemical</t>
  </si>
  <si>
    <t>Non-ferrous metals</t>
  </si>
  <si>
    <t>Non-metallic minerals</t>
  </si>
  <si>
    <t>Transport equipment</t>
  </si>
  <si>
    <t>Machinery</t>
  </si>
  <si>
    <t>Mining and quarrying</t>
  </si>
  <si>
    <t>Food and tobacco</t>
  </si>
  <si>
    <t>Paper, pulp and print</t>
  </si>
  <si>
    <t>Wood and wood products</t>
  </si>
  <si>
    <t>Construction</t>
  </si>
  <si>
    <t>Textile and leather</t>
  </si>
  <si>
    <t>Non-specified (industry)</t>
  </si>
  <si>
    <t>Transport</t>
  </si>
  <si>
    <t>Domestic aviation</t>
  </si>
  <si>
    <t>Road</t>
  </si>
  <si>
    <t>Rail</t>
  </si>
  <si>
    <t>Pipeline transport</t>
  </si>
  <si>
    <t>Domestic navigation</t>
  </si>
  <si>
    <t>Non-specified (transport)</t>
  </si>
  <si>
    <t>Residential</t>
  </si>
  <si>
    <t>Commercial and public services</t>
  </si>
  <si>
    <t>Agriculture/forestry</t>
  </si>
  <si>
    <t>Fishing</t>
  </si>
  <si>
    <t>Non-specified (other)</t>
  </si>
  <si>
    <t>Non-energy use</t>
  </si>
  <si>
    <t>Non-energy use industry/transformation/energy</t>
  </si>
  <si>
    <t xml:space="preserve">   Memo: Feedstock use in petrochemical industry</t>
  </si>
  <si>
    <t>Non-energy use in transport</t>
  </si>
  <si>
    <t>Non-energy use in other</t>
  </si>
  <si>
    <t>Electricity output (GWh)</t>
  </si>
  <si>
    <t>Electricity output (GWh)-main activity producer electricity plants</t>
  </si>
  <si>
    <t>Electricity output (GWh)-autoproducer electricity plants</t>
  </si>
  <si>
    <t>Electricity output (GWh)-main activity producer CHP plants</t>
  </si>
  <si>
    <t>Electricity output (GWh)-autoproducer CHP plants</t>
  </si>
  <si>
    <t>Heat output</t>
  </si>
  <si>
    <t>Heat output-main activity producer CHP plants</t>
  </si>
  <si>
    <t>Heat output-autoproducer CHP plants</t>
  </si>
  <si>
    <t>Heat output-main activity producer heat plants</t>
  </si>
  <si>
    <t>Heat output-autoproducer heat plants</t>
  </si>
  <si>
    <t>Technology</t>
  </si>
  <si>
    <t>Final demand per energy carrier</t>
  </si>
  <si>
    <t>Coëfficient of Performance (COP)</t>
  </si>
  <si>
    <t>Efficiency (%)</t>
  </si>
  <si>
    <t>Percentage of light delivered by incandescent lamps</t>
  </si>
  <si>
    <t>Percentage of light delivered by fluorescent lamps</t>
  </si>
  <si>
    <t>Percentage of light delivered by fluorescent tubes</t>
  </si>
  <si>
    <t>Percentage of light delivered by LED lamps</t>
  </si>
  <si>
    <t>The technological specifications of these technologies are the same for all countries.</t>
  </si>
  <si>
    <t>Technological specifications</t>
  </si>
  <si>
    <t>Country specific assumptions</t>
  </si>
  <si>
    <t>Percentages add up to 100%</t>
  </si>
  <si>
    <t>Technological efficiency</t>
  </si>
  <si>
    <t>Percentage of final demand converted by this technology</t>
  </si>
  <si>
    <t>Percentage of heat delivered per technology</t>
  </si>
  <si>
    <t>Relative size of final demand converted by this technology</t>
  </si>
  <si>
    <t>Deleted all source analysis</t>
  </si>
  <si>
    <t>Improved lay-out</t>
  </si>
  <si>
    <t>Analysis inputs</t>
  </si>
  <si>
    <t>Analysis calculations</t>
  </si>
  <si>
    <t>Analysis ouputs</t>
  </si>
  <si>
    <t>A visualization of the dataflow in this analysis</t>
  </si>
  <si>
    <t>Dataflow Commercial and Public Services</t>
  </si>
  <si>
    <t>Cover Sheet</t>
  </si>
  <si>
    <t>Dataflow</t>
  </si>
  <si>
    <t>Information about this document and a legend to tab and cell formatting</t>
  </si>
  <si>
    <t>A documentation of the changes to this analysis</t>
  </si>
  <si>
    <t>Steps to perform this analysis</t>
  </si>
  <si>
    <t xml:space="preserve">In short, the energytransition model (ETM) is a calculation engine with a front-end interface that is free to be used by private, commercial and public users. The engine exists of a collection of 'converters' that are linked together to approach the structure of an energy system at the country level. It includes for example import, export, electricity and heat production, final demand sectors and useful demand applications. Every converter has technical and economical specifications that were determined from scientific and technical literature. The model's initial configuration is mostly based on 2010 statistical data. Useful demand of energy applications is gathered from other sources. By moving sliders in a front end dashboard, representing energy use, energy production or socio-economical parameters, the calculation engine determines the results from these actions in a future scenario and communicates them to the user.
</t>
  </si>
  <si>
    <t>Added dataflow V3.2</t>
  </si>
  <si>
    <t>Proposed source</t>
  </si>
  <si>
    <t>Final energy demand used in the Commercial and Public Services sector  for Space Heating</t>
  </si>
  <si>
    <t>Final energy demand used in the Commercial and Public Services sector  for Space Cooling</t>
  </si>
  <si>
    <t>Final energy demand used in the Commercial and Public Services sector  for Lighting</t>
  </si>
  <si>
    <t>Use 'Source analysis Commercial and Pulic services sector' which can be found at ….</t>
  </si>
  <si>
    <t>National energy agency or an expert estimation</t>
  </si>
  <si>
    <t>Electric appliances</t>
  </si>
  <si>
    <t>Fuels</t>
  </si>
  <si>
    <t>IEA carriers</t>
  </si>
  <si>
    <t>Coal</t>
  </si>
  <si>
    <t>Natural gas</t>
  </si>
  <si>
    <t>Oil</t>
  </si>
  <si>
    <t>Wood pellets</t>
  </si>
  <si>
    <t xml:space="preserve">Final demand for electricity </t>
  </si>
  <si>
    <t xml:space="preserve">Final demand for Solar thermal </t>
  </si>
  <si>
    <t xml:space="preserve">Final demand for coal </t>
  </si>
  <si>
    <t xml:space="preserve">Final demand for oil </t>
  </si>
  <si>
    <t xml:space="preserve">Final demand for woodpellets </t>
  </si>
  <si>
    <t xml:space="preserve">Final demand for heat </t>
  </si>
  <si>
    <t>Final demand per energy carrier (TJ)</t>
  </si>
  <si>
    <t>Added all carriers</t>
  </si>
  <si>
    <t>Solar Thermal</t>
  </si>
  <si>
    <t>Solar PV</t>
  </si>
  <si>
    <t>Fuel aggregation</t>
  </si>
  <si>
    <t>Here the carriers in the IEA energy balance for the commercial and public services sector are combined into the fuels used in the ETM.</t>
  </si>
  <si>
    <t>Added auto-producers table to calculate PV solar</t>
  </si>
  <si>
    <t>Parameters</t>
  </si>
  <si>
    <t>Values</t>
  </si>
  <si>
    <t>Effective efficiency</t>
  </si>
  <si>
    <t>Changed dataflow to V5</t>
  </si>
  <si>
    <t>Final demand for Other</t>
  </si>
  <si>
    <t>All assumptions are filled</t>
  </si>
  <si>
    <t>Introductory</t>
  </si>
  <si>
    <t>Sources</t>
  </si>
  <si>
    <t>Main calculations</t>
  </si>
  <si>
    <t>GWh to TJ conversion</t>
  </si>
  <si>
    <t>Various improvements</t>
  </si>
  <si>
    <t>The technological specifications of energy conversion technologies used in the ETM are listed here</t>
  </si>
  <si>
    <t>Percentage of final demand for space heating delivered by biomass</t>
  </si>
  <si>
    <t>Percentage of final demand for space heating delivered by district heating</t>
  </si>
  <si>
    <t>Percentage of final demand for space heating delivered by solar thermal</t>
  </si>
  <si>
    <t>Percentage of final demand converted per technology (%)</t>
  </si>
  <si>
    <t>Percentage of heat delivered per technology (%)</t>
  </si>
  <si>
    <t>Including backwards calculation SWH</t>
  </si>
  <si>
    <t>Removed sources of district heating, included backward calculations for district heating and biomass</t>
  </si>
  <si>
    <t>Electrity</t>
  </si>
  <si>
    <t>Biomass</t>
  </si>
  <si>
    <t>Other appliances</t>
  </si>
  <si>
    <t>Updated dataflow and included CSV files</t>
  </si>
  <si>
    <t>These percentages are determined directly from the energy balance and the final demand specified on the dashboard</t>
  </si>
  <si>
    <t>Fuel Aggregation</t>
  </si>
  <si>
    <t>Final demands extracted from the energy balance</t>
  </si>
  <si>
    <t>Final demand for (district) heat</t>
  </si>
  <si>
    <t>Final demand for biomass</t>
  </si>
  <si>
    <t>Final demand for solar thermal</t>
  </si>
  <si>
    <t>Technology splits of final demands</t>
  </si>
  <si>
    <t>Technology split of useful demand fo space heating</t>
  </si>
  <si>
    <t>Final demand extracted from EB</t>
  </si>
  <si>
    <t>Tech split of useful demand</t>
  </si>
  <si>
    <t>The assumptions made on the dashboard are calculated towards final demand here using the efficiencies defined in the tab 'Technological specifications'.</t>
  </si>
  <si>
    <t>In this tab the final demands that were directly calculated from the energy balance are calculated towards useful demand to be able to display them on the dahboard.</t>
  </si>
  <si>
    <t>Here the corrected energy balance created in the CHP analysis should be pasted for your country and year</t>
  </si>
  <si>
    <t xml:space="preserve">The factors heat, biomass and solar from the energy balance are directly allocated to space heating by this model to respectively: district heating, biomass heater and solar thermal panels. </t>
  </si>
  <si>
    <t>Deleted all non-used carriers and checks and made minor alterations</t>
  </si>
  <si>
    <t>Filled notes and added explanation</t>
  </si>
  <si>
    <t>There are three main energy use groups in the built environment: space heating, space cooling and lighting. All other forms of energy use are piled up in this analysis as "other applications". The size and content of this sector is determined by subtracting the use for space heating, space cooling and lighting from the corrected IEA energy balance. The remaining electricity is allocated to electrical appliances and all other carriers are allocated to other appliances.</t>
  </si>
  <si>
    <t>The only technologies available for space heating, space cooling and lighting are the ones listed in the dashboard. These technologies are the ones used in the ETM.</t>
  </si>
  <si>
    <t>On this sheet you can fill the country specific assumptions for your country. Please mind the checks, if one or more become red it means that with the information you provided we cannot run the Energy Transition Model. Concerning your assumptions please provide sources.</t>
  </si>
  <si>
    <t>Carriers</t>
  </si>
  <si>
    <t>In this sheet the percentage of heat delivered per technology is determined for district heating, biomass fired heaters and solar thermal panels. For the other technologies the value is the same as defined by you on the dashboard.</t>
  </si>
  <si>
    <t>In this sheet the shares per technology per carrier needed for the Energy Transition Model are defined.</t>
  </si>
  <si>
    <r>
      <t>Please paste (</t>
    </r>
    <r>
      <rPr>
        <b/>
        <sz val="12"/>
        <rFont val="Calibri"/>
        <family val="2"/>
        <scheme val="minor"/>
      </rPr>
      <t>as values</t>
    </r>
    <r>
      <rPr>
        <sz val="12"/>
        <rFont val="Calibri"/>
        <family val="2"/>
        <scheme val="minor"/>
      </rPr>
      <t>) the energy balance resulting from the Power Plant-analysis (in TeraJoules) for your country in the table below. This data will be used in the analysis.</t>
    </r>
  </si>
  <si>
    <t>CSV-files</t>
  </si>
  <si>
    <t>share</t>
  </si>
  <si>
    <t>Percentage of light delivered by standard fluorescent tubes</t>
  </si>
  <si>
    <t>Standard fluorescent tubes</t>
  </si>
  <si>
    <t>Efficient fluorescent tubes</t>
  </si>
  <si>
    <t>changed names of csv files, added wood_caps and added efficient fluo tubes (+renaming of fluo tubes into standard fluo tubes</t>
  </si>
  <si>
    <t>Country</t>
  </si>
  <si>
    <t>Year data</t>
  </si>
  <si>
    <t>On this page, a description of the assumptions for this analysis is given. There are two types of assumptions, Modeling assumptions and Country specific assumptions. The modeling assumptions form the structure or framework to be able to do this analysis. They are the same for every country. The country specific assumptions must be entered by the researcher on the Dashboard page and are used to correctly adjust the calculations to the specific country. 
The fuels table gives an overview of how the ETM fuel carriers correspond with the IEA fuel carriers.</t>
  </si>
  <si>
    <t>Application</t>
  </si>
  <si>
    <t>Subtotal of defined appliances</t>
  </si>
  <si>
    <t>In this sheet the carriers from the energy balance are summed into the carriers that the ETM uses in the commercial and public services sector. The result for other carriers should be zero, because the ETM does not allow for the use of these carriers in the commercial and public services sector. To see what you should do, please see the dashboard. If you want to trace the problem, please check the energy balance for red cells.</t>
  </si>
  <si>
    <r>
      <t xml:space="preserve">In this sheet the percentages of heat delivered are converted into percentages of final demand converted per technology by using the technological efficiencies specified in the sheet 'Technological specifications'. </t>
    </r>
    <r>
      <rPr>
        <b/>
        <sz val="12"/>
        <color theme="1"/>
        <rFont val="Calibri"/>
        <family val="2"/>
        <scheme val="minor"/>
      </rPr>
      <t>An exception to this workflow</t>
    </r>
    <r>
      <rPr>
        <sz val="12"/>
        <color theme="1"/>
        <rFont val="Calibri"/>
        <family val="2"/>
        <scheme val="minor"/>
      </rPr>
      <t xml:space="preserve"> are the percentages of final demand for </t>
    </r>
    <r>
      <rPr>
        <b/>
        <sz val="12"/>
        <color theme="1"/>
        <rFont val="Calibri"/>
        <family val="2"/>
        <scheme val="minor"/>
      </rPr>
      <t>district heating, biomass heating</t>
    </r>
    <r>
      <rPr>
        <sz val="12"/>
        <color theme="1"/>
        <rFont val="Calibri"/>
        <family val="2"/>
        <scheme val="minor"/>
      </rPr>
      <t xml:space="preserve"> and</t>
    </r>
    <r>
      <rPr>
        <b/>
        <sz val="12"/>
        <color theme="1"/>
        <rFont val="Calibri"/>
        <family val="2"/>
        <scheme val="minor"/>
      </rPr>
      <t xml:space="preserve"> solar thermal panels</t>
    </r>
    <r>
      <rPr>
        <sz val="12"/>
        <color theme="1"/>
        <rFont val="Calibri"/>
        <family val="2"/>
        <scheme val="minor"/>
      </rPr>
      <t xml:space="preserve">, which have been </t>
    </r>
    <r>
      <rPr>
        <b/>
        <sz val="12"/>
        <color theme="1"/>
        <rFont val="Calibri"/>
        <family val="2"/>
        <scheme val="minor"/>
      </rPr>
      <t>directly determined in the sheet 'Final demand extracted</t>
    </r>
    <r>
      <rPr>
        <sz val="12"/>
        <color theme="1"/>
        <rFont val="Calibri"/>
        <family val="2"/>
        <scheme val="minor"/>
      </rPr>
      <t xml:space="preserve"> </t>
    </r>
    <r>
      <rPr>
        <b/>
        <sz val="12"/>
        <color theme="1"/>
        <rFont val="Calibri"/>
        <family val="2"/>
        <scheme val="minor"/>
      </rPr>
      <t>from EB'</t>
    </r>
    <r>
      <rPr>
        <sz val="12"/>
        <color theme="1"/>
        <rFont val="Calibri"/>
        <family val="2"/>
        <scheme val="minor"/>
      </rPr>
      <t>.</t>
    </r>
  </si>
  <si>
    <t>The shares of several technologies with the same application and energy carrier are determined here</t>
  </si>
  <si>
    <t>Shares per carrier per application</t>
  </si>
  <si>
    <t>The split over the several application is defined here for several carriers.</t>
  </si>
  <si>
    <t>The final demands per energy carrier for all energy applications are calculated here</t>
  </si>
  <si>
    <t>Shares per technology per carrier</t>
  </si>
  <si>
    <t>Percentage of final demand converted by this technology (%)</t>
  </si>
  <si>
    <t>In this sheet the percentage of final demand for space heating fulfilled by district heating, biomass and solar thermal is determined based on the final demand specified on the dashboard and the values in the energy balance.</t>
  </si>
  <si>
    <t>Changed row and column sequence</t>
  </si>
  <si>
    <t>Changed EB to latest version</t>
  </si>
  <si>
    <t>Blast furnaces_transformation</t>
  </si>
  <si>
    <t>Gas works_transformation</t>
  </si>
  <si>
    <t>Coke ovens_transformation</t>
  </si>
  <si>
    <t>Patent fuel plants_transformation</t>
  </si>
  <si>
    <t>BKB plants_transformation</t>
  </si>
  <si>
    <t>Oil refineries_transformation</t>
  </si>
  <si>
    <t>Coal liquefaction plants_transformation</t>
  </si>
  <si>
    <t>Gas-to-liquids (GTL) plants_transformation</t>
  </si>
  <si>
    <t>Blast furnaces_own_use</t>
  </si>
  <si>
    <t>Gas works_own_use</t>
  </si>
  <si>
    <t>Coke ovens_own_use</t>
  </si>
  <si>
    <t>Patent fuel plants_own_use</t>
  </si>
  <si>
    <t>BKB plants_own_use</t>
  </si>
  <si>
    <t>Oil refineries_own_use</t>
  </si>
  <si>
    <t>Coal liquefaction plants_own_use</t>
  </si>
  <si>
    <t>Gas-to-liquids (GTL) plants_own_use</t>
  </si>
  <si>
    <t>Fixed summing errors and net-gross pv prod error (SD)</t>
  </si>
  <si>
    <t>key</t>
  </si>
  <si>
    <t>buildings_lighting_efficient_fluorescent_electricity</t>
  </si>
  <si>
    <t>buildings_lighting_led_electricity</t>
  </si>
  <si>
    <t>buildings_lighting_standard_fluorescent_electricity</t>
  </si>
  <si>
    <t>buildings_final_demand_for_lighting_electricity</t>
  </si>
  <si>
    <t>buildings_final_demand_for_lighting_electricity_parent_share</t>
  </si>
  <si>
    <t>buildings_final_demand_for_space_heating_electricity</t>
  </si>
  <si>
    <t>buildings_space_heater_electricity</t>
  </si>
  <si>
    <t>buildings_space_heater_collective_heatpump_water_water_ts_electricity</t>
  </si>
  <si>
    <t>buildings_final_demand_for_space_heating_electricity_parent_share</t>
  </si>
  <si>
    <t>buildings_cooling_airconditioning_electricity</t>
  </si>
  <si>
    <t>buildings_cooling_collective_heatpump_water_water_ts_electricity</t>
  </si>
  <si>
    <t>buildings_final_demand_for_cooling_electricity</t>
  </si>
  <si>
    <t>buildings_final_demand_for_cooling_electricity_parent_share</t>
  </si>
  <si>
    <t>buildings_space_heater_network_gas</t>
  </si>
  <si>
    <t>buildings_space_heater_heatpump_air_water_network_gas</t>
  </si>
  <si>
    <t>buildings_final_demand_coal_parent_share</t>
  </si>
  <si>
    <t>buildings_final_demand_for_space_heating_coal</t>
  </si>
  <si>
    <t>buildings_final_demand_for_appliances_coal</t>
  </si>
  <si>
    <t>buildings_final_demand_network_gas_parent_share</t>
  </si>
  <si>
    <t>buildings_final_demand_crude_oil_parent_share</t>
  </si>
  <si>
    <t>buildings_final_demand_for_space_heating_crude_oil</t>
  </si>
  <si>
    <t>buildings_final_demand_for_appliances_crude_oil</t>
  </si>
  <si>
    <t>buildings_final_demand_electricity_parent_share</t>
  </si>
  <si>
    <t>buildings_final_demand_for_appliances_electricity</t>
  </si>
  <si>
    <t>buildings_final_demand_wood_pellets_parent_share</t>
  </si>
  <si>
    <t>buildings_final_demand_for_space_heating_wood_pellets</t>
  </si>
  <si>
    <t>buildings_final_demand_for_appliances_wood_pellets</t>
  </si>
  <si>
    <t>buildings_heating_savings_from_insulation_useable_heat</t>
  </si>
  <si>
    <t>buildings_cooling_savings_insulation_cooling</t>
  </si>
  <si>
    <t>buildings_useful_demand_cooling_child_share</t>
  </si>
  <si>
    <t>buildings_useful_demand_after_insulation_cooling</t>
  </si>
  <si>
    <t>Added shares that define converters related to "savings" (RD)</t>
  </si>
  <si>
    <t>In residential sector the only source of auto-produced electricity is solar PV. By making this assumption we can determine the amount of electricity produced by solar PV for the commercial and public services sector. But this happens in the PP&amp;HP analysis</t>
  </si>
  <si>
    <t>Removed all Solar PV calculations and assumptions</t>
  </si>
  <si>
    <t>Added csv_ to sheet name of all CSV files. Added redundant child edges in edges.csv</t>
  </si>
  <si>
    <t>corrected CSV file tabs to start with "csv_..."</t>
  </si>
  <si>
    <t>converter key</t>
  </si>
  <si>
    <t>The base year for this analysis</t>
  </si>
  <si>
    <t>Automatically import/export analysis data</t>
  </si>
  <si>
    <t>Here the percentage of final demand for several carriers is determined based on the energy balance and the final demand per application specfied on the dashboard</t>
  </si>
  <si>
    <t>In this sheet an overview is presented of the allocation of energy carriers over the different technologies and applications. At the bottom of this sheet the size of the electrical appliances and the other appliances are determined.</t>
  </si>
  <si>
    <t>Final energy demand Commercial and Public Services (from energy balance)</t>
  </si>
  <si>
    <t>Final demand converted per technology (TJ)</t>
  </si>
  <si>
    <t>Useful demand created per technology (TJ)</t>
  </si>
  <si>
    <t>TJ</t>
  </si>
  <si>
    <t>Final_demand_space_heating</t>
  </si>
  <si>
    <t>Final_demand_space_cooling</t>
  </si>
  <si>
    <t>Final_demand_lighting</t>
  </si>
  <si>
    <t>Key</t>
  </si>
  <si>
    <t>Critical check</t>
  </si>
  <si>
    <t>country</t>
  </si>
  <si>
    <t>base_year</t>
  </si>
  <si>
    <t>A CSV-file with a converter output share (parent_share)</t>
  </si>
  <si>
    <t>csv_ps_final_demand_lighting</t>
  </si>
  <si>
    <t>csv_ps_space_heating_electricit</t>
  </si>
  <si>
    <t>csv_ps_cooling_electricity</t>
  </si>
  <si>
    <t>csv_ps_space_heating_gas</t>
  </si>
  <si>
    <t>csv_ps_final_demand_coal</t>
  </si>
  <si>
    <t>csv_ps_final_demand_gas</t>
  </si>
  <si>
    <t>csv_ps_final_demand_oil</t>
  </si>
  <si>
    <t>csv_ps_final_demand_electricity</t>
  </si>
  <si>
    <t>csv_ps_final_demand_wood_p</t>
  </si>
  <si>
    <t>csv_cooling_useful_insulation</t>
  </si>
  <si>
    <t>csv_light_saving_detection</t>
  </si>
  <si>
    <t>csv_light_saving_control</t>
  </si>
  <si>
    <t>1. Import the corrected energy balance using the import button on the Dashboard sheet.</t>
  </si>
  <si>
    <t>2. Look over all the assumptions and checks on the Assumptions page and the Dashboard. Consult the documentation for additional information.</t>
  </si>
  <si>
    <t>3. Fill in the (country-specific) assumptions on the Dashboard using reliable sources and/or use the source analysis mentioned in the comments. Please document your sources.</t>
  </si>
  <si>
    <t>4. Keep in mind the checks on the Dashboard. If a check fails, try to understand what goes wrong and adjust your assumptions as long as you feel it is still realistic</t>
  </si>
  <si>
    <t>5. If you encounter other problems please contact Quintel Intelligence</t>
  </si>
  <si>
    <t>6. Export the csv files using the export button on the Dashboard sheet.</t>
  </si>
  <si>
    <t>Updated to new style rules</t>
  </si>
  <si>
    <t>Corrected energy balance step 2</t>
  </si>
  <si>
    <t>Name in this excel file</t>
  </si>
  <si>
    <t>Eff_space_heating_solar_thermal</t>
  </si>
  <si>
    <t>Eff_space_heating_district</t>
  </si>
  <si>
    <t>Eff_space_heating_woodpellets</t>
  </si>
  <si>
    <t>Eff_space_heating_electric</t>
  </si>
  <si>
    <t>Eff_space_heating_gas</t>
  </si>
  <si>
    <t>Eff_space_heating_oil</t>
  </si>
  <si>
    <t>Eff_space_heating_coal</t>
  </si>
  <si>
    <t>Eff_space_heating_pump_storage</t>
  </si>
  <si>
    <t>Eff_cooling_airco</t>
  </si>
  <si>
    <t>Eff_cooling_pump</t>
  </si>
  <si>
    <t>Eff_cooling_pump_storage</t>
  </si>
  <si>
    <t>Eff_lighting_led</t>
  </si>
  <si>
    <t>Eff_lighting_tube_fluorescent_standartd</t>
  </si>
  <si>
    <t>Eff_lighting_tube_fluorescent_efficient</t>
  </si>
  <si>
    <t>Total demand of aggregated carriers</t>
  </si>
  <si>
    <t>Total demand in energy balancen (IEA)</t>
  </si>
  <si>
    <t xml:space="preserve">Check: </t>
  </si>
  <si>
    <t xml:space="preserve">If the </t>
  </si>
  <si>
    <t>are the same,,</t>
  </si>
  <si>
    <t xml:space="preserve">the energy carriers have been aggregated correctly. </t>
  </si>
  <si>
    <t xml:space="preserve">Difference: </t>
  </si>
  <si>
    <t>Eff_space_heating_pump_gas</t>
  </si>
  <si>
    <t>Final demand per carrier per application (TJ)</t>
  </si>
  <si>
    <t>Final demand for coal (TJ)</t>
  </si>
  <si>
    <t>Final demand for oil (TJ)</t>
  </si>
  <si>
    <t>Final demand for woodpellets (TJ)</t>
  </si>
  <si>
    <t>Final demand for Solar thermal (TJ)</t>
  </si>
  <si>
    <t>Final demand for electricity (TJ)</t>
  </si>
  <si>
    <t>Final demand for heat (TJ)</t>
  </si>
  <si>
    <t xml:space="preserve">Fixing names. Fixing order of space heating technologies. Fixing layout/formatting. Replaced old "PJ" units. </t>
  </si>
  <si>
    <t xml:space="preserve">Application </t>
  </si>
  <si>
    <t>Carrier</t>
  </si>
  <si>
    <t>Network Gas</t>
  </si>
  <si>
    <t>Share per technology and carrier</t>
  </si>
  <si>
    <t>Application shares</t>
  </si>
  <si>
    <t>Technology shares</t>
  </si>
  <si>
    <t>Percentages of energy demand</t>
  </si>
  <si>
    <t>Technology split final demand</t>
  </si>
  <si>
    <t>A CSV-file with a converter output share (parent_share) - currently hard coded</t>
  </si>
  <si>
    <t>A CSV-file with a converter input share (child_share) - hard coded</t>
  </si>
  <si>
    <t>Percentage of biomass (wood_pellets) used in space heating</t>
  </si>
  <si>
    <t>Percentage of biomass (wood_pellets) used in applicances</t>
  </si>
  <si>
    <t>Temporarily hard-coded assumptions</t>
  </si>
  <si>
    <t>The ETM graph contains a number of converters that are used to model future energy saving effects of improved insulation. The inluence of these converters is set to 'zero' in the 'present' scenario:</t>
  </si>
  <si>
    <t>Removing converters
buildings_useful_demand_for_space_heating_after_insulation_recirculation_recovery
buildings_useful_demand_for_space_heating_after_insulation_recirculation
buildings_heating_savings_from_recirculation_useable_heat
buildings_heating_savings_from_recovery_useable_heat
buildings_useful_demand_after_insulation_recirculation_recovery_cooling
buildings_useful_demand_after_insulation_recirculation_cooling
buildings_cooling_savings_from_recovery_cooling
buildings_cooling_savings_from_recirculation_cooling</t>
  </si>
  <si>
    <t>results from ETM modelling logic</t>
  </si>
  <si>
    <t>Renamed Analysis to "Services"</t>
  </si>
  <si>
    <t>added buttonns on Dashboard</t>
  </si>
  <si>
    <t>Fixing links in formulas (space heating)</t>
  </si>
  <si>
    <t>services_final_demand_space_heating</t>
  </si>
  <si>
    <t>services_final_demand_space_cooling</t>
  </si>
  <si>
    <t>services_final_demand_lighting</t>
  </si>
  <si>
    <t>services_space_heating_share_gas_fired_heaters</t>
  </si>
  <si>
    <t>services_space_heating_share_gas_fired_heat_pumps</t>
  </si>
  <si>
    <t>services_space_heating_share_electric_heaters</t>
  </si>
  <si>
    <t>services_space_heating_share_coal_fired_heater</t>
  </si>
  <si>
    <t>services_space_cooling_share_gas_fired_heat_pump</t>
  </si>
  <si>
    <t>services_space_cooling_share_electric_heat_pump</t>
  </si>
  <si>
    <t>services_space_cooling_share_airco</t>
  </si>
  <si>
    <t>services_biomass_used_in space_heating</t>
  </si>
  <si>
    <t>services_biomass_used_in appliances</t>
  </si>
  <si>
    <t>services_space_heating_share_electric_heat_pump_with_storage</t>
  </si>
  <si>
    <t>ETM carriers in Services Sector</t>
  </si>
  <si>
    <t>Fixing the order of keys on the dashboard / renaming one key</t>
  </si>
  <si>
    <t>services_space_heating_share_oil_fired_heater</t>
  </si>
  <si>
    <t>Final energy demand used for space heating</t>
  </si>
  <si>
    <t>Final energy use by solar thermal panels</t>
  </si>
  <si>
    <t>Final energy use by biomass-fired heaters</t>
  </si>
  <si>
    <t>Final energy use by district heating</t>
  </si>
  <si>
    <t>Name</t>
  </si>
  <si>
    <t>?</t>
  </si>
  <si>
    <t>heat efficiency</t>
  </si>
  <si>
    <t>1 / COP</t>
  </si>
  <si>
    <t>output.useable_heat</t>
  </si>
  <si>
    <t>input.electricity</t>
  </si>
  <si>
    <t>output.light</t>
  </si>
  <si>
    <t>buildings_space_heater_network_gas.converter</t>
  </si>
  <si>
    <t>buildings_space_heater_collective_heatpump_water_water_ts_electricity.converter</t>
  </si>
  <si>
    <t>buildings_space_heater_heatpump_air_water_network_gas.converter</t>
  </si>
  <si>
    <t>buildings_space_heater_electricity.converter</t>
  </si>
  <si>
    <t>buildings_space_heater_coal.converter</t>
  </si>
  <si>
    <t>buildings_space_heater_crude_oil.converter</t>
  </si>
  <si>
    <t>buildings_space_heater_wood_pellets.converter</t>
  </si>
  <si>
    <t>buildings_cooling_heatpump_air_water_network_gas.converter</t>
  </si>
  <si>
    <t>buildings_cooling_collective_heatpump_water_water_ts_electricity.converter</t>
  </si>
  <si>
    <t>buildings_cooling_airconditioning_electricity.converter</t>
  </si>
  <si>
    <t>buildings_lighting_efficient_fluorescent_electricity.converter</t>
  </si>
  <si>
    <t>buildings_lighting_standard_fluorescent_electricity.converter</t>
  </si>
  <si>
    <t>buildings_lighting_led_electricity.converter</t>
  </si>
  <si>
    <t>input.network_gas</t>
  </si>
  <si>
    <t>light efficiency</t>
  </si>
  <si>
    <t>Technological Specifications</t>
  </si>
  <si>
    <t>Extract data from Etsource</t>
  </si>
  <si>
    <t>Converter attributes</t>
  </si>
  <si>
    <t xml:space="preserve">Here, the technological specifications are imported from Etsource (automatically). These values are not country-specific and cannot be changed. </t>
  </si>
  <si>
    <t>enabling automatic import of technical specs</t>
  </si>
  <si>
    <t xml:space="preserve">removing Lody's "wrong" efficiencies, replacing them with efficiencies that are imporrted from etsource. Lody's efficiencies can be found in the source analysis folder. </t>
  </si>
  <si>
    <t>removing sheets with edges and nodes</t>
  </si>
  <si>
    <t>-</t>
  </si>
  <si>
    <t>All critical checks correct</t>
  </si>
  <si>
    <t>Taken from corrected energy balance</t>
  </si>
  <si>
    <t xml:space="preserve">Percentage of useful heat delivered by the remaining technologies </t>
  </si>
  <si>
    <t xml:space="preserve">Remaining final energy demand for space heating, after solar thermal panels, biomass heaters and district heating: </t>
  </si>
  <si>
    <t>Gas-fired heaters</t>
  </si>
  <si>
    <t>Electric heat pumps with thermal storage</t>
  </si>
  <si>
    <t>Gas-fired heat pumps</t>
  </si>
  <si>
    <t>Electric heaters</t>
  </si>
  <si>
    <t>Coal-fired heaters</t>
  </si>
  <si>
    <t>Oil-fired heaters</t>
  </si>
  <si>
    <t>extracted from corrected energy balance</t>
  </si>
  <si>
    <t xml:space="preserve">Percentage of useful cold delivered by </t>
  </si>
  <si>
    <t xml:space="preserve">Percentage of light delivered by </t>
  </si>
  <si>
    <t>LED tubes</t>
  </si>
  <si>
    <t>Final energy demand for electrical appliances is a positive number</t>
  </si>
  <si>
    <t>Final energy demand for other appliances is a positive number</t>
  </si>
  <si>
    <t>Final energy demand used for other Appliances (non-electric)</t>
  </si>
  <si>
    <t>Energy in services sector, not accounted for in ETM:</t>
  </si>
  <si>
    <t>Percentage of final demand</t>
  </si>
  <si>
    <t>Subtotal (TJ)</t>
  </si>
  <si>
    <t>Other appliances (non-electric) - remaining energy flows</t>
  </si>
  <si>
    <t>The following cannot be negative</t>
  </si>
  <si>
    <t>Other Applicances</t>
  </si>
  <si>
    <t>Network gas demand in other appliances</t>
  </si>
  <si>
    <t>Coal demand in other appliances</t>
  </si>
  <si>
    <t>Oil demand in other appliances</t>
  </si>
  <si>
    <t>major layout change to dashboard. Improving checks</t>
  </si>
  <si>
    <t>added 'Biogases' to network gas aggregation. Renaming natural gas to network gas in some instances</t>
  </si>
  <si>
    <t>Network gas</t>
  </si>
  <si>
    <t>Final demand for network gas (TJ)</t>
  </si>
  <si>
    <t xml:space="preserve">Final demand for network gas </t>
  </si>
  <si>
    <t xml:space="preserve">The main goal of this analysis is to create a representative energy use per application for the commercial and public services sector. The applications that are defined in this analysis are: space heating, space cooling, lighting, electric applications and other applications. 
Note that Solar PV production is not covered by this analysis as that results from the Energy Balance and the Autoproduction table (both available from IEA). To see what solar PV production is for your dataset, open the "2_power_and_heat_plant_analysis", import all the required data (including the Energy Balance and Autoproducer table, which both need to be bought from IEA), and proceed to 'Results by machine' or the 'PV solar' sheets. </t>
  </si>
  <si>
    <t>Implemented if-statement in Application shares to avoid #DIV/0 errors</t>
  </si>
  <si>
    <t>Implemented if-statement in Technology share to avoid #DIV/0 errors</t>
  </si>
  <si>
    <t>buildings_final_demand_for_space_heating_network_gas</t>
  </si>
  <si>
    <t>buildings_final_demand_for_cooling_network_gas</t>
  </si>
  <si>
    <t>buildings_final_demand_for_appliances_network_gas</t>
  </si>
  <si>
    <t>buildings_final_demand_for_space_heating_network_gas_parent_share</t>
  </si>
  <si>
    <t>Final electricity demand used for central ICT</t>
  </si>
  <si>
    <t>Final electricity demand used for Electrical Appliances</t>
  </si>
  <si>
    <t>Final_demand_industry_ict</t>
  </si>
  <si>
    <t>industry_final_demand_ict_electricity</t>
  </si>
  <si>
    <t>Indicate "yes" to add the central ICT sector; also input the required data in row 29</t>
  </si>
  <si>
    <t>ict_split</t>
  </si>
  <si>
    <t>Final energy demand for central ICT is a positive number</t>
  </si>
  <si>
    <t>Central ICT</t>
  </si>
  <si>
    <t>Electricity use</t>
  </si>
  <si>
    <t>Services</t>
  </si>
  <si>
    <t>In this sheet the shares per carrier per application needed for the Energy Transition Model are defined. In the last section of the table, the electricity shares per sector are determined for the services sector and industry sector (central ICT).</t>
  </si>
  <si>
    <t>buildings_local_production_electricity_parent_share</t>
  </si>
  <si>
    <t>buildings_final_demand_electricity</t>
  </si>
  <si>
    <t>industry_final_demand_for_other_ict_electricity</t>
  </si>
  <si>
    <t>Created an optional split of the central ICT sector (directed to the industry sector in the graph)</t>
  </si>
  <si>
    <t>csv_ps_sector_electricity</t>
  </si>
  <si>
    <t>A CSV-file with a converter output share (parent_share) that sends part of the energy flow to the industry sector, and the rest to the services sector.</t>
  </si>
  <si>
    <t>buildings_space_heater_heatpump_air_water_electricity</t>
  </si>
  <si>
    <t>Electric air heat pump</t>
  </si>
  <si>
    <t>Electric air heatpumps</t>
  </si>
  <si>
    <t>Electric air heatpump</t>
  </si>
  <si>
    <t>buildings_cooling_heatpump_air_water_electricity.converter</t>
  </si>
  <si>
    <t>Eff_cooling_air_heatpump</t>
  </si>
  <si>
    <t>buildings_space_heater_heatpump_air_water_electricity.converter</t>
  </si>
  <si>
    <t>buildings_cooling_heatpump_air_water_electricity</t>
  </si>
  <si>
    <t>Eff_space_heating_air_heatpump</t>
  </si>
  <si>
    <t>services_space_heating_share_air_heatpump</t>
  </si>
  <si>
    <t>services_space_cooling_share_air_heatpump</t>
  </si>
  <si>
    <t>buildings_space_heater_solar_thermal</t>
  </si>
  <si>
    <t>Removed incandescent and fluorescent lighting from analysis</t>
  </si>
  <si>
    <t>buildings_space_heater_district_heating_ht_steam_hot_water</t>
  </si>
  <si>
    <t>Quintel</t>
  </si>
  <si>
    <t>November 30, 2023</t>
  </si>
  <si>
    <t>Updated technical specs to refer to new district heating node with high temperate (HT).</t>
  </si>
  <si>
    <t>May 28, 2025</t>
  </si>
  <si>
    <t>Removed sheet csv_heating_useful_insulation due to updated modelling where insulation has been changed and is now directly applied to the useful demand node, making this output redundant.</t>
  </si>
  <si>
    <t>nl</t>
  </si>
  <si>
    <t>buildings_space_heater_heatpump_surface_water_water_ts_electricity</t>
  </si>
  <si>
    <t>buildings_cooling_heatpump_surface_water_water_ts_electricity</t>
  </si>
  <si>
    <t>July 17, 2025</t>
  </si>
  <si>
    <t>Add surface water technologies to export CSVs with zero share.</t>
  </si>
  <si>
    <t>Remove intelligent light control keys</t>
  </si>
  <si>
    <t>Kyra de 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</si>
</sst>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409]mmmm\ d\,\ yyyy;@"/>
    <numFmt numFmtId="167" formatCode="0.00000"/>
  </numFmts>
  <fonts count="30" x14ac:knownFonts="1">
    <font>
      <sz val="12"/>
      <color theme="1"/>
      <name val="Calibri"/>
      <family val="2"/>
      <scheme val="minor"/>
    </font>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6"/>
      <color theme="3"/>
      <name val="Calibri"/>
      <family val="2"/>
      <scheme val="minor"/>
    </font>
    <font>
      <b/>
      <sz val="11"/>
      <color rgb="FF000000"/>
      <name val="Calibri"/>
      <family val="2"/>
      <scheme val="minor"/>
    </font>
    <font>
      <i/>
      <sz val="12"/>
      <color theme="1"/>
      <name val="Calibri"/>
      <family val="2"/>
      <scheme val="minor"/>
    </font>
    <font>
      <sz val="12"/>
      <name val="Calibri"/>
      <family val="2"/>
      <scheme val="minor"/>
    </font>
    <font>
      <u/>
      <sz val="12"/>
      <color theme="1"/>
      <name val="Calibri"/>
      <family val="2"/>
      <scheme val="minor"/>
    </font>
    <font>
      <sz val="12"/>
      <color rgb="FF000000"/>
      <name val="Calibri"/>
      <family val="2"/>
      <scheme val="minor"/>
    </font>
    <font>
      <u/>
      <sz val="12"/>
      <name val="Calibri"/>
      <family val="2"/>
      <scheme val="minor"/>
    </font>
    <font>
      <u/>
      <sz val="12"/>
      <color theme="10"/>
      <name val="Calibri"/>
      <family val="2"/>
      <scheme val="minor"/>
    </font>
    <font>
      <u/>
      <sz val="12"/>
      <color theme="11"/>
      <name val="Calibri"/>
      <family val="2"/>
      <scheme val="minor"/>
    </font>
    <font>
      <b/>
      <sz val="12"/>
      <name val="Calibri"/>
      <family val="2"/>
      <scheme val="minor"/>
    </font>
    <font>
      <b/>
      <sz val="12"/>
      <color rgb="FF000000"/>
      <name val="Calibri"/>
      <family val="2"/>
      <scheme val="minor"/>
    </font>
    <font>
      <sz val="24"/>
      <color theme="1"/>
      <name val="Calibri"/>
      <family val="2"/>
      <scheme val="minor"/>
    </font>
    <font>
      <b/>
      <sz val="18"/>
      <color theme="1"/>
      <name val="Calibri"/>
      <family val="2"/>
      <scheme val="minor"/>
    </font>
    <font>
      <sz val="9"/>
      <color indexed="81"/>
      <name val="Arial"/>
      <family val="2"/>
    </font>
    <font>
      <sz val="11"/>
      <color rgb="FF000000"/>
      <name val="Arial"/>
      <family val="2"/>
    </font>
    <font>
      <sz val="12"/>
      <color rgb="FF000000"/>
      <name val="Lucida Grande"/>
      <family val="2"/>
    </font>
    <font>
      <sz val="12"/>
      <color theme="0" tint="-0.499984740745262"/>
      <name val="Calibri"/>
      <family val="2"/>
      <scheme val="minor"/>
    </font>
    <font>
      <sz val="12"/>
      <color theme="0" tint="-0.14999847407452621"/>
      <name val="Calibri"/>
      <family val="2"/>
      <scheme val="minor"/>
    </font>
    <font>
      <b/>
      <sz val="12"/>
      <color theme="0" tint="-0.499984740745262"/>
      <name val="Calibri"/>
      <family val="2"/>
      <scheme val="minor"/>
    </font>
    <font>
      <sz val="11"/>
      <name val="Arial"/>
      <family val="2"/>
    </font>
    <font>
      <b/>
      <i/>
      <sz val="12"/>
      <name val="Calibri"/>
      <family val="2"/>
      <scheme val="minor"/>
    </font>
    <font>
      <i/>
      <sz val="12"/>
      <name val="Calibri"/>
      <family val="2"/>
      <scheme val="minor"/>
    </font>
    <font>
      <u/>
      <sz val="12"/>
      <color rgb="FF000000"/>
      <name val="Calibri"/>
      <family val="2"/>
      <scheme val="minor"/>
    </font>
    <font>
      <sz val="13"/>
      <color rgb="FF333333"/>
      <name val="Helvetica"/>
      <family val="2"/>
    </font>
    <font>
      <b/>
      <sz val="18"/>
      <color theme="5"/>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FFF00"/>
        <bgColor indexed="64"/>
      </patternFill>
    </fill>
    <fill>
      <patternFill patternType="solid">
        <fgColor rgb="FFFF00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6600"/>
        <bgColor indexed="64"/>
      </patternFill>
    </fill>
    <fill>
      <patternFill patternType="solid">
        <fgColor indexed="65"/>
        <bgColor indexed="64"/>
      </patternFill>
    </fill>
  </fills>
  <borders count="55">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thin">
        <color auto="1"/>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diagonal/>
    </border>
    <border>
      <left style="thin">
        <color auto="1"/>
      </left>
      <right style="medium">
        <color auto="1"/>
      </right>
      <top/>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thin">
        <color auto="1"/>
      </left>
      <right style="thin">
        <color auto="1"/>
      </right>
      <top/>
      <bottom style="medium">
        <color auto="1"/>
      </bottom>
      <diagonal/>
    </border>
    <border>
      <left/>
      <right style="thin">
        <color auto="1"/>
      </right>
      <top style="medium">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top style="medium">
        <color auto="1"/>
      </top>
      <bottom/>
      <diagonal/>
    </border>
    <border>
      <left/>
      <right style="medium">
        <color auto="1"/>
      </right>
      <top style="thin">
        <color auto="1"/>
      </top>
      <bottom/>
      <diagonal/>
    </border>
    <border>
      <left style="thin">
        <color auto="1"/>
      </left>
      <right style="thin">
        <color auto="1"/>
      </right>
      <top style="thin">
        <color auto="1"/>
      </top>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medium">
        <color auto="1"/>
      </left>
      <right style="thin">
        <color auto="1"/>
      </right>
      <top style="medium">
        <color auto="1"/>
      </top>
      <bottom/>
      <diagonal/>
    </border>
    <border>
      <left style="thin">
        <color auto="1"/>
      </left>
      <right style="medium">
        <color auto="1"/>
      </right>
      <top style="thin">
        <color auto="1"/>
      </top>
      <bottom/>
      <diagonal/>
    </border>
    <border>
      <left style="medium">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s>
  <cellStyleXfs count="1391">
    <xf numFmtId="0" fontId="0" fillId="0" borderId="0"/>
    <xf numFmtId="9" fontId="2" fillId="0" borderId="0" applyFon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cellStyleXfs>
  <cellXfs count="379">
    <xf numFmtId="0" fontId="0" fillId="0" borderId="0" xfId="0"/>
    <xf numFmtId="0" fontId="0" fillId="2" borderId="0" xfId="0" applyFill="1"/>
    <xf numFmtId="0" fontId="5" fillId="2" borderId="0" xfId="0" applyFont="1" applyFill="1"/>
    <xf numFmtId="0" fontId="4" fillId="2" borderId="1" xfId="0" applyFont="1" applyFill="1" applyBorder="1"/>
    <xf numFmtId="0" fontId="0" fillId="2" borderId="2" xfId="0" applyFill="1" applyBorder="1"/>
    <xf numFmtId="0" fontId="0" fillId="2" borderId="3" xfId="0" applyFill="1" applyBorder="1"/>
    <xf numFmtId="0" fontId="6" fillId="3" borderId="4" xfId="0" applyFont="1" applyFill="1" applyBorder="1" applyAlignment="1">
      <alignment vertical="center"/>
    </xf>
    <xf numFmtId="0" fontId="0" fillId="2" borderId="5" xfId="0" applyFill="1" applyBorder="1"/>
    <xf numFmtId="0" fontId="6" fillId="3" borderId="6" xfId="0" applyFont="1" applyFill="1" applyBorder="1" applyAlignment="1">
      <alignment vertical="center"/>
    </xf>
    <xf numFmtId="0" fontId="0" fillId="2" borderId="7" xfId="0" applyFill="1" applyBorder="1"/>
    <xf numFmtId="0" fontId="0" fillId="2" borderId="8" xfId="0" applyFill="1" applyBorder="1"/>
    <xf numFmtId="0" fontId="6" fillId="3" borderId="1" xfId="0" applyFont="1" applyFill="1" applyBorder="1" applyAlignment="1">
      <alignment vertical="center"/>
    </xf>
    <xf numFmtId="0" fontId="4" fillId="2" borderId="2" xfId="0" applyFont="1" applyFill="1" applyBorder="1"/>
    <xf numFmtId="0" fontId="4" fillId="2" borderId="3" xfId="0" applyFont="1" applyFill="1" applyBorder="1"/>
    <xf numFmtId="0" fontId="4" fillId="2" borderId="0" xfId="0" applyFont="1" applyFill="1"/>
    <xf numFmtId="0" fontId="4" fillId="2" borderId="5" xfId="0" applyFont="1" applyFill="1" applyBorder="1"/>
    <xf numFmtId="0" fontId="0" fillId="0" borderId="5" xfId="0" applyBorder="1"/>
    <xf numFmtId="0" fontId="0" fillId="2" borderId="4" xfId="0" applyFill="1" applyBorder="1"/>
    <xf numFmtId="0" fontId="0" fillId="2" borderId="6" xfId="0" applyFill="1" applyBorder="1"/>
    <xf numFmtId="0" fontId="4" fillId="2" borderId="4" xfId="0" applyFont="1" applyFill="1" applyBorder="1"/>
    <xf numFmtId="0" fontId="7" fillId="2" borderId="0" xfId="0" applyFont="1" applyFill="1"/>
    <xf numFmtId="0" fontId="0" fillId="2" borderId="9" xfId="0" applyFill="1" applyBorder="1"/>
    <xf numFmtId="0" fontId="0" fillId="4" borderId="0" xfId="0" applyFill="1"/>
    <xf numFmtId="0" fontId="0" fillId="5" borderId="0" xfId="0" applyFill="1"/>
    <xf numFmtId="2" fontId="0" fillId="2" borderId="0" xfId="0" applyNumberFormat="1" applyFill="1" applyAlignment="1">
      <alignment horizontal="left"/>
    </xf>
    <xf numFmtId="0" fontId="4" fillId="2" borderId="10" xfId="0" applyFont="1" applyFill="1" applyBorder="1"/>
    <xf numFmtId="0" fontId="4" fillId="2" borderId="11" xfId="0" applyFont="1" applyFill="1" applyBorder="1"/>
    <xf numFmtId="0" fontId="0" fillId="2" borderId="12" xfId="0" applyFill="1" applyBorder="1"/>
    <xf numFmtId="0" fontId="0" fillId="2" borderId="13" xfId="0" applyFill="1" applyBorder="1"/>
    <xf numFmtId="0" fontId="0" fillId="2" borderId="14" xfId="0" applyFill="1" applyBorder="1"/>
    <xf numFmtId="0" fontId="4" fillId="2" borderId="15" xfId="0" applyFont="1" applyFill="1" applyBorder="1"/>
    <xf numFmtId="0" fontId="4" fillId="0" borderId="7" xfId="0" applyFont="1" applyBorder="1"/>
    <xf numFmtId="0" fontId="4" fillId="0" borderId="16" xfId="0" applyFont="1" applyBorder="1"/>
    <xf numFmtId="0" fontId="4" fillId="2" borderId="13" xfId="0" applyFont="1" applyFill="1" applyBorder="1"/>
    <xf numFmtId="0" fontId="4" fillId="2" borderId="14" xfId="0" applyFont="1" applyFill="1" applyBorder="1"/>
    <xf numFmtId="0" fontId="9" fillId="2" borderId="13" xfId="0" applyFont="1" applyFill="1" applyBorder="1"/>
    <xf numFmtId="0" fontId="0" fillId="2" borderId="13" xfId="0" applyFill="1" applyBorder="1" applyAlignment="1">
      <alignment vertical="top"/>
    </xf>
    <xf numFmtId="0" fontId="0" fillId="0" borderId="0" xfId="0" applyAlignment="1">
      <alignment wrapText="1"/>
    </xf>
    <xf numFmtId="0" fontId="0" fillId="0" borderId="14" xfId="0" applyBorder="1" applyAlignment="1">
      <alignment vertical="top"/>
    </xf>
    <xf numFmtId="0" fontId="0" fillId="0" borderId="14" xfId="0" applyBorder="1" applyAlignment="1">
      <alignment vertical="top" wrapText="1"/>
    </xf>
    <xf numFmtId="0" fontId="0" fillId="0" borderId="14" xfId="0" applyBorder="1"/>
    <xf numFmtId="0" fontId="0" fillId="2" borderId="15" xfId="0" applyFill="1" applyBorder="1"/>
    <xf numFmtId="0" fontId="0" fillId="0" borderId="0" xfId="0" applyAlignment="1">
      <alignment vertical="top"/>
    </xf>
    <xf numFmtId="0" fontId="0" fillId="0" borderId="7" xfId="0" applyBorder="1"/>
    <xf numFmtId="0" fontId="0" fillId="0" borderId="16" xfId="0" applyBorder="1"/>
    <xf numFmtId="0" fontId="0" fillId="2" borderId="17" xfId="0" applyFill="1" applyBorder="1"/>
    <xf numFmtId="0" fontId="0" fillId="0" borderId="18" xfId="0" applyBorder="1"/>
    <xf numFmtId="0" fontId="9" fillId="2" borderId="20" xfId="0" applyFont="1" applyFill="1" applyBorder="1"/>
    <xf numFmtId="0" fontId="11" fillId="2" borderId="13" xfId="0" applyFont="1" applyFill="1" applyBorder="1"/>
    <xf numFmtId="0" fontId="0" fillId="0" borderId="19" xfId="0" applyBorder="1"/>
    <xf numFmtId="0" fontId="4" fillId="0" borderId="1" xfId="0" applyFont="1" applyBorder="1"/>
    <xf numFmtId="0" fontId="0" fillId="2" borderId="11" xfId="0" applyFill="1" applyBorder="1"/>
    <xf numFmtId="0" fontId="4" fillId="2" borderId="21" xfId="0" applyFont="1" applyFill="1" applyBorder="1"/>
    <xf numFmtId="0" fontId="0" fillId="2" borderId="23" xfId="0" applyFill="1" applyBorder="1"/>
    <xf numFmtId="0" fontId="0" fillId="2" borderId="24" xfId="0" applyFill="1" applyBorder="1"/>
    <xf numFmtId="0" fontId="0" fillId="2" borderId="21" xfId="0" applyFill="1" applyBorder="1"/>
    <xf numFmtId="0" fontId="0" fillId="2" borderId="22" xfId="0" applyFill="1" applyBorder="1"/>
    <xf numFmtId="9" fontId="0" fillId="2" borderId="0" xfId="1" applyFont="1" applyFill="1" applyBorder="1"/>
    <xf numFmtId="0" fontId="10" fillId="8" borderId="0" xfId="0" applyFont="1" applyFill="1"/>
    <xf numFmtId="0" fontId="0" fillId="0" borderId="25" xfId="0" applyBorder="1"/>
    <xf numFmtId="0" fontId="0" fillId="0" borderId="23" xfId="0" applyBorder="1"/>
    <xf numFmtId="9" fontId="0" fillId="2" borderId="18" xfId="1" applyFont="1" applyFill="1" applyBorder="1"/>
    <xf numFmtId="0" fontId="4" fillId="2" borderId="23" xfId="0" applyFont="1" applyFill="1" applyBorder="1"/>
    <xf numFmtId="0" fontId="4" fillId="2" borderId="24" xfId="0" applyFont="1" applyFill="1" applyBorder="1"/>
    <xf numFmtId="0" fontId="4" fillId="2" borderId="15" xfId="0" applyFont="1" applyFill="1" applyBorder="1" applyAlignment="1">
      <alignment vertical="top" wrapText="1"/>
    </xf>
    <xf numFmtId="0" fontId="4" fillId="0" borderId="7" xfId="0" applyFont="1" applyBorder="1" applyAlignment="1">
      <alignment vertical="top" wrapText="1"/>
    </xf>
    <xf numFmtId="0" fontId="4" fillId="2" borderId="13" xfId="0" applyFont="1" applyFill="1" applyBorder="1" applyAlignment="1">
      <alignment vertical="top" wrapText="1"/>
    </xf>
    <xf numFmtId="0" fontId="4" fillId="2" borderId="5" xfId="0" applyFont="1" applyFill="1" applyBorder="1" applyAlignment="1">
      <alignment vertical="top" wrapText="1"/>
    </xf>
    <xf numFmtId="0" fontId="4" fillId="2" borderId="0" xfId="0" applyFont="1" applyFill="1" applyAlignment="1">
      <alignment vertical="top" wrapText="1"/>
    </xf>
    <xf numFmtId="0" fontId="3" fillId="2" borderId="13" xfId="0" applyFont="1" applyFill="1" applyBorder="1"/>
    <xf numFmtId="0" fontId="4" fillId="2" borderId="7" xfId="0" applyFont="1" applyFill="1" applyBorder="1" applyAlignment="1">
      <alignment vertical="top" wrapText="1"/>
    </xf>
    <xf numFmtId="9" fontId="0" fillId="0" borderId="5" xfId="0" applyNumberFormat="1" applyBorder="1"/>
    <xf numFmtId="0" fontId="4" fillId="2" borderId="3" xfId="0" applyFont="1" applyFill="1" applyBorder="1" applyAlignment="1">
      <alignment vertical="top" wrapText="1"/>
    </xf>
    <xf numFmtId="0" fontId="0" fillId="0" borderId="32" xfId="0" applyBorder="1"/>
    <xf numFmtId="0" fontId="0" fillId="0" borderId="33" xfId="0" applyBorder="1" applyAlignment="1">
      <alignment vertical="top" wrapText="1"/>
    </xf>
    <xf numFmtId="0" fontId="0" fillId="0" borderId="34" xfId="0" applyBorder="1" applyAlignment="1">
      <alignment vertical="top" wrapText="1"/>
    </xf>
    <xf numFmtId="0" fontId="0" fillId="0" borderId="35" xfId="0" applyBorder="1" applyAlignment="1">
      <alignment vertical="top" wrapText="1"/>
    </xf>
    <xf numFmtId="0" fontId="0" fillId="0" borderId="30" xfId="0" applyBorder="1"/>
    <xf numFmtId="0" fontId="0" fillId="0" borderId="31" xfId="0" applyBorder="1"/>
    <xf numFmtId="0" fontId="0" fillId="0" borderId="36" xfId="0"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29" xfId="0" applyBorder="1"/>
    <xf numFmtId="0" fontId="0" fillId="0" borderId="21" xfId="0" applyBorder="1"/>
    <xf numFmtId="0" fontId="0" fillId="0" borderId="42" xfId="0" applyBorder="1"/>
    <xf numFmtId="0" fontId="0" fillId="0" borderId="27" xfId="0" applyBorder="1"/>
    <xf numFmtId="0" fontId="0" fillId="0" borderId="0" xfId="0" applyAlignment="1">
      <alignment vertical="top" wrapText="1"/>
    </xf>
    <xf numFmtId="0" fontId="0" fillId="2" borderId="0" xfId="0" applyFill="1" applyAlignment="1">
      <alignment wrapText="1"/>
    </xf>
    <xf numFmtId="0" fontId="0" fillId="2" borderId="0" xfId="0" applyFill="1" applyAlignment="1">
      <alignment vertical="top" wrapText="1"/>
    </xf>
    <xf numFmtId="0" fontId="4" fillId="0" borderId="14" xfId="0" applyFont="1" applyBorder="1"/>
    <xf numFmtId="0" fontId="4" fillId="0" borderId="8" xfId="0" applyFont="1" applyBorder="1"/>
    <xf numFmtId="0" fontId="0" fillId="2" borderId="18" xfId="0" applyFill="1" applyBorder="1"/>
    <xf numFmtId="0" fontId="0" fillId="2" borderId="19" xfId="0" applyFill="1" applyBorder="1"/>
    <xf numFmtId="0" fontId="15" fillId="0" borderId="14" xfId="0" applyFont="1" applyBorder="1"/>
    <xf numFmtId="0" fontId="10" fillId="8" borderId="18" xfId="0" applyFont="1" applyFill="1" applyBorder="1"/>
    <xf numFmtId="0" fontId="10" fillId="8" borderId="19" xfId="0" applyFont="1" applyFill="1" applyBorder="1"/>
    <xf numFmtId="0" fontId="4" fillId="0" borderId="7" xfId="0" applyFont="1" applyBorder="1" applyAlignment="1">
      <alignment wrapText="1"/>
    </xf>
    <xf numFmtId="9" fontId="0" fillId="0" borderId="0" xfId="1" applyFont="1" applyFill="1" applyBorder="1"/>
    <xf numFmtId="2" fontId="0" fillId="0" borderId="0" xfId="1" applyNumberFormat="1" applyFont="1" applyFill="1" applyBorder="1"/>
    <xf numFmtId="0" fontId="4" fillId="2" borderId="45" xfId="0" applyFont="1" applyFill="1" applyBorder="1"/>
    <xf numFmtId="0" fontId="8" fillId="0" borderId="21" xfId="0" applyFont="1" applyBorder="1" applyAlignment="1">
      <alignment vertical="top" wrapText="1"/>
    </xf>
    <xf numFmtId="0" fontId="8" fillId="0" borderId="21" xfId="0" applyFont="1" applyBorder="1" applyAlignment="1">
      <alignment horizontal="left" vertical="top" wrapText="1"/>
    </xf>
    <xf numFmtId="0" fontId="16" fillId="2" borderId="0" xfId="0" applyFont="1" applyFill="1" applyAlignment="1">
      <alignment vertical="center"/>
    </xf>
    <xf numFmtId="0" fontId="16" fillId="2" borderId="0" xfId="0" applyFont="1" applyFill="1" applyAlignment="1">
      <alignment horizontal="center" vertical="center"/>
    </xf>
    <xf numFmtId="0" fontId="0" fillId="2" borderId="0" xfId="0" applyFill="1" applyAlignment="1">
      <alignment horizontal="left" vertical="center"/>
    </xf>
    <xf numFmtId="0" fontId="5" fillId="2" borderId="0" xfId="0" applyFont="1" applyFill="1" applyAlignment="1">
      <alignment vertical="center"/>
    </xf>
    <xf numFmtId="0" fontId="4" fillId="2" borderId="1" xfId="0" applyFont="1" applyFill="1" applyBorder="1" applyAlignment="1">
      <alignment vertical="center"/>
    </xf>
    <xf numFmtId="0" fontId="16" fillId="2" borderId="2" xfId="0" applyFont="1" applyFill="1" applyBorder="1" applyAlignment="1">
      <alignment vertical="center"/>
    </xf>
    <xf numFmtId="0" fontId="16" fillId="2" borderId="3" xfId="0" applyFont="1" applyFill="1" applyBorder="1" applyAlignment="1">
      <alignment vertical="center"/>
    </xf>
    <xf numFmtId="0" fontId="0" fillId="2" borderId="6" xfId="0" applyFill="1" applyBorder="1" applyAlignment="1">
      <alignment horizontal="left" vertical="top"/>
    </xf>
    <xf numFmtId="0" fontId="16" fillId="2" borderId="7" xfId="0" applyFont="1" applyFill="1" applyBorder="1" applyAlignment="1">
      <alignment vertical="center"/>
    </xf>
    <xf numFmtId="0" fontId="16" fillId="2" borderId="8" xfId="0" applyFont="1" applyFill="1" applyBorder="1" applyAlignment="1">
      <alignment vertical="center"/>
    </xf>
    <xf numFmtId="0" fontId="0" fillId="7" borderId="0" xfId="0" applyFill="1"/>
    <xf numFmtId="0" fontId="0" fillId="4" borderId="25" xfId="0" applyFill="1" applyBorder="1"/>
    <xf numFmtId="0" fontId="0" fillId="6" borderId="25" xfId="0" applyFill="1" applyBorder="1"/>
    <xf numFmtId="0" fontId="8" fillId="0" borderId="0" xfId="0" applyFont="1" applyAlignment="1">
      <alignment horizontal="left" vertical="top" wrapText="1"/>
    </xf>
    <xf numFmtId="0" fontId="14" fillId="2" borderId="45" xfId="0" applyFont="1" applyFill="1" applyBorder="1"/>
    <xf numFmtId="0" fontId="14" fillId="2" borderId="23" xfId="0" applyFont="1" applyFill="1" applyBorder="1"/>
    <xf numFmtId="0" fontId="8" fillId="2" borderId="23" xfId="0" applyFont="1" applyFill="1" applyBorder="1"/>
    <xf numFmtId="0" fontId="17" fillId="2" borderId="0" xfId="0" applyFont="1" applyFill="1" applyAlignment="1">
      <alignment horizontal="left" vertical="center"/>
    </xf>
    <xf numFmtId="0" fontId="0" fillId="2" borderId="14" xfId="0" applyFill="1" applyBorder="1" applyAlignment="1">
      <alignment vertical="top"/>
    </xf>
    <xf numFmtId="0" fontId="9" fillId="2" borderId="20" xfId="0" applyFont="1" applyFill="1" applyBorder="1" applyAlignment="1">
      <alignment vertical="top"/>
    </xf>
    <xf numFmtId="0" fontId="0" fillId="2" borderId="44" xfId="0" applyFill="1" applyBorder="1" applyAlignment="1">
      <alignment vertical="top"/>
    </xf>
    <xf numFmtId="0" fontId="0" fillId="2" borderId="44" xfId="0" applyFill="1" applyBorder="1"/>
    <xf numFmtId="0" fontId="10" fillId="0" borderId="0" xfId="0" applyFont="1"/>
    <xf numFmtId="0" fontId="0" fillId="2" borderId="0" xfId="0" applyFill="1" applyAlignment="1">
      <alignment vertical="top"/>
    </xf>
    <xf numFmtId="0" fontId="0" fillId="2" borderId="7" xfId="0" applyFill="1" applyBorder="1" applyAlignment="1">
      <alignment vertical="top"/>
    </xf>
    <xf numFmtId="0" fontId="0" fillId="2" borderId="18" xfId="0" applyFill="1" applyBorder="1" applyAlignment="1">
      <alignment vertical="top"/>
    </xf>
    <xf numFmtId="0" fontId="0" fillId="2" borderId="19" xfId="0" applyFill="1" applyBorder="1" applyAlignment="1">
      <alignment vertical="top"/>
    </xf>
    <xf numFmtId="0" fontId="4" fillId="2" borderId="16" xfId="0" applyFont="1" applyFill="1" applyBorder="1"/>
    <xf numFmtId="0" fontId="8" fillId="0" borderId="14" xfId="0" applyFont="1" applyBorder="1"/>
    <xf numFmtId="0" fontId="9" fillId="2" borderId="15" xfId="0" applyFont="1" applyFill="1" applyBorder="1"/>
    <xf numFmtId="0" fontId="8" fillId="2" borderId="0" xfId="0" applyFont="1" applyFill="1"/>
    <xf numFmtId="0" fontId="4" fillId="0" borderId="16" xfId="0" applyFont="1" applyBorder="1" applyAlignment="1">
      <alignment vertical="top" wrapText="1"/>
    </xf>
    <xf numFmtId="0" fontId="4" fillId="2" borderId="14" xfId="0" applyFont="1" applyFill="1" applyBorder="1" applyAlignment="1">
      <alignment vertical="top" wrapText="1"/>
    </xf>
    <xf numFmtId="164" fontId="4" fillId="2" borderId="18" xfId="0" applyNumberFormat="1" applyFont="1" applyFill="1" applyBorder="1" applyAlignment="1">
      <alignment vertical="top" wrapText="1"/>
    </xf>
    <xf numFmtId="0" fontId="0" fillId="0" borderId="44" xfId="0" applyBorder="1"/>
    <xf numFmtId="0" fontId="0" fillId="2" borderId="46" xfId="0" applyFill="1" applyBorder="1"/>
    <xf numFmtId="0" fontId="3" fillId="2" borderId="15" xfId="0" applyFont="1" applyFill="1" applyBorder="1"/>
    <xf numFmtId="1" fontId="4" fillId="2" borderId="22" xfId="1" applyNumberFormat="1" applyFont="1" applyFill="1" applyBorder="1"/>
    <xf numFmtId="2" fontId="0" fillId="2" borderId="0" xfId="0" applyNumberFormat="1" applyFill="1"/>
    <xf numFmtId="0" fontId="0" fillId="2" borderId="47" xfId="0" applyFill="1" applyBorder="1"/>
    <xf numFmtId="164" fontId="4" fillId="2" borderId="23" xfId="0" applyNumberFormat="1" applyFont="1" applyFill="1" applyBorder="1"/>
    <xf numFmtId="165" fontId="0" fillId="2" borderId="23" xfId="0" applyNumberFormat="1" applyFill="1" applyBorder="1"/>
    <xf numFmtId="165" fontId="0" fillId="2" borderId="23" xfId="1" applyNumberFormat="1" applyFont="1" applyFill="1" applyBorder="1"/>
    <xf numFmtId="165" fontId="0" fillId="2" borderId="21" xfId="0" applyNumberFormat="1" applyFill="1" applyBorder="1"/>
    <xf numFmtId="0" fontId="4" fillId="2" borderId="43" xfId="0" applyFont="1" applyFill="1" applyBorder="1"/>
    <xf numFmtId="0" fontId="0" fillId="2" borderId="27" xfId="0" applyFill="1" applyBorder="1"/>
    <xf numFmtId="0" fontId="0" fillId="11" borderId="0" xfId="0" applyFill="1"/>
    <xf numFmtId="0" fontId="0" fillId="12" borderId="0" xfId="0" applyFill="1"/>
    <xf numFmtId="0" fontId="0" fillId="9" borderId="0" xfId="0" applyFill="1"/>
    <xf numFmtId="0" fontId="0" fillId="6" borderId="0" xfId="0" applyFill="1"/>
    <xf numFmtId="0" fontId="0" fillId="13" borderId="0" xfId="0" applyFill="1"/>
    <xf numFmtId="2" fontId="0" fillId="2" borderId="18" xfId="1" applyNumberFormat="1" applyFont="1" applyFill="1" applyBorder="1"/>
    <xf numFmtId="0" fontId="4" fillId="0" borderId="11" xfId="0" applyFont="1" applyBorder="1" applyAlignment="1">
      <alignment wrapText="1"/>
    </xf>
    <xf numFmtId="0" fontId="4" fillId="0" borderId="12" xfId="0" applyFont="1" applyBorder="1" applyAlignment="1">
      <alignment wrapText="1"/>
    </xf>
    <xf numFmtId="0" fontId="15" fillId="8" borderId="3" xfId="0" applyFont="1" applyFill="1" applyBorder="1"/>
    <xf numFmtId="0" fontId="10" fillId="8" borderId="47" xfId="0" applyFont="1" applyFill="1" applyBorder="1"/>
    <xf numFmtId="165" fontId="0" fillId="2" borderId="9" xfId="1" applyNumberFormat="1" applyFont="1" applyFill="1" applyBorder="1"/>
    <xf numFmtId="165" fontId="0" fillId="2" borderId="0" xfId="1" applyNumberFormat="1" applyFont="1" applyFill="1" applyBorder="1"/>
    <xf numFmtId="0" fontId="0" fillId="9" borderId="25" xfId="0" applyFill="1" applyBorder="1"/>
    <xf numFmtId="0" fontId="0" fillId="13" borderId="25" xfId="0" applyFill="1" applyBorder="1"/>
    <xf numFmtId="9" fontId="0" fillId="2" borderId="2" xfId="1" applyFont="1" applyFill="1" applyBorder="1"/>
    <xf numFmtId="0" fontId="8" fillId="13" borderId="25" xfId="0" applyFont="1" applyFill="1" applyBorder="1"/>
    <xf numFmtId="0" fontId="0" fillId="11" borderId="25" xfId="0" applyFill="1" applyBorder="1"/>
    <xf numFmtId="0" fontId="8" fillId="7" borderId="25" xfId="0" applyFont="1" applyFill="1" applyBorder="1"/>
    <xf numFmtId="0" fontId="4" fillId="2" borderId="49" xfId="0" applyFont="1" applyFill="1" applyBorder="1"/>
    <xf numFmtId="0" fontId="0" fillId="2" borderId="37" xfId="0" applyFill="1" applyBorder="1"/>
    <xf numFmtId="0" fontId="4" fillId="2" borderId="29" xfId="0" applyFont="1" applyFill="1" applyBorder="1" applyAlignment="1">
      <alignment vertical="top" wrapText="1"/>
    </xf>
    <xf numFmtId="0" fontId="3" fillId="2" borderId="37" xfId="0" applyFont="1" applyFill="1" applyBorder="1"/>
    <xf numFmtId="0" fontId="8" fillId="2" borderId="37" xfId="0" applyFont="1" applyFill="1" applyBorder="1" applyAlignment="1">
      <alignment wrapText="1"/>
    </xf>
    <xf numFmtId="0" fontId="3" fillId="2" borderId="42" xfId="0" applyFont="1" applyFill="1" applyBorder="1"/>
    <xf numFmtId="165" fontId="0" fillId="0" borderId="0" xfId="0" applyNumberFormat="1"/>
    <xf numFmtId="165" fontId="0" fillId="2" borderId="0" xfId="0" applyNumberFormat="1" applyFill="1"/>
    <xf numFmtId="165" fontId="0" fillId="0" borderId="0" xfId="1" applyNumberFormat="1" applyFont="1" applyFill="1" applyBorder="1"/>
    <xf numFmtId="0" fontId="3" fillId="2" borderId="17" xfId="0" applyFont="1" applyFill="1" applyBorder="1"/>
    <xf numFmtId="1" fontId="4" fillId="2" borderId="46" xfId="1" applyNumberFormat="1" applyFont="1" applyFill="1" applyBorder="1"/>
    <xf numFmtId="0" fontId="4" fillId="0" borderId="16" xfId="0" applyFont="1" applyBorder="1" applyAlignment="1">
      <alignment wrapText="1"/>
    </xf>
    <xf numFmtId="165" fontId="0" fillId="2" borderId="26" xfId="1" applyNumberFormat="1" applyFont="1" applyFill="1" applyBorder="1"/>
    <xf numFmtId="9" fontId="0" fillId="0" borderId="0" xfId="0" applyNumberFormat="1"/>
    <xf numFmtId="0" fontId="0" fillId="2" borderId="50" xfId="0" applyFill="1" applyBorder="1"/>
    <xf numFmtId="0" fontId="4" fillId="2" borderId="51" xfId="0" applyFont="1" applyFill="1" applyBorder="1" applyAlignment="1">
      <alignment vertical="top" wrapText="1"/>
    </xf>
    <xf numFmtId="0" fontId="4" fillId="2" borderId="33" xfId="0" applyFont="1" applyFill="1" applyBorder="1" applyAlignment="1">
      <alignment vertical="top" wrapText="1"/>
    </xf>
    <xf numFmtId="0" fontId="4" fillId="2" borderId="52" xfId="0" applyFont="1" applyFill="1" applyBorder="1" applyAlignment="1">
      <alignment vertical="top" wrapText="1"/>
    </xf>
    <xf numFmtId="1" fontId="0" fillId="2" borderId="0" xfId="0" applyNumberFormat="1" applyFill="1" applyAlignment="1">
      <alignment horizontal="left"/>
    </xf>
    <xf numFmtId="0" fontId="8" fillId="2" borderId="0" xfId="0" applyFont="1" applyFill="1" applyAlignment="1">
      <alignment vertical="top" wrapText="1"/>
    </xf>
    <xf numFmtId="0" fontId="8" fillId="2" borderId="21" xfId="0" applyFont="1" applyFill="1" applyBorder="1" applyAlignment="1">
      <alignment vertical="top" wrapText="1"/>
    </xf>
    <xf numFmtId="0" fontId="4" fillId="2" borderId="10" xfId="0" applyFont="1" applyFill="1" applyBorder="1" applyAlignment="1">
      <alignment vertical="top"/>
    </xf>
    <xf numFmtId="0" fontId="0" fillId="2" borderId="0" xfId="0" applyFill="1" applyAlignment="1">
      <alignment horizontal="left" vertical="top" wrapText="1"/>
    </xf>
    <xf numFmtId="0" fontId="8" fillId="2" borderId="3" xfId="0" applyFont="1" applyFill="1" applyBorder="1"/>
    <xf numFmtId="11" fontId="0" fillId="0" borderId="39" xfId="0" applyNumberFormat="1" applyBorder="1"/>
    <xf numFmtId="0" fontId="19" fillId="0" borderId="0" xfId="0" applyFont="1"/>
    <xf numFmtId="166" fontId="0" fillId="2" borderId="0" xfId="0" applyNumberFormat="1" applyFill="1" applyAlignment="1">
      <alignment horizontal="left"/>
    </xf>
    <xf numFmtId="0" fontId="4" fillId="2" borderId="1" xfId="0" applyFont="1" applyFill="1" applyBorder="1" applyAlignment="1">
      <alignment vertical="top"/>
    </xf>
    <xf numFmtId="0" fontId="21" fillId="2" borderId="6" xfId="0" applyFont="1" applyFill="1" applyBorder="1" applyAlignment="1">
      <alignment vertical="top"/>
    </xf>
    <xf numFmtId="0" fontId="21" fillId="2" borderId="4" xfId="0" applyFont="1" applyFill="1" applyBorder="1" applyAlignment="1">
      <alignment vertical="top"/>
    </xf>
    <xf numFmtId="0" fontId="21" fillId="2" borderId="4" xfId="0" applyFont="1" applyFill="1" applyBorder="1"/>
    <xf numFmtId="0" fontId="0" fillId="2" borderId="7" xfId="0" applyFill="1" applyBorder="1" applyAlignment="1">
      <alignment horizontal="left"/>
    </xf>
    <xf numFmtId="0" fontId="22" fillId="2" borderId="7" xfId="0" applyFont="1" applyFill="1" applyBorder="1"/>
    <xf numFmtId="3" fontId="8" fillId="0" borderId="0" xfId="1" applyNumberFormat="1" applyFont="1" applyFill="1" applyBorder="1"/>
    <xf numFmtId="3" fontId="0" fillId="2" borderId="18" xfId="1" applyNumberFormat="1" applyFont="1" applyFill="1" applyBorder="1"/>
    <xf numFmtId="3" fontId="0" fillId="2" borderId="26" xfId="1" applyNumberFormat="1" applyFont="1" applyFill="1" applyBorder="1"/>
    <xf numFmtId="3" fontId="0" fillId="2" borderId="9" xfId="1" applyNumberFormat="1" applyFont="1" applyFill="1" applyBorder="1"/>
    <xf numFmtId="3" fontId="0" fillId="2" borderId="0" xfId="1" applyNumberFormat="1" applyFont="1" applyFill="1" applyBorder="1"/>
    <xf numFmtId="3" fontId="0" fillId="0" borderId="0" xfId="0" applyNumberFormat="1" applyAlignment="1">
      <alignment vertical="top" wrapText="1"/>
    </xf>
    <xf numFmtId="3" fontId="0" fillId="0" borderId="14" xfId="0" applyNumberFormat="1" applyBorder="1" applyAlignment="1">
      <alignment vertical="top" wrapText="1"/>
    </xf>
    <xf numFmtId="3" fontId="4" fillId="0" borderId="0" xfId="0" applyNumberFormat="1" applyFont="1" applyAlignment="1">
      <alignment vertical="top" wrapText="1"/>
    </xf>
    <xf numFmtId="3" fontId="0" fillId="0" borderId="24" xfId="1" applyNumberFormat="1" applyFont="1" applyFill="1" applyBorder="1"/>
    <xf numFmtId="3" fontId="0" fillId="0" borderId="0" xfId="1" applyNumberFormat="1" applyFont="1" applyFill="1" applyBorder="1"/>
    <xf numFmtId="3" fontId="0" fillId="2" borderId="2" xfId="1" applyNumberFormat="1" applyFont="1" applyFill="1" applyBorder="1"/>
    <xf numFmtId="0" fontId="0" fillId="2" borderId="0" xfId="0" applyFill="1" applyAlignment="1">
      <alignment horizontal="left"/>
    </xf>
    <xf numFmtId="0" fontId="0" fillId="2" borderId="0" xfId="0" applyFill="1" applyAlignment="1">
      <alignment horizontal="center"/>
    </xf>
    <xf numFmtId="0" fontId="0" fillId="2" borderId="11" xfId="0" applyFill="1" applyBorder="1" applyAlignment="1">
      <alignment horizontal="left"/>
    </xf>
    <xf numFmtId="0" fontId="4" fillId="2" borderId="0" xfId="0" applyFont="1" applyFill="1" applyAlignment="1">
      <alignment horizontal="left"/>
    </xf>
    <xf numFmtId="0" fontId="0" fillId="2" borderId="18" xfId="0" applyFill="1" applyBorder="1" applyAlignment="1">
      <alignment horizontal="left"/>
    </xf>
    <xf numFmtId="0" fontId="7" fillId="2" borderId="0" xfId="0" applyFont="1" applyFill="1" applyAlignment="1">
      <alignment horizontal="left"/>
    </xf>
    <xf numFmtId="0" fontId="21" fillId="2" borderId="1" xfId="0" applyFont="1" applyFill="1" applyBorder="1"/>
    <xf numFmtId="0" fontId="21" fillId="2" borderId="3" xfId="0" applyFont="1" applyFill="1" applyBorder="1"/>
    <xf numFmtId="0" fontId="21" fillId="2" borderId="5" xfId="0" applyFont="1" applyFill="1" applyBorder="1"/>
    <xf numFmtId="0" fontId="23" fillId="2" borderId="6" xfId="0" applyFont="1" applyFill="1" applyBorder="1"/>
    <xf numFmtId="0" fontId="23" fillId="2" borderId="8" xfId="0" applyFont="1" applyFill="1" applyBorder="1"/>
    <xf numFmtId="1" fontId="21" fillId="2" borderId="5" xfId="0" applyNumberFormat="1" applyFont="1" applyFill="1" applyBorder="1"/>
    <xf numFmtId="0" fontId="21" fillId="2" borderId="4" xfId="0" applyFont="1" applyFill="1" applyBorder="1" applyAlignment="1">
      <alignment wrapText="1"/>
    </xf>
    <xf numFmtId="0" fontId="0" fillId="2" borderId="28" xfId="0" applyFill="1" applyBorder="1"/>
    <xf numFmtId="9" fontId="0" fillId="2" borderId="39" xfId="1" applyFont="1" applyFill="1" applyBorder="1"/>
    <xf numFmtId="0" fontId="24" fillId="0" borderId="0" xfId="0" applyFont="1"/>
    <xf numFmtId="9" fontId="4" fillId="2" borderId="19" xfId="1" applyFont="1" applyFill="1" applyBorder="1"/>
    <xf numFmtId="9" fontId="10" fillId="8" borderId="18" xfId="0" applyNumberFormat="1" applyFont="1" applyFill="1" applyBorder="1"/>
    <xf numFmtId="165" fontId="4" fillId="0" borderId="24" xfId="1" applyNumberFormat="1" applyFont="1" applyFill="1" applyBorder="1"/>
    <xf numFmtId="165" fontId="4" fillId="2" borderId="0" xfId="0" applyNumberFormat="1" applyFont="1" applyFill="1"/>
    <xf numFmtId="165" fontId="4" fillId="0" borderId="0" xfId="0" applyNumberFormat="1" applyFont="1"/>
    <xf numFmtId="165" fontId="15" fillId="0" borderId="14" xfId="1" applyNumberFormat="1" applyFont="1" applyFill="1" applyBorder="1"/>
    <xf numFmtId="165" fontId="4" fillId="2" borderId="14" xfId="1" applyNumberFormat="1" applyFont="1" applyFill="1" applyBorder="1"/>
    <xf numFmtId="165" fontId="0" fillId="2" borderId="2" xfId="1" applyNumberFormat="1" applyFont="1" applyFill="1" applyBorder="1"/>
    <xf numFmtId="165" fontId="4" fillId="2" borderId="44" xfId="1" applyNumberFormat="1" applyFont="1" applyFill="1" applyBorder="1"/>
    <xf numFmtId="165" fontId="15" fillId="2" borderId="14" xfId="1" applyNumberFormat="1" applyFont="1" applyFill="1" applyBorder="1"/>
    <xf numFmtId="165" fontId="15" fillId="2" borderId="19" xfId="1" applyNumberFormat="1" applyFont="1" applyFill="1" applyBorder="1"/>
    <xf numFmtId="165" fontId="4" fillId="0" borderId="14" xfId="1" applyNumberFormat="1" applyFont="1" applyFill="1" applyBorder="1"/>
    <xf numFmtId="0" fontId="0" fillId="0" borderId="25" xfId="0" applyBorder="1" applyAlignment="1">
      <alignment wrapText="1"/>
    </xf>
    <xf numFmtId="3" fontId="0" fillId="0" borderId="0" xfId="0" applyNumberFormat="1"/>
    <xf numFmtId="0" fontId="7" fillId="2" borderId="0" xfId="0" applyFont="1" applyFill="1" applyAlignment="1">
      <alignment horizontal="left" indent="1"/>
    </xf>
    <xf numFmtId="0" fontId="25" fillId="2" borderId="1" xfId="0" applyFont="1" applyFill="1" applyBorder="1"/>
    <xf numFmtId="0" fontId="8" fillId="2" borderId="4" xfId="0" applyFont="1" applyFill="1" applyBorder="1"/>
    <xf numFmtId="0" fontId="8" fillId="2" borderId="5" xfId="0" applyFont="1" applyFill="1" applyBorder="1"/>
    <xf numFmtId="0" fontId="8" fillId="2" borderId="6" xfId="0" applyFont="1" applyFill="1" applyBorder="1"/>
    <xf numFmtId="3" fontId="8" fillId="2" borderId="8" xfId="0" applyNumberFormat="1" applyFont="1" applyFill="1" applyBorder="1"/>
    <xf numFmtId="0" fontId="0" fillId="2" borderId="49" xfId="0" applyFill="1" applyBorder="1"/>
    <xf numFmtId="0" fontId="4" fillId="0" borderId="29" xfId="0" applyFont="1" applyBorder="1" applyAlignment="1">
      <alignment vertical="top" wrapText="1"/>
    </xf>
    <xf numFmtId="0" fontId="4" fillId="2" borderId="37" xfId="0" applyFont="1" applyFill="1" applyBorder="1" applyAlignment="1">
      <alignment vertical="top" wrapText="1"/>
    </xf>
    <xf numFmtId="3" fontId="26" fillId="0" borderId="37" xfId="0" applyNumberFormat="1" applyFont="1" applyBorder="1" applyAlignment="1">
      <alignment vertical="top"/>
    </xf>
    <xf numFmtId="3" fontId="8" fillId="0" borderId="14" xfId="0" applyNumberFormat="1" applyFont="1" applyBorder="1" applyAlignment="1">
      <alignment vertical="top"/>
    </xf>
    <xf numFmtId="1" fontId="8" fillId="2" borderId="0" xfId="0" applyNumberFormat="1" applyFont="1" applyFill="1"/>
    <xf numFmtId="0" fontId="26" fillId="2" borderId="19" xfId="0" applyFont="1" applyFill="1" applyBorder="1" applyAlignment="1">
      <alignment horizontal="right"/>
    </xf>
    <xf numFmtId="0" fontId="25" fillId="2" borderId="42" xfId="0" applyFont="1" applyFill="1" applyBorder="1" applyAlignment="1">
      <alignment horizontal="right"/>
    </xf>
    <xf numFmtId="0" fontId="4" fillId="2" borderId="11" xfId="0" applyFont="1" applyFill="1" applyBorder="1" applyAlignment="1">
      <alignment vertical="top"/>
    </xf>
    <xf numFmtId="0" fontId="15" fillId="8" borderId="0" xfId="0" applyFont="1" applyFill="1"/>
    <xf numFmtId="0" fontId="10" fillId="8" borderId="2" xfId="0" applyFont="1" applyFill="1" applyBorder="1"/>
    <xf numFmtId="0" fontId="10" fillId="3" borderId="0" xfId="0" applyFont="1" applyFill="1"/>
    <xf numFmtId="0" fontId="27" fillId="8" borderId="20" xfId="0" applyFont="1" applyFill="1" applyBorder="1"/>
    <xf numFmtId="0" fontId="27" fillId="8" borderId="13" xfId="0" applyFont="1" applyFill="1" applyBorder="1"/>
    <xf numFmtId="0" fontId="27" fillId="3" borderId="13" xfId="0" applyFont="1" applyFill="1" applyBorder="1"/>
    <xf numFmtId="0" fontId="27" fillId="8" borderId="17" xfId="0" applyFont="1" applyFill="1" applyBorder="1"/>
    <xf numFmtId="0" fontId="4" fillId="2" borderId="28" xfId="0" applyFont="1" applyFill="1" applyBorder="1" applyAlignment="1">
      <alignment vertical="top"/>
    </xf>
    <xf numFmtId="167" fontId="0" fillId="0" borderId="0" xfId="0" applyNumberFormat="1"/>
    <xf numFmtId="165" fontId="15" fillId="8" borderId="0" xfId="0" applyNumberFormat="1" applyFont="1" applyFill="1"/>
    <xf numFmtId="0" fontId="10" fillId="8" borderId="14" xfId="0" applyFont="1" applyFill="1" applyBorder="1"/>
    <xf numFmtId="2" fontId="10" fillId="0" borderId="0" xfId="0" applyNumberFormat="1" applyFont="1"/>
    <xf numFmtId="165" fontId="15" fillId="0" borderId="0" xfId="1" applyNumberFormat="1" applyFont="1" applyBorder="1"/>
    <xf numFmtId="0" fontId="10" fillId="8" borderId="7" xfId="0" applyFont="1" applyFill="1" applyBorder="1"/>
    <xf numFmtId="165" fontId="10" fillId="8" borderId="7" xfId="0" applyNumberFormat="1" applyFont="1" applyFill="1" applyBorder="1"/>
    <xf numFmtId="165" fontId="15" fillId="8" borderId="7" xfId="0" applyNumberFormat="1" applyFont="1" applyFill="1" applyBorder="1"/>
    <xf numFmtId="0" fontId="10" fillId="8" borderId="16" xfId="0" applyFont="1" applyFill="1" applyBorder="1"/>
    <xf numFmtId="165" fontId="0" fillId="2" borderId="7" xfId="0" applyNumberFormat="1" applyFill="1" applyBorder="1"/>
    <xf numFmtId="165" fontId="4" fillId="2" borderId="7" xfId="0" applyNumberFormat="1" applyFont="1" applyFill="1" applyBorder="1"/>
    <xf numFmtId="0" fontId="0" fillId="2" borderId="16" xfId="0" applyFill="1" applyBorder="1"/>
    <xf numFmtId="0" fontId="27" fillId="8" borderId="15" xfId="0" applyFont="1" applyFill="1" applyBorder="1"/>
    <xf numFmtId="165" fontId="10" fillId="0" borderId="0" xfId="0" applyNumberFormat="1" applyFont="1"/>
    <xf numFmtId="0" fontId="4" fillId="2" borderId="0" xfId="0" applyFont="1" applyFill="1" applyAlignment="1">
      <alignment wrapText="1"/>
    </xf>
    <xf numFmtId="165" fontId="0" fillId="0" borderId="2" xfId="0" applyNumberFormat="1" applyBorder="1"/>
    <xf numFmtId="0" fontId="0" fillId="5" borderId="25" xfId="0" applyFill="1" applyBorder="1"/>
    <xf numFmtId="0" fontId="9" fillId="2" borderId="17" xfId="0" applyFont="1" applyFill="1" applyBorder="1"/>
    <xf numFmtId="0" fontId="9" fillId="2" borderId="10" xfId="0" applyFont="1" applyFill="1" applyBorder="1"/>
    <xf numFmtId="0" fontId="0" fillId="2" borderId="1" xfId="0" applyFill="1" applyBorder="1"/>
    <xf numFmtId="166" fontId="10" fillId="0" borderId="4" xfId="0" applyNumberFormat="1" applyFont="1" applyBorder="1" applyAlignment="1">
      <alignment horizontal="left" vertical="top"/>
    </xf>
    <xf numFmtId="166" fontId="0" fillId="0" borderId="4" xfId="0" applyNumberFormat="1" applyBorder="1" applyAlignment="1">
      <alignment horizontal="left" vertical="top"/>
    </xf>
    <xf numFmtId="166" fontId="0" fillId="0" borderId="6" xfId="0" applyNumberFormat="1" applyBorder="1" applyAlignment="1">
      <alignment horizontal="left" vertical="top"/>
    </xf>
    <xf numFmtId="2" fontId="0" fillId="0" borderId="5" xfId="0" applyNumberFormat="1" applyBorder="1" applyAlignment="1">
      <alignment vertical="top"/>
    </xf>
    <xf numFmtId="0" fontId="0" fillId="0" borderId="5" xfId="0" applyBorder="1" applyAlignment="1">
      <alignment vertical="top"/>
    </xf>
    <xf numFmtId="0" fontId="0" fillId="0" borderId="8" xfId="0" applyBorder="1" applyAlignment="1">
      <alignment vertical="top"/>
    </xf>
    <xf numFmtId="0" fontId="28" fillId="0" borderId="0" xfId="0" applyFont="1"/>
    <xf numFmtId="2" fontId="0" fillId="2" borderId="0" xfId="1" applyNumberFormat="1" applyFont="1" applyFill="1" applyBorder="1"/>
    <xf numFmtId="0" fontId="0" fillId="2" borderId="24" xfId="0" applyFill="1" applyBorder="1" applyAlignment="1">
      <alignment wrapText="1"/>
    </xf>
    <xf numFmtId="165" fontId="8" fillId="2" borderId="23" xfId="0" applyNumberFormat="1" applyFont="1" applyFill="1" applyBorder="1"/>
    <xf numFmtId="0" fontId="4" fillId="0" borderId="21" xfId="0" applyFont="1" applyBorder="1"/>
    <xf numFmtId="0" fontId="4" fillId="2" borderId="7" xfId="0" applyFont="1" applyFill="1" applyBorder="1"/>
    <xf numFmtId="0" fontId="4" fillId="2" borderId="7" xfId="0" applyFont="1" applyFill="1" applyBorder="1" applyAlignment="1">
      <alignment horizontal="left"/>
    </xf>
    <xf numFmtId="0" fontId="4" fillId="2" borderId="8" xfId="0" applyFont="1" applyFill="1" applyBorder="1"/>
    <xf numFmtId="0" fontId="8" fillId="2" borderId="33" xfId="0" quotePrefix="1" applyFont="1" applyFill="1" applyBorder="1"/>
    <xf numFmtId="0" fontId="8" fillId="2" borderId="33" xfId="0" applyFont="1" applyFill="1" applyBorder="1"/>
    <xf numFmtId="0" fontId="8" fillId="2" borderId="7" xfId="0" applyFont="1" applyFill="1" applyBorder="1" applyAlignment="1">
      <alignment horizontal="left"/>
    </xf>
    <xf numFmtId="0" fontId="4" fillId="2" borderId="51" xfId="0" applyFont="1" applyFill="1" applyBorder="1"/>
    <xf numFmtId="0" fontId="0" fillId="2" borderId="33" xfId="0" applyFill="1" applyBorder="1"/>
    <xf numFmtId="0" fontId="14" fillId="2" borderId="53" xfId="0" quotePrefix="1" applyFont="1" applyFill="1" applyBorder="1"/>
    <xf numFmtId="0" fontId="8" fillId="2" borderId="54" xfId="0" applyFont="1" applyFill="1" applyBorder="1"/>
    <xf numFmtId="0" fontId="0" fillId="2" borderId="43" xfId="0" applyFill="1" applyBorder="1"/>
    <xf numFmtId="0" fontId="4" fillId="2" borderId="13" xfId="0" applyFont="1" applyFill="1" applyBorder="1" applyAlignment="1">
      <alignment wrapText="1"/>
    </xf>
    <xf numFmtId="0" fontId="8" fillId="2" borderId="3" xfId="0" applyFont="1" applyFill="1" applyBorder="1" applyAlignment="1">
      <alignment horizontal="left"/>
    </xf>
    <xf numFmtId="0" fontId="8" fillId="8" borderId="6" xfId="0" applyFont="1" applyFill="1" applyBorder="1" applyAlignment="1">
      <alignment horizontal="left"/>
    </xf>
    <xf numFmtId="0" fontId="14" fillId="2" borderId="4" xfId="0" applyFont="1" applyFill="1" applyBorder="1" applyAlignment="1">
      <alignment vertical="center" wrapText="1"/>
    </xf>
    <xf numFmtId="0" fontId="14" fillId="2" borderId="0" xfId="0" applyFont="1" applyFill="1" applyAlignment="1">
      <alignment vertical="center" wrapText="1"/>
    </xf>
    <xf numFmtId="2" fontId="14" fillId="2" borderId="14" xfId="0" applyNumberFormat="1" applyFont="1" applyFill="1" applyBorder="1" applyAlignment="1">
      <alignment vertical="center" wrapText="1"/>
    </xf>
    <xf numFmtId="0" fontId="0" fillId="2" borderId="4" xfId="0" applyFill="1" applyBorder="1" applyAlignment="1">
      <alignment horizontal="left"/>
    </xf>
    <xf numFmtId="0" fontId="4" fillId="2" borderId="4" xfId="0" applyFont="1" applyFill="1" applyBorder="1" applyAlignment="1">
      <alignment vertical="top" wrapText="1"/>
    </xf>
    <xf numFmtId="0" fontId="0" fillId="0" borderId="4" xfId="0" applyBorder="1"/>
    <xf numFmtId="0" fontId="0" fillId="2" borderId="48" xfId="0" applyFill="1" applyBorder="1"/>
    <xf numFmtId="0" fontId="8" fillId="8" borderId="1" xfId="0" applyFont="1" applyFill="1" applyBorder="1" applyAlignment="1">
      <alignment horizontal="left"/>
    </xf>
    <xf numFmtId="0" fontId="26" fillId="2" borderId="4" xfId="0" applyFont="1" applyFill="1" applyBorder="1" applyAlignment="1">
      <alignment vertical="top" wrapText="1"/>
    </xf>
    <xf numFmtId="2" fontId="8" fillId="2" borderId="14" xfId="0" applyNumberFormat="1" applyFont="1" applyFill="1" applyBorder="1"/>
    <xf numFmtId="2" fontId="8" fillId="2" borderId="0" xfId="0" applyNumberFormat="1" applyFont="1" applyFill="1"/>
    <xf numFmtId="0" fontId="8" fillId="2" borderId="48" xfId="0" applyFont="1" applyFill="1" applyBorder="1"/>
    <xf numFmtId="0" fontId="8" fillId="2" borderId="18" xfId="0" applyFont="1" applyFill="1" applyBorder="1"/>
    <xf numFmtId="2" fontId="8" fillId="2" borderId="19" xfId="1" applyNumberFormat="1" applyFont="1" applyFill="1" applyBorder="1"/>
    <xf numFmtId="0" fontId="29" fillId="2" borderId="0" xfId="0" applyFont="1" applyFill="1"/>
    <xf numFmtId="164" fontId="0" fillId="0" borderId="0" xfId="0" applyNumberFormat="1"/>
    <xf numFmtId="164" fontId="0" fillId="2" borderId="0" xfId="0" applyNumberFormat="1" applyFill="1"/>
    <xf numFmtId="164" fontId="0" fillId="2" borderId="2" xfId="0" applyNumberFormat="1" applyFill="1" applyBorder="1"/>
    <xf numFmtId="164" fontId="0" fillId="2" borderId="7" xfId="0" applyNumberFormat="1" applyFill="1" applyBorder="1"/>
    <xf numFmtId="2" fontId="14" fillId="2" borderId="14" xfId="1" applyNumberFormat="1" applyFont="1" applyFill="1" applyBorder="1"/>
    <xf numFmtId="2" fontId="8" fillId="2" borderId="2" xfId="0" applyNumberFormat="1" applyFont="1" applyFill="1" applyBorder="1"/>
    <xf numFmtId="2" fontId="14" fillId="2" borderId="44" xfId="1" applyNumberFormat="1" applyFont="1" applyFill="1" applyBorder="1"/>
    <xf numFmtId="2" fontId="8" fillId="2" borderId="7" xfId="0" applyNumberFormat="1" applyFont="1" applyFill="1" applyBorder="1"/>
    <xf numFmtId="2" fontId="14" fillId="2" borderId="16" xfId="1" applyNumberFormat="1" applyFont="1" applyFill="1" applyBorder="1"/>
    <xf numFmtId="165" fontId="8" fillId="2" borderId="4" xfId="1" applyNumberFormat="1" applyFont="1" applyFill="1" applyBorder="1"/>
    <xf numFmtId="165" fontId="8" fillId="2" borderId="1" xfId="1" applyNumberFormat="1" applyFont="1" applyFill="1" applyBorder="1"/>
    <xf numFmtId="165" fontId="8" fillId="2" borderId="6" xfId="1" applyNumberFormat="1" applyFont="1" applyFill="1" applyBorder="1"/>
    <xf numFmtId="166" fontId="10" fillId="0" borderId="4" xfId="0" applyNumberFormat="1" applyFont="1" applyBorder="1" applyAlignment="1">
      <alignment horizontal="left" vertical="center"/>
    </xf>
    <xf numFmtId="0" fontId="10" fillId="0" borderId="0" xfId="0" applyFont="1" applyAlignment="1">
      <alignment wrapText="1"/>
    </xf>
    <xf numFmtId="0" fontId="4" fillId="0" borderId="4" xfId="0" applyFont="1" applyBorder="1"/>
    <xf numFmtId="0" fontId="0" fillId="10" borderId="45" xfId="0" applyFill="1" applyBorder="1" applyAlignment="1">
      <alignment horizontal="center"/>
    </xf>
    <xf numFmtId="3" fontId="0" fillId="2" borderId="45" xfId="0" applyNumberFormat="1" applyFill="1" applyBorder="1"/>
    <xf numFmtId="3" fontId="0" fillId="2" borderId="23" xfId="0" applyNumberFormat="1" applyFill="1" applyBorder="1"/>
    <xf numFmtId="3" fontId="1" fillId="2" borderId="0" xfId="1" applyNumberFormat="1" applyFont="1" applyFill="1" applyBorder="1"/>
    <xf numFmtId="3" fontId="8" fillId="2" borderId="0" xfId="1" applyNumberFormat="1" applyFont="1" applyFill="1" applyBorder="1"/>
    <xf numFmtId="0" fontId="0" fillId="2" borderId="0" xfId="0" applyFill="1" applyAlignment="1">
      <alignment horizontal="left" indent="2"/>
    </xf>
    <xf numFmtId="9" fontId="0" fillId="10" borderId="23" xfId="1" applyFont="1" applyFill="1" applyBorder="1" applyAlignment="1">
      <alignment horizontal="center"/>
    </xf>
    <xf numFmtId="0" fontId="0" fillId="10" borderId="23" xfId="0" applyFill="1" applyBorder="1" applyAlignment="1">
      <alignment horizontal="center"/>
    </xf>
    <xf numFmtId="0" fontId="0" fillId="2" borderId="22" xfId="0" applyFill="1" applyBorder="1" applyAlignment="1">
      <alignment wrapText="1"/>
    </xf>
    <xf numFmtId="3" fontId="0" fillId="0" borderId="0" xfId="0" applyNumberFormat="1" applyAlignment="1">
      <alignment horizontal="right"/>
    </xf>
    <xf numFmtId="3" fontId="0" fillId="0" borderId="14" xfId="0" applyNumberFormat="1" applyBorder="1"/>
    <xf numFmtId="3" fontId="0" fillId="2" borderId="0" xfId="0" applyNumberFormat="1" applyFill="1"/>
    <xf numFmtId="3" fontId="0" fillId="2" borderId="14" xfId="0" applyNumberFormat="1" applyFill="1" applyBorder="1"/>
    <xf numFmtId="3" fontId="0" fillId="2" borderId="2" xfId="0" applyNumberFormat="1" applyFill="1" applyBorder="1"/>
    <xf numFmtId="3" fontId="0" fillId="2" borderId="44" xfId="0" applyNumberFormat="1" applyFill="1" applyBorder="1"/>
    <xf numFmtId="3" fontId="0" fillId="2" borderId="7" xfId="0" applyNumberFormat="1" applyFill="1" applyBorder="1"/>
    <xf numFmtId="3" fontId="0" fillId="2" borderId="16" xfId="0" applyNumberFormat="1" applyFill="1" applyBorder="1"/>
    <xf numFmtId="3" fontId="0" fillId="0" borderId="14" xfId="0" applyNumberFormat="1" applyBorder="1" applyAlignment="1">
      <alignment horizontal="right"/>
    </xf>
    <xf numFmtId="3" fontId="4" fillId="2" borderId="18" xfId="0" applyNumberFormat="1" applyFont="1" applyFill="1" applyBorder="1"/>
    <xf numFmtId="3" fontId="4" fillId="2" borderId="19" xfId="0" applyNumberFormat="1" applyFont="1" applyFill="1" applyBorder="1"/>
    <xf numFmtId="49" fontId="0" fillId="2" borderId="0" xfId="0" applyNumberFormat="1" applyFill="1" applyAlignment="1">
      <alignment wrapText="1"/>
    </xf>
    <xf numFmtId="0" fontId="0" fillId="2" borderId="20" xfId="0" applyFill="1" applyBorder="1"/>
    <xf numFmtId="3" fontId="0" fillId="2" borderId="0" xfId="0" applyNumberFormat="1" applyFill="1" applyAlignment="1">
      <alignment vertical="top" wrapText="1"/>
    </xf>
    <xf numFmtId="3" fontId="0" fillId="2" borderId="14" xfId="0" applyNumberFormat="1" applyFill="1" applyBorder="1" applyAlignment="1">
      <alignment vertical="top" wrapText="1"/>
    </xf>
    <xf numFmtId="3" fontId="0" fillId="14" borderId="23" xfId="0" applyNumberFormat="1" applyFill="1" applyBorder="1" applyAlignment="1">
      <alignment horizontal="center"/>
    </xf>
    <xf numFmtId="9" fontId="0" fillId="15" borderId="5" xfId="0" applyNumberFormat="1" applyFill="1" applyBorder="1"/>
    <xf numFmtId="3" fontId="0" fillId="15" borderId="0" xfId="0" applyNumberFormat="1" applyFill="1"/>
    <xf numFmtId="3" fontId="0" fillId="15" borderId="14" xfId="0" applyNumberFormat="1" applyFill="1" applyBorder="1"/>
    <xf numFmtId="3" fontId="0" fillId="0" borderId="0" xfId="0" applyNumberFormat="1" applyAlignment="1">
      <alignment horizontal="center"/>
    </xf>
    <xf numFmtId="3" fontId="0" fillId="0" borderId="14" xfId="0" applyNumberFormat="1" applyBorder="1" applyAlignment="1">
      <alignment horizontal="center"/>
    </xf>
    <xf numFmtId="0" fontId="4" fillId="0" borderId="0" xfId="1" applyNumberFormat="1" applyFont="1" applyFill="1" applyBorder="1"/>
    <xf numFmtId="0" fontId="0" fillId="2" borderId="6" xfId="0" applyFill="1" applyBorder="1" applyAlignment="1">
      <alignment horizontal="left" vertical="top" wrapText="1"/>
    </xf>
    <xf numFmtId="0" fontId="0" fillId="2" borderId="8" xfId="0" applyFill="1" applyBorder="1" applyAlignment="1">
      <alignment horizontal="left" vertical="top" wrapText="1"/>
    </xf>
    <xf numFmtId="0" fontId="0" fillId="2" borderId="7" xfId="0" applyFill="1" applyBorder="1" applyAlignment="1">
      <alignment horizontal="left" vertical="top" wrapText="1"/>
    </xf>
    <xf numFmtId="0" fontId="0" fillId="2" borderId="6" xfId="0" applyFill="1"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4" fillId="0" borderId="14" xfId="0" applyFont="1" applyBorder="1" applyAlignment="1">
      <alignment horizontal="center" wrapText="1"/>
    </xf>
  </cellXfs>
  <cellStyles count="1391">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6"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8" builtinId="9" hidden="1"/>
    <cellStyle name="Followed Hyperlink" xfId="909" builtinId="9" hidden="1"/>
    <cellStyle name="Followed Hyperlink" xfId="910" builtinId="9" hidden="1"/>
    <cellStyle name="Followed Hyperlink" xfId="911" builtinId="9" hidden="1"/>
    <cellStyle name="Followed Hyperlink" xfId="912" builtinId="9" hidden="1"/>
    <cellStyle name="Followed Hyperlink" xfId="913" builtinId="9" hidden="1"/>
    <cellStyle name="Followed Hyperlink" xfId="914" builtinId="9" hidden="1"/>
    <cellStyle name="Followed Hyperlink" xfId="915" builtinId="9" hidden="1"/>
    <cellStyle name="Followed Hyperlink" xfId="916" builtinId="9" hidden="1"/>
    <cellStyle name="Followed Hyperlink" xfId="917" builtinId="9" hidden="1"/>
    <cellStyle name="Followed Hyperlink" xfId="918" builtinId="9" hidden="1"/>
    <cellStyle name="Followed Hyperlink" xfId="919" builtinId="9" hidden="1"/>
    <cellStyle name="Followed Hyperlink" xfId="920" builtinId="9" hidden="1"/>
    <cellStyle name="Followed Hyperlink" xfId="921" builtinId="9" hidden="1"/>
    <cellStyle name="Followed Hyperlink" xfId="922" builtinId="9" hidden="1"/>
    <cellStyle name="Followed Hyperlink" xfId="923" builtinId="9" hidden="1"/>
    <cellStyle name="Followed Hyperlink" xfId="924" builtinId="9" hidden="1"/>
    <cellStyle name="Followed Hyperlink" xfId="925" builtinId="9" hidden="1"/>
    <cellStyle name="Followed Hyperlink" xfId="926" builtinId="9" hidden="1"/>
    <cellStyle name="Followed Hyperlink" xfId="927" builtinId="9" hidden="1"/>
    <cellStyle name="Followed Hyperlink" xfId="928" builtinId="9" hidden="1"/>
    <cellStyle name="Followed Hyperlink" xfId="929" builtinId="9" hidden="1"/>
    <cellStyle name="Followed Hyperlink" xfId="930" builtinId="9" hidden="1"/>
    <cellStyle name="Followed Hyperlink" xfId="931" builtinId="9" hidden="1"/>
    <cellStyle name="Followed Hyperlink" xfId="932" builtinId="9" hidden="1"/>
    <cellStyle name="Followed Hyperlink" xfId="933" builtinId="9" hidden="1"/>
    <cellStyle name="Followed Hyperlink" xfId="934" builtinId="9" hidden="1"/>
    <cellStyle name="Followed Hyperlink" xfId="935" builtinId="9" hidden="1"/>
    <cellStyle name="Followed Hyperlink" xfId="936" builtinId="9" hidden="1"/>
    <cellStyle name="Followed Hyperlink" xfId="937" builtinId="9" hidden="1"/>
    <cellStyle name="Followed Hyperlink" xfId="938" builtinId="9" hidden="1"/>
    <cellStyle name="Followed Hyperlink" xfId="939" builtinId="9" hidden="1"/>
    <cellStyle name="Followed Hyperlink" xfId="940" builtinId="9" hidden="1"/>
    <cellStyle name="Followed Hyperlink" xfId="941" builtinId="9" hidden="1"/>
    <cellStyle name="Followed Hyperlink" xfId="942" builtinId="9" hidden="1"/>
    <cellStyle name="Followed Hyperlink" xfId="943" builtinId="9" hidden="1"/>
    <cellStyle name="Followed Hyperlink" xfId="944" builtinId="9" hidden="1"/>
    <cellStyle name="Followed Hyperlink" xfId="945" builtinId="9" hidden="1"/>
    <cellStyle name="Followed Hyperlink" xfId="946" builtinId="9" hidden="1"/>
    <cellStyle name="Followed Hyperlink" xfId="947"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1" builtinId="9" hidden="1"/>
    <cellStyle name="Followed Hyperlink" xfId="992" builtinId="9" hidden="1"/>
    <cellStyle name="Followed Hyperlink" xfId="993" builtinId="9" hidden="1"/>
    <cellStyle name="Followed Hyperlink" xfId="994" builtinId="9" hidden="1"/>
    <cellStyle name="Followed Hyperlink" xfId="995" builtinId="9" hidden="1"/>
    <cellStyle name="Followed Hyperlink" xfId="996" builtinId="9" hidden="1"/>
    <cellStyle name="Followed Hyperlink" xfId="997" builtinId="9" hidden="1"/>
    <cellStyle name="Followed Hyperlink" xfId="998" builtinId="9" hidden="1"/>
    <cellStyle name="Followed Hyperlink" xfId="999" builtinId="9" hidden="1"/>
    <cellStyle name="Followed Hyperlink" xfId="1000" builtinId="9" hidden="1"/>
    <cellStyle name="Followed Hyperlink" xfId="1001" builtinId="9" hidden="1"/>
    <cellStyle name="Followed Hyperlink" xfId="1002" builtinId="9" hidden="1"/>
    <cellStyle name="Followed Hyperlink" xfId="1003" builtinId="9" hidden="1"/>
    <cellStyle name="Followed Hyperlink" xfId="1004" builtinId="9" hidden="1"/>
    <cellStyle name="Followed Hyperlink" xfId="1005" builtinId="9" hidden="1"/>
    <cellStyle name="Followed Hyperlink" xfId="1006" builtinId="9" hidden="1"/>
    <cellStyle name="Followed Hyperlink" xfId="1007" builtinId="9" hidden="1"/>
    <cellStyle name="Followed Hyperlink" xfId="1008" builtinId="9" hidden="1"/>
    <cellStyle name="Followed Hyperlink" xfId="1009" builtinId="9" hidden="1"/>
    <cellStyle name="Followed Hyperlink" xfId="1010" builtinId="9" hidden="1"/>
    <cellStyle name="Followed Hyperlink" xfId="1011"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Followed Hyperlink" xfId="1282" builtinId="9" hidden="1"/>
    <cellStyle name="Followed Hyperlink" xfId="1284" builtinId="9" hidden="1"/>
    <cellStyle name="Followed Hyperlink" xfId="1286" builtinId="9" hidden="1"/>
    <cellStyle name="Followed Hyperlink" xfId="1288" builtinId="9" hidden="1"/>
    <cellStyle name="Followed Hyperlink" xfId="1290" builtinId="9" hidden="1"/>
    <cellStyle name="Followed Hyperlink" xfId="1292" builtinId="9" hidden="1"/>
    <cellStyle name="Followed Hyperlink" xfId="1294" builtinId="9" hidden="1"/>
    <cellStyle name="Followed Hyperlink" xfId="1296" builtinId="9" hidden="1"/>
    <cellStyle name="Followed Hyperlink" xfId="1298" builtinId="9" hidden="1"/>
    <cellStyle name="Followed Hyperlink" xfId="1300" builtinId="9" hidden="1"/>
    <cellStyle name="Followed Hyperlink" xfId="1302" builtinId="9" hidden="1"/>
    <cellStyle name="Followed Hyperlink" xfId="1304" builtinId="9" hidden="1"/>
    <cellStyle name="Followed Hyperlink" xfId="1306" builtinId="9" hidden="1"/>
    <cellStyle name="Followed Hyperlink" xfId="1308" builtinId="9" hidden="1"/>
    <cellStyle name="Followed Hyperlink" xfId="1310" builtinId="9" hidden="1"/>
    <cellStyle name="Followed Hyperlink" xfId="1312" builtinId="9" hidden="1"/>
    <cellStyle name="Followed Hyperlink" xfId="1314" builtinId="9" hidden="1"/>
    <cellStyle name="Followed Hyperlink" xfId="1316" builtinId="9" hidden="1"/>
    <cellStyle name="Followed Hyperlink" xfId="1318" builtinId="9" hidden="1"/>
    <cellStyle name="Followed Hyperlink" xfId="1320" builtinId="9" hidden="1"/>
    <cellStyle name="Followed Hyperlink" xfId="1322" builtinId="9" hidden="1"/>
    <cellStyle name="Followed Hyperlink" xfId="1324" builtinId="9" hidden="1"/>
    <cellStyle name="Followed Hyperlink" xfId="1326" builtinId="9" hidden="1"/>
    <cellStyle name="Followed Hyperlink" xfId="1328" builtinId="9" hidden="1"/>
    <cellStyle name="Followed Hyperlink" xfId="1330" builtinId="9" hidden="1"/>
    <cellStyle name="Followed Hyperlink" xfId="1332" builtinId="9" hidden="1"/>
    <cellStyle name="Followed Hyperlink" xfId="1334" builtinId="9" hidden="1"/>
    <cellStyle name="Followed Hyperlink" xfId="1336" builtinId="9" hidden="1"/>
    <cellStyle name="Followed Hyperlink" xfId="1338" builtinId="9" hidden="1"/>
    <cellStyle name="Followed Hyperlink" xfId="1340" builtinId="9" hidden="1"/>
    <cellStyle name="Followed Hyperlink" xfId="1342" builtinId="9" hidden="1"/>
    <cellStyle name="Followed Hyperlink" xfId="1344" builtinId="9" hidden="1"/>
    <cellStyle name="Followed Hyperlink" xfId="1346" builtinId="9" hidden="1"/>
    <cellStyle name="Followed Hyperlink" xfId="1348" builtinId="9" hidden="1"/>
    <cellStyle name="Followed Hyperlink" xfId="1350" builtinId="9" hidden="1"/>
    <cellStyle name="Followed Hyperlink" xfId="1352" builtinId="9" hidden="1"/>
    <cellStyle name="Followed Hyperlink" xfId="1354" builtinId="9" hidden="1"/>
    <cellStyle name="Followed Hyperlink" xfId="1356" builtinId="9" hidden="1"/>
    <cellStyle name="Followed Hyperlink" xfId="1358" builtinId="9" hidden="1"/>
    <cellStyle name="Followed Hyperlink" xfId="1360" builtinId="9" hidden="1"/>
    <cellStyle name="Followed Hyperlink" xfId="1362" builtinId="9" hidden="1"/>
    <cellStyle name="Followed Hyperlink" xfId="1364" builtinId="9" hidden="1"/>
    <cellStyle name="Followed Hyperlink" xfId="1366" builtinId="9" hidden="1"/>
    <cellStyle name="Followed Hyperlink" xfId="1368" builtinId="9" hidden="1"/>
    <cellStyle name="Followed Hyperlink" xfId="1370" builtinId="9" hidden="1"/>
    <cellStyle name="Followed Hyperlink" xfId="1372" builtinId="9" hidden="1"/>
    <cellStyle name="Followed Hyperlink" xfId="1374" builtinId="9" hidden="1"/>
    <cellStyle name="Followed Hyperlink" xfId="1376" builtinId="9" hidden="1"/>
    <cellStyle name="Followed Hyperlink" xfId="1378" builtinId="9" hidden="1"/>
    <cellStyle name="Followed Hyperlink" xfId="1380" builtinId="9" hidden="1"/>
    <cellStyle name="Followed Hyperlink" xfId="1382" builtinId="9" hidden="1"/>
    <cellStyle name="Followed Hyperlink" xfId="1384" builtinId="9" hidden="1"/>
    <cellStyle name="Followed Hyperlink" xfId="1386" builtinId="9" hidden="1"/>
    <cellStyle name="Followed Hyperlink" xfId="1388" builtinId="9" hidden="1"/>
    <cellStyle name="Followed Hyperlink" xfId="1390"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281" builtinId="8" hidden="1"/>
    <cellStyle name="Hyperlink" xfId="1283" builtinId="8" hidden="1"/>
    <cellStyle name="Hyperlink" xfId="1285" builtinId="8" hidden="1"/>
    <cellStyle name="Hyperlink" xfId="1287" builtinId="8" hidden="1"/>
    <cellStyle name="Hyperlink" xfId="1289" builtinId="8" hidden="1"/>
    <cellStyle name="Hyperlink" xfId="1291" builtinId="8" hidden="1"/>
    <cellStyle name="Hyperlink" xfId="1293" builtinId="8" hidden="1"/>
    <cellStyle name="Hyperlink" xfId="1295" builtinId="8" hidden="1"/>
    <cellStyle name="Hyperlink" xfId="1297" builtinId="8" hidden="1"/>
    <cellStyle name="Hyperlink" xfId="1299" builtinId="8" hidden="1"/>
    <cellStyle name="Hyperlink" xfId="1301" builtinId="8" hidden="1"/>
    <cellStyle name="Hyperlink" xfId="1303" builtinId="8" hidden="1"/>
    <cellStyle name="Hyperlink" xfId="1305" builtinId="8" hidden="1"/>
    <cellStyle name="Hyperlink" xfId="1307" builtinId="8" hidden="1"/>
    <cellStyle name="Hyperlink" xfId="1309" builtinId="8" hidden="1"/>
    <cellStyle name="Hyperlink" xfId="1311" builtinId="8" hidden="1"/>
    <cellStyle name="Hyperlink" xfId="1313" builtinId="8" hidden="1"/>
    <cellStyle name="Hyperlink" xfId="1315" builtinId="8" hidden="1"/>
    <cellStyle name="Hyperlink" xfId="1317" builtinId="8" hidden="1"/>
    <cellStyle name="Hyperlink" xfId="1319" builtinId="8" hidden="1"/>
    <cellStyle name="Hyperlink" xfId="1321" builtinId="8" hidden="1"/>
    <cellStyle name="Hyperlink" xfId="1323" builtinId="8" hidden="1"/>
    <cellStyle name="Hyperlink" xfId="1325" builtinId="8" hidden="1"/>
    <cellStyle name="Hyperlink" xfId="1327" builtinId="8" hidden="1"/>
    <cellStyle name="Hyperlink" xfId="1329" builtinId="8" hidden="1"/>
    <cellStyle name="Hyperlink" xfId="1331" builtinId="8" hidden="1"/>
    <cellStyle name="Hyperlink" xfId="1333" builtinId="8" hidden="1"/>
    <cellStyle name="Hyperlink" xfId="1335" builtinId="8" hidden="1"/>
    <cellStyle name="Hyperlink" xfId="1337" builtinId="8" hidden="1"/>
    <cellStyle name="Hyperlink" xfId="1339" builtinId="8" hidden="1"/>
    <cellStyle name="Hyperlink" xfId="1341" builtinId="8" hidden="1"/>
    <cellStyle name="Hyperlink" xfId="1343" builtinId="8" hidden="1"/>
    <cellStyle name="Hyperlink" xfId="1345" builtinId="8" hidden="1"/>
    <cellStyle name="Hyperlink" xfId="1347" builtinId="8" hidden="1"/>
    <cellStyle name="Hyperlink" xfId="1349" builtinId="8" hidden="1"/>
    <cellStyle name="Hyperlink" xfId="1351" builtinId="8" hidden="1"/>
    <cellStyle name="Hyperlink" xfId="1353" builtinId="8" hidden="1"/>
    <cellStyle name="Hyperlink" xfId="1355" builtinId="8" hidden="1"/>
    <cellStyle name="Hyperlink" xfId="1357" builtinId="8" hidden="1"/>
    <cellStyle name="Hyperlink" xfId="1359" builtinId="8" hidden="1"/>
    <cellStyle name="Hyperlink" xfId="1361" builtinId="8" hidden="1"/>
    <cellStyle name="Hyperlink" xfId="1363" builtinId="8" hidden="1"/>
    <cellStyle name="Hyperlink" xfId="1365" builtinId="8" hidden="1"/>
    <cellStyle name="Hyperlink" xfId="1367" builtinId="8" hidden="1"/>
    <cellStyle name="Hyperlink" xfId="1369" builtinId="8" hidden="1"/>
    <cellStyle name="Hyperlink" xfId="1371" builtinId="8" hidden="1"/>
    <cellStyle name="Hyperlink" xfId="1373" builtinId="8" hidden="1"/>
    <cellStyle name="Hyperlink" xfId="1375" builtinId="8" hidden="1"/>
    <cellStyle name="Hyperlink" xfId="1377" builtinId="8" hidden="1"/>
    <cellStyle name="Hyperlink" xfId="1379" builtinId="8" hidden="1"/>
    <cellStyle name="Hyperlink" xfId="1381" builtinId="8" hidden="1"/>
    <cellStyle name="Hyperlink" xfId="1383" builtinId="8" hidden="1"/>
    <cellStyle name="Hyperlink" xfId="1385" builtinId="8" hidden="1"/>
    <cellStyle name="Hyperlink" xfId="1387" builtinId="8" hidden="1"/>
    <cellStyle name="Hyperlink" xfId="1389" builtinId="8" hidden="1"/>
    <cellStyle name="Normal" xfId="0" builtinId="0"/>
    <cellStyle name="Per cent" xfId="1" builtinId="5"/>
  </cellStyles>
  <dxfs count="1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auto="1"/>
      </font>
      <fill>
        <patternFill patternType="none">
          <fgColor indexed="64"/>
          <bgColor auto="1"/>
        </patternFill>
      </fill>
    </dxf>
    <dxf>
      <font>
        <color rgb="FF9C0006"/>
      </font>
      <fill>
        <patternFill>
          <bgColor rgb="FFFFC7CE"/>
        </patternFill>
      </fill>
    </dxf>
    <dxf>
      <font>
        <color rgb="FFCCFFCC"/>
      </font>
      <fill>
        <patternFill>
          <bgColor rgb="FFC6EFCE"/>
        </patternFill>
      </fill>
    </dxf>
    <dxf>
      <font>
        <color rgb="FFCCFFCC"/>
      </font>
      <fill>
        <patternFill>
          <bgColor rgb="FFC6EFCE"/>
        </patternFill>
      </fill>
    </dxf>
    <dxf>
      <font>
        <color rgb="FFCCFFCC"/>
      </font>
      <fill>
        <patternFill>
          <bgColor rgb="FFC6EFCE"/>
        </patternFill>
      </fill>
    </dxf>
    <dxf>
      <font>
        <color rgb="FFCCFFCC"/>
      </font>
      <fill>
        <patternFill>
          <bgColor rgb="FFC6EFCE"/>
        </patternFill>
      </fill>
    </dxf>
    <dxf>
      <font>
        <color rgb="FFCCFFCC"/>
      </font>
      <fill>
        <patternFill>
          <bgColor rgb="FFC6EFCE"/>
        </patternFill>
      </fill>
    </dxf>
    <dxf>
      <font>
        <color rgb="FFCCFFCC"/>
      </font>
      <fill>
        <patternFill>
          <bgColor rgb="FFC6EFCE"/>
        </patternFill>
      </fill>
    </dxf>
    <dxf>
      <font>
        <color rgb="FFCCFFCC"/>
      </font>
      <fill>
        <patternFill>
          <bgColor rgb="FFC6EFCE"/>
        </patternFill>
      </fill>
    </dxf>
    <dxf>
      <font>
        <color rgb="FFCCFFCC"/>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10</xdr:col>
      <xdr:colOff>12700</xdr:colOff>
      <xdr:row>7</xdr:row>
      <xdr:rowOff>0</xdr:rowOff>
    </xdr:from>
    <xdr:to>
      <xdr:col>75</xdr:col>
      <xdr:colOff>0</xdr:colOff>
      <xdr:row>47</xdr:row>
      <xdr:rowOff>127000</xdr:rowOff>
    </xdr:to>
    <xdr:sp macro="" textlink="">
      <xdr:nvSpPr>
        <xdr:cNvPr id="52" name="L-Shape 51">
          <a:extLst>
            <a:ext uri="{FF2B5EF4-FFF2-40B4-BE49-F238E27FC236}">
              <a16:creationId xmlns:a16="http://schemas.microsoft.com/office/drawing/2014/main" id="{00000000-0008-0000-0400-000034000000}"/>
            </a:ext>
          </a:extLst>
        </xdr:cNvPr>
        <xdr:cNvSpPr/>
      </xdr:nvSpPr>
      <xdr:spPr>
        <a:xfrm>
          <a:off x="2171700" y="1663700"/>
          <a:ext cx="14020800" cy="7747000"/>
        </a:xfrm>
        <a:prstGeom prst="corner">
          <a:avLst>
            <a:gd name="adj1" fmla="val 9569"/>
            <a:gd name="adj2" fmla="val 25924"/>
          </a:avLst>
        </a:prstGeom>
        <a:solidFill>
          <a:srgbClr val="CDB236">
            <a:alpha val="51000"/>
          </a:srgbClr>
        </a:solidFill>
        <a:ln>
          <a:solidFill>
            <a:schemeClr val="accent2"/>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pPr algn="l"/>
          <a:endParaRPr lang="en-US" sz="2000" u="sng"/>
        </a:p>
      </xdr:txBody>
    </xdr:sp>
    <xdr:clientData/>
  </xdr:twoCellAnchor>
  <xdr:twoCellAnchor>
    <xdr:from>
      <xdr:col>67</xdr:col>
      <xdr:colOff>0</xdr:colOff>
      <xdr:row>7</xdr:row>
      <xdr:rowOff>0</xdr:rowOff>
    </xdr:from>
    <xdr:to>
      <xdr:col>75</xdr:col>
      <xdr:colOff>0</xdr:colOff>
      <xdr:row>42</xdr:row>
      <xdr:rowOff>114300</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4465300" y="1816100"/>
          <a:ext cx="1727200" cy="6781800"/>
        </a:xfrm>
        <a:prstGeom prst="rect">
          <a:avLst/>
        </a:prstGeom>
        <a:solidFill>
          <a:schemeClr val="accent2">
            <a:lumMod val="60000"/>
            <a:lumOff val="40000"/>
            <a:alpha val="51000"/>
          </a:schemeClr>
        </a:solidFill>
        <a:ln/>
      </xdr:spPr>
      <xdr:style>
        <a:lnRef idx="1">
          <a:schemeClr val="accent1"/>
        </a:lnRef>
        <a:fillRef idx="3">
          <a:schemeClr val="accent1"/>
        </a:fillRef>
        <a:effectRef idx="2">
          <a:schemeClr val="accent1"/>
        </a:effectRef>
        <a:fontRef idx="minor">
          <a:schemeClr val="lt1"/>
        </a:fontRef>
      </xdr:style>
      <xdr:txBody>
        <a:bodyPr wrap="square" anchor="t"/>
        <a:lstStyle/>
        <a:p>
          <a:pPr algn="ctr"/>
          <a:r>
            <a:rPr lang="en-US" sz="2000" u="sng"/>
            <a:t>Results</a:t>
          </a:r>
        </a:p>
      </xdr:txBody>
    </xdr:sp>
    <xdr:clientData/>
  </xdr:twoCellAnchor>
  <xdr:twoCellAnchor>
    <xdr:from>
      <xdr:col>21</xdr:col>
      <xdr:colOff>0</xdr:colOff>
      <xdr:row>7</xdr:row>
      <xdr:rowOff>0</xdr:rowOff>
    </xdr:from>
    <xdr:to>
      <xdr:col>65</xdr:col>
      <xdr:colOff>12700</xdr:colOff>
      <xdr:row>42</xdr:row>
      <xdr:rowOff>177800</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4533900" y="1816100"/>
          <a:ext cx="9512300" cy="6845300"/>
        </a:xfrm>
        <a:prstGeom prst="rect">
          <a:avLst/>
        </a:prstGeom>
        <a:solidFill>
          <a:schemeClr val="accent5">
            <a:lumMod val="60000"/>
            <a:lumOff val="40000"/>
            <a:alpha val="46000"/>
          </a:schemeClr>
        </a:solidFill>
        <a:ln/>
      </xdr:spPr>
      <xdr:style>
        <a:lnRef idx="1">
          <a:schemeClr val="accent2"/>
        </a:lnRef>
        <a:fillRef idx="3">
          <a:schemeClr val="accent2"/>
        </a:fillRef>
        <a:effectRef idx="2">
          <a:schemeClr val="accent2"/>
        </a:effectRef>
        <a:fontRef idx="minor">
          <a:schemeClr val="lt1"/>
        </a:fontRef>
      </xdr:style>
      <xdr:txBody>
        <a:bodyPr wrap="square" anchor="t"/>
        <a:lstStyle/>
        <a:p>
          <a:pPr algn="ctr"/>
          <a:r>
            <a:rPr lang="en-US" sz="2000" u="sng"/>
            <a:t>Calculations</a:t>
          </a:r>
        </a:p>
      </xdr:txBody>
    </xdr:sp>
    <xdr:clientData/>
  </xdr:twoCellAnchor>
  <xdr:twoCellAnchor>
    <xdr:from>
      <xdr:col>10</xdr:col>
      <xdr:colOff>152400</xdr:colOff>
      <xdr:row>21</xdr:row>
      <xdr:rowOff>0</xdr:rowOff>
    </xdr:from>
    <xdr:to>
      <xdr:col>18</xdr:col>
      <xdr:colOff>152400</xdr:colOff>
      <xdr:row>42</xdr:row>
      <xdr:rowOff>114300</xdr:rowOff>
    </xdr:to>
    <xdr:sp macro="" textlink="">
      <xdr:nvSpPr>
        <xdr:cNvPr id="4" name="Rectangle 3">
          <a:extLst>
            <a:ext uri="{FF2B5EF4-FFF2-40B4-BE49-F238E27FC236}">
              <a16:creationId xmlns:a16="http://schemas.microsoft.com/office/drawing/2014/main" id="{00000000-0008-0000-0400-000004000000}"/>
            </a:ext>
          </a:extLst>
        </xdr:cNvPr>
        <xdr:cNvSpPr/>
      </xdr:nvSpPr>
      <xdr:spPr>
        <a:xfrm>
          <a:off x="2311400" y="4330700"/>
          <a:ext cx="1727200" cy="4114800"/>
        </a:xfrm>
        <a:prstGeom prst="rect">
          <a:avLst/>
        </a:prstGeom>
        <a:solidFill>
          <a:schemeClr val="bg2">
            <a:lumMod val="75000"/>
            <a:alpha val="46000"/>
          </a:schemeClr>
        </a:solidFill>
        <a:ln/>
      </xdr:spPr>
      <xdr:style>
        <a:lnRef idx="1">
          <a:schemeClr val="accent2"/>
        </a:lnRef>
        <a:fillRef idx="3">
          <a:schemeClr val="accent2"/>
        </a:fillRef>
        <a:effectRef idx="2">
          <a:schemeClr val="accent2"/>
        </a:effectRef>
        <a:fontRef idx="minor">
          <a:schemeClr val="lt1"/>
        </a:fontRef>
      </xdr:style>
      <xdr:txBody>
        <a:bodyPr wrap="square" anchor="t"/>
        <a:lstStyle/>
        <a:p>
          <a:pPr algn="ctr"/>
          <a:r>
            <a:rPr lang="en-US" sz="2000" u="sng"/>
            <a:t>Assumptions</a:t>
          </a:r>
        </a:p>
      </xdr:txBody>
    </xdr:sp>
    <xdr:clientData/>
  </xdr:twoCellAnchor>
  <xdr:twoCellAnchor>
    <xdr:from>
      <xdr:col>1</xdr:col>
      <xdr:colOff>0</xdr:colOff>
      <xdr:row>24</xdr:row>
      <xdr:rowOff>88900</xdr:rowOff>
    </xdr:from>
    <xdr:to>
      <xdr:col>9</xdr:col>
      <xdr:colOff>0</xdr:colOff>
      <xdr:row>47</xdr:row>
      <xdr:rowOff>114300</xdr:rowOff>
    </xdr:to>
    <xdr:sp macro="" textlink="">
      <xdr:nvSpPr>
        <xdr:cNvPr id="5" name="Rectangle 4">
          <a:extLst>
            <a:ext uri="{FF2B5EF4-FFF2-40B4-BE49-F238E27FC236}">
              <a16:creationId xmlns:a16="http://schemas.microsoft.com/office/drawing/2014/main" id="{00000000-0008-0000-0400-000005000000}"/>
            </a:ext>
          </a:extLst>
        </xdr:cNvPr>
        <xdr:cNvSpPr/>
      </xdr:nvSpPr>
      <xdr:spPr>
        <a:xfrm>
          <a:off x="215900" y="4991100"/>
          <a:ext cx="1727200" cy="4406900"/>
        </a:xfrm>
        <a:prstGeom prst="rect">
          <a:avLst/>
        </a:prstGeom>
        <a:solidFill>
          <a:schemeClr val="accent3">
            <a:lumMod val="60000"/>
            <a:lumOff val="40000"/>
            <a:alpha val="46000"/>
          </a:schemeClr>
        </a:solidFill>
        <a:ln/>
      </xdr:spPr>
      <xdr:style>
        <a:lnRef idx="1">
          <a:schemeClr val="accent2"/>
        </a:lnRef>
        <a:fillRef idx="3">
          <a:schemeClr val="accent2"/>
        </a:fillRef>
        <a:effectRef idx="2">
          <a:schemeClr val="accent2"/>
        </a:effectRef>
        <a:fontRef idx="minor">
          <a:schemeClr val="lt1"/>
        </a:fontRef>
      </xdr:style>
      <xdr:txBody>
        <a:bodyPr wrap="square" anchor="t"/>
        <a:lstStyle/>
        <a:p>
          <a:pPr algn="ctr"/>
          <a:r>
            <a:rPr lang="en-US" sz="2000" u="sng"/>
            <a:t>Sources</a:t>
          </a:r>
        </a:p>
      </xdr:txBody>
    </xdr:sp>
    <xdr:clientData/>
  </xdr:twoCellAnchor>
  <xdr:twoCellAnchor>
    <xdr:from>
      <xdr:col>1</xdr:col>
      <xdr:colOff>12700</xdr:colOff>
      <xdr:row>7</xdr:row>
      <xdr:rowOff>12700</xdr:rowOff>
    </xdr:from>
    <xdr:to>
      <xdr:col>9</xdr:col>
      <xdr:colOff>0</xdr:colOff>
      <xdr:row>23</xdr:row>
      <xdr:rowOff>0</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a:off x="228600" y="1676400"/>
          <a:ext cx="1714500" cy="3035300"/>
        </a:xfrm>
        <a:prstGeom prst="rect">
          <a:avLst/>
        </a:prstGeom>
        <a:solidFill>
          <a:schemeClr val="accent3">
            <a:alpha val="46000"/>
          </a:schemeClr>
        </a:solidFill>
        <a:ln/>
      </xdr:spPr>
      <xdr:style>
        <a:lnRef idx="1">
          <a:schemeClr val="accent2"/>
        </a:lnRef>
        <a:fillRef idx="3">
          <a:schemeClr val="accent2"/>
        </a:fillRef>
        <a:effectRef idx="2">
          <a:schemeClr val="accent2"/>
        </a:effectRef>
        <a:fontRef idx="minor">
          <a:schemeClr val="lt1"/>
        </a:fontRef>
      </xdr:style>
      <xdr:txBody>
        <a:bodyPr wrap="square" anchor="t"/>
        <a:lstStyle/>
        <a:p>
          <a:pPr algn="ctr"/>
          <a:r>
            <a:rPr lang="en-US" sz="2000" u="sng"/>
            <a:t>Research data</a:t>
          </a:r>
        </a:p>
      </xdr:txBody>
    </xdr:sp>
    <xdr:clientData/>
  </xdr:twoCellAnchor>
  <xdr:twoCellAnchor>
    <xdr:from>
      <xdr:col>2</xdr:col>
      <xdr:colOff>0</xdr:colOff>
      <xdr:row>14</xdr:row>
      <xdr:rowOff>50800</xdr:rowOff>
    </xdr:from>
    <xdr:to>
      <xdr:col>8</xdr:col>
      <xdr:colOff>0</xdr:colOff>
      <xdr:row>17</xdr:row>
      <xdr:rowOff>50800</xdr:rowOff>
    </xdr:to>
    <xdr:sp macro="" textlink="">
      <xdr:nvSpPr>
        <xdr:cNvPr id="7" name="Rectangle 6">
          <a:extLst>
            <a:ext uri="{FF2B5EF4-FFF2-40B4-BE49-F238E27FC236}">
              <a16:creationId xmlns:a16="http://schemas.microsoft.com/office/drawing/2014/main" id="{00000000-0008-0000-0400-000007000000}"/>
            </a:ext>
          </a:extLst>
        </xdr:cNvPr>
        <xdr:cNvSpPr/>
      </xdr:nvSpPr>
      <xdr:spPr>
        <a:xfrm>
          <a:off x="431800" y="32004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Corrected energy balance step 2</a:t>
          </a:r>
        </a:p>
      </xdr:txBody>
    </xdr:sp>
    <xdr:clientData/>
  </xdr:twoCellAnchor>
  <xdr:twoCellAnchor>
    <xdr:from>
      <xdr:col>77</xdr:col>
      <xdr:colOff>12700</xdr:colOff>
      <xdr:row>7</xdr:row>
      <xdr:rowOff>0</xdr:rowOff>
    </xdr:from>
    <xdr:to>
      <xdr:col>85</xdr:col>
      <xdr:colOff>12700</xdr:colOff>
      <xdr:row>47</xdr:row>
      <xdr:rowOff>139700</xdr:rowOff>
    </xdr:to>
    <xdr:sp macro="" textlink="">
      <xdr:nvSpPr>
        <xdr:cNvPr id="8" name="Rectangle 7">
          <a:extLst>
            <a:ext uri="{FF2B5EF4-FFF2-40B4-BE49-F238E27FC236}">
              <a16:creationId xmlns:a16="http://schemas.microsoft.com/office/drawing/2014/main" id="{00000000-0008-0000-0400-000008000000}"/>
            </a:ext>
          </a:extLst>
        </xdr:cNvPr>
        <xdr:cNvSpPr/>
      </xdr:nvSpPr>
      <xdr:spPr>
        <a:xfrm>
          <a:off x="16637000" y="1663700"/>
          <a:ext cx="1727200" cy="7759700"/>
        </a:xfrm>
        <a:prstGeom prst="rect">
          <a:avLst/>
        </a:prstGeom>
        <a:solidFill>
          <a:schemeClr val="accent4">
            <a:lumMod val="60000"/>
            <a:lumOff val="40000"/>
            <a:alpha val="51000"/>
          </a:schemeClr>
        </a:solidFill>
        <a:ln/>
      </xdr:spPr>
      <xdr:style>
        <a:lnRef idx="1">
          <a:schemeClr val="accent1"/>
        </a:lnRef>
        <a:fillRef idx="3">
          <a:schemeClr val="accent1"/>
        </a:fillRef>
        <a:effectRef idx="2">
          <a:schemeClr val="accent1"/>
        </a:effectRef>
        <a:fontRef idx="minor">
          <a:schemeClr val="lt1"/>
        </a:fontRef>
      </xdr:style>
      <xdr:txBody>
        <a:bodyPr wrap="square" anchor="t"/>
        <a:lstStyle/>
        <a:p>
          <a:pPr algn="ctr"/>
          <a:r>
            <a:rPr lang="en-US" sz="2000" u="sng"/>
            <a:t>Input Data</a:t>
          </a:r>
        </a:p>
      </xdr:txBody>
    </xdr:sp>
    <xdr:clientData/>
  </xdr:twoCellAnchor>
  <xdr:twoCellAnchor>
    <xdr:from>
      <xdr:col>20</xdr:col>
      <xdr:colOff>0</xdr:colOff>
      <xdr:row>7</xdr:row>
      <xdr:rowOff>0</xdr:rowOff>
    </xdr:from>
    <xdr:to>
      <xdr:col>20</xdr:col>
      <xdr:colOff>12700</xdr:colOff>
      <xdr:row>42</xdr:row>
      <xdr:rowOff>177800</xdr:rowOff>
    </xdr:to>
    <xdr:cxnSp macro="">
      <xdr:nvCxnSpPr>
        <xdr:cNvPr id="9" name="Straight Connector 8">
          <a:extLst>
            <a:ext uri="{FF2B5EF4-FFF2-40B4-BE49-F238E27FC236}">
              <a16:creationId xmlns:a16="http://schemas.microsoft.com/office/drawing/2014/main" id="{00000000-0008-0000-0400-000009000000}"/>
            </a:ext>
          </a:extLst>
        </xdr:cNvPr>
        <xdr:cNvCxnSpPr/>
      </xdr:nvCxnSpPr>
      <xdr:spPr>
        <a:xfrm>
          <a:off x="4318000" y="1816100"/>
          <a:ext cx="12700" cy="6845300"/>
        </a:xfrm>
        <a:prstGeom prst="line">
          <a:avLst/>
        </a:prstGeom>
        <a:ln>
          <a:solidFill>
            <a:schemeClr val="tx1"/>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101600</xdr:colOff>
      <xdr:row>27</xdr:row>
      <xdr:rowOff>76200</xdr:rowOff>
    </xdr:from>
    <xdr:to>
      <xdr:col>17</xdr:col>
      <xdr:colOff>101600</xdr:colOff>
      <xdr:row>32</xdr:row>
      <xdr:rowOff>50800</xdr:rowOff>
    </xdr:to>
    <xdr:sp macro="" textlink="">
      <xdr:nvSpPr>
        <xdr:cNvPr id="10" name="Rectangle 9">
          <a:extLst>
            <a:ext uri="{FF2B5EF4-FFF2-40B4-BE49-F238E27FC236}">
              <a16:creationId xmlns:a16="http://schemas.microsoft.com/office/drawing/2014/main" id="{00000000-0008-0000-0400-00000A000000}"/>
            </a:ext>
          </a:extLst>
        </xdr:cNvPr>
        <xdr:cNvSpPr/>
      </xdr:nvSpPr>
      <xdr:spPr>
        <a:xfrm>
          <a:off x="2476500" y="5549900"/>
          <a:ext cx="1295400" cy="927100"/>
        </a:xfrm>
        <a:prstGeom prst="rect">
          <a:avLst/>
        </a:prstGeom>
        <a:ln/>
      </xdr:spPr>
      <xdr:style>
        <a:lnRef idx="2">
          <a:schemeClr val="dk1"/>
        </a:lnRef>
        <a:fillRef idx="1">
          <a:schemeClr val="lt1"/>
        </a:fillRef>
        <a:effectRef idx="0">
          <a:schemeClr val="dk1"/>
        </a:effectRef>
        <a:fontRef idx="minor">
          <a:schemeClr val="dk1"/>
        </a:fontRef>
      </xdr:style>
      <xdr:txBody>
        <a:bodyPr wrap="square" anchor="t"/>
        <a:lstStyle/>
        <a:p>
          <a:pPr algn="ctr"/>
          <a:r>
            <a:rPr lang="en-US"/>
            <a:t>Final demand for Space</a:t>
          </a:r>
          <a:r>
            <a:rPr lang="en-US" baseline="0"/>
            <a:t> H</a:t>
          </a:r>
          <a:r>
            <a:rPr lang="en-US"/>
            <a:t>eating, Space</a:t>
          </a:r>
          <a:r>
            <a:rPr lang="en-US" baseline="0"/>
            <a:t> Cooling, Lighting and Hot Water</a:t>
          </a:r>
          <a:endParaRPr lang="en-US"/>
        </a:p>
      </xdr:txBody>
    </xdr:sp>
    <xdr:clientData/>
  </xdr:twoCellAnchor>
  <xdr:twoCellAnchor>
    <xdr:from>
      <xdr:col>66</xdr:col>
      <xdr:colOff>0</xdr:colOff>
      <xdr:row>7</xdr:row>
      <xdr:rowOff>0</xdr:rowOff>
    </xdr:from>
    <xdr:to>
      <xdr:col>66</xdr:col>
      <xdr:colOff>0</xdr:colOff>
      <xdr:row>43</xdr:row>
      <xdr:rowOff>0</xdr:rowOff>
    </xdr:to>
    <xdr:cxnSp macro="">
      <xdr:nvCxnSpPr>
        <xdr:cNvPr id="11" name="Straight Connector 10">
          <a:extLst>
            <a:ext uri="{FF2B5EF4-FFF2-40B4-BE49-F238E27FC236}">
              <a16:creationId xmlns:a16="http://schemas.microsoft.com/office/drawing/2014/main" id="{00000000-0008-0000-0400-00000B000000}"/>
            </a:ext>
          </a:extLst>
        </xdr:cNvPr>
        <xdr:cNvCxnSpPr/>
      </xdr:nvCxnSpPr>
      <xdr:spPr>
        <a:xfrm>
          <a:off x="14249400" y="1816100"/>
          <a:ext cx="0" cy="6858000"/>
        </a:xfrm>
        <a:prstGeom prst="line">
          <a:avLst/>
        </a:prstGeom>
        <a:ln>
          <a:solidFill>
            <a:schemeClr val="tx1"/>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12700</xdr:colOff>
      <xdr:row>29</xdr:row>
      <xdr:rowOff>158750</xdr:rowOff>
    </xdr:from>
    <xdr:to>
      <xdr:col>11</xdr:col>
      <xdr:colOff>101600</xdr:colOff>
      <xdr:row>33</xdr:row>
      <xdr:rowOff>120650</xdr:rowOff>
    </xdr:to>
    <xdr:cxnSp macro="">
      <xdr:nvCxnSpPr>
        <xdr:cNvPr id="13" name="Straight Arrow Connector 278">
          <a:extLst>
            <a:ext uri="{FF2B5EF4-FFF2-40B4-BE49-F238E27FC236}">
              <a16:creationId xmlns:a16="http://schemas.microsoft.com/office/drawing/2014/main" id="{00000000-0008-0000-0400-00000D000000}"/>
            </a:ext>
          </a:extLst>
        </xdr:cNvPr>
        <xdr:cNvCxnSpPr>
          <a:stCxn id="49" idx="3"/>
          <a:endCxn id="10" idx="1"/>
        </xdr:cNvCxnSpPr>
      </xdr:nvCxnSpPr>
      <xdr:spPr>
        <a:xfrm flipV="1">
          <a:off x="1739900" y="6013450"/>
          <a:ext cx="736600" cy="723900"/>
        </a:xfrm>
        <a:prstGeom prst="bentConnector3">
          <a:avLst>
            <a:gd name="adj1" fmla="val 50000"/>
          </a:avLst>
        </a:prstGeom>
        <a:ln>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68</xdr:col>
      <xdr:colOff>25400</xdr:colOff>
      <xdr:row>34</xdr:row>
      <xdr:rowOff>152400</xdr:rowOff>
    </xdr:from>
    <xdr:to>
      <xdr:col>74</xdr:col>
      <xdr:colOff>25400</xdr:colOff>
      <xdr:row>38</xdr:row>
      <xdr:rowOff>152400</xdr:rowOff>
    </xdr:to>
    <xdr:sp macro="" textlink="">
      <xdr:nvSpPr>
        <xdr:cNvPr id="14" name="Rectangle 13">
          <a:extLst>
            <a:ext uri="{FF2B5EF4-FFF2-40B4-BE49-F238E27FC236}">
              <a16:creationId xmlns:a16="http://schemas.microsoft.com/office/drawing/2014/main" id="{00000000-0008-0000-0400-00000E000000}"/>
            </a:ext>
          </a:extLst>
        </xdr:cNvPr>
        <xdr:cNvSpPr/>
      </xdr:nvSpPr>
      <xdr:spPr>
        <a:xfrm>
          <a:off x="14706600" y="6959600"/>
          <a:ext cx="1295400" cy="7620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Technology shares</a:t>
          </a:r>
          <a:endParaRPr lang="en-US" baseline="0"/>
        </a:p>
      </xdr:txBody>
    </xdr:sp>
    <xdr:clientData/>
  </xdr:twoCellAnchor>
  <xdr:twoCellAnchor>
    <xdr:from>
      <xdr:col>74</xdr:col>
      <xdr:colOff>25400</xdr:colOff>
      <xdr:row>36</xdr:row>
      <xdr:rowOff>152400</xdr:rowOff>
    </xdr:from>
    <xdr:to>
      <xdr:col>78</xdr:col>
      <xdr:colOff>0</xdr:colOff>
      <xdr:row>36</xdr:row>
      <xdr:rowOff>152400</xdr:rowOff>
    </xdr:to>
    <xdr:cxnSp macro="">
      <xdr:nvCxnSpPr>
        <xdr:cNvPr id="15" name="Elbow Connector 195">
          <a:extLst>
            <a:ext uri="{FF2B5EF4-FFF2-40B4-BE49-F238E27FC236}">
              <a16:creationId xmlns:a16="http://schemas.microsoft.com/office/drawing/2014/main" id="{00000000-0008-0000-0400-00000F000000}"/>
            </a:ext>
          </a:extLst>
        </xdr:cNvPr>
        <xdr:cNvCxnSpPr>
          <a:stCxn id="14" idx="3"/>
          <a:endCxn id="26" idx="1"/>
        </xdr:cNvCxnSpPr>
      </xdr:nvCxnSpPr>
      <xdr:spPr>
        <a:xfrm>
          <a:off x="16002000" y="7340600"/>
          <a:ext cx="838200" cy="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71</xdr:col>
      <xdr:colOff>0</xdr:colOff>
      <xdr:row>42</xdr:row>
      <xdr:rowOff>114300</xdr:rowOff>
    </xdr:from>
    <xdr:to>
      <xdr:col>71</xdr:col>
      <xdr:colOff>12700</xdr:colOff>
      <xdr:row>44</xdr:row>
      <xdr:rowOff>63500</xdr:rowOff>
    </xdr:to>
    <xdr:cxnSp macro="">
      <xdr:nvCxnSpPr>
        <xdr:cNvPr id="17" name="Elbow Connector 195">
          <a:extLst>
            <a:ext uri="{FF2B5EF4-FFF2-40B4-BE49-F238E27FC236}">
              <a16:creationId xmlns:a16="http://schemas.microsoft.com/office/drawing/2014/main" id="{00000000-0008-0000-0400-000011000000}"/>
            </a:ext>
          </a:extLst>
        </xdr:cNvPr>
        <xdr:cNvCxnSpPr>
          <a:stCxn id="2" idx="2"/>
        </xdr:cNvCxnSpPr>
      </xdr:nvCxnSpPr>
      <xdr:spPr>
        <a:xfrm>
          <a:off x="15328900" y="8445500"/>
          <a:ext cx="12700" cy="330200"/>
        </a:xfrm>
        <a:prstGeom prst="straightConnector1">
          <a:avLst/>
        </a:prstGeom>
        <a:ln w="19050" cmpd="sng">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86</xdr:col>
      <xdr:colOff>0</xdr:colOff>
      <xdr:row>7</xdr:row>
      <xdr:rowOff>0</xdr:rowOff>
    </xdr:from>
    <xdr:to>
      <xdr:col>86</xdr:col>
      <xdr:colOff>0</xdr:colOff>
      <xdr:row>42</xdr:row>
      <xdr:rowOff>101600</xdr:rowOff>
    </xdr:to>
    <xdr:cxnSp macro="">
      <xdr:nvCxnSpPr>
        <xdr:cNvPr id="18" name="Straight Connector 17">
          <a:extLst>
            <a:ext uri="{FF2B5EF4-FFF2-40B4-BE49-F238E27FC236}">
              <a16:creationId xmlns:a16="http://schemas.microsoft.com/office/drawing/2014/main" id="{00000000-0008-0000-0400-000012000000}"/>
            </a:ext>
          </a:extLst>
        </xdr:cNvPr>
        <xdr:cNvCxnSpPr/>
      </xdr:nvCxnSpPr>
      <xdr:spPr>
        <a:xfrm>
          <a:off x="18567400" y="1816100"/>
          <a:ext cx="0" cy="6769100"/>
        </a:xfrm>
        <a:prstGeom prst="line">
          <a:avLst/>
        </a:prstGeom>
        <a:ln>
          <a:solidFill>
            <a:schemeClr val="accent2"/>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152400</xdr:colOff>
      <xdr:row>35</xdr:row>
      <xdr:rowOff>63500</xdr:rowOff>
    </xdr:from>
    <xdr:to>
      <xdr:col>17</xdr:col>
      <xdr:colOff>152400</xdr:colOff>
      <xdr:row>38</xdr:row>
      <xdr:rowOff>63500</xdr:rowOff>
    </xdr:to>
    <xdr:sp macro="" textlink="">
      <xdr:nvSpPr>
        <xdr:cNvPr id="19" name="Rectangle 18">
          <a:extLst>
            <a:ext uri="{FF2B5EF4-FFF2-40B4-BE49-F238E27FC236}">
              <a16:creationId xmlns:a16="http://schemas.microsoft.com/office/drawing/2014/main" id="{00000000-0008-0000-0400-000013000000}"/>
            </a:ext>
          </a:extLst>
        </xdr:cNvPr>
        <xdr:cNvSpPr/>
      </xdr:nvSpPr>
      <xdr:spPr>
        <a:xfrm>
          <a:off x="2527300" y="70612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Technology split of useful</a:t>
          </a:r>
          <a:r>
            <a:rPr lang="en-US" baseline="0"/>
            <a:t> demand</a:t>
          </a:r>
          <a:endParaRPr lang="en-US"/>
        </a:p>
      </xdr:txBody>
    </xdr:sp>
    <xdr:clientData/>
  </xdr:twoCellAnchor>
  <xdr:twoCellAnchor>
    <xdr:from>
      <xdr:col>8</xdr:col>
      <xdr:colOff>12700</xdr:colOff>
      <xdr:row>33</xdr:row>
      <xdr:rowOff>120650</xdr:rowOff>
    </xdr:from>
    <xdr:to>
      <xdr:col>11</xdr:col>
      <xdr:colOff>152400</xdr:colOff>
      <xdr:row>36</xdr:row>
      <xdr:rowOff>158750</xdr:rowOff>
    </xdr:to>
    <xdr:cxnSp macro="">
      <xdr:nvCxnSpPr>
        <xdr:cNvPr id="20" name="Straight Arrow Connector 278">
          <a:extLst>
            <a:ext uri="{FF2B5EF4-FFF2-40B4-BE49-F238E27FC236}">
              <a16:creationId xmlns:a16="http://schemas.microsoft.com/office/drawing/2014/main" id="{00000000-0008-0000-0400-000014000000}"/>
            </a:ext>
          </a:extLst>
        </xdr:cNvPr>
        <xdr:cNvCxnSpPr>
          <a:stCxn id="49" idx="3"/>
          <a:endCxn id="19" idx="1"/>
        </xdr:cNvCxnSpPr>
      </xdr:nvCxnSpPr>
      <xdr:spPr>
        <a:xfrm>
          <a:off x="1739900" y="6737350"/>
          <a:ext cx="787400" cy="609600"/>
        </a:xfrm>
        <a:prstGeom prst="bentConnector3">
          <a:avLst>
            <a:gd name="adj1" fmla="val 50000"/>
          </a:avLst>
        </a:prstGeom>
        <a:ln>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152400</xdr:colOff>
      <xdr:row>36</xdr:row>
      <xdr:rowOff>146050</xdr:rowOff>
    </xdr:from>
    <xdr:to>
      <xdr:col>42</xdr:col>
      <xdr:colOff>101600</xdr:colOff>
      <xdr:row>36</xdr:row>
      <xdr:rowOff>158750</xdr:rowOff>
    </xdr:to>
    <xdr:cxnSp macro="">
      <xdr:nvCxnSpPr>
        <xdr:cNvPr id="21" name="Elbow Connector 195">
          <a:extLst>
            <a:ext uri="{FF2B5EF4-FFF2-40B4-BE49-F238E27FC236}">
              <a16:creationId xmlns:a16="http://schemas.microsoft.com/office/drawing/2014/main" id="{00000000-0008-0000-0400-000015000000}"/>
            </a:ext>
          </a:extLst>
        </xdr:cNvPr>
        <xdr:cNvCxnSpPr>
          <a:stCxn id="19" idx="3"/>
          <a:endCxn id="48" idx="1"/>
        </xdr:cNvCxnSpPr>
      </xdr:nvCxnSpPr>
      <xdr:spPr>
        <a:xfrm flipV="1">
          <a:off x="3822700" y="7334250"/>
          <a:ext cx="5346700" cy="12700"/>
        </a:xfrm>
        <a:prstGeom prst="straightConnector1">
          <a:avLst/>
        </a:prstGeom>
        <a:ln>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68</xdr:col>
      <xdr:colOff>63500</xdr:colOff>
      <xdr:row>28</xdr:row>
      <xdr:rowOff>50800</xdr:rowOff>
    </xdr:from>
    <xdr:to>
      <xdr:col>74</xdr:col>
      <xdr:colOff>63500</xdr:colOff>
      <xdr:row>31</xdr:row>
      <xdr:rowOff>50800</xdr:rowOff>
    </xdr:to>
    <xdr:sp macro="" textlink="">
      <xdr:nvSpPr>
        <xdr:cNvPr id="22" name="Rectangle 21">
          <a:extLst>
            <a:ext uri="{FF2B5EF4-FFF2-40B4-BE49-F238E27FC236}">
              <a16:creationId xmlns:a16="http://schemas.microsoft.com/office/drawing/2014/main" id="{00000000-0008-0000-0400-000016000000}"/>
            </a:ext>
          </a:extLst>
        </xdr:cNvPr>
        <xdr:cNvSpPr/>
      </xdr:nvSpPr>
      <xdr:spPr>
        <a:xfrm>
          <a:off x="14744700" y="57150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Application shares</a:t>
          </a:r>
        </a:p>
      </xdr:txBody>
    </xdr:sp>
    <xdr:clientData/>
  </xdr:twoCellAnchor>
  <xdr:twoCellAnchor>
    <xdr:from>
      <xdr:col>8</xdr:col>
      <xdr:colOff>0</xdr:colOff>
      <xdr:row>15</xdr:row>
      <xdr:rowOff>146050</xdr:rowOff>
    </xdr:from>
    <xdr:to>
      <xdr:col>29</xdr:col>
      <xdr:colOff>76200</xdr:colOff>
      <xdr:row>15</xdr:row>
      <xdr:rowOff>158750</xdr:rowOff>
    </xdr:to>
    <xdr:cxnSp macro="">
      <xdr:nvCxnSpPr>
        <xdr:cNvPr id="24" name="Elbow Connector 23">
          <a:extLst>
            <a:ext uri="{FF2B5EF4-FFF2-40B4-BE49-F238E27FC236}">
              <a16:creationId xmlns:a16="http://schemas.microsoft.com/office/drawing/2014/main" id="{00000000-0008-0000-0400-000018000000}"/>
            </a:ext>
          </a:extLst>
        </xdr:cNvPr>
        <xdr:cNvCxnSpPr>
          <a:stCxn id="7" idx="3"/>
          <a:endCxn id="62" idx="1"/>
        </xdr:cNvCxnSpPr>
      </xdr:nvCxnSpPr>
      <xdr:spPr>
        <a:xfrm>
          <a:off x="1727200" y="3333750"/>
          <a:ext cx="4610100" cy="12700"/>
        </a:xfrm>
        <a:prstGeom prst="straightConnector1">
          <a:avLst/>
        </a:prstGeom>
        <a:ln>
          <a:tailEnd type="arrow"/>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78</xdr:col>
      <xdr:colOff>0</xdr:colOff>
      <xdr:row>34</xdr:row>
      <xdr:rowOff>152400</xdr:rowOff>
    </xdr:from>
    <xdr:to>
      <xdr:col>84</xdr:col>
      <xdr:colOff>0</xdr:colOff>
      <xdr:row>38</xdr:row>
      <xdr:rowOff>152400</xdr:rowOff>
    </xdr:to>
    <xdr:sp macro="" textlink="">
      <xdr:nvSpPr>
        <xdr:cNvPr id="26" name="Rectangle 25">
          <a:extLst>
            <a:ext uri="{FF2B5EF4-FFF2-40B4-BE49-F238E27FC236}">
              <a16:creationId xmlns:a16="http://schemas.microsoft.com/office/drawing/2014/main" id="{00000000-0008-0000-0400-00001A000000}"/>
            </a:ext>
          </a:extLst>
        </xdr:cNvPr>
        <xdr:cNvSpPr/>
      </xdr:nvSpPr>
      <xdr:spPr>
        <a:xfrm>
          <a:off x="16840200" y="6959600"/>
          <a:ext cx="1295400" cy="7620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csv's</a:t>
          </a:r>
        </a:p>
      </xdr:txBody>
    </xdr:sp>
    <xdr:clientData/>
  </xdr:twoCellAnchor>
  <xdr:twoCellAnchor>
    <xdr:from>
      <xdr:col>74</xdr:col>
      <xdr:colOff>63500</xdr:colOff>
      <xdr:row>29</xdr:row>
      <xdr:rowOff>146050</xdr:rowOff>
    </xdr:from>
    <xdr:to>
      <xdr:col>78</xdr:col>
      <xdr:colOff>63500</xdr:colOff>
      <xdr:row>29</xdr:row>
      <xdr:rowOff>146050</xdr:rowOff>
    </xdr:to>
    <xdr:cxnSp macro="">
      <xdr:nvCxnSpPr>
        <xdr:cNvPr id="27" name="Elbow Connector 195">
          <a:extLst>
            <a:ext uri="{FF2B5EF4-FFF2-40B4-BE49-F238E27FC236}">
              <a16:creationId xmlns:a16="http://schemas.microsoft.com/office/drawing/2014/main" id="{00000000-0008-0000-0400-00001B000000}"/>
            </a:ext>
          </a:extLst>
        </xdr:cNvPr>
        <xdr:cNvCxnSpPr>
          <a:stCxn id="22" idx="3"/>
          <a:endCxn id="28" idx="1"/>
        </xdr:cNvCxnSpPr>
      </xdr:nvCxnSpPr>
      <xdr:spPr>
        <a:xfrm>
          <a:off x="16040100" y="6000750"/>
          <a:ext cx="863600" cy="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78</xdr:col>
      <xdr:colOff>63500</xdr:colOff>
      <xdr:row>28</xdr:row>
      <xdr:rowOff>50800</xdr:rowOff>
    </xdr:from>
    <xdr:to>
      <xdr:col>84</xdr:col>
      <xdr:colOff>63500</xdr:colOff>
      <xdr:row>31</xdr:row>
      <xdr:rowOff>50800</xdr:rowOff>
    </xdr:to>
    <xdr:sp macro="" textlink="">
      <xdr:nvSpPr>
        <xdr:cNvPr id="28" name="Rectangle 27">
          <a:extLst>
            <a:ext uri="{FF2B5EF4-FFF2-40B4-BE49-F238E27FC236}">
              <a16:creationId xmlns:a16="http://schemas.microsoft.com/office/drawing/2014/main" id="{00000000-0008-0000-0400-00001C000000}"/>
            </a:ext>
          </a:extLst>
        </xdr:cNvPr>
        <xdr:cNvSpPr/>
      </xdr:nvSpPr>
      <xdr:spPr>
        <a:xfrm>
          <a:off x="16903700" y="57150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csv's</a:t>
          </a:r>
        </a:p>
      </xdr:txBody>
    </xdr:sp>
    <xdr:clientData/>
  </xdr:twoCellAnchor>
  <xdr:twoCellAnchor>
    <xdr:from>
      <xdr:col>2</xdr:col>
      <xdr:colOff>0</xdr:colOff>
      <xdr:row>10</xdr:row>
      <xdr:rowOff>50800</xdr:rowOff>
    </xdr:from>
    <xdr:to>
      <xdr:col>8</xdr:col>
      <xdr:colOff>0</xdr:colOff>
      <xdr:row>13</xdr:row>
      <xdr:rowOff>50800</xdr:rowOff>
    </xdr:to>
    <xdr:sp macro="" textlink="">
      <xdr:nvSpPr>
        <xdr:cNvPr id="33" name="Rectangle 32">
          <a:extLst>
            <a:ext uri="{FF2B5EF4-FFF2-40B4-BE49-F238E27FC236}">
              <a16:creationId xmlns:a16="http://schemas.microsoft.com/office/drawing/2014/main" id="{00000000-0008-0000-0400-000021000000}"/>
            </a:ext>
          </a:extLst>
        </xdr:cNvPr>
        <xdr:cNvSpPr/>
      </xdr:nvSpPr>
      <xdr:spPr>
        <a:xfrm>
          <a:off x="431800" y="24384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Technological</a:t>
          </a:r>
          <a:r>
            <a:rPr lang="en-US" baseline="0"/>
            <a:t> specifications</a:t>
          </a:r>
          <a:endParaRPr lang="en-US"/>
        </a:p>
      </xdr:txBody>
    </xdr:sp>
    <xdr:clientData/>
  </xdr:twoCellAnchor>
  <xdr:twoCellAnchor>
    <xdr:from>
      <xdr:col>8</xdr:col>
      <xdr:colOff>0</xdr:colOff>
      <xdr:row>11</xdr:row>
      <xdr:rowOff>146050</xdr:rowOff>
    </xdr:from>
    <xdr:to>
      <xdr:col>45</xdr:col>
      <xdr:colOff>101600</xdr:colOff>
      <xdr:row>35</xdr:row>
      <xdr:rowOff>50800</xdr:rowOff>
    </xdr:to>
    <xdr:cxnSp macro="">
      <xdr:nvCxnSpPr>
        <xdr:cNvPr id="34" name="Elbow Connector 33">
          <a:extLst>
            <a:ext uri="{FF2B5EF4-FFF2-40B4-BE49-F238E27FC236}">
              <a16:creationId xmlns:a16="http://schemas.microsoft.com/office/drawing/2014/main" id="{00000000-0008-0000-0400-000022000000}"/>
            </a:ext>
          </a:extLst>
        </xdr:cNvPr>
        <xdr:cNvCxnSpPr>
          <a:stCxn id="33" idx="3"/>
          <a:endCxn id="48" idx="0"/>
        </xdr:cNvCxnSpPr>
      </xdr:nvCxnSpPr>
      <xdr:spPr>
        <a:xfrm>
          <a:off x="1727200" y="2571750"/>
          <a:ext cx="8089900" cy="4476750"/>
        </a:xfrm>
        <a:prstGeom prst="bentConnector2">
          <a:avLst/>
        </a:prstGeom>
        <a:ln>
          <a:tailEnd type="arrow"/>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55</xdr:col>
      <xdr:colOff>114300</xdr:colOff>
      <xdr:row>26</xdr:row>
      <xdr:rowOff>165100</xdr:rowOff>
    </xdr:from>
    <xdr:to>
      <xdr:col>61</xdr:col>
      <xdr:colOff>114300</xdr:colOff>
      <xdr:row>32</xdr:row>
      <xdr:rowOff>114300</xdr:rowOff>
    </xdr:to>
    <xdr:sp macro="" textlink="">
      <xdr:nvSpPr>
        <xdr:cNvPr id="35" name="Rectangle 34">
          <a:extLst>
            <a:ext uri="{FF2B5EF4-FFF2-40B4-BE49-F238E27FC236}">
              <a16:creationId xmlns:a16="http://schemas.microsoft.com/office/drawing/2014/main" id="{00000000-0008-0000-0400-000023000000}"/>
            </a:ext>
          </a:extLst>
        </xdr:cNvPr>
        <xdr:cNvSpPr/>
      </xdr:nvSpPr>
      <xdr:spPr>
        <a:xfrm>
          <a:off x="11988800" y="5448300"/>
          <a:ext cx="1295400" cy="1092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Final demand per energy carrier</a:t>
          </a:r>
        </a:p>
      </xdr:txBody>
    </xdr:sp>
    <xdr:clientData/>
  </xdr:twoCellAnchor>
  <xdr:twoCellAnchor>
    <xdr:from>
      <xdr:col>48</xdr:col>
      <xdr:colOff>101600</xdr:colOff>
      <xdr:row>36</xdr:row>
      <xdr:rowOff>146050</xdr:rowOff>
    </xdr:from>
    <xdr:to>
      <xdr:col>68</xdr:col>
      <xdr:colOff>25400</xdr:colOff>
      <xdr:row>36</xdr:row>
      <xdr:rowOff>152400</xdr:rowOff>
    </xdr:to>
    <xdr:cxnSp macro="">
      <xdr:nvCxnSpPr>
        <xdr:cNvPr id="43" name="Elbow Connector 195">
          <a:extLst>
            <a:ext uri="{FF2B5EF4-FFF2-40B4-BE49-F238E27FC236}">
              <a16:creationId xmlns:a16="http://schemas.microsoft.com/office/drawing/2014/main" id="{00000000-0008-0000-0400-00002B000000}"/>
            </a:ext>
          </a:extLst>
        </xdr:cNvPr>
        <xdr:cNvCxnSpPr>
          <a:stCxn id="48" idx="3"/>
          <a:endCxn id="14" idx="1"/>
        </xdr:cNvCxnSpPr>
      </xdr:nvCxnSpPr>
      <xdr:spPr>
        <a:xfrm>
          <a:off x="10464800" y="7334250"/>
          <a:ext cx="4241800" cy="6350"/>
        </a:xfrm>
        <a:prstGeom prst="straightConnector1">
          <a:avLst/>
        </a:prstGeom>
        <a:ln>
          <a:tailEnd type="arrow"/>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29</xdr:col>
      <xdr:colOff>76200</xdr:colOff>
      <xdr:row>14</xdr:row>
      <xdr:rowOff>63500</xdr:rowOff>
    </xdr:from>
    <xdr:to>
      <xdr:col>35</xdr:col>
      <xdr:colOff>76200</xdr:colOff>
      <xdr:row>17</xdr:row>
      <xdr:rowOff>63500</xdr:rowOff>
    </xdr:to>
    <xdr:sp macro="" textlink="">
      <xdr:nvSpPr>
        <xdr:cNvPr id="62" name="Rectangle 61">
          <a:extLst>
            <a:ext uri="{FF2B5EF4-FFF2-40B4-BE49-F238E27FC236}">
              <a16:creationId xmlns:a16="http://schemas.microsoft.com/office/drawing/2014/main" id="{00000000-0008-0000-0400-00003E000000}"/>
            </a:ext>
          </a:extLst>
        </xdr:cNvPr>
        <xdr:cNvSpPr/>
      </xdr:nvSpPr>
      <xdr:spPr>
        <a:xfrm>
          <a:off x="6337300" y="30607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Fuel</a:t>
          </a:r>
          <a:r>
            <a:rPr lang="en-US" baseline="0"/>
            <a:t> Aggregation</a:t>
          </a:r>
          <a:endParaRPr lang="en-US"/>
        </a:p>
      </xdr:txBody>
    </xdr:sp>
    <xdr:clientData/>
  </xdr:twoCellAnchor>
  <xdr:twoCellAnchor>
    <xdr:from>
      <xdr:col>35</xdr:col>
      <xdr:colOff>76200</xdr:colOff>
      <xdr:row>15</xdr:row>
      <xdr:rowOff>158750</xdr:rowOff>
    </xdr:from>
    <xdr:to>
      <xdr:col>58</xdr:col>
      <xdr:colOff>114300</xdr:colOff>
      <xdr:row>26</xdr:row>
      <xdr:rowOff>165100</xdr:rowOff>
    </xdr:to>
    <xdr:cxnSp macro="">
      <xdr:nvCxnSpPr>
        <xdr:cNvPr id="64" name="Elbow Connector 23">
          <a:extLst>
            <a:ext uri="{FF2B5EF4-FFF2-40B4-BE49-F238E27FC236}">
              <a16:creationId xmlns:a16="http://schemas.microsoft.com/office/drawing/2014/main" id="{00000000-0008-0000-0400-000040000000}"/>
            </a:ext>
          </a:extLst>
        </xdr:cNvPr>
        <xdr:cNvCxnSpPr>
          <a:stCxn id="62" idx="3"/>
          <a:endCxn id="35" idx="0"/>
        </xdr:cNvCxnSpPr>
      </xdr:nvCxnSpPr>
      <xdr:spPr>
        <a:xfrm>
          <a:off x="7632700" y="3346450"/>
          <a:ext cx="5003800" cy="2101850"/>
        </a:xfrm>
        <a:prstGeom prst="bentConnector2">
          <a:avLst/>
        </a:prstGeom>
        <a:ln>
          <a:tailEnd type="arrow"/>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42</xdr:col>
      <xdr:colOff>101600</xdr:colOff>
      <xdr:row>35</xdr:row>
      <xdr:rowOff>50800</xdr:rowOff>
    </xdr:from>
    <xdr:to>
      <xdr:col>48</xdr:col>
      <xdr:colOff>101600</xdr:colOff>
      <xdr:row>38</xdr:row>
      <xdr:rowOff>50800</xdr:rowOff>
    </xdr:to>
    <xdr:sp macro="" textlink="">
      <xdr:nvSpPr>
        <xdr:cNvPr id="48" name="Rectangle 47">
          <a:extLst>
            <a:ext uri="{FF2B5EF4-FFF2-40B4-BE49-F238E27FC236}">
              <a16:creationId xmlns:a16="http://schemas.microsoft.com/office/drawing/2014/main" id="{00000000-0008-0000-0400-000030000000}"/>
            </a:ext>
          </a:extLst>
        </xdr:cNvPr>
        <xdr:cNvSpPr/>
      </xdr:nvSpPr>
      <xdr:spPr>
        <a:xfrm>
          <a:off x="9169400" y="70485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Technology split final demand</a:t>
          </a:r>
        </a:p>
      </xdr:txBody>
    </xdr:sp>
    <xdr:clientData/>
  </xdr:twoCellAnchor>
  <xdr:twoCellAnchor>
    <xdr:from>
      <xdr:col>61</xdr:col>
      <xdr:colOff>114300</xdr:colOff>
      <xdr:row>29</xdr:row>
      <xdr:rowOff>139700</xdr:rowOff>
    </xdr:from>
    <xdr:to>
      <xdr:col>68</xdr:col>
      <xdr:colOff>63500</xdr:colOff>
      <xdr:row>29</xdr:row>
      <xdr:rowOff>146050</xdr:rowOff>
    </xdr:to>
    <xdr:cxnSp macro="">
      <xdr:nvCxnSpPr>
        <xdr:cNvPr id="51" name="Elbow Connector 195">
          <a:extLst>
            <a:ext uri="{FF2B5EF4-FFF2-40B4-BE49-F238E27FC236}">
              <a16:creationId xmlns:a16="http://schemas.microsoft.com/office/drawing/2014/main" id="{00000000-0008-0000-0400-000033000000}"/>
            </a:ext>
          </a:extLst>
        </xdr:cNvPr>
        <xdr:cNvCxnSpPr>
          <a:stCxn id="35" idx="3"/>
          <a:endCxn id="22" idx="1"/>
        </xdr:cNvCxnSpPr>
      </xdr:nvCxnSpPr>
      <xdr:spPr>
        <a:xfrm>
          <a:off x="13284200" y="5994400"/>
          <a:ext cx="1460500" cy="6350"/>
        </a:xfrm>
        <a:prstGeom prst="straightConnector1">
          <a:avLst/>
        </a:prstGeom>
        <a:ln w="19050" cmpd="sng">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17</xdr:col>
      <xdr:colOff>101600</xdr:colOff>
      <xdr:row>29</xdr:row>
      <xdr:rowOff>139700</xdr:rowOff>
    </xdr:from>
    <xdr:to>
      <xdr:col>55</xdr:col>
      <xdr:colOff>114300</xdr:colOff>
      <xdr:row>29</xdr:row>
      <xdr:rowOff>158750</xdr:rowOff>
    </xdr:to>
    <xdr:cxnSp macro="">
      <xdr:nvCxnSpPr>
        <xdr:cNvPr id="100" name="Elbow Connector 71">
          <a:extLst>
            <a:ext uri="{FF2B5EF4-FFF2-40B4-BE49-F238E27FC236}">
              <a16:creationId xmlns:a16="http://schemas.microsoft.com/office/drawing/2014/main" id="{00000000-0008-0000-0400-000064000000}"/>
            </a:ext>
          </a:extLst>
        </xdr:cNvPr>
        <xdr:cNvCxnSpPr>
          <a:stCxn id="10" idx="3"/>
          <a:endCxn id="35" idx="1"/>
        </xdr:cNvCxnSpPr>
      </xdr:nvCxnSpPr>
      <xdr:spPr>
        <a:xfrm flipV="1">
          <a:off x="3771900" y="5994400"/>
          <a:ext cx="8216900" cy="19050"/>
        </a:xfrm>
        <a:prstGeom prst="straightConnector1">
          <a:avLst/>
        </a:prstGeom>
        <a:ln>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2</xdr:col>
      <xdr:colOff>12700</xdr:colOff>
      <xdr:row>32</xdr:row>
      <xdr:rowOff>25400</xdr:rowOff>
    </xdr:from>
    <xdr:to>
      <xdr:col>8</xdr:col>
      <xdr:colOff>12700</xdr:colOff>
      <xdr:row>35</xdr:row>
      <xdr:rowOff>25400</xdr:rowOff>
    </xdr:to>
    <xdr:sp macro="" textlink="">
      <xdr:nvSpPr>
        <xdr:cNvPr id="49" name="Rectangle 48">
          <a:extLst>
            <a:ext uri="{FF2B5EF4-FFF2-40B4-BE49-F238E27FC236}">
              <a16:creationId xmlns:a16="http://schemas.microsoft.com/office/drawing/2014/main" id="{00000000-0008-0000-0400-000031000000}"/>
            </a:ext>
          </a:extLst>
        </xdr:cNvPr>
        <xdr:cNvSpPr/>
      </xdr:nvSpPr>
      <xdr:spPr>
        <a:xfrm>
          <a:off x="444500" y="64516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Resdicene</a:t>
          </a:r>
          <a:r>
            <a:rPr lang="en-US" baseline="0"/>
            <a:t> Source analysis</a:t>
          </a:r>
          <a:endParaRPr lang="en-US"/>
        </a:p>
      </xdr:txBody>
    </xdr:sp>
    <xdr:clientData/>
  </xdr:twoCellAnchor>
  <xdr:twoCellAnchor>
    <xdr:from>
      <xdr:col>48</xdr:col>
      <xdr:colOff>101600</xdr:colOff>
      <xdr:row>32</xdr:row>
      <xdr:rowOff>114300</xdr:rowOff>
    </xdr:from>
    <xdr:to>
      <xdr:col>58</xdr:col>
      <xdr:colOff>114300</xdr:colOff>
      <xdr:row>36</xdr:row>
      <xdr:rowOff>146050</xdr:rowOff>
    </xdr:to>
    <xdr:cxnSp macro="">
      <xdr:nvCxnSpPr>
        <xdr:cNvPr id="57" name="Straight Arrow Connector 278">
          <a:extLst>
            <a:ext uri="{FF2B5EF4-FFF2-40B4-BE49-F238E27FC236}">
              <a16:creationId xmlns:a16="http://schemas.microsoft.com/office/drawing/2014/main" id="{00000000-0008-0000-0400-000039000000}"/>
            </a:ext>
          </a:extLst>
        </xdr:cNvPr>
        <xdr:cNvCxnSpPr>
          <a:stCxn id="48" idx="3"/>
          <a:endCxn id="35" idx="2"/>
        </xdr:cNvCxnSpPr>
      </xdr:nvCxnSpPr>
      <xdr:spPr>
        <a:xfrm flipV="1">
          <a:off x="10464800" y="6540500"/>
          <a:ext cx="2171700" cy="793750"/>
        </a:xfrm>
        <a:prstGeom prst="bentConnector2">
          <a:avLst/>
        </a:prstGeom>
        <a:ln>
          <a:tailEnd type="arrow"/>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29</xdr:col>
      <xdr:colOff>63500</xdr:colOff>
      <xdr:row>21</xdr:row>
      <xdr:rowOff>177800</xdr:rowOff>
    </xdr:from>
    <xdr:to>
      <xdr:col>35</xdr:col>
      <xdr:colOff>63500</xdr:colOff>
      <xdr:row>25</xdr:row>
      <xdr:rowOff>50800</xdr:rowOff>
    </xdr:to>
    <xdr:sp macro="" textlink="">
      <xdr:nvSpPr>
        <xdr:cNvPr id="90" name="Rectangle 89">
          <a:extLst>
            <a:ext uri="{FF2B5EF4-FFF2-40B4-BE49-F238E27FC236}">
              <a16:creationId xmlns:a16="http://schemas.microsoft.com/office/drawing/2014/main" id="{00000000-0008-0000-0400-00005A000000}"/>
            </a:ext>
          </a:extLst>
        </xdr:cNvPr>
        <xdr:cNvSpPr/>
      </xdr:nvSpPr>
      <xdr:spPr>
        <a:xfrm>
          <a:off x="6324600" y="4508500"/>
          <a:ext cx="1295400" cy="6350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Final demand extracted from EB</a:t>
          </a:r>
        </a:p>
      </xdr:txBody>
    </xdr:sp>
    <xdr:clientData/>
  </xdr:twoCellAnchor>
  <xdr:twoCellAnchor>
    <xdr:from>
      <xdr:col>32</xdr:col>
      <xdr:colOff>63500</xdr:colOff>
      <xdr:row>17</xdr:row>
      <xdr:rowOff>63500</xdr:rowOff>
    </xdr:from>
    <xdr:to>
      <xdr:col>32</xdr:col>
      <xdr:colOff>76200</xdr:colOff>
      <xdr:row>21</xdr:row>
      <xdr:rowOff>177800</xdr:rowOff>
    </xdr:to>
    <xdr:cxnSp macro="">
      <xdr:nvCxnSpPr>
        <xdr:cNvPr id="91" name="Elbow Connector 23">
          <a:extLst>
            <a:ext uri="{FF2B5EF4-FFF2-40B4-BE49-F238E27FC236}">
              <a16:creationId xmlns:a16="http://schemas.microsoft.com/office/drawing/2014/main" id="{00000000-0008-0000-0400-00005B000000}"/>
            </a:ext>
          </a:extLst>
        </xdr:cNvPr>
        <xdr:cNvCxnSpPr>
          <a:stCxn id="62" idx="2"/>
          <a:endCxn id="90" idx="0"/>
        </xdr:cNvCxnSpPr>
      </xdr:nvCxnSpPr>
      <xdr:spPr>
        <a:xfrm flipH="1">
          <a:off x="6972300" y="3632200"/>
          <a:ext cx="12700" cy="876300"/>
        </a:xfrm>
        <a:prstGeom prst="straightConnector1">
          <a:avLst/>
        </a:prstGeom>
        <a:ln>
          <a:tailEnd type="arrow"/>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32</xdr:col>
      <xdr:colOff>63500</xdr:colOff>
      <xdr:row>25</xdr:row>
      <xdr:rowOff>50800</xdr:rowOff>
    </xdr:from>
    <xdr:to>
      <xdr:col>42</xdr:col>
      <xdr:colOff>101600</xdr:colOff>
      <xdr:row>36</xdr:row>
      <xdr:rowOff>146050</xdr:rowOff>
    </xdr:to>
    <xdr:cxnSp macro="">
      <xdr:nvCxnSpPr>
        <xdr:cNvPr id="95" name="Elbow Connector 23">
          <a:extLst>
            <a:ext uri="{FF2B5EF4-FFF2-40B4-BE49-F238E27FC236}">
              <a16:creationId xmlns:a16="http://schemas.microsoft.com/office/drawing/2014/main" id="{00000000-0008-0000-0400-00005F000000}"/>
            </a:ext>
          </a:extLst>
        </xdr:cNvPr>
        <xdr:cNvCxnSpPr>
          <a:stCxn id="90" idx="2"/>
          <a:endCxn id="48" idx="1"/>
        </xdr:cNvCxnSpPr>
      </xdr:nvCxnSpPr>
      <xdr:spPr>
        <a:xfrm rot="16200000" flipH="1">
          <a:off x="6975475" y="5140325"/>
          <a:ext cx="2190750" cy="2197100"/>
        </a:xfrm>
        <a:prstGeom prst="bentConnector2">
          <a:avLst/>
        </a:prstGeom>
        <a:ln>
          <a:tailEnd type="arrow"/>
        </a:ln>
      </xdr:spPr>
      <xdr:style>
        <a:lnRef idx="2">
          <a:schemeClr val="accent4"/>
        </a:lnRef>
        <a:fillRef idx="0">
          <a:schemeClr val="accent4"/>
        </a:fillRef>
        <a:effectRef idx="1">
          <a:schemeClr val="accent4"/>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76200</xdr:colOff>
          <xdr:row>2</xdr:row>
          <xdr:rowOff>38100</xdr:rowOff>
        </xdr:from>
        <xdr:to>
          <xdr:col>12</xdr:col>
          <xdr:colOff>1206500</xdr:colOff>
          <xdr:row>3</xdr:row>
          <xdr:rowOff>0</xdr:rowOff>
        </xdr:to>
        <xdr:sp macro="" textlink="">
          <xdr:nvSpPr>
            <xdr:cNvPr id="11281" name="import_data" hidden="1">
              <a:extLst>
                <a:ext uri="{63B3BB69-23CF-44E3-9099-C40C66FF867C}">
                  <a14:compatExt spid="_x0000_s11281"/>
                </a:ext>
                <a:ext uri="{FF2B5EF4-FFF2-40B4-BE49-F238E27FC236}">
                  <a16:creationId xmlns:a16="http://schemas.microsoft.com/office/drawing/2014/main" id="{00000000-0008-0000-0600-0000112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0" i="0" u="none" strike="noStrike" baseline="0">
                  <a:solidFill>
                    <a:srgbClr val="000000"/>
                  </a:solidFill>
                  <a:latin typeface="Lucida Grande" pitchFamily="2" charset="0"/>
                  <a:cs typeface="Lucida Grande" pitchFamily="2" charset="0"/>
                </a:rPr>
                <a:t>import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4</xdr:row>
          <xdr:rowOff>228600</xdr:rowOff>
        </xdr:from>
        <xdr:to>
          <xdr:col>12</xdr:col>
          <xdr:colOff>1244600</xdr:colOff>
          <xdr:row>4</xdr:row>
          <xdr:rowOff>444500</xdr:rowOff>
        </xdr:to>
        <xdr:sp macro="" textlink="">
          <xdr:nvSpPr>
            <xdr:cNvPr id="11282" name="export_data" hidden="1">
              <a:extLst>
                <a:ext uri="{63B3BB69-23CF-44E3-9099-C40C66FF867C}">
                  <a14:compatExt spid="_x0000_s11282"/>
                </a:ext>
                <a:ext uri="{FF2B5EF4-FFF2-40B4-BE49-F238E27FC236}">
                  <a16:creationId xmlns:a16="http://schemas.microsoft.com/office/drawing/2014/main" id="{00000000-0008-0000-0600-0000122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0" i="0" u="none" strike="noStrike" baseline="0">
                  <a:solidFill>
                    <a:srgbClr val="000000"/>
                  </a:solidFill>
                  <a:latin typeface="Lucida Grande" pitchFamily="2" charset="0"/>
                  <a:cs typeface="Lucida Grande" pitchFamily="2" charset="0"/>
                </a:rPr>
                <a:t>export to 'data/…/ouput' folder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2247900</xdr:colOff>
          <xdr:row>3</xdr:row>
          <xdr:rowOff>88900</xdr:rowOff>
        </xdr:from>
        <xdr:to>
          <xdr:col>12</xdr:col>
          <xdr:colOff>1219200</xdr:colOff>
          <xdr:row>4</xdr:row>
          <xdr:rowOff>114300</xdr:rowOff>
        </xdr:to>
        <xdr:sp macro="" textlink="">
          <xdr:nvSpPr>
            <xdr:cNvPr id="11283" name="select_dashboard" hidden="1">
              <a:extLst>
                <a:ext uri="{63B3BB69-23CF-44E3-9099-C40C66FF867C}">
                  <a14:compatExt spid="_x0000_s11283"/>
                </a:ext>
                <a:ext uri="{FF2B5EF4-FFF2-40B4-BE49-F238E27FC236}">
                  <a16:creationId xmlns:a16="http://schemas.microsoft.com/office/drawing/2014/main" id="{00000000-0008-0000-0600-0000132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0" i="0" u="none" strike="noStrike" baseline="0">
                  <a:solidFill>
                    <a:srgbClr val="000000"/>
                  </a:solidFill>
                  <a:latin typeface="Lucida Grande" pitchFamily="2" charset="0"/>
                  <a:cs typeface="Lucida Grande" pitchFamily="2" charset="0"/>
                </a:rPr>
                <a:t>optional: load different Dashbord values</a:t>
              </a:r>
            </a:p>
          </xdr:txBody>
        </xdr:sp>
        <xdr:clientData fPrintsWithSheet="0"/>
      </xdr:twoCellAnchor>
    </mc:Choice>
    <mc:Fallback/>
  </mc:AlternateContent>
  <xdr:oneCellAnchor>
    <xdr:from>
      <xdr:col>1</xdr:col>
      <xdr:colOff>1257300</xdr:colOff>
      <xdr:row>25</xdr:row>
      <xdr:rowOff>127000</xdr:rowOff>
    </xdr:from>
    <xdr:ext cx="7250979" cy="276999"/>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2082800" y="5461000"/>
          <a:ext cx="7250979" cy="276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t>The ETM supports a detailed modelling of the central ICT </a:t>
          </a:r>
          <a:r>
            <a:rPr lang="en-US" sz="1200" b="1" baseline="0"/>
            <a:t>sector, for which you need to provide additional data.</a:t>
          </a:r>
          <a:endParaRPr lang="en-US" sz="12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kyradehaan/github/etdataset/analysis_manager.xlsm" TargetMode="External"/><Relationship Id="rId1" Type="http://schemas.openxmlformats.org/officeDocument/2006/relationships/externalLinkPath" Target="/Users/kyradehaan/github/etdataset/analysis_manag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
      <sheetName val="Dashboard"/>
      <sheetName val="analysis_manager"/>
    </sheetNames>
    <definedNames>
      <definedName name="export_data_button"/>
      <definedName name="import_data_button"/>
      <definedName name="select_dashboard_values"/>
    </definedNames>
    <sheetDataSet>
      <sheetData sheetId="0"/>
      <sheetData sheetId="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2"/>
  </sheetPr>
  <dimension ref="B2:D39"/>
  <sheetViews>
    <sheetView tabSelected="1" workbookViewId="0">
      <selection activeCell="C10" sqref="C10"/>
    </sheetView>
  </sheetViews>
  <sheetFormatPr baseColWidth="10" defaultRowHeight="16" x14ac:dyDescent="0.2"/>
  <cols>
    <col min="1" max="1" width="10.83203125" style="1"/>
    <col min="2" max="2" width="14" style="1" customWidth="1"/>
    <col min="3" max="3" width="44" style="1" customWidth="1"/>
    <col min="4" max="4" width="9.33203125" style="1" customWidth="1"/>
    <col min="5" max="16384" width="10.83203125" style="1"/>
  </cols>
  <sheetData>
    <row r="2" spans="2:4" ht="21" x14ac:dyDescent="0.25">
      <c r="B2" s="2" t="s">
        <v>248</v>
      </c>
    </row>
    <row r="4" spans="2:4" x14ac:dyDescent="0.2">
      <c r="B4" s="3" t="s">
        <v>1</v>
      </c>
      <c r="C4" s="4" t="s">
        <v>19</v>
      </c>
      <c r="D4" s="5"/>
    </row>
    <row r="5" spans="2:4" x14ac:dyDescent="0.2">
      <c r="B5" s="6" t="s">
        <v>2</v>
      </c>
      <c r="C5" s="24">
        <f>MAX(Changelog!D:D)</f>
        <v>1.42</v>
      </c>
      <c r="D5" s="7"/>
    </row>
    <row r="6" spans="2:4" x14ac:dyDescent="0.2">
      <c r="B6" s="6" t="s">
        <v>333</v>
      </c>
      <c r="C6" s="24" t="str">
        <f>Dashboard!E11</f>
        <v>nl</v>
      </c>
      <c r="D6" s="7"/>
    </row>
    <row r="7" spans="2:4" x14ac:dyDescent="0.2">
      <c r="B7" s="6" t="s">
        <v>334</v>
      </c>
      <c r="C7" s="187">
        <f>Dashboard!E12</f>
        <v>2023</v>
      </c>
      <c r="D7" s="7"/>
    </row>
    <row r="8" spans="2:4" x14ac:dyDescent="0.2">
      <c r="B8" s="6" t="s">
        <v>3</v>
      </c>
      <c r="C8" s="195">
        <v>46041</v>
      </c>
      <c r="D8" s="7"/>
    </row>
    <row r="9" spans="2:4" x14ac:dyDescent="0.2">
      <c r="B9" s="6" t="s">
        <v>4</v>
      </c>
      <c r="C9" s="1" t="s">
        <v>620</v>
      </c>
      <c r="D9" s="7"/>
    </row>
    <row r="10" spans="2:4" x14ac:dyDescent="0.2">
      <c r="B10" s="8" t="s">
        <v>20</v>
      </c>
      <c r="C10" s="9" t="s">
        <v>609</v>
      </c>
      <c r="D10" s="10"/>
    </row>
    <row r="12" spans="2:4" x14ac:dyDescent="0.2">
      <c r="B12" s="3" t="s">
        <v>8</v>
      </c>
      <c r="C12" s="4"/>
      <c r="D12" s="5"/>
    </row>
    <row r="13" spans="2:4" x14ac:dyDescent="0.2">
      <c r="B13" s="19"/>
      <c r="D13" s="7"/>
    </row>
    <row r="14" spans="2:4" x14ac:dyDescent="0.2">
      <c r="B14" s="19" t="s">
        <v>9</v>
      </c>
      <c r="C14" s="20" t="s">
        <v>10</v>
      </c>
      <c r="D14" s="7"/>
    </row>
    <row r="15" spans="2:4" ht="17" thickBot="1" x14ac:dyDescent="0.25">
      <c r="B15" s="19"/>
      <c r="C15" s="14" t="s">
        <v>11</v>
      </c>
      <c r="D15" s="7"/>
    </row>
    <row r="16" spans="2:4" ht="17" thickBot="1" x14ac:dyDescent="0.25">
      <c r="B16" s="19"/>
      <c r="C16" s="21" t="s">
        <v>12</v>
      </c>
      <c r="D16" s="7"/>
    </row>
    <row r="17" spans="2:4" x14ac:dyDescent="0.2">
      <c r="B17" s="19"/>
      <c r="C17" s="1" t="s">
        <v>13</v>
      </c>
      <c r="D17" s="7"/>
    </row>
    <row r="18" spans="2:4" x14ac:dyDescent="0.2">
      <c r="B18" s="19"/>
      <c r="D18" s="7"/>
    </row>
    <row r="19" spans="2:4" x14ac:dyDescent="0.2">
      <c r="B19" s="19" t="s">
        <v>14</v>
      </c>
      <c r="C19" s="22" t="s">
        <v>287</v>
      </c>
      <c r="D19" s="7"/>
    </row>
    <row r="20" spans="2:4" x14ac:dyDescent="0.2">
      <c r="B20" s="19"/>
      <c r="C20" s="151" t="s">
        <v>17</v>
      </c>
      <c r="D20" s="7"/>
    </row>
    <row r="21" spans="2:4" x14ac:dyDescent="0.2">
      <c r="B21" s="19"/>
      <c r="C21" s="152" t="s">
        <v>288</v>
      </c>
      <c r="D21" s="7"/>
    </row>
    <row r="22" spans="2:4" x14ac:dyDescent="0.2">
      <c r="B22" s="19"/>
      <c r="C22" s="153" t="s">
        <v>28</v>
      </c>
      <c r="D22" s="7"/>
    </row>
    <row r="23" spans="2:4" x14ac:dyDescent="0.2">
      <c r="B23" s="17"/>
      <c r="C23" s="23" t="s">
        <v>15</v>
      </c>
      <c r="D23" s="7"/>
    </row>
    <row r="24" spans="2:4" x14ac:dyDescent="0.2">
      <c r="B24" s="17"/>
      <c r="C24" s="154" t="s">
        <v>289</v>
      </c>
      <c r="D24" s="7"/>
    </row>
    <row r="25" spans="2:4" x14ac:dyDescent="0.2">
      <c r="B25" s="17"/>
      <c r="C25" s="155" t="s">
        <v>16</v>
      </c>
      <c r="D25" s="7"/>
    </row>
    <row r="26" spans="2:4" x14ac:dyDescent="0.2">
      <c r="B26" s="17"/>
      <c r="C26" s="115" t="s">
        <v>327</v>
      </c>
      <c r="D26" s="7"/>
    </row>
    <row r="27" spans="2:4" x14ac:dyDescent="0.2">
      <c r="B27" s="18"/>
      <c r="C27" s="201"/>
      <c r="D27" s="10"/>
    </row>
    <row r="29" spans="2:4" x14ac:dyDescent="0.2">
      <c r="B29" s="3" t="s">
        <v>18</v>
      </c>
      <c r="C29" s="4"/>
      <c r="D29" s="5"/>
    </row>
    <row r="30" spans="2:4" x14ac:dyDescent="0.2">
      <c r="B30" s="17"/>
      <c r="D30" s="7"/>
    </row>
    <row r="31" spans="2:4" x14ac:dyDescent="0.2">
      <c r="B31" s="17"/>
      <c r="D31" s="7"/>
    </row>
    <row r="32" spans="2:4" x14ac:dyDescent="0.2">
      <c r="B32" s="17"/>
      <c r="D32" s="7"/>
    </row>
    <row r="33" spans="2:4" x14ac:dyDescent="0.2">
      <c r="B33" s="17"/>
      <c r="D33" s="7"/>
    </row>
    <row r="34" spans="2:4" x14ac:dyDescent="0.2">
      <c r="B34" s="17"/>
      <c r="D34" s="7"/>
    </row>
    <row r="35" spans="2:4" x14ac:dyDescent="0.2">
      <c r="B35" s="17"/>
      <c r="D35" s="7"/>
    </row>
    <row r="36" spans="2:4" x14ac:dyDescent="0.2">
      <c r="B36" s="17"/>
      <c r="D36" s="7"/>
    </row>
    <row r="37" spans="2:4" x14ac:dyDescent="0.2">
      <c r="B37" s="17"/>
      <c r="D37" s="7"/>
    </row>
    <row r="38" spans="2:4" x14ac:dyDescent="0.2">
      <c r="B38" s="17"/>
      <c r="D38" s="7"/>
    </row>
    <row r="39" spans="2:4" x14ac:dyDescent="0.2">
      <c r="B39" s="18"/>
      <c r="C39" s="9"/>
      <c r="D39" s="10"/>
    </row>
  </sheetData>
  <pageMargins left="0.75" right="0.75" top="1" bottom="1" header="0.5" footer="0.5"/>
  <pageSetup paperSize="9" orientation="portrait" horizontalDpi="4294967292" verticalDpi="4294967292"/>
  <ignoredErrors>
    <ignoredError sqref="C5" emptyCellReference="1"/>
  </ignoredError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2"/>
  </sheetPr>
  <dimension ref="B2:E54"/>
  <sheetViews>
    <sheetView topLeftCell="A31" workbookViewId="0">
      <selection activeCell="B49" sqref="B49"/>
    </sheetView>
  </sheetViews>
  <sheetFormatPr baseColWidth="10" defaultRowHeight="16" x14ac:dyDescent="0.2"/>
  <cols>
    <col min="1" max="1" width="10.83203125" style="1"/>
    <col min="2" max="2" width="17.6640625" style="1" bestFit="1" customWidth="1"/>
    <col min="3" max="3" width="73" style="1" customWidth="1"/>
    <col min="4" max="4" width="9.33203125" style="1" customWidth="1"/>
    <col min="5" max="16384" width="10.83203125" style="1"/>
  </cols>
  <sheetData>
    <row r="2" spans="2:5" ht="21" x14ac:dyDescent="0.25">
      <c r="B2" s="2" t="s">
        <v>0</v>
      </c>
    </row>
    <row r="4" spans="2:5" x14ac:dyDescent="0.2">
      <c r="B4" s="11" t="s">
        <v>3</v>
      </c>
      <c r="C4" s="12" t="s">
        <v>5</v>
      </c>
      <c r="D4" s="13" t="s">
        <v>6</v>
      </c>
    </row>
    <row r="5" spans="2:5" x14ac:dyDescent="0.2">
      <c r="B5" s="6"/>
      <c r="C5" s="14"/>
      <c r="D5" s="15"/>
    </row>
    <row r="6" spans="2:5" x14ac:dyDescent="0.2">
      <c r="B6" s="286">
        <v>41450</v>
      </c>
      <c r="C6" t="s">
        <v>7</v>
      </c>
      <c r="D6" s="289">
        <v>1</v>
      </c>
      <c r="E6" s="128"/>
    </row>
    <row r="7" spans="2:5" x14ac:dyDescent="0.2">
      <c r="B7" s="287">
        <v>41452</v>
      </c>
      <c r="C7" t="s">
        <v>241</v>
      </c>
      <c r="D7" s="290">
        <v>1.01</v>
      </c>
      <c r="E7" s="128"/>
    </row>
    <row r="8" spans="2:5" x14ac:dyDescent="0.2">
      <c r="B8" s="287">
        <v>41457</v>
      </c>
      <c r="C8" t="s">
        <v>242</v>
      </c>
      <c r="D8" s="290">
        <v>1.02</v>
      </c>
      <c r="E8" s="128"/>
    </row>
    <row r="9" spans="2:5" x14ac:dyDescent="0.2">
      <c r="B9" s="287">
        <v>41457</v>
      </c>
      <c r="C9" t="s">
        <v>254</v>
      </c>
      <c r="D9" s="290">
        <v>1.03</v>
      </c>
      <c r="E9" s="128"/>
    </row>
    <row r="10" spans="2:5" x14ac:dyDescent="0.2">
      <c r="B10" s="287">
        <v>41458</v>
      </c>
      <c r="C10" t="s">
        <v>275</v>
      </c>
      <c r="D10" s="290">
        <v>1.04</v>
      </c>
      <c r="E10" s="128"/>
    </row>
    <row r="11" spans="2:5" x14ac:dyDescent="0.2">
      <c r="B11" s="287">
        <v>41459</v>
      </c>
      <c r="C11" t="s">
        <v>280</v>
      </c>
      <c r="D11" s="290">
        <v>1.05</v>
      </c>
      <c r="E11" s="128"/>
    </row>
    <row r="12" spans="2:5" x14ac:dyDescent="0.2">
      <c r="B12" s="287">
        <v>41460</v>
      </c>
      <c r="C12" t="s">
        <v>284</v>
      </c>
      <c r="D12" s="290">
        <v>1.06</v>
      </c>
      <c r="E12" s="128"/>
    </row>
    <row r="13" spans="2:5" x14ac:dyDescent="0.2">
      <c r="B13" s="287">
        <v>41463</v>
      </c>
      <c r="C13" t="s">
        <v>291</v>
      </c>
      <c r="D13" s="290">
        <v>1.07</v>
      </c>
      <c r="E13" s="128"/>
    </row>
    <row r="14" spans="2:5" x14ac:dyDescent="0.2">
      <c r="B14" s="287">
        <v>41464</v>
      </c>
      <c r="C14" t="s">
        <v>298</v>
      </c>
      <c r="D14" s="290">
        <v>1.08</v>
      </c>
      <c r="E14" s="128"/>
    </row>
    <row r="15" spans="2:5" ht="32" x14ac:dyDescent="0.2">
      <c r="B15" s="287">
        <v>41464</v>
      </c>
      <c r="C15" s="37" t="s">
        <v>299</v>
      </c>
      <c r="D15" s="290">
        <v>1.0900000000000001</v>
      </c>
      <c r="E15" s="128"/>
    </row>
    <row r="16" spans="2:5" x14ac:dyDescent="0.2">
      <c r="B16" s="287">
        <v>41465</v>
      </c>
      <c r="C16" t="s">
        <v>303</v>
      </c>
      <c r="D16" s="289">
        <v>1.1000000000000001</v>
      </c>
      <c r="E16" s="128"/>
    </row>
    <row r="17" spans="2:5" x14ac:dyDescent="0.2">
      <c r="B17" s="287">
        <v>41465</v>
      </c>
      <c r="C17" s="37" t="s">
        <v>318</v>
      </c>
      <c r="D17" s="290">
        <v>1.1100000000000001</v>
      </c>
      <c r="E17" s="128"/>
    </row>
    <row r="18" spans="2:5" x14ac:dyDescent="0.2">
      <c r="B18" s="287">
        <v>41467</v>
      </c>
      <c r="C18" t="s">
        <v>319</v>
      </c>
      <c r="D18" s="290">
        <v>1.1200000000000001</v>
      </c>
      <c r="E18" s="128"/>
    </row>
    <row r="19" spans="2:5" ht="32" x14ac:dyDescent="0.2">
      <c r="B19" s="287">
        <v>41470</v>
      </c>
      <c r="C19" s="37" t="s">
        <v>332</v>
      </c>
      <c r="D19" s="290">
        <v>1.1299999999999999</v>
      </c>
      <c r="E19" s="128"/>
    </row>
    <row r="20" spans="2:5" x14ac:dyDescent="0.2">
      <c r="B20" s="287">
        <v>41472</v>
      </c>
      <c r="C20" t="s">
        <v>347</v>
      </c>
      <c r="D20" s="290">
        <v>1.1499999999999999</v>
      </c>
      <c r="E20" s="128"/>
    </row>
    <row r="21" spans="2:5" x14ac:dyDescent="0.2">
      <c r="B21" s="287">
        <v>41481</v>
      </c>
      <c r="C21" s="37" t="s">
        <v>348</v>
      </c>
      <c r="D21" s="290">
        <v>1.1599999999999999</v>
      </c>
      <c r="E21" s="128"/>
    </row>
    <row r="22" spans="2:5" x14ac:dyDescent="0.2">
      <c r="B22" s="287">
        <v>41484</v>
      </c>
      <c r="C22" s="37" t="s">
        <v>365</v>
      </c>
      <c r="D22" s="290">
        <v>1.17</v>
      </c>
      <c r="E22" s="128"/>
    </row>
    <row r="23" spans="2:5" x14ac:dyDescent="0.2">
      <c r="B23" s="287">
        <v>41485</v>
      </c>
      <c r="C23" s="37" t="s">
        <v>398</v>
      </c>
      <c r="D23" s="290">
        <v>1.18</v>
      </c>
      <c r="E23" s="128"/>
    </row>
    <row r="24" spans="2:5" x14ac:dyDescent="0.2">
      <c r="B24" s="287">
        <v>41485</v>
      </c>
      <c r="C24" s="37" t="s">
        <v>400</v>
      </c>
      <c r="D24" s="290">
        <v>1.18</v>
      </c>
      <c r="E24" s="128"/>
    </row>
    <row r="25" spans="2:5" x14ac:dyDescent="0.2">
      <c r="B25" s="287">
        <v>41486</v>
      </c>
      <c r="C25" s="37" t="s">
        <v>401</v>
      </c>
      <c r="D25" s="290">
        <v>1.19</v>
      </c>
      <c r="E25" s="128"/>
    </row>
    <row r="26" spans="2:5" x14ac:dyDescent="0.2">
      <c r="B26" s="287">
        <v>41487</v>
      </c>
      <c r="C26" s="37" t="s">
        <v>402</v>
      </c>
      <c r="D26" s="290">
        <v>1.19</v>
      </c>
      <c r="E26" s="128"/>
    </row>
    <row r="27" spans="2:5" x14ac:dyDescent="0.2">
      <c r="B27" s="287">
        <v>41499</v>
      </c>
      <c r="C27" s="37" t="s">
        <v>438</v>
      </c>
      <c r="D27" s="289">
        <v>1.2</v>
      </c>
      <c r="E27" s="128"/>
    </row>
    <row r="28" spans="2:5" x14ac:dyDescent="0.2">
      <c r="B28" s="287">
        <v>41500</v>
      </c>
      <c r="C28" s="37" t="s">
        <v>438</v>
      </c>
      <c r="D28" s="290">
        <v>1.21</v>
      </c>
      <c r="E28" s="128"/>
    </row>
    <row r="29" spans="2:5" x14ac:dyDescent="0.2">
      <c r="B29" s="287">
        <v>41500</v>
      </c>
      <c r="C29" s="37" t="s">
        <v>438</v>
      </c>
      <c r="D29" s="289">
        <v>1.22</v>
      </c>
      <c r="E29" s="128"/>
    </row>
    <row r="30" spans="2:5" ht="32" x14ac:dyDescent="0.2">
      <c r="B30" s="287">
        <v>41502</v>
      </c>
      <c r="C30" s="37" t="s">
        <v>470</v>
      </c>
      <c r="D30" s="289">
        <v>1.23</v>
      </c>
      <c r="E30" s="128"/>
    </row>
    <row r="31" spans="2:5" ht="160" x14ac:dyDescent="0.2">
      <c r="B31" s="287">
        <v>41505</v>
      </c>
      <c r="C31" s="37" t="s">
        <v>485</v>
      </c>
      <c r="D31" s="289">
        <v>1.24</v>
      </c>
      <c r="E31" s="128"/>
    </row>
    <row r="32" spans="2:5" x14ac:dyDescent="0.2">
      <c r="B32" s="287">
        <v>41506</v>
      </c>
      <c r="C32" s="37" t="s">
        <v>487</v>
      </c>
      <c r="D32" s="289">
        <v>1.25</v>
      </c>
      <c r="E32" s="128"/>
    </row>
    <row r="33" spans="2:5" x14ac:dyDescent="0.2">
      <c r="B33" s="287">
        <v>41507</v>
      </c>
      <c r="C33" s="37" t="s">
        <v>488</v>
      </c>
      <c r="D33" s="289">
        <v>1.26</v>
      </c>
      <c r="E33" s="128"/>
    </row>
    <row r="34" spans="2:5" x14ac:dyDescent="0.2">
      <c r="B34" s="287">
        <v>41509</v>
      </c>
      <c r="C34" s="37" t="s">
        <v>489</v>
      </c>
      <c r="D34" s="289">
        <v>1.27</v>
      </c>
      <c r="E34" s="128"/>
    </row>
    <row r="35" spans="2:5" x14ac:dyDescent="0.2">
      <c r="B35" s="287">
        <v>41509</v>
      </c>
      <c r="C35" s="37" t="s">
        <v>504</v>
      </c>
      <c r="D35" s="289">
        <v>1.28</v>
      </c>
      <c r="E35" s="128"/>
    </row>
    <row r="36" spans="2:5" x14ac:dyDescent="0.2">
      <c r="B36" s="287" t="s">
        <v>511</v>
      </c>
      <c r="C36" s="37" t="s">
        <v>511</v>
      </c>
      <c r="D36" s="289">
        <v>1.29</v>
      </c>
      <c r="E36" s="128"/>
    </row>
    <row r="37" spans="2:5" x14ac:dyDescent="0.2">
      <c r="B37" s="287">
        <v>41534</v>
      </c>
      <c r="C37" s="37" t="s">
        <v>536</v>
      </c>
      <c r="D37" s="289">
        <v>1.3</v>
      </c>
      <c r="E37" s="128"/>
    </row>
    <row r="38" spans="2:5" ht="48" x14ac:dyDescent="0.2">
      <c r="B38" s="287">
        <v>41542</v>
      </c>
      <c r="C38" s="37" t="s">
        <v>537</v>
      </c>
      <c r="D38" s="289">
        <v>1.31</v>
      </c>
      <c r="E38" s="128"/>
    </row>
    <row r="39" spans="2:5" x14ac:dyDescent="0.2">
      <c r="B39" s="338">
        <v>41562</v>
      </c>
      <c r="C39" s="339" t="s">
        <v>538</v>
      </c>
      <c r="D39" s="289">
        <v>1.32</v>
      </c>
      <c r="E39" s="128"/>
    </row>
    <row r="40" spans="2:5" x14ac:dyDescent="0.2">
      <c r="B40" s="338">
        <v>41578</v>
      </c>
      <c r="C40" s="37" t="s">
        <v>566</v>
      </c>
      <c r="D40" s="289">
        <v>1.33</v>
      </c>
      <c r="E40" s="128"/>
    </row>
    <row r="41" spans="2:5" ht="32" x14ac:dyDescent="0.2">
      <c r="B41" s="338">
        <v>41578</v>
      </c>
      <c r="C41" s="37" t="s">
        <v>567</v>
      </c>
      <c r="D41" s="289">
        <v>1.34</v>
      </c>
      <c r="E41" s="128"/>
    </row>
    <row r="42" spans="2:5" x14ac:dyDescent="0.2">
      <c r="B42" s="338">
        <v>41782</v>
      </c>
      <c r="C42" s="37" t="s">
        <v>572</v>
      </c>
      <c r="D42" s="289">
        <v>1.35</v>
      </c>
      <c r="E42" s="128"/>
    </row>
    <row r="43" spans="2:5" x14ac:dyDescent="0.2">
      <c r="B43" s="338">
        <v>41782</v>
      </c>
      <c r="C43" s="37" t="s">
        <v>573</v>
      </c>
      <c r="D43" s="289">
        <v>1.36</v>
      </c>
      <c r="E43" s="128"/>
    </row>
    <row r="44" spans="2:5" ht="34" x14ac:dyDescent="0.2">
      <c r="B44" s="338">
        <v>42600</v>
      </c>
      <c r="C44" s="37" t="s">
        <v>592</v>
      </c>
      <c r="D44" s="289">
        <v>1.37</v>
      </c>
      <c r="E44" s="128"/>
    </row>
    <row r="45" spans="2:5" ht="17" x14ac:dyDescent="0.2">
      <c r="B45" s="338">
        <v>44607</v>
      </c>
      <c r="C45" s="37" t="s">
        <v>607</v>
      </c>
      <c r="D45" s="289">
        <v>1.38</v>
      </c>
      <c r="E45" s="128"/>
    </row>
    <row r="46" spans="2:5" ht="34" x14ac:dyDescent="0.2">
      <c r="B46" s="338" t="s">
        <v>610</v>
      </c>
      <c r="C46" s="37" t="s">
        <v>611</v>
      </c>
      <c r="D46" s="289">
        <v>1.39</v>
      </c>
      <c r="E46" s="128"/>
    </row>
    <row r="47" spans="2:5" ht="51" x14ac:dyDescent="0.2">
      <c r="B47" s="338" t="s">
        <v>612</v>
      </c>
      <c r="C47" s="37" t="s">
        <v>613</v>
      </c>
      <c r="D47" s="289">
        <v>1.4</v>
      </c>
      <c r="E47" s="128"/>
    </row>
    <row r="48" spans="2:5" x14ac:dyDescent="0.2">
      <c r="B48" s="338" t="s">
        <v>617</v>
      </c>
      <c r="C48" s="37" t="s">
        <v>618</v>
      </c>
      <c r="D48" s="289">
        <v>1.41</v>
      </c>
      <c r="E48" s="128"/>
    </row>
    <row r="49" spans="2:5" ht="17" x14ac:dyDescent="0.2">
      <c r="B49" s="338">
        <v>46041</v>
      </c>
      <c r="C49" s="37" t="s">
        <v>619</v>
      </c>
      <c r="D49" s="289">
        <v>1.42</v>
      </c>
      <c r="E49" s="128"/>
    </row>
    <row r="50" spans="2:5" x14ac:dyDescent="0.2">
      <c r="B50" s="288"/>
      <c r="C50" s="43"/>
      <c r="D50" s="291"/>
      <c r="E50" s="128"/>
    </row>
    <row r="51" spans="2:5" x14ac:dyDescent="0.2">
      <c r="B51" s="128"/>
      <c r="D51" s="128"/>
      <c r="E51" s="128"/>
    </row>
    <row r="52" spans="2:5" x14ac:dyDescent="0.2">
      <c r="B52" s="128"/>
      <c r="D52" s="128"/>
      <c r="E52" s="128"/>
    </row>
    <row r="53" spans="2:5" x14ac:dyDescent="0.2">
      <c r="B53" s="128"/>
    </row>
    <row r="54" spans="2:5" x14ac:dyDescent="0.2">
      <c r="B54" s="128"/>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2"/>
  </sheetPr>
  <dimension ref="B2:C36"/>
  <sheetViews>
    <sheetView workbookViewId="0">
      <selection activeCell="A31" sqref="A31:XFD31"/>
    </sheetView>
  </sheetViews>
  <sheetFormatPr baseColWidth="10" defaultRowHeight="16" x14ac:dyDescent="0.2"/>
  <cols>
    <col min="1" max="1" width="10.83203125" style="1"/>
    <col min="2" max="2" width="28.33203125" style="1" bestFit="1" customWidth="1"/>
    <col min="3" max="3" width="136.1640625" style="1" bestFit="1" customWidth="1"/>
    <col min="4" max="16384" width="10.83203125" style="1"/>
  </cols>
  <sheetData>
    <row r="2" spans="2:3" ht="21" x14ac:dyDescent="0.25">
      <c r="B2" s="2" t="s">
        <v>21</v>
      </c>
    </row>
    <row r="4" spans="2:3" x14ac:dyDescent="0.2">
      <c r="B4" s="102" t="s">
        <v>22</v>
      </c>
      <c r="C4" s="13" t="s">
        <v>23</v>
      </c>
    </row>
    <row r="5" spans="2:3" x14ac:dyDescent="0.2">
      <c r="B5" s="52"/>
      <c r="C5" s="15"/>
    </row>
    <row r="6" spans="2:3" ht="28" customHeight="1" x14ac:dyDescent="0.2">
      <c r="B6" s="116" t="s">
        <v>248</v>
      </c>
      <c r="C6" s="59" t="s">
        <v>250</v>
      </c>
    </row>
    <row r="7" spans="2:3" ht="28" customHeight="1" x14ac:dyDescent="0.2">
      <c r="B7" s="116" t="s">
        <v>0</v>
      </c>
      <c r="C7" s="16" t="s">
        <v>251</v>
      </c>
    </row>
    <row r="8" spans="2:3" ht="28" customHeight="1" x14ac:dyDescent="0.2">
      <c r="B8" s="116" t="s">
        <v>21</v>
      </c>
      <c r="C8" s="59" t="s">
        <v>24</v>
      </c>
    </row>
    <row r="9" spans="2:3" ht="28" customHeight="1" x14ac:dyDescent="0.2">
      <c r="B9" s="116" t="s">
        <v>25</v>
      </c>
      <c r="C9" s="59" t="s">
        <v>88</v>
      </c>
    </row>
    <row r="10" spans="2:3" ht="28" customHeight="1" x14ac:dyDescent="0.2">
      <c r="B10" s="116" t="s">
        <v>249</v>
      </c>
      <c r="C10" s="59" t="s">
        <v>246</v>
      </c>
    </row>
    <row r="11" spans="2:3" ht="28" customHeight="1" x14ac:dyDescent="0.2">
      <c r="B11" s="116" t="s">
        <v>26</v>
      </c>
      <c r="C11" s="59" t="s">
        <v>27</v>
      </c>
    </row>
    <row r="12" spans="2:3" ht="28" customHeight="1" x14ac:dyDescent="0.2">
      <c r="B12" s="163" t="s">
        <v>28</v>
      </c>
      <c r="C12" s="59" t="s">
        <v>29</v>
      </c>
    </row>
    <row r="13" spans="2:3" ht="28" customHeight="1" x14ac:dyDescent="0.2">
      <c r="B13" s="167" t="s">
        <v>439</v>
      </c>
      <c r="C13" s="59" t="s">
        <v>316</v>
      </c>
    </row>
    <row r="14" spans="2:3" ht="28" customHeight="1" x14ac:dyDescent="0.2">
      <c r="B14" s="167" t="s">
        <v>234</v>
      </c>
      <c r="C14" s="59" t="s">
        <v>292</v>
      </c>
    </row>
    <row r="15" spans="2:3" ht="28" customHeight="1" x14ac:dyDescent="0.2">
      <c r="B15" s="282" t="s">
        <v>475</v>
      </c>
      <c r="C15" s="59" t="s">
        <v>342</v>
      </c>
    </row>
    <row r="16" spans="2:3" ht="28" customHeight="1" x14ac:dyDescent="0.2">
      <c r="B16" s="282" t="s">
        <v>476</v>
      </c>
      <c r="C16" s="59" t="s">
        <v>340</v>
      </c>
    </row>
    <row r="17" spans="2:3" ht="28" customHeight="1" x14ac:dyDescent="0.2">
      <c r="B17" s="117" t="s">
        <v>226</v>
      </c>
      <c r="C17" s="59" t="s">
        <v>343</v>
      </c>
    </row>
    <row r="18" spans="2:3" ht="28" customHeight="1" x14ac:dyDescent="0.2">
      <c r="B18" s="117" t="s">
        <v>478</v>
      </c>
      <c r="C18" s="59" t="s">
        <v>314</v>
      </c>
    </row>
    <row r="19" spans="2:3" ht="28" customHeight="1" x14ac:dyDescent="0.2">
      <c r="B19" s="164" t="s">
        <v>312</v>
      </c>
      <c r="C19" s="59" t="s">
        <v>406</v>
      </c>
    </row>
    <row r="20" spans="2:3" ht="28" customHeight="1" x14ac:dyDescent="0.2">
      <c r="B20" s="164" t="s">
        <v>278</v>
      </c>
      <c r="C20" s="59" t="s">
        <v>279</v>
      </c>
    </row>
    <row r="21" spans="2:3" ht="28" customHeight="1" x14ac:dyDescent="0.2">
      <c r="B21" s="166" t="s">
        <v>313</v>
      </c>
      <c r="C21" s="59" t="s">
        <v>315</v>
      </c>
    </row>
    <row r="22" spans="2:3" ht="28" customHeight="1" x14ac:dyDescent="0.2">
      <c r="B22" s="168" t="s">
        <v>420</v>
      </c>
      <c r="C22" s="241" t="s">
        <v>419</v>
      </c>
    </row>
    <row r="23" spans="2:3" ht="28" customHeight="1" x14ac:dyDescent="0.2">
      <c r="B23" s="168" t="s">
        <v>421</v>
      </c>
      <c r="C23" s="241" t="s">
        <v>419</v>
      </c>
    </row>
    <row r="24" spans="2:3" ht="28" customHeight="1" x14ac:dyDescent="0.2">
      <c r="B24" s="168" t="s">
        <v>422</v>
      </c>
      <c r="C24" s="241" t="s">
        <v>419</v>
      </c>
    </row>
    <row r="25" spans="2:3" ht="28" customHeight="1" x14ac:dyDescent="0.2">
      <c r="B25" s="168" t="s">
        <v>423</v>
      </c>
      <c r="C25" s="241" t="s">
        <v>419</v>
      </c>
    </row>
    <row r="26" spans="2:3" ht="28" customHeight="1" x14ac:dyDescent="0.2">
      <c r="B26" s="168" t="s">
        <v>424</v>
      </c>
      <c r="C26" s="241" t="s">
        <v>419</v>
      </c>
    </row>
    <row r="27" spans="2:3" ht="28" customHeight="1" x14ac:dyDescent="0.2">
      <c r="B27" s="168" t="s">
        <v>425</v>
      </c>
      <c r="C27" s="241" t="s">
        <v>419</v>
      </c>
    </row>
    <row r="28" spans="2:3" ht="28" customHeight="1" x14ac:dyDescent="0.2">
      <c r="B28" s="168" t="s">
        <v>426</v>
      </c>
      <c r="C28" s="241" t="s">
        <v>419</v>
      </c>
    </row>
    <row r="29" spans="2:3" ht="28" customHeight="1" x14ac:dyDescent="0.2">
      <c r="B29" s="168" t="s">
        <v>427</v>
      </c>
      <c r="C29" s="241" t="s">
        <v>419</v>
      </c>
    </row>
    <row r="30" spans="2:3" ht="28" customHeight="1" x14ac:dyDescent="0.2">
      <c r="B30" s="168" t="s">
        <v>428</v>
      </c>
      <c r="C30" s="241" t="s">
        <v>479</v>
      </c>
    </row>
    <row r="31" spans="2:3" ht="28" customHeight="1" x14ac:dyDescent="0.2">
      <c r="B31" s="168" t="s">
        <v>429</v>
      </c>
      <c r="C31" s="241" t="s">
        <v>480</v>
      </c>
    </row>
    <row r="32" spans="2:3" ht="28" customHeight="1" x14ac:dyDescent="0.2">
      <c r="B32" s="168" t="s">
        <v>430</v>
      </c>
      <c r="C32" s="241" t="s">
        <v>480</v>
      </c>
    </row>
    <row r="33" spans="2:3" ht="28" customHeight="1" x14ac:dyDescent="0.2">
      <c r="B33" s="168" t="s">
        <v>431</v>
      </c>
      <c r="C33" s="241" t="s">
        <v>480</v>
      </c>
    </row>
    <row r="34" spans="2:3" ht="28" customHeight="1" x14ac:dyDescent="0.2">
      <c r="B34" s="168" t="s">
        <v>593</v>
      </c>
      <c r="C34" s="241" t="s">
        <v>594</v>
      </c>
    </row>
    <row r="35" spans="2:3" ht="28" customHeight="1" x14ac:dyDescent="0.2"/>
    <row r="36" spans="2:3" ht="28" customHeight="1" x14ac:dyDescent="0.2"/>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2"/>
  </sheetPr>
  <dimension ref="B2:B20"/>
  <sheetViews>
    <sheetView workbookViewId="0"/>
  </sheetViews>
  <sheetFormatPr baseColWidth="10" defaultRowHeight="16" x14ac:dyDescent="0.2"/>
  <cols>
    <col min="1" max="1" width="10.83203125" style="1"/>
    <col min="2" max="2" width="143.83203125" style="1" bestFit="1" customWidth="1"/>
    <col min="3" max="16384" width="10.83203125" style="1"/>
  </cols>
  <sheetData>
    <row r="2" spans="2:2" ht="21" x14ac:dyDescent="0.25">
      <c r="B2" s="2" t="s">
        <v>25</v>
      </c>
    </row>
    <row r="4" spans="2:2" x14ac:dyDescent="0.2">
      <c r="B4" s="102" t="s">
        <v>33</v>
      </c>
    </row>
    <row r="5" spans="2:2" x14ac:dyDescent="0.2">
      <c r="B5" s="62"/>
    </row>
    <row r="6" spans="2:2" ht="80" x14ac:dyDescent="0.2">
      <c r="B6" s="104" t="s">
        <v>571</v>
      </c>
    </row>
    <row r="7" spans="2:2" x14ac:dyDescent="0.2">
      <c r="B7" s="118"/>
    </row>
    <row r="8" spans="2:2" x14ac:dyDescent="0.2">
      <c r="B8" s="119" t="s">
        <v>252</v>
      </c>
    </row>
    <row r="9" spans="2:2" x14ac:dyDescent="0.2">
      <c r="B9" s="120"/>
    </row>
    <row r="10" spans="2:2" x14ac:dyDescent="0.2">
      <c r="B10" s="121" t="s">
        <v>432</v>
      </c>
    </row>
    <row r="11" spans="2:2" x14ac:dyDescent="0.2">
      <c r="B11" s="53" t="s">
        <v>433</v>
      </c>
    </row>
    <row r="12" spans="2:2" x14ac:dyDescent="0.2">
      <c r="B12" s="53" t="s">
        <v>434</v>
      </c>
    </row>
    <row r="13" spans="2:2" x14ac:dyDescent="0.2">
      <c r="B13" s="53" t="s">
        <v>435</v>
      </c>
    </row>
    <row r="14" spans="2:2" x14ac:dyDescent="0.2">
      <c r="B14" s="121" t="s">
        <v>436</v>
      </c>
    </row>
    <row r="15" spans="2:2" x14ac:dyDescent="0.2">
      <c r="B15" s="121" t="s">
        <v>437</v>
      </c>
    </row>
    <row r="16" spans="2:2" x14ac:dyDescent="0.2">
      <c r="B16" s="55"/>
    </row>
    <row r="18" spans="2:2" x14ac:dyDescent="0.2">
      <c r="B18" s="102" t="s">
        <v>32</v>
      </c>
    </row>
    <row r="19" spans="2:2" x14ac:dyDescent="0.2">
      <c r="B19" s="62"/>
    </row>
    <row r="20" spans="2:2" ht="112" x14ac:dyDescent="0.2">
      <c r="B20" s="103" t="s">
        <v>253</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2"/>
  </sheetPr>
  <dimension ref="B2:CB8"/>
  <sheetViews>
    <sheetView workbookViewId="0">
      <selection activeCell="AP54" sqref="AP54"/>
    </sheetView>
  </sheetViews>
  <sheetFormatPr baseColWidth="10" defaultColWidth="2.83203125" defaultRowHeight="16" x14ac:dyDescent="0.2"/>
  <cols>
    <col min="1" max="16384" width="2.83203125" style="1"/>
  </cols>
  <sheetData>
    <row r="2" spans="2:80" ht="31" x14ac:dyDescent="0.2">
      <c r="B2" s="108" t="s">
        <v>247</v>
      </c>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c r="BN2" s="105"/>
      <c r="BO2" s="105"/>
      <c r="BP2" s="105"/>
      <c r="BQ2" s="105"/>
      <c r="BR2" s="105"/>
      <c r="BS2" s="105"/>
      <c r="BT2" s="105"/>
      <c r="BU2" s="105"/>
      <c r="BV2" s="105"/>
    </row>
    <row r="3" spans="2:80" ht="18" customHeight="1" x14ac:dyDescent="0.2">
      <c r="B3" s="109" t="s">
        <v>93</v>
      </c>
      <c r="C3" s="110"/>
      <c r="D3" s="110"/>
      <c r="E3" s="110"/>
      <c r="F3" s="110"/>
      <c r="G3" s="110"/>
      <c r="H3" s="110"/>
      <c r="I3" s="110"/>
      <c r="J3" s="110"/>
      <c r="K3" s="110"/>
      <c r="L3" s="110"/>
      <c r="M3" s="110"/>
      <c r="N3" s="110"/>
      <c r="O3" s="110"/>
      <c r="P3" s="111"/>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c r="BL3" s="105"/>
      <c r="BM3" s="105"/>
      <c r="BN3" s="105"/>
      <c r="BO3" s="105"/>
      <c r="BP3" s="105"/>
      <c r="BQ3" s="105"/>
      <c r="BR3" s="105"/>
      <c r="BS3" s="105"/>
      <c r="BT3" s="105"/>
      <c r="BU3" s="105"/>
      <c r="BV3" s="105"/>
    </row>
    <row r="4" spans="2:80" ht="15" customHeight="1" x14ac:dyDescent="0.2">
      <c r="B4" s="112" t="s">
        <v>246</v>
      </c>
      <c r="C4" s="113"/>
      <c r="D4" s="113"/>
      <c r="E4" s="113"/>
      <c r="F4" s="113"/>
      <c r="G4" s="113"/>
      <c r="H4" s="113"/>
      <c r="I4" s="113"/>
      <c r="J4" s="113"/>
      <c r="K4" s="113"/>
      <c r="L4" s="113"/>
      <c r="M4" s="113"/>
      <c r="N4" s="113"/>
      <c r="O4" s="113"/>
      <c r="P4" s="114"/>
      <c r="Q4" s="106"/>
      <c r="R4" s="106"/>
      <c r="S4" s="106"/>
      <c r="T4" s="106"/>
      <c r="U4" s="106"/>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c r="AZ4" s="106"/>
      <c r="BA4" s="106"/>
      <c r="BB4" s="106"/>
      <c r="BC4" s="106"/>
      <c r="BD4" s="106"/>
      <c r="BE4" s="106"/>
      <c r="BF4" s="106"/>
      <c r="BG4" s="106"/>
      <c r="BH4" s="106"/>
      <c r="BI4" s="106"/>
      <c r="BJ4" s="106"/>
      <c r="BK4" s="106"/>
      <c r="BL4" s="106"/>
      <c r="BM4" s="106"/>
      <c r="BN4" s="106"/>
      <c r="BO4" s="106"/>
      <c r="BP4" s="106"/>
      <c r="BQ4" s="106"/>
      <c r="BR4" s="106"/>
      <c r="BS4" s="106"/>
      <c r="BT4" s="106"/>
      <c r="BU4" s="106"/>
      <c r="BV4" s="106"/>
    </row>
    <row r="5" spans="2:80" ht="15" customHeight="1" x14ac:dyDescent="0.2">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07"/>
      <c r="AR5" s="107"/>
      <c r="AS5" s="107"/>
      <c r="AT5" s="107"/>
      <c r="AU5" s="107"/>
      <c r="AV5" s="107"/>
      <c r="AW5" s="107"/>
      <c r="AX5" s="107"/>
      <c r="AY5" s="107"/>
      <c r="AZ5" s="107"/>
      <c r="BA5" s="107"/>
      <c r="BB5" s="107"/>
      <c r="BC5" s="107"/>
      <c r="BD5" s="107"/>
      <c r="BE5" s="107"/>
      <c r="BF5" s="107"/>
      <c r="BG5" s="107"/>
      <c r="BH5" s="107"/>
      <c r="BI5" s="107"/>
      <c r="BJ5" s="107"/>
      <c r="BK5" s="107"/>
      <c r="BL5" s="107"/>
      <c r="BM5" s="107"/>
      <c r="BN5" s="107"/>
      <c r="BO5" s="107"/>
      <c r="BP5" s="107"/>
      <c r="BQ5" s="107"/>
      <c r="BR5" s="107"/>
      <c r="BS5" s="107"/>
      <c r="BT5" s="107"/>
      <c r="BU5" s="107"/>
      <c r="BV5" s="107"/>
    </row>
    <row r="6" spans="2:80" ht="24" x14ac:dyDescent="0.2">
      <c r="B6" s="107"/>
      <c r="C6" s="122" t="s">
        <v>243</v>
      </c>
      <c r="D6" s="107"/>
      <c r="E6" s="107"/>
      <c r="F6" s="107"/>
      <c r="G6" s="107"/>
      <c r="H6" s="107"/>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M6" s="107"/>
      <c r="AN6" s="122" t="s">
        <v>244</v>
      </c>
      <c r="AO6" s="107"/>
      <c r="AP6" s="107"/>
      <c r="AQ6" s="107"/>
      <c r="AR6" s="107"/>
      <c r="AS6" s="107"/>
      <c r="AT6" s="107"/>
      <c r="AU6" s="107"/>
      <c r="AV6" s="107"/>
      <c r="AW6" s="107"/>
      <c r="AX6" s="107"/>
      <c r="AY6" s="107"/>
      <c r="AZ6" s="107"/>
      <c r="BA6" s="107"/>
      <c r="BB6" s="107"/>
      <c r="BC6" s="107"/>
      <c r="BD6" s="107"/>
      <c r="BE6" s="107"/>
      <c r="BF6" s="107"/>
      <c r="BG6" s="107"/>
      <c r="BH6" s="107"/>
      <c r="BI6" s="107"/>
      <c r="BJ6" s="107"/>
      <c r="BK6" s="107"/>
      <c r="BL6" s="107"/>
      <c r="BM6" s="107"/>
      <c r="BN6" s="107"/>
      <c r="BO6" s="107"/>
      <c r="BP6" s="107"/>
      <c r="BR6" s="107"/>
      <c r="BS6" s="107"/>
      <c r="BT6" s="107"/>
      <c r="BU6" s="122" t="s">
        <v>245</v>
      </c>
    </row>
    <row r="8" spans="2:80" x14ac:dyDescent="0.2">
      <c r="CB8" s="14"/>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2"/>
  </sheetPr>
  <dimension ref="B2:D133"/>
  <sheetViews>
    <sheetView topLeftCell="A59" workbookViewId="0">
      <selection activeCell="B75" sqref="B75"/>
    </sheetView>
  </sheetViews>
  <sheetFormatPr baseColWidth="10" defaultRowHeight="16" x14ac:dyDescent="0.2"/>
  <cols>
    <col min="1" max="1" width="10.83203125" style="1"/>
    <col min="2" max="2" width="25.5" style="1" customWidth="1"/>
    <col min="3" max="3" width="77.83203125" style="1" customWidth="1"/>
    <col min="4" max="4" width="78.33203125" style="1" customWidth="1"/>
    <col min="5" max="16384" width="10.83203125" style="1"/>
  </cols>
  <sheetData>
    <row r="2" spans="2:4" ht="21" x14ac:dyDescent="0.25">
      <c r="B2" s="2" t="s">
        <v>26</v>
      </c>
      <c r="C2" s="2"/>
    </row>
    <row r="4" spans="2:4" x14ac:dyDescent="0.2">
      <c r="B4" s="3" t="s">
        <v>93</v>
      </c>
      <c r="C4" s="5"/>
    </row>
    <row r="5" spans="2:4" ht="90" customHeight="1" x14ac:dyDescent="0.2">
      <c r="B5" s="372" t="s">
        <v>335</v>
      </c>
      <c r="C5" s="373"/>
    </row>
    <row r="6" spans="2:4" ht="17" thickBot="1" x14ac:dyDescent="0.25"/>
    <row r="7" spans="2:4" x14ac:dyDescent="0.2">
      <c r="B7" s="25" t="s">
        <v>34</v>
      </c>
      <c r="C7" s="26"/>
      <c r="D7" s="27"/>
    </row>
    <row r="8" spans="2:4" x14ac:dyDescent="0.2">
      <c r="B8" s="28"/>
      <c r="D8" s="29"/>
    </row>
    <row r="9" spans="2:4" x14ac:dyDescent="0.2">
      <c r="B9" s="30" t="s">
        <v>35</v>
      </c>
      <c r="C9" s="31" t="s">
        <v>36</v>
      </c>
      <c r="D9" s="32" t="s">
        <v>37</v>
      </c>
    </row>
    <row r="10" spans="2:4" x14ac:dyDescent="0.2">
      <c r="B10" s="28" t="s">
        <v>38</v>
      </c>
      <c r="C10" s="14"/>
      <c r="D10" s="34"/>
    </row>
    <row r="11" spans="2:4" ht="96" x14ac:dyDescent="0.2">
      <c r="B11" s="28"/>
      <c r="C11" s="37" t="s">
        <v>320</v>
      </c>
      <c r="D11" s="39"/>
    </row>
    <row r="12" spans="2:4" ht="48" x14ac:dyDescent="0.2">
      <c r="B12" s="28"/>
      <c r="C12" s="37" t="s">
        <v>317</v>
      </c>
      <c r="D12" s="39"/>
    </row>
    <row r="13" spans="2:4" ht="32" x14ac:dyDescent="0.2">
      <c r="B13" s="36"/>
      <c r="C13" s="89" t="s">
        <v>321</v>
      </c>
      <c r="D13" s="38"/>
    </row>
    <row r="14" spans="2:4" x14ac:dyDescent="0.2">
      <c r="B14" s="36"/>
      <c r="C14" s="89" t="s">
        <v>233</v>
      </c>
      <c r="D14" s="38"/>
    </row>
    <row r="15" spans="2:4" ht="47" customHeight="1" x14ac:dyDescent="0.2">
      <c r="B15" s="36"/>
      <c r="C15" s="89" t="s">
        <v>399</v>
      </c>
      <c r="D15" s="38"/>
    </row>
    <row r="16" spans="2:4" ht="47" customHeight="1" x14ac:dyDescent="0.2">
      <c r="B16" s="36"/>
      <c r="C16" s="89" t="s">
        <v>484</v>
      </c>
      <c r="D16" s="38"/>
    </row>
    <row r="17" spans="2:4" ht="14" customHeight="1" x14ac:dyDescent="0.2">
      <c r="B17" s="36"/>
      <c r="C17" t="s">
        <v>395</v>
      </c>
      <c r="D17" s="38" t="s">
        <v>486</v>
      </c>
    </row>
    <row r="18" spans="2:4" ht="14" customHeight="1" x14ac:dyDescent="0.2">
      <c r="B18" s="36"/>
      <c r="C18" t="s">
        <v>394</v>
      </c>
      <c r="D18" s="38" t="s">
        <v>486</v>
      </c>
    </row>
    <row r="19" spans="2:4" ht="17" thickBot="1" x14ac:dyDescent="0.25">
      <c r="B19" s="45"/>
      <c r="C19" s="130"/>
      <c r="D19" s="131"/>
    </row>
    <row r="20" spans="2:4" ht="17" thickBot="1" x14ac:dyDescent="0.25">
      <c r="C20" s="90"/>
      <c r="D20" s="91"/>
    </row>
    <row r="21" spans="2:4" x14ac:dyDescent="0.2">
      <c r="B21" s="25" t="s">
        <v>235</v>
      </c>
      <c r="C21" s="26"/>
      <c r="D21" s="27"/>
    </row>
    <row r="22" spans="2:4" x14ac:dyDescent="0.2">
      <c r="B22" s="28"/>
      <c r="D22" s="29"/>
    </row>
    <row r="23" spans="2:4" x14ac:dyDescent="0.2">
      <c r="B23" s="30" t="s">
        <v>35</v>
      </c>
      <c r="C23" s="31" t="s">
        <v>36</v>
      </c>
      <c r="D23" s="32" t="s">
        <v>255</v>
      </c>
    </row>
    <row r="24" spans="2:4" x14ac:dyDescent="0.2">
      <c r="B24" s="35" t="s">
        <v>100</v>
      </c>
      <c r="C24" s="14"/>
      <c r="D24" s="34"/>
    </row>
    <row r="25" spans="2:4" x14ac:dyDescent="0.2">
      <c r="B25" s="36"/>
      <c r="C25" s="42" t="s">
        <v>256</v>
      </c>
      <c r="D25" s="38" t="s">
        <v>259</v>
      </c>
    </row>
    <row r="26" spans="2:4" x14ac:dyDescent="0.2">
      <c r="B26" s="36"/>
      <c r="C26" s="42" t="s">
        <v>257</v>
      </c>
      <c r="D26" s="38" t="s">
        <v>259</v>
      </c>
    </row>
    <row r="27" spans="2:4" x14ac:dyDescent="0.2">
      <c r="B27" s="36"/>
      <c r="C27" s="42" t="s">
        <v>258</v>
      </c>
      <c r="D27" s="38" t="s">
        <v>259</v>
      </c>
    </row>
    <row r="28" spans="2:4" x14ac:dyDescent="0.2">
      <c r="B28" s="36"/>
      <c r="C28" s="129"/>
      <c r="D28" s="123"/>
    </row>
    <row r="29" spans="2:4" x14ac:dyDescent="0.2">
      <c r="B29" s="124" t="s">
        <v>90</v>
      </c>
      <c r="C29" s="128"/>
      <c r="D29" s="125"/>
    </row>
    <row r="30" spans="2:4" x14ac:dyDescent="0.2">
      <c r="B30" s="28"/>
      <c r="C30" t="s">
        <v>109</v>
      </c>
      <c r="D30" s="40" t="s">
        <v>260</v>
      </c>
    </row>
    <row r="31" spans="2:4" x14ac:dyDescent="0.2">
      <c r="B31" s="35"/>
      <c r="C31" t="s">
        <v>105</v>
      </c>
      <c r="D31" s="40" t="s">
        <v>260</v>
      </c>
    </row>
    <row r="32" spans="2:4" x14ac:dyDescent="0.2">
      <c r="B32" s="28"/>
      <c r="C32" t="s">
        <v>107</v>
      </c>
      <c r="D32" s="40" t="s">
        <v>260</v>
      </c>
    </row>
    <row r="33" spans="2:4" x14ac:dyDescent="0.2">
      <c r="B33" s="28"/>
      <c r="C33" t="s">
        <v>110</v>
      </c>
      <c r="D33" s="40" t="s">
        <v>260</v>
      </c>
    </row>
    <row r="34" spans="2:4" x14ac:dyDescent="0.2">
      <c r="B34" s="28"/>
      <c r="C34" t="s">
        <v>108</v>
      </c>
      <c r="D34" s="40" t="s">
        <v>260</v>
      </c>
    </row>
    <row r="35" spans="2:4" x14ac:dyDescent="0.2">
      <c r="B35" s="28"/>
      <c r="C35" t="s">
        <v>106</v>
      </c>
      <c r="D35" s="40" t="s">
        <v>260</v>
      </c>
    </row>
    <row r="36" spans="2:4" x14ac:dyDescent="0.2">
      <c r="B36" s="28"/>
      <c r="D36" s="29"/>
    </row>
    <row r="37" spans="2:4" x14ac:dyDescent="0.2">
      <c r="B37" s="47" t="s">
        <v>103</v>
      </c>
      <c r="C37" s="4"/>
      <c r="D37" s="126"/>
    </row>
    <row r="38" spans="2:4" x14ac:dyDescent="0.2">
      <c r="B38" s="28"/>
      <c r="C38" s="127" t="s">
        <v>111</v>
      </c>
      <c r="D38" s="40" t="s">
        <v>260</v>
      </c>
    </row>
    <row r="39" spans="2:4" x14ac:dyDescent="0.2">
      <c r="B39" s="28"/>
      <c r="C39" t="s">
        <v>112</v>
      </c>
      <c r="D39" s="40" t="s">
        <v>260</v>
      </c>
    </row>
    <row r="40" spans="2:4" x14ac:dyDescent="0.2">
      <c r="B40" s="28"/>
      <c r="C40" s="127" t="s">
        <v>113</v>
      </c>
      <c r="D40" s="40" t="s">
        <v>260</v>
      </c>
    </row>
    <row r="41" spans="2:4" x14ac:dyDescent="0.2">
      <c r="B41" s="28"/>
      <c r="D41" s="29"/>
    </row>
    <row r="42" spans="2:4" x14ac:dyDescent="0.2">
      <c r="B42" s="47" t="s">
        <v>89</v>
      </c>
      <c r="C42" s="4"/>
      <c r="D42" s="126"/>
    </row>
    <row r="43" spans="2:4" x14ac:dyDescent="0.2">
      <c r="B43" s="28"/>
      <c r="C43" s="127" t="s">
        <v>229</v>
      </c>
      <c r="D43" s="40" t="s">
        <v>260</v>
      </c>
    </row>
    <row r="44" spans="2:4" x14ac:dyDescent="0.2">
      <c r="B44" s="28"/>
      <c r="C44" t="s">
        <v>230</v>
      </c>
      <c r="D44" s="40" t="s">
        <v>260</v>
      </c>
    </row>
    <row r="45" spans="2:4" x14ac:dyDescent="0.2">
      <c r="B45" s="28"/>
      <c r="C45" t="s">
        <v>329</v>
      </c>
      <c r="D45" s="40" t="s">
        <v>260</v>
      </c>
    </row>
    <row r="46" spans="2:4" x14ac:dyDescent="0.2">
      <c r="B46" s="28"/>
      <c r="C46" t="s">
        <v>231</v>
      </c>
      <c r="D46" s="40" t="s">
        <v>260</v>
      </c>
    </row>
    <row r="47" spans="2:4" x14ac:dyDescent="0.2">
      <c r="B47" s="28"/>
      <c r="C47" t="s">
        <v>232</v>
      </c>
      <c r="D47" s="40" t="s">
        <v>260</v>
      </c>
    </row>
    <row r="48" spans="2:4" x14ac:dyDescent="0.2">
      <c r="B48" s="28"/>
      <c r="D48" s="29"/>
    </row>
    <row r="49" spans="2:4" x14ac:dyDescent="0.2">
      <c r="B49" s="47" t="s">
        <v>91</v>
      </c>
      <c r="C49" s="4"/>
      <c r="D49" s="126"/>
    </row>
    <row r="50" spans="2:4" x14ac:dyDescent="0.2">
      <c r="B50" s="35"/>
      <c r="C50" s="127" t="s">
        <v>114</v>
      </c>
      <c r="D50" s="40" t="s">
        <v>260</v>
      </c>
    </row>
    <row r="51" spans="2:4" x14ac:dyDescent="0.2">
      <c r="B51" s="28"/>
      <c r="C51" s="127" t="s">
        <v>115</v>
      </c>
      <c r="D51" s="40" t="s">
        <v>260</v>
      </c>
    </row>
    <row r="52" spans="2:4" x14ac:dyDescent="0.2">
      <c r="B52" s="28"/>
      <c r="C52" s="127" t="s">
        <v>116</v>
      </c>
      <c r="D52" s="40" t="s">
        <v>260</v>
      </c>
    </row>
    <row r="53" spans="2:4" x14ac:dyDescent="0.2">
      <c r="B53" s="28"/>
      <c r="C53" s="127" t="s">
        <v>117</v>
      </c>
      <c r="D53" s="40" t="s">
        <v>260</v>
      </c>
    </row>
    <row r="54" spans="2:4" ht="17" thickBot="1" x14ac:dyDescent="0.25">
      <c r="B54" s="45"/>
      <c r="C54" s="94"/>
      <c r="D54" s="95"/>
    </row>
    <row r="55" spans="2:4" ht="17" thickBot="1" x14ac:dyDescent="0.25"/>
    <row r="56" spans="2:4" x14ac:dyDescent="0.2">
      <c r="B56" s="25" t="s">
        <v>262</v>
      </c>
      <c r="C56" s="27"/>
    </row>
    <row r="57" spans="2:4" x14ac:dyDescent="0.2">
      <c r="B57" s="28"/>
      <c r="C57" s="29"/>
    </row>
    <row r="58" spans="2:4" x14ac:dyDescent="0.2">
      <c r="B58" s="30" t="s">
        <v>503</v>
      </c>
      <c r="C58" s="132" t="s">
        <v>263</v>
      </c>
    </row>
    <row r="59" spans="2:4" x14ac:dyDescent="0.2">
      <c r="B59" s="33"/>
      <c r="C59" s="34"/>
    </row>
    <row r="60" spans="2:4" x14ac:dyDescent="0.2">
      <c r="B60" s="35" t="s">
        <v>264</v>
      </c>
      <c r="C60" s="40" t="s">
        <v>39</v>
      </c>
    </row>
    <row r="61" spans="2:4" x14ac:dyDescent="0.2">
      <c r="B61" s="28"/>
      <c r="C61" s="40" t="s">
        <v>40</v>
      </c>
    </row>
    <row r="62" spans="2:4" x14ac:dyDescent="0.2">
      <c r="B62" s="28"/>
      <c r="C62" s="40" t="s">
        <v>41</v>
      </c>
    </row>
    <row r="63" spans="2:4" x14ac:dyDescent="0.2">
      <c r="B63" s="28"/>
      <c r="C63" s="40" t="s">
        <v>42</v>
      </c>
    </row>
    <row r="64" spans="2:4" x14ac:dyDescent="0.2">
      <c r="B64" s="28"/>
      <c r="C64" s="40" t="s">
        <v>43</v>
      </c>
    </row>
    <row r="65" spans="2:3" x14ac:dyDescent="0.2">
      <c r="B65" s="28"/>
      <c r="C65" s="40" t="s">
        <v>44</v>
      </c>
    </row>
    <row r="66" spans="2:3" x14ac:dyDescent="0.2">
      <c r="B66" s="28"/>
      <c r="C66" s="133" t="s">
        <v>45</v>
      </c>
    </row>
    <row r="67" spans="2:3" x14ac:dyDescent="0.2">
      <c r="B67" s="48"/>
      <c r="C67" s="133" t="s">
        <v>55</v>
      </c>
    </row>
    <row r="68" spans="2:3" x14ac:dyDescent="0.2">
      <c r="B68" s="28"/>
      <c r="C68" s="40" t="s">
        <v>46</v>
      </c>
    </row>
    <row r="69" spans="2:3" x14ac:dyDescent="0.2">
      <c r="B69" s="28"/>
      <c r="C69" s="40" t="s">
        <v>47</v>
      </c>
    </row>
    <row r="70" spans="2:3" x14ac:dyDescent="0.2">
      <c r="B70" s="28"/>
      <c r="C70" s="40" t="s">
        <v>48</v>
      </c>
    </row>
    <row r="71" spans="2:3" x14ac:dyDescent="0.2">
      <c r="B71" s="28"/>
      <c r="C71" s="40" t="s">
        <v>49</v>
      </c>
    </row>
    <row r="72" spans="2:3" x14ac:dyDescent="0.2">
      <c r="B72" s="28"/>
      <c r="C72" s="40" t="s">
        <v>50</v>
      </c>
    </row>
    <row r="73" spans="2:3" x14ac:dyDescent="0.2">
      <c r="B73" s="41"/>
      <c r="C73" s="44"/>
    </row>
    <row r="74" spans="2:3" x14ac:dyDescent="0.2">
      <c r="B74" s="35" t="s">
        <v>568</v>
      </c>
      <c r="C74" s="40" t="s">
        <v>265</v>
      </c>
    </row>
    <row r="75" spans="2:3" x14ac:dyDescent="0.2">
      <c r="B75" s="35"/>
      <c r="C75" s="40" t="s">
        <v>82</v>
      </c>
    </row>
    <row r="76" spans="2:3" x14ac:dyDescent="0.2">
      <c r="B76" s="134"/>
      <c r="C76" s="44"/>
    </row>
    <row r="77" spans="2:3" x14ac:dyDescent="0.2">
      <c r="B77" s="35" t="s">
        <v>266</v>
      </c>
      <c r="C77" s="40" t="s">
        <v>56</v>
      </c>
    </row>
    <row r="78" spans="2:3" x14ac:dyDescent="0.2">
      <c r="B78" s="35"/>
      <c r="C78" s="40" t="s">
        <v>57</v>
      </c>
    </row>
    <row r="79" spans="2:3" x14ac:dyDescent="0.2">
      <c r="B79" s="28"/>
      <c r="C79" s="40" t="s">
        <v>58</v>
      </c>
    </row>
    <row r="80" spans="2:3" x14ac:dyDescent="0.2">
      <c r="B80" s="28"/>
      <c r="C80" s="40" t="s">
        <v>59</v>
      </c>
    </row>
    <row r="81" spans="2:3" x14ac:dyDescent="0.2">
      <c r="B81" s="28"/>
      <c r="C81" s="40" t="s">
        <v>60</v>
      </c>
    </row>
    <row r="82" spans="2:3" x14ac:dyDescent="0.2">
      <c r="B82" s="28"/>
      <c r="C82" s="40" t="s">
        <v>61</v>
      </c>
    </row>
    <row r="83" spans="2:3" x14ac:dyDescent="0.2">
      <c r="B83" s="28"/>
      <c r="C83" s="40" t="s">
        <v>62</v>
      </c>
    </row>
    <row r="84" spans="2:3" x14ac:dyDescent="0.2">
      <c r="B84" s="28"/>
      <c r="C84" s="40" t="s">
        <v>63</v>
      </c>
    </row>
    <row r="85" spans="2:3" x14ac:dyDescent="0.2">
      <c r="B85" s="28"/>
      <c r="C85" s="40" t="s">
        <v>64</v>
      </c>
    </row>
    <row r="86" spans="2:3" x14ac:dyDescent="0.2">
      <c r="B86" s="28"/>
      <c r="C86" s="40" t="s">
        <v>65</v>
      </c>
    </row>
    <row r="87" spans="2:3" x14ac:dyDescent="0.2">
      <c r="B87" s="28"/>
      <c r="C87" s="40" t="s">
        <v>66</v>
      </c>
    </row>
    <row r="88" spans="2:3" x14ac:dyDescent="0.2">
      <c r="B88" s="28"/>
      <c r="C88" s="40" t="s">
        <v>67</v>
      </c>
    </row>
    <row r="89" spans="2:3" x14ac:dyDescent="0.2">
      <c r="B89" s="28"/>
      <c r="C89" s="40" t="s">
        <v>68</v>
      </c>
    </row>
    <row r="90" spans="2:3" x14ac:dyDescent="0.2">
      <c r="B90" s="28"/>
      <c r="C90" s="40" t="s">
        <v>69</v>
      </c>
    </row>
    <row r="91" spans="2:3" x14ac:dyDescent="0.2">
      <c r="B91" s="28"/>
      <c r="C91" s="40" t="s">
        <v>70</v>
      </c>
    </row>
    <row r="92" spans="2:3" x14ac:dyDescent="0.2">
      <c r="B92" s="28"/>
      <c r="C92" s="40" t="s">
        <v>71</v>
      </c>
    </row>
    <row r="93" spans="2:3" x14ac:dyDescent="0.2">
      <c r="B93" s="28"/>
      <c r="C93" s="40" t="s">
        <v>72</v>
      </c>
    </row>
    <row r="94" spans="2:3" x14ac:dyDescent="0.2">
      <c r="B94" s="28"/>
      <c r="C94" s="40" t="s">
        <v>73</v>
      </c>
    </row>
    <row r="95" spans="2:3" x14ac:dyDescent="0.2">
      <c r="B95" s="28"/>
      <c r="C95" s="40" t="s">
        <v>74</v>
      </c>
    </row>
    <row r="96" spans="2:3" x14ac:dyDescent="0.2">
      <c r="B96" s="28"/>
      <c r="C96" s="40" t="s">
        <v>75</v>
      </c>
    </row>
    <row r="97" spans="2:3" x14ac:dyDescent="0.2">
      <c r="B97" s="28"/>
      <c r="C97" s="40" t="s">
        <v>76</v>
      </c>
    </row>
    <row r="98" spans="2:3" x14ac:dyDescent="0.2">
      <c r="B98" s="28"/>
      <c r="C98" s="40" t="s">
        <v>77</v>
      </c>
    </row>
    <row r="99" spans="2:3" x14ac:dyDescent="0.2">
      <c r="B99" s="28"/>
      <c r="C99" s="40" t="s">
        <v>78</v>
      </c>
    </row>
    <row r="100" spans="2:3" x14ac:dyDescent="0.2">
      <c r="B100" s="41"/>
      <c r="C100" s="44"/>
    </row>
    <row r="101" spans="2:3" x14ac:dyDescent="0.2">
      <c r="B101" s="35" t="s">
        <v>267</v>
      </c>
      <c r="C101" s="40" t="s">
        <v>86</v>
      </c>
    </row>
    <row r="102" spans="2:3" x14ac:dyDescent="0.2">
      <c r="B102" s="28"/>
      <c r="C102" s="40" t="s">
        <v>87</v>
      </c>
    </row>
    <row r="103" spans="2:3" x14ac:dyDescent="0.2">
      <c r="B103" s="28"/>
      <c r="C103" s="40"/>
    </row>
    <row r="104" spans="2:3" x14ac:dyDescent="0.2">
      <c r="B104" s="47" t="s">
        <v>276</v>
      </c>
      <c r="C104" s="139" t="s">
        <v>276</v>
      </c>
    </row>
    <row r="105" spans="2:3" x14ac:dyDescent="0.2">
      <c r="B105" s="35"/>
      <c r="C105" s="40"/>
    </row>
    <row r="106" spans="2:3" x14ac:dyDescent="0.2">
      <c r="B106" s="47" t="s">
        <v>148</v>
      </c>
      <c r="C106" s="139" t="s">
        <v>148</v>
      </c>
    </row>
    <row r="107" spans="2:3" x14ac:dyDescent="0.2">
      <c r="B107" s="35"/>
      <c r="C107" s="40"/>
    </row>
    <row r="108" spans="2:3" x14ac:dyDescent="0.2">
      <c r="B108" s="47" t="s">
        <v>147</v>
      </c>
      <c r="C108" s="139" t="s">
        <v>147</v>
      </c>
    </row>
    <row r="109" spans="2:3" x14ac:dyDescent="0.2">
      <c r="B109" s="134"/>
      <c r="C109" s="44"/>
    </row>
    <row r="110" spans="2:3" x14ac:dyDescent="0.2">
      <c r="B110" s="48" t="s">
        <v>92</v>
      </c>
      <c r="C110" s="40" t="s">
        <v>51</v>
      </c>
    </row>
    <row r="111" spans="2:3" x14ac:dyDescent="0.2">
      <c r="B111" s="28"/>
      <c r="C111" s="40" t="s">
        <v>52</v>
      </c>
    </row>
    <row r="112" spans="2:3" x14ac:dyDescent="0.2">
      <c r="B112" s="28"/>
      <c r="C112" s="40" t="s">
        <v>53</v>
      </c>
    </row>
    <row r="113" spans="2:3" x14ac:dyDescent="0.2">
      <c r="B113" s="28"/>
      <c r="C113" s="40" t="s">
        <v>54</v>
      </c>
    </row>
    <row r="114" spans="2:3" x14ac:dyDescent="0.2">
      <c r="B114" s="35"/>
      <c r="C114" s="40" t="s">
        <v>79</v>
      </c>
    </row>
    <row r="115" spans="2:3" x14ac:dyDescent="0.2">
      <c r="B115" s="35"/>
      <c r="C115" s="40" t="s">
        <v>80</v>
      </c>
    </row>
    <row r="116" spans="2:3" x14ac:dyDescent="0.2">
      <c r="B116" s="35"/>
      <c r="C116" s="40" t="s">
        <v>81</v>
      </c>
    </row>
    <row r="117" spans="2:3" x14ac:dyDescent="0.2">
      <c r="B117" s="35"/>
      <c r="C117" s="40" t="s">
        <v>82</v>
      </c>
    </row>
    <row r="118" spans="2:3" x14ac:dyDescent="0.2">
      <c r="B118" s="35"/>
      <c r="C118" s="40" t="s">
        <v>83</v>
      </c>
    </row>
    <row r="119" spans="2:3" x14ac:dyDescent="0.2">
      <c r="B119" s="35"/>
      <c r="C119" s="40" t="s">
        <v>84</v>
      </c>
    </row>
    <row r="120" spans="2:3" x14ac:dyDescent="0.2">
      <c r="B120" s="35"/>
      <c r="C120" s="40" t="s">
        <v>85</v>
      </c>
    </row>
    <row r="121" spans="2:3" x14ac:dyDescent="0.2">
      <c r="B121" s="28"/>
      <c r="C121" s="40" t="s">
        <v>137</v>
      </c>
    </row>
    <row r="122" spans="2:3" x14ac:dyDescent="0.2">
      <c r="B122" s="28"/>
      <c r="C122" s="40" t="s">
        <v>140</v>
      </c>
    </row>
    <row r="123" spans="2:3" x14ac:dyDescent="0.2">
      <c r="B123" s="28"/>
      <c r="C123" s="40" t="s">
        <v>141</v>
      </c>
    </row>
    <row r="124" spans="2:3" x14ac:dyDescent="0.2">
      <c r="B124" s="35"/>
      <c r="C124" s="40" t="s">
        <v>142</v>
      </c>
    </row>
    <row r="125" spans="2:3" x14ac:dyDescent="0.2">
      <c r="B125" s="35"/>
      <c r="C125" s="40" t="s">
        <v>277</v>
      </c>
    </row>
    <row r="126" spans="2:3" x14ac:dyDescent="0.2">
      <c r="B126" s="35"/>
      <c r="C126" s="40" t="s">
        <v>145</v>
      </c>
    </row>
    <row r="127" spans="2:3" x14ac:dyDescent="0.2">
      <c r="B127" s="35"/>
      <c r="C127" s="40" t="s">
        <v>146</v>
      </c>
    </row>
    <row r="128" spans="2:3" x14ac:dyDescent="0.2">
      <c r="B128" s="35"/>
      <c r="C128" s="40" t="s">
        <v>138</v>
      </c>
    </row>
    <row r="129" spans="2:3" x14ac:dyDescent="0.2">
      <c r="B129" s="35"/>
      <c r="C129" s="40" t="s">
        <v>139</v>
      </c>
    </row>
    <row r="130" spans="2:3" ht="17" x14ac:dyDescent="0.2">
      <c r="B130" s="28"/>
      <c r="C130" s="39" t="s">
        <v>31</v>
      </c>
    </row>
    <row r="131" spans="2:3" ht="17" thickBot="1" x14ac:dyDescent="0.25">
      <c r="B131" s="45"/>
      <c r="C131" s="49"/>
    </row>
    <row r="133" spans="2:3" x14ac:dyDescent="0.2">
      <c r="B133" s="1" t="s">
        <v>290</v>
      </c>
      <c r="C133" s="1">
        <v>3.6</v>
      </c>
    </row>
  </sheetData>
  <mergeCells count="1">
    <mergeCell ref="B5:C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FF00"/>
  </sheetPr>
  <dimension ref="B2:S68"/>
  <sheetViews>
    <sheetView topLeftCell="A3" workbookViewId="0">
      <selection activeCell="E67" sqref="E67"/>
    </sheetView>
  </sheetViews>
  <sheetFormatPr baseColWidth="10" defaultRowHeight="16" x14ac:dyDescent="0.2"/>
  <cols>
    <col min="1" max="1" width="10.83203125" style="1"/>
    <col min="2" max="2" width="17.1640625" style="1" customWidth="1"/>
    <col min="3" max="3" width="76.1640625" style="1" customWidth="1"/>
    <col min="4" max="4" width="5.33203125" style="1" customWidth="1"/>
    <col min="5" max="5" width="11.1640625" style="1" customWidth="1"/>
    <col min="6" max="6" width="2.6640625" style="1" customWidth="1"/>
    <col min="7" max="7" width="31.6640625" style="213" customWidth="1"/>
    <col min="8" max="8" width="3.33203125" style="213" customWidth="1"/>
    <col min="9" max="9" width="32.5" style="1" customWidth="1"/>
    <col min="10" max="10" width="4.33203125" style="1" customWidth="1"/>
    <col min="11" max="11" width="61" style="1" bestFit="1" customWidth="1"/>
    <col min="12" max="12" width="9.1640625" style="1" customWidth="1"/>
    <col min="13" max="13" width="110" style="1" customWidth="1"/>
    <col min="14" max="14" width="10.83203125" style="1"/>
    <col min="15" max="15" width="55" style="1" bestFit="1" customWidth="1"/>
    <col min="16" max="16" width="12.1640625" style="1" bestFit="1" customWidth="1"/>
    <col min="17" max="16384" width="10.83203125" style="1"/>
  </cols>
  <sheetData>
    <row r="2" spans="2:16" ht="21" x14ac:dyDescent="0.25">
      <c r="B2" s="2" t="s">
        <v>28</v>
      </c>
      <c r="K2" s="196" t="s">
        <v>405</v>
      </c>
      <c r="L2" s="12"/>
      <c r="M2" s="5"/>
    </row>
    <row r="3" spans="2:16" ht="21" x14ac:dyDescent="0.25">
      <c r="B3" s="2"/>
      <c r="K3" s="198"/>
      <c r="M3" s="7"/>
    </row>
    <row r="4" spans="2:16" x14ac:dyDescent="0.2">
      <c r="B4" s="50" t="s">
        <v>93</v>
      </c>
      <c r="C4" s="4"/>
      <c r="D4" s="4"/>
      <c r="E4" s="5"/>
      <c r="K4" s="199"/>
      <c r="M4" s="7"/>
    </row>
    <row r="5" spans="2:16" ht="45" customHeight="1" x14ac:dyDescent="0.2">
      <c r="B5" s="372" t="s">
        <v>322</v>
      </c>
      <c r="C5" s="374"/>
      <c r="D5" s="374"/>
      <c r="E5" s="373"/>
      <c r="K5" s="197"/>
      <c r="L5" s="9"/>
      <c r="M5" s="10"/>
    </row>
    <row r="6" spans="2:16" ht="17" thickBot="1" x14ac:dyDescent="0.25"/>
    <row r="7" spans="2:16" x14ac:dyDescent="0.2">
      <c r="B7" s="25" t="s">
        <v>26</v>
      </c>
      <c r="C7" s="51"/>
      <c r="D7" s="51"/>
      <c r="E7" s="51"/>
      <c r="F7" s="51"/>
      <c r="G7" s="215"/>
      <c r="H7" s="215"/>
      <c r="I7" s="51"/>
      <c r="J7" s="226"/>
      <c r="K7" s="149" t="s">
        <v>94</v>
      </c>
      <c r="L7" s="51"/>
      <c r="M7" s="27"/>
      <c r="O7" s="219"/>
      <c r="P7" s="220"/>
    </row>
    <row r="8" spans="2:16" x14ac:dyDescent="0.2">
      <c r="B8" s="28"/>
      <c r="J8" s="7"/>
      <c r="K8" s="17"/>
      <c r="M8" s="29"/>
      <c r="O8" s="199"/>
      <c r="P8" s="221"/>
    </row>
    <row r="9" spans="2:16" x14ac:dyDescent="0.2">
      <c r="B9" s="30" t="s">
        <v>95</v>
      </c>
      <c r="C9" s="31" t="s">
        <v>36</v>
      </c>
      <c r="D9" s="31" t="s">
        <v>97</v>
      </c>
      <c r="E9" s="31" t="s">
        <v>96</v>
      </c>
      <c r="F9" s="31"/>
      <c r="G9" s="31" t="s">
        <v>510</v>
      </c>
      <c r="H9" s="31"/>
      <c r="I9" s="31" t="s">
        <v>37</v>
      </c>
      <c r="J9" s="31"/>
      <c r="K9" s="296" t="s">
        <v>98</v>
      </c>
      <c r="L9" s="52" t="s">
        <v>99</v>
      </c>
      <c r="M9" s="132" t="s">
        <v>93</v>
      </c>
      <c r="O9" s="222" t="s">
        <v>415</v>
      </c>
      <c r="P9" s="223" t="s">
        <v>416</v>
      </c>
    </row>
    <row r="10" spans="2:16" x14ac:dyDescent="0.2">
      <c r="B10" s="35" t="s">
        <v>38</v>
      </c>
      <c r="C10" s="14"/>
      <c r="D10" s="14"/>
      <c r="E10" s="14"/>
      <c r="F10" s="14"/>
      <c r="G10" s="216"/>
      <c r="H10" s="216"/>
      <c r="I10" s="14"/>
      <c r="J10" s="15"/>
      <c r="K10" s="340" t="s">
        <v>540</v>
      </c>
      <c r="L10" s="341" t="b">
        <f>IF(COUNTIF(P:P,0)+COUNTIF(P:P,FALSE)=0,TRUE,FALSE)</f>
        <v>0</v>
      </c>
      <c r="M10" s="63"/>
      <c r="O10" s="219"/>
      <c r="P10" s="220"/>
    </row>
    <row r="11" spans="2:16" x14ac:dyDescent="0.2">
      <c r="B11" s="33"/>
      <c r="C11" s="58" t="s">
        <v>333</v>
      </c>
      <c r="D11" s="58"/>
      <c r="E11" s="127" t="s">
        <v>614</v>
      </c>
      <c r="F11" s="14"/>
      <c r="G11" s="218" t="s">
        <v>417</v>
      </c>
      <c r="H11" s="216"/>
      <c r="I11" s="14"/>
      <c r="J11" s="15"/>
      <c r="K11" s="62" t="s">
        <v>286</v>
      </c>
      <c r="L11" s="348" t="b">
        <f>IF(COUNTBLANK(E11:E64)-COUNTBLANK(C11:C64)=3,TRUE,FALSE)</f>
        <v>0</v>
      </c>
      <c r="M11" s="63"/>
      <c r="O11" s="199" t="s">
        <v>417</v>
      </c>
      <c r="P11" s="221">
        <f>IF(L11=TRUE,1,0)</f>
        <v>0</v>
      </c>
    </row>
    <row r="12" spans="2:16" x14ac:dyDescent="0.2">
      <c r="B12" s="33"/>
      <c r="C12" s="58" t="s">
        <v>404</v>
      </c>
      <c r="D12" s="58"/>
      <c r="E12" s="127">
        <v>2023</v>
      </c>
      <c r="F12" s="14"/>
      <c r="G12" s="218" t="s">
        <v>418</v>
      </c>
      <c r="H12" s="216"/>
      <c r="I12" s="14"/>
      <c r="J12" s="15"/>
      <c r="K12" s="53"/>
      <c r="L12" s="145"/>
      <c r="M12" s="63"/>
      <c r="O12" s="199" t="s">
        <v>418</v>
      </c>
      <c r="P12" s="221"/>
    </row>
    <row r="13" spans="2:16" x14ac:dyDescent="0.2">
      <c r="B13" s="33"/>
      <c r="C13" s="14"/>
      <c r="D13" s="14"/>
      <c r="E13" s="14"/>
      <c r="F13" s="14"/>
      <c r="G13" s="216"/>
      <c r="H13" s="216"/>
      <c r="I13" s="14"/>
      <c r="J13" s="15"/>
      <c r="K13" s="361"/>
      <c r="L13" s="145"/>
      <c r="M13" s="54"/>
      <c r="O13" s="199"/>
      <c r="P13" s="7"/>
    </row>
    <row r="14" spans="2:16" x14ac:dyDescent="0.2">
      <c r="B14" s="33"/>
      <c r="C14" s="14"/>
      <c r="D14" s="14"/>
      <c r="E14" s="14"/>
      <c r="F14" s="14"/>
      <c r="G14" s="216"/>
      <c r="H14" s="216"/>
      <c r="I14" s="14"/>
      <c r="J14" s="15"/>
      <c r="K14" s="62" t="s">
        <v>561</v>
      </c>
      <c r="L14" s="145"/>
      <c r="M14" s="63"/>
      <c r="O14" s="199"/>
      <c r="P14" s="221"/>
    </row>
    <row r="15" spans="2:16" ht="15" customHeight="1" x14ac:dyDescent="0.2">
      <c r="B15" s="33"/>
      <c r="C15" s="14"/>
      <c r="D15" s="14"/>
      <c r="E15" s="14"/>
      <c r="F15" s="14"/>
      <c r="G15" s="216"/>
      <c r="H15" s="216"/>
      <c r="I15" s="14"/>
      <c r="J15" s="15"/>
      <c r="K15" s="53" t="s">
        <v>564</v>
      </c>
      <c r="L15" s="347" t="e">
        <f>IF('Final demand per energy carrier'!E43&lt;0,FALSE,TRUE)</f>
        <v>#DIV/0!</v>
      </c>
      <c r="M15" s="294" t="e">
        <f>IF(L15=TRUE," ","The demand for coal in 'other appliances' is negative. Have a look at the 'Final demand per energy carrier' sheet. Please correct the application and/or technology splits in the dashboard. ")</f>
        <v>#DIV/0!</v>
      </c>
      <c r="O15" s="199"/>
      <c r="P15" s="221" t="e">
        <f>IF(L15=TRUE,1,0)</f>
        <v>#DIV/0!</v>
      </c>
    </row>
    <row r="16" spans="2:16" x14ac:dyDescent="0.2">
      <c r="B16" s="33"/>
      <c r="C16" s="14"/>
      <c r="D16" s="14"/>
      <c r="E16" s="14"/>
      <c r="F16" s="14"/>
      <c r="G16" s="216"/>
      <c r="H16" s="216"/>
      <c r="I16" s="14"/>
      <c r="J16" s="15"/>
      <c r="K16" s="53" t="s">
        <v>563</v>
      </c>
      <c r="L16" s="347" t="e">
        <f>IF('Final demand per energy carrier'!F43&lt;0,FALSE,TRUE)</f>
        <v>#DIV/0!</v>
      </c>
      <c r="M16" s="294" t="e">
        <f>IF(L16=TRUE," ","The demand for network gas in 'other appliances' is negative. Have a look at the 'Final demand per energy carrier' sheet. Please correct the application and/or technology splits in the dashboard. ")</f>
        <v>#DIV/0!</v>
      </c>
      <c r="O16" s="199"/>
      <c r="P16" s="221" t="e">
        <f>IF(L16=TRUE,1,0)</f>
        <v>#DIV/0!</v>
      </c>
    </row>
    <row r="17" spans="2:16" x14ac:dyDescent="0.2">
      <c r="B17" s="33"/>
      <c r="C17" s="14"/>
      <c r="D17" s="14"/>
      <c r="E17" s="14"/>
      <c r="F17" s="14"/>
      <c r="G17" s="216"/>
      <c r="H17" s="216"/>
      <c r="I17" s="14"/>
      <c r="J17" s="15"/>
      <c r="K17" s="53" t="s">
        <v>565</v>
      </c>
      <c r="L17" s="347" t="e">
        <f>IF('Final demand per energy carrier'!G43&lt;0,FALSE,TRUE)</f>
        <v>#DIV/0!</v>
      </c>
      <c r="M17" s="294" t="e">
        <f>IF(L17=TRUE," ","The demand for oil in 'other appliances' is negative. Have a look at the 'Final demand per energy carrier' sheet. Please correct the application and/or technology splits in the dashboard. ")</f>
        <v>#DIV/0!</v>
      </c>
      <c r="O17" s="199"/>
      <c r="P17" s="221" t="e">
        <f>IF(L17=TRUE,1,0)</f>
        <v>#DIV/0!</v>
      </c>
    </row>
    <row r="18" spans="2:16" x14ac:dyDescent="0.2">
      <c r="B18" s="33"/>
      <c r="C18" s="14"/>
      <c r="D18" s="14"/>
      <c r="E18" s="14"/>
      <c r="F18" s="14"/>
      <c r="G18" s="216"/>
      <c r="H18" s="216"/>
      <c r="I18" s="14"/>
      <c r="J18" s="15"/>
      <c r="K18" s="53"/>
      <c r="L18" s="19"/>
      <c r="M18" s="63"/>
      <c r="O18" s="199"/>
      <c r="P18" s="221"/>
    </row>
    <row r="19" spans="2:16" x14ac:dyDescent="0.2">
      <c r="B19" s="30"/>
      <c r="C19" s="297"/>
      <c r="D19" s="297"/>
      <c r="E19" s="297"/>
      <c r="F19" s="297"/>
      <c r="G19" s="298"/>
      <c r="H19" s="298"/>
      <c r="I19" s="297"/>
      <c r="J19" s="299"/>
      <c r="K19" s="55" t="s">
        <v>557</v>
      </c>
      <c r="L19" s="365" t="b">
        <f>IF('Fuel aggregation'!J11=0,TRUE,'Fuel aggregation'!J11)</f>
        <v>1</v>
      </c>
      <c r="M19" s="349" t="str">
        <f>IF(L19=TRUE," ","(TJ) There are energy flows related to the services sector that cannot be processed by the ETM. If the amount of disregarded energy is relatively large, consider contacting Quintel Intelligence. Have a look at the fuel aggregation sheet.")</f>
        <v xml:space="preserve"> </v>
      </c>
      <c r="O19" s="199"/>
      <c r="P19" s="221"/>
    </row>
    <row r="20" spans="2:16" x14ac:dyDescent="0.2">
      <c r="B20" s="35" t="s">
        <v>100</v>
      </c>
      <c r="E20" s="57"/>
      <c r="F20" s="214"/>
      <c r="G20" s="218"/>
      <c r="H20" s="218"/>
      <c r="K20" s="53"/>
      <c r="L20" s="342"/>
      <c r="M20" s="54"/>
      <c r="O20" s="199"/>
      <c r="P20" s="221"/>
    </row>
    <row r="21" spans="2:16" x14ac:dyDescent="0.2">
      <c r="B21" s="35"/>
      <c r="C21" s="1" t="s">
        <v>408</v>
      </c>
      <c r="D21" s="1" t="s">
        <v>411</v>
      </c>
      <c r="E21" s="202">
        <f>Final_demand_residences</f>
        <v>0</v>
      </c>
      <c r="F21" s="214"/>
      <c r="G21" s="218"/>
      <c r="H21" s="218"/>
      <c r="I21" s="1" t="s">
        <v>541</v>
      </c>
      <c r="K21" s="53"/>
      <c r="L21" s="343"/>
      <c r="M21" s="54"/>
      <c r="O21" s="199"/>
      <c r="P21" s="221"/>
    </row>
    <row r="22" spans="2:16" ht="17" thickBot="1" x14ac:dyDescent="0.25">
      <c r="B22" s="35"/>
      <c r="E22" s="203"/>
      <c r="F22" s="214"/>
      <c r="G22" s="218"/>
      <c r="H22" s="218"/>
      <c r="K22" s="53"/>
      <c r="L22" s="343"/>
      <c r="M22" s="54"/>
      <c r="O22" s="199"/>
      <c r="P22" s="221"/>
    </row>
    <row r="23" spans="2:16" ht="17" thickBot="1" x14ac:dyDescent="0.25">
      <c r="B23" s="35"/>
      <c r="C23" s="1" t="s">
        <v>101</v>
      </c>
      <c r="D23" s="1" t="s">
        <v>411</v>
      </c>
      <c r="E23" s="204"/>
      <c r="F23" s="218"/>
      <c r="G23" s="218" t="s">
        <v>412</v>
      </c>
      <c r="H23" s="218"/>
      <c r="I23" s="21"/>
      <c r="J23" s="7"/>
      <c r="K23" s="7"/>
      <c r="L23" s="343"/>
      <c r="M23" s="54"/>
      <c r="O23" s="199" t="s">
        <v>490</v>
      </c>
      <c r="P23" s="221"/>
    </row>
    <row r="24" spans="2:16" ht="17" thickBot="1" x14ac:dyDescent="0.25">
      <c r="B24" s="35"/>
      <c r="C24" s="1" t="s">
        <v>104</v>
      </c>
      <c r="D24" s="1" t="s">
        <v>411</v>
      </c>
      <c r="E24" s="205"/>
      <c r="F24" s="218"/>
      <c r="G24" s="218" t="s">
        <v>413</v>
      </c>
      <c r="H24" s="218"/>
      <c r="I24" s="21"/>
      <c r="J24" s="7"/>
      <c r="K24" s="7"/>
      <c r="L24" s="343"/>
      <c r="M24" s="54"/>
      <c r="O24" s="199" t="s">
        <v>491</v>
      </c>
      <c r="P24" s="221"/>
    </row>
    <row r="25" spans="2:16" ht="17" thickBot="1" x14ac:dyDescent="0.25">
      <c r="B25" s="35"/>
      <c r="C25" s="1" t="s">
        <v>102</v>
      </c>
      <c r="D25" s="1" t="s">
        <v>411</v>
      </c>
      <c r="E25" s="205"/>
      <c r="F25" s="218"/>
      <c r="G25" s="218" t="s">
        <v>414</v>
      </c>
      <c r="H25" s="218"/>
      <c r="I25" s="21"/>
      <c r="J25" s="7"/>
      <c r="K25" s="7"/>
      <c r="L25" s="343"/>
      <c r="M25" s="54"/>
      <c r="O25" s="199" t="s">
        <v>492</v>
      </c>
      <c r="P25" s="221"/>
    </row>
    <row r="26" spans="2:16" x14ac:dyDescent="0.2">
      <c r="B26" s="35"/>
      <c r="E26" s="206"/>
      <c r="F26" s="214"/>
      <c r="G26" s="218"/>
      <c r="H26" s="218"/>
      <c r="K26" s="53"/>
      <c r="L26" s="343"/>
      <c r="M26" s="54"/>
      <c r="O26" s="199"/>
      <c r="P26" s="221"/>
    </row>
    <row r="27" spans="2:16" ht="17" thickBot="1" x14ac:dyDescent="0.25">
      <c r="B27" s="35"/>
      <c r="E27" s="206"/>
      <c r="F27" s="214"/>
      <c r="G27" s="218"/>
      <c r="H27" s="218"/>
      <c r="K27" s="53"/>
      <c r="L27" s="343"/>
      <c r="M27" s="54"/>
      <c r="O27" s="199"/>
      <c r="P27" s="221"/>
    </row>
    <row r="28" spans="2:16" ht="17" thickBot="1" x14ac:dyDescent="0.25">
      <c r="B28" s="35"/>
      <c r="C28" s="1" t="s">
        <v>582</v>
      </c>
      <c r="E28" s="205"/>
      <c r="F28" s="214"/>
      <c r="G28" s="218"/>
      <c r="H28" s="218"/>
      <c r="K28" s="53"/>
      <c r="L28" s="343"/>
      <c r="M28" s="54"/>
      <c r="O28" s="199" t="s">
        <v>583</v>
      </c>
      <c r="P28" s="221"/>
    </row>
    <row r="29" spans="2:16" ht="17" thickBot="1" x14ac:dyDescent="0.25">
      <c r="B29" s="35"/>
      <c r="C29" s="1" t="s">
        <v>578</v>
      </c>
      <c r="D29" s="1" t="s">
        <v>411</v>
      </c>
      <c r="E29" s="205" t="str">
        <f>IF(E28="no",0,"")</f>
        <v/>
      </c>
      <c r="F29" s="214"/>
      <c r="G29" s="218" t="s">
        <v>580</v>
      </c>
      <c r="H29" s="218"/>
      <c r="I29" s="21"/>
      <c r="K29" s="62" t="s">
        <v>584</v>
      </c>
      <c r="L29" s="347" t="b">
        <f>IF(E29&gt;=0,TRUE,E29)</f>
        <v>1</v>
      </c>
      <c r="M29" s="54" t="str">
        <f>IF(L29=TRUE," ","Please adjust your final demands for space heating, space cooling and lighting (and central ICT, if filled in), or alter the technology shares below.")</f>
        <v xml:space="preserve"> </v>
      </c>
      <c r="O29" s="199" t="s">
        <v>581</v>
      </c>
      <c r="P29" s="221">
        <f>IF(L29=TRUE,1,0)</f>
        <v>1</v>
      </c>
    </row>
    <row r="30" spans="2:16" x14ac:dyDescent="0.2">
      <c r="B30" s="35"/>
      <c r="E30" s="206"/>
      <c r="F30" s="214"/>
      <c r="G30" s="218"/>
      <c r="H30" s="218"/>
      <c r="K30" s="53"/>
      <c r="L30" s="343"/>
      <c r="M30" s="54"/>
      <c r="O30" s="199"/>
      <c r="P30" s="221"/>
    </row>
    <row r="31" spans="2:16" x14ac:dyDescent="0.2">
      <c r="B31" s="35"/>
      <c r="C31" s="1" t="s">
        <v>579</v>
      </c>
      <c r="D31" s="1" t="s">
        <v>411</v>
      </c>
      <c r="E31" s="344" t="e">
        <f>'Final demand per energy carrier'!J42</f>
        <v>#DIV/0!</v>
      </c>
      <c r="F31" s="214"/>
      <c r="G31" s="218"/>
      <c r="H31" s="218"/>
      <c r="K31" s="62" t="s">
        <v>554</v>
      </c>
      <c r="L31" s="347" t="e">
        <f>IF(E31&gt;0,TRUE,E31)</f>
        <v>#DIV/0!</v>
      </c>
      <c r="M31" s="54" t="e">
        <f>IF(L31=TRUE," ","Please adjust your final demands for space heating, space cooling and lighting (and central ICT, if filled in), or alter the technology shares below.")</f>
        <v>#DIV/0!</v>
      </c>
      <c r="O31" s="199"/>
      <c r="P31" s="221" t="e">
        <f>IF(L31=TRUE,1,0)</f>
        <v>#DIV/0!</v>
      </c>
    </row>
    <row r="32" spans="2:16" x14ac:dyDescent="0.2">
      <c r="B32" s="35"/>
      <c r="C32" s="1" t="s">
        <v>556</v>
      </c>
      <c r="D32" s="1" t="s">
        <v>411</v>
      </c>
      <c r="E32" s="345" t="e">
        <f>SUM('Final demand per energy carrier'!E43:G43)</f>
        <v>#DIV/0!</v>
      </c>
      <c r="F32" s="214"/>
      <c r="G32" s="218"/>
      <c r="H32" s="218"/>
      <c r="K32" s="62" t="s">
        <v>555</v>
      </c>
      <c r="L32" s="347" t="e">
        <f>IF(E32&gt;0,TRUE,E32)</f>
        <v>#DIV/0!</v>
      </c>
      <c r="M32" s="54" t="e">
        <f>IF(L32=TRUE," ","Please adjust your final demands for space heating, space cooling and/or lighting (and central ICT, if filled in.")</f>
        <v>#DIV/0!</v>
      </c>
      <c r="O32" s="199"/>
      <c r="P32" s="221" t="e">
        <f>IF(L32=TRUE,1,0)</f>
        <v>#DIV/0!</v>
      </c>
    </row>
    <row r="33" spans="2:19" x14ac:dyDescent="0.2">
      <c r="B33" s="134"/>
      <c r="C33" s="9"/>
      <c r="D33" s="9"/>
      <c r="E33" s="57"/>
      <c r="F33" s="9"/>
      <c r="G33" s="200"/>
      <c r="H33" s="200"/>
      <c r="I33" s="9"/>
      <c r="J33" s="9"/>
      <c r="K33" s="55"/>
      <c r="L33" s="55"/>
      <c r="M33" s="56"/>
      <c r="O33" s="199"/>
      <c r="P33" s="221"/>
    </row>
    <row r="34" spans="2:19" ht="16" customHeight="1" x14ac:dyDescent="0.2">
      <c r="B34" s="35" t="s">
        <v>90</v>
      </c>
      <c r="E34" s="165"/>
      <c r="K34" s="62" t="s">
        <v>236</v>
      </c>
      <c r="L34" s="347">
        <f>IF(SUM(E44:E50)=1,TRUE,SUM(E44:E50))</f>
        <v>0</v>
      </c>
      <c r="M34" s="54" t="str">
        <f>IF(L34=TRUE," ","If this check is red please adjust the percentages of heat delivered by the technologies to the left.")</f>
        <v>If this check is red please adjust the percentages of heat delivered by the technologies to the left.</v>
      </c>
      <c r="O34" s="199"/>
      <c r="P34" s="221">
        <f>IF(L34=TRUE,1,0)</f>
        <v>0</v>
      </c>
    </row>
    <row r="35" spans="2:19" ht="16" customHeight="1" x14ac:dyDescent="0.2">
      <c r="B35" s="35"/>
      <c r="C35" s="1" t="s">
        <v>506</v>
      </c>
      <c r="E35" s="344">
        <f>Final_demand_space_heating</f>
        <v>0</v>
      </c>
      <c r="K35" s="53"/>
      <c r="L35" s="295"/>
      <c r="M35" s="294"/>
      <c r="O35" s="199"/>
      <c r="P35" s="221"/>
    </row>
    <row r="36" spans="2:19" ht="16" customHeight="1" x14ac:dyDescent="0.2">
      <c r="B36" s="35"/>
      <c r="E36" s="344"/>
      <c r="K36" s="53"/>
      <c r="L36" s="295"/>
      <c r="M36" s="294"/>
      <c r="O36" s="199"/>
      <c r="P36" s="221"/>
    </row>
    <row r="37" spans="2:19" x14ac:dyDescent="0.2">
      <c r="B37" s="35"/>
      <c r="C37" s="346" t="s">
        <v>507</v>
      </c>
      <c r="E37" s="344">
        <f>'Final demand extracted from EB'!D13</f>
        <v>0</v>
      </c>
      <c r="I37" s="1" t="s">
        <v>550</v>
      </c>
      <c r="K37" s="53"/>
      <c r="L37" s="146"/>
      <c r="M37" s="54"/>
      <c r="O37" s="199"/>
      <c r="P37" s="221"/>
    </row>
    <row r="38" spans="2:19" x14ac:dyDescent="0.2">
      <c r="B38" s="35"/>
      <c r="C38" s="346" t="s">
        <v>508</v>
      </c>
      <c r="E38" s="344">
        <f>'Final demand extracted from EB'!D9</f>
        <v>0</v>
      </c>
      <c r="I38" s="1" t="s">
        <v>550</v>
      </c>
      <c r="K38" s="53"/>
      <c r="L38" s="146"/>
      <c r="M38" s="54"/>
      <c r="O38" s="199"/>
      <c r="P38" s="221"/>
    </row>
    <row r="39" spans="2:19" x14ac:dyDescent="0.2">
      <c r="B39" s="35"/>
      <c r="C39" s="346" t="s">
        <v>509</v>
      </c>
      <c r="E39" s="344">
        <f>'Final demand extracted from EB'!D17</f>
        <v>0</v>
      </c>
      <c r="I39" s="1" t="s">
        <v>550</v>
      </c>
      <c r="K39" s="53"/>
      <c r="L39" s="146"/>
      <c r="M39" s="54"/>
      <c r="O39" s="199"/>
      <c r="P39" s="221"/>
    </row>
    <row r="40" spans="2:19" x14ac:dyDescent="0.2">
      <c r="B40" s="35"/>
      <c r="E40" s="344"/>
      <c r="K40" s="53"/>
      <c r="L40" s="146"/>
      <c r="M40" s="54"/>
      <c r="O40" s="199"/>
      <c r="P40" s="221"/>
    </row>
    <row r="41" spans="2:19" ht="34" x14ac:dyDescent="0.2">
      <c r="B41" s="35"/>
      <c r="C41" s="90" t="s">
        <v>543</v>
      </c>
      <c r="E41" s="344">
        <f>E35-SUM(E37:E39)</f>
        <v>0</v>
      </c>
      <c r="K41" s="53"/>
      <c r="L41" s="146"/>
      <c r="M41" s="54"/>
      <c r="O41" s="199"/>
      <c r="P41" s="221"/>
    </row>
    <row r="42" spans="2:19" x14ac:dyDescent="0.2">
      <c r="B42" s="35"/>
      <c r="C42" s="90"/>
      <c r="E42" s="293"/>
      <c r="K42" s="53"/>
      <c r="L42" s="146"/>
      <c r="M42" s="54"/>
      <c r="O42" s="199"/>
      <c r="P42" s="221"/>
    </row>
    <row r="43" spans="2:19" ht="17" thickBot="1" x14ac:dyDescent="0.25">
      <c r="B43" s="35"/>
      <c r="C43" s="1" t="s">
        <v>542</v>
      </c>
      <c r="E43" s="57"/>
      <c r="K43" s="53"/>
      <c r="L43" s="146"/>
      <c r="M43" s="54"/>
      <c r="O43" s="199"/>
      <c r="P43" s="221"/>
    </row>
    <row r="44" spans="2:19" ht="17" thickBot="1" x14ac:dyDescent="0.25">
      <c r="B44" s="35"/>
      <c r="C44" s="346" t="s">
        <v>544</v>
      </c>
      <c r="E44" s="161"/>
      <c r="I44" s="21"/>
      <c r="K44" s="53"/>
      <c r="L44" s="146"/>
      <c r="M44" s="294"/>
      <c r="O44" s="199" t="s">
        <v>493</v>
      </c>
      <c r="P44" s="221"/>
    </row>
    <row r="45" spans="2:19" ht="18" thickBot="1" x14ac:dyDescent="0.25">
      <c r="B45" s="35"/>
      <c r="C45" s="346" t="s">
        <v>545</v>
      </c>
      <c r="E45" s="161"/>
      <c r="I45" s="21"/>
      <c r="K45" s="53"/>
      <c r="L45" s="146"/>
      <c r="M45" s="294"/>
      <c r="O45" s="199" t="s">
        <v>502</v>
      </c>
      <c r="P45" s="221"/>
      <c r="S45" s="292"/>
    </row>
    <row r="46" spans="2:19" ht="17" thickBot="1" x14ac:dyDescent="0.25">
      <c r="B46" s="35"/>
      <c r="C46" s="346" t="s">
        <v>546</v>
      </c>
      <c r="E46" s="161"/>
      <c r="I46" s="21"/>
      <c r="K46" s="53"/>
      <c r="L46" s="146"/>
      <c r="M46" s="294"/>
      <c r="O46" s="199" t="s">
        <v>494</v>
      </c>
      <c r="P46" s="221"/>
    </row>
    <row r="47" spans="2:19" ht="17" thickBot="1" x14ac:dyDescent="0.25">
      <c r="B47" s="35"/>
      <c r="C47" s="346" t="s">
        <v>547</v>
      </c>
      <c r="E47" s="161"/>
      <c r="I47" s="21"/>
      <c r="K47" s="53"/>
      <c r="L47" s="146"/>
      <c r="M47" s="54"/>
      <c r="O47" s="199" t="s">
        <v>495</v>
      </c>
      <c r="P47" s="221"/>
    </row>
    <row r="48" spans="2:19" ht="17" thickBot="1" x14ac:dyDescent="0.25">
      <c r="B48" s="35"/>
      <c r="C48" s="346" t="s">
        <v>548</v>
      </c>
      <c r="E48" s="161"/>
      <c r="I48" s="21"/>
      <c r="K48" s="53"/>
      <c r="L48" s="147"/>
      <c r="M48" s="54"/>
      <c r="O48" s="199" t="s">
        <v>496</v>
      </c>
      <c r="P48" s="221"/>
    </row>
    <row r="49" spans="2:18" ht="18" thickBot="1" x14ac:dyDescent="0.25">
      <c r="B49" s="35"/>
      <c r="C49" s="346" t="s">
        <v>549</v>
      </c>
      <c r="E49" s="161"/>
      <c r="I49" s="21"/>
      <c r="K49" s="53"/>
      <c r="L49" s="146"/>
      <c r="M49" s="54"/>
      <c r="O49" s="199" t="s">
        <v>505</v>
      </c>
      <c r="P49" s="221"/>
      <c r="R49" s="292"/>
    </row>
    <row r="50" spans="2:18" ht="18" thickBot="1" x14ac:dyDescent="0.25">
      <c r="B50" s="35"/>
      <c r="C50" s="346" t="s">
        <v>597</v>
      </c>
      <c r="E50" s="161"/>
      <c r="I50" s="21"/>
      <c r="K50" s="53"/>
      <c r="L50" s="146"/>
      <c r="M50" s="54"/>
      <c r="O50" s="199" t="s">
        <v>604</v>
      </c>
      <c r="P50" s="221"/>
      <c r="R50" s="292"/>
    </row>
    <row r="51" spans="2:18" x14ac:dyDescent="0.2">
      <c r="B51" s="134"/>
      <c r="C51" s="9"/>
      <c r="D51" s="9"/>
      <c r="E51" s="57"/>
      <c r="F51" s="9"/>
      <c r="G51" s="200"/>
      <c r="H51" s="200"/>
      <c r="I51" s="9"/>
      <c r="J51" s="9"/>
      <c r="K51" s="55"/>
      <c r="L51" s="148"/>
      <c r="M51" s="56"/>
      <c r="O51" s="199"/>
      <c r="P51" s="224"/>
    </row>
    <row r="52" spans="2:18" x14ac:dyDescent="0.2">
      <c r="B52" s="35" t="s">
        <v>103</v>
      </c>
      <c r="C52" s="58"/>
      <c r="D52" s="58"/>
      <c r="E52" s="165"/>
      <c r="K52" s="62" t="s">
        <v>236</v>
      </c>
      <c r="L52" s="347">
        <f>IF(SUM(E54:E57)=1,TRUE,SUM(E54:E57))</f>
        <v>0</v>
      </c>
      <c r="M52" s="54" t="str">
        <f>IF(L52=TRUE," ","If this check is red please adjust the percentages of heat delivered by the technologies to the left.")</f>
        <v>If this check is red please adjust the percentages of heat delivered by the technologies to the left.</v>
      </c>
      <c r="O52" s="199"/>
      <c r="P52" s="221">
        <f>IF(L52=TRUE,1,0)</f>
        <v>0</v>
      </c>
    </row>
    <row r="53" spans="2:18" ht="17" thickBot="1" x14ac:dyDescent="0.25">
      <c r="B53" s="35"/>
      <c r="C53" s="58" t="s">
        <v>551</v>
      </c>
      <c r="D53" s="58"/>
      <c r="E53" s="61"/>
      <c r="K53" s="62"/>
      <c r="L53" s="146"/>
      <c r="M53" s="54"/>
      <c r="O53" s="199"/>
      <c r="P53" s="221"/>
    </row>
    <row r="54" spans="2:18" ht="18" thickBot="1" x14ac:dyDescent="0.25">
      <c r="B54" s="35"/>
      <c r="C54" s="346" t="s">
        <v>546</v>
      </c>
      <c r="E54" s="181"/>
      <c r="I54" s="21"/>
      <c r="K54" s="53"/>
      <c r="L54" s="146"/>
      <c r="M54" s="54"/>
      <c r="O54" s="199" t="s">
        <v>497</v>
      </c>
      <c r="P54" s="224"/>
      <c r="R54" s="292"/>
    </row>
    <row r="55" spans="2:18" ht="17" thickBot="1" x14ac:dyDescent="0.25">
      <c r="B55" s="35"/>
      <c r="C55" s="346" t="s">
        <v>545</v>
      </c>
      <c r="E55" s="161"/>
      <c r="I55" s="21"/>
      <c r="K55" s="53"/>
      <c r="L55" s="146"/>
      <c r="M55" s="54"/>
      <c r="O55" s="199" t="s">
        <v>498</v>
      </c>
      <c r="P55" s="224"/>
    </row>
    <row r="56" spans="2:18" ht="17" thickBot="1" x14ac:dyDescent="0.25">
      <c r="B56" s="35"/>
      <c r="C56" s="346" t="s">
        <v>131</v>
      </c>
      <c r="D56" s="58"/>
      <c r="E56" s="181"/>
      <c r="I56" s="21"/>
      <c r="K56" s="53"/>
      <c r="L56" s="146"/>
      <c r="M56" s="54"/>
      <c r="O56" s="199" t="s">
        <v>499</v>
      </c>
      <c r="P56" s="224"/>
    </row>
    <row r="57" spans="2:18" ht="17" thickBot="1" x14ac:dyDescent="0.25">
      <c r="B57" s="35"/>
      <c r="C57" s="346" t="s">
        <v>597</v>
      </c>
      <c r="D57" s="58"/>
      <c r="E57" s="181"/>
      <c r="I57" s="21"/>
      <c r="K57" s="53"/>
      <c r="L57" s="146"/>
      <c r="M57" s="54"/>
      <c r="O57" s="199" t="s">
        <v>605</v>
      </c>
      <c r="P57" s="224"/>
    </row>
    <row r="58" spans="2:18" x14ac:dyDescent="0.2">
      <c r="B58" s="134"/>
      <c r="C58" s="9"/>
      <c r="D58" s="9"/>
      <c r="E58" s="57"/>
      <c r="F58" s="9"/>
      <c r="G58" s="200"/>
      <c r="H58" s="200"/>
      <c r="I58" s="9"/>
      <c r="J58" s="9"/>
      <c r="K58" s="55"/>
      <c r="L58" s="148"/>
      <c r="M58" s="56"/>
      <c r="O58" s="199"/>
      <c r="P58" s="224"/>
    </row>
    <row r="59" spans="2:18" x14ac:dyDescent="0.2">
      <c r="B59" s="35" t="s">
        <v>89</v>
      </c>
      <c r="E59" s="165"/>
      <c r="K59" s="62" t="s">
        <v>236</v>
      </c>
      <c r="L59" s="347">
        <f>IF(SUM(E61:E63)=1,TRUE,SUM(E61:E63))</f>
        <v>0</v>
      </c>
      <c r="M59" s="54" t="str">
        <f>IF(L59=TRUE," ","If this check is red please adjust the percentages of heat delivered by the technologies to the left.")</f>
        <v>If this check is red please adjust the percentages of heat delivered by the technologies to the left.</v>
      </c>
      <c r="O59" s="225"/>
      <c r="P59" s="221">
        <f>IF(L59=TRUE,1,0)</f>
        <v>0</v>
      </c>
    </row>
    <row r="60" spans="2:18" ht="17" thickBot="1" x14ac:dyDescent="0.25">
      <c r="B60" s="35"/>
      <c r="C60" s="1" t="s">
        <v>552</v>
      </c>
      <c r="E60" s="57"/>
      <c r="K60" s="62"/>
      <c r="L60" s="53"/>
      <c r="M60" s="54"/>
      <c r="O60" s="225"/>
      <c r="P60" s="221"/>
    </row>
    <row r="61" spans="2:18" ht="17" thickBot="1" x14ac:dyDescent="0.25">
      <c r="B61" s="35"/>
      <c r="C61" s="346" t="s">
        <v>330</v>
      </c>
      <c r="E61" s="161"/>
      <c r="I61" s="21"/>
      <c r="K61" s="53"/>
      <c r="L61" s="53"/>
      <c r="M61" s="54"/>
      <c r="O61" s="199" t="s">
        <v>369</v>
      </c>
      <c r="P61" s="7"/>
    </row>
    <row r="62" spans="2:18" ht="17" thickBot="1" x14ac:dyDescent="0.25">
      <c r="B62" s="35"/>
      <c r="C62" s="346" t="s">
        <v>331</v>
      </c>
      <c r="E62" s="161"/>
      <c r="I62" s="21"/>
      <c r="K62" s="53"/>
      <c r="L62" s="53"/>
      <c r="M62" s="54"/>
      <c r="O62" s="199" t="s">
        <v>367</v>
      </c>
      <c r="P62" s="7"/>
    </row>
    <row r="63" spans="2:18" ht="17" thickBot="1" x14ac:dyDescent="0.25">
      <c r="B63" s="35"/>
      <c r="C63" s="346" t="s">
        <v>553</v>
      </c>
      <c r="E63" s="161"/>
      <c r="I63" s="21"/>
      <c r="K63" s="53"/>
      <c r="L63" s="53"/>
      <c r="M63" s="54"/>
      <c r="O63" s="199" t="s">
        <v>368</v>
      </c>
      <c r="P63" s="7"/>
    </row>
    <row r="64" spans="2:18" ht="17" thickBot="1" x14ac:dyDescent="0.25">
      <c r="B64" s="283"/>
      <c r="C64" s="94"/>
      <c r="D64" s="94"/>
      <c r="E64" s="227"/>
      <c r="F64" s="94"/>
      <c r="G64" s="217"/>
      <c r="H64" s="217"/>
      <c r="I64" s="94"/>
      <c r="J64" s="94"/>
      <c r="K64" s="150"/>
      <c r="L64" s="150"/>
      <c r="M64" s="140"/>
      <c r="O64" s="18"/>
      <c r="P64" s="10"/>
    </row>
    <row r="65" spans="2:16" x14ac:dyDescent="0.2">
      <c r="B65" s="284" t="s">
        <v>483</v>
      </c>
      <c r="C65" s="51"/>
      <c r="D65" s="51"/>
      <c r="E65" s="51"/>
      <c r="F65" s="51"/>
      <c r="G65" s="215"/>
      <c r="H65" s="215"/>
      <c r="I65" s="51"/>
      <c r="J65" s="51"/>
      <c r="K65" s="51"/>
      <c r="L65" s="51"/>
      <c r="M65" s="27"/>
      <c r="O65" s="285"/>
      <c r="P65" s="5"/>
    </row>
    <row r="66" spans="2:16" x14ac:dyDescent="0.2">
      <c r="B66" s="28"/>
      <c r="C66" s="1" t="s">
        <v>481</v>
      </c>
      <c r="E66" s="162">
        <v>1</v>
      </c>
      <c r="M66" s="29"/>
      <c r="O66" s="199" t="s">
        <v>500</v>
      </c>
      <c r="P66" s="7"/>
    </row>
    <row r="67" spans="2:16" x14ac:dyDescent="0.2">
      <c r="B67" s="28"/>
      <c r="C67" s="1" t="s">
        <v>482</v>
      </c>
      <c r="E67" s="162">
        <v>0</v>
      </c>
      <c r="M67" s="29"/>
      <c r="O67" s="199" t="s">
        <v>501</v>
      </c>
      <c r="P67" s="7"/>
    </row>
    <row r="68" spans="2:16" ht="17" thickBot="1" x14ac:dyDescent="0.25">
      <c r="B68" s="45"/>
      <c r="C68" s="94"/>
      <c r="D68" s="94"/>
      <c r="E68" s="94"/>
      <c r="F68" s="94"/>
      <c r="G68" s="217"/>
      <c r="H68" s="217"/>
      <c r="I68" s="94"/>
      <c r="J68" s="94"/>
      <c r="K68" s="94"/>
      <c r="L68" s="94"/>
      <c r="M68" s="95"/>
      <c r="O68" s="18"/>
      <c r="P68" s="10"/>
    </row>
  </sheetData>
  <mergeCells count="1">
    <mergeCell ref="B5:E5"/>
  </mergeCells>
  <conditionalFormatting sqref="L10:L11">
    <cfRule type="cellIs" dxfId="13" priority="6" operator="equal">
      <formula>TRUE</formula>
    </cfRule>
  </conditionalFormatting>
  <conditionalFormatting sqref="L15:L17">
    <cfRule type="cellIs" dxfId="12" priority="3" operator="equal">
      <formula>TRUE</formula>
    </cfRule>
  </conditionalFormatting>
  <conditionalFormatting sqref="L19">
    <cfRule type="cellIs" dxfId="11" priority="2" operator="equal">
      <formula>TRUE</formula>
    </cfRule>
  </conditionalFormatting>
  <conditionalFormatting sqref="L29">
    <cfRule type="cellIs" dxfId="10" priority="1" operator="equal">
      <formula>TRUE</formula>
    </cfRule>
  </conditionalFormatting>
  <conditionalFormatting sqref="L31:L32">
    <cfRule type="cellIs" dxfId="9" priority="7" operator="equal">
      <formula>TRUE</formula>
    </cfRule>
  </conditionalFormatting>
  <conditionalFormatting sqref="L34">
    <cfRule type="cellIs" dxfId="8" priority="11" operator="equal">
      <formula>TRUE</formula>
    </cfRule>
  </conditionalFormatting>
  <conditionalFormatting sqref="L52">
    <cfRule type="cellIs" dxfId="7" priority="10" operator="equal">
      <formula>TRUE</formula>
    </cfRule>
  </conditionalFormatting>
  <conditionalFormatting sqref="L59">
    <cfRule type="cellIs" dxfId="6" priority="9" operator="equal">
      <formula>TRUE</formula>
    </cfRule>
  </conditionalFormatting>
  <pageMargins left="0.75" right="0.75" top="1" bottom="1" header="0.5" footer="0.5"/>
  <pageSetup paperSize="9" orientation="portrait" horizontalDpi="4294967292" verticalDpi="4294967292"/>
  <drawing r:id="rId1"/>
  <legacyDrawing r:id="rId2"/>
  <mc:AlternateContent xmlns:mc="http://schemas.openxmlformats.org/markup-compatibility/2006">
    <mc:Choice Requires="x14">
      <controls>
        <mc:AlternateContent xmlns:mc="http://schemas.openxmlformats.org/markup-compatibility/2006">
          <mc:Choice Requires="x14">
            <control shapeId="11281" r:id="rId3" name="import_data">
              <controlPr defaultSize="0" print="0" autoFill="0" autoPict="0" macro="[1]!import_data_button">
                <anchor moveWithCells="1" sizeWithCells="1">
                  <from>
                    <xdr:col>10</xdr:col>
                    <xdr:colOff>76200</xdr:colOff>
                    <xdr:row>2</xdr:row>
                    <xdr:rowOff>38100</xdr:rowOff>
                  </from>
                  <to>
                    <xdr:col>12</xdr:col>
                    <xdr:colOff>1206500</xdr:colOff>
                    <xdr:row>3</xdr:row>
                    <xdr:rowOff>0</xdr:rowOff>
                  </to>
                </anchor>
              </controlPr>
            </control>
          </mc:Choice>
        </mc:AlternateContent>
        <mc:AlternateContent xmlns:mc="http://schemas.openxmlformats.org/markup-compatibility/2006">
          <mc:Choice Requires="x14">
            <control shapeId="11282" r:id="rId4" name="export_data">
              <controlPr defaultSize="0" print="0" autoFill="0" autoPict="0" macro="[1]!export_data_button">
                <anchor moveWithCells="1" sizeWithCells="1">
                  <from>
                    <xdr:col>10</xdr:col>
                    <xdr:colOff>114300</xdr:colOff>
                    <xdr:row>4</xdr:row>
                    <xdr:rowOff>228600</xdr:rowOff>
                  </from>
                  <to>
                    <xdr:col>12</xdr:col>
                    <xdr:colOff>1244600</xdr:colOff>
                    <xdr:row>4</xdr:row>
                    <xdr:rowOff>444500</xdr:rowOff>
                  </to>
                </anchor>
              </controlPr>
            </control>
          </mc:Choice>
        </mc:AlternateContent>
        <mc:AlternateContent xmlns:mc="http://schemas.openxmlformats.org/markup-compatibility/2006">
          <mc:Choice Requires="x14">
            <control shapeId="11283" r:id="rId5" name="select_dashboard">
              <controlPr defaultSize="0" print="0" autoFill="0" autoPict="0" macro="[1]!select_dashboard_values">
                <anchor moveWithCells="1" sizeWithCells="1">
                  <from>
                    <xdr:col>10</xdr:col>
                    <xdr:colOff>2247900</xdr:colOff>
                    <xdr:row>3</xdr:row>
                    <xdr:rowOff>88900</xdr:rowOff>
                  </from>
                  <to>
                    <xdr:col>12</xdr:col>
                    <xdr:colOff>1219200</xdr:colOff>
                    <xdr:row>4</xdr:row>
                    <xdr:rowOff>114300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6" tint="0.39997558519241921"/>
  </sheetPr>
  <dimension ref="B2:BO101"/>
  <sheetViews>
    <sheetView workbookViewId="0">
      <pane xSplit="2" ySplit="7" topLeftCell="C8" activePane="bottomRight" state="frozen"/>
      <selection pane="topRight" activeCell="C1" sqref="C1"/>
      <selection pane="bottomLeft" activeCell="A9" sqref="A9"/>
      <selection pane="bottomRight"/>
    </sheetView>
  </sheetViews>
  <sheetFormatPr baseColWidth="10" defaultRowHeight="16" x14ac:dyDescent="0.2"/>
  <cols>
    <col min="1" max="1" width="10.83203125" style="1"/>
    <col min="2" max="2" width="53.83203125" style="1" bestFit="1" customWidth="1"/>
    <col min="3" max="67" width="13.6640625" style="1" customWidth="1"/>
    <col min="68" max="16384" width="10.83203125" style="1"/>
  </cols>
  <sheetData>
    <row r="2" spans="2:67" ht="21" x14ac:dyDescent="0.25">
      <c r="B2" s="2" t="s">
        <v>439</v>
      </c>
    </row>
    <row r="3" spans="2:67" ht="15" customHeight="1" x14ac:dyDescent="0.25">
      <c r="B3" s="2"/>
    </row>
    <row r="4" spans="2:67" ht="15" customHeight="1" x14ac:dyDescent="0.2">
      <c r="B4" s="119" t="s">
        <v>93</v>
      </c>
    </row>
    <row r="5" spans="2:67" ht="60" customHeight="1" x14ac:dyDescent="0.2">
      <c r="B5" s="189" t="s">
        <v>326</v>
      </c>
      <c r="C5" s="188"/>
      <c r="D5" s="188"/>
      <c r="E5" s="188"/>
      <c r="F5" s="188"/>
      <c r="G5" s="188"/>
      <c r="H5" s="188"/>
    </row>
    <row r="6" spans="2:67" ht="15" customHeight="1" thickBot="1" x14ac:dyDescent="0.25"/>
    <row r="7" spans="2:67" ht="30" customHeight="1" x14ac:dyDescent="0.2">
      <c r="B7" s="73" t="s">
        <v>135</v>
      </c>
      <c r="C7" s="74" t="s">
        <v>39</v>
      </c>
      <c r="D7" s="74" t="s">
        <v>40</v>
      </c>
      <c r="E7" s="74" t="s">
        <v>41</v>
      </c>
      <c r="F7" s="74" t="s">
        <v>42</v>
      </c>
      <c r="G7" s="74" t="s">
        <v>43</v>
      </c>
      <c r="H7" s="74" t="s">
        <v>44</v>
      </c>
      <c r="I7" s="74" t="s">
        <v>55</v>
      </c>
      <c r="J7" s="74" t="s">
        <v>46</v>
      </c>
      <c r="K7" s="74" t="s">
        <v>47</v>
      </c>
      <c r="L7" s="74" t="s">
        <v>48</v>
      </c>
      <c r="M7" s="74" t="s">
        <v>49</v>
      </c>
      <c r="N7" s="74" t="s">
        <v>50</v>
      </c>
      <c r="O7" s="74" t="s">
        <v>51</v>
      </c>
      <c r="P7" s="74" t="s">
        <v>52</v>
      </c>
      <c r="Q7" s="74" t="s">
        <v>53</v>
      </c>
      <c r="R7" s="74" t="s">
        <v>54</v>
      </c>
      <c r="S7" s="74" t="s">
        <v>45</v>
      </c>
      <c r="T7" s="74" t="s">
        <v>136</v>
      </c>
      <c r="U7" s="74" t="s">
        <v>56</v>
      </c>
      <c r="V7" s="74" t="s">
        <v>57</v>
      </c>
      <c r="W7" s="74" t="s">
        <v>58</v>
      </c>
      <c r="X7" s="74" t="s">
        <v>59</v>
      </c>
      <c r="Y7" s="74" t="s">
        <v>60</v>
      </c>
      <c r="Z7" s="74" t="s">
        <v>61</v>
      </c>
      <c r="AA7" s="74" t="s">
        <v>62</v>
      </c>
      <c r="AB7" s="74" t="s">
        <v>63</v>
      </c>
      <c r="AC7" s="74" t="s">
        <v>64</v>
      </c>
      <c r="AD7" s="74" t="s">
        <v>65</v>
      </c>
      <c r="AE7" s="74" t="s">
        <v>66</v>
      </c>
      <c r="AF7" s="74" t="s">
        <v>67</v>
      </c>
      <c r="AG7" s="74" t="s">
        <v>68</v>
      </c>
      <c r="AH7" s="74" t="s">
        <v>69</v>
      </c>
      <c r="AI7" s="74" t="s">
        <v>70</v>
      </c>
      <c r="AJ7" s="74" t="s">
        <v>71</v>
      </c>
      <c r="AK7" s="74" t="s">
        <v>72</v>
      </c>
      <c r="AL7" s="74" t="s">
        <v>73</v>
      </c>
      <c r="AM7" s="74" t="s">
        <v>74</v>
      </c>
      <c r="AN7" s="74" t="s">
        <v>75</v>
      </c>
      <c r="AO7" s="74" t="s">
        <v>76</v>
      </c>
      <c r="AP7" s="74" t="s">
        <v>77</v>
      </c>
      <c r="AQ7" s="74" t="s">
        <v>78</v>
      </c>
      <c r="AR7" s="74" t="s">
        <v>80</v>
      </c>
      <c r="AS7" s="74" t="s">
        <v>79</v>
      </c>
      <c r="AT7" s="74" t="s">
        <v>81</v>
      </c>
      <c r="AU7" s="74" t="s">
        <v>86</v>
      </c>
      <c r="AV7" s="74" t="s">
        <v>82</v>
      </c>
      <c r="AW7" s="74" t="s">
        <v>83</v>
      </c>
      <c r="AX7" s="74" t="s">
        <v>84</v>
      </c>
      <c r="AY7" s="74" t="s">
        <v>85</v>
      </c>
      <c r="AZ7" s="74" t="s">
        <v>87</v>
      </c>
      <c r="BA7" s="74" t="s">
        <v>137</v>
      </c>
      <c r="BB7" s="74" t="s">
        <v>138</v>
      </c>
      <c r="BC7" s="74" t="s">
        <v>139</v>
      </c>
      <c r="BD7" s="74" t="s">
        <v>140</v>
      </c>
      <c r="BE7" s="74" t="s">
        <v>141</v>
      </c>
      <c r="BF7" s="74" t="s">
        <v>142</v>
      </c>
      <c r="BG7" s="74" t="s">
        <v>143</v>
      </c>
      <c r="BH7" s="74" t="s">
        <v>144</v>
      </c>
      <c r="BI7" s="74" t="s">
        <v>145</v>
      </c>
      <c r="BJ7" s="74" t="s">
        <v>146</v>
      </c>
      <c r="BK7" s="74" t="s">
        <v>31</v>
      </c>
      <c r="BL7" s="74" t="s">
        <v>147</v>
      </c>
      <c r="BM7" s="74" t="s">
        <v>148</v>
      </c>
      <c r="BN7" s="75" t="s">
        <v>133</v>
      </c>
      <c r="BO7" s="76" t="s">
        <v>149</v>
      </c>
    </row>
    <row r="8" spans="2:67" x14ac:dyDescent="0.2">
      <c r="B8" s="77" t="s">
        <v>150</v>
      </c>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8"/>
      <c r="BK8" s="78"/>
      <c r="BL8" s="78"/>
      <c r="BM8" s="78"/>
      <c r="BN8" s="59"/>
      <c r="BO8" s="79"/>
    </row>
    <row r="9" spans="2:67" x14ac:dyDescent="0.2">
      <c r="B9" s="80" t="s">
        <v>151</v>
      </c>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s="60"/>
      <c r="BO9" s="40"/>
    </row>
    <row r="10" spans="2:67" x14ac:dyDescent="0.2">
      <c r="B10" s="80" t="s">
        <v>152</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s="60"/>
      <c r="BO10" s="40"/>
    </row>
    <row r="11" spans="2:67" x14ac:dyDescent="0.2">
      <c r="B11" s="80" t="s">
        <v>153</v>
      </c>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s="60"/>
      <c r="BO11" s="40"/>
    </row>
    <row r="12" spans="2:67" x14ac:dyDescent="0.2">
      <c r="B12" s="80" t="s">
        <v>154</v>
      </c>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s="60"/>
      <c r="BO12" s="40"/>
    </row>
    <row r="13" spans="2:67" x14ac:dyDescent="0.2">
      <c r="B13" s="80" t="s">
        <v>155</v>
      </c>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s="60"/>
      <c r="BO13" s="40"/>
    </row>
    <row r="14" spans="2:67" ht="17" thickBot="1" x14ac:dyDescent="0.25">
      <c r="B14" s="80" t="s">
        <v>156</v>
      </c>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s="60"/>
      <c r="BO14" s="40"/>
    </row>
    <row r="15" spans="2:67" ht="17" thickBot="1" x14ac:dyDescent="0.25">
      <c r="B15" s="81" t="s">
        <v>157</v>
      </c>
      <c r="C15" s="82"/>
      <c r="D15" s="82"/>
      <c r="E15" s="82"/>
      <c r="F15" s="82"/>
      <c r="G15" s="82"/>
      <c r="H15" s="82"/>
      <c r="I15" s="82"/>
      <c r="J15" s="82"/>
      <c r="K15" s="82"/>
      <c r="L15" s="82"/>
      <c r="M15" s="82"/>
      <c r="N15" s="82"/>
      <c r="O15" s="82"/>
      <c r="P15" s="82"/>
      <c r="Q15" s="82"/>
      <c r="R15" s="82"/>
      <c r="S15" s="82"/>
      <c r="T15" s="82"/>
      <c r="U15" s="82"/>
      <c r="V15" s="82"/>
      <c r="W15" s="82"/>
      <c r="X15" s="193"/>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c r="BM15" s="82"/>
      <c r="BN15" s="83"/>
      <c r="BO15" s="84"/>
    </row>
    <row r="16" spans="2:67" x14ac:dyDescent="0.2">
      <c r="B16" s="80" t="s">
        <v>158</v>
      </c>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s="60"/>
      <c r="BO16" s="40"/>
    </row>
    <row r="17" spans="2:67" ht="17" thickBot="1" x14ac:dyDescent="0.25">
      <c r="B17" s="80" t="s">
        <v>159</v>
      </c>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s="60"/>
      <c r="BO17" s="40"/>
    </row>
    <row r="18" spans="2:67" ht="17" thickBot="1" x14ac:dyDescent="0.25">
      <c r="B18" s="81" t="s">
        <v>160</v>
      </c>
      <c r="C18" s="82"/>
      <c r="D18" s="82"/>
      <c r="E18" s="82"/>
      <c r="F18" s="82"/>
      <c r="G18" s="82"/>
      <c r="H18" s="82"/>
      <c r="I18" s="82"/>
      <c r="J18" s="82"/>
      <c r="K18" s="82"/>
      <c r="L18" s="82"/>
      <c r="M18" s="82"/>
      <c r="N18" s="82"/>
      <c r="O18" s="82"/>
      <c r="P18" s="82"/>
      <c r="Q18" s="8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3"/>
      <c r="BO18" s="84"/>
    </row>
    <row r="19" spans="2:67" x14ac:dyDescent="0.2">
      <c r="B19" s="80" t="s">
        <v>161</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s="60"/>
      <c r="BO19" s="40"/>
    </row>
    <row r="20" spans="2:67" x14ac:dyDescent="0.2">
      <c r="B20" s="80" t="s">
        <v>162</v>
      </c>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s="60"/>
      <c r="BO20" s="40"/>
    </row>
    <row r="21" spans="2:67" x14ac:dyDescent="0.2">
      <c r="B21" s="80" t="s">
        <v>163</v>
      </c>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s="60"/>
      <c r="BO21" s="40"/>
    </row>
    <row r="22" spans="2:67" x14ac:dyDescent="0.2">
      <c r="B22" s="80" t="s">
        <v>164</v>
      </c>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s="60"/>
      <c r="BO22" s="40"/>
    </row>
    <row r="23" spans="2:67" x14ac:dyDescent="0.2">
      <c r="B23" s="80" t="s">
        <v>165</v>
      </c>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s="60"/>
      <c r="BO23" s="40"/>
    </row>
    <row r="24" spans="2:67" x14ac:dyDescent="0.2">
      <c r="B24" s="85" t="s">
        <v>166</v>
      </c>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c r="BN24" s="86"/>
      <c r="BO24" s="44"/>
    </row>
    <row r="25" spans="2:67" x14ac:dyDescent="0.2">
      <c r="B25" s="80" t="s">
        <v>167</v>
      </c>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s="60"/>
      <c r="BO25" s="40"/>
    </row>
    <row r="26" spans="2:67" x14ac:dyDescent="0.2">
      <c r="B26" s="80" t="s">
        <v>168</v>
      </c>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s="60"/>
      <c r="BO26" s="40"/>
    </row>
    <row r="27" spans="2:67" x14ac:dyDescent="0.2">
      <c r="B27" s="80" t="s">
        <v>169</v>
      </c>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s="60"/>
      <c r="BO27" s="40"/>
    </row>
    <row r="28" spans="2:67" x14ac:dyDescent="0.2">
      <c r="B28" s="80" t="s">
        <v>349</v>
      </c>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s="60"/>
      <c r="BO28" s="40"/>
    </row>
    <row r="29" spans="2:67" x14ac:dyDescent="0.2">
      <c r="B29" s="80" t="s">
        <v>350</v>
      </c>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s="60"/>
      <c r="BO29" s="40"/>
    </row>
    <row r="30" spans="2:67" x14ac:dyDescent="0.2">
      <c r="B30" s="80" t="s">
        <v>351</v>
      </c>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s="60"/>
      <c r="BO30" s="40"/>
    </row>
    <row r="31" spans="2:67" x14ac:dyDescent="0.2">
      <c r="B31" s="80" t="s">
        <v>352</v>
      </c>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s="60"/>
      <c r="BO31" s="40"/>
    </row>
    <row r="32" spans="2:67" x14ac:dyDescent="0.2">
      <c r="B32" s="80" t="s">
        <v>353</v>
      </c>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s="60"/>
      <c r="BO32" s="40"/>
    </row>
    <row r="33" spans="2:67" x14ac:dyDescent="0.2">
      <c r="B33" s="80" t="s">
        <v>354</v>
      </c>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s="60"/>
      <c r="BO33" s="40"/>
    </row>
    <row r="34" spans="2:67" x14ac:dyDescent="0.2">
      <c r="B34" s="80" t="s">
        <v>170</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s="60"/>
      <c r="BO34" s="40"/>
    </row>
    <row r="35" spans="2:67" x14ac:dyDescent="0.2">
      <c r="B35" s="80" t="s">
        <v>355</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s="60"/>
      <c r="BO35" s="40"/>
    </row>
    <row r="36" spans="2:67" x14ac:dyDescent="0.2">
      <c r="B36" s="80" t="s">
        <v>356</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s="60"/>
      <c r="BO36" s="40"/>
    </row>
    <row r="37" spans="2:67" x14ac:dyDescent="0.2">
      <c r="B37" s="80" t="s">
        <v>171</v>
      </c>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s="60"/>
      <c r="BO37" s="40"/>
    </row>
    <row r="38" spans="2:67" x14ac:dyDescent="0.2">
      <c r="B38" s="80" t="s">
        <v>172</v>
      </c>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s="60"/>
      <c r="BO38" s="40"/>
    </row>
    <row r="39" spans="2:67" ht="17" thickBot="1" x14ac:dyDescent="0.25">
      <c r="B39" s="80" t="s">
        <v>173</v>
      </c>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s="60"/>
      <c r="BO39" s="40"/>
    </row>
    <row r="40" spans="2:67" ht="17" thickBot="1" x14ac:dyDescent="0.25">
      <c r="B40" s="81" t="s">
        <v>174</v>
      </c>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c r="BB40" s="82"/>
      <c r="BC40" s="82"/>
      <c r="BD40" s="82"/>
      <c r="BE40" s="82"/>
      <c r="BF40" s="82"/>
      <c r="BG40" s="82"/>
      <c r="BH40" s="82"/>
      <c r="BI40" s="82"/>
      <c r="BJ40" s="82"/>
      <c r="BK40" s="82"/>
      <c r="BL40" s="82"/>
      <c r="BM40" s="82"/>
      <c r="BN40" s="83"/>
      <c r="BO40" s="84"/>
    </row>
    <row r="41" spans="2:67" x14ac:dyDescent="0.2">
      <c r="B41" s="80" t="s">
        <v>175</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s="60"/>
      <c r="BO41" s="40"/>
    </row>
    <row r="42" spans="2:67" x14ac:dyDescent="0.2">
      <c r="B42" s="80" t="s">
        <v>176</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s="60"/>
      <c r="BO42" s="40"/>
    </row>
    <row r="43" spans="2:67" x14ac:dyDescent="0.2">
      <c r="B43" s="80" t="s">
        <v>357</v>
      </c>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s="60"/>
      <c r="BO43" s="40"/>
    </row>
    <row r="44" spans="2:67" x14ac:dyDescent="0.2">
      <c r="B44" s="80" t="s">
        <v>358</v>
      </c>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s="60"/>
      <c r="BO44" s="40"/>
    </row>
    <row r="45" spans="2:67" x14ac:dyDescent="0.2">
      <c r="B45" s="80" t="s">
        <v>177</v>
      </c>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s="60"/>
      <c r="BO45" s="40"/>
    </row>
    <row r="46" spans="2:67" x14ac:dyDescent="0.2">
      <c r="B46" s="80" t="s">
        <v>359</v>
      </c>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s="60"/>
      <c r="BO46" s="40"/>
    </row>
    <row r="47" spans="2:67" x14ac:dyDescent="0.2">
      <c r="B47" s="80" t="s">
        <v>360</v>
      </c>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s="60"/>
      <c r="BO47" s="40"/>
    </row>
    <row r="48" spans="2:67" x14ac:dyDescent="0.2">
      <c r="B48" s="80" t="s">
        <v>361</v>
      </c>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s="60"/>
      <c r="BO48" s="40"/>
    </row>
    <row r="49" spans="2:67" x14ac:dyDescent="0.2">
      <c r="B49" s="80" t="s">
        <v>362</v>
      </c>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s="60"/>
      <c r="BO49" s="40"/>
    </row>
    <row r="50" spans="2:67" x14ac:dyDescent="0.2">
      <c r="B50" s="80" t="s">
        <v>363</v>
      </c>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s="60"/>
      <c r="BO50" s="40"/>
    </row>
    <row r="51" spans="2:67" x14ac:dyDescent="0.2">
      <c r="B51" s="80" t="s">
        <v>178</v>
      </c>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s="60"/>
      <c r="BO51" s="40"/>
    </row>
    <row r="52" spans="2:67" x14ac:dyDescent="0.2">
      <c r="B52" s="80" t="s">
        <v>364</v>
      </c>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s="60"/>
      <c r="BO52" s="40"/>
    </row>
    <row r="53" spans="2:67" x14ac:dyDescent="0.2">
      <c r="B53" s="80" t="s">
        <v>179</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s="60"/>
      <c r="BO53" s="40"/>
    </row>
    <row r="54" spans="2:67" x14ac:dyDescent="0.2">
      <c r="B54" s="80" t="s">
        <v>180</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s="60"/>
      <c r="BO54" s="40"/>
    </row>
    <row r="55" spans="2:67" x14ac:dyDescent="0.2">
      <c r="B55" s="80" t="s">
        <v>181</v>
      </c>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s="60"/>
      <c r="BO55" s="40"/>
    </row>
    <row r="56" spans="2:67" x14ac:dyDescent="0.2">
      <c r="B56" s="80" t="s">
        <v>172</v>
      </c>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s="60"/>
      <c r="BO56" s="40"/>
    </row>
    <row r="57" spans="2:67" x14ac:dyDescent="0.2">
      <c r="B57" s="80" t="s">
        <v>182</v>
      </c>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s="60"/>
      <c r="BO57" s="40"/>
    </row>
    <row r="58" spans="2:67" ht="17" thickBot="1" x14ac:dyDescent="0.25">
      <c r="B58" s="80" t="s">
        <v>183</v>
      </c>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s="60"/>
      <c r="BO58" s="40"/>
    </row>
    <row r="59" spans="2:67" ht="17" thickBot="1" x14ac:dyDescent="0.25">
      <c r="B59" s="81" t="s">
        <v>184</v>
      </c>
      <c r="C59" s="82"/>
      <c r="D59" s="82"/>
      <c r="E59" s="82"/>
      <c r="F59" s="82"/>
      <c r="G59" s="82"/>
      <c r="H59" s="82"/>
      <c r="I59" s="82"/>
      <c r="J59" s="82"/>
      <c r="K59" s="82"/>
      <c r="L59" s="82"/>
      <c r="M59" s="82"/>
      <c r="N59" s="82"/>
      <c r="O59" s="82"/>
      <c r="P59" s="82"/>
      <c r="Q59" s="82"/>
      <c r="R59" s="82"/>
      <c r="S59" s="82"/>
      <c r="T59" s="82"/>
      <c r="U59" s="82"/>
      <c r="V59" s="82"/>
      <c r="W59" s="82"/>
      <c r="X59" s="82"/>
      <c r="Y59" s="82"/>
      <c r="Z59" s="82"/>
      <c r="AA59" s="82"/>
      <c r="AB59" s="82"/>
      <c r="AC59" s="82"/>
      <c r="AD59" s="82"/>
      <c r="AE59" s="82"/>
      <c r="AF59" s="82"/>
      <c r="AG59" s="82"/>
      <c r="AH59" s="82"/>
      <c r="AI59" s="82"/>
      <c r="AJ59" s="82"/>
      <c r="AK59" s="82"/>
      <c r="AL59" s="82"/>
      <c r="AM59" s="82"/>
      <c r="AN59" s="82"/>
      <c r="AO59" s="82"/>
      <c r="AP59" s="82"/>
      <c r="AQ59" s="82"/>
      <c r="AR59" s="82"/>
      <c r="AS59" s="82"/>
      <c r="AT59" s="82"/>
      <c r="AU59" s="82"/>
      <c r="AV59" s="82"/>
      <c r="AW59" s="82"/>
      <c r="AX59" s="82"/>
      <c r="AY59" s="82"/>
      <c r="AZ59" s="82"/>
      <c r="BA59" s="82"/>
      <c r="BB59" s="82"/>
      <c r="BC59" s="82"/>
      <c r="BD59" s="82"/>
      <c r="BE59" s="82"/>
      <c r="BF59" s="82"/>
      <c r="BG59" s="82"/>
      <c r="BH59" s="82"/>
      <c r="BI59" s="82"/>
      <c r="BJ59" s="82"/>
      <c r="BK59" s="82"/>
      <c r="BL59" s="82"/>
      <c r="BM59" s="82"/>
      <c r="BN59" s="83"/>
      <c r="BO59" s="84"/>
    </row>
    <row r="60" spans="2:67" ht="17" thickBot="1" x14ac:dyDescent="0.25">
      <c r="B60" s="81" t="s">
        <v>30</v>
      </c>
      <c r="C60" s="82"/>
      <c r="D60" s="82"/>
      <c r="E60" s="82"/>
      <c r="F60" s="82"/>
      <c r="G60" s="82"/>
      <c r="H60" s="82"/>
      <c r="I60" s="82"/>
      <c r="J60" s="82"/>
      <c r="K60" s="82"/>
      <c r="L60" s="82"/>
      <c r="M60" s="82"/>
      <c r="N60" s="82"/>
      <c r="O60" s="82"/>
      <c r="P60" s="82"/>
      <c r="Q60" s="82"/>
      <c r="R60" s="82"/>
      <c r="S60" s="82"/>
      <c r="T60" s="82"/>
      <c r="U60" s="82"/>
      <c r="V60" s="82"/>
      <c r="W60" s="82"/>
      <c r="X60" s="82"/>
      <c r="Y60" s="82"/>
      <c r="Z60" s="82"/>
      <c r="AA60" s="82"/>
      <c r="AB60" s="82"/>
      <c r="AC60" s="82"/>
      <c r="AD60" s="82"/>
      <c r="AE60" s="82"/>
      <c r="AF60" s="82"/>
      <c r="AG60" s="82"/>
      <c r="AH60" s="82"/>
      <c r="AI60" s="82"/>
      <c r="AJ60" s="82"/>
      <c r="AK60" s="82"/>
      <c r="AL60" s="82"/>
      <c r="AM60" s="82"/>
      <c r="AN60" s="82"/>
      <c r="AO60" s="82"/>
      <c r="AP60" s="82"/>
      <c r="AQ60" s="82"/>
      <c r="AR60" s="82"/>
      <c r="AS60" s="82"/>
      <c r="AT60" s="82"/>
      <c r="AU60" s="82"/>
      <c r="AV60" s="82"/>
      <c r="AW60" s="82"/>
      <c r="AX60" s="82"/>
      <c r="AY60" s="82"/>
      <c r="AZ60" s="82"/>
      <c r="BA60" s="82"/>
      <c r="BB60" s="82"/>
      <c r="BC60" s="82"/>
      <c r="BD60" s="82"/>
      <c r="BE60" s="82"/>
      <c r="BF60" s="82"/>
      <c r="BG60" s="82"/>
      <c r="BH60" s="82"/>
      <c r="BI60" s="82"/>
      <c r="BJ60" s="82"/>
      <c r="BK60" s="82"/>
      <c r="BL60" s="82"/>
      <c r="BM60" s="82"/>
      <c r="BN60" s="83"/>
      <c r="BO60" s="84"/>
    </row>
    <row r="61" spans="2:67" x14ac:dyDescent="0.2">
      <c r="B61" s="80" t="s">
        <v>185</v>
      </c>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s="60"/>
      <c r="BO61" s="40"/>
    </row>
    <row r="62" spans="2:67" x14ac:dyDescent="0.2">
      <c r="B62" s="80" t="s">
        <v>186</v>
      </c>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s="60"/>
      <c r="BO62" s="40"/>
    </row>
    <row r="63" spans="2:67" x14ac:dyDescent="0.2">
      <c r="B63" s="80" t="s">
        <v>187</v>
      </c>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s="60"/>
      <c r="BO63" s="40"/>
    </row>
    <row r="64" spans="2:67" x14ac:dyDescent="0.2">
      <c r="B64" s="80" t="s">
        <v>188</v>
      </c>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s="60"/>
      <c r="BO64" s="40"/>
    </row>
    <row r="65" spans="2:67" x14ac:dyDescent="0.2">
      <c r="B65" s="80" t="s">
        <v>189</v>
      </c>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s="60"/>
      <c r="BO65" s="40"/>
    </row>
    <row r="66" spans="2:67" x14ac:dyDescent="0.2">
      <c r="B66" s="80" t="s">
        <v>190</v>
      </c>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s="60"/>
      <c r="BO66" s="40"/>
    </row>
    <row r="67" spans="2:67" x14ac:dyDescent="0.2">
      <c r="B67" s="80" t="s">
        <v>191</v>
      </c>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s="60"/>
      <c r="BO67" s="40"/>
    </row>
    <row r="68" spans="2:67" x14ac:dyDescent="0.2">
      <c r="B68" s="80" t="s">
        <v>192</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s="60"/>
      <c r="BO68" s="40"/>
    </row>
    <row r="69" spans="2:67" x14ac:dyDescent="0.2">
      <c r="B69" s="80" t="s">
        <v>193</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s="60"/>
      <c r="BO69" s="40"/>
    </row>
    <row r="70" spans="2:67" x14ac:dyDescent="0.2">
      <c r="B70" s="80" t="s">
        <v>194</v>
      </c>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s="60"/>
      <c r="BO70" s="40"/>
    </row>
    <row r="71" spans="2:67" x14ac:dyDescent="0.2">
      <c r="B71" s="80" t="s">
        <v>195</v>
      </c>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s="60"/>
      <c r="BO71" s="40"/>
    </row>
    <row r="72" spans="2:67" x14ac:dyDescent="0.2">
      <c r="B72" s="80" t="s">
        <v>196</v>
      </c>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s="60"/>
      <c r="BO72" s="40"/>
    </row>
    <row r="73" spans="2:67" ht="17" thickBot="1" x14ac:dyDescent="0.25">
      <c r="B73" s="80" t="s">
        <v>197</v>
      </c>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s="60"/>
      <c r="BO73" s="40"/>
    </row>
    <row r="74" spans="2:67" ht="17" thickBot="1" x14ac:dyDescent="0.25">
      <c r="B74" s="81" t="s">
        <v>198</v>
      </c>
      <c r="C74" s="82"/>
      <c r="D74" s="82"/>
      <c r="E74" s="82"/>
      <c r="F74" s="82"/>
      <c r="G74" s="82"/>
      <c r="H74" s="82"/>
      <c r="I74" s="82"/>
      <c r="J74" s="82"/>
      <c r="K74" s="82"/>
      <c r="L74" s="82"/>
      <c r="M74" s="82"/>
      <c r="N74" s="82"/>
      <c r="O74" s="82"/>
      <c r="P74" s="82"/>
      <c r="Q74" s="82"/>
      <c r="R74" s="82"/>
      <c r="S74" s="82"/>
      <c r="T74" s="82"/>
      <c r="U74" s="82"/>
      <c r="V74" s="82"/>
      <c r="W74" s="82"/>
      <c r="X74" s="82"/>
      <c r="Y74" s="82"/>
      <c r="Z74" s="82"/>
      <c r="AA74" s="82"/>
      <c r="AB74" s="82"/>
      <c r="AC74" s="82"/>
      <c r="AD74" s="82"/>
      <c r="AE74" s="82"/>
      <c r="AF74" s="82"/>
      <c r="AG74" s="82"/>
      <c r="AH74" s="82"/>
      <c r="AI74" s="82"/>
      <c r="AJ74" s="82"/>
      <c r="AK74" s="82"/>
      <c r="AL74" s="82"/>
      <c r="AM74" s="82"/>
      <c r="AN74" s="82"/>
      <c r="AO74" s="82"/>
      <c r="AP74" s="82"/>
      <c r="AQ74" s="82"/>
      <c r="AR74" s="82"/>
      <c r="AS74" s="82"/>
      <c r="AT74" s="82"/>
      <c r="AU74" s="82"/>
      <c r="AV74" s="82"/>
      <c r="AW74" s="82"/>
      <c r="AX74" s="82"/>
      <c r="AY74" s="82"/>
      <c r="AZ74" s="82"/>
      <c r="BA74" s="82"/>
      <c r="BB74" s="82"/>
      <c r="BC74" s="82"/>
      <c r="BD74" s="82"/>
      <c r="BE74" s="82"/>
      <c r="BF74" s="82"/>
      <c r="BG74" s="82"/>
      <c r="BH74" s="82"/>
      <c r="BI74" s="82"/>
      <c r="BJ74" s="82"/>
      <c r="BK74" s="82"/>
      <c r="BL74" s="82"/>
      <c r="BM74" s="82"/>
      <c r="BN74" s="83"/>
      <c r="BO74" s="84"/>
    </row>
    <row r="75" spans="2:67" x14ac:dyDescent="0.2">
      <c r="B75" s="80" t="s">
        <v>199</v>
      </c>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s="60"/>
      <c r="BO75" s="40"/>
    </row>
    <row r="76" spans="2:67" x14ac:dyDescent="0.2">
      <c r="B76" s="80" t="s">
        <v>200</v>
      </c>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s="60"/>
      <c r="BO76" s="40"/>
    </row>
    <row r="77" spans="2:67" x14ac:dyDescent="0.2">
      <c r="B77" s="80" t="s">
        <v>201</v>
      </c>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s="60"/>
      <c r="BO77" s="40"/>
    </row>
    <row r="78" spans="2:67" x14ac:dyDescent="0.2">
      <c r="B78" s="80" t="s">
        <v>202</v>
      </c>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s="60"/>
      <c r="BO78" s="40"/>
    </row>
    <row r="79" spans="2:67" x14ac:dyDescent="0.2">
      <c r="B79" s="80" t="s">
        <v>203</v>
      </c>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s="60"/>
      <c r="BO79" s="40"/>
    </row>
    <row r="80" spans="2:67" ht="17" thickBot="1" x14ac:dyDescent="0.25">
      <c r="B80" s="80" t="s">
        <v>204</v>
      </c>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s="60"/>
      <c r="BO80" s="40"/>
    </row>
    <row r="81" spans="2:67" ht="17" thickBot="1" x14ac:dyDescent="0.25">
      <c r="B81" s="81" t="s">
        <v>92</v>
      </c>
      <c r="C81" s="82"/>
      <c r="D81" s="82"/>
      <c r="E81" s="82"/>
      <c r="F81" s="82"/>
      <c r="G81" s="82"/>
      <c r="H81" s="82"/>
      <c r="I81" s="82"/>
      <c r="J81" s="82"/>
      <c r="K81" s="82"/>
      <c r="L81" s="82"/>
      <c r="M81" s="82"/>
      <c r="N81" s="82"/>
      <c r="O81" s="82"/>
      <c r="P81" s="82"/>
      <c r="Q81" s="82"/>
      <c r="R81" s="82"/>
      <c r="S81" s="82"/>
      <c r="T81" s="82"/>
      <c r="U81" s="82"/>
      <c r="V81" s="82"/>
      <c r="W81" s="82"/>
      <c r="X81" s="82"/>
      <c r="Y81" s="82"/>
      <c r="Z81" s="82"/>
      <c r="AA81" s="82"/>
      <c r="AB81" s="82"/>
      <c r="AC81" s="82"/>
      <c r="AD81" s="82"/>
      <c r="AE81" s="82"/>
      <c r="AF81" s="82"/>
      <c r="AG81" s="82"/>
      <c r="AH81" s="82"/>
      <c r="AI81" s="82"/>
      <c r="AJ81" s="82"/>
      <c r="AK81" s="82"/>
      <c r="AL81" s="82"/>
      <c r="AM81" s="82"/>
      <c r="AN81" s="82"/>
      <c r="AO81" s="82"/>
      <c r="AP81" s="82"/>
      <c r="AQ81" s="82"/>
      <c r="AR81" s="82"/>
      <c r="AS81" s="82"/>
      <c r="AT81" s="82"/>
      <c r="AU81" s="82"/>
      <c r="AV81" s="82"/>
      <c r="AW81" s="82"/>
      <c r="AX81" s="82"/>
      <c r="AY81" s="82"/>
      <c r="AZ81" s="82"/>
      <c r="BA81" s="82"/>
      <c r="BB81" s="82"/>
      <c r="BC81" s="82"/>
      <c r="BD81" s="82"/>
      <c r="BE81" s="82"/>
      <c r="BF81" s="82"/>
      <c r="BG81" s="82"/>
      <c r="BH81" s="82"/>
      <c r="BI81" s="82"/>
      <c r="BJ81" s="82"/>
      <c r="BK81" s="82"/>
      <c r="BL81" s="82"/>
      <c r="BM81" s="82"/>
      <c r="BN81" s="83"/>
      <c r="BO81" s="84"/>
    </row>
    <row r="82" spans="2:67" x14ac:dyDescent="0.2">
      <c r="B82" s="80" t="s">
        <v>205</v>
      </c>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s="60"/>
      <c r="BO82" s="40"/>
    </row>
    <row r="83" spans="2:67" x14ac:dyDescent="0.2">
      <c r="B83" s="80" t="s">
        <v>206</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row>
    <row r="84" spans="2:67" x14ac:dyDescent="0.2">
      <c r="B84" s="80" t="s">
        <v>207</v>
      </c>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s="60"/>
      <c r="BO84" s="40"/>
    </row>
    <row r="85" spans="2:67" x14ac:dyDescent="0.2">
      <c r="B85" s="80" t="s">
        <v>208</v>
      </c>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s="60"/>
      <c r="BO85" s="40"/>
    </row>
    <row r="86" spans="2:67" ht="17" thickBot="1" x14ac:dyDescent="0.25">
      <c r="B86" s="80" t="s">
        <v>209</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s="60"/>
      <c r="BO86" s="40"/>
    </row>
    <row r="87" spans="2:67" ht="17" thickBot="1" x14ac:dyDescent="0.25">
      <c r="B87" s="81" t="s">
        <v>210</v>
      </c>
      <c r="C87" s="82"/>
      <c r="D87" s="82"/>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c r="AK87" s="82"/>
      <c r="AL87" s="82"/>
      <c r="AM87" s="82"/>
      <c r="AN87" s="82"/>
      <c r="AO87" s="82"/>
      <c r="AP87" s="82"/>
      <c r="AQ87" s="82"/>
      <c r="AR87" s="82"/>
      <c r="AS87" s="82"/>
      <c r="AT87" s="82"/>
      <c r="AU87" s="82"/>
      <c r="AV87" s="82"/>
      <c r="AW87" s="82"/>
      <c r="AX87" s="82"/>
      <c r="AY87" s="82"/>
      <c r="AZ87" s="82"/>
      <c r="BA87" s="82"/>
      <c r="BB87" s="82"/>
      <c r="BC87" s="82"/>
      <c r="BD87" s="82"/>
      <c r="BE87" s="82"/>
      <c r="BF87" s="82"/>
      <c r="BG87" s="82"/>
      <c r="BH87" s="82"/>
      <c r="BI87" s="82"/>
      <c r="BJ87" s="82"/>
      <c r="BK87" s="82"/>
      <c r="BL87" s="82"/>
      <c r="BM87" s="82"/>
      <c r="BN87" s="83"/>
      <c r="BO87" s="84"/>
    </row>
    <row r="88" spans="2:67" x14ac:dyDescent="0.2">
      <c r="B88" s="80" t="s">
        <v>211</v>
      </c>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s="60"/>
      <c r="BO88" s="40"/>
    </row>
    <row r="89" spans="2:67" x14ac:dyDescent="0.2">
      <c r="B89" s="80" t="s">
        <v>212</v>
      </c>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s="60"/>
      <c r="BO89" s="40"/>
    </row>
    <row r="90" spans="2:67" x14ac:dyDescent="0.2">
      <c r="B90" s="80" t="s">
        <v>213</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s="60"/>
      <c r="BO90" s="40"/>
    </row>
    <row r="91" spans="2:67" ht="17" thickBot="1" x14ac:dyDescent="0.25">
      <c r="B91" s="80" t="s">
        <v>214</v>
      </c>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s="60"/>
      <c r="BO91" s="40"/>
    </row>
    <row r="92" spans="2:67" ht="17" thickBot="1" x14ac:dyDescent="0.25">
      <c r="B92" s="81" t="s">
        <v>215</v>
      </c>
      <c r="C92" s="82"/>
      <c r="D92" s="82"/>
      <c r="E92" s="82"/>
      <c r="F92" s="82"/>
      <c r="G92" s="82"/>
      <c r="H92" s="82"/>
      <c r="I92" s="82"/>
      <c r="J92" s="82"/>
      <c r="K92" s="82"/>
      <c r="L92" s="82"/>
      <c r="M92" s="82"/>
      <c r="N92" s="82"/>
      <c r="O92" s="82"/>
      <c r="P92" s="82"/>
      <c r="Q92" s="82"/>
      <c r="R92" s="82"/>
      <c r="S92" s="82"/>
      <c r="T92" s="82"/>
      <c r="U92" s="82"/>
      <c r="V92" s="82"/>
      <c r="W92" s="82"/>
      <c r="X92" s="82"/>
      <c r="Y92" s="82"/>
      <c r="Z92" s="82"/>
      <c r="AA92" s="82"/>
      <c r="AB92" s="82"/>
      <c r="AC92" s="82"/>
      <c r="AD92" s="82"/>
      <c r="AE92" s="82"/>
      <c r="AF92" s="82"/>
      <c r="AG92" s="82"/>
      <c r="AH92" s="82"/>
      <c r="AI92" s="82"/>
      <c r="AJ92" s="82"/>
      <c r="AK92" s="82"/>
      <c r="AL92" s="82"/>
      <c r="AM92" s="82"/>
      <c r="AN92" s="82"/>
      <c r="AO92" s="82"/>
      <c r="AP92" s="82"/>
      <c r="AQ92" s="82"/>
      <c r="AR92" s="82"/>
      <c r="AS92" s="82"/>
      <c r="AT92" s="82"/>
      <c r="AU92" s="82"/>
      <c r="AV92" s="82"/>
      <c r="AW92" s="82"/>
      <c r="AX92" s="82"/>
      <c r="AY92" s="82"/>
      <c r="AZ92" s="82"/>
      <c r="BA92" s="82"/>
      <c r="BB92" s="82"/>
      <c r="BC92" s="82"/>
      <c r="BD92" s="82"/>
      <c r="BE92" s="82"/>
      <c r="BF92" s="82"/>
      <c r="BG92" s="82"/>
      <c r="BH92" s="82"/>
      <c r="BI92" s="82"/>
      <c r="BJ92" s="82"/>
      <c r="BK92" s="82"/>
      <c r="BL92" s="82"/>
      <c r="BM92" s="82"/>
      <c r="BN92" s="83"/>
      <c r="BO92" s="84"/>
    </row>
    <row r="93" spans="2:67" x14ac:dyDescent="0.2">
      <c r="B93" s="80" t="s">
        <v>216</v>
      </c>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s="60"/>
      <c r="BO93" s="40"/>
    </row>
    <row r="94" spans="2:67" x14ac:dyDescent="0.2">
      <c r="B94" s="80" t="s">
        <v>217</v>
      </c>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s="60"/>
      <c r="BO94" s="40"/>
    </row>
    <row r="95" spans="2:67" x14ac:dyDescent="0.2">
      <c r="B95" s="80" t="s">
        <v>218</v>
      </c>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s="60"/>
      <c r="BO95" s="40"/>
    </row>
    <row r="96" spans="2:67" ht="17" thickBot="1" x14ac:dyDescent="0.25">
      <c r="B96" s="80" t="s">
        <v>219</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s="60"/>
      <c r="BO96" s="40"/>
    </row>
    <row r="97" spans="2:67" ht="17" thickBot="1" x14ac:dyDescent="0.25">
      <c r="B97" s="81" t="s">
        <v>220</v>
      </c>
      <c r="C97" s="82"/>
      <c r="D97" s="82"/>
      <c r="E97" s="82"/>
      <c r="F97" s="82"/>
      <c r="G97" s="82"/>
      <c r="H97" s="82"/>
      <c r="I97" s="82"/>
      <c r="J97" s="82"/>
      <c r="K97" s="82"/>
      <c r="L97" s="82"/>
      <c r="M97" s="82"/>
      <c r="N97" s="82"/>
      <c r="O97" s="82"/>
      <c r="P97" s="82"/>
      <c r="Q97" s="82"/>
      <c r="R97" s="82"/>
      <c r="S97" s="82"/>
      <c r="T97" s="82"/>
      <c r="U97" s="82"/>
      <c r="V97" s="82"/>
      <c r="W97" s="82"/>
      <c r="X97" s="82"/>
      <c r="Y97" s="82"/>
      <c r="Z97" s="82"/>
      <c r="AA97" s="82"/>
      <c r="AB97" s="82"/>
      <c r="AC97" s="82"/>
      <c r="AD97" s="82"/>
      <c r="AE97" s="82"/>
      <c r="AF97" s="82"/>
      <c r="AG97" s="82"/>
      <c r="AH97" s="82"/>
      <c r="AI97" s="82"/>
      <c r="AJ97" s="82"/>
      <c r="AK97" s="82"/>
      <c r="AL97" s="82"/>
      <c r="AM97" s="82"/>
      <c r="AN97" s="82"/>
      <c r="AO97" s="82"/>
      <c r="AP97" s="82"/>
      <c r="AQ97" s="82"/>
      <c r="AR97" s="82"/>
      <c r="AS97" s="82"/>
      <c r="AT97" s="82"/>
      <c r="AU97" s="82"/>
      <c r="AV97" s="82"/>
      <c r="AW97" s="82"/>
      <c r="AX97" s="82"/>
      <c r="AY97" s="82"/>
      <c r="AZ97" s="82"/>
      <c r="BA97" s="82"/>
      <c r="BB97" s="82"/>
      <c r="BC97" s="82"/>
      <c r="BD97" s="82"/>
      <c r="BE97" s="82"/>
      <c r="BF97" s="82"/>
      <c r="BG97" s="82"/>
      <c r="BH97" s="82"/>
      <c r="BI97" s="82"/>
      <c r="BJ97" s="82"/>
      <c r="BK97" s="82"/>
      <c r="BL97" s="82"/>
      <c r="BM97" s="82"/>
      <c r="BN97" s="83"/>
      <c r="BO97" s="84"/>
    </row>
    <row r="98" spans="2:67" x14ac:dyDescent="0.2">
      <c r="B98" s="80" t="s">
        <v>221</v>
      </c>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s="60"/>
      <c r="BO98" s="40"/>
    </row>
    <row r="99" spans="2:67" x14ac:dyDescent="0.2">
      <c r="B99" s="80" t="s">
        <v>222</v>
      </c>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s="60"/>
      <c r="BO99" s="40"/>
    </row>
    <row r="100" spans="2:67" x14ac:dyDescent="0.2">
      <c r="B100" s="80" t="s">
        <v>223</v>
      </c>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s="60"/>
      <c r="BO100" s="40"/>
    </row>
    <row r="101" spans="2:67" ht="17" thickBot="1" x14ac:dyDescent="0.25">
      <c r="B101" s="87" t="s">
        <v>224</v>
      </c>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c r="BB101" s="46"/>
      <c r="BC101" s="46"/>
      <c r="BD101" s="46"/>
      <c r="BE101" s="46"/>
      <c r="BF101" s="46"/>
      <c r="BG101" s="46"/>
      <c r="BH101" s="46"/>
      <c r="BI101" s="46"/>
      <c r="BJ101" s="46"/>
      <c r="BK101" s="46"/>
      <c r="BL101" s="46"/>
      <c r="BM101" s="46"/>
      <c r="BN101" s="88"/>
      <c r="BO101" s="49"/>
    </row>
  </sheetData>
  <pageMargins left="0.75" right="0.75" top="1" bottom="1" header="0.5" footer="0.5"/>
  <legacy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6" tint="0.39997558519241921"/>
  </sheetPr>
  <dimension ref="B2:M38"/>
  <sheetViews>
    <sheetView workbookViewId="0">
      <selection activeCell="H40" sqref="H40"/>
    </sheetView>
  </sheetViews>
  <sheetFormatPr baseColWidth="10" defaultRowHeight="16" x14ac:dyDescent="0.2"/>
  <cols>
    <col min="1" max="1" width="10.83203125" style="1"/>
    <col min="2" max="2" width="21.6640625" style="1" customWidth="1"/>
    <col min="3" max="3" width="34" style="1" bestFit="1" customWidth="1"/>
    <col min="4" max="4" width="34" style="1" hidden="1" customWidth="1"/>
    <col min="5" max="5" width="72.5" style="1" bestFit="1" customWidth="1"/>
    <col min="6" max="6" width="18.33203125" style="1" bestFit="1" customWidth="1"/>
    <col min="7" max="9" width="16.83203125" style="1" bestFit="1" customWidth="1"/>
    <col min="10" max="10" width="17.1640625" style="1" customWidth="1"/>
    <col min="11" max="11" width="17.1640625" style="1" bestFit="1" customWidth="1"/>
    <col min="12" max="12" width="16.6640625" style="143" bestFit="1" customWidth="1"/>
    <col min="13" max="13" width="20.83203125" style="1" bestFit="1" customWidth="1"/>
    <col min="14" max="16384" width="10.83203125" style="1"/>
  </cols>
  <sheetData>
    <row r="2" spans="2:13" ht="21" x14ac:dyDescent="0.25">
      <c r="B2" s="2" t="s">
        <v>234</v>
      </c>
    </row>
    <row r="4" spans="2:13" x14ac:dyDescent="0.2">
      <c r="B4" s="3" t="s">
        <v>93</v>
      </c>
      <c r="C4" s="4"/>
      <c r="D4" s="4"/>
      <c r="E4" s="5"/>
      <c r="F4" s="17"/>
    </row>
    <row r="5" spans="2:13" x14ac:dyDescent="0.2">
      <c r="B5" s="375" t="s">
        <v>535</v>
      </c>
      <c r="C5" s="376"/>
      <c r="D5" s="376"/>
      <c r="E5" s="377"/>
      <c r="F5" s="314"/>
      <c r="G5" s="213"/>
      <c r="H5" s="213"/>
      <c r="I5" s="213"/>
      <c r="J5" s="213"/>
      <c r="K5" s="213"/>
    </row>
    <row r="6" spans="2:13" ht="17" thickBot="1" x14ac:dyDescent="0.25"/>
    <row r="7" spans="2:13" x14ac:dyDescent="0.2">
      <c r="B7" s="303" t="s">
        <v>532</v>
      </c>
      <c r="C7" s="304"/>
      <c r="D7" s="304"/>
      <c r="E7" s="305" t="s">
        <v>533</v>
      </c>
      <c r="F7" s="301" t="s">
        <v>534</v>
      </c>
      <c r="G7" s="300"/>
      <c r="H7" s="301"/>
      <c r="I7" s="306"/>
      <c r="J7" s="307"/>
      <c r="K7" s="51"/>
      <c r="L7" s="27"/>
      <c r="M7" s="243" t="s">
        <v>440</v>
      </c>
    </row>
    <row r="8" spans="2:13" ht="34" x14ac:dyDescent="0.2">
      <c r="B8" s="308" t="s">
        <v>336</v>
      </c>
      <c r="C8" s="280" t="s">
        <v>225</v>
      </c>
      <c r="E8" s="318" t="s">
        <v>403</v>
      </c>
      <c r="F8" s="1" t="s">
        <v>512</v>
      </c>
      <c r="G8" s="1" t="s">
        <v>513</v>
      </c>
      <c r="H8" s="1" t="s">
        <v>513</v>
      </c>
      <c r="I8" s="309" t="s">
        <v>531</v>
      </c>
      <c r="J8" s="311" t="s">
        <v>228</v>
      </c>
      <c r="K8" s="312" t="s">
        <v>227</v>
      </c>
      <c r="L8" s="313" t="s">
        <v>283</v>
      </c>
    </row>
    <row r="9" spans="2:13" ht="15" customHeight="1" x14ac:dyDescent="0.2">
      <c r="B9" s="41"/>
      <c r="C9" s="9"/>
      <c r="D9" s="70"/>
      <c r="E9" s="310"/>
      <c r="F9" s="302" t="s">
        <v>514</v>
      </c>
      <c r="G9" s="302" t="s">
        <v>515</v>
      </c>
      <c r="H9" s="302" t="s">
        <v>530</v>
      </c>
      <c r="I9" s="10" t="s">
        <v>516</v>
      </c>
      <c r="J9" s="18"/>
      <c r="K9" s="9"/>
      <c r="L9" s="277"/>
    </row>
    <row r="10" spans="2:13" x14ac:dyDescent="0.2">
      <c r="B10" s="66"/>
      <c r="C10" s="68"/>
      <c r="D10" s="68"/>
      <c r="E10" s="315"/>
      <c r="F10" s="68"/>
      <c r="G10" s="68"/>
      <c r="H10" s="68"/>
      <c r="I10" s="68"/>
      <c r="J10" s="319"/>
      <c r="K10" s="135"/>
      <c r="L10" s="320"/>
    </row>
    <row r="11" spans="2:13" x14ac:dyDescent="0.2">
      <c r="B11" s="48" t="s">
        <v>90</v>
      </c>
      <c r="C11" t="s">
        <v>121</v>
      </c>
      <c r="D11"/>
      <c r="E11" s="316" t="s">
        <v>517</v>
      </c>
      <c r="F11" s="326"/>
      <c r="G11" s="326" t="s">
        <v>539</v>
      </c>
      <c r="H11" s="326" t="s">
        <v>539</v>
      </c>
      <c r="I11" s="326" t="s">
        <v>539</v>
      </c>
      <c r="J11" s="335">
        <f>F11</f>
        <v>0</v>
      </c>
      <c r="K11" s="321"/>
      <c r="L11" s="330">
        <f>J11</f>
        <v>0</v>
      </c>
      <c r="M11" s="243" t="s">
        <v>445</v>
      </c>
    </row>
    <row r="12" spans="2:13" x14ac:dyDescent="0.2">
      <c r="B12" s="69"/>
      <c r="C12" t="s">
        <v>123</v>
      </c>
      <c r="D12"/>
      <c r="E12" s="316" t="s">
        <v>518</v>
      </c>
      <c r="F12" s="326"/>
      <c r="G12" s="326"/>
      <c r="H12" s="326" t="s">
        <v>539</v>
      </c>
      <c r="I12" s="326" t="s">
        <v>539</v>
      </c>
      <c r="J12" s="335"/>
      <c r="K12" s="321" t="e">
        <f>1/G12</f>
        <v>#DIV/0!</v>
      </c>
      <c r="L12" s="330" t="e">
        <f>K12</f>
        <v>#DIV/0!</v>
      </c>
      <c r="M12" s="243" t="s">
        <v>448</v>
      </c>
    </row>
    <row r="13" spans="2:13" x14ac:dyDescent="0.2">
      <c r="B13" s="69"/>
      <c r="C13" t="s">
        <v>122</v>
      </c>
      <c r="D13"/>
      <c r="E13" s="316" t="s">
        <v>519</v>
      </c>
      <c r="F13" s="326"/>
      <c r="G13" s="326" t="s">
        <v>539</v>
      </c>
      <c r="H13" s="326"/>
      <c r="I13" s="326" t="s">
        <v>539</v>
      </c>
      <c r="J13" s="335"/>
      <c r="K13" s="321" t="e">
        <f>1/H13</f>
        <v>#DIV/0!</v>
      </c>
      <c r="L13" s="330" t="e">
        <f>K13</f>
        <v>#DIV/0!</v>
      </c>
      <c r="M13" s="243" t="s">
        <v>462</v>
      </c>
    </row>
    <row r="14" spans="2:13" x14ac:dyDescent="0.2">
      <c r="B14" s="69"/>
      <c r="C14" t="s">
        <v>124</v>
      </c>
      <c r="D14"/>
      <c r="E14" s="316" t="s">
        <v>520</v>
      </c>
      <c r="F14" s="326"/>
      <c r="G14" s="326" t="s">
        <v>539</v>
      </c>
      <c r="H14" s="326" t="s">
        <v>539</v>
      </c>
      <c r="I14" s="326" t="s">
        <v>539</v>
      </c>
      <c r="J14" s="335">
        <f>F14</f>
        <v>0</v>
      </c>
      <c r="K14" s="321"/>
      <c r="L14" s="330">
        <f t="shared" ref="L14" si="0">J14</f>
        <v>0</v>
      </c>
      <c r="M14" s="243" t="s">
        <v>444</v>
      </c>
    </row>
    <row r="15" spans="2:13" x14ac:dyDescent="0.2">
      <c r="B15" s="69"/>
      <c r="C15" t="s">
        <v>126</v>
      </c>
      <c r="D15"/>
      <c r="E15" s="316" t="s">
        <v>521</v>
      </c>
      <c r="F15" s="326"/>
      <c r="G15" s="326" t="s">
        <v>539</v>
      </c>
      <c r="H15" s="326" t="s">
        <v>539</v>
      </c>
      <c r="I15" s="326" t="s">
        <v>539</v>
      </c>
      <c r="J15" s="335">
        <f>F15</f>
        <v>0</v>
      </c>
      <c r="K15" s="321"/>
      <c r="L15" s="330">
        <f>J15</f>
        <v>0</v>
      </c>
      <c r="M15" s="243" t="s">
        <v>447</v>
      </c>
    </row>
    <row r="16" spans="2:13" x14ac:dyDescent="0.2">
      <c r="B16" s="69"/>
      <c r="C16" t="s">
        <v>127</v>
      </c>
      <c r="D16"/>
      <c r="E16" s="316" t="s">
        <v>522</v>
      </c>
      <c r="F16" s="326"/>
      <c r="G16" s="326" t="s">
        <v>539</v>
      </c>
      <c r="H16" s="326" t="s">
        <v>539</v>
      </c>
      <c r="I16" s="326" t="s">
        <v>539</v>
      </c>
      <c r="J16" s="335">
        <f>F16</f>
        <v>0</v>
      </c>
      <c r="K16" s="321"/>
      <c r="L16" s="330">
        <f>J16</f>
        <v>0</v>
      </c>
      <c r="M16" s="243" t="s">
        <v>446</v>
      </c>
    </row>
    <row r="17" spans="2:13" x14ac:dyDescent="0.2">
      <c r="B17" s="69"/>
      <c r="C17" t="s">
        <v>598</v>
      </c>
      <c r="D17"/>
      <c r="E17" s="316" t="s">
        <v>601</v>
      </c>
      <c r="F17" s="326"/>
      <c r="G17" s="326"/>
      <c r="H17" s="326" t="s">
        <v>539</v>
      </c>
      <c r="I17" s="326" t="s">
        <v>539</v>
      </c>
      <c r="J17" s="335"/>
      <c r="K17" s="321" t="e">
        <f>1/G17</f>
        <v>#DIV/0!</v>
      </c>
      <c r="L17" s="330" t="e">
        <f>K17</f>
        <v>#DIV/0!</v>
      </c>
      <c r="M17" s="243" t="s">
        <v>603</v>
      </c>
    </row>
    <row r="18" spans="2:13" x14ac:dyDescent="0.2">
      <c r="B18" s="69"/>
      <c r="E18" s="17"/>
      <c r="F18" s="327"/>
      <c r="G18" s="327"/>
      <c r="H18" s="327"/>
      <c r="I18" s="327"/>
      <c r="J18" s="335"/>
      <c r="K18" s="321"/>
      <c r="L18" s="321"/>
      <c r="M18" s="28"/>
    </row>
    <row r="19" spans="2:13" x14ac:dyDescent="0.2">
      <c r="B19" s="69"/>
      <c r="C19" t="s">
        <v>125</v>
      </c>
      <c r="D19"/>
      <c r="E19" s="316" t="s">
        <v>606</v>
      </c>
      <c r="F19" s="326"/>
      <c r="G19" s="326" t="s">
        <v>539</v>
      </c>
      <c r="H19" s="326" t="s">
        <v>539</v>
      </c>
      <c r="I19" s="326" t="s">
        <v>539</v>
      </c>
      <c r="J19" s="335">
        <f>F19</f>
        <v>0</v>
      </c>
      <c r="K19" s="321"/>
      <c r="L19" s="330">
        <f>J19</f>
        <v>0</v>
      </c>
      <c r="M19" s="243" t="s">
        <v>441</v>
      </c>
    </row>
    <row r="20" spans="2:13" x14ac:dyDescent="0.2">
      <c r="B20" s="69"/>
      <c r="C20" t="s">
        <v>128</v>
      </c>
      <c r="D20"/>
      <c r="E20" s="316" t="s">
        <v>523</v>
      </c>
      <c r="F20" s="326"/>
      <c r="G20" s="326" t="s">
        <v>539</v>
      </c>
      <c r="H20" s="326" t="s">
        <v>539</v>
      </c>
      <c r="I20" s="326" t="s">
        <v>539</v>
      </c>
      <c r="J20" s="335">
        <f>F20</f>
        <v>0</v>
      </c>
      <c r="K20" s="321"/>
      <c r="L20" s="330">
        <f>J20</f>
        <v>0</v>
      </c>
      <c r="M20" s="243" t="s">
        <v>443</v>
      </c>
    </row>
    <row r="21" spans="2:13" x14ac:dyDescent="0.2">
      <c r="B21" s="69"/>
      <c r="C21" t="s">
        <v>129</v>
      </c>
      <c r="D21"/>
      <c r="E21" s="316" t="s">
        <v>608</v>
      </c>
      <c r="F21" s="326"/>
      <c r="G21" s="326" t="s">
        <v>539</v>
      </c>
      <c r="H21" s="326" t="s">
        <v>539</v>
      </c>
      <c r="I21" s="326" t="s">
        <v>539</v>
      </c>
      <c r="J21" s="335">
        <f>F21</f>
        <v>0</v>
      </c>
      <c r="K21" s="321"/>
      <c r="L21" s="330">
        <f>J21</f>
        <v>0</v>
      </c>
      <c r="M21" s="243" t="s">
        <v>442</v>
      </c>
    </row>
    <row r="22" spans="2:13" x14ac:dyDescent="0.2">
      <c r="B22" s="28"/>
      <c r="E22" s="17"/>
      <c r="F22" s="327"/>
      <c r="G22" s="327"/>
      <c r="H22" s="327"/>
      <c r="I22" s="327"/>
      <c r="J22" s="335"/>
      <c r="K22" s="321"/>
      <c r="L22" s="330"/>
    </row>
    <row r="23" spans="2:13" x14ac:dyDescent="0.2">
      <c r="B23" s="47" t="s">
        <v>103</v>
      </c>
      <c r="C23" s="4"/>
      <c r="D23" s="4"/>
      <c r="E23" s="285"/>
      <c r="F23" s="328"/>
      <c r="G23" s="328"/>
      <c r="H23" s="328"/>
      <c r="I23" s="328"/>
      <c r="J23" s="336"/>
      <c r="K23" s="331"/>
      <c r="L23" s="332"/>
      <c r="M23" s="243"/>
    </row>
    <row r="24" spans="2:13" x14ac:dyDescent="0.2">
      <c r="B24" s="69"/>
      <c r="C24" t="s">
        <v>122</v>
      </c>
      <c r="D24"/>
      <c r="E24" s="316" t="s">
        <v>524</v>
      </c>
      <c r="F24" s="326" t="s">
        <v>539</v>
      </c>
      <c r="G24" s="326" t="s">
        <v>539</v>
      </c>
      <c r="H24" s="326"/>
      <c r="I24" s="326" t="s">
        <v>539</v>
      </c>
      <c r="J24" s="335"/>
      <c r="K24" s="321" t="e">
        <f>1/H24</f>
        <v>#DIV/0!</v>
      </c>
      <c r="L24" s="330" t="e">
        <f>K24</f>
        <v>#DIV/0!</v>
      </c>
      <c r="M24" s="243" t="s">
        <v>450</v>
      </c>
    </row>
    <row r="25" spans="2:13" x14ac:dyDescent="0.2">
      <c r="B25" s="69"/>
      <c r="C25" t="s">
        <v>123</v>
      </c>
      <c r="D25"/>
      <c r="E25" s="316" t="s">
        <v>525</v>
      </c>
      <c r="F25" s="326" t="s">
        <v>539</v>
      </c>
      <c r="G25" s="326"/>
      <c r="H25" s="326" t="s">
        <v>539</v>
      </c>
      <c r="I25" s="326" t="s">
        <v>539</v>
      </c>
      <c r="J25" s="335"/>
      <c r="K25" s="321" t="e">
        <f>1/G25</f>
        <v>#DIV/0!</v>
      </c>
      <c r="L25" s="330" t="e">
        <f>K25</f>
        <v>#DIV/0!</v>
      </c>
      <c r="M25" s="243" t="s">
        <v>451</v>
      </c>
    </row>
    <row r="26" spans="2:13" x14ac:dyDescent="0.2">
      <c r="B26" s="69"/>
      <c r="C26" t="s">
        <v>131</v>
      </c>
      <c r="D26"/>
      <c r="E26" s="316" t="s">
        <v>526</v>
      </c>
      <c r="F26" s="326" t="s">
        <v>539</v>
      </c>
      <c r="G26" s="326"/>
      <c r="H26" s="326" t="s">
        <v>539</v>
      </c>
      <c r="I26" s="326" t="s">
        <v>539</v>
      </c>
      <c r="J26" s="335"/>
      <c r="K26" s="321" t="e">
        <f>1/G26</f>
        <v>#DIV/0!</v>
      </c>
      <c r="L26" s="330" t="e">
        <f>K26</f>
        <v>#DIV/0!</v>
      </c>
      <c r="M26" s="243" t="s">
        <v>449</v>
      </c>
    </row>
    <row r="27" spans="2:13" x14ac:dyDescent="0.2">
      <c r="B27" s="69"/>
      <c r="C27" t="s">
        <v>598</v>
      </c>
      <c r="D27"/>
      <c r="E27" s="316" t="s">
        <v>599</v>
      </c>
      <c r="F27" s="326" t="s">
        <v>539</v>
      </c>
      <c r="G27" s="326"/>
      <c r="H27" s="326" t="s">
        <v>539</v>
      </c>
      <c r="I27" s="326" t="s">
        <v>539</v>
      </c>
      <c r="J27" s="335"/>
      <c r="K27" s="321" t="e">
        <f>1/G27</f>
        <v>#DIV/0!</v>
      </c>
      <c r="L27" s="330" t="e">
        <f>K27</f>
        <v>#DIV/0!</v>
      </c>
      <c r="M27" s="243" t="s">
        <v>600</v>
      </c>
    </row>
    <row r="28" spans="2:13" x14ac:dyDescent="0.2">
      <c r="B28" s="41"/>
      <c r="C28" s="9"/>
      <c r="D28" s="9"/>
      <c r="E28" s="18"/>
      <c r="F28" s="329"/>
      <c r="G28" s="329"/>
      <c r="H28" s="329"/>
      <c r="I28" s="329"/>
      <c r="J28" s="337"/>
      <c r="K28" s="333"/>
      <c r="L28" s="334"/>
    </row>
    <row r="29" spans="2:13" x14ac:dyDescent="0.2">
      <c r="B29" s="35" t="s">
        <v>89</v>
      </c>
      <c r="E29" s="17"/>
      <c r="F29" s="327"/>
      <c r="G29" s="327"/>
      <c r="H29" s="327"/>
      <c r="I29" s="327"/>
      <c r="J29" s="335"/>
      <c r="K29" s="321"/>
      <c r="L29" s="330"/>
    </row>
    <row r="30" spans="2:13" x14ac:dyDescent="0.2">
      <c r="B30" s="69"/>
      <c r="C30" t="s">
        <v>330</v>
      </c>
      <c r="D30"/>
      <c r="E30" s="316" t="s">
        <v>528</v>
      </c>
      <c r="F30" s="326" t="s">
        <v>539</v>
      </c>
      <c r="G30" s="326" t="s">
        <v>539</v>
      </c>
      <c r="H30" s="326" t="s">
        <v>539</v>
      </c>
      <c r="I30" s="326"/>
      <c r="J30" s="335">
        <f>I30</f>
        <v>0</v>
      </c>
      <c r="K30" s="321"/>
      <c r="L30" s="330">
        <f>J30</f>
        <v>0</v>
      </c>
      <c r="M30" s="243" t="s">
        <v>453</v>
      </c>
    </row>
    <row r="31" spans="2:13" x14ac:dyDescent="0.2">
      <c r="B31" s="69"/>
      <c r="C31" t="s">
        <v>331</v>
      </c>
      <c r="D31"/>
      <c r="E31" s="316" t="s">
        <v>527</v>
      </c>
      <c r="F31" s="326" t="s">
        <v>539</v>
      </c>
      <c r="G31" s="326" t="s">
        <v>539</v>
      </c>
      <c r="H31" s="326" t="s">
        <v>539</v>
      </c>
      <c r="I31" s="326"/>
      <c r="J31" s="335">
        <f>I31</f>
        <v>0</v>
      </c>
      <c r="K31" s="321"/>
      <c r="L31" s="330">
        <f>J31</f>
        <v>0</v>
      </c>
      <c r="M31" s="243" t="s">
        <v>454</v>
      </c>
    </row>
    <row r="32" spans="2:13" x14ac:dyDescent="0.2">
      <c r="B32" s="69"/>
      <c r="C32" t="s">
        <v>132</v>
      </c>
      <c r="D32"/>
      <c r="E32" s="316" t="s">
        <v>529</v>
      </c>
      <c r="F32" s="326" t="s">
        <v>539</v>
      </c>
      <c r="G32" s="326" t="s">
        <v>539</v>
      </c>
      <c r="H32" s="326" t="s">
        <v>539</v>
      </c>
      <c r="I32" s="326"/>
      <c r="J32" s="335">
        <f>I32</f>
        <v>0</v>
      </c>
      <c r="K32" s="321"/>
      <c r="L32" s="330">
        <f>J32</f>
        <v>0</v>
      </c>
      <c r="M32" s="243" t="s">
        <v>452</v>
      </c>
    </row>
    <row r="33" spans="2:12" ht="17" thickBot="1" x14ac:dyDescent="0.25">
      <c r="B33" s="45"/>
      <c r="C33" s="94"/>
      <c r="D33" s="94"/>
      <c r="E33" s="317"/>
      <c r="F33" s="94"/>
      <c r="G33" s="94"/>
      <c r="H33" s="94"/>
      <c r="I33" s="94"/>
      <c r="J33" s="322"/>
      <c r="K33" s="323"/>
      <c r="L33" s="324"/>
    </row>
    <row r="34" spans="2:12" x14ac:dyDescent="0.2">
      <c r="J34" s="135"/>
      <c r="K34" s="135"/>
      <c r="L34" s="321"/>
    </row>
    <row r="35" spans="2:12" x14ac:dyDescent="0.2">
      <c r="J35" s="135"/>
      <c r="K35" s="135"/>
      <c r="L35" s="321"/>
    </row>
    <row r="36" spans="2:12" x14ac:dyDescent="0.2">
      <c r="J36" s="135"/>
      <c r="K36" s="135"/>
      <c r="L36" s="321"/>
    </row>
    <row r="37" spans="2:12" ht="24" x14ac:dyDescent="0.3">
      <c r="J37" s="325"/>
      <c r="K37" s="135"/>
      <c r="L37" s="321"/>
    </row>
    <row r="38" spans="2:12" ht="24" x14ac:dyDescent="0.3">
      <c r="J38" s="325"/>
      <c r="K38" s="135"/>
      <c r="L38" s="321"/>
    </row>
  </sheetData>
  <mergeCells count="1">
    <mergeCell ref="B5:E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5" tint="0.39997558519241921"/>
  </sheetPr>
  <dimension ref="B2:E29"/>
  <sheetViews>
    <sheetView workbookViewId="0">
      <selection activeCell="C29" sqref="C29"/>
    </sheetView>
  </sheetViews>
  <sheetFormatPr baseColWidth="10" defaultRowHeight="16" x14ac:dyDescent="0.2"/>
  <cols>
    <col min="1" max="1" width="10.83203125" style="1"/>
    <col min="2" max="3" width="20.83203125" style="1" customWidth="1"/>
    <col min="4" max="4" width="23.1640625" style="1" customWidth="1"/>
    <col min="5" max="5" width="21" style="1" customWidth="1"/>
    <col min="6" max="16384" width="10.83203125" style="1"/>
  </cols>
  <sheetData>
    <row r="2" spans="2:5" ht="21" x14ac:dyDescent="0.25">
      <c r="B2" s="2" t="s">
        <v>341</v>
      </c>
    </row>
    <row r="4" spans="2:5" x14ac:dyDescent="0.2">
      <c r="B4" s="3" t="s">
        <v>93</v>
      </c>
      <c r="C4" s="4"/>
      <c r="D4" s="4"/>
      <c r="E4" s="5"/>
    </row>
    <row r="5" spans="2:5" ht="45" customHeight="1" x14ac:dyDescent="0.2">
      <c r="B5" s="372" t="s">
        <v>588</v>
      </c>
      <c r="C5" s="374"/>
      <c r="D5" s="374"/>
      <c r="E5" s="373"/>
    </row>
    <row r="6" spans="2:5" ht="17" thickBot="1" x14ac:dyDescent="0.25"/>
    <row r="7" spans="2:5" ht="32" x14ac:dyDescent="0.2">
      <c r="B7" s="190" t="s">
        <v>472</v>
      </c>
      <c r="C7" s="265" t="s">
        <v>336</v>
      </c>
      <c r="D7" s="157" t="s">
        <v>463</v>
      </c>
      <c r="E7" s="158" t="s">
        <v>341</v>
      </c>
    </row>
    <row r="8" spans="2:5" x14ac:dyDescent="0.2">
      <c r="B8" s="261" t="s">
        <v>264</v>
      </c>
      <c r="C8" s="159"/>
      <c r="D8" s="4"/>
      <c r="E8" s="126"/>
    </row>
    <row r="9" spans="2:5" x14ac:dyDescent="0.2">
      <c r="B9" s="262"/>
      <c r="C9" s="16" t="s">
        <v>120</v>
      </c>
      <c r="D9" s="211" t="e">
        <f>SUM('Final demand per energy carrier'!E15:E23)</f>
        <v>#DIV/0!</v>
      </c>
      <c r="E9" s="234" t="e">
        <f>IF(SUM($D$9:$D$10)=0,0,D9/SUM($D$9:$D$10))</f>
        <v>#DIV/0!</v>
      </c>
    </row>
    <row r="10" spans="2:5" x14ac:dyDescent="0.2">
      <c r="B10" s="262"/>
      <c r="C10" s="16" t="s">
        <v>302</v>
      </c>
      <c r="D10" s="211" t="e">
        <f>'Final demand per energy carrier'!E43</f>
        <v>#DIV/0!</v>
      </c>
      <c r="E10" s="234" t="e">
        <f>IF(SUM($D$9:$D$10)=0,1,D10/SUM($D$9:$D$10))</f>
        <v>#DIV/0!</v>
      </c>
    </row>
    <row r="11" spans="2:5" x14ac:dyDescent="0.2">
      <c r="B11" s="35"/>
      <c r="C11" s="7"/>
      <c r="D11" s="206"/>
      <c r="E11" s="235"/>
    </row>
    <row r="12" spans="2:5" x14ac:dyDescent="0.2">
      <c r="B12" s="261" t="s">
        <v>568</v>
      </c>
      <c r="C12" s="159"/>
      <c r="D12" s="212"/>
      <c r="E12" s="237"/>
    </row>
    <row r="13" spans="2:5" x14ac:dyDescent="0.2">
      <c r="B13" s="262"/>
      <c r="C13" s="16" t="s">
        <v>120</v>
      </c>
      <c r="D13" s="211" t="e">
        <f>SUM('Final demand per energy carrier'!F15:F23)</f>
        <v>#DIV/0!</v>
      </c>
      <c r="E13" s="234" t="e">
        <f>IF(SUM($D$13:$D$15)=0,0,D13/SUM($D$13:$D$15))</f>
        <v>#DIV/0!</v>
      </c>
    </row>
    <row r="14" spans="2:5" x14ac:dyDescent="0.2">
      <c r="B14" s="262"/>
      <c r="C14" s="16" t="s">
        <v>119</v>
      </c>
      <c r="D14" s="211" t="e">
        <f>SUM('Final demand per energy carrier'!F26:F28)</f>
        <v>#DIV/0!</v>
      </c>
      <c r="E14" s="234" t="e">
        <f>IF(SUM($D$13:$D$15)=0,0,D14/SUM($D$13:$D$15))</f>
        <v>#DIV/0!</v>
      </c>
    </row>
    <row r="15" spans="2:5" x14ac:dyDescent="0.2">
      <c r="B15" s="262"/>
      <c r="C15" s="16" t="s">
        <v>302</v>
      </c>
      <c r="D15" s="211" t="e">
        <f>'Final demand per energy carrier'!F43</f>
        <v>#DIV/0!</v>
      </c>
      <c r="E15" s="234" t="e">
        <f>IF(SUM($D$13:$D$15)=0,1,D15/SUM($D$13:$D$15))</f>
        <v>#DIV/0!</v>
      </c>
    </row>
    <row r="16" spans="2:5" x14ac:dyDescent="0.2">
      <c r="B16" s="263"/>
      <c r="C16" s="7"/>
      <c r="D16" s="206"/>
      <c r="E16" s="238"/>
    </row>
    <row r="17" spans="2:5" x14ac:dyDescent="0.2">
      <c r="B17" s="261" t="s">
        <v>266</v>
      </c>
      <c r="C17" s="159"/>
      <c r="D17" s="212"/>
      <c r="E17" s="237"/>
    </row>
    <row r="18" spans="2:5" x14ac:dyDescent="0.2">
      <c r="B18" s="262"/>
      <c r="C18" s="16" t="s">
        <v>120</v>
      </c>
      <c r="D18" s="211" t="e">
        <f>SUM('Final demand per energy carrier'!G15:G23)</f>
        <v>#DIV/0!</v>
      </c>
      <c r="E18" s="234" t="e">
        <f>IF(SUM($D$18:$D$19)=0,0,D18/SUM($D$18:$D$19))</f>
        <v>#DIV/0!</v>
      </c>
    </row>
    <row r="19" spans="2:5" x14ac:dyDescent="0.2">
      <c r="B19" s="262"/>
      <c r="C19" s="16" t="s">
        <v>302</v>
      </c>
      <c r="D19" s="211" t="e">
        <f>'Final demand per energy carrier'!G43</f>
        <v>#DIV/0!</v>
      </c>
      <c r="E19" s="234" t="e">
        <f>IF(SUM($D$18:$D$19)=0,1,D19/SUM($D$18:$D$19))</f>
        <v>#DIV/0!</v>
      </c>
    </row>
    <row r="20" spans="2:5" x14ac:dyDescent="0.2">
      <c r="B20" s="262"/>
      <c r="C20" s="7"/>
      <c r="D20" s="206"/>
      <c r="E20" s="238"/>
    </row>
    <row r="21" spans="2:5" x14ac:dyDescent="0.2">
      <c r="B21" s="261" t="s">
        <v>300</v>
      </c>
      <c r="C21" s="159"/>
      <c r="D21" s="212"/>
      <c r="E21" s="237"/>
    </row>
    <row r="22" spans="2:5" x14ac:dyDescent="0.2">
      <c r="B22" s="262"/>
      <c r="C22" s="16" t="s">
        <v>120</v>
      </c>
      <c r="D22" s="211" t="e">
        <f>SUM('Final demand per energy carrier'!J15:J23)</f>
        <v>#DIV/0!</v>
      </c>
      <c r="E22" s="234" t="e">
        <f>IF(SUM($D$22:$D$25)=0,0,D22/SUM($D$22:$D$25))</f>
        <v>#DIV/0!</v>
      </c>
    </row>
    <row r="23" spans="2:5" x14ac:dyDescent="0.2">
      <c r="B23" s="262"/>
      <c r="C23" s="16" t="s">
        <v>119</v>
      </c>
      <c r="D23" s="211" t="e">
        <f>SUM('Final demand per energy carrier'!J26:J28)</f>
        <v>#DIV/0!</v>
      </c>
      <c r="E23" s="234" t="e">
        <f t="shared" ref="E23:E24" si="0">IF(SUM($D$22:$D$25)=0,0,D23/SUM($D$22:$D$25))</f>
        <v>#DIV/0!</v>
      </c>
    </row>
    <row r="24" spans="2:5" x14ac:dyDescent="0.2">
      <c r="B24" s="262"/>
      <c r="C24" s="16" t="s">
        <v>89</v>
      </c>
      <c r="D24" s="211" t="e">
        <f>SUM('Final demand per energy carrier'!J31:J33)</f>
        <v>#DIV/0!</v>
      </c>
      <c r="E24" s="234" t="e">
        <f t="shared" si="0"/>
        <v>#DIV/0!</v>
      </c>
    </row>
    <row r="25" spans="2:5" x14ac:dyDescent="0.2">
      <c r="B25" s="262"/>
      <c r="C25" s="16" t="s">
        <v>261</v>
      </c>
      <c r="D25" s="211" t="e">
        <f>'Final demand per energy carrier'!J42</f>
        <v>#DIV/0!</v>
      </c>
      <c r="E25" s="234" t="e">
        <f>IF(SUM($D$22:$D$25)=0,1,D25/SUM($D$22:$D$25))</f>
        <v>#DIV/0!</v>
      </c>
    </row>
    <row r="26" spans="2:5" x14ac:dyDescent="0.2">
      <c r="B26" s="261" t="s">
        <v>300</v>
      </c>
      <c r="C26" s="159"/>
      <c r="D26" s="212"/>
      <c r="E26" s="237"/>
    </row>
    <row r="27" spans="2:5" x14ac:dyDescent="0.2">
      <c r="B27" s="262"/>
      <c r="C27" s="16" t="s">
        <v>587</v>
      </c>
      <c r="D27" s="211" t="e">
        <f>SUM(D22:D25)</f>
        <v>#DIV/0!</v>
      </c>
      <c r="E27" s="234" t="e">
        <f>IF(SUM($D$27:$D$28)=0,1,D27/SUM($D$27:$D$28))</f>
        <v>#DIV/0!</v>
      </c>
    </row>
    <row r="28" spans="2:5" x14ac:dyDescent="0.2">
      <c r="B28" s="262"/>
      <c r="C28" s="16" t="s">
        <v>585</v>
      </c>
      <c r="D28" s="211">
        <f>SUM('Final demand per energy carrier'!J39)</f>
        <v>0</v>
      </c>
      <c r="E28" s="234" t="e">
        <f>IF(SUM($D$27:$D$28)=0,0,D28/SUM($D$27:$D$28))</f>
        <v>#DIV/0!</v>
      </c>
    </row>
    <row r="29" spans="2:5" ht="17" thickBot="1" x14ac:dyDescent="0.25">
      <c r="B29" s="264"/>
      <c r="C29" s="144"/>
      <c r="D29" s="156"/>
      <c r="E29" s="239"/>
    </row>
  </sheetData>
  <mergeCells count="1">
    <mergeCell ref="B5:E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5" tint="0.39997558519241921"/>
  </sheetPr>
  <dimension ref="B2:F25"/>
  <sheetViews>
    <sheetView workbookViewId="0">
      <selection activeCell="F14" sqref="F14"/>
    </sheetView>
  </sheetViews>
  <sheetFormatPr baseColWidth="10" defaultRowHeight="16" x14ac:dyDescent="0.2"/>
  <cols>
    <col min="1" max="1" width="10.83203125" style="1"/>
    <col min="2" max="2" width="30.83203125" style="1" bestFit="1" customWidth="1"/>
    <col min="3" max="3" width="30.83203125" style="1" customWidth="1"/>
    <col min="4" max="4" width="34" style="1" bestFit="1" customWidth="1"/>
    <col min="5" max="5" width="28.5" style="1" customWidth="1"/>
    <col min="6" max="6" width="22.6640625" style="1" customWidth="1"/>
    <col min="7" max="16384" width="10.83203125" style="1"/>
  </cols>
  <sheetData>
    <row r="2" spans="2:6" ht="21" x14ac:dyDescent="0.25">
      <c r="B2" s="2" t="s">
        <v>344</v>
      </c>
      <c r="C2" s="2"/>
    </row>
    <row r="4" spans="2:6" x14ac:dyDescent="0.2">
      <c r="B4" s="3" t="s">
        <v>93</v>
      </c>
      <c r="C4" s="12"/>
      <c r="D4" s="4"/>
      <c r="E4" s="4"/>
      <c r="F4" s="5"/>
    </row>
    <row r="5" spans="2:6" x14ac:dyDescent="0.2">
      <c r="B5" s="372" t="s">
        <v>325</v>
      </c>
      <c r="C5" s="374"/>
      <c r="D5" s="374"/>
      <c r="E5" s="374"/>
      <c r="F5" s="373"/>
    </row>
    <row r="6" spans="2:6" ht="17" thickBot="1" x14ac:dyDescent="0.25"/>
    <row r="7" spans="2:6" ht="48" x14ac:dyDescent="0.2">
      <c r="B7" s="190" t="s">
        <v>471</v>
      </c>
      <c r="C7" s="257" t="s">
        <v>472</v>
      </c>
      <c r="D7" s="265" t="s">
        <v>225</v>
      </c>
      <c r="E7" s="157" t="s">
        <v>345</v>
      </c>
      <c r="F7" s="158" t="s">
        <v>474</v>
      </c>
    </row>
    <row r="8" spans="2:6" x14ac:dyDescent="0.2">
      <c r="B8" s="261" t="s">
        <v>90</v>
      </c>
      <c r="C8" s="259"/>
      <c r="D8" s="159"/>
      <c r="E8" s="4"/>
      <c r="F8" s="126"/>
    </row>
    <row r="9" spans="2:6" x14ac:dyDescent="0.2">
      <c r="B9" s="262"/>
      <c r="C9" s="58" t="s">
        <v>473</v>
      </c>
      <c r="D9" s="16" t="s">
        <v>121</v>
      </c>
      <c r="E9" s="177" t="e">
        <f>'Technology split final demand'!G11</f>
        <v>#DIV/0!</v>
      </c>
      <c r="F9" s="234" t="e">
        <f>IF(SUM($E$9:$E$10)=0,1,E9/SUM($E$9:$E$10))</f>
        <v>#DIV/0!</v>
      </c>
    </row>
    <row r="10" spans="2:6" x14ac:dyDescent="0.2">
      <c r="B10" s="262"/>
      <c r="C10" s="58"/>
      <c r="D10" s="16" t="s">
        <v>122</v>
      </c>
      <c r="E10" s="177" t="e">
        <f>'Technology split final demand'!G13</f>
        <v>#DIV/0!</v>
      </c>
      <c r="F10" s="234" t="e">
        <f>IF(SUM($E$9:$E$10)=0,0,E10/SUM($E$9:$E$10))</f>
        <v>#DIV/0!</v>
      </c>
    </row>
    <row r="11" spans="2:6" x14ac:dyDescent="0.2">
      <c r="B11" s="35"/>
      <c r="D11" s="7"/>
      <c r="E11" s="162"/>
      <c r="F11" s="235"/>
    </row>
    <row r="12" spans="2:6" x14ac:dyDescent="0.2">
      <c r="B12" s="262"/>
      <c r="C12" s="58" t="s">
        <v>147</v>
      </c>
      <c r="D12" s="16" t="s">
        <v>123</v>
      </c>
      <c r="E12" s="177" t="e">
        <f>'Technology split final demand'!G12</f>
        <v>#DIV/0!</v>
      </c>
      <c r="F12" s="234" t="e">
        <f>IF(SUM($E$12:$E$14)=0,1,E12/SUM($E$12:$E$14))</f>
        <v>#DIV/0!</v>
      </c>
    </row>
    <row r="13" spans="2:6" x14ac:dyDescent="0.2">
      <c r="B13" s="262"/>
      <c r="C13" s="58"/>
      <c r="D13" s="16" t="s">
        <v>124</v>
      </c>
      <c r="E13" s="177" t="e">
        <f>'Technology split final demand'!G14</f>
        <v>#DIV/0!</v>
      </c>
      <c r="F13" s="234" t="e">
        <f t="shared" ref="F13:F14" si="0">IF(SUM($E$12:$E$14)=0,1,E13/SUM($E$12:$E$14))</f>
        <v>#DIV/0!</v>
      </c>
    </row>
    <row r="14" spans="2:6" x14ac:dyDescent="0.2">
      <c r="B14" s="262"/>
      <c r="C14" s="58"/>
      <c r="D14" s="16" t="s">
        <v>596</v>
      </c>
      <c r="E14" s="177" t="e">
        <f>'Technology split final demand'!G17</f>
        <v>#DIV/0!</v>
      </c>
      <c r="F14" s="234" t="e">
        <f t="shared" si="0"/>
        <v>#DIV/0!</v>
      </c>
    </row>
    <row r="15" spans="2:6" x14ac:dyDescent="0.2">
      <c r="B15" s="263"/>
      <c r="C15" s="260"/>
      <c r="D15" s="7"/>
      <c r="E15" s="162"/>
      <c r="F15" s="238"/>
    </row>
    <row r="16" spans="2:6" x14ac:dyDescent="0.2">
      <c r="B16" s="261" t="s">
        <v>103</v>
      </c>
      <c r="C16" s="259"/>
      <c r="D16" s="159"/>
      <c r="E16" s="236"/>
      <c r="F16" s="237"/>
    </row>
    <row r="17" spans="2:6" x14ac:dyDescent="0.2">
      <c r="B17" s="262"/>
      <c r="C17" s="58" t="s">
        <v>147</v>
      </c>
      <c r="D17" s="16" t="s">
        <v>123</v>
      </c>
      <c r="E17" s="177" t="e">
        <f>'Technology split final demand'!G25</f>
        <v>#DIV/0!</v>
      </c>
      <c r="F17" s="234" t="e">
        <f>IF(SUM($E$17:$E$19)=0,0,E17/SUM($E$17:$E$19))</f>
        <v>#DIV/0!</v>
      </c>
    </row>
    <row r="18" spans="2:6" x14ac:dyDescent="0.2">
      <c r="B18" s="262"/>
      <c r="C18" s="58"/>
      <c r="D18" s="16" t="s">
        <v>131</v>
      </c>
      <c r="E18" s="177" t="e">
        <f>'Technology split final demand'!G26</f>
        <v>#DIV/0!</v>
      </c>
      <c r="F18" s="234" t="e">
        <f t="shared" ref="F18:F19" si="1">IF(SUM($E$17:$E$19)=0,0,E18/SUM($E$17:$E$19))</f>
        <v>#DIV/0!</v>
      </c>
    </row>
    <row r="19" spans="2:6" x14ac:dyDescent="0.2">
      <c r="B19" s="262"/>
      <c r="C19" s="58"/>
      <c r="D19" s="16" t="s">
        <v>596</v>
      </c>
      <c r="E19" s="177" t="e">
        <f>'Technology split final demand'!G27</f>
        <v>#DIV/0!</v>
      </c>
      <c r="F19" s="234" t="e">
        <f t="shared" si="1"/>
        <v>#DIV/0!</v>
      </c>
    </row>
    <row r="20" spans="2:6" x14ac:dyDescent="0.2">
      <c r="B20" s="262"/>
      <c r="C20" s="58"/>
      <c r="D20" s="7"/>
      <c r="E20" s="162"/>
      <c r="F20" s="238"/>
    </row>
    <row r="21" spans="2:6" x14ac:dyDescent="0.2">
      <c r="B21" s="261" t="s">
        <v>89</v>
      </c>
      <c r="C21" s="259"/>
      <c r="D21" s="159"/>
      <c r="E21" s="236"/>
      <c r="F21" s="237"/>
    </row>
    <row r="22" spans="2:6" x14ac:dyDescent="0.2">
      <c r="B22" s="262"/>
      <c r="C22" s="58"/>
      <c r="D22" s="16" t="s">
        <v>330</v>
      </c>
      <c r="E22" s="177" t="e">
        <f>'Technology split final demand'!G30</f>
        <v>#DIV/0!</v>
      </c>
      <c r="F22" s="234" t="e">
        <f>IF(SUM($E$22:$E$24)=0,0,E22/SUM($E$22:$E$24))</f>
        <v>#DIV/0!</v>
      </c>
    </row>
    <row r="23" spans="2:6" x14ac:dyDescent="0.2">
      <c r="B23" s="262"/>
      <c r="C23" s="58"/>
      <c r="D23" s="16" t="s">
        <v>331</v>
      </c>
      <c r="E23" s="177" t="e">
        <f>'Technology split final demand'!G31</f>
        <v>#DIV/0!</v>
      </c>
      <c r="F23" s="234" t="e">
        <f>IF(SUM($E$22:$E$24)=0,0,E23/SUM($E$22:$E$24))</f>
        <v>#DIV/0!</v>
      </c>
    </row>
    <row r="24" spans="2:6" x14ac:dyDescent="0.2">
      <c r="B24" s="262"/>
      <c r="C24" s="58"/>
      <c r="D24" s="16" t="s">
        <v>132</v>
      </c>
      <c r="E24" s="177" t="e">
        <f>'Technology split final demand'!G32</f>
        <v>#DIV/0!</v>
      </c>
      <c r="F24" s="234" t="e">
        <f>IF(SUM($E$22:$E$24)=0,0,E24/SUM($E$22:$E$24))</f>
        <v>#DIV/0!</v>
      </c>
    </row>
    <row r="25" spans="2:6" ht="17" thickBot="1" x14ac:dyDescent="0.25">
      <c r="B25" s="264"/>
      <c r="C25" s="97"/>
      <c r="D25" s="160"/>
      <c r="E25" s="61"/>
      <c r="F25" s="229"/>
    </row>
  </sheetData>
  <mergeCells count="1">
    <mergeCell ref="B5:F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theme="8" tint="0.39997558519241921"/>
  </sheetPr>
  <dimension ref="B2:L44"/>
  <sheetViews>
    <sheetView workbookViewId="0">
      <selection activeCell="H66" sqref="H66"/>
    </sheetView>
  </sheetViews>
  <sheetFormatPr baseColWidth="10" defaultRowHeight="16" x14ac:dyDescent="0.2"/>
  <cols>
    <col min="1" max="1" width="10.83203125" style="1" customWidth="1"/>
    <col min="2" max="2" width="25.83203125" style="1" customWidth="1"/>
    <col min="3" max="3" width="39.1640625" style="1" customWidth="1"/>
    <col min="4" max="4" width="14.1640625" style="1" customWidth="1"/>
    <col min="5" max="11" width="21.6640625" style="1" customWidth="1"/>
    <col min="12" max="16384" width="10.83203125" style="1"/>
  </cols>
  <sheetData>
    <row r="2" spans="2:11" ht="21" x14ac:dyDescent="0.25">
      <c r="B2" s="2" t="s">
        <v>226</v>
      </c>
    </row>
    <row r="4" spans="2:11" x14ac:dyDescent="0.2">
      <c r="B4" s="3" t="s">
        <v>93</v>
      </c>
      <c r="C4" s="4"/>
      <c r="D4" s="4"/>
      <c r="E4" s="4"/>
      <c r="F4" s="5"/>
    </row>
    <row r="5" spans="2:11" ht="30" customHeight="1" x14ac:dyDescent="0.2">
      <c r="B5" s="372" t="s">
        <v>407</v>
      </c>
      <c r="C5" s="374"/>
      <c r="D5" s="374"/>
      <c r="E5" s="374"/>
      <c r="F5" s="373"/>
      <c r="I5" s="191"/>
      <c r="J5" s="191"/>
    </row>
    <row r="6" spans="2:11" ht="17" thickBot="1" x14ac:dyDescent="0.25"/>
    <row r="7" spans="2:11" x14ac:dyDescent="0.2">
      <c r="B7" s="25" t="s">
        <v>226</v>
      </c>
      <c r="C7" s="51"/>
      <c r="D7" s="51"/>
      <c r="E7" s="51"/>
      <c r="F7" s="51"/>
      <c r="G7" s="51"/>
      <c r="H7" s="51"/>
      <c r="I7" s="51"/>
      <c r="J7" s="51"/>
      <c r="K7" s="27"/>
    </row>
    <row r="8" spans="2:11" x14ac:dyDescent="0.2">
      <c r="B8" s="28"/>
      <c r="K8" s="29"/>
    </row>
    <row r="9" spans="2:11" ht="32" x14ac:dyDescent="0.2">
      <c r="B9" s="64" t="s">
        <v>336</v>
      </c>
      <c r="C9" s="70" t="s">
        <v>130</v>
      </c>
      <c r="D9" s="99" t="s">
        <v>558</v>
      </c>
      <c r="E9" s="65" t="s">
        <v>464</v>
      </c>
      <c r="F9" s="65" t="s">
        <v>569</v>
      </c>
      <c r="G9" s="65" t="s">
        <v>465</v>
      </c>
      <c r="H9" s="65" t="s">
        <v>466</v>
      </c>
      <c r="I9" s="65" t="s">
        <v>467</v>
      </c>
      <c r="J9" s="65" t="s">
        <v>468</v>
      </c>
      <c r="K9" s="136" t="s">
        <v>469</v>
      </c>
    </row>
    <row r="10" spans="2:11" x14ac:dyDescent="0.2">
      <c r="B10" s="69"/>
      <c r="C10" s="68"/>
      <c r="D10" s="72"/>
      <c r="E10" s="68"/>
      <c r="F10" s="68"/>
      <c r="G10" s="68"/>
      <c r="H10" s="68"/>
      <c r="I10" s="68"/>
      <c r="J10" s="68"/>
      <c r="K10" s="137"/>
    </row>
    <row r="11" spans="2:11" x14ac:dyDescent="0.2">
      <c r="B11" s="48" t="s">
        <v>134</v>
      </c>
      <c r="C11" t="s">
        <v>118</v>
      </c>
      <c r="D11" s="16"/>
      <c r="E11" s="207">
        <f>'Fuel aggregation'!C11</f>
        <v>0</v>
      </c>
      <c r="F11" s="207">
        <f>'Fuel aggregation'!D11</f>
        <v>0</v>
      </c>
      <c r="G11" s="207">
        <f>'Fuel aggregation'!E11</f>
        <v>0</v>
      </c>
      <c r="H11" s="207">
        <f>'Fuel aggregation'!F11</f>
        <v>0</v>
      </c>
      <c r="I11" s="207">
        <f>'Fuel aggregation'!G11</f>
        <v>0</v>
      </c>
      <c r="J11" s="207">
        <f>'Fuel aggregation'!H11</f>
        <v>0</v>
      </c>
      <c r="K11" s="208">
        <f>'Fuel aggregation'!I11</f>
        <v>0</v>
      </c>
    </row>
    <row r="12" spans="2:11" x14ac:dyDescent="0.2">
      <c r="B12" s="69"/>
      <c r="C12"/>
      <c r="D12" s="16"/>
      <c r="E12" s="207"/>
      <c r="F12" s="207"/>
      <c r="G12" s="207"/>
      <c r="H12" s="207"/>
      <c r="I12" s="207"/>
      <c r="J12" s="207"/>
      <c r="K12" s="208"/>
    </row>
    <row r="13" spans="2:11" x14ac:dyDescent="0.2">
      <c r="B13" s="69"/>
      <c r="C13" s="68"/>
      <c r="D13" s="67"/>
      <c r="E13" s="363"/>
      <c r="F13" s="363"/>
      <c r="G13" s="363"/>
      <c r="H13" s="363"/>
      <c r="I13" s="363"/>
      <c r="J13" s="363"/>
      <c r="K13" s="364"/>
    </row>
    <row r="14" spans="2:11" x14ac:dyDescent="0.2">
      <c r="B14" s="47" t="s">
        <v>120</v>
      </c>
      <c r="C14" s="4"/>
      <c r="D14" s="5"/>
      <c r="E14" s="354"/>
      <c r="F14" s="354"/>
      <c r="G14" s="354"/>
      <c r="H14" s="354"/>
      <c r="I14" s="354"/>
      <c r="J14" s="354"/>
      <c r="K14" s="355"/>
    </row>
    <row r="15" spans="2:11" x14ac:dyDescent="0.2">
      <c r="B15" s="69"/>
      <c r="C15" t="s">
        <v>121</v>
      </c>
      <c r="D15" s="71" t="e">
        <f>'Technology split final demand'!G11</f>
        <v>#DIV/0!</v>
      </c>
      <c r="E15" s="350"/>
      <c r="F15" s="242" t="e">
        <f>D15*Final_demand_space_heating</f>
        <v>#DIV/0!</v>
      </c>
      <c r="G15" s="242"/>
      <c r="H15" s="242"/>
      <c r="I15" s="242"/>
      <c r="J15" s="242"/>
      <c r="K15" s="351"/>
    </row>
    <row r="16" spans="2:11" x14ac:dyDescent="0.2">
      <c r="B16" s="69"/>
      <c r="C16" t="s">
        <v>123</v>
      </c>
      <c r="D16" s="71" t="e">
        <f>'Technology split final demand'!G12</f>
        <v>#DIV/0!</v>
      </c>
      <c r="E16" s="350"/>
      <c r="F16" s="242"/>
      <c r="G16" s="242"/>
      <c r="H16" s="242"/>
      <c r="I16" s="242"/>
      <c r="J16" s="242" t="e">
        <f>D16*Final_demand_space_heating</f>
        <v>#DIV/0!</v>
      </c>
      <c r="K16" s="351"/>
    </row>
    <row r="17" spans="2:11" x14ac:dyDescent="0.2">
      <c r="B17" s="69"/>
      <c r="C17" t="s">
        <v>122</v>
      </c>
      <c r="D17" s="71" t="e">
        <f>'Technology split final demand'!G13</f>
        <v>#DIV/0!</v>
      </c>
      <c r="E17" s="350"/>
      <c r="F17" s="242" t="e">
        <f>D17*Final_demand_space_heating</f>
        <v>#DIV/0!</v>
      </c>
      <c r="G17" s="242"/>
      <c r="H17" s="242"/>
      <c r="I17" s="242"/>
      <c r="J17" s="242"/>
      <c r="K17" s="351"/>
    </row>
    <row r="18" spans="2:11" x14ac:dyDescent="0.2">
      <c r="B18" s="69"/>
      <c r="C18" t="s">
        <v>124</v>
      </c>
      <c r="D18" s="71" t="e">
        <f>'Technology split final demand'!G14</f>
        <v>#DIV/0!</v>
      </c>
      <c r="E18" s="350"/>
      <c r="F18" s="242"/>
      <c r="G18" s="242"/>
      <c r="H18" s="242"/>
      <c r="I18" s="242"/>
      <c r="J18" s="242" t="e">
        <f>D18*Final_demand_space_heating</f>
        <v>#DIV/0!</v>
      </c>
      <c r="K18" s="351"/>
    </row>
    <row r="19" spans="2:11" x14ac:dyDescent="0.2">
      <c r="B19" s="69"/>
      <c r="C19" t="s">
        <v>126</v>
      </c>
      <c r="D19" s="71" t="e">
        <f>'Technology split final demand'!G15</f>
        <v>#DIV/0!</v>
      </c>
      <c r="E19" s="242" t="e">
        <f>D19*Final_demand_space_heating</f>
        <v>#DIV/0!</v>
      </c>
      <c r="F19" s="242"/>
      <c r="G19" s="242"/>
      <c r="H19" s="242"/>
      <c r="I19" s="242"/>
      <c r="J19" s="242"/>
      <c r="K19" s="351"/>
    </row>
    <row r="20" spans="2:11" x14ac:dyDescent="0.2">
      <c r="B20" s="69"/>
      <c r="C20" t="s">
        <v>127</v>
      </c>
      <c r="D20" s="71" t="e">
        <f>'Technology split final demand'!G16</f>
        <v>#DIV/0!</v>
      </c>
      <c r="E20" s="350"/>
      <c r="F20" s="242"/>
      <c r="G20" s="242" t="e">
        <f>D20*Final_demand_space_heating</f>
        <v>#DIV/0!</v>
      </c>
      <c r="H20" s="242"/>
      <c r="I20" s="242"/>
      <c r="J20" s="242"/>
      <c r="K20" s="351"/>
    </row>
    <row r="21" spans="2:11" x14ac:dyDescent="0.2">
      <c r="B21" s="69"/>
      <c r="C21" t="s">
        <v>125</v>
      </c>
      <c r="D21" s="71" t="e">
        <f>'Technology split final demand'!G19</f>
        <v>#DIV/0!</v>
      </c>
      <c r="E21" s="242"/>
      <c r="F21" s="242"/>
      <c r="G21" s="242"/>
      <c r="H21" s="242"/>
      <c r="I21" s="242" t="e">
        <f>D21*Final_demand_space_heating</f>
        <v>#DIV/0!</v>
      </c>
      <c r="J21" s="242"/>
      <c r="K21" s="351"/>
    </row>
    <row r="22" spans="2:11" x14ac:dyDescent="0.2">
      <c r="B22" s="69"/>
      <c r="C22" t="s">
        <v>128</v>
      </c>
      <c r="D22" s="71" t="e">
        <f>'Technology split final demand'!G20</f>
        <v>#DIV/0!</v>
      </c>
      <c r="E22" s="242"/>
      <c r="F22" s="242"/>
      <c r="G22" s="242"/>
      <c r="H22" s="242" t="e">
        <f>D22*Final_demand_space_heating</f>
        <v>#DIV/0!</v>
      </c>
      <c r="I22" s="242"/>
      <c r="J22" s="242"/>
      <c r="K22" s="351"/>
    </row>
    <row r="23" spans="2:11" x14ac:dyDescent="0.2">
      <c r="B23" s="69"/>
      <c r="C23" t="s">
        <v>129</v>
      </c>
      <c r="D23" s="71" t="e">
        <f>'Technology split final demand'!G21</f>
        <v>#DIV/0!</v>
      </c>
      <c r="E23" s="242"/>
      <c r="F23" s="242"/>
      <c r="G23" s="242"/>
      <c r="H23" s="242"/>
      <c r="I23" s="242"/>
      <c r="J23" s="242"/>
      <c r="K23" s="351" t="e">
        <f>D23*Final_demand_space_heating</f>
        <v>#DIV/0!</v>
      </c>
    </row>
    <row r="24" spans="2:11" x14ac:dyDescent="0.2">
      <c r="B24" s="28"/>
      <c r="D24" s="7"/>
      <c r="E24" s="352"/>
      <c r="F24" s="352"/>
      <c r="G24" s="352"/>
      <c r="H24" s="352"/>
      <c r="I24" s="352"/>
      <c r="J24" s="352"/>
      <c r="K24" s="353"/>
    </row>
    <row r="25" spans="2:11" x14ac:dyDescent="0.2">
      <c r="B25" s="47" t="s">
        <v>119</v>
      </c>
      <c r="C25" s="4"/>
      <c r="D25" s="5"/>
      <c r="E25" s="354"/>
      <c r="F25" s="354"/>
      <c r="G25" s="354"/>
      <c r="H25" s="354"/>
      <c r="I25" s="354"/>
      <c r="J25" s="354"/>
      <c r="K25" s="355"/>
    </row>
    <row r="26" spans="2:11" x14ac:dyDescent="0.2">
      <c r="B26" s="69"/>
      <c r="C26" t="s">
        <v>122</v>
      </c>
      <c r="D26" s="71" t="e">
        <f>'Technology split final demand'!G24</f>
        <v>#DIV/0!</v>
      </c>
      <c r="E26" s="242"/>
      <c r="F26" s="242" t="e">
        <f>D26*Final_demand_space_cooling</f>
        <v>#DIV/0!</v>
      </c>
      <c r="G26" s="242"/>
      <c r="H26" s="242"/>
      <c r="I26" s="242"/>
      <c r="J26" s="242"/>
      <c r="K26" s="351"/>
    </row>
    <row r="27" spans="2:11" x14ac:dyDescent="0.2">
      <c r="B27" s="69"/>
      <c r="C27" t="s">
        <v>123</v>
      </c>
      <c r="D27" s="71" t="e">
        <f>'Technology split final demand'!G25</f>
        <v>#DIV/0!</v>
      </c>
      <c r="E27" s="242"/>
      <c r="F27" s="242"/>
      <c r="G27" s="242"/>
      <c r="H27" s="242"/>
      <c r="I27" s="242"/>
      <c r="J27" s="242" t="e">
        <f>D27*Final_demand_space_cooling</f>
        <v>#DIV/0!</v>
      </c>
      <c r="K27" s="351"/>
    </row>
    <row r="28" spans="2:11" x14ac:dyDescent="0.2">
      <c r="B28" s="69"/>
      <c r="C28" t="s">
        <v>131</v>
      </c>
      <c r="D28" s="71" t="e">
        <f>'Technology split final demand'!G26</f>
        <v>#DIV/0!</v>
      </c>
      <c r="E28" s="242"/>
      <c r="F28" s="242"/>
      <c r="G28" s="242"/>
      <c r="H28" s="242"/>
      <c r="I28" s="242"/>
      <c r="J28" s="242" t="e">
        <f>D28*Final_demand_space_cooling</f>
        <v>#DIV/0!</v>
      </c>
      <c r="K28" s="351"/>
    </row>
    <row r="29" spans="2:11" x14ac:dyDescent="0.2">
      <c r="B29" s="41"/>
      <c r="C29" s="9"/>
      <c r="D29" s="7"/>
      <c r="E29" s="356"/>
      <c r="F29" s="356"/>
      <c r="G29" s="356"/>
      <c r="H29" s="356"/>
      <c r="I29" s="356"/>
      <c r="J29" s="356"/>
      <c r="K29" s="357"/>
    </row>
    <row r="30" spans="2:11" x14ac:dyDescent="0.2">
      <c r="B30" s="35" t="s">
        <v>89</v>
      </c>
      <c r="D30" s="5"/>
      <c r="E30" s="352"/>
      <c r="F30" s="352"/>
      <c r="G30" s="352"/>
      <c r="H30" s="352"/>
      <c r="I30" s="352"/>
      <c r="J30" s="352"/>
      <c r="K30" s="353"/>
    </row>
    <row r="31" spans="2:11" x14ac:dyDescent="0.2">
      <c r="B31" s="69"/>
      <c r="C31" t="s">
        <v>330</v>
      </c>
      <c r="D31" s="71" t="e">
        <f>'Technology split final demand'!G30</f>
        <v>#DIV/0!</v>
      </c>
      <c r="E31" s="242"/>
      <c r="F31" s="242"/>
      <c r="G31" s="242"/>
      <c r="H31" s="242"/>
      <c r="I31" s="242"/>
      <c r="J31" s="242" t="e">
        <f>D31*Final_demand_lighting</f>
        <v>#DIV/0!</v>
      </c>
      <c r="K31" s="351"/>
    </row>
    <row r="32" spans="2:11" x14ac:dyDescent="0.2">
      <c r="B32" s="69"/>
      <c r="C32" t="s">
        <v>331</v>
      </c>
      <c r="D32" s="71" t="e">
        <f>'Technology split final demand'!G31</f>
        <v>#DIV/0!</v>
      </c>
      <c r="E32" s="242"/>
      <c r="F32" s="242"/>
      <c r="G32" s="242"/>
      <c r="H32" s="242"/>
      <c r="I32" s="242"/>
      <c r="J32" s="242" t="e">
        <f>D32*Final_demand_lighting</f>
        <v>#DIV/0!</v>
      </c>
      <c r="K32" s="351"/>
    </row>
    <row r="33" spans="2:12" x14ac:dyDescent="0.2">
      <c r="B33" s="69"/>
      <c r="C33" t="s">
        <v>132</v>
      </c>
      <c r="D33" s="71" t="e">
        <f>'Technology split final demand'!G32</f>
        <v>#DIV/0!</v>
      </c>
      <c r="E33" s="242"/>
      <c r="F33" s="242"/>
      <c r="G33" s="242"/>
      <c r="H33" s="242"/>
      <c r="I33" s="242"/>
      <c r="J33" s="242" t="e">
        <f>D33*Final_demand_lighting</f>
        <v>#DIV/0!</v>
      </c>
      <c r="K33" s="351"/>
    </row>
    <row r="34" spans="2:12" x14ac:dyDescent="0.2">
      <c r="B34" s="41"/>
      <c r="C34" s="9"/>
      <c r="D34" s="10"/>
      <c r="E34" s="356"/>
      <c r="F34" s="356"/>
      <c r="G34" s="356"/>
      <c r="H34" s="356"/>
      <c r="I34" s="356"/>
      <c r="J34" s="356"/>
      <c r="K34" s="357"/>
    </row>
    <row r="35" spans="2:12" x14ac:dyDescent="0.2">
      <c r="B35" s="35" t="s">
        <v>337</v>
      </c>
      <c r="D35" s="7"/>
      <c r="E35" s="352"/>
      <c r="F35" s="352"/>
      <c r="G35" s="352"/>
      <c r="H35" s="352"/>
      <c r="I35" s="352"/>
      <c r="J35" s="352"/>
      <c r="K35" s="353"/>
    </row>
    <row r="36" spans="2:12" x14ac:dyDescent="0.2">
      <c r="B36" s="28"/>
      <c r="C36" t="s">
        <v>559</v>
      </c>
      <c r="D36" s="71"/>
      <c r="E36" s="242" t="e">
        <f t="shared" ref="E36:K36" si="0">SUM(E15:E33)</f>
        <v>#DIV/0!</v>
      </c>
      <c r="F36" s="242" t="e">
        <f t="shared" si="0"/>
        <v>#DIV/0!</v>
      </c>
      <c r="G36" s="242" t="e">
        <f t="shared" si="0"/>
        <v>#DIV/0!</v>
      </c>
      <c r="H36" s="242" t="e">
        <f t="shared" si="0"/>
        <v>#DIV/0!</v>
      </c>
      <c r="I36" s="242" t="e">
        <f t="shared" si="0"/>
        <v>#DIV/0!</v>
      </c>
      <c r="J36" s="242" t="e">
        <f t="shared" si="0"/>
        <v>#DIV/0!</v>
      </c>
      <c r="K36" s="242" t="e">
        <f t="shared" si="0"/>
        <v>#DIV/0!</v>
      </c>
      <c r="L36" s="28"/>
    </row>
    <row r="37" spans="2:12" x14ac:dyDescent="0.2">
      <c r="B37" s="28"/>
      <c r="D37" s="7"/>
      <c r="E37" s="352"/>
      <c r="F37" s="352"/>
      <c r="G37" s="352"/>
      <c r="H37" s="352"/>
      <c r="I37" s="352"/>
      <c r="J37" s="352"/>
      <c r="K37" s="353"/>
    </row>
    <row r="38" spans="2:12" x14ac:dyDescent="0.2">
      <c r="B38" s="362" t="s">
        <v>585</v>
      </c>
      <c r="C38" s="4"/>
      <c r="D38" s="5"/>
      <c r="E38" s="354"/>
      <c r="F38" s="354"/>
      <c r="G38" s="354"/>
      <c r="H38" s="354"/>
      <c r="I38" s="354"/>
      <c r="J38" s="354"/>
      <c r="K38" s="355"/>
    </row>
    <row r="39" spans="2:12" x14ac:dyDescent="0.2">
      <c r="B39" s="28"/>
      <c r="C39" s="1" t="s">
        <v>586</v>
      </c>
      <c r="D39" s="7"/>
      <c r="E39" s="369" t="s">
        <v>539</v>
      </c>
      <c r="F39" s="369" t="s">
        <v>539</v>
      </c>
      <c r="G39" s="369" t="s">
        <v>539</v>
      </c>
      <c r="H39" s="369" t="s">
        <v>539</v>
      </c>
      <c r="I39" s="369" t="s">
        <v>539</v>
      </c>
      <c r="J39" s="242" t="str">
        <f>Dashboard!E29</f>
        <v/>
      </c>
      <c r="K39" s="370" t="s">
        <v>539</v>
      </c>
    </row>
    <row r="40" spans="2:12" x14ac:dyDescent="0.2">
      <c r="B40" s="28"/>
      <c r="C40"/>
      <c r="D40" s="366"/>
      <c r="E40" s="367"/>
      <c r="F40" s="367"/>
      <c r="G40" s="367"/>
      <c r="H40" s="367"/>
      <c r="I40" s="367"/>
      <c r="J40" s="367"/>
      <c r="K40" s="368"/>
    </row>
    <row r="41" spans="2:12" x14ac:dyDescent="0.2">
      <c r="B41" s="362" t="s">
        <v>562</v>
      </c>
      <c r="C41" s="4"/>
      <c r="D41" s="5"/>
      <c r="E41" s="354"/>
      <c r="F41" s="354"/>
      <c r="G41" s="354"/>
      <c r="H41" s="354"/>
      <c r="I41" s="354"/>
      <c r="J41" s="354"/>
      <c r="K41" s="355"/>
    </row>
    <row r="42" spans="2:12" x14ac:dyDescent="0.2">
      <c r="B42" s="28"/>
      <c r="C42" t="s">
        <v>261</v>
      </c>
      <c r="D42" s="71"/>
      <c r="E42" s="242"/>
      <c r="F42" s="242"/>
      <c r="G42" s="242"/>
      <c r="H42" s="242"/>
      <c r="I42" s="242"/>
      <c r="J42" s="242" t="e">
        <f>J11-J36-J39</f>
        <v>#DIV/0!</v>
      </c>
      <c r="K42" s="351"/>
    </row>
    <row r="43" spans="2:12" x14ac:dyDescent="0.2">
      <c r="B43" s="28"/>
      <c r="C43" t="s">
        <v>560</v>
      </c>
      <c r="D43" s="71"/>
      <c r="E43" s="242" t="e">
        <f>E11-E36</f>
        <v>#DIV/0!</v>
      </c>
      <c r="F43" s="242" t="e">
        <f>F11-F36</f>
        <v>#DIV/0!</v>
      </c>
      <c r="G43" s="242" t="e">
        <f>G11-G36</f>
        <v>#DIV/0!</v>
      </c>
      <c r="H43" s="350" t="s">
        <v>539</v>
      </c>
      <c r="I43" s="350" t="s">
        <v>539</v>
      </c>
      <c r="J43" s="350" t="s">
        <v>539</v>
      </c>
      <c r="K43" s="358" t="s">
        <v>539</v>
      </c>
    </row>
    <row r="44" spans="2:12" ht="17" thickBot="1" x14ac:dyDescent="0.25">
      <c r="B44" s="45"/>
      <c r="C44" s="94"/>
      <c r="D44" s="144"/>
      <c r="E44" s="359"/>
      <c r="F44" s="359"/>
      <c r="G44" s="359"/>
      <c r="H44" s="359"/>
      <c r="I44" s="359"/>
      <c r="J44" s="359"/>
      <c r="K44" s="360"/>
    </row>
  </sheetData>
  <mergeCells count="1">
    <mergeCell ref="B5:F5"/>
  </mergeCells>
  <conditionalFormatting sqref="E43:G43">
    <cfRule type="cellIs" dxfId="5" priority="1" operator="lessThan">
      <formula>0</formula>
    </cfRule>
  </conditionalFormatting>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theme="8" tint="0.39997558519241921"/>
  </sheetPr>
  <dimension ref="B2:J33"/>
  <sheetViews>
    <sheetView workbookViewId="0">
      <selection activeCell="D17" sqref="D17"/>
    </sheetView>
  </sheetViews>
  <sheetFormatPr baseColWidth="10" defaultRowHeight="16" x14ac:dyDescent="0.2"/>
  <cols>
    <col min="1" max="1" width="10.83203125" style="1"/>
    <col min="2" max="2" width="22.33203125" style="1" customWidth="1"/>
    <col min="3" max="3" width="34" style="1" bestFit="1" customWidth="1"/>
    <col min="4" max="4" width="17.83203125" style="1" customWidth="1"/>
    <col min="5" max="5" width="12.5" style="1" customWidth="1"/>
    <col min="6" max="6" width="22.5" style="1" customWidth="1"/>
    <col min="7" max="7" width="29.1640625" style="1" customWidth="1"/>
    <col min="8" max="8" width="32.6640625" style="1" customWidth="1"/>
    <col min="9" max="9" width="20.83203125" style="1" customWidth="1"/>
    <col min="10" max="10" width="5.1640625" style="1" customWidth="1"/>
    <col min="11" max="11" width="20.1640625" style="1" customWidth="1"/>
    <col min="12" max="12" width="10.83203125" style="1"/>
    <col min="13" max="13" width="29.83203125" style="1" customWidth="1"/>
    <col min="14" max="16384" width="10.83203125" style="1"/>
  </cols>
  <sheetData>
    <row r="2" spans="2:10" ht="21" x14ac:dyDescent="0.25">
      <c r="B2" s="2" t="s">
        <v>310</v>
      </c>
    </row>
    <row r="4" spans="2:10" x14ac:dyDescent="0.2">
      <c r="B4" s="3" t="s">
        <v>93</v>
      </c>
      <c r="C4" s="4"/>
      <c r="D4" s="4"/>
      <c r="E4" s="5"/>
    </row>
    <row r="5" spans="2:10" s="90" customFormat="1" ht="75" customHeight="1" x14ac:dyDescent="0.2">
      <c r="B5" s="372" t="s">
        <v>339</v>
      </c>
      <c r="C5" s="374"/>
      <c r="D5" s="374"/>
      <c r="E5" s="373"/>
    </row>
    <row r="6" spans="2:10" ht="17" thickBot="1" x14ac:dyDescent="0.25"/>
    <row r="7" spans="2:10" x14ac:dyDescent="0.2">
      <c r="B7" s="25" t="s">
        <v>477</v>
      </c>
      <c r="C7" s="51"/>
      <c r="D7" s="26"/>
      <c r="E7" s="26"/>
      <c r="F7" s="51"/>
      <c r="G7" s="51"/>
      <c r="H7" s="27"/>
    </row>
    <row r="8" spans="2:10" x14ac:dyDescent="0.2">
      <c r="B8" s="28"/>
      <c r="D8" s="14"/>
      <c r="E8" s="14"/>
      <c r="H8" s="29"/>
    </row>
    <row r="9" spans="2:10" ht="48" x14ac:dyDescent="0.2">
      <c r="B9" s="64" t="s">
        <v>336</v>
      </c>
      <c r="C9" s="70" t="s">
        <v>225</v>
      </c>
      <c r="D9" s="99" t="s">
        <v>239</v>
      </c>
      <c r="E9" s="99" t="s">
        <v>237</v>
      </c>
      <c r="F9" s="99" t="s">
        <v>240</v>
      </c>
      <c r="G9" s="99" t="s">
        <v>238</v>
      </c>
      <c r="H9" s="32" t="s">
        <v>18</v>
      </c>
    </row>
    <row r="10" spans="2:10" x14ac:dyDescent="0.2">
      <c r="B10" s="35" t="s">
        <v>120</v>
      </c>
      <c r="C10" s="14"/>
      <c r="D10" s="280"/>
      <c r="E10" s="280"/>
      <c r="F10" s="280"/>
      <c r="G10" s="280"/>
      <c r="H10" s="34"/>
    </row>
    <row r="11" spans="2:10" x14ac:dyDescent="0.2">
      <c r="B11" s="35"/>
      <c r="C11" t="s">
        <v>121</v>
      </c>
      <c r="D11" s="175">
        <f>Dashboard!E44</f>
        <v>0</v>
      </c>
      <c r="E11" s="100">
        <f>Eff_space_heating_gas</f>
        <v>0</v>
      </c>
      <c r="F11" s="175" t="e">
        <f t="shared" ref="F11:F17" si="0">D11/E11</f>
        <v>#DIV/0!</v>
      </c>
      <c r="G11" s="371" t="e">
        <f>F11/SUM($F$11:$F$17)*(1-SUM($G$19:$G$21))</f>
        <v>#DIV/0!</v>
      </c>
      <c r="H11" s="92"/>
      <c r="J11" s="58"/>
    </row>
    <row r="12" spans="2:10" x14ac:dyDescent="0.2">
      <c r="B12" s="35"/>
      <c r="C12" t="s">
        <v>123</v>
      </c>
      <c r="D12" s="175">
        <f>Dashboard!E45</f>
        <v>0</v>
      </c>
      <c r="E12" s="100" t="e">
        <f>Eff_space_heating_pump_storage</f>
        <v>#DIV/0!</v>
      </c>
      <c r="F12" s="175" t="e">
        <f t="shared" si="0"/>
        <v>#DIV/0!</v>
      </c>
      <c r="G12" s="371" t="e">
        <f t="shared" ref="G12:G17" si="1">F12/SUM($F$11:$F$17)*(1-SUM($G$19:$G$21))</f>
        <v>#DIV/0!</v>
      </c>
      <c r="H12" s="92"/>
      <c r="J12" s="58"/>
    </row>
    <row r="13" spans="2:10" x14ac:dyDescent="0.2">
      <c r="B13" s="35"/>
      <c r="C13" t="s">
        <v>122</v>
      </c>
      <c r="D13" s="175">
        <f>Dashboard!E46</f>
        <v>0</v>
      </c>
      <c r="E13" s="100" t="e">
        <f>Eff_space_heating_pump_gas</f>
        <v>#DIV/0!</v>
      </c>
      <c r="F13" s="175" t="e">
        <f t="shared" si="0"/>
        <v>#DIV/0!</v>
      </c>
      <c r="G13" s="371" t="e">
        <f t="shared" si="1"/>
        <v>#DIV/0!</v>
      </c>
      <c r="H13" s="40"/>
      <c r="J13" s="58"/>
    </row>
    <row r="14" spans="2:10" x14ac:dyDescent="0.2">
      <c r="B14" s="35"/>
      <c r="C14" t="s">
        <v>124</v>
      </c>
      <c r="D14" s="175">
        <f>Dashboard!E47</f>
        <v>0</v>
      </c>
      <c r="E14" s="100">
        <f>Eff_space_heating_electric</f>
        <v>0</v>
      </c>
      <c r="F14" s="175" t="e">
        <f t="shared" si="0"/>
        <v>#DIV/0!</v>
      </c>
      <c r="G14" s="371" t="e">
        <f t="shared" si="1"/>
        <v>#DIV/0!</v>
      </c>
      <c r="H14" s="40"/>
      <c r="J14" s="58"/>
    </row>
    <row r="15" spans="2:10" x14ac:dyDescent="0.2">
      <c r="B15" s="35"/>
      <c r="C15" t="s">
        <v>126</v>
      </c>
      <c r="D15" s="175">
        <f>Dashboard!E48</f>
        <v>0</v>
      </c>
      <c r="E15" s="100">
        <f>Eff_space_heating_coal</f>
        <v>0</v>
      </c>
      <c r="F15" s="175" t="e">
        <f t="shared" si="0"/>
        <v>#DIV/0!</v>
      </c>
      <c r="G15" s="371" t="e">
        <f t="shared" si="1"/>
        <v>#DIV/0!</v>
      </c>
      <c r="H15" s="40"/>
      <c r="J15" s="58"/>
    </row>
    <row r="16" spans="2:10" x14ac:dyDescent="0.2">
      <c r="B16" s="35"/>
      <c r="C16" t="s">
        <v>127</v>
      </c>
      <c r="D16" s="175">
        <f>Dashboard!E49</f>
        <v>0</v>
      </c>
      <c r="E16" s="100">
        <f>Eff_space_heating_oil</f>
        <v>0</v>
      </c>
      <c r="F16" s="175" t="e">
        <f t="shared" si="0"/>
        <v>#DIV/0!</v>
      </c>
      <c r="G16" s="371" t="e">
        <f t="shared" si="1"/>
        <v>#DIV/0!</v>
      </c>
      <c r="H16" s="40"/>
      <c r="J16" s="58"/>
    </row>
    <row r="17" spans="2:10" x14ac:dyDescent="0.2">
      <c r="B17" s="35"/>
      <c r="C17" t="s">
        <v>596</v>
      </c>
      <c r="D17" s="175">
        <f>Dashboard!E50</f>
        <v>0</v>
      </c>
      <c r="E17" s="100" t="e" cm="1">
        <f t="array" ref="E17">Eff_space_heating_air_heatpump</f>
        <v>#DIV/0!</v>
      </c>
      <c r="F17" s="175" t="e">
        <f t="shared" si="0"/>
        <v>#DIV/0!</v>
      </c>
      <c r="G17" s="371" t="e">
        <f t="shared" si="1"/>
        <v>#DIV/0!</v>
      </c>
      <c r="H17" s="40"/>
      <c r="J17" s="58"/>
    </row>
    <row r="18" spans="2:10" x14ac:dyDescent="0.2">
      <c r="B18" s="35"/>
      <c r="D18" s="176"/>
      <c r="G18" s="232"/>
      <c r="H18" s="29"/>
      <c r="J18" s="58"/>
    </row>
    <row r="19" spans="2:10" x14ac:dyDescent="0.2">
      <c r="B19" s="35"/>
      <c r="C19" t="s">
        <v>125</v>
      </c>
      <c r="D19" s="175"/>
      <c r="E19" s="100"/>
      <c r="F19" s="101"/>
      <c r="G19" s="233" t="e">
        <f>'Final demand extracted from EB'!D14</f>
        <v>#DIV/0!</v>
      </c>
      <c r="H19" s="378" t="s">
        <v>304</v>
      </c>
      <c r="J19" s="58"/>
    </row>
    <row r="20" spans="2:10" x14ac:dyDescent="0.2">
      <c r="B20" s="35"/>
      <c r="C20" t="s">
        <v>128</v>
      </c>
      <c r="D20" s="175"/>
      <c r="E20" s="100"/>
      <c r="F20" s="101"/>
      <c r="G20" s="233" t="e">
        <f>'Final demand extracted from EB'!D10</f>
        <v>#DIV/0!</v>
      </c>
      <c r="H20" s="378"/>
      <c r="J20" s="58"/>
    </row>
    <row r="21" spans="2:10" ht="15" customHeight="1" x14ac:dyDescent="0.2">
      <c r="B21" s="35"/>
      <c r="C21" t="s">
        <v>129</v>
      </c>
      <c r="D21" s="175"/>
      <c r="E21" s="100"/>
      <c r="F21" s="101"/>
      <c r="G21" s="233" t="e">
        <f>'Final demand extracted from EB'!D18</f>
        <v>#DIV/0!</v>
      </c>
      <c r="H21" s="378"/>
      <c r="J21" s="58"/>
    </row>
    <row r="22" spans="2:10" x14ac:dyDescent="0.2">
      <c r="B22" s="134"/>
      <c r="C22" s="9"/>
      <c r="D22" s="275"/>
      <c r="E22" s="9"/>
      <c r="F22" s="9"/>
      <c r="G22" s="276"/>
      <c r="H22" s="277"/>
    </row>
    <row r="23" spans="2:10" x14ac:dyDescent="0.2">
      <c r="B23" s="262" t="s">
        <v>103</v>
      </c>
      <c r="C23" s="258"/>
      <c r="D23" s="267"/>
      <c r="E23" s="258"/>
      <c r="F23" s="58"/>
      <c r="G23" s="267"/>
      <c r="H23" s="268"/>
    </row>
    <row r="24" spans="2:10" x14ac:dyDescent="0.2">
      <c r="B24" s="262"/>
      <c r="C24" t="s">
        <v>122</v>
      </c>
      <c r="D24" s="279">
        <f>Dashboard!E54</f>
        <v>0</v>
      </c>
      <c r="E24" s="182" t="e">
        <f>Eff_cooling_pump</f>
        <v>#DIV/0!</v>
      </c>
      <c r="F24" s="269" t="e">
        <f>D24/E24</f>
        <v>#DIV/0!</v>
      </c>
      <c r="G24" s="270" t="e">
        <f>F24/SUM($F$24:$F$27)</f>
        <v>#DIV/0!</v>
      </c>
      <c r="H24" s="96"/>
    </row>
    <row r="25" spans="2:10" x14ac:dyDescent="0.2">
      <c r="B25" s="262"/>
      <c r="C25" t="s">
        <v>123</v>
      </c>
      <c r="D25" s="279">
        <f>Dashboard!E55</f>
        <v>0</v>
      </c>
      <c r="E25" s="182" t="e">
        <f>Eff_cooling_pump_storage</f>
        <v>#DIV/0!</v>
      </c>
      <c r="F25" s="269" t="e">
        <f>D25/E25</f>
        <v>#DIV/0!</v>
      </c>
      <c r="G25" s="270" t="e">
        <f t="shared" ref="G25:G27" si="2">F25/SUM($F$24:$F$27)</f>
        <v>#DIV/0!</v>
      </c>
      <c r="H25" s="96"/>
    </row>
    <row r="26" spans="2:10" x14ac:dyDescent="0.2">
      <c r="B26" s="262"/>
      <c r="C26" t="s">
        <v>131</v>
      </c>
      <c r="D26" s="279">
        <f>Dashboard!E56</f>
        <v>0</v>
      </c>
      <c r="E26" s="182" t="e">
        <f>Eff_cooling_airco</f>
        <v>#DIV/0!</v>
      </c>
      <c r="F26" s="269" t="e">
        <f>D26/E26</f>
        <v>#DIV/0!</v>
      </c>
      <c r="G26" s="270" t="e">
        <f t="shared" si="2"/>
        <v>#DIV/0!</v>
      </c>
      <c r="H26" s="96"/>
    </row>
    <row r="27" spans="2:10" x14ac:dyDescent="0.2">
      <c r="B27" s="262"/>
      <c r="C27" t="s">
        <v>596</v>
      </c>
      <c r="D27" s="279">
        <f>Dashboard!E57</f>
        <v>0</v>
      </c>
      <c r="E27" s="182" t="e" cm="1">
        <f t="array" ref="E27">Eff_cooling_air_heatpump</f>
        <v>#DIV/0!</v>
      </c>
      <c r="F27" s="269" t="e">
        <f>D27/E27</f>
        <v>#DIV/0!</v>
      </c>
      <c r="G27" s="270" t="e">
        <f t="shared" si="2"/>
        <v>#DIV/0!</v>
      </c>
      <c r="H27" s="96"/>
    </row>
    <row r="28" spans="2:10" x14ac:dyDescent="0.2">
      <c r="B28" s="278"/>
      <c r="C28" s="271"/>
      <c r="D28" s="272"/>
      <c r="E28" s="271"/>
      <c r="F28" s="271"/>
      <c r="G28" s="273"/>
      <c r="H28" s="274"/>
    </row>
    <row r="29" spans="2:10" x14ac:dyDescent="0.2">
      <c r="B29" s="262" t="s">
        <v>89</v>
      </c>
      <c r="C29" s="258"/>
      <c r="D29" s="267"/>
      <c r="E29" s="258"/>
      <c r="F29" s="58"/>
      <c r="G29" s="267"/>
      <c r="H29" s="268"/>
    </row>
    <row r="30" spans="2:10" x14ac:dyDescent="0.2">
      <c r="B30" s="262"/>
      <c r="C30" t="s">
        <v>330</v>
      </c>
      <c r="D30" s="279">
        <f>Dashboard!E61</f>
        <v>0</v>
      </c>
      <c r="E30" s="182">
        <f>Eff_lighting_tube_fluorescent_standartd</f>
        <v>0</v>
      </c>
      <c r="F30" s="269" t="e">
        <f>D30/E30</f>
        <v>#DIV/0!</v>
      </c>
      <c r="G30" s="270" t="e">
        <f>F30/SUM($F$30:$F$32)</f>
        <v>#DIV/0!</v>
      </c>
      <c r="H30" s="96"/>
    </row>
    <row r="31" spans="2:10" x14ac:dyDescent="0.2">
      <c r="B31" s="262"/>
      <c r="C31" t="s">
        <v>331</v>
      </c>
      <c r="D31" s="279">
        <f>Dashboard!E62</f>
        <v>0</v>
      </c>
      <c r="E31" s="182">
        <f>Eff_lighting_tube_fluorescent_efficient</f>
        <v>0</v>
      </c>
      <c r="F31" s="269" t="e">
        <f>D31/E31</f>
        <v>#DIV/0!</v>
      </c>
      <c r="G31" s="270" t="e">
        <f>F31/SUM($F$30:$F$32)</f>
        <v>#DIV/0!</v>
      </c>
      <c r="H31" s="96"/>
    </row>
    <row r="32" spans="2:10" x14ac:dyDescent="0.2">
      <c r="B32" s="262"/>
      <c r="C32" t="s">
        <v>132</v>
      </c>
      <c r="D32" s="279">
        <f>Dashboard!E63</f>
        <v>0</v>
      </c>
      <c r="E32" s="182">
        <f>Eff_lighting_led</f>
        <v>0</v>
      </c>
      <c r="F32" s="269" t="e">
        <f>D32/E32</f>
        <v>#DIV/0!</v>
      </c>
      <c r="G32" s="270" t="e">
        <f>F32/SUM($F$30:$F$32)</f>
        <v>#DIV/0!</v>
      </c>
      <c r="H32" s="96"/>
    </row>
    <row r="33" spans="2:8" ht="17" thickBot="1" x14ac:dyDescent="0.25">
      <c r="B33" s="264"/>
      <c r="C33" s="97"/>
      <c r="D33" s="97"/>
      <c r="E33" s="97"/>
      <c r="F33" s="97"/>
      <c r="G33" s="230"/>
      <c r="H33" s="98"/>
    </row>
  </sheetData>
  <mergeCells count="2">
    <mergeCell ref="B5:E5"/>
    <mergeCell ref="H19:H21"/>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theme="8" tint="0.79998168889431442"/>
  </sheetPr>
  <dimension ref="B2:D19"/>
  <sheetViews>
    <sheetView workbookViewId="0">
      <selection activeCell="D13" sqref="D13"/>
    </sheetView>
  </sheetViews>
  <sheetFormatPr baseColWidth="10" defaultRowHeight="16" x14ac:dyDescent="0.2"/>
  <cols>
    <col min="1" max="1" width="10.83203125" style="1"/>
    <col min="2" max="2" width="21.6640625" style="1" customWidth="1"/>
    <col min="3" max="3" width="61.33203125" style="1" bestFit="1" customWidth="1"/>
    <col min="4" max="4" width="10.83203125" style="1" customWidth="1"/>
    <col min="5" max="16384" width="10.83203125" style="1"/>
  </cols>
  <sheetData>
    <row r="2" spans="2:4" ht="21" x14ac:dyDescent="0.25">
      <c r="B2" s="2" t="s">
        <v>306</v>
      </c>
    </row>
    <row r="4" spans="2:4" x14ac:dyDescent="0.2">
      <c r="B4" s="3" t="s">
        <v>93</v>
      </c>
      <c r="C4" s="5"/>
    </row>
    <row r="5" spans="2:4" ht="45" customHeight="1" x14ac:dyDescent="0.2">
      <c r="B5" s="372" t="s">
        <v>346</v>
      </c>
      <c r="C5" s="373"/>
    </row>
    <row r="6" spans="2:4" ht="17" thickBot="1" x14ac:dyDescent="0.25"/>
    <row r="7" spans="2:4" ht="30" customHeight="1" x14ac:dyDescent="0.2">
      <c r="B7" s="184" t="s">
        <v>323</v>
      </c>
      <c r="C7" s="185" t="s">
        <v>281</v>
      </c>
      <c r="D7" s="186" t="s">
        <v>282</v>
      </c>
    </row>
    <row r="8" spans="2:4" x14ac:dyDescent="0.2">
      <c r="B8" s="47" t="s">
        <v>301</v>
      </c>
      <c r="C8" s="4"/>
      <c r="D8" s="183"/>
    </row>
    <row r="9" spans="2:4" x14ac:dyDescent="0.2">
      <c r="B9" s="69"/>
      <c r="C9" t="s">
        <v>308</v>
      </c>
      <c r="D9" s="210">
        <f>'Fuel aggregation'!F11</f>
        <v>0</v>
      </c>
    </row>
    <row r="10" spans="2:4" x14ac:dyDescent="0.2">
      <c r="B10" s="69"/>
      <c r="C10" t="s">
        <v>293</v>
      </c>
      <c r="D10" s="231" t="e">
        <f>D9/Final_demand_space_heating</f>
        <v>#DIV/0!</v>
      </c>
    </row>
    <row r="11" spans="2:4" x14ac:dyDescent="0.2">
      <c r="B11" s="141"/>
      <c r="C11" s="9"/>
      <c r="D11" s="142"/>
    </row>
    <row r="12" spans="2:4" x14ac:dyDescent="0.2">
      <c r="B12" s="47" t="s">
        <v>144</v>
      </c>
      <c r="C12" s="4"/>
      <c r="D12" s="183"/>
    </row>
    <row r="13" spans="2:4" x14ac:dyDescent="0.2">
      <c r="B13" s="69"/>
      <c r="C13" t="s">
        <v>309</v>
      </c>
      <c r="D13" s="210">
        <f>'Fuel aggregation'!G11</f>
        <v>0</v>
      </c>
    </row>
    <row r="14" spans="2:4" x14ac:dyDescent="0.2">
      <c r="B14" s="69"/>
      <c r="C14" t="s">
        <v>295</v>
      </c>
      <c r="D14" s="231" t="e">
        <f>D13/Final_demand_space_heating</f>
        <v>#DIV/0!</v>
      </c>
    </row>
    <row r="15" spans="2:4" x14ac:dyDescent="0.2">
      <c r="B15" s="141"/>
      <c r="C15" s="9"/>
      <c r="D15" s="142"/>
    </row>
    <row r="16" spans="2:4" x14ac:dyDescent="0.2">
      <c r="B16" s="47" t="s">
        <v>129</v>
      </c>
      <c r="C16" s="5"/>
      <c r="D16" s="183"/>
    </row>
    <row r="17" spans="2:4" x14ac:dyDescent="0.2">
      <c r="B17" s="69"/>
      <c r="C17" s="16" t="s">
        <v>307</v>
      </c>
      <c r="D17" s="210">
        <f>'Fuel aggregation'!I11</f>
        <v>0</v>
      </c>
    </row>
    <row r="18" spans="2:4" x14ac:dyDescent="0.2">
      <c r="B18" s="69"/>
      <c r="C18" s="16" t="s">
        <v>294</v>
      </c>
      <c r="D18" s="231" t="e">
        <f>D17/Final_demand_space_heating</f>
        <v>#DIV/0!</v>
      </c>
    </row>
    <row r="19" spans="2:4" ht="17" thickBot="1" x14ac:dyDescent="0.25">
      <c r="B19" s="178"/>
      <c r="C19" s="144"/>
      <c r="D19" s="179"/>
    </row>
  </sheetData>
  <mergeCells count="1">
    <mergeCell ref="B5:C5"/>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theme="8" tint="0.79998168889431442"/>
  </sheetPr>
  <dimension ref="B2:L24"/>
  <sheetViews>
    <sheetView workbookViewId="0"/>
  </sheetViews>
  <sheetFormatPr baseColWidth="10" defaultRowHeight="16" x14ac:dyDescent="0.2"/>
  <cols>
    <col min="1" max="1" width="10.83203125" style="135"/>
    <col min="2" max="2" width="27.83203125" style="135" bestFit="1" customWidth="1"/>
    <col min="3" max="10" width="21.6640625" style="135" customWidth="1"/>
    <col min="11" max="11" width="23.6640625" style="135" bestFit="1" customWidth="1"/>
    <col min="12" max="12" width="20.33203125" style="135" customWidth="1"/>
    <col min="13" max="16384" width="10.83203125" style="135"/>
  </cols>
  <sheetData>
    <row r="2" spans="2:12" ht="21" x14ac:dyDescent="0.25">
      <c r="B2" s="2" t="s">
        <v>305</v>
      </c>
      <c r="C2" s="1"/>
      <c r="D2" s="1"/>
      <c r="E2" s="1"/>
      <c r="G2" s="1"/>
      <c r="H2" s="1"/>
    </row>
    <row r="3" spans="2:12" x14ac:dyDescent="0.2">
      <c r="B3" s="1"/>
      <c r="C3" s="1"/>
      <c r="D3" s="1"/>
      <c r="E3" s="1"/>
      <c r="G3" s="1"/>
      <c r="H3" s="1"/>
    </row>
    <row r="4" spans="2:12" x14ac:dyDescent="0.2">
      <c r="B4" s="3" t="s">
        <v>93</v>
      </c>
      <c r="C4" s="4"/>
      <c r="D4" s="4"/>
      <c r="E4" s="4"/>
      <c r="F4" s="192"/>
      <c r="G4" s="1"/>
      <c r="H4" s="1"/>
    </row>
    <row r="5" spans="2:12" ht="60" customHeight="1" x14ac:dyDescent="0.2">
      <c r="B5" s="372" t="s">
        <v>338</v>
      </c>
      <c r="C5" s="374"/>
      <c r="D5" s="374"/>
      <c r="E5" s="374"/>
      <c r="F5" s="373"/>
      <c r="G5" s="91"/>
      <c r="H5" s="91"/>
    </row>
    <row r="6" spans="2:12" ht="17" thickBot="1" x14ac:dyDescent="0.25"/>
    <row r="7" spans="2:12" x14ac:dyDescent="0.2">
      <c r="B7" s="169" t="s">
        <v>226</v>
      </c>
      <c r="C7" s="51"/>
      <c r="D7" s="26"/>
      <c r="E7" s="51"/>
      <c r="F7" s="51"/>
      <c r="G7" s="51"/>
      <c r="H7" s="51"/>
      <c r="I7" s="51"/>
      <c r="J7" s="51"/>
      <c r="K7" s="249"/>
      <c r="L7" s="27"/>
    </row>
    <row r="8" spans="2:12" x14ac:dyDescent="0.2">
      <c r="B8" s="170"/>
      <c r="C8" s="1"/>
      <c r="D8" s="1"/>
      <c r="E8" s="1"/>
      <c r="F8" s="1"/>
      <c r="G8" s="1"/>
      <c r="H8" s="1"/>
      <c r="I8" s="1"/>
      <c r="J8" s="1"/>
      <c r="K8" s="170"/>
      <c r="L8" s="29"/>
    </row>
    <row r="9" spans="2:12" ht="32" x14ac:dyDescent="0.2">
      <c r="B9" s="171"/>
      <c r="C9" s="65" t="s">
        <v>270</v>
      </c>
      <c r="D9" s="65" t="s">
        <v>570</v>
      </c>
      <c r="E9" s="65" t="s">
        <v>271</v>
      </c>
      <c r="F9" s="65" t="s">
        <v>272</v>
      </c>
      <c r="G9" s="65" t="s">
        <v>269</v>
      </c>
      <c r="H9" s="65" t="s">
        <v>268</v>
      </c>
      <c r="I9" s="65" t="s">
        <v>273</v>
      </c>
      <c r="J9" s="65" t="s">
        <v>285</v>
      </c>
      <c r="K9" s="250" t="s">
        <v>455</v>
      </c>
      <c r="L9" s="136" t="s">
        <v>456</v>
      </c>
    </row>
    <row r="10" spans="2:12" x14ac:dyDescent="0.2">
      <c r="B10" s="172"/>
      <c r="C10" s="68"/>
      <c r="D10" s="68"/>
      <c r="E10" s="68"/>
      <c r="F10" s="68"/>
      <c r="G10" s="68"/>
      <c r="H10" s="68"/>
      <c r="I10" s="68"/>
      <c r="J10" s="68"/>
      <c r="K10" s="251"/>
      <c r="L10" s="137"/>
    </row>
    <row r="11" spans="2:12" ht="32" x14ac:dyDescent="0.2">
      <c r="B11" s="173" t="s">
        <v>274</v>
      </c>
      <c r="C11" s="209">
        <f>SUM('Corrected energy balance step 2'!C83:N83)+'Corrected energy balance step 2'!S83</f>
        <v>0</v>
      </c>
      <c r="D11" s="209">
        <f>'Corrected energy balance step 2'!T83+'Corrected energy balance step 2'!AV83</f>
        <v>0</v>
      </c>
      <c r="E11" s="209">
        <f>SUM('Corrected energy balance step 2'!U83:AQ83,'Corrected energy balance step 2'!AW83:AY83)</f>
        <v>0</v>
      </c>
      <c r="F11" s="209">
        <f>'Corrected energy balance step 2'!AU83+'Corrected energy balance step 2'!AZ83+'Corrected energy balance step 2'!BA83</f>
        <v>0</v>
      </c>
      <c r="G11" s="209">
        <f>'Corrected energy balance step 2'!BH83</f>
        <v>0</v>
      </c>
      <c r="H11" s="209">
        <f>'Corrected energy balance step 2'!BL83</f>
        <v>0</v>
      </c>
      <c r="I11" s="209">
        <f>'Corrected energy balance step 2'!BM83+'Corrected energy balance step 2'!BF83</f>
        <v>0</v>
      </c>
      <c r="J11" s="209">
        <f>SUM('Corrected energy balance step 2'!O83:R83,'Corrected energy balance step 2'!AR83:AT83,'Corrected energy balance step 2'!BB83:BE83,'Corrected energy balance step 2'!BG83,'Corrected energy balance step 2'!BI83:BK83)</f>
        <v>0</v>
      </c>
      <c r="K11" s="252">
        <f>SUM(C10:J11)</f>
        <v>0</v>
      </c>
      <c r="L11" s="253">
        <f>'Corrected energy balance step 2'!$BN$83</f>
        <v>0</v>
      </c>
    </row>
    <row r="12" spans="2:12" ht="17" thickBot="1" x14ac:dyDescent="0.25">
      <c r="B12" s="174"/>
      <c r="C12" s="138"/>
      <c r="D12" s="138"/>
      <c r="E12" s="138"/>
      <c r="F12" s="138"/>
      <c r="G12" s="138"/>
      <c r="H12" s="138"/>
      <c r="I12" s="138"/>
      <c r="J12" s="138"/>
      <c r="K12" s="256"/>
      <c r="L12" s="255"/>
    </row>
    <row r="13" spans="2:12" x14ac:dyDescent="0.2">
      <c r="K13" s="254"/>
      <c r="L13" s="254"/>
    </row>
    <row r="17" spans="10:11" x14ac:dyDescent="0.2">
      <c r="J17" s="244" t="s">
        <v>457</v>
      </c>
      <c r="K17" s="192"/>
    </row>
    <row r="18" spans="10:11" x14ac:dyDescent="0.2">
      <c r="J18" s="245" t="s">
        <v>458</v>
      </c>
      <c r="K18" s="246"/>
    </row>
    <row r="19" spans="10:11" x14ac:dyDescent="0.2">
      <c r="J19" s="245" t="str">
        <f>"- total demand of aggregated carriers"</f>
        <v>- total demand of aggregated carriers</v>
      </c>
      <c r="K19" s="246"/>
    </row>
    <row r="20" spans="10:11" x14ac:dyDescent="0.2">
      <c r="J20" s="245" t="str">
        <f>"- total demand in energy balance (IEA)"</f>
        <v>- total demand in energy balance (IEA)</v>
      </c>
      <c r="K20" s="246"/>
    </row>
    <row r="21" spans="10:11" x14ac:dyDescent="0.2">
      <c r="J21" s="245" t="s">
        <v>459</v>
      </c>
      <c r="K21" s="246"/>
    </row>
    <row r="22" spans="10:11" x14ac:dyDescent="0.2">
      <c r="J22" s="245" t="s">
        <v>460</v>
      </c>
      <c r="K22" s="246"/>
    </row>
    <row r="23" spans="10:11" x14ac:dyDescent="0.2">
      <c r="J23" s="245"/>
      <c r="K23" s="246"/>
    </row>
    <row r="24" spans="10:11" x14ac:dyDescent="0.2">
      <c r="J24" s="247" t="s">
        <v>461</v>
      </c>
      <c r="K24" s="248">
        <f>K11-Final_demand_residences</f>
        <v>0</v>
      </c>
    </row>
  </sheetData>
  <mergeCells count="1">
    <mergeCell ref="B5:F5"/>
  </mergeCells>
  <conditionalFormatting sqref="C12:D12 G12:I12">
    <cfRule type="cellIs" dxfId="4" priority="7" operator="greaterThan">
      <formula>0</formula>
    </cfRule>
  </conditionalFormatting>
  <conditionalFormatting sqref="K24">
    <cfRule type="cellIs" dxfId="3" priority="3" operator="notBetween">
      <formula>-1</formula>
      <formula>1</formula>
    </cfRule>
    <cfRule type="cellIs" dxfId="2" priority="4" operator="between">
      <formula>-1</formula>
      <formula>1</formula>
    </cfRule>
  </conditionalFormatting>
  <conditionalFormatting sqref="K13:L13">
    <cfRule type="uniqueValues" dxfId="1" priority="1"/>
    <cfRule type="duplicateValues" dxfId="0" priority="2"/>
  </conditionalFormatting>
  <pageMargins left="0.75" right="0.75" top="1" bottom="1" header="0.5" footer="0.5"/>
  <pageSetup paperSize="9" orientation="portrait" horizontalDpi="4294967292" verticalDpi="4294967292"/>
  <ignoredErrors>
    <ignoredError sqref="K11" emptyCellReference="1"/>
  </ignoredErrors>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8" tint="0.79998168889431442"/>
  </sheetPr>
  <dimension ref="B2:I20"/>
  <sheetViews>
    <sheetView workbookViewId="0">
      <selection activeCell="C25" sqref="C25"/>
    </sheetView>
  </sheetViews>
  <sheetFormatPr baseColWidth="10" defaultRowHeight="16" x14ac:dyDescent="0.2"/>
  <cols>
    <col min="1" max="1" width="10.83203125" style="1"/>
    <col min="2" max="2" width="22.33203125" style="1" customWidth="1"/>
    <col min="3" max="3" width="34" style="1" bestFit="1" customWidth="1"/>
    <col min="4" max="4" width="17.83203125" style="1" customWidth="1"/>
    <col min="5" max="5" width="16" style="1" customWidth="1"/>
    <col min="6" max="6" width="22.5" style="1" customWidth="1"/>
    <col min="7" max="7" width="29.1640625" style="1" customWidth="1"/>
    <col min="8" max="8" width="20.83203125" style="1" customWidth="1"/>
    <col min="9" max="9" width="5.1640625" style="1" customWidth="1"/>
    <col min="10" max="10" width="20.1640625" style="1" customWidth="1"/>
    <col min="11" max="11" width="32.5" style="1" customWidth="1"/>
    <col min="12" max="12" width="29.83203125" style="1" customWidth="1"/>
    <col min="13" max="16384" width="10.83203125" style="1"/>
  </cols>
  <sheetData>
    <row r="2" spans="2:9" ht="21" x14ac:dyDescent="0.25">
      <c r="B2" s="2" t="s">
        <v>311</v>
      </c>
    </row>
    <row r="4" spans="2:9" x14ac:dyDescent="0.2">
      <c r="B4" s="3" t="s">
        <v>93</v>
      </c>
      <c r="C4" s="4"/>
      <c r="D4" s="4"/>
      <c r="E4" s="5"/>
    </row>
    <row r="5" spans="2:9" ht="45" customHeight="1" x14ac:dyDescent="0.2">
      <c r="B5" s="372" t="s">
        <v>324</v>
      </c>
      <c r="C5" s="374"/>
      <c r="D5" s="374"/>
      <c r="E5" s="373"/>
    </row>
    <row r="6" spans="2:9" ht="17" thickBot="1" x14ac:dyDescent="0.25"/>
    <row r="7" spans="2:9" x14ac:dyDescent="0.2">
      <c r="B7" s="25" t="s">
        <v>90</v>
      </c>
      <c r="C7" s="26"/>
      <c r="D7" s="26"/>
      <c r="E7" s="26"/>
      <c r="F7" s="51"/>
      <c r="G7" s="27"/>
    </row>
    <row r="8" spans="2:9" ht="48" x14ac:dyDescent="0.2">
      <c r="B8" s="33"/>
      <c r="C8" s="93"/>
      <c r="D8" s="99" t="s">
        <v>296</v>
      </c>
      <c r="E8" s="99" t="s">
        <v>409</v>
      </c>
      <c r="F8" s="99" t="s">
        <v>410</v>
      </c>
      <c r="G8" s="180" t="s">
        <v>297</v>
      </c>
    </row>
    <row r="9" spans="2:9" x14ac:dyDescent="0.2">
      <c r="B9" s="33"/>
      <c r="C9" t="s">
        <v>121</v>
      </c>
      <c r="D9" s="281" t="e">
        <f>'Technology split final demand'!G11</f>
        <v>#DIV/0!</v>
      </c>
      <c r="E9" s="211" t="e">
        <f t="shared" ref="E9:E14" si="0">D9*Final_demand_space_heating</f>
        <v>#DIV/0!</v>
      </c>
      <c r="F9" s="211" t="e">
        <f>Eff_space_heating_gas*E9</f>
        <v>#DIV/0!</v>
      </c>
      <c r="G9" s="240" t="e">
        <f>F9/SUM($F$9:$F$19)</f>
        <v>#DIV/0!</v>
      </c>
      <c r="H9" s="58"/>
      <c r="I9" s="243"/>
    </row>
    <row r="10" spans="2:9" x14ac:dyDescent="0.2">
      <c r="B10" s="33"/>
      <c r="C10" t="s">
        <v>123</v>
      </c>
      <c r="D10" s="175" t="e">
        <f>'Technology split final demand'!G12</f>
        <v>#DIV/0!</v>
      </c>
      <c r="E10" s="211" t="e">
        <f t="shared" si="0"/>
        <v>#DIV/0!</v>
      </c>
      <c r="F10" s="211" t="e">
        <f>Eff_space_heating_pump_storage*E10</f>
        <v>#DIV/0!</v>
      </c>
      <c r="G10" s="240" t="e">
        <f t="shared" ref="G10:G19" si="1">F10/SUM($F$9:$F$19)</f>
        <v>#DIV/0!</v>
      </c>
      <c r="I10" s="243"/>
    </row>
    <row r="11" spans="2:9" x14ac:dyDescent="0.2">
      <c r="B11" s="33"/>
      <c r="C11" t="s">
        <v>122</v>
      </c>
      <c r="D11" s="175" t="e">
        <f>'Technology split final demand'!G13</f>
        <v>#DIV/0!</v>
      </c>
      <c r="E11" s="211" t="e">
        <f t="shared" si="0"/>
        <v>#DIV/0!</v>
      </c>
      <c r="F11" s="211" t="e">
        <f>Eff_space_heating_pump_gas*E11</f>
        <v>#DIV/0!</v>
      </c>
      <c r="G11" s="240" t="e">
        <f t="shared" si="1"/>
        <v>#DIV/0!</v>
      </c>
      <c r="I11" s="243"/>
    </row>
    <row r="12" spans="2:9" x14ac:dyDescent="0.2">
      <c r="B12" s="33"/>
      <c r="C12" t="s">
        <v>124</v>
      </c>
      <c r="D12" s="175" t="e">
        <f>'Technology split final demand'!G14</f>
        <v>#DIV/0!</v>
      </c>
      <c r="E12" s="211" t="e">
        <f t="shared" si="0"/>
        <v>#DIV/0!</v>
      </c>
      <c r="F12" s="211" t="e">
        <f>Eff_space_heating_electric*E12</f>
        <v>#DIV/0!</v>
      </c>
      <c r="G12" s="240" t="e">
        <f t="shared" si="1"/>
        <v>#DIV/0!</v>
      </c>
      <c r="I12" s="243"/>
    </row>
    <row r="13" spans="2:9" x14ac:dyDescent="0.2">
      <c r="B13" s="33"/>
      <c r="C13" t="s">
        <v>126</v>
      </c>
      <c r="D13" s="175" t="e">
        <f>'Technology split final demand'!G15</f>
        <v>#DIV/0!</v>
      </c>
      <c r="E13" s="211" t="e">
        <f t="shared" si="0"/>
        <v>#DIV/0!</v>
      </c>
      <c r="F13" s="211" t="e">
        <f>Eff_space_heating_coal*E13</f>
        <v>#DIV/0!</v>
      </c>
      <c r="G13" s="240" t="e">
        <f t="shared" si="1"/>
        <v>#DIV/0!</v>
      </c>
      <c r="I13" s="243"/>
    </row>
    <row r="14" spans="2:9" x14ac:dyDescent="0.2">
      <c r="B14" s="33"/>
      <c r="C14" t="s">
        <v>127</v>
      </c>
      <c r="D14" s="175" t="e">
        <f>'Technology split final demand'!G16</f>
        <v>#DIV/0!</v>
      </c>
      <c r="E14" s="211" t="e">
        <f t="shared" si="0"/>
        <v>#DIV/0!</v>
      </c>
      <c r="F14" s="211" t="e">
        <f>Eff_space_heating_oil*E14</f>
        <v>#DIV/0!</v>
      </c>
      <c r="G14" s="240" t="e">
        <f t="shared" si="1"/>
        <v>#DIV/0!</v>
      </c>
      <c r="I14" s="243"/>
    </row>
    <row r="15" spans="2:9" x14ac:dyDescent="0.2">
      <c r="B15" s="33"/>
      <c r="C15" t="s">
        <v>596</v>
      </c>
      <c r="D15" s="175" t="e">
        <f>'Technology split final demand'!G17</f>
        <v>#DIV/0!</v>
      </c>
      <c r="E15" s="211" t="e">
        <f t="shared" ref="E15" si="2">D15*Final_demand_space_heating</f>
        <v>#DIV/0!</v>
      </c>
      <c r="F15" s="211" t="e">
        <f>Eff_space_heating_oil*E15</f>
        <v>#DIV/0!</v>
      </c>
      <c r="G15" s="240" t="e">
        <f t="shared" ref="G15" si="3">F15/SUM($F$9:$F$19)</f>
        <v>#DIV/0!</v>
      </c>
      <c r="I15" s="243"/>
    </row>
    <row r="16" spans="2:9" x14ac:dyDescent="0.2">
      <c r="B16" s="28"/>
      <c r="H16" s="28"/>
      <c r="I16" s="243"/>
    </row>
    <row r="17" spans="2:9" x14ac:dyDescent="0.2">
      <c r="B17" s="33"/>
      <c r="C17" t="s">
        <v>125</v>
      </c>
      <c r="D17" s="175" t="e">
        <f>'Technology split final demand'!G19</f>
        <v>#DIV/0!</v>
      </c>
      <c r="E17" s="211" t="e">
        <f>D17*Final_demand_space_heating</f>
        <v>#DIV/0!</v>
      </c>
      <c r="F17" s="211" t="e">
        <f>Eff_space_heating_solar_thermal*E17</f>
        <v>#DIV/0!</v>
      </c>
      <c r="G17" s="240" t="e">
        <f t="shared" si="1"/>
        <v>#DIV/0!</v>
      </c>
      <c r="I17" s="243"/>
    </row>
    <row r="18" spans="2:9" x14ac:dyDescent="0.2">
      <c r="B18" s="33"/>
      <c r="C18" t="s">
        <v>128</v>
      </c>
      <c r="D18" s="175" t="e">
        <f>'Technology split final demand'!G20</f>
        <v>#DIV/0!</v>
      </c>
      <c r="E18" s="211" t="e">
        <f>D18*Final_demand_space_heating</f>
        <v>#DIV/0!</v>
      </c>
      <c r="F18" s="211" t="e">
        <f>Eff_space_heating_woodpellets*E18</f>
        <v>#DIV/0!</v>
      </c>
      <c r="G18" s="240" t="e">
        <f t="shared" si="1"/>
        <v>#DIV/0!</v>
      </c>
      <c r="I18" s="243"/>
    </row>
    <row r="19" spans="2:9" x14ac:dyDescent="0.2">
      <c r="B19" s="33"/>
      <c r="C19" t="s">
        <v>129</v>
      </c>
      <c r="D19" s="177" t="e">
        <f>'Technology split final demand'!G21</f>
        <v>#DIV/0!</v>
      </c>
      <c r="E19" s="211" t="e">
        <f>D19*Final_demand_space_heating</f>
        <v>#DIV/0!</v>
      </c>
      <c r="F19" s="211" t="e">
        <f>Eff_space_heating_district*E19</f>
        <v>#DIV/0!</v>
      </c>
      <c r="G19" s="240" t="e">
        <f t="shared" si="1"/>
        <v>#DIV/0!</v>
      </c>
    </row>
    <row r="20" spans="2:9" ht="17" thickBot="1" x14ac:dyDescent="0.25">
      <c r="B20" s="45"/>
      <c r="C20" s="94"/>
      <c r="D20" s="94"/>
      <c r="E20" s="94"/>
      <c r="F20" s="94"/>
      <c r="G20" s="95"/>
    </row>
  </sheetData>
  <mergeCells count="1">
    <mergeCell ref="B5:E5"/>
  </mergeCells>
  <pageMargins left="0.75" right="0.75" top="1" bottom="1" header="0.5" footer="0.5"/>
  <pageSetup paperSize="9" orientation="portrait" horizontalDpi="4294967292" verticalDpi="4294967292"/>
  <ignoredErrors>
    <ignoredError sqref="G9:G10 G17:G19 G11:G14" emptyCellReference="1"/>
  </ignoredErrors>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theme="7" tint="0.39997558519241921"/>
  </sheetPr>
  <dimension ref="A1:B5"/>
  <sheetViews>
    <sheetView workbookViewId="0">
      <selection activeCell="B5" sqref="B5"/>
    </sheetView>
  </sheetViews>
  <sheetFormatPr baseColWidth="10" defaultRowHeight="16" x14ac:dyDescent="0.2"/>
  <cols>
    <col min="1" max="1" width="51.1640625" bestFit="1" customWidth="1"/>
    <col min="8" max="8" width="17.33203125" bestFit="1" customWidth="1"/>
  </cols>
  <sheetData>
    <row r="1" spans="1:2" x14ac:dyDescent="0.2">
      <c r="A1" s="194" t="s">
        <v>371</v>
      </c>
    </row>
    <row r="2" spans="1:2" x14ac:dyDescent="0.2">
      <c r="A2" t="s">
        <v>366</v>
      </c>
      <c r="B2" t="s">
        <v>328</v>
      </c>
    </row>
    <row r="3" spans="1:2" x14ac:dyDescent="0.2">
      <c r="A3" t="s">
        <v>369</v>
      </c>
      <c r="B3" s="266" t="e">
        <f>'Technology shares'!F22</f>
        <v>#DIV/0!</v>
      </c>
    </row>
    <row r="4" spans="1:2" x14ac:dyDescent="0.2">
      <c r="A4" t="s">
        <v>367</v>
      </c>
      <c r="B4" s="266" t="e">
        <f>'Technology shares'!F23</f>
        <v>#DIV/0!</v>
      </c>
    </row>
    <row r="5" spans="1:2" x14ac:dyDescent="0.2">
      <c r="A5" t="s">
        <v>368</v>
      </c>
      <c r="B5" s="266" t="e">
        <f>'Technology shares'!F24</f>
        <v>#DIV/0!</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theme="7" tint="0.39997558519241921"/>
  </sheetPr>
  <dimension ref="A1:B7"/>
  <sheetViews>
    <sheetView workbookViewId="0">
      <selection activeCell="A5" sqref="A5"/>
    </sheetView>
  </sheetViews>
  <sheetFormatPr baseColWidth="10" defaultRowHeight="16" x14ac:dyDescent="0.2"/>
  <cols>
    <col min="1" max="1" width="64.33203125" customWidth="1"/>
  </cols>
  <sheetData>
    <row r="1" spans="1:2" x14ac:dyDescent="0.2">
      <c r="A1" s="194" t="s">
        <v>375</v>
      </c>
    </row>
    <row r="2" spans="1:2" x14ac:dyDescent="0.2">
      <c r="A2" t="s">
        <v>366</v>
      </c>
      <c r="B2" t="s">
        <v>328</v>
      </c>
    </row>
    <row r="3" spans="1:2" x14ac:dyDescent="0.2">
      <c r="A3" s="194" t="s">
        <v>373</v>
      </c>
      <c r="B3" s="266" t="e">
        <f>'Technology shares'!F13</f>
        <v>#DIV/0!</v>
      </c>
    </row>
    <row r="4" spans="1:2" x14ac:dyDescent="0.2">
      <c r="A4" s="194" t="s">
        <v>374</v>
      </c>
      <c r="B4" s="266" t="e">
        <f>'Technology shares'!F12</f>
        <v>#DIV/0!</v>
      </c>
    </row>
    <row r="5" spans="1:2" x14ac:dyDescent="0.2">
      <c r="A5" s="194" t="s">
        <v>595</v>
      </c>
      <c r="B5" s="266" t="e">
        <f>'Technology shares'!F14</f>
        <v>#DIV/0!</v>
      </c>
    </row>
    <row r="6" spans="1:2" x14ac:dyDescent="0.2">
      <c r="A6" s="194" t="s">
        <v>615</v>
      </c>
      <c r="B6" s="266">
        <v>0</v>
      </c>
    </row>
    <row r="7" spans="1:2" x14ac:dyDescent="0.2">
      <c r="B7" s="266"/>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theme="7" tint="0.39997558519241921"/>
  </sheetPr>
  <dimension ref="A1:B7"/>
  <sheetViews>
    <sheetView workbookViewId="0">
      <selection activeCell="A6" sqref="A6:B6"/>
    </sheetView>
  </sheetViews>
  <sheetFormatPr baseColWidth="10" defaultRowHeight="16" x14ac:dyDescent="0.2"/>
  <cols>
    <col min="1" max="1" width="55.33203125" bestFit="1" customWidth="1"/>
    <col min="2" max="2" width="14.83203125" bestFit="1" customWidth="1"/>
  </cols>
  <sheetData>
    <row r="1" spans="1:2" x14ac:dyDescent="0.2">
      <c r="A1" s="194" t="s">
        <v>379</v>
      </c>
    </row>
    <row r="2" spans="1:2" x14ac:dyDescent="0.2">
      <c r="A2" t="s">
        <v>366</v>
      </c>
      <c r="B2" t="s">
        <v>328</v>
      </c>
    </row>
    <row r="3" spans="1:2" x14ac:dyDescent="0.2">
      <c r="A3" s="194" t="s">
        <v>376</v>
      </c>
      <c r="B3" s="266" t="e">
        <f>'Technology shares'!F18</f>
        <v>#DIV/0!</v>
      </c>
    </row>
    <row r="4" spans="1:2" x14ac:dyDescent="0.2">
      <c r="A4" s="194" t="s">
        <v>377</v>
      </c>
      <c r="B4" s="266" t="e">
        <f>'Technology shares'!F17</f>
        <v>#DIV/0!</v>
      </c>
    </row>
    <row r="5" spans="1:2" x14ac:dyDescent="0.2">
      <c r="A5" s="228" t="s">
        <v>602</v>
      </c>
      <c r="B5" s="266" t="e">
        <f>'Technology shares'!F19</f>
        <v>#DIV/0!</v>
      </c>
    </row>
    <row r="6" spans="1:2" x14ac:dyDescent="0.2">
      <c r="A6" t="s">
        <v>616</v>
      </c>
      <c r="B6" s="266">
        <v>0</v>
      </c>
    </row>
    <row r="7" spans="1:2" x14ac:dyDescent="0.2">
      <c r="B7" s="266"/>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theme="7" tint="0.39997558519241921"/>
  </sheetPr>
  <dimension ref="A1:B7"/>
  <sheetViews>
    <sheetView topLeftCell="A3" workbookViewId="0"/>
  </sheetViews>
  <sheetFormatPr baseColWidth="10" defaultRowHeight="16" x14ac:dyDescent="0.2"/>
  <cols>
    <col min="1" max="1" width="52.6640625" bestFit="1" customWidth="1"/>
  </cols>
  <sheetData>
    <row r="1" spans="1:2" x14ac:dyDescent="0.2">
      <c r="A1" s="194" t="s">
        <v>577</v>
      </c>
    </row>
    <row r="2" spans="1:2" x14ac:dyDescent="0.2">
      <c r="A2" t="s">
        <v>366</v>
      </c>
      <c r="B2" t="s">
        <v>328</v>
      </c>
    </row>
    <row r="3" spans="1:2" x14ac:dyDescent="0.2">
      <c r="A3" s="194" t="s">
        <v>380</v>
      </c>
      <c r="B3" s="266" t="e">
        <f>'Technology shares'!F9</f>
        <v>#DIV/0!</v>
      </c>
    </row>
    <row r="4" spans="1:2" x14ac:dyDescent="0.2">
      <c r="A4" s="194" t="s">
        <v>381</v>
      </c>
      <c r="B4" s="266" t="e">
        <f>'Technology shares'!F10</f>
        <v>#DIV/0!</v>
      </c>
    </row>
    <row r="5" spans="1:2" x14ac:dyDescent="0.2">
      <c r="B5" s="266"/>
    </row>
    <row r="6" spans="1:2" x14ac:dyDescent="0.2">
      <c r="B6" s="266"/>
    </row>
    <row r="7" spans="1:2" x14ac:dyDescent="0.2">
      <c r="B7" s="266"/>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theme="7" tint="0.39997558519241921"/>
  </sheetPr>
  <dimension ref="A1:B7"/>
  <sheetViews>
    <sheetView workbookViewId="0">
      <selection activeCell="B3" sqref="B3:B7"/>
    </sheetView>
  </sheetViews>
  <sheetFormatPr baseColWidth="10" defaultRowHeight="16" x14ac:dyDescent="0.2"/>
  <cols>
    <col min="1" max="1" width="42.6640625" bestFit="1" customWidth="1"/>
  </cols>
  <sheetData>
    <row r="1" spans="1:2" x14ac:dyDescent="0.2">
      <c r="A1" s="194" t="s">
        <v>382</v>
      </c>
    </row>
    <row r="2" spans="1:2" x14ac:dyDescent="0.2">
      <c r="A2" t="s">
        <v>366</v>
      </c>
      <c r="B2" t="s">
        <v>328</v>
      </c>
    </row>
    <row r="3" spans="1:2" x14ac:dyDescent="0.2">
      <c r="A3" s="194" t="s">
        <v>383</v>
      </c>
      <c r="B3" s="266" t="e">
        <f>'Application shares'!E9</f>
        <v>#DIV/0!</v>
      </c>
    </row>
    <row r="4" spans="1:2" x14ac:dyDescent="0.2">
      <c r="A4" s="194" t="s">
        <v>384</v>
      </c>
      <c r="B4" s="266" t="e">
        <f>'Application shares'!E10</f>
        <v>#DIV/0!</v>
      </c>
    </row>
    <row r="5" spans="1:2" x14ac:dyDescent="0.2">
      <c r="B5" s="266"/>
    </row>
    <row r="6" spans="1:2" x14ac:dyDescent="0.2">
      <c r="B6" s="266"/>
    </row>
    <row r="7" spans="1:2" x14ac:dyDescent="0.2">
      <c r="B7" s="266"/>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theme="7" tint="0.39997558519241921"/>
  </sheetPr>
  <dimension ref="A1:B7"/>
  <sheetViews>
    <sheetView workbookViewId="0">
      <selection activeCell="B3" sqref="B3"/>
    </sheetView>
  </sheetViews>
  <sheetFormatPr baseColWidth="10" defaultRowHeight="16" x14ac:dyDescent="0.2"/>
  <cols>
    <col min="1" max="1" width="48.6640625" customWidth="1"/>
  </cols>
  <sheetData>
    <row r="1" spans="1:2" x14ac:dyDescent="0.2">
      <c r="A1" s="194" t="s">
        <v>385</v>
      </c>
    </row>
    <row r="2" spans="1:2" x14ac:dyDescent="0.2">
      <c r="A2" t="s">
        <v>366</v>
      </c>
      <c r="B2" t="s">
        <v>328</v>
      </c>
    </row>
    <row r="3" spans="1:2" x14ac:dyDescent="0.2">
      <c r="A3" s="194" t="s">
        <v>574</v>
      </c>
      <c r="B3" s="266" t="e">
        <f>'Application shares'!E13</f>
        <v>#DIV/0!</v>
      </c>
    </row>
    <row r="4" spans="1:2" x14ac:dyDescent="0.2">
      <c r="A4" s="194" t="s">
        <v>575</v>
      </c>
      <c r="B4" s="266" t="e">
        <f>'Application shares'!E14</f>
        <v>#DIV/0!</v>
      </c>
    </row>
    <row r="5" spans="1:2" x14ac:dyDescent="0.2">
      <c r="A5" s="194" t="s">
        <v>576</v>
      </c>
      <c r="B5" s="266" t="e">
        <f>'Application shares'!E15</f>
        <v>#DIV/0!</v>
      </c>
    </row>
    <row r="6" spans="1:2" x14ac:dyDescent="0.2">
      <c r="B6" s="266"/>
    </row>
    <row r="7" spans="1:2" x14ac:dyDescent="0.2">
      <c r="B7" s="266"/>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theme="7" tint="0.39997558519241921"/>
  </sheetPr>
  <dimension ref="A1:B7"/>
  <sheetViews>
    <sheetView workbookViewId="0">
      <selection activeCell="B3" sqref="B3:B7"/>
    </sheetView>
  </sheetViews>
  <sheetFormatPr baseColWidth="10" defaultRowHeight="16" x14ac:dyDescent="0.2"/>
  <cols>
    <col min="1" max="1" width="45.1640625" bestFit="1" customWidth="1"/>
  </cols>
  <sheetData>
    <row r="1" spans="1:2" x14ac:dyDescent="0.2">
      <c r="A1" s="194" t="s">
        <v>386</v>
      </c>
    </row>
    <row r="2" spans="1:2" x14ac:dyDescent="0.2">
      <c r="A2" t="s">
        <v>366</v>
      </c>
      <c r="B2" t="s">
        <v>328</v>
      </c>
    </row>
    <row r="3" spans="1:2" x14ac:dyDescent="0.2">
      <c r="A3" s="194" t="s">
        <v>387</v>
      </c>
      <c r="B3" s="266" t="e">
        <f>'Application shares'!E18</f>
        <v>#DIV/0!</v>
      </c>
    </row>
    <row r="4" spans="1:2" x14ac:dyDescent="0.2">
      <c r="A4" s="194" t="s">
        <v>388</v>
      </c>
      <c r="B4" s="266" t="e">
        <f>'Application shares'!E19</f>
        <v>#DIV/0!</v>
      </c>
    </row>
    <row r="5" spans="1:2" x14ac:dyDescent="0.2">
      <c r="B5" s="266"/>
    </row>
    <row r="6" spans="1:2" x14ac:dyDescent="0.2">
      <c r="B6" s="266"/>
    </row>
    <row r="7" spans="1:2" x14ac:dyDescent="0.2">
      <c r="B7" s="266"/>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theme="7" tint="0.39997558519241921"/>
  </sheetPr>
  <dimension ref="A1:B7"/>
  <sheetViews>
    <sheetView workbookViewId="0">
      <selection activeCell="B3" sqref="B3"/>
    </sheetView>
  </sheetViews>
  <sheetFormatPr baseColWidth="10" defaultRowHeight="16" x14ac:dyDescent="0.2"/>
  <cols>
    <col min="1" max="1" width="45.5" bestFit="1" customWidth="1"/>
  </cols>
  <sheetData>
    <row r="1" spans="1:2" x14ac:dyDescent="0.2">
      <c r="A1" s="194" t="s">
        <v>389</v>
      </c>
    </row>
    <row r="2" spans="1:2" x14ac:dyDescent="0.2">
      <c r="A2" t="s">
        <v>366</v>
      </c>
      <c r="B2" t="s">
        <v>328</v>
      </c>
    </row>
    <row r="3" spans="1:2" x14ac:dyDescent="0.2">
      <c r="A3" s="194" t="s">
        <v>372</v>
      </c>
      <c r="B3" s="266" t="e">
        <f>'Application shares'!E22</f>
        <v>#DIV/0!</v>
      </c>
    </row>
    <row r="4" spans="1:2" x14ac:dyDescent="0.2">
      <c r="A4" s="194" t="s">
        <v>378</v>
      </c>
      <c r="B4" s="266" t="e">
        <f>'Application shares'!E23</f>
        <v>#DIV/0!</v>
      </c>
    </row>
    <row r="5" spans="1:2" x14ac:dyDescent="0.2">
      <c r="A5" s="194" t="s">
        <v>370</v>
      </c>
      <c r="B5" s="266" t="e">
        <f>'Application shares'!E24</f>
        <v>#DIV/0!</v>
      </c>
    </row>
    <row r="6" spans="1:2" x14ac:dyDescent="0.2">
      <c r="A6" s="194" t="s">
        <v>390</v>
      </c>
      <c r="B6" s="266" t="e">
        <f>'Application shares'!E25</f>
        <v>#DIV/0!</v>
      </c>
    </row>
    <row r="7" spans="1:2" x14ac:dyDescent="0.2">
      <c r="B7" s="266"/>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theme="7" tint="0.39997558519241921"/>
  </sheetPr>
  <dimension ref="A1:B7"/>
  <sheetViews>
    <sheetView workbookViewId="0">
      <selection activeCell="B4" sqref="B4"/>
    </sheetView>
  </sheetViews>
  <sheetFormatPr baseColWidth="10" defaultRowHeight="16" x14ac:dyDescent="0.2"/>
  <cols>
    <col min="1" max="1" width="48.5" bestFit="1" customWidth="1"/>
  </cols>
  <sheetData>
    <row r="1" spans="1:2" x14ac:dyDescent="0.2">
      <c r="A1" s="194" t="s">
        <v>391</v>
      </c>
    </row>
    <row r="2" spans="1:2" x14ac:dyDescent="0.2">
      <c r="A2" t="s">
        <v>366</v>
      </c>
      <c r="B2" t="s">
        <v>328</v>
      </c>
    </row>
    <row r="3" spans="1:2" x14ac:dyDescent="0.2">
      <c r="A3" s="194" t="s">
        <v>392</v>
      </c>
      <c r="B3" s="266">
        <f>Dashboard!E66</f>
        <v>1</v>
      </c>
    </row>
    <row r="4" spans="1:2" x14ac:dyDescent="0.2">
      <c r="A4" s="194" t="s">
        <v>393</v>
      </c>
      <c r="B4" s="266">
        <f>Dashboard!E67</f>
        <v>0</v>
      </c>
    </row>
    <row r="5" spans="1:2" x14ac:dyDescent="0.2">
      <c r="B5" s="266"/>
    </row>
    <row r="6" spans="1:2" x14ac:dyDescent="0.2">
      <c r="B6" s="266"/>
    </row>
    <row r="7" spans="1:2" x14ac:dyDescent="0.2">
      <c r="B7" s="266"/>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tabColor theme="7" tint="0.39997558519241921"/>
  </sheetPr>
  <dimension ref="A1:B7"/>
  <sheetViews>
    <sheetView workbookViewId="0">
      <selection activeCell="A2" sqref="A2"/>
    </sheetView>
  </sheetViews>
  <sheetFormatPr baseColWidth="10" defaultRowHeight="16" x14ac:dyDescent="0.2"/>
  <cols>
    <col min="1" max="1" width="43" bestFit="1" customWidth="1"/>
    <col min="2" max="2" width="14.83203125" bestFit="1" customWidth="1"/>
  </cols>
  <sheetData>
    <row r="1" spans="1:2" x14ac:dyDescent="0.2">
      <c r="A1" t="s">
        <v>396</v>
      </c>
    </row>
    <row r="2" spans="1:2" x14ac:dyDescent="0.2">
      <c r="A2" t="s">
        <v>366</v>
      </c>
      <c r="B2" t="s">
        <v>328</v>
      </c>
    </row>
    <row r="3" spans="1:2" x14ac:dyDescent="0.2">
      <c r="A3" t="s">
        <v>395</v>
      </c>
      <c r="B3" s="266">
        <v>0</v>
      </c>
    </row>
    <row r="4" spans="1:2" x14ac:dyDescent="0.2">
      <c r="A4" t="s">
        <v>397</v>
      </c>
      <c r="B4" s="266">
        <v>1</v>
      </c>
    </row>
    <row r="5" spans="1:2" x14ac:dyDescent="0.2">
      <c r="B5" s="266"/>
    </row>
    <row r="6" spans="1:2" x14ac:dyDescent="0.2">
      <c r="B6" s="266"/>
    </row>
    <row r="7" spans="1:2" x14ac:dyDescent="0.2">
      <c r="B7" s="266"/>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7" tint="0.39997558519241921"/>
  </sheetPr>
  <dimension ref="A1:B7"/>
  <sheetViews>
    <sheetView workbookViewId="0">
      <selection activeCell="F43" sqref="F43"/>
    </sheetView>
  </sheetViews>
  <sheetFormatPr baseColWidth="10" defaultRowHeight="16" x14ac:dyDescent="0.2"/>
  <cols>
    <col min="1" max="1" width="45.5" bestFit="1" customWidth="1"/>
  </cols>
  <sheetData>
    <row r="1" spans="1:2" x14ac:dyDescent="0.2">
      <c r="A1" s="194" t="s">
        <v>589</v>
      </c>
    </row>
    <row r="2" spans="1:2" x14ac:dyDescent="0.2">
      <c r="A2" t="s">
        <v>366</v>
      </c>
      <c r="B2" t="s">
        <v>328</v>
      </c>
    </row>
    <row r="3" spans="1:2" x14ac:dyDescent="0.2">
      <c r="A3" s="194" t="s">
        <v>590</v>
      </c>
      <c r="B3" s="266" t="e">
        <f>'Application shares'!E27</f>
        <v>#DIV/0!</v>
      </c>
    </row>
    <row r="4" spans="1:2" x14ac:dyDescent="0.2">
      <c r="A4" s="194" t="s">
        <v>591</v>
      </c>
      <c r="B4" s="266" t="e">
        <f>'Application shares'!E28</f>
        <v>#DIV/0!</v>
      </c>
    </row>
    <row r="5" spans="1:2" x14ac:dyDescent="0.2">
      <c r="A5" s="194"/>
      <c r="B5" s="266"/>
    </row>
    <row r="6" spans="1:2" x14ac:dyDescent="0.2">
      <c r="A6" s="194"/>
      <c r="B6" s="266"/>
    </row>
    <row r="7" spans="1:2" x14ac:dyDescent="0.2">
      <c r="B7" s="266"/>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27</vt:i4>
      </vt:variant>
      <vt:variant>
        <vt:lpstr>Named Ranges</vt:lpstr>
      </vt:variant>
      <vt:variant>
        <vt:i4>22</vt:i4>
      </vt:variant>
    </vt:vector>
  </HeadingPairs>
  <TitlesOfParts>
    <vt:vector size="49" baseType="lpstr">
      <vt:lpstr>Cover Sheet</vt:lpstr>
      <vt:lpstr>Changelog</vt:lpstr>
      <vt:lpstr>Contents</vt:lpstr>
      <vt:lpstr>Introduction</vt:lpstr>
      <vt:lpstr>Dataflow</vt:lpstr>
      <vt:lpstr>Assumptions</vt:lpstr>
      <vt:lpstr>Dashboard</vt:lpstr>
      <vt:lpstr>Corrected energy balance step 2</vt:lpstr>
      <vt:lpstr>technical_specs</vt:lpstr>
      <vt:lpstr>Application shares</vt:lpstr>
      <vt:lpstr>Technology shares</vt:lpstr>
      <vt:lpstr>Final demand per energy carrier</vt:lpstr>
      <vt:lpstr>Technology split final demand</vt:lpstr>
      <vt:lpstr>Final demand extracted from EB</vt:lpstr>
      <vt:lpstr>Fuel aggregation</vt:lpstr>
      <vt:lpstr>Tech split of useful demand</vt:lpstr>
      <vt:lpstr>csv_ps_final_demand_lighting</vt:lpstr>
      <vt:lpstr>csv_ps_space_heating_electricit</vt:lpstr>
      <vt:lpstr>csv_ps_cooling_electricity</vt:lpstr>
      <vt:lpstr>csv_ps_space_heating_gas</vt:lpstr>
      <vt:lpstr>csv_ps_final_demand_coal</vt:lpstr>
      <vt:lpstr>csv_ps_final_demand_gas</vt:lpstr>
      <vt:lpstr>csv_ps_final_demand_oil</vt:lpstr>
      <vt:lpstr>csv_ps_final_demand_electricity</vt:lpstr>
      <vt:lpstr>csv_ps_final_demand_wood_p</vt:lpstr>
      <vt:lpstr>csv_cooling_useful_insulation</vt:lpstr>
      <vt:lpstr>csv_ps_sector_electricity</vt:lpstr>
      <vt:lpstr>base_year</vt:lpstr>
      <vt:lpstr>country</vt:lpstr>
      <vt:lpstr>Eff_cooling_air_heatpump</vt:lpstr>
      <vt:lpstr>Eff_cooling_airco</vt:lpstr>
      <vt:lpstr>Eff_cooling_pump</vt:lpstr>
      <vt:lpstr>Eff_cooling_pump_storage</vt:lpstr>
      <vt:lpstr>Eff_lighting_led</vt:lpstr>
      <vt:lpstr>Eff_lighting_tube_fluorescent_efficient</vt:lpstr>
      <vt:lpstr>Eff_lighting_tube_fluorescent_standartd</vt:lpstr>
      <vt:lpstr>Eff_space_heating_coal</vt:lpstr>
      <vt:lpstr>Eff_space_heating_district</vt:lpstr>
      <vt:lpstr>Eff_space_heating_electric</vt:lpstr>
      <vt:lpstr>Eff_space_heating_gas</vt:lpstr>
      <vt:lpstr>Eff_space_heating_oil</vt:lpstr>
      <vt:lpstr>Eff_space_heating_pump_gas</vt:lpstr>
      <vt:lpstr>Eff_space_heating_pump_storage</vt:lpstr>
      <vt:lpstr>Eff_space_heating_solar_thermal</vt:lpstr>
      <vt:lpstr>Eff_space_heating_woodpellets</vt:lpstr>
      <vt:lpstr>Final_demand_lighting</vt:lpstr>
      <vt:lpstr>Final_demand_residences</vt:lpstr>
      <vt:lpstr>Final_demand_space_cooling</vt:lpstr>
      <vt:lpstr>Final_demand_space_heating</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Quintel Intelligence</dc:creator>
  <cp:lastModifiedBy>Kyra de Haan</cp:lastModifiedBy>
  <dcterms:created xsi:type="dcterms:W3CDTF">2013-06-25T11:11:29Z</dcterms:created>
  <dcterms:modified xsi:type="dcterms:W3CDTF">2026-01-19T10:51:51Z</dcterms:modified>
</cp:coreProperties>
</file>