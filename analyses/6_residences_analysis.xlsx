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showInkAnnotation="0" codeName="ThisWorkbook" autoCompressPictures="0"/>
  <mc:AlternateContent xmlns:mc="http://schemas.openxmlformats.org/markup-compatibility/2006">
    <mc:Choice Requires="x15">
      <x15ac:absPath xmlns:x15ac="http://schemas.microsoft.com/office/spreadsheetml/2010/11/ac" url="/Users/mathijsbijkerk/Github/etm-ecosystem/etdataset/analyses/"/>
    </mc:Choice>
  </mc:AlternateContent>
  <xr:revisionPtr revIDLastSave="0" documentId="13_ncr:1_{D47113DC-6C3D-7E43-ABF3-404E7C3BD957}" xr6:coauthVersionLast="47" xr6:coauthVersionMax="47" xr10:uidLastSave="{00000000-0000-0000-0000-000000000000}"/>
  <bookViews>
    <workbookView xWindow="-11300" yWindow="-28200" windowWidth="51200" windowHeight="27300" tabRatio="932" activeTab="6" xr2:uid="{00000000-000D-0000-FFFF-FFFF00000000}"/>
  </bookViews>
  <sheets>
    <sheet name="Cover Sheet" sheetId="34" r:id="rId1"/>
    <sheet name="Changelog" sheetId="1" r:id="rId2"/>
    <sheet name="Contents" sheetId="18" r:id="rId3"/>
    <sheet name="Introduction" sheetId="10" r:id="rId4"/>
    <sheet name="Dataflow" sheetId="36" r:id="rId5"/>
    <sheet name="Assumptions" sheetId="3" r:id="rId6"/>
    <sheet name="Dashboard" sheetId="28" r:id="rId7"/>
    <sheet name="Corrected energy balance step 2" sheetId="12" r:id="rId8"/>
    <sheet name="technical_specs" sheetId="13" r:id="rId9"/>
    <sheet name="Application Shares" sheetId="82" r:id="rId10"/>
    <sheet name="Technology Shares" sheetId="83" r:id="rId11"/>
    <sheet name="Final demand per energy carrier" sheetId="30" r:id="rId12"/>
    <sheet name="Technology split final demand" sheetId="32" r:id="rId13"/>
    <sheet name="Fuel aggregation" sheetId="37" r:id="rId14"/>
    <sheet name="HHP input shares" sheetId="114" r:id="rId15"/>
    <sheet name="Useful-final demand percentage" sheetId="84" r:id="rId16"/>
    <sheet name="csv_final_demand_coal" sheetId="21" r:id="rId17"/>
    <sheet name="csv_final_demand_crude_oil" sheetId="62" r:id="rId18"/>
    <sheet name="csv_final_demand_network_gas" sheetId="63" r:id="rId19"/>
    <sheet name="csv_final_demand_woodpellets" sheetId="64" r:id="rId20"/>
    <sheet name="csv_final_demand_electricity" sheetId="66" r:id="rId21"/>
    <sheet name="csv_final_demand_steam" sheetId="67" r:id="rId22"/>
    <sheet name="csv_cooling_electricity" sheetId="68" r:id="rId23"/>
    <sheet name="csv_heating_network_gas" sheetId="69" r:id="rId24"/>
    <sheet name="csv_heating_electricity" sheetId="70" r:id="rId25"/>
    <sheet name="csv_water_network_gas" sheetId="71" r:id="rId26"/>
    <sheet name="csv_water_electricity" sheetId="72" r:id="rId27"/>
    <sheet name="csv_cooking_electricity" sheetId="73" r:id="rId28"/>
    <sheet name="csv_lighting_electricity" sheetId="74" r:id="rId29"/>
    <sheet name="csv_appliances_electricity" sheetId="75" r:id="rId30"/>
    <sheet name="csv_export_to_area_analysis" sheetId="107" r:id="rId31"/>
    <sheet name="csv_heating_hhp_efficiencies" sheetId="112" r:id="rId32"/>
    <sheet name="csv_hot_water_hhp_efficiencies" sheetId="113" r:id="rId33"/>
  </sheets>
  <externalReferences>
    <externalReference r:id="rId34"/>
  </externalReferences>
  <definedNames>
    <definedName name="base_year">Dashboard!$E$12</definedName>
    <definedName name="country">Dashboard!$E$11</definedName>
    <definedName name="Eff_cooking_biomass">technical_specs!$R$46</definedName>
    <definedName name="Eff_cooking_electric">technical_specs!$R$43</definedName>
    <definedName name="Eff_cooking_gas">technical_specs!$R$42</definedName>
    <definedName name="Eff_cooking_halogen">technical_specs!$R$44</definedName>
    <definedName name="Eff_cooking_induction">technical_specs!$R$45</definedName>
    <definedName name="Eff_cooling_airco">technical_specs!$R$39</definedName>
    <definedName name="Eff_cooling_pump_air">technical_specs!$R$38</definedName>
    <definedName name="Eff_cooling_pump_ground">technical_specs!$R$37</definedName>
    <definedName name="Eff_hot_water_coal">technical_specs!$R$32</definedName>
    <definedName name="Eff_hot_water_combi_boiler">technical_specs!$R$24</definedName>
    <definedName name="Eff_hot_water_district">technical_specs!$R$26</definedName>
    <definedName name="Eff_hot_water_electric">technical_specs!$R$29</definedName>
    <definedName name="Eff_hot_water_fuel_cell">technical_specs!#REF!</definedName>
    <definedName name="Eff_hot_water_gas">technical_specs!$R$30</definedName>
    <definedName name="Eff_hot_water_hhp_gas">technical_specs!$R$34</definedName>
    <definedName name="Eff_hot_water_hhp_heatpump">technical_specs!$R$33</definedName>
    <definedName name="Eff_hot_water_micro_CHP">technical_specs!#REF!</definedName>
    <definedName name="Eff_hot_water_oil">technical_specs!$R$31</definedName>
    <definedName name="Eff_hot_water_pump_air">technical_specs!$R$27</definedName>
    <definedName name="Eff_hot_water_pump_ground">technical_specs!$R$25</definedName>
    <definedName name="Eff_hot_water_solar_thermal_panel">technical_specs!#REF!</definedName>
    <definedName name="Eff_hot_water_woodpellets">technical_specs!$R$28</definedName>
    <definedName name="Eff_lighting_fluorescent">technical_specs!$R$50</definedName>
    <definedName name="Eff_lighting_incandescent">technical_specs!$R$49</definedName>
    <definedName name="Eff_lighting_led">technical_specs!$R$51</definedName>
    <definedName name="Eff_space_heating_coal">technical_specs!$R$19</definedName>
    <definedName name="Eff_space_heating_combi_boiler">technical_specs!$R$11</definedName>
    <definedName name="Eff_space_heating_district">technical_specs!$R$13</definedName>
    <definedName name="Eff_space_heating_electric">technical_specs!$R$16</definedName>
    <definedName name="Eff_space_heating_gas">technical_specs!$R$17</definedName>
    <definedName name="Eff_space_heating_hhp_gas">technical_specs!$R$21</definedName>
    <definedName name="Eff_space_heating_hhp_heatpump">technical_specs!$R$20</definedName>
    <definedName name="Eff_space_heating_micro_CHP">technical_specs!#REF!</definedName>
    <definedName name="Eff_space_heating_oil">technical_specs!$R$18</definedName>
    <definedName name="Eff_space_heating_pump_add_on">technical_specs!$R$20</definedName>
    <definedName name="Eff_space_heating_pump_air">technical_specs!$R$14</definedName>
    <definedName name="Eff_space_heating_pump_ground">technical_specs!$R$12</definedName>
    <definedName name="Eff_space_heating_solar_thermal">technical_specs!#REF!</definedName>
    <definedName name="Eff_space_heating_woodpellets">technical_specs!$R$15</definedName>
    <definedName name="Final_demand_appliances">Dashboard!$E$25</definedName>
    <definedName name="Final_demand_coal">'Fuel aggregation'!$C$11</definedName>
    <definedName name="Final_demand_cooking">Dashboard!$E$24</definedName>
    <definedName name="Final_demand_cooling">Dashboard!$E$22</definedName>
    <definedName name="Final_demand_electricity">'Fuel aggregation'!$I$11</definedName>
    <definedName name="Final_demand_gas">'Fuel aggregation'!$D$11</definedName>
    <definedName name="Final_demand_heat">'Fuel aggregation'!$J$11</definedName>
    <definedName name="Final_demand_hot_water">Dashboard!$E$21</definedName>
    <definedName name="Final_demand_lighting">Dashboard!$E$23</definedName>
    <definedName name="Final_demand_oil">'Fuel aggregation'!$E$11</definedName>
    <definedName name="Final_demand_other">'Fuel aggregation'!$H$11</definedName>
    <definedName name="Final_demand_residences">'Fuel aggregation'!$L$11</definedName>
    <definedName name="Final_demand_solar_thermal">'Fuel aggregation'!$G$11</definedName>
    <definedName name="Final_demand_space_heating">Dashboard!$E$20</definedName>
    <definedName name="Final_demand_woodpellets">'Fuel aggregation'!$F$11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86" i="28" l="1"/>
  <c r="P85" i="28"/>
  <c r="L86" i="28"/>
  <c r="B3" i="107"/>
  <c r="B25" i="107"/>
  <c r="B26" i="107"/>
  <c r="B27" i="107"/>
  <c r="B28" i="107"/>
  <c r="B29" i="107"/>
  <c r="B30" i="107"/>
  <c r="B31" i="107"/>
  <c r="B32" i="107"/>
  <c r="B33" i="107"/>
  <c r="B34" i="107"/>
  <c r="B35" i="107"/>
  <c r="B36" i="107"/>
  <c r="B37" i="107"/>
  <c r="B38" i="107"/>
  <c r="B39" i="107"/>
  <c r="B40" i="107"/>
  <c r="B41" i="107"/>
  <c r="B42" i="107"/>
  <c r="B43" i="107"/>
  <c r="B24" i="107"/>
  <c r="B5" i="107"/>
  <c r="B6" i="107"/>
  <c r="B7" i="107"/>
  <c r="B8" i="107"/>
  <c r="B9" i="107"/>
  <c r="B10" i="107"/>
  <c r="B11" i="107"/>
  <c r="B12" i="107"/>
  <c r="B13" i="107"/>
  <c r="B14" i="107"/>
  <c r="B15" i="107"/>
  <c r="B16" i="107"/>
  <c r="B17" i="107"/>
  <c r="B18" i="107"/>
  <c r="B19" i="107"/>
  <c r="B20" i="107"/>
  <c r="B21" i="107"/>
  <c r="B22" i="107"/>
  <c r="B23" i="107"/>
  <c r="B4" i="107"/>
  <c r="L111" i="28" l="1"/>
  <c r="M111" i="28" s="1"/>
  <c r="K19" i="37"/>
  <c r="D15" i="114"/>
  <c r="D14" i="114"/>
  <c r="D9" i="114"/>
  <c r="D10" i="114"/>
  <c r="H34" i="13"/>
  <c r="I34" i="13"/>
  <c r="N21" i="13"/>
  <c r="O20" i="13"/>
  <c r="I21" i="13"/>
  <c r="H21" i="13"/>
  <c r="M24" i="30" l="1"/>
  <c r="G10" i="114"/>
  <c r="G15" i="114"/>
  <c r="M37" i="30"/>
  <c r="P110" i="28"/>
  <c r="Q21" i="13"/>
  <c r="G34" i="13" l="1"/>
  <c r="N34" i="13" s="1"/>
  <c r="R34" i="13" s="1"/>
  <c r="G21" i="13"/>
  <c r="R21" i="13" s="1"/>
  <c r="D33" i="32"/>
  <c r="D20" i="32"/>
  <c r="R20" i="13"/>
  <c r="D11" i="32"/>
  <c r="E11" i="32" s="1"/>
  <c r="N11" i="13"/>
  <c r="R11" i="13" s="1"/>
  <c r="F11" i="32" s="1"/>
  <c r="F21" i="13"/>
  <c r="R33" i="13"/>
  <c r="D24" i="32"/>
  <c r="E24" i="32" s="1"/>
  <c r="N24" i="13"/>
  <c r="R24" i="13" s="1"/>
  <c r="F34" i="13"/>
  <c r="D27" i="32"/>
  <c r="E27" i="32" s="1"/>
  <c r="O27" i="13"/>
  <c r="R27" i="13" s="1"/>
  <c r="F27" i="32" s="1"/>
  <c r="R50" i="13"/>
  <c r="F53" i="84" s="1"/>
  <c r="D50" i="32"/>
  <c r="E50" i="32" s="1"/>
  <c r="D49" i="32"/>
  <c r="E49" i="32" s="1"/>
  <c r="R49" i="13"/>
  <c r="F52" i="84" s="1"/>
  <c r="R51" i="13"/>
  <c r="F54" i="84" s="1"/>
  <c r="D51" i="32"/>
  <c r="E51" i="32" s="1"/>
  <c r="N43" i="13"/>
  <c r="R43" i="13" s="1"/>
  <c r="D43" i="32"/>
  <c r="E43" i="32" s="1"/>
  <c r="D42" i="32"/>
  <c r="E42" i="32" s="1"/>
  <c r="N42" i="13"/>
  <c r="R42" i="13" s="1"/>
  <c r="N44" i="13"/>
  <c r="R44" i="13" s="1"/>
  <c r="D44" i="32"/>
  <c r="E44" i="32" s="1"/>
  <c r="N45" i="13"/>
  <c r="R45" i="13" s="1"/>
  <c r="D45" i="32"/>
  <c r="E45" i="32" s="1"/>
  <c r="N46" i="13"/>
  <c r="R46" i="13" s="1"/>
  <c r="D46" i="32"/>
  <c r="E46" i="32" s="1"/>
  <c r="O38" i="13"/>
  <c r="R38" i="13" s="1"/>
  <c r="D38" i="32"/>
  <c r="E38" i="32" s="1"/>
  <c r="D37" i="32"/>
  <c r="E37" i="32" s="1"/>
  <c r="O37" i="13"/>
  <c r="R37" i="13" s="1"/>
  <c r="O39" i="13"/>
  <c r="R39" i="13" s="1"/>
  <c r="D39" i="32"/>
  <c r="E39" i="32" s="1"/>
  <c r="D25" i="32"/>
  <c r="E25" i="32" s="1"/>
  <c r="O25" i="13"/>
  <c r="R25" i="13" s="1"/>
  <c r="D26" i="32"/>
  <c r="E26" i="32" s="1"/>
  <c r="N26" i="13"/>
  <c r="R26" i="13" s="1"/>
  <c r="F27" i="84"/>
  <c r="D28" i="32"/>
  <c r="E28" i="32" s="1"/>
  <c r="N28" i="13"/>
  <c r="R28" i="13" s="1"/>
  <c r="F28" i="84" s="1"/>
  <c r="D29" i="32"/>
  <c r="E29" i="32" s="1"/>
  <c r="N29" i="13"/>
  <c r="R29" i="13" s="1"/>
  <c r="D30" i="32"/>
  <c r="E30" i="32" s="1"/>
  <c r="N30" i="13"/>
  <c r="R30" i="13" s="1"/>
  <c r="D31" i="32"/>
  <c r="E31" i="32" s="1"/>
  <c r="N31" i="13"/>
  <c r="R31" i="13" s="1"/>
  <c r="D32" i="32"/>
  <c r="E32" i="32" s="1"/>
  <c r="N32" i="13"/>
  <c r="R32" i="13" s="1"/>
  <c r="F32" i="84" s="1"/>
  <c r="C34" i="32"/>
  <c r="C34" i="84" s="1"/>
  <c r="C33" i="32"/>
  <c r="C33" i="84" s="1"/>
  <c r="D26" i="83"/>
  <c r="D21" i="83"/>
  <c r="C38" i="30"/>
  <c r="C37" i="30"/>
  <c r="L42" i="28"/>
  <c r="P42" i="28" s="1"/>
  <c r="L29" i="28"/>
  <c r="P29" i="28" s="1"/>
  <c r="C20" i="32"/>
  <c r="C20" i="84" s="1"/>
  <c r="C21" i="32"/>
  <c r="C21" i="84" s="1"/>
  <c r="K34" i="13"/>
  <c r="J34" i="13"/>
  <c r="N13" i="13"/>
  <c r="R13" i="13" s="1"/>
  <c r="D13" i="32"/>
  <c r="E13" i="32" s="1"/>
  <c r="O12" i="13"/>
  <c r="R12" i="13" s="1"/>
  <c r="D12" i="32"/>
  <c r="E12" i="32" s="1"/>
  <c r="N15" i="13"/>
  <c r="R15" i="13" s="1"/>
  <c r="D15" i="32"/>
  <c r="E15" i="32" s="1"/>
  <c r="N18" i="13"/>
  <c r="R18" i="13" s="1"/>
  <c r="D18" i="32"/>
  <c r="E18" i="32" s="1"/>
  <c r="N19" i="13"/>
  <c r="R19" i="13" s="1"/>
  <c r="F19" i="32" s="1"/>
  <c r="D19" i="32"/>
  <c r="E19" i="32" s="1"/>
  <c r="O14" i="13"/>
  <c r="R14" i="13" s="1"/>
  <c r="D14" i="32"/>
  <c r="E14" i="32" s="1"/>
  <c r="N16" i="13"/>
  <c r="R16" i="13" s="1"/>
  <c r="F16" i="84" s="1"/>
  <c r="D16" i="32"/>
  <c r="E16" i="32" s="1"/>
  <c r="N17" i="13"/>
  <c r="R17" i="13" s="1"/>
  <c r="D17" i="32"/>
  <c r="E17" i="32" s="1"/>
  <c r="D11" i="83"/>
  <c r="D16" i="83"/>
  <c r="K21" i="13"/>
  <c r="J21" i="13"/>
  <c r="D61" i="30"/>
  <c r="E49" i="83" s="1"/>
  <c r="D62" i="30"/>
  <c r="E50" i="83" s="1"/>
  <c r="D63" i="30"/>
  <c r="E51" i="83" s="1"/>
  <c r="D64" i="30"/>
  <c r="E52" i="83" s="1"/>
  <c r="D65" i="30"/>
  <c r="E53" i="83" s="1"/>
  <c r="D66" i="30"/>
  <c r="E54" i="83" s="1"/>
  <c r="D67" i="30"/>
  <c r="E55" i="83" s="1"/>
  <c r="D68" i="30"/>
  <c r="E56" i="83" s="1"/>
  <c r="L11" i="37"/>
  <c r="E17" i="28"/>
  <c r="E27" i="28" s="1"/>
  <c r="L75" i="28"/>
  <c r="P74" i="28" s="1"/>
  <c r="L67" i="28"/>
  <c r="P66" i="28" s="1"/>
  <c r="L61" i="28"/>
  <c r="P60" i="28" s="1"/>
  <c r="L55" i="28"/>
  <c r="P54" i="28" s="1"/>
  <c r="F11" i="37"/>
  <c r="C11" i="37"/>
  <c r="H11" i="30" s="1"/>
  <c r="D11" i="37"/>
  <c r="E11" i="30" s="1"/>
  <c r="E11" i="37"/>
  <c r="G11" i="37"/>
  <c r="H11" i="37"/>
  <c r="I11" i="37"/>
  <c r="F11" i="30" s="1"/>
  <c r="J11" i="37"/>
  <c r="D19" i="82"/>
  <c r="C5" i="34"/>
  <c r="K18" i="37"/>
  <c r="D29" i="83"/>
  <c r="D50" i="83"/>
  <c r="D51" i="83"/>
  <c r="D52" i="83"/>
  <c r="D53" i="83"/>
  <c r="D54" i="83"/>
  <c r="D55" i="83"/>
  <c r="D56" i="83"/>
  <c r="D49" i="83"/>
  <c r="I55" i="32"/>
  <c r="I56" i="32"/>
  <c r="I57" i="32"/>
  <c r="I58" i="32"/>
  <c r="I59" i="32"/>
  <c r="I60" i="32"/>
  <c r="I61" i="32"/>
  <c r="I54" i="32"/>
  <c r="C49" i="32"/>
  <c r="C52" i="84" s="1"/>
  <c r="C50" i="32"/>
  <c r="C53" i="84" s="1"/>
  <c r="C51" i="32"/>
  <c r="C54" i="84" s="1"/>
  <c r="C12" i="32"/>
  <c r="C12" i="84" s="1"/>
  <c r="C13" i="32"/>
  <c r="C13" i="84" s="1"/>
  <c r="C14" i="32"/>
  <c r="C14" i="84" s="1"/>
  <c r="C15" i="32"/>
  <c r="C15" i="84" s="1"/>
  <c r="C16" i="32"/>
  <c r="C16" i="84" s="1"/>
  <c r="C17" i="32"/>
  <c r="C17" i="84" s="1"/>
  <c r="C18" i="32"/>
  <c r="C22" i="30" s="1"/>
  <c r="C19" i="32"/>
  <c r="C19" i="84" s="1"/>
  <c r="C24" i="32"/>
  <c r="C24" i="84" s="1"/>
  <c r="C25" i="32"/>
  <c r="C25" i="84" s="1"/>
  <c r="C26" i="32"/>
  <c r="C26" i="84" s="1"/>
  <c r="C27" i="32"/>
  <c r="C27" i="84" s="1"/>
  <c r="C28" i="32"/>
  <c r="C28" i="84" s="1"/>
  <c r="C29" i="32"/>
  <c r="C29" i="84" s="1"/>
  <c r="C30" i="32"/>
  <c r="C34" i="30" s="1"/>
  <c r="C31" i="32"/>
  <c r="C31" i="84" s="1"/>
  <c r="C32" i="32"/>
  <c r="C32" i="84" s="1"/>
  <c r="C37" i="32"/>
  <c r="C38" i="84" s="1"/>
  <c r="C38" i="32"/>
  <c r="C39" i="84" s="1"/>
  <c r="C39" i="32"/>
  <c r="C40" i="84" s="1"/>
  <c r="C42" i="32"/>
  <c r="C44" i="84" s="1"/>
  <c r="C43" i="32"/>
  <c r="C45" i="84" s="1"/>
  <c r="C44" i="32"/>
  <c r="C46" i="84" s="1"/>
  <c r="C45" i="32"/>
  <c r="C50" i="30" s="1"/>
  <c r="C46" i="32"/>
  <c r="C48" i="84" s="1"/>
  <c r="C11" i="32"/>
  <c r="C11" i="84" s="1"/>
  <c r="D9" i="83"/>
  <c r="D10" i="83"/>
  <c r="D13" i="83"/>
  <c r="D14" i="83"/>
  <c r="D15" i="83"/>
  <c r="D19" i="83"/>
  <c r="D20" i="83"/>
  <c r="D23" i="83"/>
  <c r="D24" i="83"/>
  <c r="D25" i="83"/>
  <c r="D32" i="83"/>
  <c r="D33" i="83"/>
  <c r="D34" i="83"/>
  <c r="D37" i="83"/>
  <c r="D38" i="83"/>
  <c r="D39" i="83"/>
  <c r="D43" i="83"/>
  <c r="D44" i="83"/>
  <c r="D45" i="83"/>
  <c r="K11" i="30"/>
  <c r="G11" i="30"/>
  <c r="I11" i="30"/>
  <c r="J11" i="30"/>
  <c r="K19" i="28" a="1"/>
  <c r="K20" i="28" s="1"/>
  <c r="C16" i="30"/>
  <c r="C18" i="30"/>
  <c r="C23" i="30"/>
  <c r="B27" i="30"/>
  <c r="C30" i="30"/>
  <c r="B40" i="30"/>
  <c r="B46" i="30"/>
  <c r="B54" i="30"/>
  <c r="B14" i="30"/>
  <c r="F28" i="32" l="1"/>
  <c r="F50" i="32"/>
  <c r="C41" i="30"/>
  <c r="C32" i="30"/>
  <c r="C20" i="30"/>
  <c r="C15" i="30"/>
  <c r="F18" i="32"/>
  <c r="F18" i="84"/>
  <c r="F42" i="32"/>
  <c r="H42" i="32" s="1"/>
  <c r="I42" i="32" s="1"/>
  <c r="D44" i="84" s="1"/>
  <c r="E44" i="84" s="1"/>
  <c r="F44" i="84"/>
  <c r="H18" i="32"/>
  <c r="F31" i="32"/>
  <c r="F31" i="84"/>
  <c r="F38" i="32"/>
  <c r="H38" i="32" s="1"/>
  <c r="F39" i="84"/>
  <c r="C29" i="30"/>
  <c r="C49" i="30"/>
  <c r="C35" i="30"/>
  <c r="C47" i="84"/>
  <c r="C36" i="30"/>
  <c r="C19" i="30"/>
  <c r="C56" i="30"/>
  <c r="C43" i="30"/>
  <c r="C57" i="30"/>
  <c r="C47" i="30"/>
  <c r="C17" i="30"/>
  <c r="C48" i="30"/>
  <c r="C42" i="30"/>
  <c r="H31" i="32"/>
  <c r="C51" i="30"/>
  <c r="H19" i="32"/>
  <c r="M67" i="28"/>
  <c r="F48" i="84"/>
  <c r="F46" i="32"/>
  <c r="H46" i="32" s="1"/>
  <c r="F46" i="84"/>
  <c r="F44" i="32"/>
  <c r="H44" i="32" s="1"/>
  <c r="F47" i="84"/>
  <c r="F45" i="32"/>
  <c r="H45" i="32" s="1"/>
  <c r="F40" i="84"/>
  <c r="F39" i="32"/>
  <c r="H39" i="32" s="1"/>
  <c r="F33" i="32"/>
  <c r="F33" i="84"/>
  <c r="F34" i="84"/>
  <c r="F34" i="32"/>
  <c r="C31" i="30"/>
  <c r="C28" i="30"/>
  <c r="C21" i="30"/>
  <c r="C55" i="30"/>
  <c r="C33" i="30"/>
  <c r="C30" i="84"/>
  <c r="C18" i="84"/>
  <c r="F61" i="30"/>
  <c r="M42" i="28"/>
  <c r="F51" i="32"/>
  <c r="H51" i="32" s="1"/>
  <c r="M75" i="28"/>
  <c r="H50" i="32"/>
  <c r="M29" i="28"/>
  <c r="Q34" i="13"/>
  <c r="E34" i="32" s="1"/>
  <c r="F65" i="30"/>
  <c r="M55" i="28"/>
  <c r="F62" i="30"/>
  <c r="K22" i="28"/>
  <c r="F66" i="30"/>
  <c r="F68" i="30"/>
  <c r="F64" i="30"/>
  <c r="C4" i="34"/>
  <c r="F67" i="30"/>
  <c r="F63" i="30"/>
  <c r="H27" i="32"/>
  <c r="K23" i="28"/>
  <c r="K19" i="28"/>
  <c r="K11" i="37"/>
  <c r="L23" i="37" s="1"/>
  <c r="F12" i="84"/>
  <c r="F12" i="32"/>
  <c r="H12" i="32" s="1"/>
  <c r="F14" i="84"/>
  <c r="F14" i="32"/>
  <c r="H14" i="32" s="1"/>
  <c r="F15" i="84"/>
  <c r="F15" i="32"/>
  <c r="H15" i="32" s="1"/>
  <c r="K25" i="28"/>
  <c r="K21" i="28"/>
  <c r="L27" i="28"/>
  <c r="M27" i="28" s="1"/>
  <c r="L12" i="28"/>
  <c r="P12" i="28" s="1"/>
  <c r="L10" i="28" s="1"/>
  <c r="K24" i="28"/>
  <c r="F52" i="83"/>
  <c r="B6" i="75" s="1"/>
  <c r="F49" i="83"/>
  <c r="B3" i="75" s="1"/>
  <c r="F56" i="83"/>
  <c r="B10" i="75" s="1"/>
  <c r="F53" i="83"/>
  <c r="B7" i="75" s="1"/>
  <c r="F50" i="83"/>
  <c r="B4" i="75" s="1"/>
  <c r="F54" i="83"/>
  <c r="B8" i="75" s="1"/>
  <c r="F51" i="83"/>
  <c r="B5" i="75" s="1"/>
  <c r="F55" i="83"/>
  <c r="B9" i="75" s="1"/>
  <c r="F17" i="84"/>
  <c r="F17" i="32"/>
  <c r="H17" i="32" s="1"/>
  <c r="F13" i="32"/>
  <c r="H13" i="32" s="1"/>
  <c r="F13" i="84"/>
  <c r="F21" i="32"/>
  <c r="F21" i="84"/>
  <c r="M61" i="28"/>
  <c r="F19" i="84"/>
  <c r="F24" i="32"/>
  <c r="H24" i="32" s="1"/>
  <c r="I24" i="32" s="1"/>
  <c r="F24" i="84"/>
  <c r="H11" i="32"/>
  <c r="I11" i="32" s="1"/>
  <c r="F16" i="32"/>
  <c r="H16" i="32" s="1"/>
  <c r="F30" i="84"/>
  <c r="F30" i="32"/>
  <c r="H30" i="32" s="1"/>
  <c r="F29" i="32"/>
  <c r="H29" i="32" s="1"/>
  <c r="F29" i="84"/>
  <c r="H28" i="32"/>
  <c r="F26" i="32"/>
  <c r="H26" i="32" s="1"/>
  <c r="F26" i="84"/>
  <c r="F25" i="84"/>
  <c r="F25" i="32"/>
  <c r="H25" i="32" s="1"/>
  <c r="F38" i="84"/>
  <c r="F37" i="32"/>
  <c r="H37" i="32" s="1"/>
  <c r="F45" i="84"/>
  <c r="F43" i="32"/>
  <c r="H43" i="32" s="1"/>
  <c r="F20" i="32"/>
  <c r="F20" i="84"/>
  <c r="F32" i="32"/>
  <c r="H32" i="32" s="1"/>
  <c r="F11" i="84"/>
  <c r="F49" i="32"/>
  <c r="H49" i="32" s="1"/>
  <c r="G44" i="84" l="1"/>
  <c r="H44" i="84" s="1"/>
  <c r="I44" i="84" s="1"/>
  <c r="E33" i="32"/>
  <c r="H33" i="32" s="1"/>
  <c r="I33" i="32" s="1"/>
  <c r="D37" i="30" s="1"/>
  <c r="F37" i="30" s="1"/>
  <c r="N37" i="30" s="1"/>
  <c r="I44" i="32"/>
  <c r="D49" i="30" s="1"/>
  <c r="F49" i="30" s="1"/>
  <c r="H34" i="32"/>
  <c r="I34" i="32" s="1"/>
  <c r="E21" i="83" s="1"/>
  <c r="I45" i="32"/>
  <c r="E38" i="83" s="1"/>
  <c r="I46" i="32"/>
  <c r="D51" i="30" s="1"/>
  <c r="J51" i="30" s="1"/>
  <c r="D25" i="82" s="1"/>
  <c r="D47" i="30"/>
  <c r="E47" i="30" s="1"/>
  <c r="D20" i="82" s="1"/>
  <c r="I43" i="32"/>
  <c r="D48" i="30" s="1"/>
  <c r="F48" i="30" s="1"/>
  <c r="D30" i="82" s="1"/>
  <c r="I28" i="32"/>
  <c r="I32" i="32"/>
  <c r="D36" i="30" s="1"/>
  <c r="H36" i="30" s="1"/>
  <c r="D10" i="82" s="1"/>
  <c r="I27" i="32"/>
  <c r="D31" i="30" s="1"/>
  <c r="F31" i="30" s="1"/>
  <c r="E29" i="83"/>
  <c r="I29" i="32"/>
  <c r="D33" i="30" s="1"/>
  <c r="F33" i="30" s="1"/>
  <c r="D32" i="82"/>
  <c r="I12" i="32"/>
  <c r="E15" i="83" s="1"/>
  <c r="I14" i="32"/>
  <c r="E14" i="83" s="1"/>
  <c r="I25" i="32"/>
  <c r="D25" i="84" s="1"/>
  <c r="E25" i="84" s="1"/>
  <c r="G25" i="84" s="1"/>
  <c r="H25" i="84" s="1"/>
  <c r="I26" i="32"/>
  <c r="D30" i="30" s="1"/>
  <c r="K30" i="30" s="1"/>
  <c r="D37" i="82" s="1"/>
  <c r="I30" i="32"/>
  <c r="E20" i="83" s="1"/>
  <c r="I13" i="32"/>
  <c r="D17" i="30" s="1"/>
  <c r="K17" i="30" s="1"/>
  <c r="I17" i="32"/>
  <c r="D17" i="84" s="1"/>
  <c r="E17" i="84" s="1"/>
  <c r="G17" i="84" s="1"/>
  <c r="H17" i="84" s="1"/>
  <c r="I16" i="32"/>
  <c r="E13" i="83" s="1"/>
  <c r="I49" i="32"/>
  <c r="I51" i="32"/>
  <c r="I50" i="32"/>
  <c r="I37" i="32"/>
  <c r="I38" i="32"/>
  <c r="I39" i="32"/>
  <c r="D11" i="84"/>
  <c r="E11" i="84" s="1"/>
  <c r="G11" i="84" s="1"/>
  <c r="H11" i="84" s="1"/>
  <c r="D15" i="30"/>
  <c r="E15" i="30" s="1"/>
  <c r="E10" i="83"/>
  <c r="I15" i="32"/>
  <c r="I18" i="32"/>
  <c r="E20" i="32"/>
  <c r="H20" i="32" s="1"/>
  <c r="I20" i="32" s="1"/>
  <c r="E21" i="32"/>
  <c r="H21" i="32" s="1"/>
  <c r="I21" i="32" s="1"/>
  <c r="D28" i="30"/>
  <c r="E28" i="30" s="1"/>
  <c r="D18" i="82" s="1"/>
  <c r="D24" i="84"/>
  <c r="E24" i="84" s="1"/>
  <c r="G24" i="84" s="1"/>
  <c r="H24" i="84" s="1"/>
  <c r="I24" i="84" s="1"/>
  <c r="E19" i="83"/>
  <c r="I19" i="32"/>
  <c r="I31" i="32"/>
  <c r="D28" i="84" l="1"/>
  <c r="E28" i="84" s="1"/>
  <c r="G28" i="84" s="1"/>
  <c r="H28" i="84" s="1"/>
  <c r="I28" i="84" s="1"/>
  <c r="D32" i="30"/>
  <c r="J32" i="30" s="1"/>
  <c r="D24" i="82" s="1"/>
  <c r="I11" i="84"/>
  <c r="D46" i="84"/>
  <c r="E46" i="84" s="1"/>
  <c r="G46" i="84" s="1"/>
  <c r="H46" i="84" s="1"/>
  <c r="I46" i="84" s="1"/>
  <c r="E37" i="83"/>
  <c r="F37" i="83" s="1"/>
  <c r="B3" i="73" s="1"/>
  <c r="D47" i="84"/>
  <c r="E47" i="84" s="1"/>
  <c r="G47" i="84" s="1"/>
  <c r="H47" i="84" s="1"/>
  <c r="I47" i="84" s="1"/>
  <c r="D48" i="84"/>
  <c r="E48" i="84" s="1"/>
  <c r="G48" i="84" s="1"/>
  <c r="H48" i="84" s="1"/>
  <c r="I48" i="84" s="1"/>
  <c r="E39" i="83"/>
  <c r="D50" i="30"/>
  <c r="F50" i="30" s="1"/>
  <c r="D12" i="84"/>
  <c r="E12" i="84" s="1"/>
  <c r="G12" i="84" s="1"/>
  <c r="H12" i="84" s="1"/>
  <c r="I12" i="84" s="1"/>
  <c r="D45" i="84"/>
  <c r="E45" i="84" s="1"/>
  <c r="G45" i="84" s="1"/>
  <c r="H45" i="84" s="1"/>
  <c r="I45" i="84" s="1"/>
  <c r="D33" i="84"/>
  <c r="E33" i="84" s="1"/>
  <c r="G33" i="84" s="1"/>
  <c r="D29" i="84"/>
  <c r="E29" i="84" s="1"/>
  <c r="G29" i="84" s="1"/>
  <c r="H29" i="84" s="1"/>
  <c r="I29" i="84" s="1"/>
  <c r="D32" i="84"/>
  <c r="E32" i="84" s="1"/>
  <c r="G32" i="84" s="1"/>
  <c r="H32" i="84" s="1"/>
  <c r="I32" i="84" s="1"/>
  <c r="E9" i="83"/>
  <c r="F11" i="83" s="1"/>
  <c r="D26" i="84"/>
  <c r="E26" i="84" s="1"/>
  <c r="G26" i="84" s="1"/>
  <c r="H26" i="84" s="1"/>
  <c r="I26" i="84" s="1"/>
  <c r="D38" i="30"/>
  <c r="E38" i="30" s="1"/>
  <c r="D16" i="84"/>
  <c r="E16" i="84" s="1"/>
  <c r="G16" i="84" s="1"/>
  <c r="H16" i="84" s="1"/>
  <c r="I16" i="84" s="1"/>
  <c r="D34" i="30"/>
  <c r="E34" i="30" s="1"/>
  <c r="D30" i="84"/>
  <c r="E30" i="84" s="1"/>
  <c r="G30" i="84" s="1"/>
  <c r="H30" i="84" s="1"/>
  <c r="I30" i="84" s="1"/>
  <c r="D16" i="30"/>
  <c r="F16" i="30" s="1"/>
  <c r="F72" i="30" s="1"/>
  <c r="F73" i="30" s="1"/>
  <c r="F74" i="30" s="1"/>
  <c r="D27" i="84"/>
  <c r="E27" i="84" s="1"/>
  <c r="G27" i="84" s="1"/>
  <c r="H27" i="84" s="1"/>
  <c r="I27" i="84" s="1"/>
  <c r="E23" i="83"/>
  <c r="F24" i="83" s="1"/>
  <c r="B4" i="72" s="1"/>
  <c r="E24" i="83"/>
  <c r="E26" i="83"/>
  <c r="D20" i="30"/>
  <c r="F20" i="30" s="1"/>
  <c r="D29" i="30"/>
  <c r="F29" i="30" s="1"/>
  <c r="D29" i="82" s="1"/>
  <c r="D21" i="30"/>
  <c r="E21" i="30" s="1"/>
  <c r="E25" i="83"/>
  <c r="D34" i="84"/>
  <c r="E34" i="84" s="1"/>
  <c r="G34" i="84" s="1"/>
  <c r="D13" i="84"/>
  <c r="E13" i="84" s="1"/>
  <c r="G13" i="84" s="1"/>
  <c r="H13" i="84" s="1"/>
  <c r="I13" i="84" s="1"/>
  <c r="D14" i="84"/>
  <c r="E14" i="84" s="1"/>
  <c r="G14" i="84" s="1"/>
  <c r="H14" i="84" s="1"/>
  <c r="I14" i="84" s="1"/>
  <c r="D18" i="30"/>
  <c r="F18" i="30" s="1"/>
  <c r="I17" i="84"/>
  <c r="D31" i="84"/>
  <c r="E31" i="84" s="1"/>
  <c r="G31" i="84" s="1"/>
  <c r="H31" i="84" s="1"/>
  <c r="I31" i="84" s="1"/>
  <c r="D35" i="30"/>
  <c r="I35" i="30" s="1"/>
  <c r="D14" i="82" s="1"/>
  <c r="I25" i="84"/>
  <c r="D52" i="84"/>
  <c r="E52" i="84" s="1"/>
  <c r="G52" i="84" s="1"/>
  <c r="H52" i="84" s="1"/>
  <c r="I52" i="84" s="1"/>
  <c r="E44" i="83"/>
  <c r="D55" i="30"/>
  <c r="F55" i="30" s="1"/>
  <c r="D31" i="82" s="1"/>
  <c r="D23" i="30"/>
  <c r="H23" i="30" s="1"/>
  <c r="D19" i="84"/>
  <c r="E19" i="84" s="1"/>
  <c r="G19" i="84" s="1"/>
  <c r="H19" i="84" s="1"/>
  <c r="I19" i="84" s="1"/>
  <c r="D20" i="84"/>
  <c r="E20" i="84" s="1"/>
  <c r="G20" i="84" s="1"/>
  <c r="D24" i="30"/>
  <c r="F24" i="30" s="1"/>
  <c r="N24" i="30" s="1"/>
  <c r="E16" i="83"/>
  <c r="D15" i="84"/>
  <c r="E15" i="84" s="1"/>
  <c r="G15" i="84" s="1"/>
  <c r="H15" i="84" s="1"/>
  <c r="I15" i="84" s="1"/>
  <c r="D19" i="30"/>
  <c r="J19" i="30" s="1"/>
  <c r="D40" i="84"/>
  <c r="E40" i="84" s="1"/>
  <c r="G40" i="84" s="1"/>
  <c r="H40" i="84" s="1"/>
  <c r="D43" i="30"/>
  <c r="F43" i="30" s="1"/>
  <c r="E32" i="83"/>
  <c r="D36" i="82"/>
  <c r="K72" i="30"/>
  <c r="K73" i="30" s="1"/>
  <c r="K74" i="30" s="1"/>
  <c r="D21" i="84"/>
  <c r="E21" i="84" s="1"/>
  <c r="G21" i="84" s="1"/>
  <c r="D25" i="30"/>
  <c r="E25" i="30" s="1"/>
  <c r="E11" i="83"/>
  <c r="D18" i="84"/>
  <c r="E18" i="84" s="1"/>
  <c r="G18" i="84" s="1"/>
  <c r="H18" i="84" s="1"/>
  <c r="I18" i="84" s="1"/>
  <c r="D22" i="30"/>
  <c r="I22" i="30" s="1"/>
  <c r="D17" i="82"/>
  <c r="E72" i="30"/>
  <c r="E73" i="30" s="1"/>
  <c r="E74" i="30" s="1"/>
  <c r="F16" i="83"/>
  <c r="F13" i="83"/>
  <c r="B3" i="70" s="1"/>
  <c r="F15" i="83"/>
  <c r="B5" i="70" s="1"/>
  <c r="F14" i="83"/>
  <c r="B4" i="70" s="1"/>
  <c r="D39" i="84"/>
  <c r="E39" i="84" s="1"/>
  <c r="G39" i="84" s="1"/>
  <c r="H39" i="84" s="1"/>
  <c r="D42" i="30"/>
  <c r="F42" i="30" s="1"/>
  <c r="E34" i="83"/>
  <c r="D53" i="84"/>
  <c r="E53" i="84" s="1"/>
  <c r="G53" i="84" s="1"/>
  <c r="H53" i="84" s="1"/>
  <c r="D56" i="30"/>
  <c r="F56" i="30" s="1"/>
  <c r="E43" i="83"/>
  <c r="F29" i="83"/>
  <c r="F19" i="83"/>
  <c r="B3" i="71" s="1"/>
  <c r="F21" i="83"/>
  <c r="F20" i="83"/>
  <c r="B4" i="71" s="1"/>
  <c r="D38" i="84"/>
  <c r="E38" i="84" s="1"/>
  <c r="G38" i="84" s="1"/>
  <c r="H38" i="84" s="1"/>
  <c r="I38" i="84" s="1"/>
  <c r="D41" i="30"/>
  <c r="F41" i="30" s="1"/>
  <c r="D33" i="82" s="1"/>
  <c r="E33" i="83"/>
  <c r="D54" i="84"/>
  <c r="E54" i="84" s="1"/>
  <c r="G54" i="84" s="1"/>
  <c r="H54" i="84" s="1"/>
  <c r="D57" i="30"/>
  <c r="F57" i="30" s="1"/>
  <c r="E45" i="83"/>
  <c r="F38" i="83" l="1"/>
  <c r="B4" i="73" s="1"/>
  <c r="F39" i="83"/>
  <c r="B5" i="73" s="1"/>
  <c r="B5" i="71"/>
  <c r="F14" i="114"/>
  <c r="B6" i="70"/>
  <c r="F10" i="114"/>
  <c r="B5" i="69"/>
  <c r="F9" i="114"/>
  <c r="O37" i="30"/>
  <c r="F10" i="83"/>
  <c r="B4" i="69" s="1"/>
  <c r="F9" i="83"/>
  <c r="B3" i="69" s="1"/>
  <c r="H34" i="84"/>
  <c r="I34" i="84" s="1"/>
  <c r="H33" i="84"/>
  <c r="I33" i="84" s="1"/>
  <c r="D28" i="82"/>
  <c r="E29" i="82" s="1"/>
  <c r="F23" i="83"/>
  <c r="B3" i="72" s="1"/>
  <c r="F26" i="83"/>
  <c r="F25" i="83"/>
  <c r="B5" i="72" s="1"/>
  <c r="I54" i="84"/>
  <c r="I53" i="84"/>
  <c r="F34" i="83"/>
  <c r="B5" i="68" s="1"/>
  <c r="F32" i="83"/>
  <c r="B3" i="68" s="1"/>
  <c r="F33" i="83"/>
  <c r="B4" i="68" s="1"/>
  <c r="I39" i="84"/>
  <c r="D9" i="82"/>
  <c r="H72" i="30"/>
  <c r="H73" i="30" s="1"/>
  <c r="H74" i="30" s="1"/>
  <c r="F45" i="83"/>
  <c r="B5" i="74" s="1"/>
  <c r="F43" i="83"/>
  <c r="B3" i="74" s="1"/>
  <c r="F44" i="83"/>
  <c r="B4" i="74" s="1"/>
  <c r="E37" i="82"/>
  <c r="B3" i="67" s="1"/>
  <c r="E36" i="82"/>
  <c r="B4" i="67" s="1"/>
  <c r="I40" i="84"/>
  <c r="E17" i="82"/>
  <c r="E20" i="82"/>
  <c r="B3" i="63" s="1"/>
  <c r="E19" i="82"/>
  <c r="B4" i="63" s="1"/>
  <c r="E18" i="82"/>
  <c r="D13" i="82"/>
  <c r="I72" i="30"/>
  <c r="I73" i="30" s="1"/>
  <c r="I74" i="30" s="1"/>
  <c r="D23" i="82"/>
  <c r="J72" i="30"/>
  <c r="J73" i="30" s="1"/>
  <c r="J74" i="30" s="1"/>
  <c r="H21" i="84"/>
  <c r="I21" i="84" s="1"/>
  <c r="H20" i="84"/>
  <c r="I20" i="84" s="1"/>
  <c r="E33" i="82" l="1"/>
  <c r="B3" i="66" s="1"/>
  <c r="B6" i="63"/>
  <c r="E9" i="114"/>
  <c r="H9" i="114" s="1"/>
  <c r="I9" i="114" s="1"/>
  <c r="B3" i="112" s="1"/>
  <c r="B6" i="72"/>
  <c r="F15" i="114"/>
  <c r="B5" i="66"/>
  <c r="E15" i="114"/>
  <c r="B5" i="63"/>
  <c r="E14" i="114"/>
  <c r="H14" i="114" s="1"/>
  <c r="I14" i="114" s="1"/>
  <c r="B3" i="113" s="1"/>
  <c r="Q37" i="30"/>
  <c r="P37" i="30"/>
  <c r="R37" i="30"/>
  <c r="O24" i="30"/>
  <c r="E31" i="82"/>
  <c r="B7" i="66" s="1"/>
  <c r="E28" i="82"/>
  <c r="E32" i="82"/>
  <c r="B8" i="66" s="1"/>
  <c r="E30" i="82"/>
  <c r="B6" i="66" s="1"/>
  <c r="L19" i="28" a="1"/>
  <c r="L19" i="28" s="1"/>
  <c r="M19" i="28" s="1"/>
  <c r="E14" i="82"/>
  <c r="B4" i="62" s="1"/>
  <c r="E13" i="82"/>
  <c r="B3" i="62" s="1"/>
  <c r="E23" i="82"/>
  <c r="B3" i="64" s="1"/>
  <c r="E25" i="82"/>
  <c r="B5" i="64" s="1"/>
  <c r="E24" i="82"/>
  <c r="B4" i="64" s="1"/>
  <c r="E9" i="82"/>
  <c r="B3" i="21" s="1"/>
  <c r="E10" i="82"/>
  <c r="B4" i="21" s="1"/>
  <c r="H15" i="114" l="1"/>
  <c r="H16" i="114" s="1"/>
  <c r="I16" i="114" s="1"/>
  <c r="B4" i="66"/>
  <c r="E10" i="114"/>
  <c r="H10" i="114" s="1"/>
  <c r="P24" i="30"/>
  <c r="Q24" i="30"/>
  <c r="R24" i="30"/>
  <c r="L25" i="28"/>
  <c r="M25" i="28" s="1"/>
  <c r="L24" i="28"/>
  <c r="M24" i="28" s="1"/>
  <c r="L23" i="28"/>
  <c r="M23" i="28" s="1"/>
  <c r="L22" i="28"/>
  <c r="M22" i="28" s="1"/>
  <c r="L21" i="28"/>
  <c r="L20" i="28"/>
  <c r="M20" i="28" s="1"/>
  <c r="I15" i="114" l="1"/>
  <c r="B4" i="113" s="1"/>
  <c r="B5" i="113" s="1"/>
  <c r="I10" i="114"/>
  <c r="B4" i="112" s="1"/>
  <c r="B5" i="112" s="1"/>
  <c r="H11" i="114"/>
  <c r="I11" i="114" s="1"/>
</calcChain>
</file>

<file path=xl/sharedStrings.xml><?xml version="1.0" encoding="utf-8"?>
<sst xmlns="http://schemas.openxmlformats.org/spreadsheetml/2006/main" count="1315" uniqueCount="933">
  <si>
    <t>Changelog</t>
  </si>
  <si>
    <t>Document</t>
  </si>
  <si>
    <t>Version #</t>
  </si>
  <si>
    <t>Date</t>
  </si>
  <si>
    <t>Author</t>
  </si>
  <si>
    <t>Changes</t>
  </si>
  <si>
    <t>Version</t>
  </si>
  <si>
    <t>Created this document</t>
  </si>
  <si>
    <t>Legend</t>
  </si>
  <si>
    <t>Cells</t>
  </si>
  <si>
    <t>Intermediate (calculation)</t>
  </si>
  <si>
    <t>Result</t>
  </si>
  <si>
    <t>Manual input</t>
  </si>
  <si>
    <t>Reference to manual input or data input</t>
  </si>
  <si>
    <t>Results</t>
  </si>
  <si>
    <t>Additional calculations</t>
  </si>
  <si>
    <t>Research data</t>
  </si>
  <si>
    <t>Comments</t>
  </si>
  <si>
    <t>Organization</t>
  </si>
  <si>
    <t>Contents</t>
  </si>
  <si>
    <t>Tab</t>
  </si>
  <si>
    <t>Description</t>
  </si>
  <si>
    <t>An index with description of all the tabs in this analysis</t>
  </si>
  <si>
    <t>Introduction</t>
  </si>
  <si>
    <t>Assumptions</t>
  </si>
  <si>
    <t>A description of the modeling and country-specific assumptions for this analysis</t>
  </si>
  <si>
    <t>Dashboard</t>
  </si>
  <si>
    <t>On the dashboard, the country-specific assumptions can be changed manually. It also shows the most important checks</t>
  </si>
  <si>
    <t>Industry</t>
  </si>
  <si>
    <t>The Energytransition model</t>
  </si>
  <si>
    <t>This analysis</t>
  </si>
  <si>
    <t>Modeling assumptions</t>
  </si>
  <si>
    <t>Type</t>
  </si>
  <si>
    <t>Assumption</t>
  </si>
  <si>
    <t>Source</t>
  </si>
  <si>
    <t>General</t>
  </si>
  <si>
    <t>Hard coal (if no detail)</t>
  </si>
  <si>
    <t>Brown coal (if no detail)</t>
  </si>
  <si>
    <t>Anthracite</t>
  </si>
  <si>
    <t>Coking coal</t>
  </si>
  <si>
    <t>Other bituminous coal</t>
  </si>
  <si>
    <t>Sub-bituminous coal</t>
  </si>
  <si>
    <t>Peat</t>
  </si>
  <si>
    <t>Patent fuel</t>
  </si>
  <si>
    <t>Coke oven coke</t>
  </si>
  <si>
    <t>Gas coke</t>
  </si>
  <si>
    <t>Coal tar</t>
  </si>
  <si>
    <t>BKB/peat briquettes</t>
  </si>
  <si>
    <t>Lignite</t>
  </si>
  <si>
    <t>Crude/NGL/feedstocks (if no detail)</t>
  </si>
  <si>
    <t>Crude oil</t>
  </si>
  <si>
    <t>Natural gas liquids</t>
  </si>
  <si>
    <t>Refinery feedstocks</t>
  </si>
  <si>
    <t>Additives/blending components</t>
  </si>
  <si>
    <t>Other hydrocarbons</t>
  </si>
  <si>
    <t>Refinery gas</t>
  </si>
  <si>
    <t>Ethane</t>
  </si>
  <si>
    <t>Liquefied petroleum gases (LPG)</t>
  </si>
  <si>
    <t>Motor gasoline</t>
  </si>
  <si>
    <t>Aviation gasoline</t>
  </si>
  <si>
    <t>Gasoline type jet fuel</t>
  </si>
  <si>
    <t>Kerosene type jet fuel</t>
  </si>
  <si>
    <t>Other Kerosene</t>
  </si>
  <si>
    <t>Gas/diesel oil</t>
  </si>
  <si>
    <t>Fuel oil</t>
  </si>
  <si>
    <t>Naphtha</t>
  </si>
  <si>
    <t>White spirit &amp; SBP</t>
  </si>
  <si>
    <t>Lubricants</t>
  </si>
  <si>
    <t>Bitumen</t>
  </si>
  <si>
    <t>Paraffin waxes</t>
  </si>
  <si>
    <t>Petroleum coke</t>
  </si>
  <si>
    <t>Non-specified oil products</t>
  </si>
  <si>
    <t>Biogases</t>
  </si>
  <si>
    <t>Primary solid biofuels</t>
  </si>
  <si>
    <t>Non-specified primary biofuels and waste</t>
  </si>
  <si>
    <t>Lighting</t>
  </si>
  <si>
    <t>Space Heating</t>
  </si>
  <si>
    <t>Other</t>
  </si>
  <si>
    <t>Notes</t>
  </si>
  <si>
    <t>Checks</t>
  </si>
  <si>
    <t>Sector</t>
  </si>
  <si>
    <t>Value</t>
  </si>
  <si>
    <t>Unit</t>
  </si>
  <si>
    <t>Check</t>
  </si>
  <si>
    <t>Status</t>
  </si>
  <si>
    <t>Final demand</t>
  </si>
  <si>
    <t>Final energy demand used for Space Heating</t>
  </si>
  <si>
    <t>Final energy demand used for Lighting</t>
  </si>
  <si>
    <t>Space Cooling</t>
  </si>
  <si>
    <t>Final energy demand used for Space Cooling</t>
  </si>
  <si>
    <t>Percentage of heat delivered by solar thermal panels</t>
  </si>
  <si>
    <t>Percentage of cold delivered by airconditioning</t>
  </si>
  <si>
    <t>Solar Panels</t>
  </si>
  <si>
    <t>Roof area available for solar panels</t>
  </si>
  <si>
    <t>All</t>
  </si>
  <si>
    <t>Space cooling</t>
  </si>
  <si>
    <t>Space heating</t>
  </si>
  <si>
    <t>Technology used</t>
  </si>
  <si>
    <t>Incandescent lamps</t>
  </si>
  <si>
    <t>LED lamps</t>
  </si>
  <si>
    <t>Total</t>
  </si>
  <si>
    <t>Total IEA value</t>
  </si>
  <si>
    <t>PRODUCT</t>
  </si>
  <si>
    <t>Charcoal</t>
  </si>
  <si>
    <t>Solar thermal</t>
  </si>
  <si>
    <t>Electricity</t>
  </si>
  <si>
    <t>Heat</t>
  </si>
  <si>
    <t>FLOW</t>
  </si>
  <si>
    <t>Production</t>
  </si>
  <si>
    <t>Imports</t>
  </si>
  <si>
    <t>Exports</t>
  </si>
  <si>
    <t>International marine bunkers</t>
  </si>
  <si>
    <t>International aviation bunkers</t>
  </si>
  <si>
    <t>Stock changes</t>
  </si>
  <si>
    <t>Total primary energy supply</t>
  </si>
  <si>
    <t>Transfers</t>
  </si>
  <si>
    <t>Statistical differences</t>
  </si>
  <si>
    <t>Transformation processes</t>
  </si>
  <si>
    <t>Main activity producer electricity plants</t>
  </si>
  <si>
    <t>Autoproducer electricity plants</t>
  </si>
  <si>
    <t>Main activity producer CHP plants</t>
  </si>
  <si>
    <t>Autoproducer CHP plants</t>
  </si>
  <si>
    <t>Main activity producer heat plants</t>
  </si>
  <si>
    <t>Autoproducer heat plants</t>
  </si>
  <si>
    <t>Heat pumps</t>
  </si>
  <si>
    <t>Electric boilers</t>
  </si>
  <si>
    <t>Chemical heat for electricity production</t>
  </si>
  <si>
    <t>Petrochemical plants</t>
  </si>
  <si>
    <t>For blended natural gas</t>
  </si>
  <si>
    <t>Charcoal production plants</t>
  </si>
  <si>
    <t>Non-specified (transformation)</t>
  </si>
  <si>
    <t>Energy industry own use</t>
  </si>
  <si>
    <t>Coal mines</t>
  </si>
  <si>
    <t>Oil and gas extraction</t>
  </si>
  <si>
    <t>Gasification plants for biogases</t>
  </si>
  <si>
    <t>Liquefaction (LNG) / regasification plants</t>
  </si>
  <si>
    <t>Own use in electricity, CHP and heat plants</t>
  </si>
  <si>
    <t>Pumped storage plants</t>
  </si>
  <si>
    <t>Nuclear industry</t>
  </si>
  <si>
    <t>Non-specified (energy)</t>
  </si>
  <si>
    <t>Losses</t>
  </si>
  <si>
    <t>Total final consumption</t>
  </si>
  <si>
    <t>Iron and steel</t>
  </si>
  <si>
    <t>Chemical and petrochemical</t>
  </si>
  <si>
    <t>Non-ferrous metals</t>
  </si>
  <si>
    <t>Non-metallic minerals</t>
  </si>
  <si>
    <t>Transport equipment</t>
  </si>
  <si>
    <t>Machinery</t>
  </si>
  <si>
    <t>Mining and quarrying</t>
  </si>
  <si>
    <t>Food and tobacco</t>
  </si>
  <si>
    <t>Paper, pulp and print</t>
  </si>
  <si>
    <t>Wood and wood products</t>
  </si>
  <si>
    <t>Construction</t>
  </si>
  <si>
    <t>Textile and leather</t>
  </si>
  <si>
    <t>Non-specified (industry)</t>
  </si>
  <si>
    <t>Transport</t>
  </si>
  <si>
    <t>Domestic aviation</t>
  </si>
  <si>
    <t>Road</t>
  </si>
  <si>
    <t>Rail</t>
  </si>
  <si>
    <t>Pipeline transport</t>
  </si>
  <si>
    <t>Domestic navigation</t>
  </si>
  <si>
    <t>Non-specified (transport)</t>
  </si>
  <si>
    <t>Residential</t>
  </si>
  <si>
    <t>Commercial and public services</t>
  </si>
  <si>
    <t>Agriculture/forestry</t>
  </si>
  <si>
    <t>Fishing</t>
  </si>
  <si>
    <t>Non-specified (other)</t>
  </si>
  <si>
    <t>Non-energy use</t>
  </si>
  <si>
    <t>Non-energy use industry/transformation/energy</t>
  </si>
  <si>
    <t xml:space="preserve">   Memo: Feedstock use in petrochemical industry</t>
  </si>
  <si>
    <t>Non-energy use in transport</t>
  </si>
  <si>
    <t>Non-energy use in other</t>
  </si>
  <si>
    <t>Electricity output (GWh)</t>
  </si>
  <si>
    <t>Electricity output (GWh)-main activity producer electricity plants</t>
  </si>
  <si>
    <t>Electricity output (GWh)-autoproducer electricity plants</t>
  </si>
  <si>
    <t>Electricity output (GWh)-main activity producer CHP plants</t>
  </si>
  <si>
    <t>Electricity output (GWh)-autoproducer CHP plants</t>
  </si>
  <si>
    <t>Heat output</t>
  </si>
  <si>
    <t>Heat output-main activity producer CHP plants</t>
  </si>
  <si>
    <t>Heat output-autoproducer CHP plants</t>
  </si>
  <si>
    <t>Heat output-main activity producer heat plants</t>
  </si>
  <si>
    <t>Heat output-autoproducer heat plants</t>
  </si>
  <si>
    <t>Technology</t>
  </si>
  <si>
    <t>Final demand per energy carrier</t>
  </si>
  <si>
    <t>Percentage of light delivered by incandescent lamps</t>
  </si>
  <si>
    <t>Percentage of light delivered by LED lamps</t>
  </si>
  <si>
    <t>The technological specifications of these technologies are the same for all countries.</t>
  </si>
  <si>
    <t>Technological specifications</t>
  </si>
  <si>
    <t>Country specific assumptions</t>
  </si>
  <si>
    <t>On this page, a description of the assumptions for this analysis is given. There are two types of assumptions, Modeling assumptions and Country specific assumptions. The modeling assumptions form the structure or framework to be able to do this analysis. They are the same for every country. The country specific assumptions must be entered by the researcher on the Dashboard page and are used to correctly adjust the calculations to the specific country. The fuels table gives an overview of how the ETM fuel carriers correspond with the IEA fuel carriers.</t>
  </si>
  <si>
    <t>Percentages add up to 100%</t>
  </si>
  <si>
    <t>Percentage of final demand converted by this technology</t>
  </si>
  <si>
    <t>Relative size of final demand converted by this technology</t>
  </si>
  <si>
    <t>Analysis inputs</t>
  </si>
  <si>
    <t>Analysis calculations</t>
  </si>
  <si>
    <t>Analysis ouputs</t>
  </si>
  <si>
    <t>A visualization of the dataflow in this analysis</t>
  </si>
  <si>
    <t>Cover Sheet</t>
  </si>
  <si>
    <t>Dataflow</t>
  </si>
  <si>
    <t>Information about this document and a legend to tab and cell formatting</t>
  </si>
  <si>
    <t>A documentation of the changes to this analysis</t>
  </si>
  <si>
    <t>Steps to perform this analysis</t>
  </si>
  <si>
    <t>Proposed source</t>
  </si>
  <si>
    <t>Fuels</t>
  </si>
  <si>
    <t>IEA carriers</t>
  </si>
  <si>
    <t>Coal</t>
  </si>
  <si>
    <t>Natural gas</t>
  </si>
  <si>
    <t>Oil</t>
  </si>
  <si>
    <t>Wood pellets</t>
  </si>
  <si>
    <t>Final energy demand used for Electrical Appliances</t>
  </si>
  <si>
    <t>Final demand per energy carrier (TJ)</t>
  </si>
  <si>
    <t>Solar Thermal</t>
  </si>
  <si>
    <t>Fuel aggregation</t>
  </si>
  <si>
    <t>TJ</t>
  </si>
  <si>
    <t>Effective efficiency</t>
  </si>
  <si>
    <t>All assumptions are filled</t>
  </si>
  <si>
    <t>Introductory</t>
  </si>
  <si>
    <t>Sources</t>
  </si>
  <si>
    <t>Main calculations</t>
  </si>
  <si>
    <t>The technological specifications of energy conversion technologies used in the ETM are listed here</t>
  </si>
  <si>
    <t>Electrity</t>
  </si>
  <si>
    <t>Fuel Aggregation</t>
  </si>
  <si>
    <t>The assumptions made on the dashboard are calculated towards final demand here using the efficiencies defined in the tab 'Technological specifications'.</t>
  </si>
  <si>
    <t>In this tab the final demands that were directly calculated from the energy balance are calculated towards useful demand to be able to display them on the dahboard.</t>
  </si>
  <si>
    <t>Here the corrected energy balance created in the CHP analysis should be pasted for your country and year</t>
  </si>
  <si>
    <t>CaPS carriers</t>
  </si>
  <si>
    <t>On this sheet you can fill the country specific assumptions for your country. Please mind the checks, if one or more become red it means that with the information you provided we cannot run the Energy Transition Model. Concerning your assumptions please provide sources.</t>
  </si>
  <si>
    <t>In this sheet the carriers from the energy balance are summed into the carriers that are being used in the commercial and public services sector of the ETM. The result for other carriers should be zero, because these carriers cannot be used in the commercial and public services sector. To see what you should do, please see the dashboard. If you want to trace the problem, please check the energy balance for red cells.</t>
  </si>
  <si>
    <t>In this sheet the percentages of heat delivered are converted in percentages of final demand converted per technology by using the technological efficiencies specified in the sheet 'Technological specifications'. An exception to this workflow are the percentages of final demand for district heating, biomass heating and solar thermal panels, which have been directly determined in the sheet 'Final demand extracted from EB'.</t>
  </si>
  <si>
    <t>CSV-files</t>
  </si>
  <si>
    <t>Dataflow Household Analysis</t>
  </si>
  <si>
    <t>converter key</t>
  </si>
  <si>
    <t>households_final_demand_for_space_heating_coal</t>
  </si>
  <si>
    <t>households_final_demand_for_hot_water_coal</t>
  </si>
  <si>
    <t>households_final_demand_for_space_heating_crude_oil</t>
  </si>
  <si>
    <t>households_final_demand_for_hot_water_crude_oil</t>
  </si>
  <si>
    <t>households_final_demand_for_space_heating_network_gas</t>
  </si>
  <si>
    <t>households_final_demand_for_hot_water_network_gas</t>
  </si>
  <si>
    <t>households_final_demand_for_cooling_network_gas</t>
  </si>
  <si>
    <t>households_final_demand_for_space_heating_electricity</t>
  </si>
  <si>
    <t>households_final_demand_for_hot_water_electricity</t>
  </si>
  <si>
    <t>households_final_demand_for_cooking_electricity</t>
  </si>
  <si>
    <t>households_final_demand_for_cooling_electricity</t>
  </si>
  <si>
    <t>households_final_demand_for_lighting_electricity</t>
  </si>
  <si>
    <t>households_final_demand_for_applicances_electricity</t>
  </si>
  <si>
    <t>households_final_demand_for_space_heating_steam_hot_water</t>
  </si>
  <si>
    <t>households_final_demand_for_hot_water_steam_hot_water</t>
  </si>
  <si>
    <t>households_cooling_airconditioning_electricity</t>
  </si>
  <si>
    <t>households_cooling_heatpump_ground_water_electricity</t>
  </si>
  <si>
    <t>households_cooling_heatpump_air_water_electricity</t>
  </si>
  <si>
    <t>households_space_heater_network_gas</t>
  </si>
  <si>
    <t>households_space_heater_combined_network_gas</t>
  </si>
  <si>
    <t>households_space_heater_electricity</t>
  </si>
  <si>
    <t>households_space_heater_heatpump_air_water_electricity</t>
  </si>
  <si>
    <t>households_space_heater_heatpump_ground_water_electricity</t>
  </si>
  <si>
    <t>households_water_heater_combined_network_gas</t>
  </si>
  <si>
    <t>households_water_heater_network_gas</t>
  </si>
  <si>
    <t>households_water_heater_heatpump_air_water_electricity</t>
  </si>
  <si>
    <t>households_water_heater_heatpump_ground_water_electricity</t>
  </si>
  <si>
    <t>households_water_heater_resistive_electricity</t>
  </si>
  <si>
    <t>households_cooker_halogen_electricity</t>
  </si>
  <si>
    <t>households_cooker_induction_electricity</t>
  </si>
  <si>
    <t>households_cooker_resistive_electricity</t>
  </si>
  <si>
    <t>households_lighting_efficient_fluorescent_electricity</t>
  </si>
  <si>
    <t>households_lighting_incandescent_electricity</t>
  </si>
  <si>
    <t>households_lighting_led_electricity</t>
  </si>
  <si>
    <t>households_appliances_clothes_dryer_electricity</t>
  </si>
  <si>
    <t>households_appliances_computer_media_electricity</t>
  </si>
  <si>
    <t>households_appliances_dishwasher_electricity</t>
  </si>
  <si>
    <t>households_appliances_fridge_freezer_electricity</t>
  </si>
  <si>
    <t>households_appliances_other_electricity</t>
  </si>
  <si>
    <t>households_appliances_television_electricity</t>
  </si>
  <si>
    <t>households_appliances_vacuum_cleaner_electricity</t>
  </si>
  <si>
    <t>households_appliances_washing_machine_electricity</t>
  </si>
  <si>
    <t>Final energy demand used for Hot Water</t>
  </si>
  <si>
    <t>Final energy demand used for Cooking</t>
  </si>
  <si>
    <t>Cooking</t>
  </si>
  <si>
    <t>Shares per carrier per application</t>
  </si>
  <si>
    <t>In this sheet an overview is presented of the allocation of energy carriers over the different technologies and applications. At the bottom of this sheet the size of the electrical appliances and the other appliances are determined.</t>
  </si>
  <si>
    <t>Application</t>
  </si>
  <si>
    <t>Percentage of heat delivered by Condensing Combi Boiler</t>
  </si>
  <si>
    <t>Percentage of heat delivered by gas-fired Heat Pump (ground)</t>
  </si>
  <si>
    <t>Percentage of heat delivered by gas-fired micro CHP</t>
  </si>
  <si>
    <t>Percentage of heat delivered by District Heating</t>
  </si>
  <si>
    <t>Percentage of heat delivered by woodpellets (biomass) heaters</t>
  </si>
  <si>
    <t>Percentage of heat delivered by Gas-fired Heaters</t>
  </si>
  <si>
    <t>Percentage of heat delivered by Oil-fired Heaters</t>
  </si>
  <si>
    <t>Percentage of heat delivered by Coal-fired Heaters</t>
  </si>
  <si>
    <t>households_useful_demand_for_hot_water_for_houses_with_add_on</t>
  </si>
  <si>
    <t>Percentage of heat delivered by electric heat pump add-on</t>
  </si>
  <si>
    <t>Hot Water</t>
  </si>
  <si>
    <t>Percentage of hot water delivered by Condensing Combi Boiler</t>
  </si>
  <si>
    <t>Percentage of hot water delivered by gas-fired hot water Pump (ground)</t>
  </si>
  <si>
    <t>Percentage of hot water delivered by gas-fired micro CHP</t>
  </si>
  <si>
    <t>Percentage of hot water delivered by solar thermal panels</t>
  </si>
  <si>
    <t>Percentage of hot water delivered by District heating</t>
  </si>
  <si>
    <t>Percentage of hot water delivered by woodpellets (biomass) stoves</t>
  </si>
  <si>
    <t>Percentage of hot water delivered by Gas-fired heaters</t>
  </si>
  <si>
    <t>Percentage of hot water delivered by Oil-fired heaters</t>
  </si>
  <si>
    <t>Percentage of hot water delivered by Coal-fired heaters</t>
  </si>
  <si>
    <t>Percentage of hot water delivered by Fuel Cells</t>
  </si>
  <si>
    <t>Percentage of cold delivered by heat pumps (ground)</t>
  </si>
  <si>
    <t>Percentage of cold delivered by heat pumps (air)</t>
  </si>
  <si>
    <t>Percentage of electricity in appliances used in Fridges / Freezers</t>
  </si>
  <si>
    <t>Percentage of electricity in appliances used in Washing Machines</t>
  </si>
  <si>
    <t>Percentage of electricity in appliances used in Dryers</t>
  </si>
  <si>
    <t>Country</t>
  </si>
  <si>
    <t>Year data</t>
  </si>
  <si>
    <t>Eff_space_heating_combi_boiler</t>
  </si>
  <si>
    <t>Eff_space_heating_pump_ground</t>
  </si>
  <si>
    <t>Eff_space_heating_district</t>
  </si>
  <si>
    <t>Eff_space_heating_pump_air</t>
  </si>
  <si>
    <t>Eff_space_heating_woodpellets</t>
  </si>
  <si>
    <t>Eff_space_heating_electric</t>
  </si>
  <si>
    <t>Eff_space_heating_gas</t>
  </si>
  <si>
    <t>Eff_space_heating_oil</t>
  </si>
  <si>
    <t>Eff_space_heating_coal</t>
  </si>
  <si>
    <t>Eff_hot_water_combi_boiler</t>
  </si>
  <si>
    <t>Eff_hot_water_pump_ground</t>
  </si>
  <si>
    <t>Eff_hot_water_district</t>
  </si>
  <si>
    <t>Eff_hot_water_pump_air</t>
  </si>
  <si>
    <t>Eff_hot_water_woodpellets</t>
  </si>
  <si>
    <t>Eff_hot_water_electric</t>
  </si>
  <si>
    <t>Eff_hot_water_gas</t>
  </si>
  <si>
    <t>Eff_hot_water_oil</t>
  </si>
  <si>
    <t>Eff_hot_water_coal</t>
  </si>
  <si>
    <t>Electric heat pump air</t>
  </si>
  <si>
    <t>Electric heat pump ground</t>
  </si>
  <si>
    <t>Conventional electric airconditioning</t>
  </si>
  <si>
    <t>Eff_cooling_pump_ground</t>
  </si>
  <si>
    <t>Eff_cooling_pump_air</t>
  </si>
  <si>
    <t>Eff_cooling_airco</t>
  </si>
  <si>
    <t>Percentage of light delivered by low energy light bulbs (efficiient fluorescent lighting)</t>
  </si>
  <si>
    <t>Low energy light bulbs / fluorescent lighting</t>
  </si>
  <si>
    <t>Eff_lighting_incandescent</t>
  </si>
  <si>
    <t>Eff_lighting_fluorescent</t>
  </si>
  <si>
    <t>Eff_lighting_led</t>
  </si>
  <si>
    <t>Gas stoves</t>
  </si>
  <si>
    <t>Electric halogen stoves</t>
  </si>
  <si>
    <t>Electric induction stoves</t>
  </si>
  <si>
    <t>Biomass stoves</t>
  </si>
  <si>
    <t>Eff_cooking_electric</t>
  </si>
  <si>
    <t>Eff_cooking_gas</t>
  </si>
  <si>
    <t>Eff_cooking_halogen</t>
  </si>
  <si>
    <t>Eff_cooking_induction</t>
  </si>
  <si>
    <t>Eff_cooking_biomass</t>
  </si>
  <si>
    <t>Name in this excel file</t>
  </si>
  <si>
    <t>Final_demand_space_heating</t>
  </si>
  <si>
    <t>Final_demand_hot_water</t>
  </si>
  <si>
    <t>Final_demand_cooling</t>
  </si>
  <si>
    <t>Final_demand_lighting</t>
  </si>
  <si>
    <t>Final_demand_cooking</t>
  </si>
  <si>
    <t>Final_demand_appliances</t>
  </si>
  <si>
    <t>Final energy demand of Residences (from energy balance)</t>
  </si>
  <si>
    <t>Name in Excel file</t>
  </si>
  <si>
    <t>Final_demand_gas</t>
  </si>
  <si>
    <t>Final_demand_electricity</t>
  </si>
  <si>
    <t>Final_demand_solar_thermal</t>
  </si>
  <si>
    <t>Final_demand_coal</t>
  </si>
  <si>
    <t>Final_demand_oil</t>
  </si>
  <si>
    <t>Final_demand_woodpellets</t>
  </si>
  <si>
    <t>Final_demand_other</t>
  </si>
  <si>
    <t>Final_demand_heat</t>
  </si>
  <si>
    <t>Final_demand_residences</t>
  </si>
  <si>
    <t>Percentage of heat delivered by electricity-driven Heat pump (air)</t>
  </si>
  <si>
    <t>Percentage of hot water delivered electricity-driven heat pump (air)</t>
  </si>
  <si>
    <t>Percentage of electricity in appliances in appliances used in Dishwashers</t>
  </si>
  <si>
    <t>Percentage of electricity in appliances used in appliances used by Television</t>
  </si>
  <si>
    <t>Percentage of electricity in appliances used in appliances used by Computers / Media</t>
  </si>
  <si>
    <t>Percentage of electricity in appliances used in appliances used by Vacuum Cleaners</t>
  </si>
  <si>
    <t>Percentage of electricity in appliances used in appliances used by others</t>
  </si>
  <si>
    <t>Percentage of cooking heat delivered by gas stoves</t>
  </si>
  <si>
    <t>Percentage of cooking heat delivered by electric halogen stoves</t>
  </si>
  <si>
    <t>Percentage of cooking heat delivered by electric induction stoves</t>
  </si>
  <si>
    <t>Percentage of cooking heat delivered by biomass stoves</t>
  </si>
  <si>
    <t>Percentage of final demand</t>
  </si>
  <si>
    <t>Subtotal of defined appliances</t>
  </si>
  <si>
    <t>Woodpellets</t>
  </si>
  <si>
    <t>Electrical Appliances</t>
  </si>
  <si>
    <t>In this sheet the shares per carrier per application needed for the Energy Transition Model are defined.</t>
  </si>
  <si>
    <t>Percentage of final demand converted by this technology (%)</t>
  </si>
  <si>
    <t>Hot water</t>
  </si>
  <si>
    <t>households_final_demand_for_cooking_network_gas</t>
  </si>
  <si>
    <t>Carrier</t>
  </si>
  <si>
    <t>Network gas</t>
  </si>
  <si>
    <t>Electric stoves (resistance)</t>
  </si>
  <si>
    <t>Percentage of heat delivered by Electric Heaters (resistance)</t>
  </si>
  <si>
    <t>Percentage of hot water delivered by Electric heaters (resistance)</t>
  </si>
  <si>
    <t>Percentage of cooking heat delivered by electric stoves (resistance)</t>
  </si>
  <si>
    <t>Condensing Combi Boiler (space heating)</t>
  </si>
  <si>
    <t>Condensing Combi Boiler (hot water)</t>
  </si>
  <si>
    <t>Electric Heat Pump (ground) (space heating)</t>
  </si>
  <si>
    <t>District Heating (hot water)</t>
  </si>
  <si>
    <t>District Heating (space heating)</t>
  </si>
  <si>
    <t>electricity-driven Heat pump (air) (space heating)</t>
  </si>
  <si>
    <t>electricity-driven Heat pump (air) (hot water)</t>
  </si>
  <si>
    <t>woodpellets (biomass) heaters (space heating)</t>
  </si>
  <si>
    <t>Electric Heaters (resistance) (space heating)</t>
  </si>
  <si>
    <t>Gas-fired Heaters (space heating)</t>
  </si>
  <si>
    <t>Oil-fired Heaters (space heating)</t>
  </si>
  <si>
    <t>Coal-fired Heaters (space heating)</t>
  </si>
  <si>
    <t>woodpellets (biomass) heaters (hot water)</t>
  </si>
  <si>
    <t>Electric Heaters (resistance) (hot water)</t>
  </si>
  <si>
    <t>Gas-fired Heaters (hot water)</t>
  </si>
  <si>
    <t>Oil-fired Heaters (hot water)</t>
  </si>
  <si>
    <t>Coal-fired Heaters (hot water)</t>
  </si>
  <si>
    <t>Electric Heat Pump (ground) (hot water)</t>
  </si>
  <si>
    <t>Final demand for electricity (TJ)</t>
  </si>
  <si>
    <t>Final demand for coal (TJ)</t>
  </si>
  <si>
    <t>Final demand for oil (TJ)</t>
  </si>
  <si>
    <t>Final demand for woodpellets (TJ)</t>
  </si>
  <si>
    <t>Final demand per carrier per application (TJ)</t>
  </si>
  <si>
    <t>Share per technology and carrier</t>
  </si>
  <si>
    <t>Space heating / hot water</t>
  </si>
  <si>
    <t>District heat</t>
  </si>
  <si>
    <t>Old / New Houses Split</t>
  </si>
  <si>
    <t>Percent of new houses (built before 1995)</t>
  </si>
  <si>
    <t>Percent of old houses (built after 1995)</t>
  </si>
  <si>
    <t>Blast furnaces_transformation</t>
  </si>
  <si>
    <t>Gas works_transformation</t>
  </si>
  <si>
    <t>Coke ovens_transformation</t>
  </si>
  <si>
    <t>Patent fuel plants_transformation</t>
  </si>
  <si>
    <t>BKB plants_transformation</t>
  </si>
  <si>
    <t>Oil refineries_transformation</t>
  </si>
  <si>
    <t>Coal liquefaction plants_transformation</t>
  </si>
  <si>
    <t>Gas-to-liquids (GTL) plants_transformation</t>
  </si>
  <si>
    <t>Blast furnaces_own_use</t>
  </si>
  <si>
    <t>Gas works_own_use</t>
  </si>
  <si>
    <t>Coke ovens_own_use</t>
  </si>
  <si>
    <t>Patent fuel plants_own_use</t>
  </si>
  <si>
    <t>BKB plants_own_use</t>
  </si>
  <si>
    <t>Oil refineries_own_use</t>
  </si>
  <si>
    <t>Coal liquefaction plants_own_use</t>
  </si>
  <si>
    <t>Gas-to-liquids (GTL) plants_own_use</t>
  </si>
  <si>
    <t xml:space="preserve"> </t>
  </si>
  <si>
    <t>Percentage of useful demand delivered per technology (Dashboard input)</t>
  </si>
  <si>
    <t>Percentage of final demand converted per technology</t>
  </si>
  <si>
    <t>A short introduction to the Energytransition model (ETM) and the Residence Analysis</t>
  </si>
  <si>
    <t>To Do</t>
  </si>
  <si>
    <t>A list of suggested improvements</t>
  </si>
  <si>
    <t>Here the carriers in the IEA energy balance for residences are combined into the fuels used in the ETM.</t>
  </si>
  <si>
    <t xml:space="preserve">The final demands per energy carrier for all energy applications are calculated here. The final demands per carrier (derived from Dashboard input) are compared with IEA data. A feedback is given to the Dashboard tab. </t>
  </si>
  <si>
    <t>Application Shares</t>
  </si>
  <si>
    <t>Technology Shares</t>
  </si>
  <si>
    <t xml:space="preserve">Input data' is generated. The shares that break down the final demand of a carrier per application are defined. </t>
  </si>
  <si>
    <t xml:space="preserve">Input data' is generated. The shares that break down the final demand of a carrier per technology are defined. </t>
  </si>
  <si>
    <t>Houses Shares</t>
  </si>
  <si>
    <t xml:space="preserve">Input data' is generated. It is determined, how much useful heat (cold) is used in old and new houses. </t>
  </si>
  <si>
    <t>In the residential sector the only source of auto-produced electricity is solar PV.</t>
  </si>
  <si>
    <t>-</t>
  </si>
  <si>
    <t>Final demand in Residences</t>
  </si>
  <si>
    <t>residences_final_demand_coal_parent_share</t>
  </si>
  <si>
    <t>residences_final_demand_crude_oil_parent_share</t>
  </si>
  <si>
    <t>residences_final_demand_network_gas_parent_share</t>
  </si>
  <si>
    <t>residences_final_demand_electricity_parent_share</t>
  </si>
  <si>
    <t>residences_final_demand_steam_hot_water_parent_share</t>
  </si>
  <si>
    <t>residences_final_demand_for_cooling_electricity_parent_share</t>
  </si>
  <si>
    <t>residences_final_demand_for_space_heating_network_gas_parent_share</t>
  </si>
  <si>
    <t>residences_final_demand_for_space_heating_electricity_parent_share</t>
  </si>
  <si>
    <t>residences_final_demand_for_hot_water_network_gas_parent_share</t>
  </si>
  <si>
    <t>residences_final_demand_for_hot_water_electricity_parent_share</t>
  </si>
  <si>
    <t>residences_final_demand_for_cooking_electricity_parent_share</t>
  </si>
  <si>
    <t>residences_final_demand_for_lighting_electricity_parent_share</t>
  </si>
  <si>
    <t>residences_final_demand_for_appliances_electricity_parent_share</t>
  </si>
  <si>
    <t>A CSV-file with a converter output share (parent_share)</t>
  </si>
  <si>
    <t>Inserted latest EB, fixed solar pv value (SD)</t>
  </si>
  <si>
    <t>households_final_demand_for_space_heating_wood_pellets</t>
  </si>
  <si>
    <t>residences_final_demand_wood_pellets_parent_share</t>
  </si>
  <si>
    <t>households_final_demand_for_hot_water_wood_pellets</t>
  </si>
  <si>
    <t>households_final_demand_for_cooking_wood_pellets</t>
  </si>
  <si>
    <t>households_old_houses_cooling_savings_from_insulation</t>
  </si>
  <si>
    <t>households_new_houses_cooling_savings_from_insulation</t>
  </si>
  <si>
    <t>households_new_houses_heating_savings_from_insulation</t>
  </si>
  <si>
    <t>households_old_houses_heating_savings_from_insulation</t>
  </si>
  <si>
    <t>Removing solar_PV calculation, they are moved to centra production table</t>
  </si>
  <si>
    <t>Added links and justification for national vs final gas demand</t>
  </si>
  <si>
    <t>Electricity producer Shares</t>
  </si>
  <si>
    <t xml:space="preserve">Input data' is generated. It is determined, how much CHP gas use is allocated to residential final demand and national demand. </t>
  </si>
  <si>
    <t>Electrical efficiency</t>
  </si>
  <si>
    <t>Effective Efficiency (heating) (Technology specification)</t>
  </si>
  <si>
    <t>Share of demand allocated to final demand in residences</t>
  </si>
  <si>
    <t>key</t>
  </si>
  <si>
    <t>share</t>
  </si>
  <si>
    <t xml:space="preserve">CSV files: Added 'key' and 'share' in new new line. </t>
  </si>
  <si>
    <t xml:space="preserve">In this sheet the percentages of useful demand delivered by a technology are defined. The figures reproduce the Dashboard input. </t>
  </si>
  <si>
    <t>Gas works gas</t>
  </si>
  <si>
    <t>Coke oven gas</t>
  </si>
  <si>
    <t>Blast furnace gas</t>
  </si>
  <si>
    <t>Other recovered gases</t>
  </si>
  <si>
    <t>Natural Gas</t>
  </si>
  <si>
    <t>Industrial waste</t>
  </si>
  <si>
    <t>Municipal waste (renewable)</t>
  </si>
  <si>
    <t>Municipal waste (non-renewable)</t>
  </si>
  <si>
    <t>Biogasoline</t>
  </si>
  <si>
    <t>Biodiesels</t>
  </si>
  <si>
    <t>Other liquid biofuels</t>
  </si>
  <si>
    <t>Elec/heat output from non-specified manufactured gases</t>
  </si>
  <si>
    <t>Heat output from non-specified combustible fuels</t>
  </si>
  <si>
    <t>Nuclear</t>
  </si>
  <si>
    <t>Hydro</t>
  </si>
  <si>
    <t>Geothermal</t>
  </si>
  <si>
    <t>Solar photovoltaics</t>
  </si>
  <si>
    <t>Tide, wave and ocean</t>
  </si>
  <si>
    <t>Wind</t>
  </si>
  <si>
    <t>Other sources</t>
  </si>
  <si>
    <t>Memo: Renewables</t>
  </si>
  <si>
    <t>Dishwashers</t>
  </si>
  <si>
    <t>Fridges / Freezers</t>
  </si>
  <si>
    <t>Washing Machines</t>
  </si>
  <si>
    <t>Dryers</t>
  </si>
  <si>
    <t>Television</t>
  </si>
  <si>
    <t>Computers / Media</t>
  </si>
  <si>
    <t>Vacuum Cleaners</t>
  </si>
  <si>
    <t>Others</t>
  </si>
  <si>
    <t xml:space="preserve">In this sheet the shares per technology per carrier needed for the Energy Transition Model are defined. Carriers that do not show up here, do not need to be split over more than one technology. </t>
  </si>
  <si>
    <t>Electric Appliances</t>
  </si>
  <si>
    <t>Percentage of useful demand delivered per technology, Dashboard figures</t>
  </si>
  <si>
    <t>Percentage of electricity in appliances used in Dishwashers</t>
  </si>
  <si>
    <t>Average useful heating demand old houses</t>
  </si>
  <si>
    <t>Average useful heating demand new houses</t>
  </si>
  <si>
    <t>Average useful cooling demand old houses</t>
  </si>
  <si>
    <t>Average useful cooling demand new houses</t>
  </si>
  <si>
    <t xml:space="preserve">Remaining final energy is less than 5% of total final energy use. </t>
  </si>
  <si>
    <t>Added two redundant sheets for automatically generating edges and noes</t>
  </si>
  <si>
    <t>improved the Dashboard layout</t>
  </si>
  <si>
    <t>Improved the layout of calculations</t>
  </si>
  <si>
    <t>Deleted many names</t>
  </si>
  <si>
    <t>Total demand of aggregated carriers</t>
  </si>
  <si>
    <t xml:space="preserve">Check: </t>
  </si>
  <si>
    <t xml:space="preserve">If the </t>
  </si>
  <si>
    <t>are the same,,</t>
  </si>
  <si>
    <t xml:space="preserve">Difference: </t>
  </si>
  <si>
    <t>Added Share of demand allocated to final demand in residencesto calculation of Technology split final demand</t>
  </si>
  <si>
    <t xml:space="preserve">the energy carriers have been aggregated correctly. </t>
  </si>
  <si>
    <t>Application splits of final demands</t>
  </si>
  <si>
    <t>Conversion 'useful demand shares' to 'final demand shares'</t>
  </si>
  <si>
    <t>Technology splits of Final demand</t>
  </si>
  <si>
    <t>There are six main energy use groups in the built environment: space heating, hot water, space cooling cooking, lighting and electrical appliances.</t>
  </si>
  <si>
    <t>The ETM graph contains a number of converters that are used to model future energy saving effects of improved insulation. The inluence of these converters is set to 'zero' in the 'present' scenario:</t>
  </si>
  <si>
    <t>Changed Dataflow layout</t>
  </si>
  <si>
    <t>residences_final_demand_space_heating</t>
  </si>
  <si>
    <t>residences_final_demand_hot_water</t>
  </si>
  <si>
    <t>residences_final_demand_cooling</t>
  </si>
  <si>
    <t>residences_final_demand_lighting</t>
  </si>
  <si>
    <t>residences_final_demand_cooking</t>
  </si>
  <si>
    <t>residences_final_demand_appliances</t>
  </si>
  <si>
    <t>residences_percentage_space_heating_combi_boiiler</t>
  </si>
  <si>
    <t>residences_percentage_space_heating_heat_pump_ground</t>
  </si>
  <si>
    <t>residences_percentage_space_heating_heat_pump_air</t>
  </si>
  <si>
    <t>residences_percentage_space_heating_woodpellets</t>
  </si>
  <si>
    <t>residences_percentage_space_heating_district</t>
  </si>
  <si>
    <t>residences_percentage_space_heating_electric_resistance</t>
  </si>
  <si>
    <t>residences_percentage_space_heating_oil_burner</t>
  </si>
  <si>
    <t>residences_percentage_space_heating_gas_burner</t>
  </si>
  <si>
    <t>residences_percentage_space_heating_coal_burner</t>
  </si>
  <si>
    <t>residences_percentage_hot_water_combi_boiiler</t>
  </si>
  <si>
    <t>residences_percentage_hot_water_heat_pump_ground</t>
  </si>
  <si>
    <t>residences_percentage_hot_water_district</t>
  </si>
  <si>
    <t>residences_percentage_hot_water_heat_pump_air</t>
  </si>
  <si>
    <t>residences_percentage_hot_water_woodpellets</t>
  </si>
  <si>
    <t>residences_percentage_hot_water_electric_resistance</t>
  </si>
  <si>
    <t>residences_percentage_hot_water_gas_burner</t>
  </si>
  <si>
    <t>residences_percentage_hot_water_oil_burner</t>
  </si>
  <si>
    <t>residences_percentage_hot_water_coal_burner</t>
  </si>
  <si>
    <t>residences_percentage_cooling_heat_pump_ground</t>
  </si>
  <si>
    <t>residences_percentage_cooling_heat_pump_air</t>
  </si>
  <si>
    <t>residences_percentage_cooling_aircondition</t>
  </si>
  <si>
    <t>residences_percentage_lighting_incandescent</t>
  </si>
  <si>
    <t>residences_percentage_lighting_efficient_fluorescent</t>
  </si>
  <si>
    <t>residences_percentage_lighting_led</t>
  </si>
  <si>
    <t>residences_percentage_cooking_electric_resistance</t>
  </si>
  <si>
    <t>residences_percentage_cooking_gas</t>
  </si>
  <si>
    <t>residences_percentage_cooking_electric_halogen</t>
  </si>
  <si>
    <t>residences_percentage_cooking_electric_induction</t>
  </si>
  <si>
    <t>residences_percentage_cooking_biomass</t>
  </si>
  <si>
    <t>residences_percentage_appliances_dishwasher</t>
  </si>
  <si>
    <t>residences_percentage_appliances_fridge_freezer</t>
  </si>
  <si>
    <t>residences_percentage_appliances_dryer</t>
  </si>
  <si>
    <t>residences_percentage_appliances_washing_machine</t>
  </si>
  <si>
    <t>residences_percentage_appliances_television</t>
  </si>
  <si>
    <t>residences_percentage_appliances_computer_media</t>
  </si>
  <si>
    <t>residences_percentage_appliances_vacuum_cleaner</t>
  </si>
  <si>
    <t>residences_percentage_appliances_others</t>
  </si>
  <si>
    <t>Percentages of energy demand</t>
  </si>
  <si>
    <t>Technology Splits</t>
  </si>
  <si>
    <t>Final demand converted per technology (TJ)</t>
  </si>
  <si>
    <t>Useful demand created per technology (TJ)</t>
  </si>
  <si>
    <t>Technological Specifications</t>
  </si>
  <si>
    <t>general adaptations of good practice</t>
  </si>
  <si>
    <t>csv_final_demand_coal</t>
  </si>
  <si>
    <t>csv_final_demand_crude_oil</t>
  </si>
  <si>
    <t>csv_final_demand_network_gas</t>
  </si>
  <si>
    <t>csv_final_demand_wood_pellets</t>
  </si>
  <si>
    <t>csv_final_demand_electricity</t>
  </si>
  <si>
    <t>csv_final_demand_steam</t>
  </si>
  <si>
    <t>csv_cooling_electricity</t>
  </si>
  <si>
    <t>csv_heating_network_gas</t>
  </si>
  <si>
    <t>csv_heating_electricity</t>
  </si>
  <si>
    <t>csv_heating_heat_pump</t>
  </si>
  <si>
    <t>csv_water_network_gas</t>
  </si>
  <si>
    <t>csv_water_electricity</t>
  </si>
  <si>
    <t>csv_cooking_electricity</t>
  </si>
  <si>
    <t>csv_lighting_electricity</t>
  </si>
  <si>
    <t>csv_appliances_electricity</t>
  </si>
  <si>
    <t>Sheets</t>
  </si>
  <si>
    <t>1. Import the corrected energy balance using the import button on the Dashboard sheet.</t>
  </si>
  <si>
    <t>2. Look over all the assumptions and checks on the Assumptions sheet and the Dashboard sheet. Consult the documentation for additional information.</t>
  </si>
  <si>
    <t>3. Fill in the assumptions on the Dashboard sheet using reliable sources and/or use the source analysis mentioned in the comments. Please document your sources.</t>
  </si>
  <si>
    <t>4. Keep in mind the checks on the Dashboard. If a check fails, try to understand what goes wrong and adjust your assumptions as long as you feel it is still realistic.</t>
  </si>
  <si>
    <t>5. If you encounter other problems please contact Quintel Intelligence.</t>
  </si>
  <si>
    <t>6. Export the csv files using the export button on the Dashboard sheet.</t>
  </si>
  <si>
    <t>All critical checks are positive</t>
  </si>
  <si>
    <t>The base year for this analysis</t>
  </si>
  <si>
    <t>base_year</t>
  </si>
  <si>
    <t>country</t>
  </si>
  <si>
    <t>Critical check</t>
  </si>
  <si>
    <t>Added child shares for the converters that recreive energy from solar thermal and electric add on converters</t>
  </si>
  <si>
    <t>Useful heat in space heating coming from solar thermal panel (if a household is equipped)</t>
  </si>
  <si>
    <t>Useful heat in space heating coming from electric heater add onl (if a household is equipped)</t>
  </si>
  <si>
    <t>Useful heat in hot water preparation coming from electric heater add onl (if a household is equipped)</t>
  </si>
  <si>
    <t>Heater characterization (solar thermal, el. add-on)</t>
  </si>
  <si>
    <t>Added parent_share that fixes problem in the graph https://github.com/quintel/refinery/issues/37</t>
  </si>
  <si>
    <t>results form ETM modelling logic</t>
  </si>
  <si>
    <t>Energy can only be converted by the technologies mentioned in the Dashboard</t>
  </si>
  <si>
    <t>estimate</t>
  </si>
  <si>
    <t>There is a converter in the graph that is currently not being used at all:</t>
  </si>
  <si>
    <t xml:space="preserve">In consequence, the are two parent shares that need to be hard-coded to 0.0 </t>
  </si>
  <si>
    <t xml:space="preserve"> - residences_useful_demand_for_hot_water_after_solar_heater_and_add_on_parent_share</t>
  </si>
  <si>
    <t xml:space="preserve"> - residences_space_heater_heatpump_add_on_electricity_parent_share</t>
  </si>
  <si>
    <t>Automatically import/export analysis data</t>
  </si>
  <si>
    <t>Useful and final demand conversion - reproducing Dashboard figures</t>
  </si>
  <si>
    <t>Useful-final demand percentage</t>
  </si>
  <si>
    <t>Corrected energy balance step 2</t>
  </si>
  <si>
    <t>Renamed energy balance</t>
  </si>
  <si>
    <t xml:space="preserve">This analysis has a different way of aggregating fuels via an indirect HLOOKUP to the energy balance. This is an experiment and should not be imitated by other analyses. </t>
  </si>
  <si>
    <t>Technology split final demand</t>
  </si>
  <si>
    <t>Corrected cell links in Applications Shares</t>
  </si>
  <si>
    <t>District Heat (steam_hot_water)</t>
  </si>
  <si>
    <t>In short, the Energy Transition Model (ETM) is a calculation engine with a front-end interface that is free to be used by private, commercial and public users. The engine exists of a collection of 'converters' that are linked together to approach the structure of an energy system at the country level. It includes for example import, export, electricity and heat production, final demand sectors and useful demand applications. Every converter has technical and economical specifications that were determined from scientific and technical literature. The model's initial configuration is mostly based on 2010 statistical data. Useful demand of energy applications is gathered from other sources. By moving sliders in a front end dashboard, representing energy use, energy production or socio-economical parameters, the calculation engine determines the results from these actions in a future scenario and communicates them to the user.</t>
  </si>
  <si>
    <t>Heating efficiency</t>
  </si>
  <si>
    <t>Coefficient of performance (COP)</t>
  </si>
  <si>
    <t>Effective heating efficiency</t>
  </si>
  <si>
    <t>Update "Contents", minor layout changes in various sheets, link average usefull demand in "Houses shares" to "Dashboard" (WT)</t>
  </si>
  <si>
    <t>Final demand for network gas (TJ)</t>
  </si>
  <si>
    <t>Final demand for solar thermal (TJ)</t>
  </si>
  <si>
    <t>Final demand for district heat (TJ)</t>
  </si>
  <si>
    <t>Subtotal (TJ)</t>
  </si>
  <si>
    <t>Relative error</t>
  </si>
  <si>
    <t>Diiference between Carrier demand in analysis and Carrier demand in IEA data (TJ)</t>
  </si>
  <si>
    <t>Electrical applicances</t>
  </si>
  <si>
    <t>updating dashboard button</t>
  </si>
  <si>
    <t>Changed the way that the useful demand in heating/cooling share is calculated, regarding the old/new houses split</t>
  </si>
  <si>
    <t xml:space="preserve">The usefule demand for space heating and space cooling is split over new and old residences. This ratio of old and new residences can be set in the dashbord. However, the insulation level of old and new residences cannot be changed by the user. It is fixed input on the "Technology specifications" tab. The current implementation therefore sets the same useful demand share for cooling and space heating. </t>
  </si>
  <si>
    <t>Name</t>
  </si>
  <si>
    <t>removed technical specs</t>
  </si>
  <si>
    <t>output.electricity</t>
  </si>
  <si>
    <t>heat efficiency</t>
  </si>
  <si>
    <t>electrical efficiency</t>
  </si>
  <si>
    <t>output.useable_heat</t>
  </si>
  <si>
    <t>input.electricity</t>
  </si>
  <si>
    <t>1 / COP</t>
  </si>
  <si>
    <t>households_space_heater_combined_network_gas.converter</t>
  </si>
  <si>
    <t>households_space_heater_heatpump_ground_water_electricity.converter</t>
  </si>
  <si>
    <t>households_space_heater_wood_pellets.converter</t>
  </si>
  <si>
    <t>households_space_heater_electricity.converter</t>
  </si>
  <si>
    <t>households_space_heater_network_gas.converter</t>
  </si>
  <si>
    <t>households_space_heater_crude_oil.converter</t>
  </si>
  <si>
    <t>households_space_heater_coal.converter</t>
  </si>
  <si>
    <t>households_water_heater_combined_network_gas.converter</t>
  </si>
  <si>
    <t>households_water_heater_heatpump_ground_water_electricity.converter</t>
  </si>
  <si>
    <t>households_water_heater_wood_pellets.converter</t>
  </si>
  <si>
    <t>households_water_heater_resistive_electricity.converter</t>
  </si>
  <si>
    <t>households_water_heater_network_gas.converter</t>
  </si>
  <si>
    <t>households_water_heater_crude_oil.converter</t>
  </si>
  <si>
    <t>households_water_heater_coal.converter</t>
  </si>
  <si>
    <t>households_cooling_heatpump_ground_water_electricity.converter</t>
  </si>
  <si>
    <t>households_cooling_heatpump_air_water_electricity.converter</t>
  </si>
  <si>
    <t>households_cooling_airconditioning_electricity.converter</t>
  </si>
  <si>
    <t>households_cooker_network_gas.converter</t>
  </si>
  <si>
    <t>households_cooker_resistive_electricity.converter</t>
  </si>
  <si>
    <t>households_cooker_halogen_electricity.converter</t>
  </si>
  <si>
    <t>households_cooker_induction_electricity.converter</t>
  </si>
  <si>
    <t>households_cooker_wood_pellets.converter</t>
  </si>
  <si>
    <t>households_lighting_incandescent_electricity.converter</t>
  </si>
  <si>
    <t>households_lighting_efficient_fluorescent_electricity.converter</t>
  </si>
  <si>
    <t>households_lighting_led_electricity.converter</t>
  </si>
  <si>
    <t>output.light</t>
  </si>
  <si>
    <t>made Average R-value of a typical old/new residences a fixed dashboard input (it is an assumption)</t>
  </si>
  <si>
    <t xml:space="preserve">The 'average R-value of a typical old/new residence' is hard-coded in the Dashboard. </t>
  </si>
  <si>
    <t>Source analsysis by Quintel, Chael Kruip</t>
  </si>
  <si>
    <t>Converter attributes</t>
  </si>
  <si>
    <t>light efficiency</t>
  </si>
  <si>
    <t>Extract data from Etsource</t>
  </si>
  <si>
    <t>cleaned up fuel aggregation sheet and tech_specs sheet</t>
  </si>
  <si>
    <t>Key</t>
  </si>
  <si>
    <t>Not used in ETM</t>
  </si>
  <si>
    <t>removing Charcoal from analysis</t>
  </si>
  <si>
    <t>removing sheets with edges and nodes</t>
  </si>
  <si>
    <t>Remaining final energy, not accounted for in the calculation of shares.</t>
  </si>
  <si>
    <t>reworking checks and layout on dashboard</t>
  </si>
  <si>
    <t xml:space="preserve">Final energy demand for </t>
  </si>
  <si>
    <t>Condensing Combi Boiler</t>
  </si>
  <si>
    <t>District Heating</t>
  </si>
  <si>
    <t>electricity-driven Heat pump (air)</t>
  </si>
  <si>
    <t>woodpellets (biomass) heaters</t>
  </si>
  <si>
    <t>Electric Heaters (resistance)</t>
  </si>
  <si>
    <t>Gas-fired Heaters</t>
  </si>
  <si>
    <t>Oil-fired Heaters</t>
  </si>
  <si>
    <t>Coal-fired Heaters</t>
  </si>
  <si>
    <t>District heating</t>
  </si>
  <si>
    <t>woodpellets (biomass) stoves</t>
  </si>
  <si>
    <t>Electric heaters (resistance)</t>
  </si>
  <si>
    <t>Gas-fired heaters</t>
  </si>
  <si>
    <t>Oil-fired heaters</t>
  </si>
  <si>
    <t>Coal-fired heaters</t>
  </si>
  <si>
    <t>heat pumps (ground)</t>
  </si>
  <si>
    <t>heat pumps (air)</t>
  </si>
  <si>
    <t>airconditioning</t>
  </si>
  <si>
    <t>incandescent lamps</t>
  </si>
  <si>
    <t>low energy light bulbs (efficiient fluorescent lighting)</t>
  </si>
  <si>
    <t>gas stoves</t>
  </si>
  <si>
    <t>electric stoves (resistance)</t>
  </si>
  <si>
    <t>electric halogen stoves</t>
  </si>
  <si>
    <t>electric induction stoves</t>
  </si>
  <si>
    <t>biomass stoves</t>
  </si>
  <si>
    <t xml:space="preserve">Percentage of final electricity demand in appliances used in </t>
  </si>
  <si>
    <t>Percentage of useful heat in cooking produced by</t>
  </si>
  <si>
    <t>Percentage of light (useful energy) delivered by</t>
  </si>
  <si>
    <t>Percentage of useful cooling energy delivered by</t>
  </si>
  <si>
    <t>Percentage of hot water (useful heat) delivered by</t>
  </si>
  <si>
    <t>Percentage of useful heat in space heating delivered by</t>
  </si>
  <si>
    <t>improved text of intro sheet</t>
  </si>
  <si>
    <t>export_to_area_analysis</t>
  </si>
  <si>
    <t>value</t>
  </si>
  <si>
    <t xml:space="preserve">The main goal of this analysis is to provide a breakdown of the residential energy consumption. Energy is consumed in the applications space heating, hot water, space cooling, lighting, cooking and electric applications. Furthermore, the energy use within these applications is split over certain technologies (for example: coal, gas and oil heaters in space heating). 
Note that Solar PV production is not covered by this analysis as that results from the Energy Balance and the Autoproduction table (both available from IEA). To see what solar PV production is for your dataset, open the "2_power_and_heat_plant_analysis", import all the required data (including the Energy Balance and Autoproducer table, which both need to be bought from IEA), and proceed to 'Results by machine' or the 'PV solar' sheets. </t>
  </si>
  <si>
    <t>May 23, 2014</t>
  </si>
  <si>
    <t>Increased robustness of technology share calculation if the energy input of a whole share group is zero. An IF statement is used to avoid #DIV/0! errors</t>
  </si>
  <si>
    <t>Increased robustness of aplication share calculation if the energy input of a whole share group is zero. An IF statement is used to avoid #DIV/0! errors</t>
  </si>
  <si>
    <t>May 29, 2014</t>
  </si>
  <si>
    <t>June 3, 2014</t>
  </si>
  <si>
    <t>Correct misstake in application share calculation for district heat</t>
  </si>
  <si>
    <t>electricity-driven heat pump (air)</t>
  </si>
  <si>
    <t>households_space_heater_hybrid_heatpump_air_water_electricity</t>
  </si>
  <si>
    <t>Hybrid heatpump</t>
  </si>
  <si>
    <t>Eff_space_heating_hhp_heatpump</t>
  </si>
  <si>
    <t>input.network_gas</t>
  </si>
  <si>
    <t>network gas input</t>
  </si>
  <si>
    <t>Percentage of useful demand delivered per subtechnology (same as column D except for HHP)</t>
  </si>
  <si>
    <t>Hybrid Heatpump, Gas part (space heating)</t>
  </si>
  <si>
    <t>Hybrid heatpump, gas part (space heating)</t>
  </si>
  <si>
    <t>Hybrid heatpump, heatpump part (space heating)</t>
  </si>
  <si>
    <t>Useful demand created per subtechnology (same as column H, except for HHP) (TJ)</t>
  </si>
  <si>
    <t>residences_percentage_space_heating_hybrid_heatpump</t>
  </si>
  <si>
    <t>Hybrid Heatpump, Heatpump part (space heating)</t>
  </si>
  <si>
    <t/>
  </si>
  <si>
    <t>Hybrid heatpump, heatpump part (hot water)</t>
  </si>
  <si>
    <t>Hybrid heatpump, gas part (hot water)</t>
  </si>
  <si>
    <t>Eff_space_heating_hhp_gas</t>
  </si>
  <si>
    <t>Eff_hot_water_hhp_heatpump</t>
  </si>
  <si>
    <t>Eff_hot_water_hhp_gas</t>
  </si>
  <si>
    <t>residences_percentage_hot_water_hybrid_heatpump</t>
  </si>
  <si>
    <t>households_water_heater_hybrid_heatpump_air_water_electricity</t>
  </si>
  <si>
    <t>December 4, 2015</t>
  </si>
  <si>
    <t xml:space="preserve">Added hybrid heatpump to this analysis (results exported in heating_network_gas, heating_electricity, water_network_gas and water_electricity csv's), deleted heatpump_add_on csv </t>
  </si>
  <si>
    <t>heat efficiency gas subtechnology</t>
  </si>
  <si>
    <t>output.useable_heat.network_gas</t>
  </si>
  <si>
    <t>UD share network_gas</t>
  </si>
  <si>
    <t>November 5, 2018</t>
  </si>
  <si>
    <t>Housing stock</t>
  </si>
  <si>
    <t>No longer relevant</t>
  </si>
  <si>
    <t>Extended housing stock division. Before it was old/new, now the housing stock can be divided in five housing types. Removed solar thermal for space heating, removed micro CHP, fuel cell for space heating and hot water</t>
  </si>
  <si>
    <t>Set average heat demand per house type. This determines the UD space heating split to different housing types.</t>
  </si>
  <si>
    <t>Electric Heat Pump (ground)</t>
  </si>
  <si>
    <t>Electric Heat Pump  (ground)</t>
  </si>
  <si>
    <t>Final demand for ambient_heat</t>
  </si>
  <si>
    <t>COP</t>
  </si>
  <si>
    <t>input.ambient_heat</t>
  </si>
  <si>
    <t>Total demand HHP</t>
  </si>
  <si>
    <t>CALCULATING INPUT SHARES FOR HYBRID HEAT PUMP NODES</t>
  </si>
  <si>
    <t>households_space_heater_hybrid_heatpump_air_water_electricity_efficiency</t>
  </si>
  <si>
    <t>households_water_heater_hybrid_heatpump_air_water_electricity_efficiency</t>
  </si>
  <si>
    <t>input electricity</t>
  </si>
  <si>
    <t>input network gas</t>
  </si>
  <si>
    <t>July 6, 2021</t>
  </si>
  <si>
    <t>HHP fix by Marlieke Verweij. We had troubles with the formerly fixed input shares in HHPs. Therefore, we have made these input shares for HHPs dynamic: they can now be set per dataset. For this change, I have added hard-coded input shares for HHPs to 'technical_specs' tab, sbecause this analysis needs the input shares as input. For NL2015 and other country datasets these hard -coded shares have been used. I have also added two new csv-files where the input shares are calculated for HHPs in households.</t>
  </si>
  <si>
    <t>HARDCODED (see issue in Changelog)</t>
  </si>
  <si>
    <t>HHP input shares</t>
  </si>
  <si>
    <t>We had troubles with the formerly fixed input shares in HHPs in households. Therefore, we have made these input shares for HHPs dynamic: they can now be set per dataset. For this change, I have added hard-coded input shares for HHPs to 'technical_specs' tab, sbecause this analysis needs the input shares as input. For NL2015 and other country datasets these hard -coded shares have been used. I have also added two new csv-files where the input shares are calculated for HHPs in households.</t>
  </si>
  <si>
    <t>Ambient heat</t>
  </si>
  <si>
    <t>HHP space heating</t>
  </si>
  <si>
    <t>HHP hot water</t>
  </si>
  <si>
    <t>Final demand households [energy balance]</t>
  </si>
  <si>
    <t>Share to space heating</t>
  </si>
  <si>
    <t>Share to hot water</t>
  </si>
  <si>
    <t>Share to HHP space heating</t>
  </si>
  <si>
    <t>Share to HHP hot water</t>
  </si>
  <si>
    <t>Final demand for HHP</t>
  </si>
  <si>
    <t>Input shares HHP node</t>
  </si>
  <si>
    <t>eu</t>
  </si>
  <si>
    <t>Mathijs Bijkerk</t>
  </si>
  <si>
    <t>November 23, 2023</t>
  </si>
  <si>
    <t>nl</t>
  </si>
  <si>
    <t>Removed solar thermal child share for hot water in households.</t>
  </si>
  <si>
    <t>Quintel</t>
  </si>
  <si>
    <t>csv_hot_water_hhp_efficiencies</t>
  </si>
  <si>
    <t>Number of residences</t>
  </si>
  <si>
    <t>#</t>
  </si>
  <si>
    <t>residences_number_of_apartments_before_1945</t>
  </si>
  <si>
    <t>residences_number_of_apartments_1945_1964</t>
  </si>
  <si>
    <t>residences_number_of_apartments_1965_1984</t>
  </si>
  <si>
    <t>residences_number_of_apartments_1985_2004</t>
  </si>
  <si>
    <t>residences_number_of_apartments_2005_present</t>
  </si>
  <si>
    <t>residences_number_of_detached_houses_before_1945</t>
  </si>
  <si>
    <t>residences_number_of_detached_houses_1945_1964</t>
  </si>
  <si>
    <t>residences_number_of_detached_houses_1965_1984</t>
  </si>
  <si>
    <t>residences_number_of_detached_houses_1985_2004</t>
  </si>
  <si>
    <t>residences_number_of_detached_houses_2005_present</t>
  </si>
  <si>
    <t>residences_number_of_semi_detached_houses_before_1945</t>
  </si>
  <si>
    <t>residences_number_of_semi_detached_houses_1945_1964</t>
  </si>
  <si>
    <t>residences_number_of_semi_detached_houses_1965_1984</t>
  </si>
  <si>
    <t>residences_number_of_semi_detached_houses_1985_2004</t>
  </si>
  <si>
    <t>residences_number_of_semi_detached_houses_2005_present</t>
  </si>
  <si>
    <t>residences_number_of_terraced_houses_before_1945</t>
  </si>
  <si>
    <t>residences_number_of_terraced_houses_1945_1964</t>
  </si>
  <si>
    <t>residences_number_of_terraced_houses_1965_1984</t>
  </si>
  <si>
    <t>residences_number_of_terraced_houses_1985_2004</t>
  </si>
  <si>
    <t>residences_number_of_terraced_houses_2005_present</t>
  </si>
  <si>
    <t>csv_heating_hhp_efficiencies</t>
  </si>
  <si>
    <t>csv_export_to_area_analysis</t>
  </si>
  <si>
    <t>Reduced housing stock type categories from five to four by including corner houses in semi-detached houses and expanded housing stock division by adding period of construction.</t>
  </si>
  <si>
    <t>Appliances</t>
  </si>
  <si>
    <t>Total demand in energy balance</t>
  </si>
  <si>
    <t xml:space="preserve">It  is possible that the energy balance of particular countries contains carriers that we do not aggregate to ETM carriers. In that case, this check will fail. For example, we currently do not consider Charcoal in this analysis. </t>
  </si>
  <si>
    <t>Housing spacing heating</t>
  </si>
  <si>
    <t>%</t>
  </si>
  <si>
    <t>Apartments built before 1945</t>
  </si>
  <si>
    <t>Apartments built from 1945 to 1964</t>
  </si>
  <si>
    <t>Apartments built from 1965 to 1984</t>
  </si>
  <si>
    <t>Apartments built from 1985 to 2004</t>
  </si>
  <si>
    <t>Apartments built from 2005 to present</t>
  </si>
  <si>
    <t>Detached houses built before 1945</t>
  </si>
  <si>
    <t>Detached houses built from 1945 to 1964</t>
  </si>
  <si>
    <t>Detached houses built from 1965 to 1984</t>
  </si>
  <si>
    <t>Detached houses built from 1985 to 2004</t>
  </si>
  <si>
    <t>Detached houses built from 2005 to present</t>
  </si>
  <si>
    <t>Semi-detached houses built before 1945</t>
  </si>
  <si>
    <t>Semi-detached houses built from 1945 to 1964</t>
  </si>
  <si>
    <t>Semi-detached houses built from 1965 to 1984</t>
  </si>
  <si>
    <t>Semi-detached houses built from 1985 to 2004</t>
  </si>
  <si>
    <t>Semi-detached houses built from 2005 to present</t>
  </si>
  <si>
    <t>Terraced houses built before 1945</t>
  </si>
  <si>
    <t>Terraced houses built from 1945 to 1964</t>
  </si>
  <si>
    <t>Terraced houses built from 1965 to 1984</t>
  </si>
  <si>
    <t>Terraced houses built from 1985 to 2004</t>
  </si>
  <si>
    <t>Terraced houses built from 2005 to present</t>
  </si>
  <si>
    <t>Share in useful demand for space heating per housing type and construction period</t>
  </si>
  <si>
    <t>Number of residences per housing type and construction period</t>
  </si>
  <si>
    <t>residences_share_of_apartments_before_1945_in_useful_demand_for_space_heating</t>
  </si>
  <si>
    <t>residences_share_of_apartments_1945_1964_in_useful_demand_for_space_heating</t>
  </si>
  <si>
    <t>residences_share_of_apartments_1965_1984_in_useful_demand_for_space_heating</t>
  </si>
  <si>
    <t>residences_share_of_apartments_1985_2004_in_useful_demand_for_space_heating</t>
  </si>
  <si>
    <t>residences_share_of_apartments_2005_present_in_useful_demand_for_space_heating</t>
  </si>
  <si>
    <t>residences_share_of_detached_houses_before_1945_in_useful_demand_for_space_heating</t>
  </si>
  <si>
    <t>residences_share_of_detached_houses_1945_1964_in_useful_demand_for_space_heating</t>
  </si>
  <si>
    <t>residences_share_of_detached_houses_1965_1984_in_useful_demand_for_space_heating</t>
  </si>
  <si>
    <t>residences_share_of_detached_houses_1985_2004_in_useful_demand_for_space_heating</t>
  </si>
  <si>
    <t>residences_share_of_detached_houses_2005_present_in_useful_demand_for_space_heating</t>
  </si>
  <si>
    <t>residences_share_of_semi_detached_houses_before_1945_in_useful_demand_for_space_heating</t>
  </si>
  <si>
    <t>residences_share_of_semi_detached_houses_1945_1964_in_useful_demand_for_space_heating</t>
  </si>
  <si>
    <t>residences_share_of_semi_detached_houses_1965_1984_in_useful_demand_for_space_heating</t>
  </si>
  <si>
    <t>residences_share_of_semi_detached_houses_1985_2004_in_useful_demand_for_space_heating</t>
  </si>
  <si>
    <t>residences_share_of_semi_detached_houses_2005_present_in_useful_demand_for_space_heating</t>
  </si>
  <si>
    <t>residences_share_of_terraced_houses_before_1945_in_useful_demand_for_space_heating</t>
  </si>
  <si>
    <t>residences_share_of_terraced_houses_1945_1964_in_useful_demand_for_space_heating</t>
  </si>
  <si>
    <t>residences_share_of_terraced_houses_1965_1984_in_useful_demand_for_space_heating</t>
  </si>
  <si>
    <t>residences_share_of_terraced_houses_1985_2004_in_useful_demand_for_space_heating</t>
  </si>
  <si>
    <t>residences_share_of_terraced_houses_2005_present_in_useful_demand_for_space_heating</t>
  </si>
  <si>
    <t xml:space="preserve">Relative error in fuel consumption (energy balance value and value computed from dashboard input): </t>
  </si>
  <si>
    <t>households_space_heater_district_heating_ht_steam_hot_water</t>
  </si>
  <si>
    <t>households_water_heater_district_heating_ht_steam_hot_water</t>
  </si>
  <si>
    <t>Taken from the energy balance</t>
  </si>
  <si>
    <t>present_number_of_apartments_before_1945</t>
  </si>
  <si>
    <t>present_number_of_apartments_1945_1964</t>
  </si>
  <si>
    <t>present_number_of_apartments_1965_1984</t>
  </si>
  <si>
    <t>present_number_of_apartments_1985_2004</t>
  </si>
  <si>
    <t>present_number_of_apartments_2005_present</t>
  </si>
  <si>
    <t>present_number_of_detached_houses_before_1945</t>
  </si>
  <si>
    <t>present_number_of_detached_houses_1945_1964</t>
  </si>
  <si>
    <t>present_number_of_detached_houses_1965_1984</t>
  </si>
  <si>
    <t>present_number_of_detached_houses_1985_2004</t>
  </si>
  <si>
    <t>present_number_of_detached_houses_2005_present</t>
  </si>
  <si>
    <t>present_number_of_semi_detached_houses_before_1945</t>
  </si>
  <si>
    <t>present_number_of_semi_detached_houses_1945_1964</t>
  </si>
  <si>
    <t>present_number_of_semi_detached_houses_1965_1984</t>
  </si>
  <si>
    <t>present_number_of_semi_detached_houses_1985_2004</t>
  </si>
  <si>
    <t>present_number_of_semi_detached_houses_2005_present</t>
  </si>
  <si>
    <t>present_number_of_terraced_houses_before_1945</t>
  </si>
  <si>
    <t>present_number_of_terraced_houses_1945_1964</t>
  </si>
  <si>
    <t>present_number_of_terraced_houses_1965_1984</t>
  </si>
  <si>
    <t>present_number_of_terraced_houses_1985_2004</t>
  </si>
  <si>
    <t>present_number_of_terraced_houses_2005_present</t>
  </si>
  <si>
    <t>present_share_of_apartments_before_1945_in_useful_demand_for_space_heating</t>
  </si>
  <si>
    <t>present_share_of_apartments_1945_1964_in_useful_demand_for_space_heating</t>
  </si>
  <si>
    <t>present_share_of_apartments_1965_1984_in_useful_demand_for_space_heating</t>
  </si>
  <si>
    <t>present_share_of_apartments_1985_2004_in_useful_demand_for_space_heating</t>
  </si>
  <si>
    <t>present_share_of_apartments_2005_present_in_useful_demand_for_space_heating</t>
  </si>
  <si>
    <t>present_share_of_detached_houses_before_1945_in_useful_demand_for_space_heating</t>
  </si>
  <si>
    <t>present_share_of_detached_houses_1945_1964_in_useful_demand_for_space_heating</t>
  </si>
  <si>
    <t>present_share_of_detached_houses_1965_1984_in_useful_demand_for_space_heating</t>
  </si>
  <si>
    <t>present_share_of_detached_houses_1985_2004_in_useful_demand_for_space_heating</t>
  </si>
  <si>
    <t>present_share_of_detached_houses_2005_present_in_useful_demand_for_space_heating</t>
  </si>
  <si>
    <t>present_share_of_semi_detached_houses_before_1945_in_useful_demand_for_space_heating</t>
  </si>
  <si>
    <t>present_share_of_semi_detached_houses_1945_1964_in_useful_demand_for_space_heating</t>
  </si>
  <si>
    <t>present_share_of_semi_detached_houses_1965_1984_in_useful_demand_for_space_heating</t>
  </si>
  <si>
    <t>present_share_of_semi_detached_houses_1985_2004_in_useful_demand_for_space_heating</t>
  </si>
  <si>
    <t>present_share_of_semi_detached_houses_2005_present_in_useful_demand_for_space_heating</t>
  </si>
  <si>
    <t>present_share_of_terraced_houses_before_1945_in_useful_demand_for_space_heating</t>
  </si>
  <si>
    <t>present_share_of_terraced_houses_1945_1964_in_useful_demand_for_space_heating</t>
  </si>
  <si>
    <t>present_share_of_terraced_houses_1965_1984_in_useful_demand_for_space_heating</t>
  </si>
  <si>
    <t>present_share_of_terraced_houses_1985_2004_in_useful_demand_for_space_heating</t>
  </si>
  <si>
    <t>present_share_of_terraced_houses_2005_present_in_useful_demand_for_space_heating</t>
  </si>
  <si>
    <t>Changed data initialisation of space heating for households from insulation inputs to share in useful demand per housing type and construction period.</t>
  </si>
  <si>
    <t>residences_number_of_residences</t>
  </si>
  <si>
    <t>present_number_of_residences</t>
  </si>
  <si>
    <t>households_cooling_heatpump_surface_water_water_ts_electricity</t>
  </si>
  <si>
    <t>households_space_heater_heatpump_surface_water_water_ts_electricity</t>
  </si>
  <si>
    <t>households_water_heater_heatpump_surface_water_water_ts_electricity</t>
  </si>
  <si>
    <t>July 17, 2025</t>
  </si>
  <si>
    <t>Add surface water technologies to export CSVs with zero share.</t>
  </si>
  <si>
    <t>August 19, 2026</t>
  </si>
  <si>
    <t>August 19, 2025</t>
  </si>
  <si>
    <t>The hardcoded specs for HHPs in the 'technical_specs' sheet were outdated and too high for the space heating part. These have been updated based the new node source analyses for the corresponding technology. Additionally, for the hot water part, we assume that the cutoff COP is set at 6.0, effectively ensuring that only network gas is used. To reflect this, the input of network gas is set to 100% and electricity to 0%. These are improvements of the fix in 2.21.</t>
  </si>
  <si>
    <t xml:space="preserve">Here, the technological specifications are imported from ETSource (automatically). These values are not country-specific and cannot be changed.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</si>
</sst>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
    <numFmt numFmtId="167" formatCode="0.00000000E+00"/>
    <numFmt numFmtId="168" formatCode="#,##0.000"/>
    <numFmt numFmtId="169" formatCode="[$-409]mmmm\ d\,\ yyyy;@"/>
    <numFmt numFmtId="170" formatCode="0.000"/>
  </numFmts>
  <fonts count="40" x14ac:knownFonts="1">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6"/>
      <color theme="3"/>
      <name val="Calibri"/>
      <family val="2"/>
      <scheme val="minor"/>
    </font>
    <font>
      <b/>
      <sz val="11"/>
      <color rgb="FF000000"/>
      <name val="Calibri"/>
      <family val="2"/>
      <scheme val="minor"/>
    </font>
    <font>
      <i/>
      <sz val="12"/>
      <color theme="1"/>
      <name val="Calibri"/>
      <family val="2"/>
      <scheme val="minor"/>
    </font>
    <font>
      <sz val="12"/>
      <name val="Calibri"/>
      <family val="2"/>
      <scheme val="minor"/>
    </font>
    <font>
      <u/>
      <sz val="12"/>
      <color theme="1"/>
      <name val="Calibri"/>
      <family val="2"/>
      <scheme val="minor"/>
    </font>
    <font>
      <sz val="12"/>
      <color rgb="FF000000"/>
      <name val="Calibri"/>
      <family val="2"/>
      <scheme val="minor"/>
    </font>
    <font>
      <u/>
      <sz val="12"/>
      <name val="Calibri"/>
      <family val="2"/>
      <scheme val="minor"/>
    </font>
    <font>
      <u/>
      <sz val="12"/>
      <color theme="10"/>
      <name val="Calibri"/>
      <family val="2"/>
      <scheme val="minor"/>
    </font>
    <font>
      <u/>
      <sz val="12"/>
      <color theme="11"/>
      <name val="Calibri"/>
      <family val="2"/>
      <scheme val="minor"/>
    </font>
    <font>
      <b/>
      <sz val="12"/>
      <name val="Calibri"/>
      <family val="2"/>
      <scheme val="minor"/>
    </font>
    <font>
      <b/>
      <sz val="12"/>
      <color rgb="FF000000"/>
      <name val="Calibri"/>
      <family val="2"/>
      <scheme val="minor"/>
    </font>
    <font>
      <sz val="24"/>
      <color theme="1"/>
      <name val="Calibri"/>
      <family val="2"/>
      <scheme val="minor"/>
    </font>
    <font>
      <b/>
      <sz val="18"/>
      <color theme="1"/>
      <name val="Calibri"/>
      <family val="2"/>
      <scheme val="minor"/>
    </font>
    <font>
      <sz val="11"/>
      <name val="Calibri"/>
      <family val="2"/>
      <scheme val="minor"/>
    </font>
    <font>
      <sz val="10"/>
      <name val="Arial"/>
      <family val="2"/>
    </font>
    <font>
      <sz val="11"/>
      <color indexed="10"/>
      <name val="Calibri"/>
      <family val="2"/>
    </font>
    <font>
      <i/>
      <sz val="12"/>
      <name val="Calibri"/>
      <family val="2"/>
      <scheme val="minor"/>
    </font>
    <font>
      <sz val="12"/>
      <color theme="0" tint="-0.249977111117893"/>
      <name val="Calibri"/>
      <family val="2"/>
      <scheme val="minor"/>
    </font>
    <font>
      <u/>
      <sz val="12"/>
      <color rgb="FF000000"/>
      <name val="Calibri"/>
      <family val="2"/>
      <scheme val="minor"/>
    </font>
    <font>
      <b/>
      <sz val="12"/>
      <color theme="0" tint="-0.499984740745262"/>
      <name val="Calibri"/>
      <family val="2"/>
      <scheme val="minor"/>
    </font>
    <font>
      <sz val="12"/>
      <color theme="0" tint="-0.499984740745262"/>
      <name val="Calibri"/>
      <family val="2"/>
      <scheme val="minor"/>
    </font>
    <font>
      <sz val="8"/>
      <name val="Calibri"/>
      <family val="2"/>
      <scheme val="minor"/>
    </font>
    <font>
      <sz val="12"/>
      <color theme="3" tint="-0.249977111117893"/>
      <name val="Calibri"/>
      <family val="2"/>
      <scheme val="minor"/>
    </font>
    <font>
      <sz val="12"/>
      <color theme="6" tint="-0.499984740745262"/>
      <name val="Calibri"/>
      <family val="2"/>
      <scheme val="minor"/>
    </font>
    <font>
      <i/>
      <sz val="12"/>
      <color theme="1" tint="0.499984740745262"/>
      <name val="Calibri"/>
      <family val="2"/>
      <scheme val="minor"/>
    </font>
    <font>
      <b/>
      <sz val="12"/>
      <color theme="3"/>
      <name val="Calibri"/>
      <family val="2"/>
      <scheme val="minor"/>
    </font>
    <font>
      <sz val="12"/>
      <color rgb="FF000000"/>
      <name val="Lucida Grande"/>
      <family val="2"/>
    </font>
    <font>
      <b/>
      <u/>
      <sz val="12"/>
      <color theme="1"/>
      <name val="Calibri"/>
      <family val="2"/>
      <scheme val="minor"/>
    </font>
    <font>
      <i/>
      <u/>
      <sz val="12"/>
      <name val="Calibri"/>
      <family val="2"/>
      <scheme val="minor"/>
    </font>
    <font>
      <b/>
      <i/>
      <sz val="12"/>
      <name val="Calibri"/>
      <family val="2"/>
      <scheme val="minor"/>
    </font>
    <font>
      <sz val="12"/>
      <color theme="0" tint="-0.14999847407452621"/>
      <name val="Calibri"/>
      <family val="2"/>
      <scheme val="minor"/>
    </font>
    <font>
      <i/>
      <sz val="12"/>
      <color theme="0" tint="-0.499984740745262"/>
      <name val="Calibri"/>
      <family val="2"/>
      <scheme val="minor"/>
    </font>
    <font>
      <sz val="12"/>
      <color rgb="FF808080"/>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FFF00"/>
        <bgColor indexed="64"/>
      </patternFill>
    </fill>
    <fill>
      <patternFill patternType="solid">
        <fgColor rgb="FFFF00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indexed="43"/>
        <bgColor indexed="64"/>
      </patternFill>
    </fill>
    <fill>
      <patternFill patternType="solid">
        <fgColor rgb="FFFF6600"/>
        <bgColor indexed="64"/>
      </patternFill>
    </fill>
  </fills>
  <borders count="7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thin">
        <color auto="1"/>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thin">
        <color auto="1"/>
      </left>
      <right style="thin">
        <color auto="1"/>
      </right>
      <top/>
      <bottom style="medium">
        <color auto="1"/>
      </bottom>
      <diagonal/>
    </border>
    <border>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top style="medium">
        <color auto="1"/>
      </top>
      <bottom/>
      <diagonal/>
    </border>
    <border>
      <left/>
      <right style="medium">
        <color auto="1"/>
      </right>
      <top style="thin">
        <color auto="1"/>
      </top>
      <bottom/>
      <diagonal/>
    </border>
    <border>
      <left style="thin">
        <color auto="1"/>
      </left>
      <right style="thin">
        <color auto="1"/>
      </right>
      <top style="thin">
        <color auto="1"/>
      </top>
      <bottom/>
      <diagonal/>
    </border>
    <border>
      <left style="thin">
        <color auto="1"/>
      </left>
      <right/>
      <top/>
      <bottom style="medium">
        <color auto="1"/>
      </bottom>
      <diagonal/>
    </border>
    <border>
      <left style="medium">
        <color auto="1"/>
      </left>
      <right style="thin">
        <color auto="1"/>
      </right>
      <top style="medium">
        <color auto="1"/>
      </top>
      <bottom/>
      <diagonal/>
    </border>
    <border>
      <left/>
      <right style="medium">
        <color auto="1"/>
      </right>
      <top style="thin">
        <color auto="1"/>
      </top>
      <bottom style="thin">
        <color auto="1"/>
      </bottom>
      <diagonal/>
    </border>
    <border>
      <left/>
      <right/>
      <top style="thin">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hair">
        <color rgb="FF7F7F7F"/>
      </left>
      <right style="hair">
        <color rgb="FF7F7F7F"/>
      </right>
      <top style="hair">
        <color rgb="FF7F7F7F"/>
      </top>
      <bottom style="hair">
        <color rgb="FF7F7F7F"/>
      </bottom>
      <diagonal/>
    </border>
    <border>
      <left/>
      <right/>
      <top style="thin">
        <color indexed="8"/>
      </top>
      <bottom/>
      <diagonal/>
    </border>
    <border>
      <left/>
      <right/>
      <top/>
      <bottom style="thin">
        <color indexed="8"/>
      </bottom>
      <diagonal/>
    </border>
    <border>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thin">
        <color theme="0"/>
      </left>
      <right/>
      <top/>
      <bottom/>
      <diagonal/>
    </border>
    <border>
      <left style="thin">
        <color theme="0"/>
      </left>
      <right style="medium">
        <color auto="1"/>
      </right>
      <top/>
      <bottom/>
      <diagonal/>
    </border>
    <border>
      <left style="thin">
        <color theme="0"/>
      </left>
      <right/>
      <top/>
      <bottom style="thin">
        <color auto="1"/>
      </bottom>
      <diagonal/>
    </border>
    <border>
      <left style="thin">
        <color theme="0"/>
      </left>
      <right style="thin">
        <color theme="0"/>
      </right>
      <top/>
      <bottom/>
      <diagonal/>
    </border>
    <border>
      <left style="thin">
        <color theme="0"/>
      </left>
      <right style="thin">
        <color theme="0"/>
      </right>
      <top/>
      <bottom style="thin">
        <color auto="1"/>
      </bottom>
      <diagonal/>
    </border>
    <border>
      <left style="thin">
        <color theme="0"/>
      </left>
      <right style="thin">
        <color theme="0"/>
      </right>
      <top/>
      <bottom style="medium">
        <color auto="1"/>
      </bottom>
      <diagonal/>
    </border>
    <border>
      <left style="medium">
        <color auto="1"/>
      </left>
      <right/>
      <top style="thin">
        <color auto="1"/>
      </top>
      <bottom style="thin">
        <color auto="1"/>
      </bottom>
      <diagonal/>
    </border>
    <border>
      <left style="thin">
        <color theme="0"/>
      </left>
      <right style="medium">
        <color auto="1"/>
      </right>
      <top style="thin">
        <color auto="1"/>
      </top>
      <bottom style="thin">
        <color auto="1"/>
      </bottom>
      <diagonal/>
    </border>
    <border>
      <left style="thin">
        <color theme="0"/>
      </left>
      <right style="medium">
        <color auto="1"/>
      </right>
      <top/>
      <bottom style="thin">
        <color auto="1"/>
      </bottom>
      <diagonal/>
    </border>
    <border>
      <left/>
      <right/>
      <top style="thin">
        <color indexed="8"/>
      </top>
      <bottom style="thin">
        <color auto="1"/>
      </bottom>
      <diagonal/>
    </border>
    <border>
      <left style="thin">
        <color auto="1"/>
      </left>
      <right/>
      <top style="thin">
        <color auto="1"/>
      </top>
      <bottom style="thin">
        <color auto="1"/>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medium">
        <color auto="1"/>
      </bottom>
      <diagonal/>
    </border>
    <border>
      <left style="medium">
        <color auto="1"/>
      </left>
      <right/>
      <top style="thin">
        <color indexed="64"/>
      </top>
      <bottom/>
      <diagonal/>
    </border>
    <border>
      <left/>
      <right/>
      <top style="thin">
        <color indexed="64"/>
      </top>
      <bottom/>
      <diagonal/>
    </border>
    <border>
      <left style="thin">
        <color theme="0"/>
      </left>
      <right style="thin">
        <color theme="0"/>
      </right>
      <top style="thin">
        <color indexed="64"/>
      </top>
      <bottom/>
      <diagonal/>
    </border>
    <border>
      <left style="thin">
        <color auto="1"/>
      </left>
      <right style="thin">
        <color auto="1"/>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auto="1"/>
      </left>
      <right/>
      <top/>
      <bottom style="thin">
        <color indexed="64"/>
      </bottom>
      <diagonal/>
    </border>
    <border>
      <left/>
      <right/>
      <top/>
      <bottom style="thin">
        <color indexed="64"/>
      </bottom>
      <diagonal/>
    </border>
    <border>
      <left/>
      <right style="medium">
        <color auto="1"/>
      </right>
      <top/>
      <bottom style="thin">
        <color indexed="64"/>
      </bottom>
      <diagonal/>
    </border>
    <border>
      <left style="thin">
        <color auto="1"/>
      </left>
      <right style="medium">
        <color indexed="64"/>
      </right>
      <top style="thin">
        <color auto="1"/>
      </top>
      <bottom/>
      <diagonal/>
    </border>
    <border>
      <left style="thin">
        <color theme="0"/>
      </left>
      <right/>
      <top style="thin">
        <color auto="1"/>
      </top>
      <bottom/>
      <diagonal/>
    </border>
  </borders>
  <cellStyleXfs count="2404">
    <xf numFmtId="0" fontId="0" fillId="0" borderId="0"/>
    <xf numFmtId="9" fontId="4" fillId="0" borderId="0" applyFon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164" fontId="20" fillId="14" borderId="25">
      <alignment horizontal="right" vertical="center"/>
    </xf>
    <xf numFmtId="0" fontId="21" fillId="0" borderId="0" applyNumberFormat="0" applyFont="0" applyFill="0" applyBorder="0" applyAlignment="0" applyProtection="0"/>
    <xf numFmtId="9" fontId="21" fillId="0" borderId="0" applyNumberFormat="0" applyFont="0" applyFill="0" applyBorder="0" applyAlignment="0" applyProtection="0"/>
    <xf numFmtId="0" fontId="22"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0" fillId="0" borderId="0"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9" fontId="3" fillId="0" borderId="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29" fillId="0" borderId="41"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cellStyleXfs>
  <cellXfs count="607">
    <xf numFmtId="0" fontId="0" fillId="0" borderId="0" xfId="0"/>
    <xf numFmtId="0" fontId="0" fillId="2" borderId="0" xfId="0" applyFill="1"/>
    <xf numFmtId="0" fontId="7" fillId="2" borderId="0" xfId="0" applyFont="1" applyFill="1"/>
    <xf numFmtId="0" fontId="6" fillId="2" borderId="1" xfId="0" applyFont="1" applyFill="1" applyBorder="1"/>
    <xf numFmtId="0" fontId="0" fillId="2" borderId="2" xfId="0" applyFill="1" applyBorder="1"/>
    <xf numFmtId="0" fontId="0" fillId="2" borderId="3" xfId="0" applyFill="1" applyBorder="1"/>
    <xf numFmtId="0" fontId="8" fillId="3" borderId="4" xfId="0" applyFont="1" applyFill="1" applyBorder="1" applyAlignment="1">
      <alignment vertical="center"/>
    </xf>
    <xf numFmtId="0" fontId="0" fillId="2" borderId="5" xfId="0" applyFill="1" applyBorder="1"/>
    <xf numFmtId="0" fontId="8" fillId="3" borderId="6" xfId="0" applyFont="1" applyFill="1" applyBorder="1" applyAlignment="1">
      <alignment vertical="center"/>
    </xf>
    <xf numFmtId="0" fontId="0" fillId="2" borderId="7" xfId="0" applyFill="1" applyBorder="1"/>
    <xf numFmtId="0" fontId="0" fillId="2" borderId="8" xfId="0" applyFill="1" applyBorder="1"/>
    <xf numFmtId="0" fontId="6" fillId="2" borderId="2" xfId="0" applyFont="1" applyFill="1" applyBorder="1"/>
    <xf numFmtId="0" fontId="6" fillId="2" borderId="3" xfId="0" applyFont="1" applyFill="1" applyBorder="1"/>
    <xf numFmtId="0" fontId="6" fillId="2" borderId="0" xfId="0" applyFont="1" applyFill="1"/>
    <xf numFmtId="0" fontId="6" fillId="2" borderId="5" xfId="0" applyFont="1" applyFill="1" applyBorder="1"/>
    <xf numFmtId="0" fontId="0" fillId="0" borderId="5" xfId="0" applyBorder="1"/>
    <xf numFmtId="0" fontId="0" fillId="0" borderId="4" xfId="0" applyBorder="1"/>
    <xf numFmtId="0" fontId="0" fillId="2" borderId="4" xfId="0" applyFill="1" applyBorder="1"/>
    <xf numFmtId="0" fontId="0" fillId="2" borderId="6" xfId="0" applyFill="1" applyBorder="1"/>
    <xf numFmtId="0" fontId="6" fillId="2" borderId="4" xfId="0" applyFont="1" applyFill="1" applyBorder="1"/>
    <xf numFmtId="0" fontId="9" fillId="2" borderId="0" xfId="0" applyFont="1" applyFill="1"/>
    <xf numFmtId="0" fontId="0" fillId="2" borderId="9" xfId="0" applyFill="1" applyBorder="1"/>
    <xf numFmtId="0" fontId="0" fillId="4" borderId="0" xfId="0" applyFill="1"/>
    <xf numFmtId="0" fontId="0" fillId="5" borderId="0" xfId="0" applyFill="1"/>
    <xf numFmtId="2" fontId="0" fillId="0" borderId="5" xfId="0" applyNumberFormat="1" applyBorder="1"/>
    <xf numFmtId="0" fontId="6" fillId="2" borderId="10" xfId="0" applyFont="1" applyFill="1" applyBorder="1"/>
    <xf numFmtId="0" fontId="6" fillId="2" borderId="11" xfId="0" applyFont="1" applyFill="1" applyBorder="1"/>
    <xf numFmtId="0" fontId="0" fillId="2" borderId="12" xfId="0" applyFill="1" applyBorder="1"/>
    <xf numFmtId="0" fontId="0" fillId="2" borderId="13" xfId="0" applyFill="1" applyBorder="1"/>
    <xf numFmtId="0" fontId="0" fillId="2" borderId="14" xfId="0" applyFill="1" applyBorder="1"/>
    <xf numFmtId="0" fontId="6" fillId="2" borderId="15" xfId="0" applyFont="1" applyFill="1" applyBorder="1"/>
    <xf numFmtId="0" fontId="6" fillId="0" borderId="7" xfId="0" applyFont="1" applyBorder="1"/>
    <xf numFmtId="0" fontId="6" fillId="0" borderId="16" xfId="0" applyFont="1" applyBorder="1"/>
    <xf numFmtId="0" fontId="6" fillId="2" borderId="13" xfId="0" applyFont="1" applyFill="1" applyBorder="1"/>
    <xf numFmtId="0" fontId="6" fillId="2" borderId="14" xfId="0" applyFont="1" applyFill="1" applyBorder="1"/>
    <xf numFmtId="0" fontId="11" fillId="2" borderId="13" xfId="0" applyFont="1" applyFill="1" applyBorder="1"/>
    <xf numFmtId="0" fontId="0" fillId="2" borderId="13" xfId="0" applyFill="1" applyBorder="1" applyAlignment="1">
      <alignment vertical="top"/>
    </xf>
    <xf numFmtId="0" fontId="0" fillId="0" borderId="0" xfId="0" applyAlignment="1">
      <alignment wrapText="1"/>
    </xf>
    <xf numFmtId="0" fontId="0" fillId="0" borderId="14" xfId="0" applyBorder="1" applyAlignment="1">
      <alignment vertical="top"/>
    </xf>
    <xf numFmtId="0" fontId="0" fillId="0" borderId="14" xfId="0" applyBorder="1" applyAlignment="1">
      <alignment vertical="top" wrapText="1"/>
    </xf>
    <xf numFmtId="0" fontId="0" fillId="0" borderId="14" xfId="0" applyBorder="1"/>
    <xf numFmtId="0" fontId="0" fillId="2" borderId="15" xfId="0" applyFill="1" applyBorder="1"/>
    <xf numFmtId="0" fontId="0" fillId="0" borderId="7" xfId="0" applyBorder="1"/>
    <xf numFmtId="0" fontId="0" fillId="0" borderId="16" xfId="0" applyBorder="1"/>
    <xf numFmtId="0" fontId="0" fillId="2" borderId="17" xfId="0" applyFill="1" applyBorder="1"/>
    <xf numFmtId="0" fontId="11" fillId="2" borderId="20" xfId="0" applyFont="1" applyFill="1" applyBorder="1"/>
    <xf numFmtId="0" fontId="13" fillId="2" borderId="13" xfId="0" applyFont="1" applyFill="1" applyBorder="1"/>
    <xf numFmtId="0" fontId="0" fillId="0" borderId="19" xfId="0" applyBorder="1"/>
    <xf numFmtId="0" fontId="6" fillId="0" borderId="1" xfId="0" applyFont="1" applyBorder="1"/>
    <xf numFmtId="0" fontId="0" fillId="2" borderId="11" xfId="0" applyFill="1" applyBorder="1"/>
    <xf numFmtId="0" fontId="6" fillId="2" borderId="7" xfId="0" applyFont="1" applyFill="1" applyBorder="1"/>
    <xf numFmtId="0" fontId="6" fillId="2" borderId="21" xfId="0" applyFont="1" applyFill="1" applyBorder="1"/>
    <xf numFmtId="0" fontId="6" fillId="2" borderId="22" xfId="0" applyFont="1" applyFill="1" applyBorder="1"/>
    <xf numFmtId="0" fontId="0" fillId="2" borderId="23" xfId="0" applyFill="1" applyBorder="1"/>
    <xf numFmtId="0" fontId="0" fillId="2" borderId="21" xfId="0" applyFill="1" applyBorder="1"/>
    <xf numFmtId="9" fontId="0" fillId="2" borderId="0" xfId="1" applyFont="1" applyFill="1" applyBorder="1"/>
    <xf numFmtId="0" fontId="12" fillId="8" borderId="0" xfId="0" applyFont="1" applyFill="1"/>
    <xf numFmtId="0" fontId="6" fillId="2" borderId="23" xfId="0" applyFont="1" applyFill="1" applyBorder="1"/>
    <xf numFmtId="0" fontId="6" fillId="2" borderId="24" xfId="0" applyFont="1" applyFill="1" applyBorder="1"/>
    <xf numFmtId="0" fontId="6" fillId="2" borderId="15" xfId="0" applyFont="1" applyFill="1" applyBorder="1" applyAlignment="1">
      <alignment vertical="top" wrapText="1"/>
    </xf>
    <xf numFmtId="0" fontId="6" fillId="0" borderId="7" xfId="0" applyFont="1" applyBorder="1" applyAlignment="1">
      <alignment vertical="top" wrapText="1"/>
    </xf>
    <xf numFmtId="0" fontId="6" fillId="2" borderId="0" xfId="0" applyFont="1" applyFill="1" applyAlignment="1">
      <alignment vertical="top" wrapText="1"/>
    </xf>
    <xf numFmtId="0" fontId="5" fillId="2" borderId="13" xfId="0" applyFont="1" applyFill="1" applyBorder="1"/>
    <xf numFmtId="0" fontId="6" fillId="2" borderId="7" xfId="0" applyFont="1" applyFill="1" applyBorder="1" applyAlignment="1">
      <alignment vertical="top" wrapText="1"/>
    </xf>
    <xf numFmtId="0" fontId="16" fillId="2" borderId="1" xfId="0" applyFont="1" applyFill="1" applyBorder="1"/>
    <xf numFmtId="0" fontId="9" fillId="2" borderId="4" xfId="0" applyFont="1" applyFill="1" applyBorder="1"/>
    <xf numFmtId="0" fontId="0" fillId="0" borderId="0" xfId="0" applyAlignment="1">
      <alignment vertical="top" wrapText="1"/>
    </xf>
    <xf numFmtId="0" fontId="0" fillId="2" borderId="0" xfId="0" applyFill="1" applyAlignment="1">
      <alignment wrapText="1"/>
    </xf>
    <xf numFmtId="0" fontId="0" fillId="2" borderId="0" xfId="0" applyFill="1" applyAlignment="1">
      <alignment vertical="top" wrapText="1"/>
    </xf>
    <xf numFmtId="0" fontId="0" fillId="2" borderId="18" xfId="0" applyFill="1" applyBorder="1"/>
    <xf numFmtId="0" fontId="0" fillId="2" borderId="19" xfId="0" applyFill="1" applyBorder="1"/>
    <xf numFmtId="0" fontId="17" fillId="8" borderId="13" xfId="0" applyFont="1" applyFill="1" applyBorder="1"/>
    <xf numFmtId="0" fontId="12" fillId="8" borderId="17" xfId="0" applyFont="1" applyFill="1" applyBorder="1"/>
    <xf numFmtId="0" fontId="6" fillId="0" borderId="7" xfId="0" applyFont="1" applyBorder="1" applyAlignment="1">
      <alignment wrapText="1"/>
    </xf>
    <xf numFmtId="164" fontId="6" fillId="2" borderId="0" xfId="0" applyNumberFormat="1" applyFont="1" applyFill="1" applyAlignment="1">
      <alignment vertical="top" wrapText="1"/>
    </xf>
    <xf numFmtId="0" fontId="6" fillId="2" borderId="34" xfId="0" applyFont="1" applyFill="1" applyBorder="1"/>
    <xf numFmtId="0" fontId="10" fillId="0" borderId="21" xfId="0" applyFont="1" applyBorder="1" applyAlignment="1">
      <alignment vertical="top" wrapText="1"/>
    </xf>
    <xf numFmtId="0" fontId="10" fillId="0" borderId="21" xfId="0" applyFont="1" applyBorder="1" applyAlignment="1">
      <alignment horizontal="left" vertical="top" wrapText="1"/>
    </xf>
    <xf numFmtId="0" fontId="18" fillId="2" borderId="0" xfId="0" applyFont="1" applyFill="1" applyAlignment="1">
      <alignment vertical="center"/>
    </xf>
    <xf numFmtId="0" fontId="18" fillId="2" borderId="0" xfId="0" applyFont="1" applyFill="1" applyAlignment="1">
      <alignment horizontal="center" vertical="center"/>
    </xf>
    <xf numFmtId="0" fontId="0" fillId="2" borderId="0" xfId="0" applyFill="1" applyAlignment="1">
      <alignment horizontal="left" vertical="center"/>
    </xf>
    <xf numFmtId="0" fontId="7" fillId="2" borderId="0" xfId="0" applyFont="1" applyFill="1" applyAlignment="1">
      <alignment vertical="center"/>
    </xf>
    <xf numFmtId="0" fontId="6" fillId="2" borderId="1" xfId="0" applyFont="1" applyFill="1" applyBorder="1" applyAlignment="1">
      <alignment vertical="center"/>
    </xf>
    <xf numFmtId="0" fontId="18" fillId="2" borderId="2" xfId="0" applyFont="1" applyFill="1" applyBorder="1" applyAlignment="1">
      <alignment vertical="center"/>
    </xf>
    <xf numFmtId="0" fontId="18" fillId="2" borderId="3" xfId="0" applyFont="1" applyFill="1" applyBorder="1" applyAlignment="1">
      <alignment vertical="center"/>
    </xf>
    <xf numFmtId="0" fontId="0" fillId="2" borderId="6" xfId="0" applyFill="1" applyBorder="1" applyAlignment="1">
      <alignment horizontal="left" vertical="top"/>
    </xf>
    <xf numFmtId="0" fontId="18" fillId="2" borderId="7" xfId="0" applyFont="1" applyFill="1" applyBorder="1" applyAlignment="1">
      <alignment vertical="center"/>
    </xf>
    <xf numFmtId="0" fontId="18" fillId="2" borderId="8" xfId="0" applyFont="1" applyFill="1" applyBorder="1" applyAlignment="1">
      <alignment vertical="center"/>
    </xf>
    <xf numFmtId="0" fontId="0" fillId="7" borderId="0" xfId="0" applyFill="1"/>
    <xf numFmtId="0" fontId="10" fillId="0" borderId="0" xfId="0" applyFont="1" applyAlignment="1">
      <alignment horizontal="left" vertical="top" wrapText="1"/>
    </xf>
    <xf numFmtId="0" fontId="16" fillId="2" borderId="34" xfId="0" applyFont="1" applyFill="1" applyBorder="1"/>
    <xf numFmtId="0" fontId="16" fillId="2" borderId="23" xfId="0" applyFont="1" applyFill="1" applyBorder="1"/>
    <xf numFmtId="0" fontId="10" fillId="2" borderId="23" xfId="0" applyFont="1" applyFill="1" applyBorder="1"/>
    <xf numFmtId="0" fontId="19" fillId="2" borderId="0" xfId="0" applyFont="1" applyFill="1" applyAlignment="1">
      <alignment horizontal="left" vertical="center"/>
    </xf>
    <xf numFmtId="0" fontId="11" fillId="2" borderId="20" xfId="0" applyFont="1" applyFill="1" applyBorder="1" applyAlignment="1">
      <alignment vertical="top"/>
    </xf>
    <xf numFmtId="0" fontId="0" fillId="2" borderId="33" xfId="0" applyFill="1" applyBorder="1"/>
    <xf numFmtId="0" fontId="12" fillId="0" borderId="0" xfId="0" applyFont="1"/>
    <xf numFmtId="0" fontId="0" fillId="2" borderId="18" xfId="0" applyFill="1" applyBorder="1" applyAlignment="1">
      <alignment vertical="top"/>
    </xf>
    <xf numFmtId="0" fontId="0" fillId="2" borderId="19" xfId="0" applyFill="1" applyBorder="1" applyAlignment="1">
      <alignment vertical="top"/>
    </xf>
    <xf numFmtId="0" fontId="6" fillId="2" borderId="16" xfId="0" applyFont="1" applyFill="1" applyBorder="1"/>
    <xf numFmtId="0" fontId="10" fillId="0" borderId="14" xfId="0" applyFont="1" applyBorder="1"/>
    <xf numFmtId="0" fontId="11" fillId="2" borderId="15" xfId="0" applyFont="1" applyFill="1" applyBorder="1"/>
    <xf numFmtId="0" fontId="10" fillId="2" borderId="0" xfId="0" applyFont="1" applyFill="1"/>
    <xf numFmtId="0" fontId="6" fillId="0" borderId="16" xfId="0" applyFont="1" applyBorder="1" applyAlignment="1">
      <alignment vertical="top" wrapText="1"/>
    </xf>
    <xf numFmtId="0" fontId="6" fillId="2" borderId="14" xfId="0" applyFont="1" applyFill="1" applyBorder="1" applyAlignment="1">
      <alignment vertical="top" wrapText="1"/>
    </xf>
    <xf numFmtId="164" fontId="6" fillId="2" borderId="18" xfId="0" applyNumberFormat="1" applyFont="1" applyFill="1" applyBorder="1" applyAlignment="1">
      <alignment vertical="top" wrapText="1"/>
    </xf>
    <xf numFmtId="16" fontId="0" fillId="0" borderId="4" xfId="0" applyNumberFormat="1" applyBorder="1"/>
    <xf numFmtId="0" fontId="0" fillId="0" borderId="33" xfId="0" applyBorder="1"/>
    <xf numFmtId="0" fontId="5" fillId="2" borderId="15" xfId="0" applyFont="1" applyFill="1" applyBorder="1"/>
    <xf numFmtId="2" fontId="0" fillId="2" borderId="0" xfId="0" applyNumberFormat="1" applyFill="1"/>
    <xf numFmtId="164" fontId="6" fillId="2" borderId="14" xfId="0" applyNumberFormat="1" applyFont="1" applyFill="1" applyBorder="1" applyAlignment="1">
      <alignment vertical="top" wrapText="1"/>
    </xf>
    <xf numFmtId="164" fontId="6" fillId="2" borderId="23" xfId="0" applyNumberFormat="1" applyFont="1" applyFill="1" applyBorder="1"/>
    <xf numFmtId="0" fontId="6" fillId="2" borderId="32" xfId="0" applyFont="1" applyFill="1" applyBorder="1"/>
    <xf numFmtId="0" fontId="6" fillId="2" borderId="8" xfId="0" applyFont="1" applyFill="1" applyBorder="1"/>
    <xf numFmtId="0" fontId="0" fillId="11" borderId="0" xfId="0" applyFill="1"/>
    <xf numFmtId="0" fontId="0" fillId="12" borderId="0" xfId="0" applyFill="1"/>
    <xf numFmtId="0" fontId="0" fillId="9" borderId="0" xfId="0" applyFill="1"/>
    <xf numFmtId="0" fontId="0" fillId="6" borderId="0" xfId="0" applyFill="1"/>
    <xf numFmtId="0" fontId="0" fillId="13" borderId="0" xfId="0" applyFill="1"/>
    <xf numFmtId="0" fontId="0" fillId="2" borderId="35" xfId="0" applyFill="1" applyBorder="1"/>
    <xf numFmtId="0" fontId="6" fillId="0" borderId="11" xfId="0" applyFont="1" applyBorder="1" applyAlignment="1">
      <alignment wrapText="1"/>
    </xf>
    <xf numFmtId="0" fontId="6" fillId="0" borderId="12" xfId="0" applyFont="1" applyBorder="1" applyAlignment="1">
      <alignment wrapText="1"/>
    </xf>
    <xf numFmtId="0" fontId="6" fillId="2" borderId="28" xfId="0" applyFont="1" applyFill="1" applyBorder="1"/>
    <xf numFmtId="0" fontId="6" fillId="2" borderId="36" xfId="0" applyFont="1" applyFill="1" applyBorder="1"/>
    <xf numFmtId="0" fontId="0" fillId="2" borderId="30" xfId="0" applyFill="1" applyBorder="1"/>
    <xf numFmtId="0" fontId="6" fillId="2" borderId="29" xfId="0" applyFont="1" applyFill="1" applyBorder="1" applyAlignment="1">
      <alignment vertical="top" wrapText="1"/>
    </xf>
    <xf numFmtId="0" fontId="5" fillId="2" borderId="30" xfId="0" applyFont="1" applyFill="1" applyBorder="1"/>
    <xf numFmtId="0" fontId="5" fillId="2" borderId="31" xfId="0" applyFont="1" applyFill="1" applyBorder="1"/>
    <xf numFmtId="2" fontId="0" fillId="2" borderId="14" xfId="0" applyNumberFormat="1" applyFill="1" applyBorder="1"/>
    <xf numFmtId="2" fontId="0" fillId="2" borderId="19" xfId="1" applyNumberFormat="1" applyFont="1" applyFill="1" applyBorder="1"/>
    <xf numFmtId="0" fontId="0" fillId="2" borderId="24" xfId="0" applyFill="1" applyBorder="1" applyAlignment="1">
      <alignment wrapText="1"/>
    </xf>
    <xf numFmtId="10" fontId="0" fillId="0" borderId="0" xfId="0" applyNumberFormat="1"/>
    <xf numFmtId="0" fontId="8" fillId="8" borderId="4" xfId="0" applyFont="1" applyFill="1" applyBorder="1" applyAlignment="1">
      <alignment vertical="center"/>
    </xf>
    <xf numFmtId="2" fontId="12" fillId="8" borderId="0" xfId="0" applyNumberFormat="1" applyFont="1" applyFill="1" applyAlignment="1">
      <alignment horizontal="left"/>
    </xf>
    <xf numFmtId="1" fontId="12" fillId="8" borderId="0" xfId="0" applyNumberFormat="1" applyFont="1" applyFill="1" applyAlignment="1">
      <alignment horizontal="left"/>
    </xf>
    <xf numFmtId="0" fontId="0" fillId="2" borderId="0" xfId="0" applyFill="1" applyAlignment="1">
      <alignment horizontal="left"/>
    </xf>
    <xf numFmtId="164" fontId="0" fillId="2" borderId="0" xfId="0" applyNumberFormat="1" applyFill="1"/>
    <xf numFmtId="0" fontId="23" fillId="2" borderId="0" xfId="0" applyFont="1" applyFill="1" applyAlignment="1">
      <alignment vertical="top"/>
    </xf>
    <xf numFmtId="0" fontId="23" fillId="2" borderId="30" xfId="0" applyFont="1" applyFill="1" applyBorder="1" applyAlignment="1">
      <alignment wrapText="1"/>
    </xf>
    <xf numFmtId="0" fontId="13" fillId="2" borderId="0" xfId="0" applyFont="1" applyFill="1"/>
    <xf numFmtId="0" fontId="6" fillId="2" borderId="10" xfId="0" applyFont="1" applyFill="1" applyBorder="1" applyAlignment="1">
      <alignment vertical="top"/>
    </xf>
    <xf numFmtId="0" fontId="13" fillId="2" borderId="7" xfId="0" applyFont="1" applyFill="1" applyBorder="1"/>
    <xf numFmtId="0" fontId="17" fillId="8" borderId="2" xfId="0" applyFont="1" applyFill="1" applyBorder="1"/>
    <xf numFmtId="0" fontId="0" fillId="2" borderId="0" xfId="0" applyFill="1" applyAlignment="1">
      <alignment horizontal="left" vertical="top" wrapText="1"/>
    </xf>
    <xf numFmtId="0" fontId="6" fillId="0" borderId="0" xfId="0" applyFont="1" applyAlignment="1">
      <alignment wrapText="1"/>
    </xf>
    <xf numFmtId="0" fontId="6" fillId="2" borderId="11" xfId="0" applyFont="1" applyFill="1" applyBorder="1" applyAlignment="1">
      <alignment vertical="top"/>
    </xf>
    <xf numFmtId="0" fontId="17" fillId="8" borderId="0" xfId="0" applyFont="1" applyFill="1"/>
    <xf numFmtId="0" fontId="12" fillId="8" borderId="18" xfId="0" applyFont="1" applyFill="1" applyBorder="1"/>
    <xf numFmtId="3" fontId="0" fillId="2" borderId="0" xfId="0" applyNumberFormat="1" applyFill="1"/>
    <xf numFmtId="0" fontId="6" fillId="0" borderId="16" xfId="0" applyFont="1" applyBorder="1" applyAlignment="1">
      <alignment wrapText="1"/>
    </xf>
    <xf numFmtId="0" fontId="17" fillId="8" borderId="10" xfId="0" applyFont="1" applyFill="1" applyBorder="1"/>
    <xf numFmtId="0" fontId="12" fillId="8" borderId="11" xfId="0" applyFont="1" applyFill="1" applyBorder="1"/>
    <xf numFmtId="0" fontId="17" fillId="8" borderId="11" xfId="0" applyFont="1" applyFill="1" applyBorder="1"/>
    <xf numFmtId="0" fontId="17" fillId="8" borderId="15" xfId="0" applyFont="1" applyFill="1" applyBorder="1" applyAlignment="1">
      <alignment vertical="top" wrapText="1"/>
    </xf>
    <xf numFmtId="0" fontId="13" fillId="8" borderId="13" xfId="0" applyFont="1" applyFill="1" applyBorder="1"/>
    <xf numFmtId="0" fontId="5" fillId="8" borderId="13" xfId="0" applyFont="1" applyFill="1" applyBorder="1"/>
    <xf numFmtId="0" fontId="12" fillId="8" borderId="15" xfId="0" applyFont="1" applyFill="1" applyBorder="1"/>
    <xf numFmtId="0" fontId="12" fillId="8" borderId="7" xfId="0" applyFont="1" applyFill="1" applyBorder="1"/>
    <xf numFmtId="0" fontId="25" fillId="8" borderId="20" xfId="0" applyFont="1" applyFill="1" applyBorder="1"/>
    <xf numFmtId="0" fontId="5" fillId="8" borderId="15" xfId="0" applyFont="1" applyFill="1" applyBorder="1"/>
    <xf numFmtId="0" fontId="25" fillId="8" borderId="13" xfId="0" applyFont="1" applyFill="1" applyBorder="1"/>
    <xf numFmtId="10" fontId="0" fillId="2" borderId="0" xfId="0" applyNumberFormat="1" applyFill="1"/>
    <xf numFmtId="9" fontId="0" fillId="0" borderId="0" xfId="1" applyFont="1"/>
    <xf numFmtId="4" fontId="0" fillId="2" borderId="7" xfId="0" applyNumberFormat="1" applyFill="1" applyBorder="1"/>
    <xf numFmtId="4" fontId="0" fillId="2" borderId="16" xfId="0" applyNumberFormat="1" applyFill="1" applyBorder="1"/>
    <xf numFmtId="165" fontId="0" fillId="0" borderId="0" xfId="1" applyNumberFormat="1" applyFont="1" applyBorder="1"/>
    <xf numFmtId="2" fontId="0" fillId="0" borderId="0" xfId="0" applyNumberFormat="1"/>
    <xf numFmtId="0" fontId="9" fillId="0" borderId="0" xfId="0" applyFont="1"/>
    <xf numFmtId="165" fontId="0" fillId="2" borderId="0" xfId="1" applyNumberFormat="1" applyFont="1" applyFill="1" applyBorder="1"/>
    <xf numFmtId="165" fontId="0" fillId="2" borderId="7" xfId="1" applyNumberFormat="1" applyFont="1" applyFill="1" applyBorder="1"/>
    <xf numFmtId="2" fontId="0" fillId="2" borderId="7" xfId="0" applyNumberFormat="1" applyFill="1" applyBorder="1"/>
    <xf numFmtId="167" fontId="0" fillId="0" borderId="0" xfId="0" applyNumberFormat="1"/>
    <xf numFmtId="9" fontId="0" fillId="0" borderId="0" xfId="1" applyFont="1" applyBorder="1"/>
    <xf numFmtId="0" fontId="0" fillId="2" borderId="14" xfId="0" applyFill="1" applyBorder="1" applyAlignment="1">
      <alignment vertical="top"/>
    </xf>
    <xf numFmtId="0" fontId="0" fillId="2" borderId="0" xfId="0" applyFill="1" applyAlignment="1">
      <alignment vertical="top"/>
    </xf>
    <xf numFmtId="0" fontId="0" fillId="2" borderId="33" xfId="0" applyFill="1" applyBorder="1" applyAlignment="1">
      <alignment vertical="top"/>
    </xf>
    <xf numFmtId="0" fontId="0" fillId="2" borderId="16" xfId="0" applyFill="1" applyBorder="1"/>
    <xf numFmtId="0" fontId="17" fillId="8" borderId="0" xfId="0" applyFont="1" applyFill="1" applyAlignment="1">
      <alignment vertical="top" wrapText="1"/>
    </xf>
    <xf numFmtId="9" fontId="0" fillId="2" borderId="7" xfId="1" applyFont="1" applyFill="1" applyBorder="1"/>
    <xf numFmtId="0" fontId="12" fillId="8" borderId="12" xfId="0" applyFont="1" applyFill="1" applyBorder="1"/>
    <xf numFmtId="0" fontId="6" fillId="0" borderId="7" xfId="0" applyFont="1" applyBorder="1" applyAlignment="1">
      <alignment horizontal="left" wrapText="1"/>
    </xf>
    <xf numFmtId="0" fontId="6" fillId="0" borderId="16" xfId="0" applyFont="1" applyBorder="1" applyAlignment="1">
      <alignment horizontal="left" wrapText="1"/>
    </xf>
    <xf numFmtId="0" fontId="13" fillId="8" borderId="0" xfId="0" applyFont="1" applyFill="1"/>
    <xf numFmtId="0" fontId="31" fillId="2" borderId="0" xfId="0" applyFont="1" applyFill="1"/>
    <xf numFmtId="165" fontId="2" fillId="0" borderId="4" xfId="1" applyNumberFormat="1" applyFont="1" applyFill="1" applyBorder="1"/>
    <xf numFmtId="165" fontId="2" fillId="2" borderId="6" xfId="1" applyNumberFormat="1" applyFont="1" applyFill="1" applyBorder="1"/>
    <xf numFmtId="165" fontId="0" fillId="2" borderId="4" xfId="0" applyNumberFormat="1" applyFill="1" applyBorder="1"/>
    <xf numFmtId="165" fontId="2" fillId="2" borderId="4" xfId="1" applyNumberFormat="1" applyFont="1" applyFill="1" applyBorder="1"/>
    <xf numFmtId="165" fontId="2" fillId="2" borderId="1" xfId="1" applyNumberFormat="1" applyFont="1" applyFill="1" applyBorder="1"/>
    <xf numFmtId="165" fontId="2" fillId="0" borderId="6" xfId="1" applyNumberFormat="1" applyFont="1" applyFill="1" applyBorder="1"/>
    <xf numFmtId="2" fontId="2" fillId="0" borderId="14" xfId="1" applyNumberFormat="1" applyFont="1" applyFill="1" applyBorder="1"/>
    <xf numFmtId="2" fontId="2" fillId="2" borderId="16" xfId="1" applyNumberFormat="1" applyFont="1" applyFill="1" applyBorder="1"/>
    <xf numFmtId="2" fontId="2" fillId="2" borderId="14" xfId="1" applyNumberFormat="1" applyFont="1" applyFill="1" applyBorder="1"/>
    <xf numFmtId="2" fontId="0" fillId="2" borderId="2" xfId="0" applyNumberFormat="1" applyFill="1" applyBorder="1"/>
    <xf numFmtId="2" fontId="2" fillId="2" borderId="33" xfId="1" applyNumberFormat="1" applyFont="1" applyFill="1" applyBorder="1"/>
    <xf numFmtId="2" fontId="0" fillId="0" borderId="7" xfId="0" applyNumberFormat="1" applyBorder="1"/>
    <xf numFmtId="2" fontId="2" fillId="0" borderId="16" xfId="1" applyNumberFormat="1" applyFont="1" applyFill="1" applyBorder="1"/>
    <xf numFmtId="0" fontId="16" fillId="8" borderId="16" xfId="0" applyFont="1" applyFill="1" applyBorder="1"/>
    <xf numFmtId="3" fontId="16" fillId="0" borderId="0" xfId="1524" applyNumberFormat="1" applyFont="1" applyBorder="1"/>
    <xf numFmtId="165" fontId="16" fillId="0" borderId="14" xfId="1524" applyNumberFormat="1" applyFont="1" applyBorder="1"/>
    <xf numFmtId="165" fontId="23" fillId="0" borderId="0" xfId="818" applyNumberFormat="1" applyFont="1"/>
    <xf numFmtId="3" fontId="23" fillId="0" borderId="0" xfId="818" applyNumberFormat="1" applyFont="1"/>
    <xf numFmtId="0" fontId="23" fillId="8" borderId="7" xfId="0" applyFont="1" applyFill="1" applyBorder="1"/>
    <xf numFmtId="0" fontId="0" fillId="2" borderId="0" xfId="0" applyFill="1" applyAlignment="1">
      <alignment horizontal="right"/>
    </xf>
    <xf numFmtId="0" fontId="0" fillId="2" borderId="0" xfId="0" applyFill="1" applyAlignment="1">
      <alignment horizontal="center"/>
    </xf>
    <xf numFmtId="0" fontId="0" fillId="2" borderId="2" xfId="0" applyFill="1" applyBorder="1" applyAlignment="1">
      <alignment horizontal="center"/>
    </xf>
    <xf numFmtId="0" fontId="0" fillId="2" borderId="11" xfId="0" applyFill="1" applyBorder="1" applyAlignment="1">
      <alignment horizontal="center"/>
    </xf>
    <xf numFmtId="0" fontId="0" fillId="2" borderId="18" xfId="0" applyFill="1" applyBorder="1" applyAlignment="1">
      <alignment horizontal="center"/>
    </xf>
    <xf numFmtId="9" fontId="0" fillId="2" borderId="0" xfId="1" applyFont="1" applyFill="1" applyBorder="1" applyAlignment="1">
      <alignment horizontal="right"/>
    </xf>
    <xf numFmtId="164" fontId="16" fillId="2" borderId="0" xfId="1" applyNumberFormat="1" applyFont="1" applyFill="1" applyBorder="1" applyAlignment="1">
      <alignment horizontal="right"/>
    </xf>
    <xf numFmtId="10" fontId="9" fillId="2" borderId="0" xfId="1" applyNumberFormat="1" applyFont="1" applyFill="1" applyBorder="1" applyAlignment="1">
      <alignment horizontal="right"/>
    </xf>
    <xf numFmtId="0" fontId="32" fillId="2" borderId="0" xfId="0" applyFont="1" applyFill="1"/>
    <xf numFmtId="0" fontId="0" fillId="2" borderId="3" xfId="0" applyFill="1" applyBorder="1" applyAlignment="1">
      <alignment horizontal="right"/>
    </xf>
    <xf numFmtId="0" fontId="0" fillId="2" borderId="11" xfId="0" applyFill="1" applyBorder="1" applyAlignment="1">
      <alignment horizontal="right"/>
    </xf>
    <xf numFmtId="0" fontId="0" fillId="2" borderId="18" xfId="0" applyFill="1" applyBorder="1" applyAlignment="1">
      <alignment horizontal="right"/>
    </xf>
    <xf numFmtId="0" fontId="9" fillId="2" borderId="0" xfId="0" applyFont="1" applyFill="1" applyAlignment="1">
      <alignment horizontal="left" indent="1"/>
    </xf>
    <xf numFmtId="9" fontId="2" fillId="2" borderId="0" xfId="1" applyFont="1" applyFill="1" applyBorder="1" applyAlignment="1">
      <alignment horizontal="right"/>
    </xf>
    <xf numFmtId="0" fontId="12" fillId="0" borderId="38" xfId="0" applyFont="1" applyBorder="1"/>
    <xf numFmtId="0" fontId="10" fillId="2" borderId="7" xfId="0" applyFont="1" applyFill="1" applyBorder="1"/>
    <xf numFmtId="9" fontId="0" fillId="0" borderId="8" xfId="1" applyFont="1" applyBorder="1"/>
    <xf numFmtId="0" fontId="10" fillId="0" borderId="0" xfId="0" applyFont="1"/>
    <xf numFmtId="0" fontId="10" fillId="0" borderId="7" xfId="0" applyFont="1" applyBorder="1"/>
    <xf numFmtId="0" fontId="13" fillId="2" borderId="15" xfId="0" applyFont="1" applyFill="1" applyBorder="1"/>
    <xf numFmtId="4" fontId="0" fillId="2" borderId="43" xfId="0" applyNumberFormat="1" applyFill="1" applyBorder="1"/>
    <xf numFmtId="165" fontId="16" fillId="2" borderId="14" xfId="1524" applyNumberFormat="1" applyFont="1" applyFill="1" applyBorder="1"/>
    <xf numFmtId="165" fontId="23" fillId="0" borderId="7" xfId="818" applyNumberFormat="1" applyFont="1" applyBorder="1"/>
    <xf numFmtId="3" fontId="23" fillId="0" borderId="7" xfId="818" applyNumberFormat="1" applyFont="1" applyBorder="1"/>
    <xf numFmtId="0" fontId="12" fillId="2" borderId="38" xfId="0" applyFont="1" applyFill="1" applyBorder="1"/>
    <xf numFmtId="3" fontId="16" fillId="0" borderId="7" xfId="1524" applyNumberFormat="1" applyFont="1" applyBorder="1"/>
    <xf numFmtId="165" fontId="16" fillId="0" borderId="16" xfId="1524" applyNumberFormat="1" applyFont="1" applyBorder="1"/>
    <xf numFmtId="0" fontId="12" fillId="8" borderId="38" xfId="0" applyFont="1" applyFill="1" applyBorder="1"/>
    <xf numFmtId="0" fontId="23" fillId="8" borderId="38" xfId="0" applyFont="1" applyFill="1" applyBorder="1"/>
    <xf numFmtId="0" fontId="16" fillId="8" borderId="38" xfId="0" applyFont="1" applyFill="1" applyBorder="1"/>
    <xf numFmtId="0" fontId="16" fillId="8" borderId="37" xfId="0" applyFont="1" applyFill="1" applyBorder="1"/>
    <xf numFmtId="165" fontId="6" fillId="0" borderId="14" xfId="1" applyNumberFormat="1" applyFont="1" applyFill="1" applyBorder="1"/>
    <xf numFmtId="165" fontId="6" fillId="2" borderId="16" xfId="0" applyNumberFormat="1" applyFont="1" applyFill="1" applyBorder="1"/>
    <xf numFmtId="165" fontId="6" fillId="2" borderId="14" xfId="0" applyNumberFormat="1" applyFont="1" applyFill="1" applyBorder="1"/>
    <xf numFmtId="4" fontId="6" fillId="0" borderId="0" xfId="0" applyNumberFormat="1" applyFont="1"/>
    <xf numFmtId="4" fontId="6" fillId="2" borderId="7" xfId="0" applyNumberFormat="1" applyFont="1" applyFill="1" applyBorder="1"/>
    <xf numFmtId="4" fontId="6" fillId="2" borderId="16" xfId="0" applyNumberFormat="1" applyFont="1" applyFill="1" applyBorder="1"/>
    <xf numFmtId="164" fontId="6" fillId="2" borderId="7" xfId="0" applyNumberFormat="1" applyFont="1" applyFill="1" applyBorder="1"/>
    <xf numFmtId="164" fontId="6" fillId="2" borderId="16" xfId="0" applyNumberFormat="1" applyFont="1" applyFill="1" applyBorder="1"/>
    <xf numFmtId="0" fontId="34" fillId="2" borderId="13" xfId="0" applyFont="1" applyFill="1" applyBorder="1"/>
    <xf numFmtId="9" fontId="6" fillId="0" borderId="0" xfId="1" applyFont="1" applyFill="1" applyBorder="1"/>
    <xf numFmtId="10" fontId="0" fillId="0" borderId="14" xfId="0" applyNumberFormat="1" applyBorder="1"/>
    <xf numFmtId="0" fontId="26" fillId="2" borderId="13" xfId="0" applyFont="1" applyFill="1" applyBorder="1"/>
    <xf numFmtId="0" fontId="27" fillId="2" borderId="13" xfId="0" applyFont="1" applyFill="1" applyBorder="1"/>
    <xf numFmtId="3" fontId="27" fillId="2" borderId="13" xfId="0" applyNumberFormat="1" applyFont="1" applyFill="1" applyBorder="1" applyAlignment="1">
      <alignment vertical="top" wrapText="1"/>
    </xf>
    <xf numFmtId="165" fontId="9" fillId="0" borderId="0" xfId="1" applyNumberFormat="1" applyFont="1" applyBorder="1"/>
    <xf numFmtId="165" fontId="9" fillId="2" borderId="0" xfId="1" applyNumberFormat="1" applyFont="1" applyFill="1" applyBorder="1"/>
    <xf numFmtId="165" fontId="9" fillId="2" borderId="7" xfId="1" applyNumberFormat="1" applyFont="1" applyFill="1" applyBorder="1"/>
    <xf numFmtId="4" fontId="9" fillId="0" borderId="4" xfId="0" applyNumberFormat="1" applyFont="1" applyBorder="1"/>
    <xf numFmtId="4" fontId="9" fillId="0" borderId="0" xfId="0" applyNumberFormat="1" applyFont="1"/>
    <xf numFmtId="4" fontId="9" fillId="0" borderId="14" xfId="0" applyNumberFormat="1" applyFont="1" applyBorder="1"/>
    <xf numFmtId="4" fontId="9" fillId="0" borderId="7" xfId="0" applyNumberFormat="1" applyFont="1" applyBorder="1"/>
    <xf numFmtId="4" fontId="9" fillId="0" borderId="16" xfId="0" applyNumberFormat="1" applyFont="1" applyBorder="1"/>
    <xf numFmtId="4" fontId="9" fillId="2" borderId="42" xfId="0" applyNumberFormat="1" applyFont="1" applyFill="1" applyBorder="1"/>
    <xf numFmtId="4" fontId="9" fillId="2" borderId="2" xfId="0" applyNumberFormat="1" applyFont="1" applyFill="1" applyBorder="1"/>
    <xf numFmtId="4" fontId="9" fillId="2" borderId="33" xfId="0" applyNumberFormat="1" applyFont="1" applyFill="1" applyBorder="1"/>
    <xf numFmtId="4" fontId="9" fillId="2" borderId="7" xfId="0" applyNumberFormat="1" applyFont="1" applyFill="1" applyBorder="1"/>
    <xf numFmtId="4" fontId="9" fillId="2" borderId="16" xfId="0" applyNumberFormat="1" applyFont="1" applyFill="1" applyBorder="1"/>
    <xf numFmtId="4" fontId="9" fillId="2" borderId="43" xfId="0" applyNumberFormat="1" applyFont="1" applyFill="1" applyBorder="1"/>
    <xf numFmtId="4" fontId="9" fillId="2" borderId="0" xfId="0" applyNumberFormat="1" applyFont="1" applyFill="1"/>
    <xf numFmtId="4" fontId="9" fillId="2" borderId="14" xfId="0" applyNumberFormat="1" applyFont="1" applyFill="1" applyBorder="1"/>
    <xf numFmtId="4" fontId="9" fillId="0" borderId="6" xfId="0" applyNumberFormat="1" applyFont="1" applyBorder="1"/>
    <xf numFmtId="0" fontId="35" fillId="2" borderId="0" xfId="0" applyFont="1" applyFill="1"/>
    <xf numFmtId="0" fontId="35" fillId="2" borderId="7" xfId="0" applyFont="1" applyFill="1" applyBorder="1"/>
    <xf numFmtId="4" fontId="9" fillId="0" borderId="1" xfId="0" applyNumberFormat="1" applyFont="1" applyBorder="1"/>
    <xf numFmtId="4" fontId="9" fillId="0" borderId="2" xfId="0" applyNumberFormat="1" applyFont="1" applyBorder="1"/>
    <xf numFmtId="4" fontId="9" fillId="0" borderId="33" xfId="0" applyNumberFormat="1" applyFont="1" applyBorder="1"/>
    <xf numFmtId="0" fontId="0" fillId="2" borderId="1" xfId="0" applyFill="1" applyBorder="1"/>
    <xf numFmtId="0" fontId="24" fillId="3" borderId="2" xfId="0" applyFont="1" applyFill="1" applyBorder="1"/>
    <xf numFmtId="165" fontId="6" fillId="0" borderId="14" xfId="1" applyNumberFormat="1" applyFont="1" applyBorder="1"/>
    <xf numFmtId="165" fontId="6" fillId="2" borderId="16" xfId="1" applyNumberFormat="1" applyFont="1" applyFill="1" applyBorder="1"/>
    <xf numFmtId="165" fontId="6" fillId="2" borderId="14" xfId="1" applyNumberFormat="1" applyFont="1" applyFill="1" applyBorder="1"/>
    <xf numFmtId="3" fontId="9" fillId="0" borderId="4" xfId="0" applyNumberFormat="1" applyFont="1" applyBorder="1"/>
    <xf numFmtId="3" fontId="9" fillId="2" borderId="6" xfId="0" applyNumberFormat="1" applyFont="1" applyFill="1" applyBorder="1"/>
    <xf numFmtId="3" fontId="9" fillId="2" borderId="4" xfId="0" applyNumberFormat="1" applyFont="1" applyFill="1" applyBorder="1"/>
    <xf numFmtId="165" fontId="12" fillId="0" borderId="4" xfId="0" applyNumberFormat="1" applyFont="1" applyBorder="1"/>
    <xf numFmtId="165" fontId="12" fillId="8" borderId="4" xfId="0" applyNumberFormat="1" applyFont="1" applyFill="1" applyBorder="1"/>
    <xf numFmtId="165" fontId="12" fillId="8" borderId="6" xfId="0" applyNumberFormat="1" applyFont="1" applyFill="1" applyBorder="1"/>
    <xf numFmtId="165" fontId="17" fillId="0" borderId="14" xfId="1" applyNumberFormat="1" applyFont="1" applyFill="1" applyBorder="1"/>
    <xf numFmtId="165" fontId="17" fillId="8" borderId="14" xfId="1" applyNumberFormat="1" applyFont="1" applyFill="1" applyBorder="1"/>
    <xf numFmtId="165" fontId="17" fillId="8" borderId="16" xfId="1" applyNumberFormat="1" applyFont="1" applyFill="1" applyBorder="1"/>
    <xf numFmtId="0" fontId="6" fillId="2" borderId="24" xfId="713" applyFont="1" applyFill="1" applyBorder="1"/>
    <xf numFmtId="0" fontId="0" fillId="2" borderId="23" xfId="0" applyFill="1" applyBorder="1" applyAlignment="1">
      <alignment wrapText="1"/>
    </xf>
    <xf numFmtId="0" fontId="0" fillId="2" borderId="22" xfId="0" applyFill="1" applyBorder="1" applyAlignment="1">
      <alignment wrapText="1"/>
    </xf>
    <xf numFmtId="165" fontId="0" fillId="2" borderId="23" xfId="0" applyNumberFormat="1" applyFill="1" applyBorder="1" applyAlignment="1">
      <alignment wrapText="1"/>
    </xf>
    <xf numFmtId="165" fontId="0" fillId="2" borderId="23" xfId="1" applyNumberFormat="1" applyFont="1" applyFill="1" applyBorder="1" applyAlignment="1">
      <alignment wrapText="1"/>
    </xf>
    <xf numFmtId="165" fontId="0" fillId="2" borderId="21" xfId="0" applyNumberFormat="1" applyFill="1" applyBorder="1" applyAlignment="1">
      <alignment wrapText="1"/>
    </xf>
    <xf numFmtId="0" fontId="0" fillId="2" borderId="21" xfId="0" applyFill="1" applyBorder="1" applyAlignment="1">
      <alignment wrapText="1"/>
    </xf>
    <xf numFmtId="166" fontId="0" fillId="0" borderId="0" xfId="0" applyNumberFormat="1" applyAlignment="1">
      <alignment vertical="top" wrapText="1"/>
    </xf>
    <xf numFmtId="0" fontId="0" fillId="2" borderId="24" xfId="0" applyFill="1" applyBorder="1"/>
    <xf numFmtId="0" fontId="36" fillId="2" borderId="1" xfId="0" applyFont="1" applyFill="1" applyBorder="1"/>
    <xf numFmtId="0" fontId="10" fillId="2" borderId="3" xfId="0" applyFont="1" applyFill="1" applyBorder="1"/>
    <xf numFmtId="0" fontId="10" fillId="2" borderId="4" xfId="0" applyFont="1" applyFill="1" applyBorder="1"/>
    <xf numFmtId="0" fontId="10" fillId="2" borderId="5" xfId="0" applyFont="1" applyFill="1" applyBorder="1"/>
    <xf numFmtId="0" fontId="10" fillId="2" borderId="6" xfId="0" applyFont="1" applyFill="1" applyBorder="1"/>
    <xf numFmtId="0" fontId="23" fillId="2" borderId="0" xfId="0" applyFont="1" applyFill="1"/>
    <xf numFmtId="164" fontId="9" fillId="0" borderId="0" xfId="0" applyNumberFormat="1" applyFont="1" applyAlignment="1">
      <alignment horizontal="right" wrapText="1"/>
    </xf>
    <xf numFmtId="0" fontId="0" fillId="0" borderId="45" xfId="0" applyBorder="1"/>
    <xf numFmtId="0" fontId="0" fillId="0" borderId="39" xfId="0" applyBorder="1" applyAlignment="1">
      <alignment vertical="top" wrapText="1"/>
    </xf>
    <xf numFmtId="0" fontId="0" fillId="0" borderId="46" xfId="0" applyBorder="1" applyAlignment="1">
      <alignment vertical="top" wrapText="1"/>
    </xf>
    <xf numFmtId="0" fontId="0" fillId="0" borderId="40" xfId="0" applyBorder="1" applyAlignment="1">
      <alignment vertical="top" wrapText="1"/>
    </xf>
    <xf numFmtId="0" fontId="0" fillId="0" borderId="47" xfId="0" applyBorder="1"/>
    <xf numFmtId="0" fontId="0" fillId="0" borderId="38" xfId="0" applyBorder="1"/>
    <xf numFmtId="0" fontId="0" fillId="0" borderId="25" xfId="0" applyBorder="1"/>
    <xf numFmtId="0" fontId="0" fillId="0" borderId="37" xfId="0" applyBorder="1"/>
    <xf numFmtId="0" fontId="0" fillId="0" borderId="30" xfId="0" applyBorder="1"/>
    <xf numFmtId="0" fontId="0" fillId="0" borderId="23" xfId="0" applyBorder="1"/>
    <xf numFmtId="0" fontId="0" fillId="0" borderId="48" xfId="0" applyBorder="1"/>
    <xf numFmtId="0" fontId="0" fillId="0" borderId="49" xfId="0" applyBorder="1"/>
    <xf numFmtId="11" fontId="0" fillId="0" borderId="49" xfId="0" applyNumberFormat="1" applyBorder="1"/>
    <xf numFmtId="0" fontId="0" fillId="0" borderId="50" xfId="0" applyBorder="1"/>
    <xf numFmtId="0" fontId="0" fillId="0" borderId="51" xfId="0" applyBorder="1"/>
    <xf numFmtId="0" fontId="0" fillId="0" borderId="29" xfId="0" applyBorder="1"/>
    <xf numFmtId="0" fontId="0" fillId="0" borderId="21" xfId="0" applyBorder="1"/>
    <xf numFmtId="0" fontId="0" fillId="0" borderId="31" xfId="0" applyBorder="1"/>
    <xf numFmtId="0" fontId="0" fillId="0" borderId="18" xfId="0" applyBorder="1"/>
    <xf numFmtId="0" fontId="0" fillId="0" borderId="27" xfId="0" applyBorder="1"/>
    <xf numFmtId="3" fontId="10" fillId="2" borderId="8" xfId="0" applyNumberFormat="1" applyFont="1" applyFill="1" applyBorder="1"/>
    <xf numFmtId="3" fontId="0" fillId="0" borderId="9" xfId="0" applyNumberFormat="1" applyBorder="1" applyAlignment="1">
      <alignment horizontal="right"/>
    </xf>
    <xf numFmtId="10" fontId="0" fillId="0" borderId="9" xfId="1" applyNumberFormat="1" applyFont="1" applyFill="1" applyBorder="1"/>
    <xf numFmtId="10" fontId="0" fillId="0" borderId="9" xfId="1" applyNumberFormat="1" applyFont="1" applyFill="1" applyBorder="1" applyAlignment="1">
      <alignment horizontal="right"/>
    </xf>
    <xf numFmtId="0" fontId="0" fillId="2" borderId="52" xfId="0" applyFill="1" applyBorder="1" applyAlignment="1">
      <alignment horizontal="center"/>
    </xf>
    <xf numFmtId="3" fontId="0" fillId="0" borderId="53" xfId="0" applyNumberFormat="1" applyBorder="1" applyAlignment="1">
      <alignment horizontal="center"/>
    </xf>
    <xf numFmtId="0" fontId="0" fillId="2" borderId="54" xfId="0" applyFill="1" applyBorder="1" applyAlignment="1">
      <alignment horizontal="center"/>
    </xf>
    <xf numFmtId="0" fontId="0" fillId="0" borderId="52" xfId="0" applyBorder="1"/>
    <xf numFmtId="0" fontId="12" fillId="8" borderId="52" xfId="0" applyFont="1" applyFill="1" applyBorder="1" applyAlignment="1">
      <alignment horizontal="center"/>
    </xf>
    <xf numFmtId="0" fontId="0" fillId="0" borderId="52" xfId="0" applyBorder="1" applyAlignment="1">
      <alignment horizontal="center"/>
    </xf>
    <xf numFmtId="0" fontId="12" fillId="0" borderId="52" xfId="0" applyFont="1" applyBorder="1" applyAlignment="1">
      <alignment horizontal="center"/>
    </xf>
    <xf numFmtId="168" fontId="27" fillId="2" borderId="13" xfId="0" applyNumberFormat="1" applyFont="1" applyFill="1" applyBorder="1" applyAlignment="1">
      <alignment vertical="top" wrapText="1"/>
    </xf>
    <xf numFmtId="0" fontId="13" fillId="2" borderId="30" xfId="0" applyFont="1" applyFill="1" applyBorder="1" applyAlignment="1">
      <alignment wrapText="1"/>
    </xf>
    <xf numFmtId="0" fontId="12" fillId="8" borderId="14" xfId="0" applyFont="1" applyFill="1" applyBorder="1"/>
    <xf numFmtId="169" fontId="0" fillId="0" borderId="4" xfId="0" applyNumberFormat="1" applyBorder="1" applyAlignment="1">
      <alignment horizontal="left"/>
    </xf>
    <xf numFmtId="169" fontId="0" fillId="0" borderId="0" xfId="0" applyNumberFormat="1" applyAlignment="1">
      <alignment horizontal="left"/>
    </xf>
    <xf numFmtId="10" fontId="0" fillId="0" borderId="0" xfId="1" applyNumberFormat="1" applyFont="1" applyFill="1" applyBorder="1"/>
    <xf numFmtId="10" fontId="0" fillId="0" borderId="0" xfId="1" applyNumberFormat="1" applyFont="1" applyFill="1" applyBorder="1" applyAlignment="1">
      <alignment horizontal="right"/>
    </xf>
    <xf numFmtId="0" fontId="0" fillId="2" borderId="18" xfId="0" applyFill="1" applyBorder="1" applyAlignment="1">
      <alignment horizontal="left"/>
    </xf>
    <xf numFmtId="165" fontId="1" fillId="2" borderId="23" xfId="1" applyNumberFormat="1" applyFont="1" applyFill="1" applyBorder="1" applyAlignment="1">
      <alignment vertical="center"/>
    </xf>
    <xf numFmtId="0" fontId="0" fillId="0" borderId="9" xfId="0" applyBorder="1"/>
    <xf numFmtId="0" fontId="12" fillId="0" borderId="9" xfId="0" applyFont="1" applyBorder="1"/>
    <xf numFmtId="0" fontId="12" fillId="0" borderId="26" xfId="0" applyFont="1" applyBorder="1"/>
    <xf numFmtId="0" fontId="9" fillId="2" borderId="55" xfId="0" applyFont="1" applyFill="1" applyBorder="1" applyAlignment="1">
      <alignment horizontal="left"/>
    </xf>
    <xf numFmtId="0" fontId="9" fillId="0" borderId="55" xfId="0" applyFont="1" applyBorder="1" applyAlignment="1">
      <alignment horizontal="left"/>
    </xf>
    <xf numFmtId="0" fontId="0" fillId="2" borderId="55" xfId="0" applyFill="1" applyBorder="1" applyAlignment="1">
      <alignment horizontal="left"/>
    </xf>
    <xf numFmtId="0" fontId="0" fillId="2" borderId="56" xfId="0" applyFill="1" applyBorder="1" applyAlignment="1">
      <alignment horizontal="left"/>
    </xf>
    <xf numFmtId="0" fontId="0" fillId="0" borderId="55" xfId="0" applyBorder="1" applyAlignment="1">
      <alignment horizontal="left"/>
    </xf>
    <xf numFmtId="0" fontId="9" fillId="2" borderId="56" xfId="0" applyFont="1" applyFill="1" applyBorder="1" applyAlignment="1">
      <alignment horizontal="left"/>
    </xf>
    <xf numFmtId="0" fontId="12" fillId="0" borderId="55" xfId="0" applyFont="1" applyBorder="1" applyAlignment="1">
      <alignment horizontal="left"/>
    </xf>
    <xf numFmtId="0" fontId="0" fillId="2" borderId="57" xfId="0" applyFill="1" applyBorder="1" applyAlignment="1">
      <alignment horizontal="left"/>
    </xf>
    <xf numFmtId="0" fontId="0" fillId="2" borderId="55" xfId="0" applyFill="1" applyBorder="1"/>
    <xf numFmtId="3" fontId="0" fillId="2" borderId="55" xfId="0" applyNumberFormat="1" applyFill="1" applyBorder="1"/>
    <xf numFmtId="3" fontId="0" fillId="0" borderId="52" xfId="0" applyNumberFormat="1" applyBorder="1" applyAlignment="1">
      <alignment horizontal="center"/>
    </xf>
    <xf numFmtId="0" fontId="6" fillId="2" borderId="0" xfId="713" applyFont="1" applyFill="1" applyBorder="1"/>
    <xf numFmtId="0" fontId="0" fillId="2" borderId="0" xfId="0" applyFill="1" applyAlignment="1">
      <alignment horizontal="left" wrapText="1"/>
    </xf>
    <xf numFmtId="0" fontId="11" fillId="2" borderId="17" xfId="0" applyFont="1" applyFill="1" applyBorder="1"/>
    <xf numFmtId="0" fontId="11" fillId="2" borderId="58" xfId="0" applyFont="1" applyFill="1" applyBorder="1"/>
    <xf numFmtId="0" fontId="0" fillId="2" borderId="38" xfId="0" applyFill="1" applyBorder="1"/>
    <xf numFmtId="0" fontId="0" fillId="2" borderId="59" xfId="0" applyFill="1" applyBorder="1" applyAlignment="1">
      <alignment horizontal="center"/>
    </xf>
    <xf numFmtId="0" fontId="0" fillId="2" borderId="53" xfId="0" applyFill="1" applyBorder="1" applyAlignment="1">
      <alignment horizontal="center"/>
    </xf>
    <xf numFmtId="0" fontId="0" fillId="0" borderId="53" xfId="0" applyBorder="1" applyAlignment="1">
      <alignment horizontal="center"/>
    </xf>
    <xf numFmtId="0" fontId="0" fillId="2" borderId="60" xfId="0" applyFill="1" applyBorder="1" applyAlignment="1">
      <alignment horizontal="center"/>
    </xf>
    <xf numFmtId="0" fontId="0" fillId="2" borderId="19" xfId="0" applyFill="1" applyBorder="1" applyAlignment="1">
      <alignment horizontal="center"/>
    </xf>
    <xf numFmtId="0" fontId="0" fillId="2" borderId="53" xfId="0" applyFill="1" applyBorder="1" applyAlignment="1">
      <alignment horizontal="left"/>
    </xf>
    <xf numFmtId="2" fontId="0" fillId="2" borderId="0" xfId="0" applyNumberFormat="1" applyFill="1" applyAlignment="1">
      <alignment horizontal="left"/>
    </xf>
    <xf numFmtId="0" fontId="6" fillId="2" borderId="1" xfId="0" applyFont="1" applyFill="1" applyBorder="1" applyAlignment="1">
      <alignment vertical="top"/>
    </xf>
    <xf numFmtId="0" fontId="27" fillId="2" borderId="4" xfId="0" applyFont="1" applyFill="1" applyBorder="1" applyAlignment="1">
      <alignment vertical="top" wrapText="1"/>
    </xf>
    <xf numFmtId="0" fontId="27" fillId="2" borderId="4" xfId="0" applyFont="1" applyFill="1" applyBorder="1"/>
    <xf numFmtId="0" fontId="27" fillId="2" borderId="6" xfId="0" applyFont="1" applyFill="1" applyBorder="1" applyAlignment="1">
      <alignment vertical="top"/>
    </xf>
    <xf numFmtId="0" fontId="27" fillId="2" borderId="5" xfId="0" applyFont="1" applyFill="1" applyBorder="1"/>
    <xf numFmtId="0" fontId="27" fillId="2" borderId="1" xfId="0" applyFont="1" applyFill="1" applyBorder="1"/>
    <xf numFmtId="0" fontId="27" fillId="2" borderId="3" xfId="0" applyFont="1" applyFill="1" applyBorder="1"/>
    <xf numFmtId="0" fontId="27" fillId="0" borderId="4" xfId="0" applyFont="1" applyBorder="1"/>
    <xf numFmtId="0" fontId="38" fillId="2" borderId="4" xfId="0" applyFont="1" applyFill="1" applyBorder="1"/>
    <xf numFmtId="0" fontId="26" fillId="2" borderId="6" xfId="0" applyFont="1" applyFill="1" applyBorder="1"/>
    <xf numFmtId="0" fontId="26" fillId="2" borderId="8" xfId="0" applyFont="1" applyFill="1" applyBorder="1"/>
    <xf numFmtId="0" fontId="16" fillId="2" borderId="0" xfId="0" applyFont="1" applyFill="1"/>
    <xf numFmtId="3" fontId="23" fillId="0" borderId="0" xfId="0" applyNumberFormat="1" applyFont="1" applyAlignment="1">
      <alignment vertical="top"/>
    </xf>
    <xf numFmtId="0" fontId="37" fillId="2" borderId="7" xfId="0" applyFont="1" applyFill="1" applyBorder="1"/>
    <xf numFmtId="3" fontId="10" fillId="0" borderId="14" xfId="0" applyNumberFormat="1" applyFont="1" applyBorder="1" applyAlignment="1">
      <alignment vertical="top"/>
    </xf>
    <xf numFmtId="0" fontId="23" fillId="0" borderId="14" xfId="0" applyFont="1" applyBorder="1" applyAlignment="1">
      <alignment horizontal="right"/>
    </xf>
    <xf numFmtId="1" fontId="10" fillId="2" borderId="19" xfId="0" applyNumberFormat="1" applyFont="1" applyFill="1" applyBorder="1"/>
    <xf numFmtId="0" fontId="0" fillId="2" borderId="36" xfId="0" applyFill="1" applyBorder="1"/>
    <xf numFmtId="0" fontId="6" fillId="0" borderId="29" xfId="0" applyFont="1" applyBorder="1" applyAlignment="1">
      <alignment vertical="top" wrapText="1"/>
    </xf>
    <xf numFmtId="0" fontId="6" fillId="2" borderId="30" xfId="0" applyFont="1" applyFill="1" applyBorder="1" applyAlignment="1">
      <alignment vertical="top" wrapText="1"/>
    </xf>
    <xf numFmtId="3" fontId="23" fillId="0" borderId="30" xfId="0" applyNumberFormat="1" applyFont="1" applyBorder="1" applyAlignment="1">
      <alignment vertical="top"/>
    </xf>
    <xf numFmtId="0" fontId="36" fillId="0" borderId="30" xfId="0" applyFont="1" applyBorder="1" applyAlignment="1">
      <alignment horizontal="right"/>
    </xf>
    <xf numFmtId="1" fontId="10" fillId="2" borderId="31" xfId="0" applyNumberFormat="1" applyFont="1" applyFill="1" applyBorder="1"/>
    <xf numFmtId="0" fontId="25" fillId="3" borderId="13" xfId="0" applyFont="1" applyFill="1" applyBorder="1"/>
    <xf numFmtId="0" fontId="25" fillId="8" borderId="15" xfId="0" applyFont="1" applyFill="1" applyBorder="1"/>
    <xf numFmtId="0" fontId="11" fillId="0" borderId="13" xfId="0" applyFont="1" applyBorder="1"/>
    <xf numFmtId="0" fontId="25" fillId="8" borderId="17" xfId="0" applyFont="1" applyFill="1" applyBorder="1"/>
    <xf numFmtId="0" fontId="12" fillId="8" borderId="2" xfId="0" applyFont="1" applyFill="1" applyBorder="1"/>
    <xf numFmtId="0" fontId="6" fillId="2" borderId="44" xfId="0" applyFont="1" applyFill="1" applyBorder="1" applyAlignment="1">
      <alignment vertical="top"/>
    </xf>
    <xf numFmtId="0" fontId="0" fillId="4" borderId="25" xfId="0" applyFill="1" applyBorder="1" applyAlignment="1">
      <alignment vertical="center"/>
    </xf>
    <xf numFmtId="0" fontId="0" fillId="0" borderId="25" xfId="0" applyBorder="1" applyAlignment="1">
      <alignment vertical="center" wrapText="1"/>
    </xf>
    <xf numFmtId="0" fontId="0" fillId="0" borderId="5" xfId="0" applyBorder="1" applyAlignment="1">
      <alignment vertical="center" wrapText="1"/>
    </xf>
    <xf numFmtId="0" fontId="0" fillId="11" borderId="25" xfId="0" applyFill="1" applyBorder="1" applyAlignment="1">
      <alignment vertical="center"/>
    </xf>
    <xf numFmtId="0" fontId="0" fillId="9" borderId="25" xfId="0" applyFill="1" applyBorder="1" applyAlignment="1">
      <alignment vertical="center"/>
    </xf>
    <xf numFmtId="0" fontId="0" fillId="13" borderId="25" xfId="0" applyFill="1" applyBorder="1" applyAlignment="1">
      <alignment vertical="center"/>
    </xf>
    <xf numFmtId="0" fontId="0" fillId="6" borderId="25" xfId="0" applyFill="1" applyBorder="1" applyAlignment="1">
      <alignment vertical="center"/>
    </xf>
    <xf numFmtId="0" fontId="10" fillId="13" borderId="25" xfId="0" applyFont="1" applyFill="1" applyBorder="1" applyAlignment="1">
      <alignment vertical="center"/>
    </xf>
    <xf numFmtId="0" fontId="0" fillId="5" borderId="25" xfId="0" applyFill="1" applyBorder="1" applyAlignment="1">
      <alignment vertical="center"/>
    </xf>
    <xf numFmtId="0" fontId="0" fillId="0" borderId="25" xfId="0" quotePrefix="1" applyBorder="1" applyAlignment="1">
      <alignment vertical="center" wrapText="1"/>
    </xf>
    <xf numFmtId="0" fontId="10" fillId="7" borderId="25" xfId="0" applyFont="1" applyFill="1" applyBorder="1" applyAlignment="1">
      <alignment vertical="center"/>
    </xf>
    <xf numFmtId="0" fontId="0" fillId="2" borderId="0" xfId="0" applyFill="1" applyAlignment="1">
      <alignment vertical="center"/>
    </xf>
    <xf numFmtId="0" fontId="0" fillId="2" borderId="4" xfId="0" applyFill="1" applyBorder="1" applyAlignment="1">
      <alignment horizontal="left"/>
    </xf>
    <xf numFmtId="165" fontId="2" fillId="0" borderId="0" xfId="1" applyNumberFormat="1" applyFont="1" applyFill="1" applyBorder="1"/>
    <xf numFmtId="3" fontId="9" fillId="0" borderId="2" xfId="0" applyNumberFormat="1" applyFont="1" applyBorder="1"/>
    <xf numFmtId="3" fontId="9" fillId="0" borderId="0" xfId="0" applyNumberFormat="1" applyFont="1"/>
    <xf numFmtId="3" fontId="9" fillId="0" borderId="7" xfId="0" applyNumberFormat="1" applyFont="1" applyBorder="1"/>
    <xf numFmtId="3" fontId="9" fillId="0" borderId="6" xfId="0" applyNumberFormat="1" applyFont="1" applyBorder="1"/>
    <xf numFmtId="4" fontId="6" fillId="0" borderId="4" xfId="0" applyNumberFormat="1" applyFont="1" applyBorder="1"/>
    <xf numFmtId="0" fontId="6" fillId="2" borderId="5" xfId="0" applyFont="1" applyFill="1" applyBorder="1" applyAlignment="1">
      <alignment wrapText="1"/>
    </xf>
    <xf numFmtId="9" fontId="6" fillId="0" borderId="6" xfId="1" applyFont="1" applyFill="1" applyBorder="1"/>
    <xf numFmtId="9" fontId="6" fillId="0" borderId="7" xfId="1" applyFont="1" applyFill="1" applyBorder="1"/>
    <xf numFmtId="9" fontId="6" fillId="0" borderId="16" xfId="1" applyFont="1" applyFill="1" applyBorder="1"/>
    <xf numFmtId="4" fontId="6" fillId="2" borderId="61" xfId="0" applyNumberFormat="1" applyFont="1" applyFill="1" applyBorder="1"/>
    <xf numFmtId="165" fontId="23" fillId="2" borderId="0" xfId="818" applyNumberFormat="1" applyFont="1" applyFill="1"/>
    <xf numFmtId="3" fontId="23" fillId="2" borderId="0" xfId="818" applyNumberFormat="1" applyFont="1" applyFill="1"/>
    <xf numFmtId="3" fontId="16" fillId="2" borderId="0" xfId="1524" applyNumberFormat="1" applyFont="1" applyFill="1" applyBorder="1"/>
    <xf numFmtId="0" fontId="12" fillId="3" borderId="18" xfId="0" applyFont="1" applyFill="1" applyBorder="1"/>
    <xf numFmtId="0" fontId="12" fillId="3" borderId="19" xfId="0" applyFont="1" applyFill="1" applyBorder="1"/>
    <xf numFmtId="0" fontId="12" fillId="2" borderId="7" xfId="0" applyFont="1" applyFill="1" applyBorder="1"/>
    <xf numFmtId="0" fontId="23" fillId="2" borderId="7" xfId="0" applyFont="1" applyFill="1" applyBorder="1"/>
    <xf numFmtId="0" fontId="16" fillId="2" borderId="7" xfId="0" applyFont="1" applyFill="1" applyBorder="1"/>
    <xf numFmtId="0" fontId="16" fillId="2" borderId="16" xfId="0" applyFont="1" applyFill="1" applyBorder="1"/>
    <xf numFmtId="165" fontId="23" fillId="2" borderId="2" xfId="818" applyNumberFormat="1" applyFont="1" applyFill="1" applyBorder="1"/>
    <xf numFmtId="3" fontId="23" fillId="2" borderId="2" xfId="818" applyNumberFormat="1" applyFont="1" applyFill="1" applyBorder="1"/>
    <xf numFmtId="3" fontId="16" fillId="2" borderId="2" xfId="1524" applyNumberFormat="1" applyFont="1" applyFill="1" applyBorder="1"/>
    <xf numFmtId="165" fontId="16" fillId="2" borderId="33" xfId="1524" applyNumberFormat="1" applyFont="1" applyFill="1" applyBorder="1"/>
    <xf numFmtId="0" fontId="12" fillId="3" borderId="7" xfId="0" applyFont="1" applyFill="1" applyBorder="1"/>
    <xf numFmtId="0" fontId="23" fillId="3" borderId="7" xfId="0" applyFont="1" applyFill="1" applyBorder="1"/>
    <xf numFmtId="0" fontId="16" fillId="3" borderId="7" xfId="0" applyFont="1" applyFill="1" applyBorder="1"/>
    <xf numFmtId="0" fontId="16" fillId="3" borderId="16" xfId="0" applyFont="1" applyFill="1" applyBorder="1"/>
    <xf numFmtId="0" fontId="5" fillId="3" borderId="13" xfId="0" applyFont="1" applyFill="1" applyBorder="1"/>
    <xf numFmtId="0" fontId="12" fillId="3" borderId="13" xfId="0" applyFont="1" applyFill="1" applyBorder="1"/>
    <xf numFmtId="0" fontId="12" fillId="3" borderId="0" xfId="0" applyFont="1" applyFill="1"/>
    <xf numFmtId="0" fontId="23" fillId="3" borderId="0" xfId="0" applyFont="1" applyFill="1"/>
    <xf numFmtId="0" fontId="16" fillId="3" borderId="0" xfId="0" applyFont="1" applyFill="1"/>
    <xf numFmtId="0" fontId="16" fillId="3" borderId="14" xfId="0" applyFont="1" applyFill="1" applyBorder="1"/>
    <xf numFmtId="2" fontId="9" fillId="0" borderId="0" xfId="0" applyNumberFormat="1" applyFont="1" applyAlignment="1">
      <alignment horizontal="right" wrapText="1"/>
    </xf>
    <xf numFmtId="165" fontId="16" fillId="0" borderId="33" xfId="1524" applyNumberFormat="1" applyFont="1" applyBorder="1"/>
    <xf numFmtId="0" fontId="6" fillId="2" borderId="2" xfId="0" applyFont="1" applyFill="1" applyBorder="1" applyAlignment="1">
      <alignment vertical="top" wrapText="1"/>
    </xf>
    <xf numFmtId="3" fontId="6" fillId="2" borderId="2" xfId="0" applyNumberFormat="1" applyFont="1" applyFill="1" applyBorder="1" applyAlignment="1">
      <alignment vertical="top" wrapText="1"/>
    </xf>
    <xf numFmtId="3" fontId="6" fillId="2" borderId="33" xfId="0" applyNumberFormat="1" applyFont="1" applyFill="1" applyBorder="1" applyAlignment="1">
      <alignment vertical="top" wrapText="1"/>
    </xf>
    <xf numFmtId="3" fontId="0" fillId="0" borderId="38" xfId="0" applyNumberFormat="1" applyBorder="1" applyAlignment="1">
      <alignment vertical="top" wrapText="1"/>
    </xf>
    <xf numFmtId="3" fontId="0" fillId="0" borderId="37" xfId="0" applyNumberFormat="1" applyBorder="1" applyAlignment="1">
      <alignment vertical="top" wrapText="1"/>
    </xf>
    <xf numFmtId="3" fontId="0" fillId="0" borderId="62" xfId="0" applyNumberFormat="1" applyBorder="1" applyAlignment="1">
      <alignment vertical="top" wrapText="1"/>
    </xf>
    <xf numFmtId="0" fontId="17" fillId="8" borderId="12" xfId="0" applyFont="1" applyFill="1" applyBorder="1"/>
    <xf numFmtId="2" fontId="12" fillId="8" borderId="0" xfId="0" applyNumberFormat="1" applyFont="1" applyFill="1"/>
    <xf numFmtId="0" fontId="12" fillId="8" borderId="19" xfId="0" applyFont="1" applyFill="1" applyBorder="1"/>
    <xf numFmtId="0" fontId="12" fillId="0" borderId="13" xfId="0" applyFont="1" applyBorder="1"/>
    <xf numFmtId="0" fontId="25" fillId="8" borderId="13" xfId="0" applyFont="1" applyFill="1" applyBorder="1" applyAlignment="1">
      <alignment vertical="top"/>
    </xf>
    <xf numFmtId="0" fontId="16" fillId="2" borderId="4" xfId="0" applyFont="1" applyFill="1" applyBorder="1"/>
    <xf numFmtId="0" fontId="10" fillId="2" borderId="39" xfId="0" quotePrefix="1" applyFont="1" applyFill="1" applyBorder="1"/>
    <xf numFmtId="0" fontId="10" fillId="2" borderId="39" xfId="0" applyFont="1" applyFill="1" applyBorder="1"/>
    <xf numFmtId="0" fontId="10" fillId="2" borderId="7" xfId="0" applyFont="1" applyFill="1" applyBorder="1" applyAlignment="1">
      <alignment horizontal="left"/>
    </xf>
    <xf numFmtId="165" fontId="2" fillId="0" borderId="14" xfId="1" applyNumberFormat="1" applyFont="1" applyFill="1" applyBorder="1"/>
    <xf numFmtId="168" fontId="10" fillId="0" borderId="0" xfId="0" applyNumberFormat="1" applyFont="1" applyAlignment="1">
      <alignment vertical="top" wrapText="1"/>
    </xf>
    <xf numFmtId="2" fontId="10" fillId="0" borderId="0" xfId="0" applyNumberFormat="1" applyFont="1"/>
    <xf numFmtId="2" fontId="10" fillId="2" borderId="7" xfId="0" applyNumberFormat="1" applyFont="1" applyFill="1" applyBorder="1"/>
    <xf numFmtId="0" fontId="6" fillId="2" borderId="63" xfId="0" applyFont="1" applyFill="1" applyBorder="1"/>
    <xf numFmtId="0" fontId="0" fillId="2" borderId="39" xfId="0" applyFill="1" applyBorder="1"/>
    <xf numFmtId="170" fontId="0" fillId="0" borderId="0" xfId="0" applyNumberFormat="1"/>
    <xf numFmtId="170" fontId="0" fillId="2" borderId="7" xfId="0" applyNumberFormat="1" applyFill="1" applyBorder="1"/>
    <xf numFmtId="170" fontId="0" fillId="2" borderId="0" xfId="0" applyNumberFormat="1" applyFill="1"/>
    <xf numFmtId="170" fontId="0" fillId="2" borderId="2" xfId="0" applyNumberFormat="1" applyFill="1" applyBorder="1"/>
    <xf numFmtId="170" fontId="0" fillId="0" borderId="7" xfId="0" applyNumberFormat="1" applyBorder="1"/>
    <xf numFmtId="170" fontId="0" fillId="2" borderId="18" xfId="0" applyNumberFormat="1" applyFill="1" applyBorder="1"/>
    <xf numFmtId="0" fontId="0" fillId="2" borderId="27" xfId="0" applyFill="1" applyBorder="1"/>
    <xf numFmtId="0" fontId="0" fillId="2" borderId="6" xfId="0" applyFill="1" applyBorder="1" applyAlignment="1">
      <alignment horizontal="left"/>
    </xf>
    <xf numFmtId="0" fontId="0" fillId="2" borderId="7" xfId="0" applyFill="1" applyBorder="1" applyAlignment="1">
      <alignment horizontal="left"/>
    </xf>
    <xf numFmtId="0" fontId="6" fillId="2" borderId="13" xfId="0" applyFont="1" applyFill="1" applyBorder="1" applyAlignment="1">
      <alignment wrapText="1"/>
    </xf>
    <xf numFmtId="0" fontId="6" fillId="2" borderId="0" xfId="0" applyFont="1" applyFill="1" applyAlignment="1">
      <alignment wrapText="1"/>
    </xf>
    <xf numFmtId="0" fontId="10" fillId="2" borderId="44" xfId="0" applyFont="1" applyFill="1" applyBorder="1"/>
    <xf numFmtId="0" fontId="10" fillId="2" borderId="3" xfId="0" applyFont="1" applyFill="1" applyBorder="1" applyAlignment="1">
      <alignment horizontal="left"/>
    </xf>
    <xf numFmtId="2" fontId="0" fillId="2" borderId="16" xfId="0" applyNumberFormat="1" applyFill="1" applyBorder="1"/>
    <xf numFmtId="0" fontId="0" fillId="2" borderId="32" xfId="0" applyFill="1" applyBorder="1"/>
    <xf numFmtId="2" fontId="0" fillId="2" borderId="12" xfId="0" applyNumberFormat="1" applyFill="1" applyBorder="1"/>
    <xf numFmtId="0" fontId="6" fillId="2" borderId="4" xfId="0" applyFont="1" applyFill="1" applyBorder="1" applyAlignment="1">
      <alignment vertical="center" wrapText="1"/>
    </xf>
    <xf numFmtId="0" fontId="6" fillId="2" borderId="0" xfId="0" applyFont="1" applyFill="1" applyAlignment="1">
      <alignment vertical="center" wrapText="1"/>
    </xf>
    <xf numFmtId="2" fontId="6" fillId="2" borderId="14" xfId="0" applyNumberFormat="1" applyFont="1" applyFill="1" applyBorder="1" applyAlignment="1">
      <alignment vertical="center" wrapText="1"/>
    </xf>
    <xf numFmtId="0" fontId="16" fillId="2" borderId="64" xfId="0" quotePrefix="1" applyFont="1" applyFill="1" applyBorder="1"/>
    <xf numFmtId="0" fontId="10" fillId="8" borderId="6" xfId="0" applyFont="1" applyFill="1" applyBorder="1" applyAlignment="1">
      <alignment horizontal="left"/>
    </xf>
    <xf numFmtId="170" fontId="0" fillId="0" borderId="5" xfId="0" applyNumberFormat="1" applyBorder="1"/>
    <xf numFmtId="170" fontId="0" fillId="2" borderId="8" xfId="0" applyNumberFormat="1" applyFill="1" applyBorder="1"/>
    <xf numFmtId="170" fontId="0" fillId="2" borderId="5" xfId="0" applyNumberFormat="1" applyFill="1" applyBorder="1"/>
    <xf numFmtId="170" fontId="0" fillId="2" borderId="3" xfId="0" applyNumberFormat="1" applyFill="1" applyBorder="1"/>
    <xf numFmtId="0" fontId="0" fillId="0" borderId="6" xfId="0" applyBorder="1"/>
    <xf numFmtId="170" fontId="0" fillId="0" borderId="8" xfId="0" applyNumberFormat="1" applyBorder="1"/>
    <xf numFmtId="170" fontId="0" fillId="2" borderId="65" xfId="0" applyNumberFormat="1" applyFill="1" applyBorder="1"/>
    <xf numFmtId="0" fontId="0" fillId="2" borderId="8" xfId="0" applyFill="1" applyBorder="1" applyAlignment="1">
      <alignment horizontal="left"/>
    </xf>
    <xf numFmtId="169" fontId="12" fillId="0" borderId="4" xfId="0" applyNumberFormat="1" applyFont="1" applyBorder="1" applyAlignment="1">
      <alignment horizontal="left" vertical="center"/>
    </xf>
    <xf numFmtId="0" fontId="6" fillId="2" borderId="23" xfId="0" applyFont="1" applyFill="1" applyBorder="1" applyAlignment="1">
      <alignment wrapText="1"/>
    </xf>
    <xf numFmtId="0" fontId="0" fillId="10" borderId="23" xfId="0" applyFill="1" applyBorder="1" applyAlignment="1">
      <alignment horizontal="center"/>
    </xf>
    <xf numFmtId="164" fontId="10" fillId="2" borderId="0" xfId="1" applyNumberFormat="1" applyFont="1" applyFill="1" applyBorder="1" applyAlignment="1">
      <alignment horizontal="right"/>
    </xf>
    <xf numFmtId="0" fontId="0" fillId="0" borderId="23" xfId="0" applyBorder="1" applyAlignment="1">
      <alignment horizontal="left" indent="2"/>
    </xf>
    <xf numFmtId="9" fontId="0" fillId="10" borderId="23" xfId="1" applyFont="1" applyFill="1" applyBorder="1" applyAlignment="1">
      <alignment horizontal="center"/>
    </xf>
    <xf numFmtId="0" fontId="0" fillId="2" borderId="24" xfId="0" applyFill="1" applyBorder="1" applyAlignment="1">
      <alignment horizontal="left"/>
    </xf>
    <xf numFmtId="10" fontId="0" fillId="2" borderId="0" xfId="1" applyNumberFormat="1" applyFont="1" applyFill="1" applyBorder="1" applyAlignment="1">
      <alignment horizontal="right"/>
    </xf>
    <xf numFmtId="10" fontId="10" fillId="15" borderId="23" xfId="1" applyNumberFormat="1" applyFont="1" applyFill="1" applyBorder="1"/>
    <xf numFmtId="9" fontId="0" fillId="15" borderId="23" xfId="1" applyFont="1" applyFill="1" applyBorder="1" applyAlignment="1">
      <alignment horizontal="center"/>
    </xf>
    <xf numFmtId="2" fontId="0" fillId="0" borderId="8" xfId="1" applyNumberFormat="1" applyFont="1" applyBorder="1"/>
    <xf numFmtId="0" fontId="6" fillId="0" borderId="14" xfId="1" applyNumberFormat="1" applyFont="1" applyFill="1" applyBorder="1"/>
    <xf numFmtId="0" fontId="10" fillId="2" borderId="7" xfId="0" quotePrefix="1" applyFont="1" applyFill="1" applyBorder="1"/>
    <xf numFmtId="9" fontId="0" fillId="0" borderId="5" xfId="1" applyFont="1" applyBorder="1"/>
    <xf numFmtId="0" fontId="12" fillId="2" borderId="2" xfId="0" applyFont="1" applyFill="1" applyBorder="1"/>
    <xf numFmtId="0" fontId="12" fillId="2" borderId="33" xfId="0" applyFont="1" applyFill="1" applyBorder="1"/>
    <xf numFmtId="3" fontId="16" fillId="0" borderId="2" xfId="1524" applyNumberFormat="1" applyFont="1" applyBorder="1"/>
    <xf numFmtId="2" fontId="23" fillId="0" borderId="0" xfId="818" applyNumberFormat="1" applyFont="1"/>
    <xf numFmtId="2" fontId="23" fillId="0" borderId="7" xfId="818" applyNumberFormat="1" applyFont="1" applyBorder="1"/>
    <xf numFmtId="2" fontId="23" fillId="8" borderId="7" xfId="0" applyNumberFormat="1" applyFont="1" applyFill="1" applyBorder="1"/>
    <xf numFmtId="2" fontId="23" fillId="2" borderId="0" xfId="818" applyNumberFormat="1" applyFont="1" applyFill="1"/>
    <xf numFmtId="2" fontId="23" fillId="3" borderId="0" xfId="0" applyNumberFormat="1" applyFont="1" applyFill="1"/>
    <xf numFmtId="2" fontId="23" fillId="8" borderId="38" xfId="0" applyNumberFormat="1" applyFont="1" applyFill="1" applyBorder="1"/>
    <xf numFmtId="2" fontId="23" fillId="2" borderId="2" xfId="818" applyNumberFormat="1" applyFont="1" applyFill="1" applyBorder="1"/>
    <xf numFmtId="2" fontId="23" fillId="3" borderId="7" xfId="0" applyNumberFormat="1" applyFont="1" applyFill="1" applyBorder="1"/>
    <xf numFmtId="2" fontId="23" fillId="2" borderId="7" xfId="0" applyNumberFormat="1" applyFont="1" applyFill="1" applyBorder="1"/>
    <xf numFmtId="2" fontId="12" fillId="3" borderId="18" xfId="0" applyNumberFormat="1" applyFont="1" applyFill="1" applyBorder="1"/>
    <xf numFmtId="0" fontId="11" fillId="2" borderId="66" xfId="0" applyFont="1" applyFill="1" applyBorder="1"/>
    <xf numFmtId="0" fontId="0" fillId="2" borderId="69" xfId="0" applyFill="1" applyBorder="1" applyAlignment="1">
      <alignment wrapText="1"/>
    </xf>
    <xf numFmtId="0" fontId="39" fillId="0" borderId="4" xfId="0" applyFont="1" applyBorder="1"/>
    <xf numFmtId="0" fontId="5" fillId="2" borderId="11" xfId="0" applyFont="1" applyFill="1" applyBorder="1"/>
    <xf numFmtId="0" fontId="5" fillId="2" borderId="7" xfId="0" applyFont="1" applyFill="1" applyBorder="1" applyAlignment="1">
      <alignment horizontal="left"/>
    </xf>
    <xf numFmtId="170" fontId="5" fillId="0" borderId="0" xfId="0" applyNumberFormat="1" applyFont="1"/>
    <xf numFmtId="0" fontId="5" fillId="2" borderId="0" xfId="0" applyFont="1" applyFill="1"/>
    <xf numFmtId="0" fontId="5" fillId="2" borderId="0" xfId="0" applyFont="1" applyFill="1" applyAlignment="1">
      <alignment horizontal="left"/>
    </xf>
    <xf numFmtId="170" fontId="5" fillId="2" borderId="7" xfId="0" applyNumberFormat="1" applyFont="1" applyFill="1" applyBorder="1"/>
    <xf numFmtId="170" fontId="5" fillId="2" borderId="0" xfId="0" applyNumberFormat="1" applyFont="1" applyFill="1"/>
    <xf numFmtId="170" fontId="5" fillId="2" borderId="67" xfId="0" applyNumberFormat="1" applyFont="1" applyFill="1" applyBorder="1"/>
    <xf numFmtId="170" fontId="5" fillId="0" borderId="7" xfId="0" applyNumberFormat="1" applyFont="1" applyBorder="1"/>
    <xf numFmtId="170" fontId="5" fillId="2" borderId="18" xfId="0" applyNumberFormat="1" applyFont="1" applyFill="1" applyBorder="1"/>
    <xf numFmtId="0" fontId="5" fillId="2" borderId="70" xfId="0" applyFont="1" applyFill="1" applyBorder="1"/>
    <xf numFmtId="0" fontId="5" fillId="2" borderId="5" xfId="0" applyFont="1" applyFill="1" applyBorder="1"/>
    <xf numFmtId="0" fontId="5" fillId="2" borderId="71" xfId="0" applyFont="1" applyFill="1" applyBorder="1"/>
    <xf numFmtId="0" fontId="5" fillId="2" borderId="72" xfId="0" applyFont="1" applyFill="1" applyBorder="1"/>
    <xf numFmtId="0" fontId="5" fillId="2" borderId="4" xfId="0" applyFont="1" applyFill="1" applyBorder="1"/>
    <xf numFmtId="0" fontId="5" fillId="2" borderId="0" xfId="0" applyFont="1" applyFill="1" applyAlignment="1">
      <alignment wrapText="1"/>
    </xf>
    <xf numFmtId="2" fontId="5" fillId="2" borderId="4" xfId="0" applyNumberFormat="1" applyFont="1" applyFill="1" applyBorder="1"/>
    <xf numFmtId="4" fontId="5" fillId="2" borderId="0" xfId="0" applyNumberFormat="1" applyFont="1" applyFill="1"/>
    <xf numFmtId="0" fontId="5" fillId="2" borderId="6" xfId="0" applyFont="1" applyFill="1" applyBorder="1"/>
    <xf numFmtId="0" fontId="5" fillId="2" borderId="7" xfId="0" applyFont="1" applyFill="1" applyBorder="1"/>
    <xf numFmtId="0" fontId="5" fillId="2" borderId="8" xfId="0" applyFont="1" applyFill="1" applyBorder="1"/>
    <xf numFmtId="0" fontId="12" fillId="8" borderId="13" xfId="0" applyFont="1" applyFill="1" applyBorder="1"/>
    <xf numFmtId="0" fontId="17" fillId="8" borderId="73" xfId="0" applyFont="1" applyFill="1" applyBorder="1"/>
    <xf numFmtId="0" fontId="12" fillId="8" borderId="74" xfId="0" applyFont="1" applyFill="1" applyBorder="1"/>
    <xf numFmtId="0" fontId="12" fillId="8" borderId="74" xfId="0" applyFont="1" applyFill="1" applyBorder="1" applyAlignment="1">
      <alignment wrapText="1"/>
    </xf>
    <xf numFmtId="0" fontId="0" fillId="2" borderId="74" xfId="0" applyFill="1" applyBorder="1"/>
    <xf numFmtId="0" fontId="12" fillId="8" borderId="75" xfId="0" applyFont="1" applyFill="1" applyBorder="1" applyAlignment="1">
      <alignment wrapText="1"/>
    </xf>
    <xf numFmtId="3" fontId="12" fillId="8" borderId="0" xfId="0" applyNumberFormat="1" applyFont="1" applyFill="1"/>
    <xf numFmtId="0" fontId="12" fillId="8" borderId="73" xfId="0" applyFont="1" applyFill="1" applyBorder="1"/>
    <xf numFmtId="0" fontId="8" fillId="3" borderId="70" xfId="0" applyFont="1" applyFill="1" applyBorder="1" applyAlignment="1">
      <alignment vertical="center"/>
    </xf>
    <xf numFmtId="0" fontId="6" fillId="2" borderId="71" xfId="0" applyFont="1" applyFill="1" applyBorder="1"/>
    <xf numFmtId="0" fontId="6" fillId="2" borderId="72" xfId="0" applyFont="1" applyFill="1" applyBorder="1"/>
    <xf numFmtId="0" fontId="12" fillId="0" borderId="0" xfId="0" applyFont="1" applyAlignment="1">
      <alignment wrapText="1"/>
    </xf>
    <xf numFmtId="0" fontId="0" fillId="0" borderId="0" xfId="0" quotePrefix="1" applyAlignment="1">
      <alignment wrapText="1"/>
    </xf>
    <xf numFmtId="169" fontId="0" fillId="0" borderId="6" xfId="0" applyNumberFormat="1" applyBorder="1" applyAlignment="1">
      <alignment horizontal="left"/>
    </xf>
    <xf numFmtId="0" fontId="0" fillId="0" borderId="74" xfId="0" applyBorder="1" applyAlignment="1">
      <alignment wrapText="1"/>
    </xf>
    <xf numFmtId="0" fontId="0" fillId="0" borderId="8" xfId="0" applyBorder="1"/>
    <xf numFmtId="0" fontId="0" fillId="0" borderId="9" xfId="1" applyNumberFormat="1" applyFont="1" applyFill="1" applyBorder="1" applyAlignment="1">
      <alignment horizontal="right"/>
    </xf>
    <xf numFmtId="0" fontId="0" fillId="0" borderId="0" xfId="1" applyNumberFormat="1" applyFont="1" applyFill="1" applyBorder="1" applyAlignment="1">
      <alignment horizontal="right"/>
    </xf>
    <xf numFmtId="0" fontId="17" fillId="0" borderId="74" xfId="0" applyFont="1" applyBorder="1"/>
    <xf numFmtId="0" fontId="0" fillId="10" borderId="69" xfId="0" applyFill="1" applyBorder="1" applyAlignment="1">
      <alignment horizontal="center"/>
    </xf>
    <xf numFmtId="0" fontId="6" fillId="2" borderId="73" xfId="0" applyFont="1" applyFill="1" applyBorder="1"/>
    <xf numFmtId="0" fontId="6" fillId="2" borderId="74" xfId="0" applyFont="1" applyFill="1" applyBorder="1"/>
    <xf numFmtId="0" fontId="6" fillId="2" borderId="74" xfId="0" applyFont="1" applyFill="1" applyBorder="1" applyAlignment="1">
      <alignment horizontal="center"/>
    </xf>
    <xf numFmtId="0" fontId="6" fillId="2" borderId="74" xfId="0" applyFont="1" applyFill="1" applyBorder="1" applyAlignment="1">
      <alignment horizontal="right"/>
    </xf>
    <xf numFmtId="0" fontId="11" fillId="2" borderId="73" xfId="0" applyFont="1" applyFill="1" applyBorder="1"/>
    <xf numFmtId="0" fontId="0" fillId="2" borderId="74" xfId="0" applyFill="1" applyBorder="1" applyAlignment="1">
      <alignment horizontal="right"/>
    </xf>
    <xf numFmtId="0" fontId="0" fillId="2" borderId="74" xfId="0" applyFill="1" applyBorder="1" applyAlignment="1">
      <alignment horizontal="left"/>
    </xf>
    <xf numFmtId="10" fontId="9" fillId="2" borderId="74" xfId="1" applyNumberFormat="1" applyFont="1" applyFill="1" applyBorder="1" applyAlignment="1">
      <alignment horizontal="right"/>
    </xf>
    <xf numFmtId="0" fontId="9" fillId="2" borderId="74" xfId="0" applyFont="1" applyFill="1" applyBorder="1" applyAlignment="1">
      <alignment horizontal="left"/>
    </xf>
    <xf numFmtId="10" fontId="0" fillId="2" borderId="74" xfId="1" applyNumberFormat="1" applyFont="1" applyFill="1" applyBorder="1" applyAlignment="1">
      <alignment horizontal="right"/>
    </xf>
    <xf numFmtId="0" fontId="0" fillId="2" borderId="76" xfId="0" applyFill="1" applyBorder="1" applyAlignment="1">
      <alignment horizontal="left"/>
    </xf>
    <xf numFmtId="0" fontId="0" fillId="2" borderId="77" xfId="0" applyFill="1" applyBorder="1" applyAlignment="1">
      <alignment horizontal="center"/>
    </xf>
    <xf numFmtId="0" fontId="0" fillId="2" borderId="68" xfId="0" applyFill="1" applyBorder="1" applyAlignment="1">
      <alignment horizontal="left"/>
    </xf>
    <xf numFmtId="0" fontId="0" fillId="2" borderId="76" xfId="0" applyFill="1" applyBorder="1" applyAlignment="1">
      <alignment wrapText="1"/>
    </xf>
    <xf numFmtId="0" fontId="0" fillId="0" borderId="24" xfId="0" applyBorder="1"/>
    <xf numFmtId="0" fontId="0" fillId="0" borderId="0" xfId="0" applyAlignment="1">
      <alignment horizontal="center"/>
    </xf>
    <xf numFmtId="0" fontId="0" fillId="0" borderId="0" xfId="0" applyAlignment="1">
      <alignment horizontal="left"/>
    </xf>
    <xf numFmtId="0" fontId="6" fillId="2" borderId="0" xfId="0" applyFont="1" applyFill="1" applyAlignment="1">
      <alignment horizontal="center"/>
    </xf>
    <xf numFmtId="0" fontId="6" fillId="2" borderId="0" xfId="0" applyFont="1" applyFill="1" applyAlignment="1">
      <alignment horizontal="right"/>
    </xf>
    <xf numFmtId="3" fontId="0" fillId="0" borderId="0" xfId="0" applyNumberFormat="1" applyAlignment="1">
      <alignment horizontal="right"/>
    </xf>
    <xf numFmtId="0" fontId="9" fillId="0" borderId="0" xfId="0" applyFont="1" applyAlignment="1">
      <alignment horizontal="left"/>
    </xf>
    <xf numFmtId="0" fontId="9" fillId="2" borderId="0" xfId="0" applyFont="1" applyFill="1" applyAlignment="1">
      <alignment horizontal="left"/>
    </xf>
    <xf numFmtId="0" fontId="0" fillId="0" borderId="0" xfId="0" applyAlignment="1">
      <alignment horizontal="left" indent="2"/>
    </xf>
    <xf numFmtId="9" fontId="0" fillId="2" borderId="2" xfId="1" applyFont="1" applyFill="1" applyBorder="1" applyAlignment="1">
      <alignment horizontal="right"/>
    </xf>
    <xf numFmtId="0" fontId="12" fillId="0" borderId="0" xfId="0" applyFont="1" applyAlignment="1">
      <alignment horizontal="left"/>
    </xf>
    <xf numFmtId="10" fontId="0" fillId="2" borderId="2" xfId="1" applyNumberFormat="1" applyFont="1" applyFill="1" applyBorder="1" applyAlignment="1">
      <alignment horizontal="right"/>
    </xf>
    <xf numFmtId="0" fontId="0" fillId="2" borderId="2" xfId="0" applyFill="1" applyBorder="1" applyAlignment="1">
      <alignment horizontal="left"/>
    </xf>
    <xf numFmtId="10" fontId="0" fillId="0" borderId="0" xfId="1" applyNumberFormat="1" applyFont="1" applyFill="1" applyBorder="1" applyAlignment="1">
      <alignment horizontal="left"/>
    </xf>
    <xf numFmtId="3" fontId="0" fillId="0" borderId="0" xfId="0" applyNumberFormat="1"/>
    <xf numFmtId="164" fontId="0" fillId="0" borderId="0" xfId="0" applyNumberFormat="1"/>
    <xf numFmtId="2" fontId="5" fillId="0" borderId="0" xfId="0" applyNumberFormat="1" applyFont="1"/>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0" borderId="23" xfId="0" applyBorder="1" applyAlignment="1">
      <alignment horizontal="left" wrapText="1"/>
    </xf>
    <xf numFmtId="0" fontId="10" fillId="2" borderId="6" xfId="0" applyFont="1" applyFill="1" applyBorder="1" applyAlignment="1">
      <alignment horizontal="left" vertical="top" wrapText="1"/>
    </xf>
    <xf numFmtId="0" fontId="10" fillId="2" borderId="7" xfId="0" applyFont="1" applyFill="1" applyBorder="1" applyAlignment="1">
      <alignment horizontal="left" vertical="top" wrapText="1"/>
    </xf>
    <xf numFmtId="0" fontId="10" fillId="2" borderId="8" xfId="0" applyFont="1" applyFill="1" applyBorder="1" applyAlignment="1">
      <alignment horizontal="left" vertical="top" wrapText="1"/>
    </xf>
    <xf numFmtId="0" fontId="10" fillId="2" borderId="2" xfId="0" applyFont="1" applyFill="1" applyBorder="1" applyAlignment="1">
      <alignment wrapText="1"/>
    </xf>
    <xf numFmtId="0" fontId="0" fillId="0" borderId="2" xfId="0" applyBorder="1" applyAlignment="1">
      <alignment wrapText="1"/>
    </xf>
    <xf numFmtId="0" fontId="0" fillId="2" borderId="70" xfId="0" applyFill="1" applyBorder="1" applyAlignment="1">
      <alignment horizontal="left" wrapText="1"/>
    </xf>
    <xf numFmtId="0" fontId="0" fillId="2" borderId="72" xfId="0" applyFill="1" applyBorder="1" applyAlignment="1">
      <alignment horizontal="left" wrapText="1"/>
    </xf>
  </cellXfs>
  <cellStyles count="2404">
    <cellStyle name="Calculation" xfId="1524" builtinId="22" customBuiltin="1"/>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6"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4" builtinId="9" hidden="1"/>
    <cellStyle name="Followed Hyperlink" xfId="735" builtinId="9" hidden="1"/>
    <cellStyle name="Followed Hyperlink" xfId="736" builtinId="9" hidden="1"/>
    <cellStyle name="Followed Hyperlink" xfId="737" builtinId="9" hidden="1"/>
    <cellStyle name="Followed Hyperlink" xfId="738" builtinId="9" hidden="1"/>
    <cellStyle name="Followed Hyperlink" xfId="739" builtinId="9" hidden="1"/>
    <cellStyle name="Followed Hyperlink" xfId="740" builtinId="9" hidden="1"/>
    <cellStyle name="Followed Hyperlink" xfId="741" builtinId="9" hidden="1"/>
    <cellStyle name="Followed Hyperlink" xfId="742" builtinId="9" hidden="1"/>
    <cellStyle name="Followed Hyperlink" xfId="743" builtinId="9" hidden="1"/>
    <cellStyle name="Followed Hyperlink" xfId="744" builtinId="9" hidden="1"/>
    <cellStyle name="Followed Hyperlink" xfId="745" builtinId="9" hidden="1"/>
    <cellStyle name="Followed Hyperlink" xfId="746" builtinId="9" hidden="1"/>
    <cellStyle name="Followed Hyperlink" xfId="747" builtinId="9" hidden="1"/>
    <cellStyle name="Followed Hyperlink" xfId="748" builtinId="9" hidden="1"/>
    <cellStyle name="Followed Hyperlink" xfId="749" builtinId="9" hidden="1"/>
    <cellStyle name="Followed Hyperlink" xfId="750" builtinId="9" hidden="1"/>
    <cellStyle name="Followed Hyperlink" xfId="751" builtinId="9" hidden="1"/>
    <cellStyle name="Followed Hyperlink" xfId="752" builtinId="9" hidden="1"/>
    <cellStyle name="Followed Hyperlink" xfId="753" builtinId="9" hidden="1"/>
    <cellStyle name="Followed Hyperlink" xfId="754" builtinId="9" hidden="1"/>
    <cellStyle name="Followed Hyperlink" xfId="755" builtinId="9" hidden="1"/>
    <cellStyle name="Followed Hyperlink" xfId="756" builtinId="9" hidden="1"/>
    <cellStyle name="Followed Hyperlink" xfId="757" builtinId="9" hidden="1"/>
    <cellStyle name="Followed Hyperlink" xfId="758" builtinId="9" hidden="1"/>
    <cellStyle name="Followed Hyperlink" xfId="759" builtinId="9" hidden="1"/>
    <cellStyle name="Followed Hyperlink" xfId="760" builtinId="9" hidden="1"/>
    <cellStyle name="Followed Hyperlink" xfId="761" builtinId="9" hidden="1"/>
    <cellStyle name="Followed Hyperlink" xfId="762" builtinId="9" hidden="1"/>
    <cellStyle name="Followed Hyperlink" xfId="763" builtinId="9" hidden="1"/>
    <cellStyle name="Followed Hyperlink" xfId="764" builtinId="9" hidden="1"/>
    <cellStyle name="Followed Hyperlink" xfId="765" builtinId="9" hidden="1"/>
    <cellStyle name="Followed Hyperlink" xfId="766" builtinId="9" hidden="1"/>
    <cellStyle name="Followed Hyperlink" xfId="767" builtinId="9" hidden="1"/>
    <cellStyle name="Followed Hyperlink" xfId="768" builtinId="9" hidden="1"/>
    <cellStyle name="Followed Hyperlink" xfId="769" builtinId="9" hidden="1"/>
    <cellStyle name="Followed Hyperlink" xfId="770" builtinId="9" hidden="1"/>
    <cellStyle name="Followed Hyperlink" xfId="771" builtinId="9" hidden="1"/>
    <cellStyle name="Followed Hyperlink" xfId="772" builtinId="9" hidden="1"/>
    <cellStyle name="Followed Hyperlink" xfId="773" builtinId="9" hidden="1"/>
    <cellStyle name="Followed Hyperlink" xfId="774" builtinId="9" hidden="1"/>
    <cellStyle name="Followed Hyperlink" xfId="775" builtinId="9" hidden="1"/>
    <cellStyle name="Followed Hyperlink" xfId="776" builtinId="9" hidden="1"/>
    <cellStyle name="Followed Hyperlink" xfId="777" builtinId="9" hidden="1"/>
    <cellStyle name="Followed Hyperlink" xfId="778" builtinId="9" hidden="1"/>
    <cellStyle name="Followed Hyperlink" xfId="779" builtinId="9" hidden="1"/>
    <cellStyle name="Followed Hyperlink" xfId="780" builtinId="9" hidden="1"/>
    <cellStyle name="Followed Hyperlink" xfId="781" builtinId="9" hidden="1"/>
    <cellStyle name="Followed Hyperlink" xfId="782" builtinId="9" hidden="1"/>
    <cellStyle name="Followed Hyperlink" xfId="783" builtinId="9" hidden="1"/>
    <cellStyle name="Followed Hyperlink" xfId="784" builtinId="9" hidden="1"/>
    <cellStyle name="Followed Hyperlink" xfId="785" builtinId="9" hidden="1"/>
    <cellStyle name="Followed Hyperlink" xfId="786" builtinId="9" hidden="1"/>
    <cellStyle name="Followed Hyperlink" xfId="787" builtinId="9" hidden="1"/>
    <cellStyle name="Followed Hyperlink" xfId="788" builtinId="9" hidden="1"/>
    <cellStyle name="Followed Hyperlink" xfId="789" builtinId="9" hidden="1"/>
    <cellStyle name="Followed Hyperlink" xfId="790" builtinId="9" hidden="1"/>
    <cellStyle name="Followed Hyperlink" xfId="791" builtinId="9" hidden="1"/>
    <cellStyle name="Followed Hyperlink" xfId="792" builtinId="9" hidden="1"/>
    <cellStyle name="Followed Hyperlink" xfId="793" builtinId="9" hidden="1"/>
    <cellStyle name="Followed Hyperlink" xfId="794" builtinId="9" hidden="1"/>
    <cellStyle name="Followed Hyperlink" xfId="795" builtinId="9" hidden="1"/>
    <cellStyle name="Followed Hyperlink" xfId="796" builtinId="9" hidden="1"/>
    <cellStyle name="Followed Hyperlink" xfId="797" builtinId="9" hidden="1"/>
    <cellStyle name="Followed Hyperlink" xfId="798" builtinId="9" hidden="1"/>
    <cellStyle name="Followed Hyperlink" xfId="799" builtinId="9" hidden="1"/>
    <cellStyle name="Followed Hyperlink" xfId="800" builtinId="9" hidden="1"/>
    <cellStyle name="Followed Hyperlink" xfId="801" builtinId="9" hidden="1"/>
    <cellStyle name="Followed Hyperlink" xfId="802" builtinId="9" hidden="1"/>
    <cellStyle name="Followed Hyperlink" xfId="803" builtinId="9" hidden="1"/>
    <cellStyle name="Followed Hyperlink" xfId="804" builtinId="9" hidden="1"/>
    <cellStyle name="Followed Hyperlink" xfId="805" builtinId="9" hidden="1"/>
    <cellStyle name="Followed Hyperlink" xfId="806" builtinId="9" hidden="1"/>
    <cellStyle name="Followed Hyperlink" xfId="807" builtinId="9" hidden="1"/>
    <cellStyle name="Followed Hyperlink" xfId="808" builtinId="9" hidden="1"/>
    <cellStyle name="Followed Hyperlink" xfId="809" builtinId="9" hidden="1"/>
    <cellStyle name="Followed Hyperlink" xfId="810" builtinId="9" hidden="1"/>
    <cellStyle name="Followed Hyperlink" xfId="811" builtinId="9" hidden="1"/>
    <cellStyle name="Followed Hyperlink" xfId="812" builtinId="9" hidden="1"/>
    <cellStyle name="Followed Hyperlink" xfId="813" builtinId="9" hidden="1"/>
    <cellStyle name="Followed Hyperlink" xfId="814" builtinId="9" hidden="1"/>
    <cellStyle name="Followed Hyperlink" xfId="815" builtinId="9" hidden="1"/>
    <cellStyle name="Followed Hyperlink" xfId="816" builtinId="9" hidden="1"/>
    <cellStyle name="Followed Hyperlink" xfId="817" builtinId="9" hidden="1"/>
    <cellStyle name="Followed Hyperlink" xfId="819" builtinId="9" hidden="1"/>
    <cellStyle name="Followed Hyperlink" xfId="820" builtinId="9" hidden="1"/>
    <cellStyle name="Followed Hyperlink" xfId="821" builtinId="9" hidden="1"/>
    <cellStyle name="Followed Hyperlink" xfId="822" builtinId="9" hidden="1"/>
    <cellStyle name="Followed Hyperlink" xfId="823" builtinId="9" hidden="1"/>
    <cellStyle name="Followed Hyperlink" xfId="824" builtinId="9" hidden="1"/>
    <cellStyle name="Followed Hyperlink" xfId="825" builtinId="9" hidden="1"/>
    <cellStyle name="Followed Hyperlink" xfId="826" builtinId="9" hidden="1"/>
    <cellStyle name="Followed Hyperlink" xfId="827" builtinId="9" hidden="1"/>
    <cellStyle name="Followed Hyperlink" xfId="828" builtinId="9" hidden="1"/>
    <cellStyle name="Followed Hyperlink" xfId="829" builtinId="9" hidden="1"/>
    <cellStyle name="Followed Hyperlink" xfId="830" builtinId="9" hidden="1"/>
    <cellStyle name="Followed Hyperlink" xfId="831" builtinId="9" hidden="1"/>
    <cellStyle name="Followed Hyperlink" xfId="832" builtinId="9" hidden="1"/>
    <cellStyle name="Followed Hyperlink" xfId="833" builtinId="9" hidden="1"/>
    <cellStyle name="Followed Hyperlink" xfId="834" builtinId="9" hidden="1"/>
    <cellStyle name="Followed Hyperlink" xfId="835" builtinId="9" hidden="1"/>
    <cellStyle name="Followed Hyperlink" xfId="836" builtinId="9" hidden="1"/>
    <cellStyle name="Followed Hyperlink" xfId="837" builtinId="9" hidden="1"/>
    <cellStyle name="Followed Hyperlink" xfId="838" builtinId="9" hidden="1"/>
    <cellStyle name="Followed Hyperlink" xfId="839" builtinId="9" hidden="1"/>
    <cellStyle name="Followed Hyperlink" xfId="840" builtinId="9" hidden="1"/>
    <cellStyle name="Followed Hyperlink" xfId="841" builtinId="9" hidden="1"/>
    <cellStyle name="Followed Hyperlink" xfId="842" builtinId="9" hidden="1"/>
    <cellStyle name="Followed Hyperlink" xfId="843" builtinId="9" hidden="1"/>
    <cellStyle name="Followed Hyperlink" xfId="844" builtinId="9" hidden="1"/>
    <cellStyle name="Followed Hyperlink" xfId="845" builtinId="9" hidden="1"/>
    <cellStyle name="Followed Hyperlink" xfId="846" builtinId="9" hidden="1"/>
    <cellStyle name="Followed Hyperlink" xfId="847" builtinId="9" hidden="1"/>
    <cellStyle name="Followed Hyperlink" xfId="848" builtinId="9" hidden="1"/>
    <cellStyle name="Followed Hyperlink" xfId="849" builtinId="9" hidden="1"/>
    <cellStyle name="Followed Hyperlink" xfId="850" builtinId="9" hidden="1"/>
    <cellStyle name="Followed Hyperlink" xfId="851" builtinId="9" hidden="1"/>
    <cellStyle name="Followed Hyperlink" xfId="852" builtinId="9" hidden="1"/>
    <cellStyle name="Followed Hyperlink" xfId="853" builtinId="9" hidden="1"/>
    <cellStyle name="Followed Hyperlink" xfId="854" builtinId="9" hidden="1"/>
    <cellStyle name="Followed Hyperlink" xfId="855" builtinId="9" hidden="1"/>
    <cellStyle name="Followed Hyperlink" xfId="856" builtinId="9" hidden="1"/>
    <cellStyle name="Followed Hyperlink" xfId="857" builtinId="9" hidden="1"/>
    <cellStyle name="Followed Hyperlink" xfId="858" builtinId="9" hidden="1"/>
    <cellStyle name="Followed Hyperlink" xfId="859" builtinId="9" hidden="1"/>
    <cellStyle name="Followed Hyperlink" xfId="860" builtinId="9" hidden="1"/>
    <cellStyle name="Followed Hyperlink" xfId="861" builtinId="9" hidden="1"/>
    <cellStyle name="Followed Hyperlink" xfId="862" builtinId="9" hidden="1"/>
    <cellStyle name="Followed Hyperlink" xfId="863" builtinId="9" hidden="1"/>
    <cellStyle name="Followed Hyperlink" xfId="864" builtinId="9" hidden="1"/>
    <cellStyle name="Followed Hyperlink" xfId="865" builtinId="9" hidden="1"/>
    <cellStyle name="Followed Hyperlink" xfId="866" builtinId="9" hidden="1"/>
    <cellStyle name="Followed Hyperlink" xfId="867" builtinId="9" hidden="1"/>
    <cellStyle name="Followed Hyperlink" xfId="868" builtinId="9" hidden="1"/>
    <cellStyle name="Followed Hyperlink" xfId="869" builtinId="9" hidden="1"/>
    <cellStyle name="Followed Hyperlink" xfId="870" builtinId="9" hidden="1"/>
    <cellStyle name="Followed Hyperlink" xfId="871" builtinId="9" hidden="1"/>
    <cellStyle name="Followed Hyperlink" xfId="872" builtinId="9" hidden="1"/>
    <cellStyle name="Followed Hyperlink" xfId="873" builtinId="9" hidden="1"/>
    <cellStyle name="Followed Hyperlink" xfId="874" builtinId="9" hidden="1"/>
    <cellStyle name="Followed Hyperlink" xfId="875" builtinId="9" hidden="1"/>
    <cellStyle name="Followed Hyperlink" xfId="876" builtinId="9" hidden="1"/>
    <cellStyle name="Followed Hyperlink" xfId="877" builtinId="9" hidden="1"/>
    <cellStyle name="Followed Hyperlink" xfId="878" builtinId="9" hidden="1"/>
    <cellStyle name="Followed Hyperlink" xfId="879" builtinId="9" hidden="1"/>
    <cellStyle name="Followed Hyperlink" xfId="880" builtinId="9" hidden="1"/>
    <cellStyle name="Followed Hyperlink" xfId="881" builtinId="9" hidden="1"/>
    <cellStyle name="Followed Hyperlink" xfId="882" builtinId="9" hidden="1"/>
    <cellStyle name="Followed Hyperlink" xfId="883" builtinId="9" hidden="1"/>
    <cellStyle name="Followed Hyperlink" xfId="884" builtinId="9" hidden="1"/>
    <cellStyle name="Followed Hyperlink" xfId="885" builtinId="9" hidden="1"/>
    <cellStyle name="Followed Hyperlink" xfId="886" builtinId="9" hidden="1"/>
    <cellStyle name="Followed Hyperlink" xfId="887" builtinId="9" hidden="1"/>
    <cellStyle name="Followed Hyperlink" xfId="888" builtinId="9" hidden="1"/>
    <cellStyle name="Followed Hyperlink" xfId="889" builtinId="9" hidden="1"/>
    <cellStyle name="Followed Hyperlink" xfId="890" builtinId="9" hidden="1"/>
    <cellStyle name="Followed Hyperlink" xfId="891" builtinId="9" hidden="1"/>
    <cellStyle name="Followed Hyperlink" xfId="893" builtinId="9" hidden="1"/>
    <cellStyle name="Followed Hyperlink" xfId="894" builtinId="9" hidden="1"/>
    <cellStyle name="Followed Hyperlink" xfId="895" builtinId="9" hidden="1"/>
    <cellStyle name="Followed Hyperlink" xfId="896" builtinId="9" hidden="1"/>
    <cellStyle name="Followed Hyperlink" xfId="897" builtinId="9" hidden="1"/>
    <cellStyle name="Followed Hyperlink" xfId="898" builtinId="9" hidden="1"/>
    <cellStyle name="Followed Hyperlink" xfId="899" builtinId="9" hidden="1"/>
    <cellStyle name="Followed Hyperlink" xfId="900" builtinId="9" hidden="1"/>
    <cellStyle name="Followed Hyperlink" xfId="901" builtinId="9" hidden="1"/>
    <cellStyle name="Followed Hyperlink" xfId="902" builtinId="9" hidden="1"/>
    <cellStyle name="Followed Hyperlink" xfId="903" builtinId="9" hidden="1"/>
    <cellStyle name="Followed Hyperlink" xfId="904" builtinId="9" hidden="1"/>
    <cellStyle name="Followed Hyperlink" xfId="905" builtinId="9" hidden="1"/>
    <cellStyle name="Followed Hyperlink" xfId="906" builtinId="9" hidden="1"/>
    <cellStyle name="Followed Hyperlink" xfId="907" builtinId="9" hidden="1"/>
    <cellStyle name="Followed Hyperlink" xfId="908" builtinId="9" hidden="1"/>
    <cellStyle name="Followed Hyperlink" xfId="909" builtinId="9" hidden="1"/>
    <cellStyle name="Followed Hyperlink" xfId="910" builtinId="9" hidden="1"/>
    <cellStyle name="Followed Hyperlink" xfId="911" builtinId="9" hidden="1"/>
    <cellStyle name="Followed Hyperlink" xfId="912" builtinId="9" hidden="1"/>
    <cellStyle name="Followed Hyperlink" xfId="913" builtinId="9" hidden="1"/>
    <cellStyle name="Followed Hyperlink" xfId="914" builtinId="9" hidden="1"/>
    <cellStyle name="Followed Hyperlink" xfId="915" builtinId="9" hidden="1"/>
    <cellStyle name="Followed Hyperlink" xfId="916" builtinId="9" hidden="1"/>
    <cellStyle name="Followed Hyperlink" xfId="917" builtinId="9" hidden="1"/>
    <cellStyle name="Followed Hyperlink" xfId="918" builtinId="9" hidden="1"/>
    <cellStyle name="Followed Hyperlink" xfId="919" builtinId="9" hidden="1"/>
    <cellStyle name="Followed Hyperlink" xfId="920" builtinId="9" hidden="1"/>
    <cellStyle name="Followed Hyperlink" xfId="921" builtinId="9" hidden="1"/>
    <cellStyle name="Followed Hyperlink" xfId="922" builtinId="9" hidden="1"/>
    <cellStyle name="Followed Hyperlink" xfId="923" builtinId="9" hidden="1"/>
    <cellStyle name="Followed Hyperlink" xfId="924" builtinId="9" hidden="1"/>
    <cellStyle name="Followed Hyperlink" xfId="925" builtinId="9" hidden="1"/>
    <cellStyle name="Followed Hyperlink" xfId="926" builtinId="9" hidden="1"/>
    <cellStyle name="Followed Hyperlink" xfId="927" builtinId="9" hidden="1"/>
    <cellStyle name="Followed Hyperlink" xfId="928" builtinId="9" hidden="1"/>
    <cellStyle name="Followed Hyperlink" xfId="929" builtinId="9" hidden="1"/>
    <cellStyle name="Followed Hyperlink" xfId="930" builtinId="9" hidden="1"/>
    <cellStyle name="Followed Hyperlink" xfId="931" builtinId="9" hidden="1"/>
    <cellStyle name="Followed Hyperlink" xfId="932" builtinId="9" hidden="1"/>
    <cellStyle name="Followed Hyperlink" xfId="933" builtinId="9" hidden="1"/>
    <cellStyle name="Followed Hyperlink" xfId="934" builtinId="9" hidden="1"/>
    <cellStyle name="Followed Hyperlink" xfId="935" builtinId="9" hidden="1"/>
    <cellStyle name="Followed Hyperlink" xfId="936" builtinId="9" hidden="1"/>
    <cellStyle name="Followed Hyperlink" xfId="937" builtinId="9" hidden="1"/>
    <cellStyle name="Followed Hyperlink" xfId="938" builtinId="9" hidden="1"/>
    <cellStyle name="Followed Hyperlink" xfId="939" builtinId="9" hidden="1"/>
    <cellStyle name="Followed Hyperlink" xfId="940" builtinId="9" hidden="1"/>
    <cellStyle name="Followed Hyperlink" xfId="941" builtinId="9" hidden="1"/>
    <cellStyle name="Followed Hyperlink" xfId="942" builtinId="9" hidden="1"/>
    <cellStyle name="Followed Hyperlink" xfId="943" builtinId="9" hidden="1"/>
    <cellStyle name="Followed Hyperlink" xfId="944" builtinId="9" hidden="1"/>
    <cellStyle name="Followed Hyperlink" xfId="945" builtinId="9" hidden="1"/>
    <cellStyle name="Followed Hyperlink" xfId="946" builtinId="9" hidden="1"/>
    <cellStyle name="Followed Hyperlink" xfId="947" builtinId="9" hidden="1"/>
    <cellStyle name="Followed Hyperlink" xfId="948" builtinId="9" hidden="1"/>
    <cellStyle name="Followed Hyperlink" xfId="949" builtinId="9" hidden="1"/>
    <cellStyle name="Followed Hyperlink" xfId="950" builtinId="9" hidden="1"/>
    <cellStyle name="Followed Hyperlink" xfId="951" builtinId="9" hidden="1"/>
    <cellStyle name="Followed Hyperlink" xfId="952" builtinId="9" hidden="1"/>
    <cellStyle name="Followed Hyperlink" xfId="953" builtinId="9" hidden="1"/>
    <cellStyle name="Followed Hyperlink" xfId="954" builtinId="9" hidden="1"/>
    <cellStyle name="Followed Hyperlink" xfId="955" builtinId="9" hidden="1"/>
    <cellStyle name="Followed Hyperlink" xfId="956" builtinId="9" hidden="1"/>
    <cellStyle name="Followed Hyperlink" xfId="957" builtinId="9" hidden="1"/>
    <cellStyle name="Followed Hyperlink" xfId="958" builtinId="9" hidden="1"/>
    <cellStyle name="Followed Hyperlink" xfId="959" builtinId="9" hidden="1"/>
    <cellStyle name="Followed Hyperlink" xfId="960" builtinId="9" hidden="1"/>
    <cellStyle name="Followed Hyperlink" xfId="961" builtinId="9" hidden="1"/>
    <cellStyle name="Followed Hyperlink" xfId="962" builtinId="9" hidden="1"/>
    <cellStyle name="Followed Hyperlink" xfId="963" builtinId="9" hidden="1"/>
    <cellStyle name="Followed Hyperlink" xfId="964" builtinId="9" hidden="1"/>
    <cellStyle name="Followed Hyperlink" xfId="965" builtinId="9" hidden="1"/>
    <cellStyle name="Followed Hyperlink" xfId="966" builtinId="9" hidden="1"/>
    <cellStyle name="Followed Hyperlink" xfId="967" builtinId="9" hidden="1"/>
    <cellStyle name="Followed Hyperlink" xfId="968" builtinId="9" hidden="1"/>
    <cellStyle name="Followed Hyperlink" xfId="969" builtinId="9" hidden="1"/>
    <cellStyle name="Followed Hyperlink" xfId="970" builtinId="9" hidden="1"/>
    <cellStyle name="Followed Hyperlink" xfId="971" builtinId="9" hidden="1"/>
    <cellStyle name="Followed Hyperlink" xfId="972" builtinId="9" hidden="1"/>
    <cellStyle name="Followed Hyperlink" xfId="973" builtinId="9" hidden="1"/>
    <cellStyle name="Followed Hyperlink" xfId="974" builtinId="9" hidden="1"/>
    <cellStyle name="Followed Hyperlink" xfId="975" builtinId="9" hidden="1"/>
    <cellStyle name="Followed Hyperlink" xfId="976" builtinId="9" hidden="1"/>
    <cellStyle name="Followed Hyperlink" xfId="977" builtinId="9" hidden="1"/>
    <cellStyle name="Followed Hyperlink" xfId="978" builtinId="9" hidden="1"/>
    <cellStyle name="Followed Hyperlink" xfId="979" builtinId="9" hidden="1"/>
    <cellStyle name="Followed Hyperlink" xfId="980" builtinId="9" hidden="1"/>
    <cellStyle name="Followed Hyperlink" xfId="981" builtinId="9" hidden="1"/>
    <cellStyle name="Followed Hyperlink" xfId="982" builtinId="9" hidden="1"/>
    <cellStyle name="Followed Hyperlink" xfId="983" builtinId="9" hidden="1"/>
    <cellStyle name="Followed Hyperlink" xfId="984" builtinId="9" hidden="1"/>
    <cellStyle name="Followed Hyperlink" xfId="985" builtinId="9" hidden="1"/>
    <cellStyle name="Followed Hyperlink" xfId="986" builtinId="9" hidden="1"/>
    <cellStyle name="Followed Hyperlink" xfId="987" builtinId="9" hidden="1"/>
    <cellStyle name="Followed Hyperlink" xfId="988" builtinId="9" hidden="1"/>
    <cellStyle name="Followed Hyperlink" xfId="989" builtinId="9" hidden="1"/>
    <cellStyle name="Followed Hyperlink" xfId="990" builtinId="9" hidden="1"/>
    <cellStyle name="Followed Hyperlink" xfId="991" builtinId="9" hidden="1"/>
    <cellStyle name="Followed Hyperlink" xfId="992" builtinId="9" hidden="1"/>
    <cellStyle name="Followed Hyperlink" xfId="993" builtinId="9" hidden="1"/>
    <cellStyle name="Followed Hyperlink" xfId="994" builtinId="9" hidden="1"/>
    <cellStyle name="Followed Hyperlink" xfId="995" builtinId="9" hidden="1"/>
    <cellStyle name="Followed Hyperlink" xfId="996" builtinId="9" hidden="1"/>
    <cellStyle name="Followed Hyperlink" xfId="997" builtinId="9" hidden="1"/>
    <cellStyle name="Followed Hyperlink" xfId="998" builtinId="9" hidden="1"/>
    <cellStyle name="Followed Hyperlink" xfId="999" builtinId="9" hidden="1"/>
    <cellStyle name="Followed Hyperlink" xfId="1000" builtinId="9" hidden="1"/>
    <cellStyle name="Followed Hyperlink" xfId="1001" builtinId="9" hidden="1"/>
    <cellStyle name="Followed Hyperlink" xfId="1002" builtinId="9" hidden="1"/>
    <cellStyle name="Followed Hyperlink" xfId="1003" builtinId="9" hidden="1"/>
    <cellStyle name="Followed Hyperlink" xfId="1004" builtinId="9" hidden="1"/>
    <cellStyle name="Followed Hyperlink" xfId="1005" builtinId="9" hidden="1"/>
    <cellStyle name="Followed Hyperlink" xfId="1006" builtinId="9" hidden="1"/>
    <cellStyle name="Followed Hyperlink" xfId="1007" builtinId="9" hidden="1"/>
    <cellStyle name="Followed Hyperlink" xfId="1008" builtinId="9" hidden="1"/>
    <cellStyle name="Followed Hyperlink" xfId="1009" builtinId="9" hidden="1"/>
    <cellStyle name="Followed Hyperlink" xfId="1010" builtinId="9" hidden="1"/>
    <cellStyle name="Followed Hyperlink" xfId="1011" builtinId="9" hidden="1"/>
    <cellStyle name="Followed Hyperlink" xfId="1012" builtinId="9" hidden="1"/>
    <cellStyle name="Followed Hyperlink" xfId="1013" builtinId="9" hidden="1"/>
    <cellStyle name="Followed Hyperlink" xfId="1014" builtinId="9" hidden="1"/>
    <cellStyle name="Followed Hyperlink" xfId="1015" builtinId="9" hidden="1"/>
    <cellStyle name="Followed Hyperlink" xfId="1016"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6" builtinId="9" hidden="1"/>
    <cellStyle name="Followed Hyperlink" xfId="1197" builtinId="9" hidden="1"/>
    <cellStyle name="Followed Hyperlink" xfId="1198"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6" builtinId="9" hidden="1"/>
    <cellStyle name="Followed Hyperlink" xfId="1217" builtinId="9" hidden="1"/>
    <cellStyle name="Followed Hyperlink" xfId="1218" builtinId="9" hidden="1"/>
    <cellStyle name="Followed Hyperlink" xfId="1219" builtinId="9" hidden="1"/>
    <cellStyle name="Followed Hyperlink" xfId="1220" builtinId="9" hidden="1"/>
    <cellStyle name="Followed Hyperlink" xfId="1221" builtinId="9" hidden="1"/>
    <cellStyle name="Followed Hyperlink" xfId="1222" builtinId="9" hidden="1"/>
    <cellStyle name="Followed Hyperlink" xfId="1223" builtinId="9" hidden="1"/>
    <cellStyle name="Followed Hyperlink" xfId="1224" builtinId="9" hidden="1"/>
    <cellStyle name="Followed Hyperlink" xfId="1225" builtinId="9" hidden="1"/>
    <cellStyle name="Followed Hyperlink" xfId="1226" builtinId="9" hidden="1"/>
    <cellStyle name="Followed Hyperlink" xfId="1227" builtinId="9" hidden="1"/>
    <cellStyle name="Followed Hyperlink" xfId="1228" builtinId="9" hidden="1"/>
    <cellStyle name="Followed Hyperlink" xfId="1229" builtinId="9" hidden="1"/>
    <cellStyle name="Followed Hyperlink" xfId="1230" builtinId="9" hidden="1"/>
    <cellStyle name="Followed Hyperlink" xfId="1231" builtinId="9" hidden="1"/>
    <cellStyle name="Followed Hyperlink" xfId="1232" builtinId="9" hidden="1"/>
    <cellStyle name="Followed Hyperlink" xfId="1233" builtinId="9" hidden="1"/>
    <cellStyle name="Followed Hyperlink" xfId="1234" builtinId="9" hidden="1"/>
    <cellStyle name="Followed Hyperlink" xfId="1235" builtinId="9" hidden="1"/>
    <cellStyle name="Followed Hyperlink" xfId="1236" builtinId="9" hidden="1"/>
    <cellStyle name="Followed Hyperlink" xfId="1237" builtinId="9" hidden="1"/>
    <cellStyle name="Followed Hyperlink" xfId="1238" builtinId="9" hidden="1"/>
    <cellStyle name="Followed Hyperlink" xfId="1239" builtinId="9" hidden="1"/>
    <cellStyle name="Followed Hyperlink" xfId="1240" builtinId="9" hidden="1"/>
    <cellStyle name="Followed Hyperlink" xfId="1241" builtinId="9" hidden="1"/>
    <cellStyle name="Followed Hyperlink" xfId="1242" builtinId="9" hidden="1"/>
    <cellStyle name="Followed Hyperlink" xfId="1243" builtinId="9" hidden="1"/>
    <cellStyle name="Followed Hyperlink" xfId="1244" builtinId="9" hidden="1"/>
    <cellStyle name="Followed Hyperlink" xfId="1245" builtinId="9" hidden="1"/>
    <cellStyle name="Followed Hyperlink" xfId="1246" builtinId="9" hidden="1"/>
    <cellStyle name="Followed Hyperlink" xfId="1247" builtinId="9" hidden="1"/>
    <cellStyle name="Followed Hyperlink" xfId="1248" builtinId="9" hidden="1"/>
    <cellStyle name="Followed Hyperlink" xfId="1249" builtinId="9" hidden="1"/>
    <cellStyle name="Followed Hyperlink" xfId="1250" builtinId="9" hidden="1"/>
    <cellStyle name="Followed Hyperlink" xfId="1251" builtinId="9" hidden="1"/>
    <cellStyle name="Followed Hyperlink" xfId="1252" builtinId="9" hidden="1"/>
    <cellStyle name="Followed Hyperlink" xfId="1253" builtinId="9" hidden="1"/>
    <cellStyle name="Followed Hyperlink" xfId="1254"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Followed Hyperlink" xfId="1497" builtinId="9" hidden="1"/>
    <cellStyle name="Followed Hyperlink" xfId="1499" builtinId="9" hidden="1"/>
    <cellStyle name="Followed Hyperlink" xfId="1501" builtinId="9" hidden="1"/>
    <cellStyle name="Followed Hyperlink" xfId="1503" builtinId="9" hidden="1"/>
    <cellStyle name="Followed Hyperlink" xfId="1505" builtinId="9" hidden="1"/>
    <cellStyle name="Followed Hyperlink" xfId="1507" builtinId="9" hidden="1"/>
    <cellStyle name="Followed Hyperlink" xfId="1509" builtinId="9" hidden="1"/>
    <cellStyle name="Followed Hyperlink" xfId="1511" builtinId="9" hidden="1"/>
    <cellStyle name="Followed Hyperlink" xfId="1513" builtinId="9" hidden="1"/>
    <cellStyle name="Followed Hyperlink" xfId="1515" builtinId="9" hidden="1"/>
    <cellStyle name="Followed Hyperlink" xfId="1517" builtinId="9" hidden="1"/>
    <cellStyle name="Followed Hyperlink" xfId="1519" builtinId="9" hidden="1"/>
    <cellStyle name="Followed Hyperlink" xfId="1521" builtinId="9" hidden="1"/>
    <cellStyle name="Followed Hyperlink" xfId="1523" builtinId="9" hidden="1"/>
    <cellStyle name="Followed Hyperlink" xfId="1526" builtinId="9" hidden="1"/>
    <cellStyle name="Followed Hyperlink" xfId="1528" builtinId="9" hidden="1"/>
    <cellStyle name="Followed Hyperlink" xfId="1530" builtinId="9" hidden="1"/>
    <cellStyle name="Followed Hyperlink" xfId="1532" builtinId="9" hidden="1"/>
    <cellStyle name="Followed Hyperlink" xfId="1534" builtinId="9" hidden="1"/>
    <cellStyle name="Followed Hyperlink" xfId="1536" builtinId="9" hidden="1"/>
    <cellStyle name="Followed Hyperlink" xfId="1538" builtinId="9" hidden="1"/>
    <cellStyle name="Followed Hyperlink" xfId="1540" builtinId="9" hidden="1"/>
    <cellStyle name="Followed Hyperlink" xfId="1542" builtinId="9" hidden="1"/>
    <cellStyle name="Followed Hyperlink" xfId="1544" builtinId="9" hidden="1"/>
    <cellStyle name="Followed Hyperlink" xfId="1546" builtinId="9" hidden="1"/>
    <cellStyle name="Followed Hyperlink" xfId="1548" builtinId="9" hidden="1"/>
    <cellStyle name="Followed Hyperlink" xfId="1550" builtinId="9" hidden="1"/>
    <cellStyle name="Followed Hyperlink" xfId="1552" builtinId="9" hidden="1"/>
    <cellStyle name="Followed Hyperlink" xfId="1554" builtinId="9" hidden="1"/>
    <cellStyle name="Followed Hyperlink" xfId="1556" builtinId="9" hidden="1"/>
    <cellStyle name="Followed Hyperlink" xfId="1558" builtinId="9" hidden="1"/>
    <cellStyle name="Followed Hyperlink" xfId="1560" builtinId="9" hidden="1"/>
    <cellStyle name="Followed Hyperlink" xfId="1562" builtinId="9" hidden="1"/>
    <cellStyle name="Followed Hyperlink" xfId="1564" builtinId="9" hidden="1"/>
    <cellStyle name="Followed Hyperlink" xfId="1566" builtinId="9" hidden="1"/>
    <cellStyle name="Followed Hyperlink" xfId="1568" builtinId="9" hidden="1"/>
    <cellStyle name="Followed Hyperlink" xfId="1570" builtinId="9" hidden="1"/>
    <cellStyle name="Followed Hyperlink" xfId="1572" builtinId="9" hidden="1"/>
    <cellStyle name="Followed Hyperlink" xfId="1574" builtinId="9" hidden="1"/>
    <cellStyle name="Followed Hyperlink" xfId="1576" builtinId="9" hidden="1"/>
    <cellStyle name="Followed Hyperlink" xfId="1578" builtinId="9" hidden="1"/>
    <cellStyle name="Followed Hyperlink" xfId="1580" builtinId="9" hidden="1"/>
    <cellStyle name="Followed Hyperlink" xfId="1582" builtinId="9" hidden="1"/>
    <cellStyle name="Followed Hyperlink" xfId="1584" builtinId="9" hidden="1"/>
    <cellStyle name="Followed Hyperlink" xfId="1586" builtinId="9" hidden="1"/>
    <cellStyle name="Followed Hyperlink" xfId="1588" builtinId="9" hidden="1"/>
    <cellStyle name="Followed Hyperlink" xfId="1590" builtinId="9" hidden="1"/>
    <cellStyle name="Followed Hyperlink" xfId="1592" builtinId="9" hidden="1"/>
    <cellStyle name="Followed Hyperlink" xfId="1594" builtinId="9" hidden="1"/>
    <cellStyle name="Followed Hyperlink" xfId="1596" builtinId="9" hidden="1"/>
    <cellStyle name="Followed Hyperlink" xfId="1598" builtinId="9" hidden="1"/>
    <cellStyle name="Followed Hyperlink" xfId="1600" builtinId="9" hidden="1"/>
    <cellStyle name="Followed Hyperlink" xfId="1602" builtinId="9" hidden="1"/>
    <cellStyle name="Followed Hyperlink" xfId="1604" builtinId="9" hidden="1"/>
    <cellStyle name="Followed Hyperlink" xfId="1606" builtinId="9" hidden="1"/>
    <cellStyle name="Followed Hyperlink" xfId="1608" builtinId="9" hidden="1"/>
    <cellStyle name="Followed Hyperlink" xfId="1610" builtinId="9" hidden="1"/>
    <cellStyle name="Followed Hyperlink" xfId="1612" builtinId="9" hidden="1"/>
    <cellStyle name="Followed Hyperlink" xfId="1614" builtinId="9" hidden="1"/>
    <cellStyle name="Followed Hyperlink" xfId="1616" builtinId="9" hidden="1"/>
    <cellStyle name="Followed Hyperlink" xfId="1618" builtinId="9" hidden="1"/>
    <cellStyle name="Followed Hyperlink" xfId="1620" builtinId="9" hidden="1"/>
    <cellStyle name="Followed Hyperlink" xfId="1622" builtinId="9" hidden="1"/>
    <cellStyle name="Followed Hyperlink" xfId="1624" builtinId="9" hidden="1"/>
    <cellStyle name="Followed Hyperlink" xfId="1626" builtinId="9" hidden="1"/>
    <cellStyle name="Followed Hyperlink" xfId="1628" builtinId="9" hidden="1"/>
    <cellStyle name="Followed Hyperlink" xfId="1630" builtinId="9" hidden="1"/>
    <cellStyle name="Followed Hyperlink" xfId="1632" builtinId="9" hidden="1"/>
    <cellStyle name="Followed Hyperlink" xfId="1634" builtinId="9" hidden="1"/>
    <cellStyle name="Followed Hyperlink" xfId="1636" builtinId="9" hidden="1"/>
    <cellStyle name="Followed Hyperlink" xfId="1638" builtinId="9" hidden="1"/>
    <cellStyle name="Followed Hyperlink" xfId="1640" builtinId="9" hidden="1"/>
    <cellStyle name="Followed Hyperlink" xfId="1642" builtinId="9" hidden="1"/>
    <cellStyle name="Followed Hyperlink" xfId="1644" builtinId="9" hidden="1"/>
    <cellStyle name="Followed Hyperlink" xfId="1646" builtinId="9" hidden="1"/>
    <cellStyle name="Followed Hyperlink" xfId="1648" builtinId="9" hidden="1"/>
    <cellStyle name="Followed Hyperlink" xfId="1650" builtinId="9" hidden="1"/>
    <cellStyle name="Followed Hyperlink" xfId="1652" builtinId="9" hidden="1"/>
    <cellStyle name="Followed Hyperlink" xfId="1654" builtinId="9" hidden="1"/>
    <cellStyle name="Followed Hyperlink" xfId="1656" builtinId="9" hidden="1"/>
    <cellStyle name="Followed Hyperlink" xfId="1658" builtinId="9" hidden="1"/>
    <cellStyle name="Followed Hyperlink" xfId="1660" builtinId="9" hidden="1"/>
    <cellStyle name="Followed Hyperlink" xfId="1662" builtinId="9" hidden="1"/>
    <cellStyle name="Followed Hyperlink" xfId="1664" builtinId="9" hidden="1"/>
    <cellStyle name="Followed Hyperlink" xfId="1666" builtinId="9" hidden="1"/>
    <cellStyle name="Followed Hyperlink" xfId="1668" builtinId="9" hidden="1"/>
    <cellStyle name="Followed Hyperlink" xfId="1670" builtinId="9" hidden="1"/>
    <cellStyle name="Followed Hyperlink" xfId="1672" builtinId="9" hidden="1"/>
    <cellStyle name="Followed Hyperlink" xfId="1674" builtinId="9" hidden="1"/>
    <cellStyle name="Followed Hyperlink" xfId="1676" builtinId="9" hidden="1"/>
    <cellStyle name="Followed Hyperlink" xfId="1678" builtinId="9" hidden="1"/>
    <cellStyle name="Followed Hyperlink" xfId="1680" builtinId="9" hidden="1"/>
    <cellStyle name="Followed Hyperlink" xfId="1682" builtinId="9" hidden="1"/>
    <cellStyle name="Followed Hyperlink" xfId="1684" builtinId="9" hidden="1"/>
    <cellStyle name="Followed Hyperlink" xfId="1686" builtinId="9" hidden="1"/>
    <cellStyle name="Followed Hyperlink" xfId="1688" builtinId="9" hidden="1"/>
    <cellStyle name="Followed Hyperlink" xfId="1690" builtinId="9" hidden="1"/>
    <cellStyle name="Followed Hyperlink" xfId="1692" builtinId="9" hidden="1"/>
    <cellStyle name="Followed Hyperlink" xfId="1694" builtinId="9" hidden="1"/>
    <cellStyle name="Followed Hyperlink" xfId="1696" builtinId="9" hidden="1"/>
    <cellStyle name="Followed Hyperlink" xfId="1698" builtinId="9" hidden="1"/>
    <cellStyle name="Followed Hyperlink" xfId="1700" builtinId="9" hidden="1"/>
    <cellStyle name="Followed Hyperlink" xfId="1702" builtinId="9" hidden="1"/>
    <cellStyle name="Followed Hyperlink" xfId="1704" builtinId="9" hidden="1"/>
    <cellStyle name="Followed Hyperlink" xfId="1706" builtinId="9" hidden="1"/>
    <cellStyle name="Followed Hyperlink" xfId="1708" builtinId="9" hidden="1"/>
    <cellStyle name="Followed Hyperlink" xfId="1710" builtinId="9" hidden="1"/>
    <cellStyle name="Followed Hyperlink" xfId="1712" builtinId="9" hidden="1"/>
    <cellStyle name="Followed Hyperlink" xfId="1714" builtinId="9" hidden="1"/>
    <cellStyle name="Followed Hyperlink" xfId="1716" builtinId="9" hidden="1"/>
    <cellStyle name="Followed Hyperlink" xfId="1718" builtinId="9" hidden="1"/>
    <cellStyle name="Followed Hyperlink" xfId="1720" builtinId="9" hidden="1"/>
    <cellStyle name="Followed Hyperlink" xfId="1722" builtinId="9" hidden="1"/>
    <cellStyle name="Followed Hyperlink" xfId="1724" builtinId="9" hidden="1"/>
    <cellStyle name="Followed Hyperlink" xfId="1726" builtinId="9" hidden="1"/>
    <cellStyle name="Followed Hyperlink" xfId="1728" builtinId="9" hidden="1"/>
    <cellStyle name="Followed Hyperlink" xfId="1730" builtinId="9" hidden="1"/>
    <cellStyle name="Followed Hyperlink" xfId="1732" builtinId="9" hidden="1"/>
    <cellStyle name="Followed Hyperlink" xfId="1734" builtinId="9" hidden="1"/>
    <cellStyle name="Followed Hyperlink" xfId="1736" builtinId="9" hidden="1"/>
    <cellStyle name="Followed Hyperlink" xfId="1738" builtinId="9" hidden="1"/>
    <cellStyle name="Followed Hyperlink" xfId="1740" builtinId="9" hidden="1"/>
    <cellStyle name="Followed Hyperlink" xfId="1742" builtinId="9" hidden="1"/>
    <cellStyle name="Followed Hyperlink" xfId="1744" builtinId="9" hidden="1"/>
    <cellStyle name="Followed Hyperlink" xfId="1746" builtinId="9" hidden="1"/>
    <cellStyle name="Followed Hyperlink" xfId="1748" builtinId="9" hidden="1"/>
    <cellStyle name="Followed Hyperlink" xfId="1750" builtinId="9" hidden="1"/>
    <cellStyle name="Followed Hyperlink" xfId="1752" builtinId="9" hidden="1"/>
    <cellStyle name="Followed Hyperlink" xfId="1754" builtinId="9" hidden="1"/>
    <cellStyle name="Followed Hyperlink" xfId="1756" builtinId="9" hidden="1"/>
    <cellStyle name="Followed Hyperlink" xfId="1758" builtinId="9" hidden="1"/>
    <cellStyle name="Followed Hyperlink" xfId="1760" builtinId="9" hidden="1"/>
    <cellStyle name="Followed Hyperlink" xfId="1762" builtinId="9" hidden="1"/>
    <cellStyle name="Followed Hyperlink" xfId="1764" builtinId="9" hidden="1"/>
    <cellStyle name="Followed Hyperlink" xfId="1766" builtinId="9" hidden="1"/>
    <cellStyle name="Followed Hyperlink" xfId="1768" builtinId="9" hidden="1"/>
    <cellStyle name="Followed Hyperlink" xfId="1770" builtinId="9" hidden="1"/>
    <cellStyle name="Followed Hyperlink" xfId="1772" builtinId="9" hidden="1"/>
    <cellStyle name="Followed Hyperlink" xfId="1774" builtinId="9" hidden="1"/>
    <cellStyle name="Followed Hyperlink" xfId="1775" builtinId="9" hidden="1"/>
    <cellStyle name="Followed Hyperlink" xfId="1776" builtinId="9" hidden="1"/>
    <cellStyle name="Followed Hyperlink" xfId="1777" builtinId="9" hidden="1"/>
    <cellStyle name="Followed Hyperlink" xfId="1778" builtinId="9" hidden="1"/>
    <cellStyle name="Followed Hyperlink" xfId="1779" builtinId="9" hidden="1"/>
    <cellStyle name="Followed Hyperlink" xfId="1780" builtinId="9" hidden="1"/>
    <cellStyle name="Followed Hyperlink" xfId="1781" builtinId="9" hidden="1"/>
    <cellStyle name="Followed Hyperlink" xfId="1782" builtinId="9" hidden="1"/>
    <cellStyle name="Followed Hyperlink" xfId="1783" builtinId="9" hidden="1"/>
    <cellStyle name="Followed Hyperlink" xfId="1784" builtinId="9" hidden="1"/>
    <cellStyle name="Followed Hyperlink" xfId="1785" builtinId="9" hidden="1"/>
    <cellStyle name="Followed Hyperlink" xfId="1786" builtinId="9" hidden="1"/>
    <cellStyle name="Followed Hyperlink" xfId="1787" builtinId="9" hidden="1"/>
    <cellStyle name="Followed Hyperlink" xfId="1788" builtinId="9" hidden="1"/>
    <cellStyle name="Followed Hyperlink" xfId="1789" builtinId="9" hidden="1"/>
    <cellStyle name="Followed Hyperlink" xfId="1790" builtinId="9" hidden="1"/>
    <cellStyle name="Followed Hyperlink" xfId="1791" builtinId="9" hidden="1"/>
    <cellStyle name="Followed Hyperlink" xfId="1793" builtinId="9" hidden="1"/>
    <cellStyle name="Followed Hyperlink" xfId="1795" builtinId="9" hidden="1"/>
    <cellStyle name="Followed Hyperlink" xfId="1797" builtinId="9" hidden="1"/>
    <cellStyle name="Followed Hyperlink" xfId="1799" builtinId="9" hidden="1"/>
    <cellStyle name="Followed Hyperlink" xfId="1801" builtinId="9" hidden="1"/>
    <cellStyle name="Followed Hyperlink" xfId="1803" builtinId="9" hidden="1"/>
    <cellStyle name="Followed Hyperlink" xfId="1805" builtinId="9" hidden="1"/>
    <cellStyle name="Followed Hyperlink" xfId="1806" builtinId="9" hidden="1"/>
    <cellStyle name="Followed Hyperlink" xfId="1807" builtinId="9" hidden="1"/>
    <cellStyle name="Followed Hyperlink" xfId="1808" builtinId="9" hidden="1"/>
    <cellStyle name="Followed Hyperlink" xfId="1809" builtinId="9" hidden="1"/>
    <cellStyle name="Followed Hyperlink" xfId="1810" builtinId="9" hidden="1"/>
    <cellStyle name="Followed Hyperlink" xfId="1811" builtinId="9" hidden="1"/>
    <cellStyle name="Followed Hyperlink" xfId="1812" builtinId="9" hidden="1"/>
    <cellStyle name="Followed Hyperlink" xfId="1813" builtinId="9" hidden="1"/>
    <cellStyle name="Followed Hyperlink" xfId="1814" builtinId="9" hidden="1"/>
    <cellStyle name="Followed Hyperlink" xfId="1815" builtinId="9" hidden="1"/>
    <cellStyle name="Followed Hyperlink" xfId="1816" builtinId="9" hidden="1"/>
    <cellStyle name="Followed Hyperlink" xfId="1817" builtinId="9" hidden="1"/>
    <cellStyle name="Followed Hyperlink" xfId="1818" builtinId="9" hidden="1"/>
    <cellStyle name="Followed Hyperlink" xfId="1819" builtinId="9" hidden="1"/>
    <cellStyle name="Followed Hyperlink" xfId="1820" builtinId="9" hidden="1"/>
    <cellStyle name="Followed Hyperlink" xfId="1821" builtinId="9" hidden="1"/>
    <cellStyle name="Followed Hyperlink" xfId="1822" builtinId="9" hidden="1"/>
    <cellStyle name="Followed Hyperlink" xfId="1823" builtinId="9" hidden="1"/>
    <cellStyle name="Followed Hyperlink" xfId="1824" builtinId="9" hidden="1"/>
    <cellStyle name="Followed Hyperlink" xfId="1825" builtinId="9" hidden="1"/>
    <cellStyle name="Followed Hyperlink" xfId="1826" builtinId="9" hidden="1"/>
    <cellStyle name="Followed Hyperlink" xfId="1827" builtinId="9" hidden="1"/>
    <cellStyle name="Followed Hyperlink" xfId="1828" builtinId="9" hidden="1"/>
    <cellStyle name="Followed Hyperlink" xfId="1830" builtinId="9" hidden="1"/>
    <cellStyle name="Followed Hyperlink" xfId="1832" builtinId="9" hidden="1"/>
    <cellStyle name="Followed Hyperlink" xfId="1834" builtinId="9" hidden="1"/>
    <cellStyle name="Followed Hyperlink" xfId="1836" builtinId="9" hidden="1"/>
    <cellStyle name="Followed Hyperlink" xfId="1838" builtinId="9" hidden="1"/>
    <cellStyle name="Followed Hyperlink" xfId="1840" builtinId="9" hidden="1"/>
    <cellStyle name="Followed Hyperlink" xfId="1842" builtinId="9" hidden="1"/>
    <cellStyle name="Followed Hyperlink" xfId="1844" builtinId="9" hidden="1"/>
    <cellStyle name="Followed Hyperlink" xfId="1846" builtinId="9" hidden="1"/>
    <cellStyle name="Followed Hyperlink" xfId="1848" builtinId="9" hidden="1"/>
    <cellStyle name="Followed Hyperlink" xfId="1850" builtinId="9" hidden="1"/>
    <cellStyle name="Followed Hyperlink" xfId="1851" builtinId="9" hidden="1"/>
    <cellStyle name="Followed Hyperlink" xfId="1852" builtinId="9" hidden="1"/>
    <cellStyle name="Followed Hyperlink" xfId="1853" builtinId="9" hidden="1"/>
    <cellStyle name="Followed Hyperlink" xfId="1854" builtinId="9" hidden="1"/>
    <cellStyle name="Followed Hyperlink" xfId="1855" builtinId="9" hidden="1"/>
    <cellStyle name="Followed Hyperlink" xfId="1856" builtinId="9" hidden="1"/>
    <cellStyle name="Followed Hyperlink" xfId="1857" builtinId="9" hidden="1"/>
    <cellStyle name="Followed Hyperlink" xfId="1858" builtinId="9" hidden="1"/>
    <cellStyle name="Followed Hyperlink" xfId="1859" builtinId="9" hidden="1"/>
    <cellStyle name="Followed Hyperlink" xfId="1860" builtinId="9" hidden="1"/>
    <cellStyle name="Followed Hyperlink" xfId="1861" builtinId="9" hidden="1"/>
    <cellStyle name="Followed Hyperlink" xfId="1862" builtinId="9" hidden="1"/>
    <cellStyle name="Followed Hyperlink" xfId="1863" builtinId="9" hidden="1"/>
    <cellStyle name="Followed Hyperlink" xfId="1864" builtinId="9" hidden="1"/>
    <cellStyle name="Followed Hyperlink" xfId="1865" builtinId="9" hidden="1"/>
    <cellStyle name="Followed Hyperlink" xfId="1866" builtinId="9" hidden="1"/>
    <cellStyle name="Followed Hyperlink" xfId="1867" builtinId="9" hidden="1"/>
    <cellStyle name="Followed Hyperlink" xfId="1868" builtinId="9" hidden="1"/>
    <cellStyle name="Followed Hyperlink" xfId="1869" builtinId="9" hidden="1"/>
    <cellStyle name="Followed Hyperlink" xfId="1870" builtinId="9" hidden="1"/>
    <cellStyle name="Followed Hyperlink" xfId="1871" builtinId="9" hidden="1"/>
    <cellStyle name="Followed Hyperlink" xfId="1872" builtinId="9" hidden="1"/>
    <cellStyle name="Followed Hyperlink" xfId="1873" builtinId="9" hidden="1"/>
    <cellStyle name="Followed Hyperlink" xfId="1874" builtinId="9" hidden="1"/>
    <cellStyle name="Followed Hyperlink" xfId="1875" builtinId="9" hidden="1"/>
    <cellStyle name="Followed Hyperlink" xfId="1876" builtinId="9" hidden="1"/>
    <cellStyle name="Followed Hyperlink" xfId="1877" builtinId="9" hidden="1"/>
    <cellStyle name="Followed Hyperlink" xfId="1878" builtinId="9" hidden="1"/>
    <cellStyle name="Followed Hyperlink" xfId="1879" builtinId="9" hidden="1"/>
    <cellStyle name="Followed Hyperlink" xfId="1880" builtinId="9" hidden="1"/>
    <cellStyle name="Followed Hyperlink" xfId="1881" builtinId="9" hidden="1"/>
    <cellStyle name="Followed Hyperlink" xfId="1882" builtinId="9" hidden="1"/>
    <cellStyle name="Followed Hyperlink" xfId="1883" builtinId="9" hidden="1"/>
    <cellStyle name="Followed Hyperlink" xfId="1884" builtinId="9" hidden="1"/>
    <cellStyle name="Followed Hyperlink" xfId="1885" builtinId="9" hidden="1"/>
    <cellStyle name="Followed Hyperlink" xfId="1886" builtinId="9" hidden="1"/>
    <cellStyle name="Followed Hyperlink" xfId="1887" builtinId="9" hidden="1"/>
    <cellStyle name="Followed Hyperlink" xfId="1888" builtinId="9" hidden="1"/>
    <cellStyle name="Followed Hyperlink" xfId="1889" builtinId="9" hidden="1"/>
    <cellStyle name="Followed Hyperlink" xfId="1890" builtinId="9" hidden="1"/>
    <cellStyle name="Followed Hyperlink" xfId="1891" builtinId="9" hidden="1"/>
    <cellStyle name="Followed Hyperlink" xfId="1892" builtinId="9" hidden="1"/>
    <cellStyle name="Followed Hyperlink" xfId="1893" builtinId="9" hidden="1"/>
    <cellStyle name="Followed Hyperlink" xfId="1894" builtinId="9" hidden="1"/>
    <cellStyle name="Followed Hyperlink" xfId="1895" builtinId="9" hidden="1"/>
    <cellStyle name="Followed Hyperlink" xfId="1896" builtinId="9" hidden="1"/>
    <cellStyle name="Followed Hyperlink" xfId="1897" builtinId="9" hidden="1"/>
    <cellStyle name="Followed Hyperlink" xfId="1898" builtinId="9" hidden="1"/>
    <cellStyle name="Followed Hyperlink" xfId="1899" builtinId="9" hidden="1"/>
    <cellStyle name="Followed Hyperlink" xfId="1900" builtinId="9" hidden="1"/>
    <cellStyle name="Followed Hyperlink" xfId="1901" builtinId="9" hidden="1"/>
    <cellStyle name="Followed Hyperlink" xfId="1902" builtinId="9" hidden="1"/>
    <cellStyle name="Followed Hyperlink" xfId="1903" builtinId="9" hidden="1"/>
    <cellStyle name="Followed Hyperlink" xfId="1905" builtinId="9" hidden="1"/>
    <cellStyle name="Followed Hyperlink" xfId="1907" builtinId="9" hidden="1"/>
    <cellStyle name="Followed Hyperlink" xfId="1909" builtinId="9" hidden="1"/>
    <cellStyle name="Followed Hyperlink" xfId="1911" builtinId="9" hidden="1"/>
    <cellStyle name="Followed Hyperlink" xfId="1913" builtinId="9" hidden="1"/>
    <cellStyle name="Followed Hyperlink" xfId="1915" builtinId="9" hidden="1"/>
    <cellStyle name="Followed Hyperlink" xfId="1917" builtinId="9" hidden="1"/>
    <cellStyle name="Followed Hyperlink" xfId="1919" builtinId="9" hidden="1"/>
    <cellStyle name="Followed Hyperlink" xfId="1920" builtinId="9" hidden="1"/>
    <cellStyle name="Followed Hyperlink" xfId="1921" builtinId="9" hidden="1"/>
    <cellStyle name="Followed Hyperlink" xfId="1922" builtinId="9" hidden="1"/>
    <cellStyle name="Followed Hyperlink" xfId="1923" builtinId="9" hidden="1"/>
    <cellStyle name="Followed Hyperlink" xfId="1924" builtinId="9" hidden="1"/>
    <cellStyle name="Followed Hyperlink" xfId="1925" builtinId="9" hidden="1"/>
    <cellStyle name="Followed Hyperlink" xfId="1926" builtinId="9" hidden="1"/>
    <cellStyle name="Followed Hyperlink" xfId="1927" builtinId="9" hidden="1"/>
    <cellStyle name="Followed Hyperlink" xfId="1928" builtinId="9" hidden="1"/>
    <cellStyle name="Followed Hyperlink" xfId="1929" builtinId="9" hidden="1"/>
    <cellStyle name="Followed Hyperlink" xfId="1930" builtinId="9" hidden="1"/>
    <cellStyle name="Followed Hyperlink" xfId="1931" builtinId="9" hidden="1"/>
    <cellStyle name="Followed Hyperlink" xfId="1932" builtinId="9" hidden="1"/>
    <cellStyle name="Followed Hyperlink" xfId="1933" builtinId="9" hidden="1"/>
    <cellStyle name="Followed Hyperlink" xfId="1934" builtinId="9" hidden="1"/>
    <cellStyle name="Followed Hyperlink" xfId="1935" builtinId="9" hidden="1"/>
    <cellStyle name="Followed Hyperlink" xfId="1936" builtinId="9" hidden="1"/>
    <cellStyle name="Followed Hyperlink" xfId="1937" builtinId="9" hidden="1"/>
    <cellStyle name="Followed Hyperlink" xfId="1938" builtinId="9" hidden="1"/>
    <cellStyle name="Followed Hyperlink" xfId="1940" builtinId="9" hidden="1"/>
    <cellStyle name="Followed Hyperlink" xfId="1942" builtinId="9" hidden="1"/>
    <cellStyle name="Followed Hyperlink" xfId="1944" builtinId="9" hidden="1"/>
    <cellStyle name="Followed Hyperlink" xfId="1945" builtinId="9" hidden="1"/>
    <cellStyle name="Followed Hyperlink" xfId="1946" builtinId="9" hidden="1"/>
    <cellStyle name="Followed Hyperlink" xfId="1947" builtinId="9" hidden="1"/>
    <cellStyle name="Followed Hyperlink" xfId="1948" builtinId="9" hidden="1"/>
    <cellStyle name="Followed Hyperlink" xfId="1949" builtinId="9" hidden="1"/>
    <cellStyle name="Followed Hyperlink" xfId="1950" builtinId="9" hidden="1"/>
    <cellStyle name="Followed Hyperlink" xfId="1951" builtinId="9" hidden="1"/>
    <cellStyle name="Followed Hyperlink" xfId="1952" builtinId="9" hidden="1"/>
    <cellStyle name="Followed Hyperlink" xfId="1953" builtinId="9" hidden="1"/>
    <cellStyle name="Followed Hyperlink" xfId="1954" builtinId="9" hidden="1"/>
    <cellStyle name="Followed Hyperlink" xfId="1955" builtinId="9" hidden="1"/>
    <cellStyle name="Followed Hyperlink" xfId="1956" builtinId="9" hidden="1"/>
    <cellStyle name="Followed Hyperlink" xfId="1957" builtinId="9" hidden="1"/>
    <cellStyle name="Followed Hyperlink" xfId="1958" builtinId="9" hidden="1"/>
    <cellStyle name="Followed Hyperlink" xfId="1959" builtinId="9" hidden="1"/>
    <cellStyle name="Followed Hyperlink" xfId="1960" builtinId="9" hidden="1"/>
    <cellStyle name="Followed Hyperlink" xfId="1961" builtinId="9" hidden="1"/>
    <cellStyle name="Followed Hyperlink" xfId="1962" builtinId="9" hidden="1"/>
    <cellStyle name="Followed Hyperlink" xfId="1963" builtinId="9" hidden="1"/>
    <cellStyle name="Followed Hyperlink" xfId="1964" builtinId="9" hidden="1"/>
    <cellStyle name="Followed Hyperlink" xfId="1965" builtinId="9" hidden="1"/>
    <cellStyle name="Followed Hyperlink" xfId="1966" builtinId="9" hidden="1"/>
    <cellStyle name="Followed Hyperlink" xfId="1967" builtinId="9" hidden="1"/>
    <cellStyle name="Followed Hyperlink" xfId="1968" builtinId="9" hidden="1"/>
    <cellStyle name="Followed Hyperlink" xfId="1969" builtinId="9" hidden="1"/>
    <cellStyle name="Followed Hyperlink" xfId="1971" builtinId="9" hidden="1"/>
    <cellStyle name="Followed Hyperlink" xfId="1973" builtinId="9" hidden="1"/>
    <cellStyle name="Followed Hyperlink" xfId="1975" builtinId="9" hidden="1"/>
    <cellStyle name="Followed Hyperlink" xfId="1977" builtinId="9" hidden="1"/>
    <cellStyle name="Followed Hyperlink" xfId="1979" builtinId="9" hidden="1"/>
    <cellStyle name="Followed Hyperlink" xfId="1981" builtinId="9" hidden="1"/>
    <cellStyle name="Followed Hyperlink" xfId="1983" builtinId="9" hidden="1"/>
    <cellStyle name="Followed Hyperlink" xfId="1985" builtinId="9" hidden="1"/>
    <cellStyle name="Followed Hyperlink" xfId="1987" builtinId="9" hidden="1"/>
    <cellStyle name="Followed Hyperlink" xfId="1989" builtinId="9" hidden="1"/>
    <cellStyle name="Followed Hyperlink" xfId="1991" builtinId="9" hidden="1"/>
    <cellStyle name="Followed Hyperlink" xfId="1993" builtinId="9" hidden="1"/>
    <cellStyle name="Followed Hyperlink" xfId="1995" builtinId="9" hidden="1"/>
    <cellStyle name="Followed Hyperlink" xfId="1997" builtinId="9" hidden="1"/>
    <cellStyle name="Followed Hyperlink" xfId="1999" builtinId="9" hidden="1"/>
    <cellStyle name="Followed Hyperlink" xfId="2001" builtinId="9" hidden="1"/>
    <cellStyle name="Followed Hyperlink" xfId="2003" builtinId="9" hidden="1"/>
    <cellStyle name="Followed Hyperlink" xfId="2005" builtinId="9" hidden="1"/>
    <cellStyle name="Followed Hyperlink" xfId="2007" builtinId="9" hidden="1"/>
    <cellStyle name="Followed Hyperlink" xfId="2009" builtinId="9" hidden="1"/>
    <cellStyle name="Followed Hyperlink" xfId="2011" builtinId="9" hidden="1"/>
    <cellStyle name="Followed Hyperlink" xfId="2013" builtinId="9" hidden="1"/>
    <cellStyle name="Followed Hyperlink" xfId="2015" builtinId="9" hidden="1"/>
    <cellStyle name="Followed Hyperlink" xfId="2017" builtinId="9" hidden="1"/>
    <cellStyle name="Followed Hyperlink" xfId="2019" builtinId="9" hidden="1"/>
    <cellStyle name="Followed Hyperlink" xfId="2021" builtinId="9" hidden="1"/>
    <cellStyle name="Followed Hyperlink" xfId="2023" builtinId="9" hidden="1"/>
    <cellStyle name="Followed Hyperlink" xfId="2025" builtinId="9" hidden="1"/>
    <cellStyle name="Followed Hyperlink" xfId="2027" builtinId="9" hidden="1"/>
    <cellStyle name="Followed Hyperlink" xfId="2029" builtinId="9" hidden="1"/>
    <cellStyle name="Followed Hyperlink" xfId="2031" builtinId="9" hidden="1"/>
    <cellStyle name="Followed Hyperlink" xfId="2033" builtinId="9" hidden="1"/>
    <cellStyle name="Followed Hyperlink" xfId="2035" builtinId="9" hidden="1"/>
    <cellStyle name="Followed Hyperlink" xfId="2037" builtinId="9" hidden="1"/>
    <cellStyle name="Followed Hyperlink" xfId="2039" builtinId="9" hidden="1"/>
    <cellStyle name="Followed Hyperlink" xfId="2041" builtinId="9" hidden="1"/>
    <cellStyle name="Followed Hyperlink" xfId="2043" builtinId="9" hidden="1"/>
    <cellStyle name="Followed Hyperlink" xfId="2045" builtinId="9" hidden="1"/>
    <cellStyle name="Followed Hyperlink" xfId="2047" builtinId="9" hidden="1"/>
    <cellStyle name="Followed Hyperlink" xfId="2049" builtinId="9" hidden="1"/>
    <cellStyle name="Followed Hyperlink" xfId="2051" builtinId="9" hidden="1"/>
    <cellStyle name="Followed Hyperlink" xfId="2053" builtinId="9" hidden="1"/>
    <cellStyle name="Followed Hyperlink" xfId="2055" builtinId="9" hidden="1"/>
    <cellStyle name="Followed Hyperlink" xfId="2057" builtinId="9" hidden="1"/>
    <cellStyle name="Followed Hyperlink" xfId="2059" builtinId="9" hidden="1"/>
    <cellStyle name="Followed Hyperlink" xfId="2061" builtinId="9" hidden="1"/>
    <cellStyle name="Followed Hyperlink" xfId="2063" builtinId="9" hidden="1"/>
    <cellStyle name="Followed Hyperlink" xfId="2065" builtinId="9" hidden="1"/>
    <cellStyle name="Followed Hyperlink" xfId="2067" builtinId="9" hidden="1"/>
    <cellStyle name="Followed Hyperlink" xfId="2069" builtinId="9" hidden="1"/>
    <cellStyle name="Followed Hyperlink" xfId="2071" builtinId="9" hidden="1"/>
    <cellStyle name="Followed Hyperlink" xfId="2073" builtinId="9" hidden="1"/>
    <cellStyle name="Followed Hyperlink" xfId="2075" builtinId="9" hidden="1"/>
    <cellStyle name="Followed Hyperlink" xfId="2077" builtinId="9" hidden="1"/>
    <cellStyle name="Followed Hyperlink" xfId="2079" builtinId="9" hidden="1"/>
    <cellStyle name="Followed Hyperlink" xfId="2081" builtinId="9" hidden="1"/>
    <cellStyle name="Followed Hyperlink" xfId="2083" builtinId="9" hidden="1"/>
    <cellStyle name="Followed Hyperlink" xfId="2085" builtinId="9" hidden="1"/>
    <cellStyle name="Followed Hyperlink" xfId="2087" builtinId="9" hidden="1"/>
    <cellStyle name="Followed Hyperlink" xfId="2089" builtinId="9" hidden="1"/>
    <cellStyle name="Followed Hyperlink" xfId="2091" builtinId="9" hidden="1"/>
    <cellStyle name="Followed Hyperlink" xfId="2093" builtinId="9" hidden="1"/>
    <cellStyle name="Followed Hyperlink" xfId="2095" builtinId="9" hidden="1"/>
    <cellStyle name="Followed Hyperlink" xfId="2097" builtinId="9" hidden="1"/>
    <cellStyle name="Followed Hyperlink" xfId="2099" builtinId="9" hidden="1"/>
    <cellStyle name="Followed Hyperlink" xfId="2101" builtinId="9" hidden="1"/>
    <cellStyle name="Followed Hyperlink" xfId="2103" builtinId="9" hidden="1"/>
    <cellStyle name="Followed Hyperlink" xfId="2105" builtinId="9" hidden="1"/>
    <cellStyle name="Followed Hyperlink" xfId="2107" builtinId="9" hidden="1"/>
    <cellStyle name="Followed Hyperlink" xfId="2109" builtinId="9" hidden="1"/>
    <cellStyle name="Followed Hyperlink" xfId="2111" builtinId="9" hidden="1"/>
    <cellStyle name="Followed Hyperlink" xfId="2113" builtinId="9" hidden="1"/>
    <cellStyle name="Followed Hyperlink" xfId="2115" builtinId="9" hidden="1"/>
    <cellStyle name="Followed Hyperlink" xfId="2117" builtinId="9" hidden="1"/>
    <cellStyle name="Followed Hyperlink" xfId="2119" builtinId="9" hidden="1"/>
    <cellStyle name="Followed Hyperlink" xfId="2121" builtinId="9" hidden="1"/>
    <cellStyle name="Followed Hyperlink" xfId="2123" builtinId="9" hidden="1"/>
    <cellStyle name="Followed Hyperlink" xfId="2125" builtinId="9" hidden="1"/>
    <cellStyle name="Followed Hyperlink" xfId="2127" builtinId="9" hidden="1"/>
    <cellStyle name="Followed Hyperlink" xfId="2129" builtinId="9" hidden="1"/>
    <cellStyle name="Followed Hyperlink" xfId="2131" builtinId="9" hidden="1"/>
    <cellStyle name="Followed Hyperlink" xfId="2133" builtinId="9" hidden="1"/>
    <cellStyle name="Followed Hyperlink" xfId="2135" builtinId="9" hidden="1"/>
    <cellStyle name="Followed Hyperlink" xfId="2137" builtinId="9" hidden="1"/>
    <cellStyle name="Followed Hyperlink" xfId="2139" builtinId="9" hidden="1"/>
    <cellStyle name="Followed Hyperlink" xfId="2141" builtinId="9" hidden="1"/>
    <cellStyle name="Followed Hyperlink" xfId="2143" builtinId="9" hidden="1"/>
    <cellStyle name="Followed Hyperlink" xfId="2145" builtinId="9" hidden="1"/>
    <cellStyle name="Followed Hyperlink" xfId="2147" builtinId="9" hidden="1"/>
    <cellStyle name="Followed Hyperlink" xfId="2149" builtinId="9" hidden="1"/>
    <cellStyle name="Followed Hyperlink" xfId="2151" builtinId="9" hidden="1"/>
    <cellStyle name="Followed Hyperlink" xfId="2153" builtinId="9" hidden="1"/>
    <cellStyle name="Followed Hyperlink" xfId="2155" builtinId="9" hidden="1"/>
    <cellStyle name="Followed Hyperlink" xfId="2157" builtinId="9" hidden="1"/>
    <cellStyle name="Followed Hyperlink" xfId="2159" builtinId="9" hidden="1"/>
    <cellStyle name="Followed Hyperlink" xfId="2161" builtinId="9" hidden="1"/>
    <cellStyle name="Followed Hyperlink" xfId="2163" builtinId="9" hidden="1"/>
    <cellStyle name="Followed Hyperlink" xfId="2165" builtinId="9" hidden="1"/>
    <cellStyle name="Followed Hyperlink" xfId="2167" builtinId="9" hidden="1"/>
    <cellStyle name="Followed Hyperlink" xfId="2169" builtinId="9" hidden="1"/>
    <cellStyle name="Followed Hyperlink" xfId="2171" builtinId="9" hidden="1"/>
    <cellStyle name="Followed Hyperlink" xfId="2173" builtinId="9" hidden="1"/>
    <cellStyle name="Followed Hyperlink" xfId="2175" builtinId="9" hidden="1"/>
    <cellStyle name="Followed Hyperlink" xfId="2177" builtinId="9" hidden="1"/>
    <cellStyle name="Followed Hyperlink" xfId="2179" builtinId="9" hidden="1"/>
    <cellStyle name="Followed Hyperlink" xfId="2181" builtinId="9" hidden="1"/>
    <cellStyle name="Followed Hyperlink" xfId="2183" builtinId="9" hidden="1"/>
    <cellStyle name="Followed Hyperlink" xfId="2185" builtinId="9" hidden="1"/>
    <cellStyle name="Followed Hyperlink" xfId="2187" builtinId="9" hidden="1"/>
    <cellStyle name="Followed Hyperlink" xfId="2189" builtinId="9" hidden="1"/>
    <cellStyle name="Followed Hyperlink" xfId="2191" builtinId="9" hidden="1"/>
    <cellStyle name="Followed Hyperlink" xfId="2193" builtinId="9" hidden="1"/>
    <cellStyle name="Followed Hyperlink" xfId="2195" builtinId="9" hidden="1"/>
    <cellStyle name="Followed Hyperlink" xfId="2197" builtinId="9" hidden="1"/>
    <cellStyle name="Followed Hyperlink" xfId="2199" builtinId="9" hidden="1"/>
    <cellStyle name="Followed Hyperlink" xfId="2201" builtinId="9" hidden="1"/>
    <cellStyle name="Followed Hyperlink" xfId="2203" builtinId="9" hidden="1"/>
    <cellStyle name="Followed Hyperlink" xfId="2205" builtinId="9" hidden="1"/>
    <cellStyle name="Followed Hyperlink" xfId="2207" builtinId="9" hidden="1"/>
    <cellStyle name="Followed Hyperlink" xfId="2209" builtinId="9" hidden="1"/>
    <cellStyle name="Followed Hyperlink" xfId="2211" builtinId="9" hidden="1"/>
    <cellStyle name="Followed Hyperlink" xfId="2213" builtinId="9" hidden="1"/>
    <cellStyle name="Followed Hyperlink" xfId="2215" builtinId="9" hidden="1"/>
    <cellStyle name="Followed Hyperlink" xfId="2217" builtinId="9" hidden="1"/>
    <cellStyle name="Followed Hyperlink" xfId="2219" builtinId="9" hidden="1"/>
    <cellStyle name="Followed Hyperlink" xfId="2221" builtinId="9" hidden="1"/>
    <cellStyle name="Followed Hyperlink" xfId="2223" builtinId="9" hidden="1"/>
    <cellStyle name="Followed Hyperlink" xfId="2225" builtinId="9" hidden="1"/>
    <cellStyle name="Followed Hyperlink" xfId="2227" builtinId="9" hidden="1"/>
    <cellStyle name="Followed Hyperlink" xfId="2229" builtinId="9" hidden="1"/>
    <cellStyle name="Followed Hyperlink" xfId="2231" builtinId="9" hidden="1"/>
    <cellStyle name="Followed Hyperlink" xfId="2233" builtinId="9" hidden="1"/>
    <cellStyle name="Followed Hyperlink" xfId="2235" builtinId="9" hidden="1"/>
    <cellStyle name="Followed Hyperlink" xfId="2237" builtinId="9" hidden="1"/>
    <cellStyle name="Followed Hyperlink" xfId="2239" builtinId="9" hidden="1"/>
    <cellStyle name="Followed Hyperlink" xfId="2241" builtinId="9" hidden="1"/>
    <cellStyle name="Followed Hyperlink" xfId="2243" builtinId="9" hidden="1"/>
    <cellStyle name="Followed Hyperlink" xfId="2245" builtinId="9" hidden="1"/>
    <cellStyle name="Followed Hyperlink" xfId="2247" builtinId="9" hidden="1"/>
    <cellStyle name="Followed Hyperlink" xfId="2249" builtinId="9" hidden="1"/>
    <cellStyle name="Followed Hyperlink" xfId="2251" builtinId="9" hidden="1"/>
    <cellStyle name="Followed Hyperlink" xfId="2253" builtinId="9" hidden="1"/>
    <cellStyle name="Followed Hyperlink" xfId="2255" builtinId="9" hidden="1"/>
    <cellStyle name="Followed Hyperlink" xfId="2257" builtinId="9" hidden="1"/>
    <cellStyle name="Followed Hyperlink" xfId="2259" builtinId="9" hidden="1"/>
    <cellStyle name="Followed Hyperlink" xfId="2261" builtinId="9" hidden="1"/>
    <cellStyle name="Followed Hyperlink" xfId="2263" builtinId="9" hidden="1"/>
    <cellStyle name="Followed Hyperlink" xfId="2265" builtinId="9" hidden="1"/>
    <cellStyle name="Followed Hyperlink" xfId="2267" builtinId="9" hidden="1"/>
    <cellStyle name="Followed Hyperlink" xfId="2269" builtinId="9" hidden="1"/>
    <cellStyle name="Followed Hyperlink" xfId="2271" builtinId="9" hidden="1"/>
    <cellStyle name="Followed Hyperlink" xfId="2273" builtinId="9" hidden="1"/>
    <cellStyle name="Followed Hyperlink" xfId="2275" builtinId="9" hidden="1"/>
    <cellStyle name="Followed Hyperlink" xfId="2277" builtinId="9" hidden="1"/>
    <cellStyle name="Followed Hyperlink" xfId="2279" builtinId="9" hidden="1"/>
    <cellStyle name="Followed Hyperlink" xfId="2281" builtinId="9" hidden="1"/>
    <cellStyle name="Followed Hyperlink" xfId="2283" builtinId="9" hidden="1"/>
    <cellStyle name="Followed Hyperlink" xfId="2285" builtinId="9" hidden="1"/>
    <cellStyle name="Followed Hyperlink" xfId="2287" builtinId="9" hidden="1"/>
    <cellStyle name="Followed Hyperlink" xfId="2289" builtinId="9" hidden="1"/>
    <cellStyle name="Followed Hyperlink" xfId="2291" builtinId="9" hidden="1"/>
    <cellStyle name="Followed Hyperlink" xfId="2293" builtinId="9" hidden="1"/>
    <cellStyle name="Followed Hyperlink" xfId="2295" builtinId="9" hidden="1"/>
    <cellStyle name="Followed Hyperlink" xfId="2297" builtinId="9" hidden="1"/>
    <cellStyle name="Followed Hyperlink" xfId="2299" builtinId="9" hidden="1"/>
    <cellStyle name="Followed Hyperlink" xfId="2301" builtinId="9" hidden="1"/>
    <cellStyle name="Followed Hyperlink" xfId="2303" builtinId="9" hidden="1"/>
    <cellStyle name="Followed Hyperlink" xfId="2305" builtinId="9" hidden="1"/>
    <cellStyle name="Followed Hyperlink" xfId="2307" builtinId="9" hidden="1"/>
    <cellStyle name="Followed Hyperlink" xfId="2309" builtinId="9" hidden="1"/>
    <cellStyle name="Followed Hyperlink" xfId="2311" builtinId="9" hidden="1"/>
    <cellStyle name="Followed Hyperlink" xfId="2313" builtinId="9" hidden="1"/>
    <cellStyle name="Followed Hyperlink" xfId="2315" builtinId="9" hidden="1"/>
    <cellStyle name="Followed Hyperlink" xfId="2317" builtinId="9" hidden="1"/>
    <cellStyle name="Followed Hyperlink" xfId="2319" builtinId="9" hidden="1"/>
    <cellStyle name="Followed Hyperlink" xfId="2321" builtinId="9" hidden="1"/>
    <cellStyle name="Followed Hyperlink" xfId="2323" builtinId="9" hidden="1"/>
    <cellStyle name="Followed Hyperlink" xfId="2325" builtinId="9" hidden="1"/>
    <cellStyle name="Followed Hyperlink" xfId="2327" builtinId="9" hidden="1"/>
    <cellStyle name="Followed Hyperlink" xfId="2329" builtinId="9" hidden="1"/>
    <cellStyle name="Followed Hyperlink" xfId="2331" builtinId="9" hidden="1"/>
    <cellStyle name="Followed Hyperlink" xfId="2333" builtinId="9" hidden="1"/>
    <cellStyle name="Followed Hyperlink" xfId="2335" builtinId="9" hidden="1"/>
    <cellStyle name="Followed Hyperlink" xfId="2337" builtinId="9" hidden="1"/>
    <cellStyle name="Followed Hyperlink" xfId="2339" builtinId="9" hidden="1"/>
    <cellStyle name="Followed Hyperlink" xfId="2341" builtinId="9" hidden="1"/>
    <cellStyle name="Followed Hyperlink" xfId="2343" builtinId="9" hidden="1"/>
    <cellStyle name="Followed Hyperlink" xfId="2345" builtinId="9" hidden="1"/>
    <cellStyle name="Followed Hyperlink" xfId="2347" builtinId="9" hidden="1"/>
    <cellStyle name="Followed Hyperlink" xfId="2349" builtinId="9" hidden="1"/>
    <cellStyle name="Followed Hyperlink" xfId="2351" builtinId="9" hidden="1"/>
    <cellStyle name="Followed Hyperlink" xfId="2353" builtinId="9" hidden="1"/>
    <cellStyle name="Followed Hyperlink" xfId="2355" builtinId="9" hidden="1"/>
    <cellStyle name="Followed Hyperlink" xfId="2357" builtinId="9" hidden="1"/>
    <cellStyle name="Followed Hyperlink" xfId="2359" builtinId="9" hidden="1"/>
    <cellStyle name="Followed Hyperlink" xfId="2361" builtinId="9" hidden="1"/>
    <cellStyle name="Followed Hyperlink" xfId="2363" builtinId="9" hidden="1"/>
    <cellStyle name="Followed Hyperlink" xfId="2365" builtinId="9" hidden="1"/>
    <cellStyle name="Followed Hyperlink" xfId="2367" builtinId="9" hidden="1"/>
    <cellStyle name="Followed Hyperlink" xfId="2369" builtinId="9" hidden="1"/>
    <cellStyle name="Followed Hyperlink" xfId="2371" builtinId="9" hidden="1"/>
    <cellStyle name="Followed Hyperlink" xfId="2373" builtinId="9" hidden="1"/>
    <cellStyle name="Followed Hyperlink" xfId="2375" builtinId="9" hidden="1"/>
    <cellStyle name="Followed Hyperlink" xfId="2377" builtinId="9" hidden="1"/>
    <cellStyle name="Followed Hyperlink" xfId="2379" builtinId="9" hidden="1"/>
    <cellStyle name="Followed Hyperlink" xfId="2381" builtinId="9" hidden="1"/>
    <cellStyle name="Followed Hyperlink" xfId="2383" builtinId="9" hidden="1"/>
    <cellStyle name="Followed Hyperlink" xfId="2385" builtinId="9" hidden="1"/>
    <cellStyle name="Followed Hyperlink" xfId="2387" builtinId="9" hidden="1"/>
    <cellStyle name="Followed Hyperlink" xfId="2389" builtinId="9" hidden="1"/>
    <cellStyle name="Followed Hyperlink" xfId="2391" builtinId="9" hidden="1"/>
    <cellStyle name="Followed Hyperlink" xfId="2393" builtinId="9" hidden="1"/>
    <cellStyle name="Followed Hyperlink" xfId="2395" builtinId="9" hidden="1"/>
    <cellStyle name="Followed Hyperlink" xfId="2397" builtinId="9" hidden="1"/>
    <cellStyle name="Followed Hyperlink" xfId="2399" builtinId="9" hidden="1"/>
    <cellStyle name="Followed Hyperlink" xfId="2401" builtinId="9" hidden="1"/>
    <cellStyle name="Followed Hyperlink" xfId="240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hidden="1"/>
    <cellStyle name="Hyperlink" xfId="1498" builtinId="8" hidden="1"/>
    <cellStyle name="Hyperlink" xfId="1500" builtinId="8" hidden="1"/>
    <cellStyle name="Hyperlink" xfId="1502" builtinId="8" hidden="1"/>
    <cellStyle name="Hyperlink" xfId="1504" builtinId="8" hidden="1"/>
    <cellStyle name="Hyperlink" xfId="1506" builtinId="8" hidden="1"/>
    <cellStyle name="Hyperlink" xfId="1508" builtinId="8" hidden="1"/>
    <cellStyle name="Hyperlink" xfId="1510" builtinId="8" hidden="1"/>
    <cellStyle name="Hyperlink" xfId="1512" builtinId="8" hidden="1"/>
    <cellStyle name="Hyperlink" xfId="1514" builtinId="8" hidden="1"/>
    <cellStyle name="Hyperlink" xfId="1516" builtinId="8" hidden="1"/>
    <cellStyle name="Hyperlink" xfId="1518" builtinId="8" hidden="1"/>
    <cellStyle name="Hyperlink" xfId="1520" builtinId="8" hidden="1"/>
    <cellStyle name="Hyperlink" xfId="1522" builtinId="8" hidden="1"/>
    <cellStyle name="Hyperlink" xfId="1525" builtinId="8" hidden="1"/>
    <cellStyle name="Hyperlink" xfId="1527" builtinId="8" hidden="1"/>
    <cellStyle name="Hyperlink" xfId="1529" builtinId="8" hidden="1"/>
    <cellStyle name="Hyperlink" xfId="1531" builtinId="8" hidden="1"/>
    <cellStyle name="Hyperlink" xfId="1533" builtinId="8" hidden="1"/>
    <cellStyle name="Hyperlink" xfId="1535" builtinId="8" hidden="1"/>
    <cellStyle name="Hyperlink" xfId="1537" builtinId="8" hidden="1"/>
    <cellStyle name="Hyperlink" xfId="1539" builtinId="8" hidden="1"/>
    <cellStyle name="Hyperlink" xfId="1541" builtinId="8" hidden="1"/>
    <cellStyle name="Hyperlink" xfId="1543" builtinId="8" hidden="1"/>
    <cellStyle name="Hyperlink" xfId="1545" builtinId="8" hidden="1"/>
    <cellStyle name="Hyperlink" xfId="1547" builtinId="8" hidden="1"/>
    <cellStyle name="Hyperlink" xfId="1549" builtinId="8" hidden="1"/>
    <cellStyle name="Hyperlink" xfId="1551" builtinId="8" hidden="1"/>
    <cellStyle name="Hyperlink" xfId="1553" builtinId="8" hidden="1"/>
    <cellStyle name="Hyperlink" xfId="1555" builtinId="8" hidden="1"/>
    <cellStyle name="Hyperlink" xfId="1557" builtinId="8" hidden="1"/>
    <cellStyle name="Hyperlink" xfId="1559" builtinId="8" hidden="1"/>
    <cellStyle name="Hyperlink" xfId="1561" builtinId="8" hidden="1"/>
    <cellStyle name="Hyperlink" xfId="1563" builtinId="8" hidden="1"/>
    <cellStyle name="Hyperlink" xfId="1565" builtinId="8" hidden="1"/>
    <cellStyle name="Hyperlink" xfId="1567" builtinId="8" hidden="1"/>
    <cellStyle name="Hyperlink" xfId="1569" builtinId="8" hidden="1"/>
    <cellStyle name="Hyperlink" xfId="1571" builtinId="8" hidden="1"/>
    <cellStyle name="Hyperlink" xfId="1573" builtinId="8" hidden="1"/>
    <cellStyle name="Hyperlink" xfId="1575" builtinId="8" hidden="1"/>
    <cellStyle name="Hyperlink" xfId="1577" builtinId="8" hidden="1"/>
    <cellStyle name="Hyperlink" xfId="1579" builtinId="8" hidden="1"/>
    <cellStyle name="Hyperlink" xfId="1581" builtinId="8" hidden="1"/>
    <cellStyle name="Hyperlink" xfId="1583" builtinId="8" hidden="1"/>
    <cellStyle name="Hyperlink" xfId="1585" builtinId="8" hidden="1"/>
    <cellStyle name="Hyperlink" xfId="1587" builtinId="8" hidden="1"/>
    <cellStyle name="Hyperlink" xfId="1589" builtinId="8" hidden="1"/>
    <cellStyle name="Hyperlink" xfId="1591" builtinId="8" hidden="1"/>
    <cellStyle name="Hyperlink" xfId="1593" builtinId="8" hidden="1"/>
    <cellStyle name="Hyperlink" xfId="1595" builtinId="8" hidden="1"/>
    <cellStyle name="Hyperlink" xfId="1597" builtinId="8" hidden="1"/>
    <cellStyle name="Hyperlink" xfId="1599" builtinId="8" hidden="1"/>
    <cellStyle name="Hyperlink" xfId="1601" builtinId="8" hidden="1"/>
    <cellStyle name="Hyperlink" xfId="1603" builtinId="8" hidden="1"/>
    <cellStyle name="Hyperlink" xfId="1605" builtinId="8" hidden="1"/>
    <cellStyle name="Hyperlink" xfId="1607" builtinId="8" hidden="1"/>
    <cellStyle name="Hyperlink" xfId="1609" builtinId="8" hidden="1"/>
    <cellStyle name="Hyperlink" xfId="1611" builtinId="8" hidden="1"/>
    <cellStyle name="Hyperlink" xfId="1613" builtinId="8" hidden="1"/>
    <cellStyle name="Hyperlink" xfId="1615" builtinId="8" hidden="1"/>
    <cellStyle name="Hyperlink" xfId="1617" builtinId="8" hidden="1"/>
    <cellStyle name="Hyperlink" xfId="1619" builtinId="8" hidden="1"/>
    <cellStyle name="Hyperlink" xfId="1621" builtinId="8" hidden="1"/>
    <cellStyle name="Hyperlink" xfId="1623" builtinId="8" hidden="1"/>
    <cellStyle name="Hyperlink" xfId="1625" builtinId="8" hidden="1"/>
    <cellStyle name="Hyperlink" xfId="1627" builtinId="8" hidden="1"/>
    <cellStyle name="Hyperlink" xfId="1629" builtinId="8" hidden="1"/>
    <cellStyle name="Hyperlink" xfId="1631" builtinId="8" hidden="1"/>
    <cellStyle name="Hyperlink" xfId="1633" builtinId="8" hidden="1"/>
    <cellStyle name="Hyperlink" xfId="1635" builtinId="8" hidden="1"/>
    <cellStyle name="Hyperlink" xfId="1637" builtinId="8" hidden="1"/>
    <cellStyle name="Hyperlink" xfId="1639" builtinId="8" hidden="1"/>
    <cellStyle name="Hyperlink" xfId="1641" builtinId="8" hidden="1"/>
    <cellStyle name="Hyperlink" xfId="1643" builtinId="8" hidden="1"/>
    <cellStyle name="Hyperlink" xfId="1645" builtinId="8" hidden="1"/>
    <cellStyle name="Hyperlink" xfId="1647" builtinId="8" hidden="1"/>
    <cellStyle name="Hyperlink" xfId="1649" builtinId="8" hidden="1"/>
    <cellStyle name="Hyperlink" xfId="1651" builtinId="8" hidden="1"/>
    <cellStyle name="Hyperlink" xfId="1653" builtinId="8" hidden="1"/>
    <cellStyle name="Hyperlink" xfId="1655" builtinId="8" hidden="1"/>
    <cellStyle name="Hyperlink" xfId="1657" builtinId="8" hidden="1"/>
    <cellStyle name="Hyperlink" xfId="1659" builtinId="8" hidden="1"/>
    <cellStyle name="Hyperlink" xfId="1661" builtinId="8" hidden="1"/>
    <cellStyle name="Hyperlink" xfId="1663" builtinId="8" hidden="1"/>
    <cellStyle name="Hyperlink" xfId="1665" builtinId="8" hidden="1"/>
    <cellStyle name="Hyperlink" xfId="1667" builtinId="8" hidden="1"/>
    <cellStyle name="Hyperlink" xfId="1669" builtinId="8" hidden="1"/>
    <cellStyle name="Hyperlink" xfId="1671" builtinId="8" hidden="1"/>
    <cellStyle name="Hyperlink" xfId="1673" builtinId="8" hidden="1"/>
    <cellStyle name="Hyperlink" xfId="1675" builtinId="8" hidden="1"/>
    <cellStyle name="Hyperlink" xfId="1677" builtinId="8" hidden="1"/>
    <cellStyle name="Hyperlink" xfId="1679" builtinId="8" hidden="1"/>
    <cellStyle name="Hyperlink" xfId="1681" builtinId="8" hidden="1"/>
    <cellStyle name="Hyperlink" xfId="1683" builtinId="8" hidden="1"/>
    <cellStyle name="Hyperlink" xfId="1685" builtinId="8" hidden="1"/>
    <cellStyle name="Hyperlink" xfId="1687" builtinId="8" hidden="1"/>
    <cellStyle name="Hyperlink" xfId="1689" builtinId="8" hidden="1"/>
    <cellStyle name="Hyperlink" xfId="1691" builtinId="8" hidden="1"/>
    <cellStyle name="Hyperlink" xfId="1693" builtinId="8" hidden="1"/>
    <cellStyle name="Hyperlink" xfId="1695" builtinId="8" hidden="1"/>
    <cellStyle name="Hyperlink" xfId="1697" builtinId="8" hidden="1"/>
    <cellStyle name="Hyperlink" xfId="1699" builtinId="8" hidden="1"/>
    <cellStyle name="Hyperlink" xfId="1701" builtinId="8" hidden="1"/>
    <cellStyle name="Hyperlink" xfId="1703" builtinId="8" hidden="1"/>
    <cellStyle name="Hyperlink" xfId="1705" builtinId="8" hidden="1"/>
    <cellStyle name="Hyperlink" xfId="1707" builtinId="8" hidden="1"/>
    <cellStyle name="Hyperlink" xfId="1709" builtinId="8" hidden="1"/>
    <cellStyle name="Hyperlink" xfId="1711" builtinId="8" hidden="1"/>
    <cellStyle name="Hyperlink" xfId="1713" builtinId="8" hidden="1"/>
    <cellStyle name="Hyperlink" xfId="1715" builtinId="8" hidden="1"/>
    <cellStyle name="Hyperlink" xfId="1717" builtinId="8" hidden="1"/>
    <cellStyle name="Hyperlink" xfId="1719" builtinId="8" hidden="1"/>
    <cellStyle name="Hyperlink" xfId="1721" builtinId="8" hidden="1"/>
    <cellStyle name="Hyperlink" xfId="1723" builtinId="8" hidden="1"/>
    <cellStyle name="Hyperlink" xfId="1725" builtinId="8" hidden="1"/>
    <cellStyle name="Hyperlink" xfId="1727" builtinId="8" hidden="1"/>
    <cellStyle name="Hyperlink" xfId="1729" builtinId="8" hidden="1"/>
    <cellStyle name="Hyperlink" xfId="1731" builtinId="8" hidden="1"/>
    <cellStyle name="Hyperlink" xfId="1733" builtinId="8" hidden="1"/>
    <cellStyle name="Hyperlink" xfId="1735" builtinId="8" hidden="1"/>
    <cellStyle name="Hyperlink" xfId="1737" builtinId="8" hidden="1"/>
    <cellStyle name="Hyperlink" xfId="1739" builtinId="8" hidden="1"/>
    <cellStyle name="Hyperlink" xfId="1741" builtinId="8" hidden="1"/>
    <cellStyle name="Hyperlink" xfId="1743" builtinId="8" hidden="1"/>
    <cellStyle name="Hyperlink" xfId="1745" builtinId="8" hidden="1"/>
    <cellStyle name="Hyperlink" xfId="1747" builtinId="8" hidden="1"/>
    <cellStyle name="Hyperlink" xfId="1749" builtinId="8" hidden="1"/>
    <cellStyle name="Hyperlink" xfId="1751" builtinId="8" hidden="1"/>
    <cellStyle name="Hyperlink" xfId="1753" builtinId="8" hidden="1"/>
    <cellStyle name="Hyperlink" xfId="1755" builtinId="8" hidden="1"/>
    <cellStyle name="Hyperlink" xfId="1757" builtinId="8" hidden="1"/>
    <cellStyle name="Hyperlink" xfId="1759" builtinId="8" hidden="1"/>
    <cellStyle name="Hyperlink" xfId="1761" builtinId="8" hidden="1"/>
    <cellStyle name="Hyperlink" xfId="1763" builtinId="8" hidden="1"/>
    <cellStyle name="Hyperlink" xfId="1765" builtinId="8" hidden="1"/>
    <cellStyle name="Hyperlink" xfId="1767" builtinId="8" hidden="1"/>
    <cellStyle name="Hyperlink" xfId="1769" builtinId="8" hidden="1"/>
    <cellStyle name="Hyperlink" xfId="1771" builtinId="8" hidden="1"/>
    <cellStyle name="Hyperlink" xfId="1773" builtinId="8" hidden="1"/>
    <cellStyle name="Hyperlink" xfId="1792" builtinId="8" hidden="1"/>
    <cellStyle name="Hyperlink" xfId="1794" builtinId="8" hidden="1"/>
    <cellStyle name="Hyperlink" xfId="1796" builtinId="8" hidden="1"/>
    <cellStyle name="Hyperlink" xfId="1798" builtinId="8" hidden="1"/>
    <cellStyle name="Hyperlink" xfId="1800" builtinId="8" hidden="1"/>
    <cellStyle name="Hyperlink" xfId="1802" builtinId="8" hidden="1"/>
    <cellStyle name="Hyperlink" xfId="1804" builtinId="8" hidden="1"/>
    <cellStyle name="Hyperlink" xfId="1829" builtinId="8" hidden="1"/>
    <cellStyle name="Hyperlink" xfId="1831" builtinId="8" hidden="1"/>
    <cellStyle name="Hyperlink" xfId="1833" builtinId="8" hidden="1"/>
    <cellStyle name="Hyperlink" xfId="1835" builtinId="8" hidden="1"/>
    <cellStyle name="Hyperlink" xfId="1837" builtinId="8" hidden="1"/>
    <cellStyle name="Hyperlink" xfId="1839" builtinId="8" hidden="1"/>
    <cellStyle name="Hyperlink" xfId="1841" builtinId="8" hidden="1"/>
    <cellStyle name="Hyperlink" xfId="1843" builtinId="8" hidden="1"/>
    <cellStyle name="Hyperlink" xfId="1845" builtinId="8" hidden="1"/>
    <cellStyle name="Hyperlink" xfId="1847" builtinId="8" hidden="1"/>
    <cellStyle name="Hyperlink" xfId="1849" builtinId="8" hidden="1"/>
    <cellStyle name="Hyperlink" xfId="1904" builtinId="8" hidden="1"/>
    <cellStyle name="Hyperlink" xfId="1906" builtinId="8" hidden="1"/>
    <cellStyle name="Hyperlink" xfId="1908" builtinId="8" hidden="1"/>
    <cellStyle name="Hyperlink" xfId="1910" builtinId="8" hidden="1"/>
    <cellStyle name="Hyperlink" xfId="1912" builtinId="8" hidden="1"/>
    <cellStyle name="Hyperlink" xfId="1914" builtinId="8" hidden="1"/>
    <cellStyle name="Hyperlink" xfId="1916" builtinId="8" hidden="1"/>
    <cellStyle name="Hyperlink" xfId="1918" builtinId="8" hidden="1"/>
    <cellStyle name="Hyperlink" xfId="1939" builtinId="8" hidden="1"/>
    <cellStyle name="Hyperlink" xfId="1941" builtinId="8" hidden="1"/>
    <cellStyle name="Hyperlink" xfId="1943" builtinId="8" hidden="1"/>
    <cellStyle name="Hyperlink" xfId="1970" builtinId="8" hidden="1"/>
    <cellStyle name="Hyperlink" xfId="1972" builtinId="8" hidden="1"/>
    <cellStyle name="Hyperlink" xfId="1974" builtinId="8" hidden="1"/>
    <cellStyle name="Hyperlink" xfId="1976" builtinId="8" hidden="1"/>
    <cellStyle name="Hyperlink" xfId="1978" builtinId="8" hidden="1"/>
    <cellStyle name="Hyperlink" xfId="1980" builtinId="8" hidden="1"/>
    <cellStyle name="Hyperlink" xfId="1982" builtinId="8" hidden="1"/>
    <cellStyle name="Hyperlink" xfId="1984" builtinId="8" hidden="1"/>
    <cellStyle name="Hyperlink" xfId="1986" builtinId="8" hidden="1"/>
    <cellStyle name="Hyperlink" xfId="1988" builtinId="8" hidden="1"/>
    <cellStyle name="Hyperlink" xfId="1990" builtinId="8" hidden="1"/>
    <cellStyle name="Hyperlink" xfId="1992" builtinId="8" hidden="1"/>
    <cellStyle name="Hyperlink" xfId="1994" builtinId="8" hidden="1"/>
    <cellStyle name="Hyperlink" xfId="1996" builtinId="8" hidden="1"/>
    <cellStyle name="Hyperlink" xfId="1998" builtinId="8" hidden="1"/>
    <cellStyle name="Hyperlink" xfId="2000" builtinId="8" hidden="1"/>
    <cellStyle name="Hyperlink" xfId="2002" builtinId="8" hidden="1"/>
    <cellStyle name="Hyperlink" xfId="2004" builtinId="8" hidden="1"/>
    <cellStyle name="Hyperlink" xfId="2006" builtinId="8" hidden="1"/>
    <cellStyle name="Hyperlink" xfId="2008" builtinId="8" hidden="1"/>
    <cellStyle name="Hyperlink" xfId="2010" builtinId="8" hidden="1"/>
    <cellStyle name="Hyperlink" xfId="2012" builtinId="8" hidden="1"/>
    <cellStyle name="Hyperlink" xfId="2014" builtinId="8" hidden="1"/>
    <cellStyle name="Hyperlink" xfId="2016" builtinId="8" hidden="1"/>
    <cellStyle name="Hyperlink" xfId="2018" builtinId="8" hidden="1"/>
    <cellStyle name="Hyperlink" xfId="2020" builtinId="8" hidden="1"/>
    <cellStyle name="Hyperlink" xfId="2022" builtinId="8" hidden="1"/>
    <cellStyle name="Hyperlink" xfId="2024" builtinId="8" hidden="1"/>
    <cellStyle name="Hyperlink" xfId="2026" builtinId="8" hidden="1"/>
    <cellStyle name="Hyperlink" xfId="2028" builtinId="8" hidden="1"/>
    <cellStyle name="Hyperlink" xfId="2030" builtinId="8" hidden="1"/>
    <cellStyle name="Hyperlink" xfId="2032" builtinId="8" hidden="1"/>
    <cellStyle name="Hyperlink" xfId="2034" builtinId="8" hidden="1"/>
    <cellStyle name="Hyperlink" xfId="2036" builtinId="8" hidden="1"/>
    <cellStyle name="Hyperlink" xfId="2038" builtinId="8" hidden="1"/>
    <cellStyle name="Hyperlink" xfId="2040" builtinId="8" hidden="1"/>
    <cellStyle name="Hyperlink" xfId="2042" builtinId="8" hidden="1"/>
    <cellStyle name="Hyperlink" xfId="2044" builtinId="8" hidden="1"/>
    <cellStyle name="Hyperlink" xfId="2046" builtinId="8" hidden="1"/>
    <cellStyle name="Hyperlink" xfId="2048" builtinId="8" hidden="1"/>
    <cellStyle name="Hyperlink" xfId="2050" builtinId="8" hidden="1"/>
    <cellStyle name="Hyperlink" xfId="2052" builtinId="8" hidden="1"/>
    <cellStyle name="Hyperlink" xfId="2054" builtinId="8" hidden="1"/>
    <cellStyle name="Hyperlink" xfId="2056" builtinId="8" hidden="1"/>
    <cellStyle name="Hyperlink" xfId="2058" builtinId="8" hidden="1"/>
    <cellStyle name="Hyperlink" xfId="2060" builtinId="8" hidden="1"/>
    <cellStyle name="Hyperlink" xfId="2062" builtinId="8" hidden="1"/>
    <cellStyle name="Hyperlink" xfId="2064" builtinId="8" hidden="1"/>
    <cellStyle name="Hyperlink" xfId="2066" builtinId="8" hidden="1"/>
    <cellStyle name="Hyperlink" xfId="2068" builtinId="8" hidden="1"/>
    <cellStyle name="Hyperlink" xfId="2070" builtinId="8" hidden="1"/>
    <cellStyle name="Hyperlink" xfId="2072" builtinId="8" hidden="1"/>
    <cellStyle name="Hyperlink" xfId="2074" builtinId="8" hidden="1"/>
    <cellStyle name="Hyperlink" xfId="2076" builtinId="8" hidden="1"/>
    <cellStyle name="Hyperlink" xfId="2078" builtinId="8" hidden="1"/>
    <cellStyle name="Hyperlink" xfId="2080" builtinId="8" hidden="1"/>
    <cellStyle name="Hyperlink" xfId="2082" builtinId="8" hidden="1"/>
    <cellStyle name="Hyperlink" xfId="2084" builtinId="8" hidden="1"/>
    <cellStyle name="Hyperlink" xfId="2086" builtinId="8" hidden="1"/>
    <cellStyle name="Hyperlink" xfId="2088" builtinId="8" hidden="1"/>
    <cellStyle name="Hyperlink" xfId="2090" builtinId="8" hidden="1"/>
    <cellStyle name="Hyperlink" xfId="2092" builtinId="8" hidden="1"/>
    <cellStyle name="Hyperlink" xfId="2094" builtinId="8" hidden="1"/>
    <cellStyle name="Hyperlink" xfId="2096" builtinId="8" hidden="1"/>
    <cellStyle name="Hyperlink" xfId="2098" builtinId="8" hidden="1"/>
    <cellStyle name="Hyperlink" xfId="2100" builtinId="8" hidden="1"/>
    <cellStyle name="Hyperlink" xfId="2102" builtinId="8" hidden="1"/>
    <cellStyle name="Hyperlink" xfId="2104" builtinId="8" hidden="1"/>
    <cellStyle name="Hyperlink" xfId="2106" builtinId="8" hidden="1"/>
    <cellStyle name="Hyperlink" xfId="2108" builtinId="8" hidden="1"/>
    <cellStyle name="Hyperlink" xfId="2110" builtinId="8" hidden="1"/>
    <cellStyle name="Hyperlink" xfId="2112" builtinId="8" hidden="1"/>
    <cellStyle name="Hyperlink" xfId="2114" builtinId="8" hidden="1"/>
    <cellStyle name="Hyperlink" xfId="2116" builtinId="8" hidden="1"/>
    <cellStyle name="Hyperlink" xfId="2118" builtinId="8" hidden="1"/>
    <cellStyle name="Hyperlink" xfId="2120" builtinId="8" hidden="1"/>
    <cellStyle name="Hyperlink" xfId="2122" builtinId="8" hidden="1"/>
    <cellStyle name="Hyperlink" xfId="2124" builtinId="8" hidden="1"/>
    <cellStyle name="Hyperlink" xfId="2126" builtinId="8" hidden="1"/>
    <cellStyle name="Hyperlink" xfId="2128" builtinId="8" hidden="1"/>
    <cellStyle name="Hyperlink" xfId="2130" builtinId="8" hidden="1"/>
    <cellStyle name="Hyperlink" xfId="2132" builtinId="8" hidden="1"/>
    <cellStyle name="Hyperlink" xfId="2134" builtinId="8" hidden="1"/>
    <cellStyle name="Hyperlink" xfId="2136" builtinId="8" hidden="1"/>
    <cellStyle name="Hyperlink" xfId="2138" builtinId="8" hidden="1"/>
    <cellStyle name="Hyperlink" xfId="2140" builtinId="8" hidden="1"/>
    <cellStyle name="Hyperlink" xfId="2142" builtinId="8" hidden="1"/>
    <cellStyle name="Hyperlink" xfId="2144" builtinId="8" hidden="1"/>
    <cellStyle name="Hyperlink" xfId="2146" builtinId="8" hidden="1"/>
    <cellStyle name="Hyperlink" xfId="2148" builtinId="8" hidden="1"/>
    <cellStyle name="Hyperlink" xfId="2150" builtinId="8" hidden="1"/>
    <cellStyle name="Hyperlink" xfId="2152" builtinId="8" hidden="1"/>
    <cellStyle name="Hyperlink" xfId="2154" builtinId="8" hidden="1"/>
    <cellStyle name="Hyperlink" xfId="2156" builtinId="8" hidden="1"/>
    <cellStyle name="Hyperlink" xfId="2158" builtinId="8" hidden="1"/>
    <cellStyle name="Hyperlink" xfId="2160" builtinId="8" hidden="1"/>
    <cellStyle name="Hyperlink" xfId="2162" builtinId="8" hidden="1"/>
    <cellStyle name="Hyperlink" xfId="2164" builtinId="8" hidden="1"/>
    <cellStyle name="Hyperlink" xfId="2166" builtinId="8" hidden="1"/>
    <cellStyle name="Hyperlink" xfId="2168" builtinId="8" hidden="1"/>
    <cellStyle name="Hyperlink" xfId="2170" builtinId="8" hidden="1"/>
    <cellStyle name="Hyperlink" xfId="2172" builtinId="8" hidden="1"/>
    <cellStyle name="Hyperlink" xfId="2174" builtinId="8" hidden="1"/>
    <cellStyle name="Hyperlink" xfId="2176" builtinId="8" hidden="1"/>
    <cellStyle name="Hyperlink" xfId="2178" builtinId="8" hidden="1"/>
    <cellStyle name="Hyperlink" xfId="2180" builtinId="8" hidden="1"/>
    <cellStyle name="Hyperlink" xfId="2182" builtinId="8" hidden="1"/>
    <cellStyle name="Hyperlink" xfId="2184" builtinId="8" hidden="1"/>
    <cellStyle name="Hyperlink" xfId="2186" builtinId="8" hidden="1"/>
    <cellStyle name="Hyperlink" xfId="2188" builtinId="8" hidden="1"/>
    <cellStyle name="Hyperlink" xfId="2190" builtinId="8" hidden="1"/>
    <cellStyle name="Hyperlink" xfId="2192" builtinId="8" hidden="1"/>
    <cellStyle name="Hyperlink" xfId="2194" builtinId="8" hidden="1"/>
    <cellStyle name="Hyperlink" xfId="2196" builtinId="8" hidden="1"/>
    <cellStyle name="Hyperlink" xfId="2198" builtinId="8" hidden="1"/>
    <cellStyle name="Hyperlink" xfId="2200" builtinId="8" hidden="1"/>
    <cellStyle name="Hyperlink" xfId="2202" builtinId="8" hidden="1"/>
    <cellStyle name="Hyperlink" xfId="2204" builtinId="8" hidden="1"/>
    <cellStyle name="Hyperlink" xfId="2206" builtinId="8" hidden="1"/>
    <cellStyle name="Hyperlink" xfId="2208" builtinId="8" hidden="1"/>
    <cellStyle name="Hyperlink" xfId="2210" builtinId="8" hidden="1"/>
    <cellStyle name="Hyperlink" xfId="2212" builtinId="8" hidden="1"/>
    <cellStyle name="Hyperlink" xfId="2214" builtinId="8" hidden="1"/>
    <cellStyle name="Hyperlink" xfId="2216" builtinId="8" hidden="1"/>
    <cellStyle name="Hyperlink" xfId="2218" builtinId="8" hidden="1"/>
    <cellStyle name="Hyperlink" xfId="2220" builtinId="8" hidden="1"/>
    <cellStyle name="Hyperlink" xfId="2222" builtinId="8" hidden="1"/>
    <cellStyle name="Hyperlink" xfId="2224" builtinId="8" hidden="1"/>
    <cellStyle name="Hyperlink" xfId="2226" builtinId="8" hidden="1"/>
    <cellStyle name="Hyperlink" xfId="2228" builtinId="8" hidden="1"/>
    <cellStyle name="Hyperlink" xfId="2230" builtinId="8" hidden="1"/>
    <cellStyle name="Hyperlink" xfId="2232" builtinId="8" hidden="1"/>
    <cellStyle name="Hyperlink" xfId="2234" builtinId="8" hidden="1"/>
    <cellStyle name="Hyperlink" xfId="2236" builtinId="8" hidden="1"/>
    <cellStyle name="Hyperlink" xfId="2238" builtinId="8" hidden="1"/>
    <cellStyle name="Hyperlink" xfId="2240" builtinId="8" hidden="1"/>
    <cellStyle name="Hyperlink" xfId="2242" builtinId="8" hidden="1"/>
    <cellStyle name="Hyperlink" xfId="2244" builtinId="8" hidden="1"/>
    <cellStyle name="Hyperlink" xfId="2246" builtinId="8" hidden="1"/>
    <cellStyle name="Hyperlink" xfId="2248" builtinId="8" hidden="1"/>
    <cellStyle name="Hyperlink" xfId="2250" builtinId="8" hidden="1"/>
    <cellStyle name="Hyperlink" xfId="2252" builtinId="8" hidden="1"/>
    <cellStyle name="Hyperlink" xfId="2254" builtinId="8" hidden="1"/>
    <cellStyle name="Hyperlink" xfId="2256" builtinId="8" hidden="1"/>
    <cellStyle name="Hyperlink" xfId="2258" builtinId="8" hidden="1"/>
    <cellStyle name="Hyperlink" xfId="2260" builtinId="8" hidden="1"/>
    <cellStyle name="Hyperlink" xfId="2262" builtinId="8" hidden="1"/>
    <cellStyle name="Hyperlink" xfId="2264" builtinId="8" hidden="1"/>
    <cellStyle name="Hyperlink" xfId="2266" builtinId="8" hidden="1"/>
    <cellStyle name="Hyperlink" xfId="2268" builtinId="8" hidden="1"/>
    <cellStyle name="Hyperlink" xfId="2270" builtinId="8" hidden="1"/>
    <cellStyle name="Hyperlink" xfId="2272" builtinId="8" hidden="1"/>
    <cellStyle name="Hyperlink" xfId="2274" builtinId="8" hidden="1"/>
    <cellStyle name="Hyperlink" xfId="2276" builtinId="8" hidden="1"/>
    <cellStyle name="Hyperlink" xfId="2278" builtinId="8" hidden="1"/>
    <cellStyle name="Hyperlink" xfId="2280" builtinId="8" hidden="1"/>
    <cellStyle name="Hyperlink" xfId="2282" builtinId="8" hidden="1"/>
    <cellStyle name="Hyperlink" xfId="2284" builtinId="8" hidden="1"/>
    <cellStyle name="Hyperlink" xfId="2286" builtinId="8" hidden="1"/>
    <cellStyle name="Hyperlink" xfId="2288" builtinId="8" hidden="1"/>
    <cellStyle name="Hyperlink" xfId="2290" builtinId="8" hidden="1"/>
    <cellStyle name="Hyperlink" xfId="2292" builtinId="8" hidden="1"/>
    <cellStyle name="Hyperlink" xfId="2294" builtinId="8" hidden="1"/>
    <cellStyle name="Hyperlink" xfId="2296" builtinId="8" hidden="1"/>
    <cellStyle name="Hyperlink" xfId="2298" builtinId="8" hidden="1"/>
    <cellStyle name="Hyperlink" xfId="2300" builtinId="8" hidden="1"/>
    <cellStyle name="Hyperlink" xfId="2302" builtinId="8" hidden="1"/>
    <cellStyle name="Hyperlink" xfId="2304" builtinId="8" hidden="1"/>
    <cellStyle name="Hyperlink" xfId="2306" builtinId="8" hidden="1"/>
    <cellStyle name="Hyperlink" xfId="2308" builtinId="8" hidden="1"/>
    <cellStyle name="Hyperlink" xfId="2310" builtinId="8" hidden="1"/>
    <cellStyle name="Hyperlink" xfId="2312" builtinId="8" hidden="1"/>
    <cellStyle name="Hyperlink" xfId="2314" builtinId="8" hidden="1"/>
    <cellStyle name="Hyperlink" xfId="2316" builtinId="8" hidden="1"/>
    <cellStyle name="Hyperlink" xfId="2318" builtinId="8" hidden="1"/>
    <cellStyle name="Hyperlink" xfId="2320" builtinId="8" hidden="1"/>
    <cellStyle name="Hyperlink" xfId="2322" builtinId="8" hidden="1"/>
    <cellStyle name="Hyperlink" xfId="2324" builtinId="8" hidden="1"/>
    <cellStyle name="Hyperlink" xfId="2326" builtinId="8" hidden="1"/>
    <cellStyle name="Hyperlink" xfId="2328" builtinId="8" hidden="1"/>
    <cellStyle name="Hyperlink" xfId="2330" builtinId="8" hidden="1"/>
    <cellStyle name="Hyperlink" xfId="2332" builtinId="8" hidden="1"/>
    <cellStyle name="Hyperlink" xfId="2334" builtinId="8" hidden="1"/>
    <cellStyle name="Hyperlink" xfId="2336" builtinId="8" hidden="1"/>
    <cellStyle name="Hyperlink" xfId="2338" builtinId="8" hidden="1"/>
    <cellStyle name="Hyperlink" xfId="2340" builtinId="8" hidden="1"/>
    <cellStyle name="Hyperlink" xfId="2342" builtinId="8" hidden="1"/>
    <cellStyle name="Hyperlink" xfId="2344" builtinId="8" hidden="1"/>
    <cellStyle name="Hyperlink" xfId="2346" builtinId="8" hidden="1"/>
    <cellStyle name="Hyperlink" xfId="2348" builtinId="8" hidden="1"/>
    <cellStyle name="Hyperlink" xfId="2350" builtinId="8" hidden="1"/>
    <cellStyle name="Hyperlink" xfId="2352" builtinId="8" hidden="1"/>
    <cellStyle name="Hyperlink" xfId="2354" builtinId="8" hidden="1"/>
    <cellStyle name="Hyperlink" xfId="2356" builtinId="8" hidden="1"/>
    <cellStyle name="Hyperlink" xfId="2358" builtinId="8" hidden="1"/>
    <cellStyle name="Hyperlink" xfId="2360" builtinId="8" hidden="1"/>
    <cellStyle name="Hyperlink" xfId="2362" builtinId="8" hidden="1"/>
    <cellStyle name="Hyperlink" xfId="2364" builtinId="8" hidden="1"/>
    <cellStyle name="Hyperlink" xfId="2366" builtinId="8" hidden="1"/>
    <cellStyle name="Hyperlink" xfId="2368" builtinId="8" hidden="1"/>
    <cellStyle name="Hyperlink" xfId="2370" builtinId="8" hidden="1"/>
    <cellStyle name="Hyperlink" xfId="2372" builtinId="8" hidden="1"/>
    <cellStyle name="Hyperlink" xfId="2374" builtinId="8" hidden="1"/>
    <cellStyle name="Hyperlink" xfId="2376" builtinId="8" hidden="1"/>
    <cellStyle name="Hyperlink" xfId="2378" builtinId="8" hidden="1"/>
    <cellStyle name="Hyperlink" xfId="2380" builtinId="8" hidden="1"/>
    <cellStyle name="Hyperlink" xfId="2382" builtinId="8" hidden="1"/>
    <cellStyle name="Hyperlink" xfId="2384" builtinId="8" hidden="1"/>
    <cellStyle name="Hyperlink" xfId="2386" builtinId="8" hidden="1"/>
    <cellStyle name="Hyperlink" xfId="2388" builtinId="8" hidden="1"/>
    <cellStyle name="Hyperlink" xfId="2390" builtinId="8" hidden="1"/>
    <cellStyle name="Hyperlink" xfId="2392" builtinId="8" hidden="1"/>
    <cellStyle name="Hyperlink" xfId="2394" builtinId="8" hidden="1"/>
    <cellStyle name="Hyperlink" xfId="2396" builtinId="8" hidden="1"/>
    <cellStyle name="Hyperlink" xfId="2398" builtinId="8" hidden="1"/>
    <cellStyle name="Hyperlink" xfId="2400" builtinId="8" hidden="1"/>
    <cellStyle name="Hyperlink" xfId="2402" builtinId="8" hidden="1"/>
    <cellStyle name="Input cel" xfId="712" xr:uid="{00000000-0005-0000-0000-00005C090000}"/>
    <cellStyle name="Linked Cell" xfId="818" builtinId="24" customBuiltin="1"/>
    <cellStyle name="Normal" xfId="0" builtinId="0"/>
    <cellStyle name="Normal 2" xfId="713" xr:uid="{00000000-0005-0000-0000-00005F090000}"/>
    <cellStyle name="Per cent" xfId="1" builtinId="5"/>
    <cellStyle name="Percent 2" xfId="714" xr:uid="{00000000-0005-0000-0000-000061090000}"/>
    <cellStyle name="Percent 3" xfId="892" xr:uid="{00000000-0005-0000-0000-000062090000}"/>
    <cellStyle name="Warning Text 3" xfId="715" xr:uid="{00000000-0005-0000-0000-000063090000}"/>
  </cellStyles>
  <dxfs count="1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auto="1"/>
      </font>
      <fill>
        <patternFill patternType="none">
          <fgColor indexed="64"/>
          <bgColor auto="1"/>
        </patternFill>
      </fill>
    </dxf>
    <dxf>
      <fill>
        <patternFill>
          <bgColor rgb="FFFFC7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CCFFCC"/>
      </font>
      <fill>
        <patternFill>
          <bgColor rgb="FFC6EFCE"/>
        </patternFill>
      </fill>
    </dxf>
    <dxf>
      <font>
        <color rgb="FF006100"/>
      </font>
      <fill>
        <patternFill>
          <bgColor rgb="FFC6EFCE"/>
        </patternFill>
      </fill>
    </dxf>
    <dxf>
      <font>
        <color rgb="FFCCFFCC"/>
      </font>
      <fill>
        <patternFill>
          <bgColor rgb="FFC6EFCE"/>
        </patternFill>
      </fill>
    </dxf>
    <dxf>
      <font>
        <color rgb="FFCCFFCC"/>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68</xdr:col>
      <xdr:colOff>0</xdr:colOff>
      <xdr:row>7</xdr:row>
      <xdr:rowOff>0</xdr:rowOff>
    </xdr:from>
    <xdr:to>
      <xdr:col>76</xdr:col>
      <xdr:colOff>0</xdr:colOff>
      <xdr:row>43</xdr:row>
      <xdr:rowOff>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4681200" y="1816100"/>
          <a:ext cx="1727200" cy="6858000"/>
        </a:xfrm>
        <a:prstGeom prst="rect">
          <a:avLst/>
        </a:prstGeom>
        <a:solidFill>
          <a:schemeClr val="accent2">
            <a:lumMod val="60000"/>
            <a:lumOff val="40000"/>
            <a:alpha val="51000"/>
          </a:schemeClr>
        </a:solidFill>
        <a:ln/>
      </xdr:spPr>
      <xdr:style>
        <a:lnRef idx="1">
          <a:schemeClr val="accent1"/>
        </a:lnRef>
        <a:fillRef idx="3">
          <a:schemeClr val="accent1"/>
        </a:fillRef>
        <a:effectRef idx="2">
          <a:schemeClr val="accent1"/>
        </a:effectRef>
        <a:fontRef idx="minor">
          <a:schemeClr val="lt1"/>
        </a:fontRef>
      </xdr:style>
      <xdr:txBody>
        <a:bodyPr wrap="square" anchor="t"/>
        <a:lstStyle/>
        <a:p>
          <a:pPr algn="ctr"/>
          <a:r>
            <a:rPr lang="en-US" sz="2000" u="sng"/>
            <a:t>Results</a:t>
          </a:r>
        </a:p>
      </xdr:txBody>
    </xdr:sp>
    <xdr:clientData/>
  </xdr:twoCellAnchor>
  <xdr:twoCellAnchor>
    <xdr:from>
      <xdr:col>10</xdr:col>
      <xdr:colOff>0</xdr:colOff>
      <xdr:row>7</xdr:row>
      <xdr:rowOff>25400</xdr:rowOff>
    </xdr:from>
    <xdr:to>
      <xdr:col>76</xdr:col>
      <xdr:colOff>0</xdr:colOff>
      <xdr:row>47</xdr:row>
      <xdr:rowOff>0</xdr:rowOff>
    </xdr:to>
    <xdr:sp macro="" textlink="">
      <xdr:nvSpPr>
        <xdr:cNvPr id="49" name="L-Shape 48">
          <a:extLst>
            <a:ext uri="{FF2B5EF4-FFF2-40B4-BE49-F238E27FC236}">
              <a16:creationId xmlns:a16="http://schemas.microsoft.com/office/drawing/2014/main" id="{00000000-0008-0000-0400-000031000000}"/>
            </a:ext>
          </a:extLst>
        </xdr:cNvPr>
        <xdr:cNvSpPr/>
      </xdr:nvSpPr>
      <xdr:spPr>
        <a:xfrm>
          <a:off x="2159000" y="1841500"/>
          <a:ext cx="14249400" cy="7594600"/>
        </a:xfrm>
        <a:prstGeom prst="corner">
          <a:avLst>
            <a:gd name="adj1" fmla="val 7228"/>
            <a:gd name="adj2" fmla="val 28059"/>
          </a:avLst>
        </a:prstGeom>
        <a:solidFill>
          <a:srgbClr val="CDB236">
            <a:alpha val="51000"/>
          </a:srgbClr>
        </a:solidFill>
        <a:ln>
          <a:solidFill>
            <a:schemeClr val="accent2"/>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pPr algn="l"/>
          <a:endParaRPr lang="en-US" sz="2000" u="sng"/>
        </a:p>
      </xdr:txBody>
    </xdr:sp>
    <xdr:clientData/>
  </xdr:twoCellAnchor>
  <xdr:twoCellAnchor>
    <xdr:from>
      <xdr:col>22</xdr:col>
      <xdr:colOff>0</xdr:colOff>
      <xdr:row>7</xdr:row>
      <xdr:rowOff>0</xdr:rowOff>
    </xdr:from>
    <xdr:to>
      <xdr:col>66</xdr:col>
      <xdr:colOff>12700</xdr:colOff>
      <xdr:row>42</xdr:row>
      <xdr:rowOff>177800</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4749800" y="1816100"/>
          <a:ext cx="9512300" cy="6845300"/>
        </a:xfrm>
        <a:prstGeom prst="rect">
          <a:avLst/>
        </a:prstGeom>
        <a:solidFill>
          <a:schemeClr val="accent5">
            <a:lumMod val="60000"/>
            <a:lumOff val="40000"/>
            <a:alpha val="46000"/>
          </a:schemeClr>
        </a:solidFill>
        <a:ln>
          <a:solidFill>
            <a:schemeClr val="accent2"/>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Calculations</a:t>
          </a:r>
        </a:p>
      </xdr:txBody>
    </xdr:sp>
    <xdr:clientData/>
  </xdr:twoCellAnchor>
  <xdr:twoCellAnchor>
    <xdr:from>
      <xdr:col>11</xdr:col>
      <xdr:colOff>0</xdr:colOff>
      <xdr:row>22</xdr:row>
      <xdr:rowOff>0</xdr:rowOff>
    </xdr:from>
    <xdr:to>
      <xdr:col>19</xdr:col>
      <xdr:colOff>0</xdr:colOff>
      <xdr:row>41</xdr:row>
      <xdr:rowOff>127000</xdr:rowOff>
    </xdr:to>
    <xdr:sp macro="" textlink="">
      <xdr:nvSpPr>
        <xdr:cNvPr id="4" name="Rectangle 3">
          <a:extLst>
            <a:ext uri="{FF2B5EF4-FFF2-40B4-BE49-F238E27FC236}">
              <a16:creationId xmlns:a16="http://schemas.microsoft.com/office/drawing/2014/main" id="{00000000-0008-0000-0400-000004000000}"/>
            </a:ext>
          </a:extLst>
        </xdr:cNvPr>
        <xdr:cNvSpPr/>
      </xdr:nvSpPr>
      <xdr:spPr>
        <a:xfrm>
          <a:off x="2374900" y="4673600"/>
          <a:ext cx="1727200" cy="3746500"/>
        </a:xfrm>
        <a:prstGeom prst="rect">
          <a:avLst/>
        </a:prstGeom>
        <a:solidFill>
          <a:schemeClr val="bg2">
            <a:lumMod val="75000"/>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Assumptions</a:t>
          </a:r>
        </a:p>
      </xdr:txBody>
    </xdr:sp>
    <xdr:clientData/>
  </xdr:twoCellAnchor>
  <xdr:twoCellAnchor>
    <xdr:from>
      <xdr:col>1</xdr:col>
      <xdr:colOff>0</xdr:colOff>
      <xdr:row>24</xdr:row>
      <xdr:rowOff>88900</xdr:rowOff>
    </xdr:from>
    <xdr:to>
      <xdr:col>9</xdr:col>
      <xdr:colOff>0</xdr:colOff>
      <xdr:row>47</xdr:row>
      <xdr:rowOff>0</xdr:rowOff>
    </xdr:to>
    <xdr:sp macro="" textlink="">
      <xdr:nvSpPr>
        <xdr:cNvPr id="5" name="Rectangle 4">
          <a:extLst>
            <a:ext uri="{FF2B5EF4-FFF2-40B4-BE49-F238E27FC236}">
              <a16:creationId xmlns:a16="http://schemas.microsoft.com/office/drawing/2014/main" id="{00000000-0008-0000-0400-000005000000}"/>
            </a:ext>
          </a:extLst>
        </xdr:cNvPr>
        <xdr:cNvSpPr/>
      </xdr:nvSpPr>
      <xdr:spPr>
        <a:xfrm>
          <a:off x="215900" y="5143500"/>
          <a:ext cx="1727200" cy="4292600"/>
        </a:xfrm>
        <a:prstGeom prst="rect">
          <a:avLst/>
        </a:prstGeom>
        <a:solidFill>
          <a:schemeClr val="accent3">
            <a:lumMod val="60000"/>
            <a:lumOff val="40000"/>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Sources</a:t>
          </a:r>
        </a:p>
      </xdr:txBody>
    </xdr:sp>
    <xdr:clientData/>
  </xdr:twoCellAnchor>
  <xdr:twoCellAnchor>
    <xdr:from>
      <xdr:col>1</xdr:col>
      <xdr:colOff>12700</xdr:colOff>
      <xdr:row>7</xdr:row>
      <xdr:rowOff>25400</xdr:rowOff>
    </xdr:from>
    <xdr:to>
      <xdr:col>9</xdr:col>
      <xdr:colOff>0</xdr:colOff>
      <xdr:row>23</xdr:row>
      <xdr:rowOff>12700</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228600" y="1841500"/>
          <a:ext cx="1714500" cy="3035300"/>
        </a:xfrm>
        <a:prstGeom prst="rect">
          <a:avLst/>
        </a:prstGeom>
        <a:solidFill>
          <a:schemeClr val="accent3">
            <a:alpha val="46000"/>
          </a:schemeClr>
        </a:solidFill>
        <a:ln/>
      </xdr:spPr>
      <xdr:style>
        <a:lnRef idx="1">
          <a:schemeClr val="accent2"/>
        </a:lnRef>
        <a:fillRef idx="3">
          <a:schemeClr val="accent2"/>
        </a:fillRef>
        <a:effectRef idx="2">
          <a:schemeClr val="accent2"/>
        </a:effectRef>
        <a:fontRef idx="minor">
          <a:schemeClr val="lt1"/>
        </a:fontRef>
      </xdr:style>
      <xdr:txBody>
        <a:bodyPr wrap="square" anchor="t"/>
        <a:lstStyle/>
        <a:p>
          <a:pPr algn="ctr"/>
          <a:r>
            <a:rPr lang="en-US" sz="2000" u="sng"/>
            <a:t>Research data</a:t>
          </a:r>
        </a:p>
      </xdr:txBody>
    </xdr:sp>
    <xdr:clientData/>
  </xdr:twoCellAnchor>
  <xdr:twoCellAnchor>
    <xdr:from>
      <xdr:col>2</xdr:col>
      <xdr:colOff>0</xdr:colOff>
      <xdr:row>10</xdr:row>
      <xdr:rowOff>17669</xdr:rowOff>
    </xdr:from>
    <xdr:to>
      <xdr:col>8</xdr:col>
      <xdr:colOff>0</xdr:colOff>
      <xdr:row>13</xdr:row>
      <xdr:rowOff>1</xdr:rowOff>
    </xdr:to>
    <xdr:sp macro="" textlink="">
      <xdr:nvSpPr>
        <xdr:cNvPr id="7" name="Rectangle 6">
          <a:extLst>
            <a:ext uri="{FF2B5EF4-FFF2-40B4-BE49-F238E27FC236}">
              <a16:creationId xmlns:a16="http://schemas.microsoft.com/office/drawing/2014/main" id="{00000000-0008-0000-0400-000007000000}"/>
            </a:ext>
          </a:extLst>
        </xdr:cNvPr>
        <xdr:cNvSpPr/>
      </xdr:nvSpPr>
      <xdr:spPr>
        <a:xfrm>
          <a:off x="431800" y="2405269"/>
          <a:ext cx="1295400" cy="553832"/>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Corrected energy balance step 2</a:t>
          </a:r>
        </a:p>
      </xdr:txBody>
    </xdr:sp>
    <xdr:clientData/>
  </xdr:twoCellAnchor>
  <xdr:twoCellAnchor>
    <xdr:from>
      <xdr:col>77</xdr:col>
      <xdr:colOff>0</xdr:colOff>
      <xdr:row>7</xdr:row>
      <xdr:rowOff>0</xdr:rowOff>
    </xdr:from>
    <xdr:to>
      <xdr:col>90</xdr:col>
      <xdr:colOff>0</xdr:colOff>
      <xdr:row>47</xdr:row>
      <xdr:rowOff>0</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a:off x="16624300" y="1816100"/>
          <a:ext cx="2806700" cy="7620000"/>
        </a:xfrm>
        <a:prstGeom prst="rect">
          <a:avLst/>
        </a:prstGeom>
        <a:solidFill>
          <a:schemeClr val="accent4">
            <a:lumMod val="60000"/>
            <a:lumOff val="40000"/>
            <a:alpha val="51000"/>
          </a:schemeClr>
        </a:solidFill>
        <a:ln/>
      </xdr:spPr>
      <xdr:style>
        <a:lnRef idx="1">
          <a:schemeClr val="accent1"/>
        </a:lnRef>
        <a:fillRef idx="3">
          <a:schemeClr val="accent1"/>
        </a:fillRef>
        <a:effectRef idx="2">
          <a:schemeClr val="accent1"/>
        </a:effectRef>
        <a:fontRef idx="minor">
          <a:schemeClr val="lt1"/>
        </a:fontRef>
      </xdr:style>
      <xdr:txBody>
        <a:bodyPr wrap="square" anchor="t"/>
        <a:lstStyle/>
        <a:p>
          <a:pPr algn="ctr"/>
          <a:r>
            <a:rPr lang="en-US" sz="2000" u="sng"/>
            <a:t>ETM Input Data</a:t>
          </a:r>
        </a:p>
      </xdr:txBody>
    </xdr:sp>
    <xdr:clientData/>
  </xdr:twoCellAnchor>
  <xdr:twoCellAnchor>
    <xdr:from>
      <xdr:col>20</xdr:col>
      <xdr:colOff>203200</xdr:colOff>
      <xdr:row>7</xdr:row>
      <xdr:rowOff>12700</xdr:rowOff>
    </xdr:from>
    <xdr:to>
      <xdr:col>21</xdr:col>
      <xdr:colOff>0</xdr:colOff>
      <xdr:row>43</xdr:row>
      <xdr:rowOff>0</xdr:rowOff>
    </xdr:to>
    <xdr:cxnSp macro="">
      <xdr:nvCxnSpPr>
        <xdr:cNvPr id="9" name="Straight Connector 8">
          <a:extLst>
            <a:ext uri="{FF2B5EF4-FFF2-40B4-BE49-F238E27FC236}">
              <a16:creationId xmlns:a16="http://schemas.microsoft.com/office/drawing/2014/main" id="{00000000-0008-0000-0400-000009000000}"/>
            </a:ext>
          </a:extLst>
        </xdr:cNvPr>
        <xdr:cNvCxnSpPr/>
      </xdr:nvCxnSpPr>
      <xdr:spPr>
        <a:xfrm>
          <a:off x="4521200" y="1828800"/>
          <a:ext cx="12700" cy="6845300"/>
        </a:xfrm>
        <a:prstGeom prst="line">
          <a:avLst/>
        </a:prstGeom>
        <a:ln>
          <a:solidFill>
            <a:schemeClr val="tx1"/>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0</xdr:colOff>
      <xdr:row>25</xdr:row>
      <xdr:rowOff>12700</xdr:rowOff>
    </xdr:from>
    <xdr:to>
      <xdr:col>18</xdr:col>
      <xdr:colOff>0</xdr:colOff>
      <xdr:row>29</xdr:row>
      <xdr:rowOff>177800</xdr:rowOff>
    </xdr:to>
    <xdr:sp macro="" textlink="">
      <xdr:nvSpPr>
        <xdr:cNvPr id="10" name="Rectangle 9">
          <a:extLst>
            <a:ext uri="{FF2B5EF4-FFF2-40B4-BE49-F238E27FC236}">
              <a16:creationId xmlns:a16="http://schemas.microsoft.com/office/drawing/2014/main" id="{00000000-0008-0000-0400-00000A000000}"/>
            </a:ext>
          </a:extLst>
        </xdr:cNvPr>
        <xdr:cNvSpPr/>
      </xdr:nvSpPr>
      <xdr:spPr>
        <a:xfrm>
          <a:off x="2590800" y="5257800"/>
          <a:ext cx="1295400" cy="9271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Final demand for Space</a:t>
          </a:r>
          <a:r>
            <a:rPr lang="en-US" baseline="0"/>
            <a:t> H</a:t>
          </a:r>
          <a:r>
            <a:rPr lang="en-US"/>
            <a:t>eating, Space</a:t>
          </a:r>
          <a:r>
            <a:rPr lang="en-US" baseline="0"/>
            <a:t> Cooling, Lighting and Hot Water</a:t>
          </a:r>
          <a:endParaRPr lang="en-US"/>
        </a:p>
      </xdr:txBody>
    </xdr:sp>
    <xdr:clientData/>
  </xdr:twoCellAnchor>
  <xdr:twoCellAnchor>
    <xdr:from>
      <xdr:col>67</xdr:col>
      <xdr:colOff>0</xdr:colOff>
      <xdr:row>7</xdr:row>
      <xdr:rowOff>0</xdr:rowOff>
    </xdr:from>
    <xdr:to>
      <xdr:col>67</xdr:col>
      <xdr:colOff>0</xdr:colOff>
      <xdr:row>43</xdr:row>
      <xdr:rowOff>0</xdr:rowOff>
    </xdr:to>
    <xdr:cxnSp macro="">
      <xdr:nvCxnSpPr>
        <xdr:cNvPr id="11" name="Straight Connector 10">
          <a:extLst>
            <a:ext uri="{FF2B5EF4-FFF2-40B4-BE49-F238E27FC236}">
              <a16:creationId xmlns:a16="http://schemas.microsoft.com/office/drawing/2014/main" id="{00000000-0008-0000-0400-00000B000000}"/>
            </a:ext>
          </a:extLst>
        </xdr:cNvPr>
        <xdr:cNvCxnSpPr/>
      </xdr:nvCxnSpPr>
      <xdr:spPr>
        <a:xfrm>
          <a:off x="14249400" y="1816100"/>
          <a:ext cx="0" cy="6858000"/>
        </a:xfrm>
        <a:prstGeom prst="line">
          <a:avLst/>
        </a:prstGeom>
        <a:ln>
          <a:solidFill>
            <a:schemeClr val="tx1"/>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203200</xdr:colOff>
      <xdr:row>27</xdr:row>
      <xdr:rowOff>95250</xdr:rowOff>
    </xdr:from>
    <xdr:to>
      <xdr:col>12</xdr:col>
      <xdr:colOff>0</xdr:colOff>
      <xdr:row>34</xdr:row>
      <xdr:rowOff>31750</xdr:rowOff>
    </xdr:to>
    <xdr:cxnSp macro="">
      <xdr:nvCxnSpPr>
        <xdr:cNvPr id="13" name="Straight Arrow Connector 278">
          <a:extLst>
            <a:ext uri="{FF2B5EF4-FFF2-40B4-BE49-F238E27FC236}">
              <a16:creationId xmlns:a16="http://schemas.microsoft.com/office/drawing/2014/main" id="{00000000-0008-0000-0400-00000D000000}"/>
            </a:ext>
          </a:extLst>
        </xdr:cNvPr>
        <xdr:cNvCxnSpPr>
          <a:stCxn id="46" idx="3"/>
          <a:endCxn id="10" idx="1"/>
        </xdr:cNvCxnSpPr>
      </xdr:nvCxnSpPr>
      <xdr:spPr>
        <a:xfrm flipV="1">
          <a:off x="1714500" y="5721350"/>
          <a:ext cx="876300" cy="1270000"/>
        </a:xfrm>
        <a:prstGeom prst="bentConnector3">
          <a:avLst>
            <a:gd name="adj1" fmla="val 50000"/>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69</xdr:col>
      <xdr:colOff>0</xdr:colOff>
      <xdr:row>32</xdr:row>
      <xdr:rowOff>114300</xdr:rowOff>
    </xdr:from>
    <xdr:to>
      <xdr:col>75</xdr:col>
      <xdr:colOff>0</xdr:colOff>
      <xdr:row>35</xdr:row>
      <xdr:rowOff>101600</xdr:rowOff>
    </xdr:to>
    <xdr:sp macro="" textlink="">
      <xdr:nvSpPr>
        <xdr:cNvPr id="14" name="Rectangle 13">
          <a:extLst>
            <a:ext uri="{FF2B5EF4-FFF2-40B4-BE49-F238E27FC236}">
              <a16:creationId xmlns:a16="http://schemas.microsoft.com/office/drawing/2014/main" id="{00000000-0008-0000-0400-00000E000000}"/>
            </a:ext>
          </a:extLst>
        </xdr:cNvPr>
        <xdr:cNvSpPr/>
      </xdr:nvSpPr>
      <xdr:spPr>
        <a:xfrm>
          <a:off x="14897100" y="6692900"/>
          <a:ext cx="1295400" cy="5588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Technology Shares of final demand</a:t>
          </a:r>
          <a:endParaRPr lang="en-US" baseline="0"/>
        </a:p>
      </xdr:txBody>
    </xdr:sp>
    <xdr:clientData/>
  </xdr:twoCellAnchor>
  <xdr:twoCellAnchor>
    <xdr:from>
      <xdr:col>75</xdr:col>
      <xdr:colOff>0</xdr:colOff>
      <xdr:row>29</xdr:row>
      <xdr:rowOff>114300</xdr:rowOff>
    </xdr:from>
    <xdr:to>
      <xdr:col>78</xdr:col>
      <xdr:colOff>0</xdr:colOff>
      <xdr:row>34</xdr:row>
      <xdr:rowOff>12700</xdr:rowOff>
    </xdr:to>
    <xdr:cxnSp macro="">
      <xdr:nvCxnSpPr>
        <xdr:cNvPr id="15" name="Elbow Connector 195">
          <a:extLst>
            <a:ext uri="{FF2B5EF4-FFF2-40B4-BE49-F238E27FC236}">
              <a16:creationId xmlns:a16="http://schemas.microsoft.com/office/drawing/2014/main" id="{00000000-0008-0000-0400-00000F000000}"/>
            </a:ext>
          </a:extLst>
        </xdr:cNvPr>
        <xdr:cNvCxnSpPr>
          <a:stCxn id="14" idx="3"/>
          <a:endCxn id="26" idx="1"/>
        </xdr:cNvCxnSpPr>
      </xdr:nvCxnSpPr>
      <xdr:spPr>
        <a:xfrm flipV="1">
          <a:off x="16192500" y="6121400"/>
          <a:ext cx="647700" cy="85090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90</xdr:col>
      <xdr:colOff>203200</xdr:colOff>
      <xdr:row>6</xdr:row>
      <xdr:rowOff>101600</xdr:rowOff>
    </xdr:from>
    <xdr:to>
      <xdr:col>90</xdr:col>
      <xdr:colOff>203200</xdr:colOff>
      <xdr:row>47</xdr:row>
      <xdr:rowOff>101600</xdr:rowOff>
    </xdr:to>
    <xdr:cxnSp macro="">
      <xdr:nvCxnSpPr>
        <xdr:cNvPr id="18" name="Straight Connector 17">
          <a:extLst>
            <a:ext uri="{FF2B5EF4-FFF2-40B4-BE49-F238E27FC236}">
              <a16:creationId xmlns:a16="http://schemas.microsoft.com/office/drawing/2014/main" id="{00000000-0008-0000-0400-000012000000}"/>
            </a:ext>
          </a:extLst>
        </xdr:cNvPr>
        <xdr:cNvCxnSpPr/>
      </xdr:nvCxnSpPr>
      <xdr:spPr>
        <a:xfrm>
          <a:off x="19634200" y="1727200"/>
          <a:ext cx="0" cy="7810500"/>
        </a:xfrm>
        <a:prstGeom prst="line">
          <a:avLst/>
        </a:prstGeom>
        <a:ln>
          <a:solidFill>
            <a:schemeClr val="accent2"/>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0</xdr:colOff>
      <xdr:row>32</xdr:row>
      <xdr:rowOff>114300</xdr:rowOff>
    </xdr:from>
    <xdr:to>
      <xdr:col>18</xdr:col>
      <xdr:colOff>0</xdr:colOff>
      <xdr:row>35</xdr:row>
      <xdr:rowOff>114300</xdr:rowOff>
    </xdr:to>
    <xdr:sp macro="" textlink="">
      <xdr:nvSpPr>
        <xdr:cNvPr id="19" name="Rectangle 18">
          <a:extLst>
            <a:ext uri="{FF2B5EF4-FFF2-40B4-BE49-F238E27FC236}">
              <a16:creationId xmlns:a16="http://schemas.microsoft.com/office/drawing/2014/main" id="{00000000-0008-0000-0400-000013000000}"/>
            </a:ext>
          </a:extLst>
        </xdr:cNvPr>
        <xdr:cNvSpPr/>
      </xdr:nvSpPr>
      <xdr:spPr>
        <a:xfrm>
          <a:off x="2590800" y="66929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Technology split of useful</a:t>
          </a:r>
          <a:r>
            <a:rPr lang="en-US" baseline="0"/>
            <a:t> demand</a:t>
          </a:r>
          <a:endParaRPr lang="en-US"/>
        </a:p>
      </xdr:txBody>
    </xdr:sp>
    <xdr:clientData/>
  </xdr:twoCellAnchor>
  <xdr:twoCellAnchor>
    <xdr:from>
      <xdr:col>7</xdr:col>
      <xdr:colOff>203200</xdr:colOff>
      <xdr:row>34</xdr:row>
      <xdr:rowOff>19050</xdr:rowOff>
    </xdr:from>
    <xdr:to>
      <xdr:col>12</xdr:col>
      <xdr:colOff>0</xdr:colOff>
      <xdr:row>34</xdr:row>
      <xdr:rowOff>31750</xdr:rowOff>
    </xdr:to>
    <xdr:cxnSp macro="">
      <xdr:nvCxnSpPr>
        <xdr:cNvPr id="20" name="Straight Arrow Connector 278">
          <a:extLst>
            <a:ext uri="{FF2B5EF4-FFF2-40B4-BE49-F238E27FC236}">
              <a16:creationId xmlns:a16="http://schemas.microsoft.com/office/drawing/2014/main" id="{00000000-0008-0000-0400-000014000000}"/>
            </a:ext>
          </a:extLst>
        </xdr:cNvPr>
        <xdr:cNvCxnSpPr>
          <a:stCxn id="46" idx="3"/>
          <a:endCxn id="19" idx="1"/>
        </xdr:cNvCxnSpPr>
      </xdr:nvCxnSpPr>
      <xdr:spPr>
        <a:xfrm flipV="1">
          <a:off x="1714500" y="6978650"/>
          <a:ext cx="876300" cy="12700"/>
        </a:xfrm>
        <a:prstGeom prst="straightConnector1">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18</xdr:col>
      <xdr:colOff>0</xdr:colOff>
      <xdr:row>34</xdr:row>
      <xdr:rowOff>0</xdr:rowOff>
    </xdr:from>
    <xdr:to>
      <xdr:col>36</xdr:col>
      <xdr:colOff>0</xdr:colOff>
      <xdr:row>34</xdr:row>
      <xdr:rowOff>19050</xdr:rowOff>
    </xdr:to>
    <xdr:cxnSp macro="">
      <xdr:nvCxnSpPr>
        <xdr:cNvPr id="21" name="Elbow Connector 195">
          <a:extLst>
            <a:ext uri="{FF2B5EF4-FFF2-40B4-BE49-F238E27FC236}">
              <a16:creationId xmlns:a16="http://schemas.microsoft.com/office/drawing/2014/main" id="{00000000-0008-0000-0400-000015000000}"/>
            </a:ext>
          </a:extLst>
        </xdr:cNvPr>
        <xdr:cNvCxnSpPr>
          <a:stCxn id="19" idx="3"/>
          <a:endCxn id="48" idx="1"/>
        </xdr:cNvCxnSpPr>
      </xdr:nvCxnSpPr>
      <xdr:spPr>
        <a:xfrm flipV="1">
          <a:off x="3886200" y="6959600"/>
          <a:ext cx="3886200" cy="19050"/>
        </a:xfrm>
        <a:prstGeom prst="straightConnector1">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69</xdr:col>
      <xdr:colOff>0</xdr:colOff>
      <xdr:row>26</xdr:row>
      <xdr:rowOff>0</xdr:rowOff>
    </xdr:from>
    <xdr:to>
      <xdr:col>75</xdr:col>
      <xdr:colOff>0</xdr:colOff>
      <xdr:row>29</xdr:row>
      <xdr:rowOff>0</xdr:rowOff>
    </xdr:to>
    <xdr:sp macro="" textlink="">
      <xdr:nvSpPr>
        <xdr:cNvPr id="22" name="Rectangle 21">
          <a:extLst>
            <a:ext uri="{FF2B5EF4-FFF2-40B4-BE49-F238E27FC236}">
              <a16:creationId xmlns:a16="http://schemas.microsoft.com/office/drawing/2014/main" id="{00000000-0008-0000-0400-000016000000}"/>
            </a:ext>
          </a:extLst>
        </xdr:cNvPr>
        <xdr:cNvSpPr/>
      </xdr:nvSpPr>
      <xdr:spPr>
        <a:xfrm>
          <a:off x="14897100" y="54356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Application shares</a:t>
          </a:r>
          <a:r>
            <a:rPr lang="en-US" baseline="0"/>
            <a:t> of final demand</a:t>
          </a:r>
          <a:endParaRPr lang="en-US"/>
        </a:p>
      </xdr:txBody>
    </xdr:sp>
    <xdr:clientData/>
  </xdr:twoCellAnchor>
  <xdr:twoCellAnchor>
    <xdr:from>
      <xdr:col>39</xdr:col>
      <xdr:colOff>107950</xdr:colOff>
      <xdr:row>23</xdr:row>
      <xdr:rowOff>0</xdr:rowOff>
    </xdr:from>
    <xdr:to>
      <xdr:col>39</xdr:col>
      <xdr:colOff>107950</xdr:colOff>
      <xdr:row>32</xdr:row>
      <xdr:rowOff>0</xdr:rowOff>
    </xdr:to>
    <xdr:cxnSp macro="">
      <xdr:nvCxnSpPr>
        <xdr:cNvPr id="23" name="Straight Arrow Connector 278">
          <a:extLst>
            <a:ext uri="{FF2B5EF4-FFF2-40B4-BE49-F238E27FC236}">
              <a16:creationId xmlns:a16="http://schemas.microsoft.com/office/drawing/2014/main" id="{00000000-0008-0000-0400-000017000000}"/>
            </a:ext>
          </a:extLst>
        </xdr:cNvPr>
        <xdr:cNvCxnSpPr>
          <a:stCxn id="65" idx="2"/>
          <a:endCxn id="48" idx="0"/>
        </xdr:cNvCxnSpPr>
      </xdr:nvCxnSpPr>
      <xdr:spPr>
        <a:xfrm>
          <a:off x="8528050" y="4864100"/>
          <a:ext cx="0" cy="1714500"/>
        </a:xfrm>
        <a:prstGeom prst="straightConnector1">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8</xdr:col>
      <xdr:colOff>0</xdr:colOff>
      <xdr:row>11</xdr:row>
      <xdr:rowOff>104085</xdr:rowOff>
    </xdr:from>
    <xdr:to>
      <xdr:col>40</xdr:col>
      <xdr:colOff>0</xdr:colOff>
      <xdr:row>11</xdr:row>
      <xdr:rowOff>111263</xdr:rowOff>
    </xdr:to>
    <xdr:cxnSp macro="">
      <xdr:nvCxnSpPr>
        <xdr:cNvPr id="24" name="Elbow Connector 23">
          <a:extLst>
            <a:ext uri="{FF2B5EF4-FFF2-40B4-BE49-F238E27FC236}">
              <a16:creationId xmlns:a16="http://schemas.microsoft.com/office/drawing/2014/main" id="{00000000-0008-0000-0400-000018000000}"/>
            </a:ext>
          </a:extLst>
        </xdr:cNvPr>
        <xdr:cNvCxnSpPr>
          <a:stCxn id="7" idx="3"/>
          <a:endCxn id="62" idx="1"/>
        </xdr:cNvCxnSpPr>
      </xdr:nvCxnSpPr>
      <xdr:spPr>
        <a:xfrm>
          <a:off x="1727200" y="2682185"/>
          <a:ext cx="6908800" cy="7178"/>
        </a:xfrm>
        <a:prstGeom prst="straightConnector1">
          <a:avLst/>
        </a:prstGeom>
        <a:ln>
          <a:tailEnd type="arrow"/>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78</xdr:col>
      <xdr:colOff>0</xdr:colOff>
      <xdr:row>22</xdr:row>
      <xdr:rowOff>114300</xdr:rowOff>
    </xdr:from>
    <xdr:to>
      <xdr:col>89</xdr:col>
      <xdr:colOff>0</xdr:colOff>
      <xdr:row>36</xdr:row>
      <xdr:rowOff>114300</xdr:rowOff>
    </xdr:to>
    <xdr:sp macro="" textlink="">
      <xdr:nvSpPr>
        <xdr:cNvPr id="26" name="Rectangle 25">
          <a:extLst>
            <a:ext uri="{FF2B5EF4-FFF2-40B4-BE49-F238E27FC236}">
              <a16:creationId xmlns:a16="http://schemas.microsoft.com/office/drawing/2014/main" id="{00000000-0008-0000-0400-00001A000000}"/>
            </a:ext>
          </a:extLst>
        </xdr:cNvPr>
        <xdr:cNvSpPr/>
      </xdr:nvSpPr>
      <xdr:spPr>
        <a:xfrm>
          <a:off x="16840200" y="4787900"/>
          <a:ext cx="2374900" cy="2667000"/>
        </a:xfrm>
        <a:prstGeom prst="rect">
          <a:avLst/>
        </a:prstGeom>
      </xdr:spPr>
      <xdr:style>
        <a:lnRef idx="2">
          <a:schemeClr val="dk1"/>
        </a:lnRef>
        <a:fillRef idx="1">
          <a:schemeClr val="lt1"/>
        </a:fillRef>
        <a:effectRef idx="0">
          <a:schemeClr val="dk1"/>
        </a:effectRef>
        <a:fontRef idx="minor">
          <a:schemeClr val="dk1"/>
        </a:fontRef>
      </xdr:style>
      <xdr:txBody>
        <a:bodyPr wrap="square" anchor="ctr"/>
        <a:lstStyle/>
        <a:p>
          <a:pPr marL="180000" lvl="1" indent="0" algn="l"/>
          <a:r>
            <a:rPr lang="en-US" sz="1100">
              <a:solidFill>
                <a:schemeClr val="dk1"/>
              </a:solidFill>
              <a:latin typeface="+mn-lt"/>
              <a:ea typeface="+mn-ea"/>
              <a:cs typeface="+mn-cs"/>
            </a:rPr>
            <a:t>csv_cooling_electricity</a:t>
          </a:r>
        </a:p>
        <a:p>
          <a:pPr marL="180000" lvl="1" indent="0" algn="l"/>
          <a:r>
            <a:rPr lang="en-US" sz="1100">
              <a:solidFill>
                <a:schemeClr val="dk1"/>
              </a:solidFill>
              <a:latin typeface="+mn-lt"/>
              <a:ea typeface="+mn-ea"/>
              <a:cs typeface="+mn-cs"/>
            </a:rPr>
            <a:t>csv_heating_network_gas</a:t>
          </a:r>
        </a:p>
        <a:p>
          <a:pPr marL="180000" lvl="1" indent="0" algn="l"/>
          <a:r>
            <a:rPr lang="en-US" sz="1100">
              <a:solidFill>
                <a:schemeClr val="dk1"/>
              </a:solidFill>
              <a:latin typeface="+mn-lt"/>
              <a:ea typeface="+mn-ea"/>
              <a:cs typeface="+mn-cs"/>
            </a:rPr>
            <a:t>csv_heating_electricity</a:t>
          </a:r>
        </a:p>
        <a:p>
          <a:pPr marL="180000" lvl="1" indent="0" algn="l"/>
          <a:r>
            <a:rPr lang="en-US" sz="1100">
              <a:solidFill>
                <a:schemeClr val="dk1"/>
              </a:solidFill>
              <a:latin typeface="+mn-lt"/>
              <a:ea typeface="+mn-ea"/>
              <a:cs typeface="+mn-cs"/>
            </a:rPr>
            <a:t>csv_heating_heat_pump</a:t>
          </a:r>
        </a:p>
        <a:p>
          <a:pPr marL="180000" lvl="1" indent="0" algn="l"/>
          <a:r>
            <a:rPr lang="en-US" sz="1100">
              <a:solidFill>
                <a:schemeClr val="dk1"/>
              </a:solidFill>
              <a:latin typeface="+mn-lt"/>
              <a:ea typeface="+mn-ea"/>
              <a:cs typeface="+mn-cs"/>
            </a:rPr>
            <a:t>csv_water_network_gas</a:t>
          </a:r>
        </a:p>
        <a:p>
          <a:pPr marL="180000" lvl="1" indent="0" algn="l"/>
          <a:r>
            <a:rPr lang="en-US" sz="1100">
              <a:solidFill>
                <a:schemeClr val="dk1"/>
              </a:solidFill>
              <a:latin typeface="+mn-lt"/>
              <a:ea typeface="+mn-ea"/>
              <a:cs typeface="+mn-cs"/>
            </a:rPr>
            <a:t>csv_water_electricity</a:t>
          </a:r>
        </a:p>
        <a:p>
          <a:pPr marL="180000" lvl="1" indent="0" algn="l"/>
          <a:r>
            <a:rPr lang="en-US" sz="1100">
              <a:solidFill>
                <a:schemeClr val="dk1"/>
              </a:solidFill>
              <a:latin typeface="+mn-lt"/>
              <a:ea typeface="+mn-ea"/>
              <a:cs typeface="+mn-cs"/>
            </a:rPr>
            <a:t>csv_cooking_electricity</a:t>
          </a:r>
        </a:p>
        <a:p>
          <a:pPr marL="180000" lvl="1" indent="0" algn="l"/>
          <a:r>
            <a:rPr lang="en-US" sz="1100">
              <a:solidFill>
                <a:schemeClr val="dk1"/>
              </a:solidFill>
              <a:latin typeface="+mn-lt"/>
              <a:ea typeface="+mn-ea"/>
              <a:cs typeface="+mn-cs"/>
            </a:rPr>
            <a:t>csv_lighting_electricity</a:t>
          </a:r>
        </a:p>
        <a:p>
          <a:pPr marL="180000" lvl="1" indent="0" algn="l"/>
          <a:r>
            <a:rPr lang="en-US" sz="1100">
              <a:solidFill>
                <a:schemeClr val="dk1"/>
              </a:solidFill>
              <a:latin typeface="+mn-lt"/>
              <a:ea typeface="+mn-ea"/>
              <a:cs typeface="+mn-cs"/>
            </a:rPr>
            <a:t>csv_appliances_electricity</a:t>
          </a:r>
        </a:p>
        <a:p>
          <a:pPr marL="180000" lvl="1" indent="0" algn="l"/>
          <a:r>
            <a:rPr lang="en-US" sz="1100">
              <a:solidFill>
                <a:schemeClr val="dk1"/>
              </a:solidFill>
              <a:latin typeface="+mn-lt"/>
              <a:ea typeface="+mn-ea"/>
              <a:cs typeface="+mn-cs"/>
            </a:rPr>
            <a:t>csv_solar_thermal_heater</a:t>
          </a:r>
        </a:p>
        <a:p>
          <a:pPr marL="180000" lvl="1" indent="0" algn="l"/>
          <a:r>
            <a:rPr lang="en-US" sz="1100">
              <a:solidFill>
                <a:schemeClr val="dk1"/>
              </a:solidFill>
              <a:latin typeface="+mn-lt"/>
              <a:ea typeface="+mn-ea"/>
              <a:cs typeface="+mn-cs"/>
            </a:rPr>
            <a:t>csv_heating_micro_chp_gas</a:t>
          </a:r>
        </a:p>
        <a:p>
          <a:pPr marL="180000" lvl="1" indent="0" algn="l"/>
          <a:r>
            <a:rPr lang="en-US" sz="1100">
              <a:solidFill>
                <a:schemeClr val="dk1"/>
              </a:solidFill>
              <a:latin typeface="+mn-lt"/>
              <a:ea typeface="+mn-ea"/>
              <a:cs typeface="+mn-cs"/>
            </a:rPr>
            <a:t>csv_water_mirco_chp_gas</a:t>
          </a:r>
        </a:p>
        <a:p>
          <a:pPr marL="180000" lvl="1" indent="0" algn="l"/>
          <a:r>
            <a:rPr lang="en-US" sz="1100">
              <a:solidFill>
                <a:schemeClr val="dk1"/>
              </a:solidFill>
              <a:latin typeface="+mn-lt"/>
              <a:ea typeface="+mn-ea"/>
              <a:cs typeface="+mn-cs"/>
            </a:rPr>
            <a:t>csv_water_fuel_cell_gas`</a:t>
          </a:r>
        </a:p>
      </xdr:txBody>
    </xdr:sp>
    <xdr:clientData/>
  </xdr:twoCellAnchor>
  <xdr:twoCellAnchor>
    <xdr:from>
      <xdr:col>75</xdr:col>
      <xdr:colOff>0</xdr:colOff>
      <xdr:row>17</xdr:row>
      <xdr:rowOff>69850</xdr:rowOff>
    </xdr:from>
    <xdr:to>
      <xdr:col>78</xdr:col>
      <xdr:colOff>0</xdr:colOff>
      <xdr:row>27</xdr:row>
      <xdr:rowOff>95250</xdr:rowOff>
    </xdr:to>
    <xdr:cxnSp macro="">
      <xdr:nvCxnSpPr>
        <xdr:cNvPr id="27" name="Elbow Connector 195">
          <a:extLst>
            <a:ext uri="{FF2B5EF4-FFF2-40B4-BE49-F238E27FC236}">
              <a16:creationId xmlns:a16="http://schemas.microsoft.com/office/drawing/2014/main" id="{00000000-0008-0000-0400-00001B000000}"/>
            </a:ext>
          </a:extLst>
        </xdr:cNvPr>
        <xdr:cNvCxnSpPr>
          <a:stCxn id="22" idx="3"/>
          <a:endCxn id="28" idx="1"/>
        </xdr:cNvCxnSpPr>
      </xdr:nvCxnSpPr>
      <xdr:spPr>
        <a:xfrm flipV="1">
          <a:off x="16192500" y="3790950"/>
          <a:ext cx="647700" cy="193040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78</xdr:col>
      <xdr:colOff>0</xdr:colOff>
      <xdr:row>13</xdr:row>
      <xdr:rowOff>114300</xdr:rowOff>
    </xdr:from>
    <xdr:to>
      <xdr:col>89</xdr:col>
      <xdr:colOff>0</xdr:colOff>
      <xdr:row>21</xdr:row>
      <xdr:rowOff>25400</xdr:rowOff>
    </xdr:to>
    <xdr:sp macro="" textlink="">
      <xdr:nvSpPr>
        <xdr:cNvPr id="28" name="Rectangle 27">
          <a:extLst>
            <a:ext uri="{FF2B5EF4-FFF2-40B4-BE49-F238E27FC236}">
              <a16:creationId xmlns:a16="http://schemas.microsoft.com/office/drawing/2014/main" id="{00000000-0008-0000-0400-00001C000000}"/>
            </a:ext>
          </a:extLst>
        </xdr:cNvPr>
        <xdr:cNvSpPr/>
      </xdr:nvSpPr>
      <xdr:spPr>
        <a:xfrm>
          <a:off x="16840200" y="3073400"/>
          <a:ext cx="2374900" cy="14351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marL="180000" lvl="1" algn="l"/>
          <a:r>
            <a:rPr lang="en-US"/>
            <a:t>csv_final_demand_coal</a:t>
          </a:r>
        </a:p>
        <a:p>
          <a:pPr marL="180000" lvl="1" algn="l"/>
          <a:r>
            <a:rPr lang="en-US"/>
            <a:t>csv_final_demand_crude_oil</a:t>
          </a:r>
        </a:p>
        <a:p>
          <a:pPr marL="180000" lvl="1" algn="l"/>
          <a:r>
            <a:rPr lang="en-US"/>
            <a:t>csv_final_demand_network_gas</a:t>
          </a:r>
        </a:p>
        <a:p>
          <a:pPr marL="180000" lvl="1" algn="l"/>
          <a:r>
            <a:rPr lang="en-US"/>
            <a:t>csv_final_demand_wood_pellets</a:t>
          </a:r>
        </a:p>
        <a:p>
          <a:pPr marL="180000" lvl="1" algn="l"/>
          <a:r>
            <a:rPr lang="en-US"/>
            <a:t>csv_final_demand_electricity</a:t>
          </a:r>
        </a:p>
        <a:p>
          <a:pPr marL="180000" lvl="1" algn="l"/>
          <a:r>
            <a:rPr lang="en-US"/>
            <a:t>csv_final_demand_steam</a:t>
          </a:r>
        </a:p>
      </xdr:txBody>
    </xdr:sp>
    <xdr:clientData/>
  </xdr:twoCellAnchor>
  <xdr:twoCellAnchor>
    <xdr:from>
      <xdr:col>2</xdr:col>
      <xdr:colOff>0</xdr:colOff>
      <xdr:row>14</xdr:row>
      <xdr:rowOff>0</xdr:rowOff>
    </xdr:from>
    <xdr:to>
      <xdr:col>8</xdr:col>
      <xdr:colOff>0</xdr:colOff>
      <xdr:row>17</xdr:row>
      <xdr:rowOff>0</xdr:rowOff>
    </xdr:to>
    <xdr:sp macro="" textlink="">
      <xdr:nvSpPr>
        <xdr:cNvPr id="33" name="Rectangle 32">
          <a:extLst>
            <a:ext uri="{FF2B5EF4-FFF2-40B4-BE49-F238E27FC236}">
              <a16:creationId xmlns:a16="http://schemas.microsoft.com/office/drawing/2014/main" id="{00000000-0008-0000-0400-000021000000}"/>
            </a:ext>
          </a:extLst>
        </xdr:cNvPr>
        <xdr:cNvSpPr/>
      </xdr:nvSpPr>
      <xdr:spPr>
        <a:xfrm>
          <a:off x="431800" y="31496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Technological</a:t>
          </a:r>
          <a:r>
            <a:rPr lang="en-US" baseline="0"/>
            <a:t> specifications</a:t>
          </a:r>
          <a:endParaRPr lang="en-US"/>
        </a:p>
      </xdr:txBody>
    </xdr:sp>
    <xdr:clientData/>
  </xdr:twoCellAnchor>
  <xdr:twoCellAnchor>
    <xdr:from>
      <xdr:col>8</xdr:col>
      <xdr:colOff>0</xdr:colOff>
      <xdr:row>15</xdr:row>
      <xdr:rowOff>95250</xdr:rowOff>
    </xdr:from>
    <xdr:to>
      <xdr:col>39</xdr:col>
      <xdr:colOff>107950</xdr:colOff>
      <xdr:row>19</xdr:row>
      <xdr:rowOff>0</xdr:rowOff>
    </xdr:to>
    <xdr:cxnSp macro="">
      <xdr:nvCxnSpPr>
        <xdr:cNvPr id="34" name="Elbow Connector 33">
          <a:extLst>
            <a:ext uri="{FF2B5EF4-FFF2-40B4-BE49-F238E27FC236}">
              <a16:creationId xmlns:a16="http://schemas.microsoft.com/office/drawing/2014/main" id="{00000000-0008-0000-0400-000022000000}"/>
            </a:ext>
          </a:extLst>
        </xdr:cNvPr>
        <xdr:cNvCxnSpPr>
          <a:stCxn id="33" idx="3"/>
          <a:endCxn id="65" idx="0"/>
        </xdr:cNvCxnSpPr>
      </xdr:nvCxnSpPr>
      <xdr:spPr>
        <a:xfrm>
          <a:off x="1727200" y="3435350"/>
          <a:ext cx="6800850" cy="666750"/>
        </a:xfrm>
        <a:prstGeom prst="bentConnector2">
          <a:avLst/>
        </a:prstGeom>
        <a:ln>
          <a:tailEnd type="arrow"/>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1</xdr:col>
      <xdr:colOff>203200</xdr:colOff>
      <xdr:row>32</xdr:row>
      <xdr:rowOff>127000</xdr:rowOff>
    </xdr:from>
    <xdr:to>
      <xdr:col>7</xdr:col>
      <xdr:colOff>203200</xdr:colOff>
      <xdr:row>35</xdr:row>
      <xdr:rowOff>127000</xdr:rowOff>
    </xdr:to>
    <xdr:sp macro="" textlink="">
      <xdr:nvSpPr>
        <xdr:cNvPr id="46" name="Rectangle 45">
          <a:extLst>
            <a:ext uri="{FF2B5EF4-FFF2-40B4-BE49-F238E27FC236}">
              <a16:creationId xmlns:a16="http://schemas.microsoft.com/office/drawing/2014/main" id="{00000000-0008-0000-0400-00002E000000}"/>
            </a:ext>
          </a:extLst>
        </xdr:cNvPr>
        <xdr:cNvSpPr/>
      </xdr:nvSpPr>
      <xdr:spPr>
        <a:xfrm>
          <a:off x="419100" y="67056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Resdicene</a:t>
          </a:r>
          <a:r>
            <a:rPr lang="en-US" baseline="0"/>
            <a:t> Source analysis</a:t>
          </a:r>
          <a:endParaRPr lang="en-US"/>
        </a:p>
      </xdr:txBody>
    </xdr:sp>
    <xdr:clientData/>
  </xdr:twoCellAnchor>
  <xdr:twoCellAnchor>
    <xdr:from>
      <xdr:col>40</xdr:col>
      <xdr:colOff>0</xdr:colOff>
      <xdr:row>10</xdr:row>
      <xdr:rowOff>32026</xdr:rowOff>
    </xdr:from>
    <xdr:to>
      <xdr:col>46</xdr:col>
      <xdr:colOff>168413</xdr:colOff>
      <xdr:row>13</xdr:row>
      <xdr:rowOff>0</xdr:rowOff>
    </xdr:to>
    <xdr:sp macro="" textlink="">
      <xdr:nvSpPr>
        <xdr:cNvPr id="62" name="Rectangle 61">
          <a:extLst>
            <a:ext uri="{FF2B5EF4-FFF2-40B4-BE49-F238E27FC236}">
              <a16:creationId xmlns:a16="http://schemas.microsoft.com/office/drawing/2014/main" id="{00000000-0008-0000-0400-00003E000000}"/>
            </a:ext>
          </a:extLst>
        </xdr:cNvPr>
        <xdr:cNvSpPr/>
      </xdr:nvSpPr>
      <xdr:spPr>
        <a:xfrm>
          <a:off x="8636000" y="2419626"/>
          <a:ext cx="1463813" cy="539474"/>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Fuel</a:t>
          </a:r>
          <a:r>
            <a:rPr lang="en-US" baseline="0"/>
            <a:t> Aggregation</a:t>
          </a:r>
          <a:endParaRPr lang="en-US"/>
        </a:p>
      </xdr:txBody>
    </xdr:sp>
    <xdr:clientData/>
  </xdr:twoCellAnchor>
  <xdr:twoCellAnchor>
    <xdr:from>
      <xdr:col>36</xdr:col>
      <xdr:colOff>0</xdr:colOff>
      <xdr:row>32</xdr:row>
      <xdr:rowOff>0</xdr:rowOff>
    </xdr:from>
    <xdr:to>
      <xdr:col>43</xdr:col>
      <xdr:colOff>0</xdr:colOff>
      <xdr:row>36</xdr:row>
      <xdr:rowOff>0</xdr:rowOff>
    </xdr:to>
    <xdr:sp macro="" textlink="">
      <xdr:nvSpPr>
        <xdr:cNvPr id="48" name="Rectangle 47">
          <a:extLst>
            <a:ext uri="{FF2B5EF4-FFF2-40B4-BE49-F238E27FC236}">
              <a16:creationId xmlns:a16="http://schemas.microsoft.com/office/drawing/2014/main" id="{00000000-0008-0000-0400-000030000000}"/>
            </a:ext>
          </a:extLst>
        </xdr:cNvPr>
        <xdr:cNvSpPr/>
      </xdr:nvSpPr>
      <xdr:spPr>
        <a:xfrm>
          <a:off x="7772400" y="6578600"/>
          <a:ext cx="1511300" cy="7620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Technology split final demand</a:t>
          </a:r>
        </a:p>
      </xdr:txBody>
    </xdr:sp>
    <xdr:clientData/>
  </xdr:twoCellAnchor>
  <xdr:twoCellAnchor>
    <xdr:from>
      <xdr:col>36</xdr:col>
      <xdr:colOff>0</xdr:colOff>
      <xdr:row>19</xdr:row>
      <xdr:rowOff>0</xdr:rowOff>
    </xdr:from>
    <xdr:to>
      <xdr:col>42</xdr:col>
      <xdr:colOff>215899</xdr:colOff>
      <xdr:row>23</xdr:row>
      <xdr:rowOff>0</xdr:rowOff>
    </xdr:to>
    <xdr:sp macro="" textlink="">
      <xdr:nvSpPr>
        <xdr:cNvPr id="65" name="Rectangle 64">
          <a:extLst>
            <a:ext uri="{FF2B5EF4-FFF2-40B4-BE49-F238E27FC236}">
              <a16:creationId xmlns:a16="http://schemas.microsoft.com/office/drawing/2014/main" id="{00000000-0008-0000-0400-000041000000}"/>
            </a:ext>
          </a:extLst>
        </xdr:cNvPr>
        <xdr:cNvSpPr/>
      </xdr:nvSpPr>
      <xdr:spPr>
        <a:xfrm>
          <a:off x="7772400" y="4102100"/>
          <a:ext cx="1511299" cy="7620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Share of natural gas allocated to final demand in residences</a:t>
          </a:r>
        </a:p>
      </xdr:txBody>
    </xdr:sp>
    <xdr:clientData/>
  </xdr:twoCellAnchor>
  <xdr:twoCellAnchor>
    <xdr:from>
      <xdr:col>50</xdr:col>
      <xdr:colOff>0</xdr:colOff>
      <xdr:row>25</xdr:row>
      <xdr:rowOff>114300</xdr:rowOff>
    </xdr:from>
    <xdr:to>
      <xdr:col>57</xdr:col>
      <xdr:colOff>27609</xdr:colOff>
      <xdr:row>29</xdr:row>
      <xdr:rowOff>114300</xdr:rowOff>
    </xdr:to>
    <xdr:sp macro="" textlink="">
      <xdr:nvSpPr>
        <xdr:cNvPr id="77" name="Rectangle 76">
          <a:extLst>
            <a:ext uri="{FF2B5EF4-FFF2-40B4-BE49-F238E27FC236}">
              <a16:creationId xmlns:a16="http://schemas.microsoft.com/office/drawing/2014/main" id="{00000000-0008-0000-0400-00004D000000}"/>
            </a:ext>
          </a:extLst>
        </xdr:cNvPr>
        <xdr:cNvSpPr/>
      </xdr:nvSpPr>
      <xdr:spPr>
        <a:xfrm>
          <a:off x="10795000" y="5359400"/>
          <a:ext cx="1538909" cy="7620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Final</a:t>
          </a:r>
          <a:r>
            <a:rPr lang="en-US" baseline="0"/>
            <a:t> energy demand per technology</a:t>
          </a:r>
          <a:endParaRPr lang="en-US"/>
        </a:p>
      </xdr:txBody>
    </xdr:sp>
    <xdr:clientData/>
  </xdr:twoCellAnchor>
  <xdr:twoCellAnchor>
    <xdr:from>
      <xdr:col>43</xdr:col>
      <xdr:colOff>0</xdr:colOff>
      <xdr:row>29</xdr:row>
      <xdr:rowOff>114300</xdr:rowOff>
    </xdr:from>
    <xdr:to>
      <xdr:col>53</xdr:col>
      <xdr:colOff>121755</xdr:colOff>
      <xdr:row>34</xdr:row>
      <xdr:rowOff>0</xdr:rowOff>
    </xdr:to>
    <xdr:cxnSp macro="">
      <xdr:nvCxnSpPr>
        <xdr:cNvPr id="120" name="Straight Arrow Connector 278">
          <a:extLst>
            <a:ext uri="{FF2B5EF4-FFF2-40B4-BE49-F238E27FC236}">
              <a16:creationId xmlns:a16="http://schemas.microsoft.com/office/drawing/2014/main" id="{00000000-0008-0000-0400-000078000000}"/>
            </a:ext>
          </a:extLst>
        </xdr:cNvPr>
        <xdr:cNvCxnSpPr>
          <a:stCxn id="48" idx="3"/>
          <a:endCxn id="77" idx="2"/>
        </xdr:cNvCxnSpPr>
      </xdr:nvCxnSpPr>
      <xdr:spPr>
        <a:xfrm flipV="1">
          <a:off x="9283700" y="6121400"/>
          <a:ext cx="2280755" cy="838200"/>
        </a:xfrm>
        <a:prstGeom prst="bentConnector2">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57</xdr:col>
      <xdr:colOff>27609</xdr:colOff>
      <xdr:row>27</xdr:row>
      <xdr:rowOff>95250</xdr:rowOff>
    </xdr:from>
    <xdr:to>
      <xdr:col>69</xdr:col>
      <xdr:colOff>0</xdr:colOff>
      <xdr:row>27</xdr:row>
      <xdr:rowOff>114300</xdr:rowOff>
    </xdr:to>
    <xdr:cxnSp macro="">
      <xdr:nvCxnSpPr>
        <xdr:cNvPr id="130" name="Straight Arrow Connector 278">
          <a:extLst>
            <a:ext uri="{FF2B5EF4-FFF2-40B4-BE49-F238E27FC236}">
              <a16:creationId xmlns:a16="http://schemas.microsoft.com/office/drawing/2014/main" id="{00000000-0008-0000-0400-000082000000}"/>
            </a:ext>
          </a:extLst>
        </xdr:cNvPr>
        <xdr:cNvCxnSpPr>
          <a:stCxn id="77" idx="3"/>
          <a:endCxn id="22" idx="1"/>
        </xdr:cNvCxnSpPr>
      </xdr:nvCxnSpPr>
      <xdr:spPr>
        <a:xfrm flipV="1">
          <a:off x="12333909" y="5721350"/>
          <a:ext cx="2563191" cy="19050"/>
        </a:xfrm>
        <a:prstGeom prst="straightConnector1">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43</xdr:col>
      <xdr:colOff>0</xdr:colOff>
      <xdr:row>34</xdr:row>
      <xdr:rowOff>0</xdr:rowOff>
    </xdr:from>
    <xdr:to>
      <xdr:col>69</xdr:col>
      <xdr:colOff>0</xdr:colOff>
      <xdr:row>34</xdr:row>
      <xdr:rowOff>12700</xdr:rowOff>
    </xdr:to>
    <xdr:cxnSp macro="">
      <xdr:nvCxnSpPr>
        <xdr:cNvPr id="133" name="Straight Arrow Connector 278">
          <a:extLst>
            <a:ext uri="{FF2B5EF4-FFF2-40B4-BE49-F238E27FC236}">
              <a16:creationId xmlns:a16="http://schemas.microsoft.com/office/drawing/2014/main" id="{00000000-0008-0000-0400-000085000000}"/>
            </a:ext>
          </a:extLst>
        </xdr:cNvPr>
        <xdr:cNvCxnSpPr>
          <a:stCxn id="48" idx="3"/>
          <a:endCxn id="14" idx="1"/>
        </xdr:cNvCxnSpPr>
      </xdr:nvCxnSpPr>
      <xdr:spPr>
        <a:xfrm>
          <a:off x="9283700" y="6959600"/>
          <a:ext cx="5613400" cy="12700"/>
        </a:xfrm>
        <a:prstGeom prst="straightConnector1">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12</xdr:col>
      <xdr:colOff>0</xdr:colOff>
      <xdr:row>37</xdr:row>
      <xdr:rowOff>63500</xdr:rowOff>
    </xdr:from>
    <xdr:to>
      <xdr:col>18</xdr:col>
      <xdr:colOff>0</xdr:colOff>
      <xdr:row>40</xdr:row>
      <xdr:rowOff>63500</xdr:rowOff>
    </xdr:to>
    <xdr:sp macro="" textlink="">
      <xdr:nvSpPr>
        <xdr:cNvPr id="75" name="Rectangle 74">
          <a:extLst>
            <a:ext uri="{FF2B5EF4-FFF2-40B4-BE49-F238E27FC236}">
              <a16:creationId xmlns:a16="http://schemas.microsoft.com/office/drawing/2014/main" id="{00000000-0008-0000-0400-00004B000000}"/>
            </a:ext>
          </a:extLst>
        </xdr:cNvPr>
        <xdr:cNvSpPr/>
      </xdr:nvSpPr>
      <xdr:spPr>
        <a:xfrm>
          <a:off x="2590800" y="75946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a:t>Characteristics of new/old</a:t>
          </a:r>
          <a:r>
            <a:rPr lang="en-US" baseline="0"/>
            <a:t> houses</a:t>
          </a:r>
        </a:p>
      </xdr:txBody>
    </xdr:sp>
    <xdr:clientData/>
  </xdr:twoCellAnchor>
  <xdr:twoCellAnchor>
    <xdr:from>
      <xdr:col>69</xdr:col>
      <xdr:colOff>0</xdr:colOff>
      <xdr:row>37</xdr:row>
      <xdr:rowOff>50800</xdr:rowOff>
    </xdr:from>
    <xdr:to>
      <xdr:col>75</xdr:col>
      <xdr:colOff>0</xdr:colOff>
      <xdr:row>40</xdr:row>
      <xdr:rowOff>50800</xdr:rowOff>
    </xdr:to>
    <xdr:sp macro="" textlink="">
      <xdr:nvSpPr>
        <xdr:cNvPr id="76" name="Rectangle 75">
          <a:extLst>
            <a:ext uri="{FF2B5EF4-FFF2-40B4-BE49-F238E27FC236}">
              <a16:creationId xmlns:a16="http://schemas.microsoft.com/office/drawing/2014/main" id="{00000000-0008-0000-0400-00004C000000}"/>
            </a:ext>
          </a:extLst>
        </xdr:cNvPr>
        <xdr:cNvSpPr/>
      </xdr:nvSpPr>
      <xdr:spPr>
        <a:xfrm>
          <a:off x="14897100" y="7581900"/>
          <a:ext cx="1295400" cy="571500"/>
        </a:xfrm>
        <a:prstGeom prst="rect">
          <a:avLst/>
        </a:prstGeom>
        <a:ln/>
      </xdr:spPr>
      <xdr:style>
        <a:lnRef idx="2">
          <a:schemeClr val="dk1"/>
        </a:lnRef>
        <a:fillRef idx="1">
          <a:schemeClr val="lt1"/>
        </a:fillRef>
        <a:effectRef idx="0">
          <a:schemeClr val="dk1"/>
        </a:effectRef>
        <a:fontRef idx="minor">
          <a:schemeClr val="dk1"/>
        </a:fontRef>
      </xdr:style>
      <xdr:txBody>
        <a:bodyPr wrap="square" anchor="ctr"/>
        <a:lstStyle/>
        <a:p>
          <a:pPr algn="ctr"/>
          <a:r>
            <a:rPr lang="en-US" baseline="0"/>
            <a:t>Useful demand shares for new/old houses</a:t>
          </a:r>
        </a:p>
      </xdr:txBody>
    </xdr:sp>
    <xdr:clientData/>
  </xdr:twoCellAnchor>
  <xdr:twoCellAnchor>
    <xdr:from>
      <xdr:col>78</xdr:col>
      <xdr:colOff>0</xdr:colOff>
      <xdr:row>37</xdr:row>
      <xdr:rowOff>177800</xdr:rowOff>
    </xdr:from>
    <xdr:to>
      <xdr:col>89</xdr:col>
      <xdr:colOff>0</xdr:colOff>
      <xdr:row>44</xdr:row>
      <xdr:rowOff>127000</xdr:rowOff>
    </xdr:to>
    <xdr:sp macro="" textlink="">
      <xdr:nvSpPr>
        <xdr:cNvPr id="80" name="Rectangle 79">
          <a:extLst>
            <a:ext uri="{FF2B5EF4-FFF2-40B4-BE49-F238E27FC236}">
              <a16:creationId xmlns:a16="http://schemas.microsoft.com/office/drawing/2014/main" id="{00000000-0008-0000-0400-000050000000}"/>
            </a:ext>
          </a:extLst>
        </xdr:cNvPr>
        <xdr:cNvSpPr/>
      </xdr:nvSpPr>
      <xdr:spPr>
        <a:xfrm>
          <a:off x="16840200" y="7708900"/>
          <a:ext cx="2374900" cy="1282700"/>
        </a:xfrm>
        <a:prstGeom prst="rect">
          <a:avLst/>
        </a:prstGeom>
      </xdr:spPr>
      <xdr:style>
        <a:lnRef idx="2">
          <a:schemeClr val="dk1"/>
        </a:lnRef>
        <a:fillRef idx="1">
          <a:schemeClr val="lt1"/>
        </a:fillRef>
        <a:effectRef idx="0">
          <a:schemeClr val="dk1"/>
        </a:effectRef>
        <a:fontRef idx="minor">
          <a:schemeClr val="dk1"/>
        </a:fontRef>
      </xdr:style>
      <xdr:txBody>
        <a:bodyPr wrap="square" anchor="ctr"/>
        <a:lstStyle/>
        <a:p>
          <a:pPr marL="180000" lvl="1" indent="0" algn="l"/>
          <a:r>
            <a:rPr lang="en-US" sz="1100">
              <a:solidFill>
                <a:schemeClr val="dk1"/>
              </a:solidFill>
              <a:latin typeface="+mn-lt"/>
              <a:ea typeface="+mn-ea"/>
              <a:cs typeface="+mn-cs"/>
            </a:rPr>
            <a:t>csv_cooling_old-new</a:t>
          </a:r>
        </a:p>
        <a:p>
          <a:pPr marL="180000" lvl="1" indent="0" algn="l"/>
          <a:r>
            <a:rPr lang="en-US" sz="1100">
              <a:solidFill>
                <a:schemeClr val="dk1"/>
              </a:solidFill>
              <a:latin typeface="+mn-lt"/>
              <a:ea typeface="+mn-ea"/>
              <a:cs typeface="+mn-cs"/>
            </a:rPr>
            <a:t>csv_heating_old-new</a:t>
          </a:r>
        </a:p>
        <a:p>
          <a:pPr marL="180000" lvl="1" indent="0" algn="l"/>
          <a:r>
            <a:rPr lang="en-US" sz="1100">
              <a:solidFill>
                <a:schemeClr val="dk1"/>
              </a:solidFill>
              <a:latin typeface="+mn-lt"/>
              <a:ea typeface="+mn-ea"/>
              <a:cs typeface="+mn-cs"/>
            </a:rPr>
            <a:t>csv_cooling_insulation_old</a:t>
          </a:r>
        </a:p>
        <a:p>
          <a:pPr marL="180000" lvl="1" indent="0" algn="l"/>
          <a:r>
            <a:rPr lang="en-US" sz="1100">
              <a:solidFill>
                <a:schemeClr val="dk1"/>
              </a:solidFill>
              <a:latin typeface="+mn-lt"/>
              <a:ea typeface="+mn-ea"/>
              <a:cs typeface="+mn-cs"/>
            </a:rPr>
            <a:t>csv_cooling_insulation_new</a:t>
          </a:r>
        </a:p>
        <a:p>
          <a:pPr marL="180000" lvl="1" indent="0" algn="l"/>
          <a:r>
            <a:rPr lang="en-US" sz="1100">
              <a:solidFill>
                <a:schemeClr val="dk1"/>
              </a:solidFill>
              <a:latin typeface="+mn-lt"/>
              <a:ea typeface="+mn-ea"/>
              <a:cs typeface="+mn-cs"/>
            </a:rPr>
            <a:t>csv_heating_insulation_new</a:t>
          </a:r>
        </a:p>
        <a:p>
          <a:pPr marL="180000" lvl="1" indent="0" algn="l"/>
          <a:r>
            <a:rPr lang="en-US" sz="1100">
              <a:solidFill>
                <a:schemeClr val="dk1"/>
              </a:solidFill>
              <a:latin typeface="+mn-lt"/>
              <a:ea typeface="+mn-ea"/>
              <a:cs typeface="+mn-cs"/>
            </a:rPr>
            <a:t>csv_heating_insulation_old</a:t>
          </a:r>
        </a:p>
      </xdr:txBody>
    </xdr:sp>
    <xdr:clientData/>
  </xdr:twoCellAnchor>
  <xdr:twoCellAnchor>
    <xdr:from>
      <xdr:col>75</xdr:col>
      <xdr:colOff>0</xdr:colOff>
      <xdr:row>38</xdr:row>
      <xdr:rowOff>146050</xdr:rowOff>
    </xdr:from>
    <xdr:to>
      <xdr:col>78</xdr:col>
      <xdr:colOff>0</xdr:colOff>
      <xdr:row>41</xdr:row>
      <xdr:rowOff>57150</xdr:rowOff>
    </xdr:to>
    <xdr:cxnSp macro="">
      <xdr:nvCxnSpPr>
        <xdr:cNvPr id="81" name="Elbow Connector 195">
          <a:extLst>
            <a:ext uri="{FF2B5EF4-FFF2-40B4-BE49-F238E27FC236}">
              <a16:creationId xmlns:a16="http://schemas.microsoft.com/office/drawing/2014/main" id="{00000000-0008-0000-0400-000051000000}"/>
            </a:ext>
          </a:extLst>
        </xdr:cNvPr>
        <xdr:cNvCxnSpPr>
          <a:stCxn id="76" idx="3"/>
          <a:endCxn id="80" idx="1"/>
        </xdr:cNvCxnSpPr>
      </xdr:nvCxnSpPr>
      <xdr:spPr>
        <a:xfrm>
          <a:off x="16192500" y="7867650"/>
          <a:ext cx="647700" cy="48260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203200</xdr:colOff>
      <xdr:row>34</xdr:row>
      <xdr:rowOff>31750</xdr:rowOff>
    </xdr:from>
    <xdr:to>
      <xdr:col>12</xdr:col>
      <xdr:colOff>0</xdr:colOff>
      <xdr:row>38</xdr:row>
      <xdr:rowOff>158750</xdr:rowOff>
    </xdr:to>
    <xdr:cxnSp macro="">
      <xdr:nvCxnSpPr>
        <xdr:cNvPr id="96" name="Straight Arrow Connector 278">
          <a:extLst>
            <a:ext uri="{FF2B5EF4-FFF2-40B4-BE49-F238E27FC236}">
              <a16:creationId xmlns:a16="http://schemas.microsoft.com/office/drawing/2014/main" id="{00000000-0008-0000-0400-000060000000}"/>
            </a:ext>
          </a:extLst>
        </xdr:cNvPr>
        <xdr:cNvCxnSpPr>
          <a:stCxn id="46" idx="3"/>
          <a:endCxn id="75" idx="1"/>
        </xdr:cNvCxnSpPr>
      </xdr:nvCxnSpPr>
      <xdr:spPr>
        <a:xfrm>
          <a:off x="1714500" y="6991350"/>
          <a:ext cx="876300" cy="889000"/>
        </a:xfrm>
        <a:prstGeom prst="bentConnector3">
          <a:avLst>
            <a:gd name="adj1" fmla="val 50000"/>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18</xdr:col>
      <xdr:colOff>0</xdr:colOff>
      <xdr:row>38</xdr:row>
      <xdr:rowOff>146050</xdr:rowOff>
    </xdr:from>
    <xdr:to>
      <xdr:col>69</xdr:col>
      <xdr:colOff>0</xdr:colOff>
      <xdr:row>38</xdr:row>
      <xdr:rowOff>158750</xdr:rowOff>
    </xdr:to>
    <xdr:cxnSp macro="">
      <xdr:nvCxnSpPr>
        <xdr:cNvPr id="99" name="Elbow Connector 71">
          <a:extLst>
            <a:ext uri="{FF2B5EF4-FFF2-40B4-BE49-F238E27FC236}">
              <a16:creationId xmlns:a16="http://schemas.microsoft.com/office/drawing/2014/main" id="{00000000-0008-0000-0400-000063000000}"/>
            </a:ext>
          </a:extLst>
        </xdr:cNvPr>
        <xdr:cNvCxnSpPr>
          <a:stCxn id="75" idx="3"/>
          <a:endCxn id="76" idx="1"/>
        </xdr:cNvCxnSpPr>
      </xdr:nvCxnSpPr>
      <xdr:spPr>
        <a:xfrm flipV="1">
          <a:off x="3886200" y="7867650"/>
          <a:ext cx="11010900" cy="12700"/>
        </a:xfrm>
        <a:prstGeom prst="bentConnector3">
          <a:avLst>
            <a:gd name="adj1" fmla="val 50000"/>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10</xdr:col>
      <xdr:colOff>127000</xdr:colOff>
      <xdr:row>7</xdr:row>
      <xdr:rowOff>88900</xdr:rowOff>
    </xdr:from>
    <xdr:to>
      <xdr:col>19</xdr:col>
      <xdr:colOff>101600</xdr:colOff>
      <xdr:row>9</xdr:row>
      <xdr:rowOff>50800</xdr:rowOff>
    </xdr:to>
    <xdr:sp macro="" textlink="">
      <xdr:nvSpPr>
        <xdr:cNvPr id="50" name="TextBox 49">
          <a:extLst>
            <a:ext uri="{FF2B5EF4-FFF2-40B4-BE49-F238E27FC236}">
              <a16:creationId xmlns:a16="http://schemas.microsoft.com/office/drawing/2014/main" id="{00000000-0008-0000-0400-000032000000}"/>
            </a:ext>
          </a:extLst>
        </xdr:cNvPr>
        <xdr:cNvSpPr txBox="1"/>
      </xdr:nvSpPr>
      <xdr:spPr>
        <a:xfrm>
          <a:off x="2286000" y="1905000"/>
          <a:ext cx="1917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u="sng">
              <a:solidFill>
                <a:srgbClr val="FFFFFF"/>
              </a:solidFill>
            </a:rPr>
            <a:t>Dashboard</a:t>
          </a:r>
        </a:p>
      </xdr:txBody>
    </xdr:sp>
    <xdr:clientData/>
  </xdr:twoCellAnchor>
  <xdr:twoCellAnchor>
    <xdr:from>
      <xdr:col>37</xdr:col>
      <xdr:colOff>88900</xdr:colOff>
      <xdr:row>44</xdr:row>
      <xdr:rowOff>88900</xdr:rowOff>
    </xdr:from>
    <xdr:to>
      <xdr:col>46</xdr:col>
      <xdr:colOff>63500</xdr:colOff>
      <xdr:row>46</xdr:row>
      <xdr:rowOff>50800</xdr:rowOff>
    </xdr:to>
    <xdr:sp macro="" textlink="">
      <xdr:nvSpPr>
        <xdr:cNvPr id="51" name="TextBox 50">
          <a:extLst>
            <a:ext uri="{FF2B5EF4-FFF2-40B4-BE49-F238E27FC236}">
              <a16:creationId xmlns:a16="http://schemas.microsoft.com/office/drawing/2014/main" id="{00000000-0008-0000-0400-000033000000}"/>
            </a:ext>
          </a:extLst>
        </xdr:cNvPr>
        <xdr:cNvSpPr txBox="1"/>
      </xdr:nvSpPr>
      <xdr:spPr>
        <a:xfrm>
          <a:off x="8077200" y="8953500"/>
          <a:ext cx="1917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u="sng">
              <a:solidFill>
                <a:srgbClr val="FFFFFF"/>
              </a:solidFill>
            </a:rPr>
            <a:t>Checks</a:t>
          </a:r>
        </a:p>
        <a:p>
          <a:pPr algn="ctr"/>
          <a:endParaRPr lang="en-US" sz="1600" u="sng">
            <a:solidFill>
              <a:srgbClr val="FFFFFF"/>
            </a:solidFill>
          </a:endParaRPr>
        </a:p>
      </xdr:txBody>
    </xdr:sp>
    <xdr:clientData/>
  </xdr:twoCellAnchor>
  <xdr:twoCellAnchor>
    <xdr:from>
      <xdr:col>46</xdr:col>
      <xdr:colOff>168413</xdr:colOff>
      <xdr:row>11</xdr:row>
      <xdr:rowOff>111263</xdr:rowOff>
    </xdr:from>
    <xdr:to>
      <xdr:col>61</xdr:col>
      <xdr:colOff>38100</xdr:colOff>
      <xdr:row>44</xdr:row>
      <xdr:rowOff>12700</xdr:rowOff>
    </xdr:to>
    <xdr:cxnSp macro="">
      <xdr:nvCxnSpPr>
        <xdr:cNvPr id="56" name="Straight Arrow Connector 278">
          <a:extLst>
            <a:ext uri="{FF2B5EF4-FFF2-40B4-BE49-F238E27FC236}">
              <a16:creationId xmlns:a16="http://schemas.microsoft.com/office/drawing/2014/main" id="{00000000-0008-0000-0400-000038000000}"/>
            </a:ext>
          </a:extLst>
        </xdr:cNvPr>
        <xdr:cNvCxnSpPr>
          <a:stCxn id="62" idx="3"/>
        </xdr:cNvCxnSpPr>
      </xdr:nvCxnSpPr>
      <xdr:spPr>
        <a:xfrm>
          <a:off x="10099813" y="2689363"/>
          <a:ext cx="3108187" cy="6187937"/>
        </a:xfrm>
        <a:prstGeom prst="bentConnector2">
          <a:avLst/>
        </a:prstGeom>
        <a:ln>
          <a:tailEnd type="arrow"/>
        </a:ln>
      </xdr:spPr>
      <xdr:style>
        <a:lnRef idx="2">
          <a:schemeClr val="accent4"/>
        </a:lnRef>
        <a:fillRef idx="0">
          <a:schemeClr val="accent4"/>
        </a:fillRef>
        <a:effectRef idx="1">
          <a:schemeClr val="accent4"/>
        </a:effectRef>
        <a:fontRef idx="minor">
          <a:schemeClr val="tx1"/>
        </a:fontRef>
      </xdr:style>
    </xdr:cxnSp>
    <xdr:clientData/>
  </xdr:twoCellAnchor>
  <xdr:twoCellAnchor>
    <xdr:from>
      <xdr:col>72</xdr:col>
      <xdr:colOff>0</xdr:colOff>
      <xdr:row>43</xdr:row>
      <xdr:rowOff>0</xdr:rowOff>
    </xdr:from>
    <xdr:to>
      <xdr:col>72</xdr:col>
      <xdr:colOff>1577</xdr:colOff>
      <xdr:row>44</xdr:row>
      <xdr:rowOff>38100</xdr:rowOff>
    </xdr:to>
    <xdr:cxnSp macro="">
      <xdr:nvCxnSpPr>
        <xdr:cNvPr id="84" name="Elbow Connector 71">
          <a:extLst>
            <a:ext uri="{FF2B5EF4-FFF2-40B4-BE49-F238E27FC236}">
              <a16:creationId xmlns:a16="http://schemas.microsoft.com/office/drawing/2014/main" id="{00000000-0008-0000-0400-000054000000}"/>
            </a:ext>
          </a:extLst>
        </xdr:cNvPr>
        <xdr:cNvCxnSpPr>
          <a:stCxn id="2" idx="2"/>
        </xdr:cNvCxnSpPr>
      </xdr:nvCxnSpPr>
      <xdr:spPr>
        <a:xfrm>
          <a:off x="15544800" y="8674100"/>
          <a:ext cx="1577" cy="228600"/>
        </a:xfrm>
        <a:prstGeom prst="straightConnector1">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18</xdr:col>
      <xdr:colOff>0</xdr:colOff>
      <xdr:row>27</xdr:row>
      <xdr:rowOff>95250</xdr:rowOff>
    </xdr:from>
    <xdr:to>
      <xdr:col>50</xdr:col>
      <xdr:colOff>0</xdr:colOff>
      <xdr:row>27</xdr:row>
      <xdr:rowOff>114300</xdr:rowOff>
    </xdr:to>
    <xdr:cxnSp macro="">
      <xdr:nvCxnSpPr>
        <xdr:cNvPr id="100" name="Elbow Connector 71">
          <a:extLst>
            <a:ext uri="{FF2B5EF4-FFF2-40B4-BE49-F238E27FC236}">
              <a16:creationId xmlns:a16="http://schemas.microsoft.com/office/drawing/2014/main" id="{00000000-0008-0000-0400-000064000000}"/>
            </a:ext>
          </a:extLst>
        </xdr:cNvPr>
        <xdr:cNvCxnSpPr>
          <a:stCxn id="10" idx="3"/>
          <a:endCxn id="77" idx="1"/>
        </xdr:cNvCxnSpPr>
      </xdr:nvCxnSpPr>
      <xdr:spPr>
        <a:xfrm>
          <a:off x="3886200" y="5721350"/>
          <a:ext cx="6908800" cy="19050"/>
        </a:xfrm>
        <a:prstGeom prst="straightConnector1">
          <a:avLst/>
        </a:prstGeom>
        <a:ln>
          <a:tailEnd type="arrow"/>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101600</xdr:colOff>
          <xdr:row>2</xdr:row>
          <xdr:rowOff>38100</xdr:rowOff>
        </xdr:from>
        <xdr:to>
          <xdr:col>10</xdr:col>
          <xdr:colOff>3771900</xdr:colOff>
          <xdr:row>3</xdr:row>
          <xdr:rowOff>63500</xdr:rowOff>
        </xdr:to>
        <xdr:sp macro="" textlink="">
          <xdr:nvSpPr>
            <xdr:cNvPr id="3073" name="import_data" hidden="1">
              <a:extLst>
                <a:ext uri="{63B3BB69-23CF-44E3-9099-C40C66FF867C}">
                  <a14:compatExt spid="_x0000_s3073"/>
                </a:ext>
                <a:ext uri="{FF2B5EF4-FFF2-40B4-BE49-F238E27FC236}">
                  <a16:creationId xmlns:a16="http://schemas.microsoft.com/office/drawing/2014/main" id="{00000000-0008-0000-0600-0000010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import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139700</xdr:colOff>
          <xdr:row>4</xdr:row>
          <xdr:rowOff>279400</xdr:rowOff>
        </xdr:from>
        <xdr:to>
          <xdr:col>10</xdr:col>
          <xdr:colOff>3810000</xdr:colOff>
          <xdr:row>4</xdr:row>
          <xdr:rowOff>495300</xdr:rowOff>
        </xdr:to>
        <xdr:sp macro="" textlink="">
          <xdr:nvSpPr>
            <xdr:cNvPr id="3074" name="export_data" hidden="1">
              <a:extLst>
                <a:ext uri="{63B3BB69-23CF-44E3-9099-C40C66FF867C}">
                  <a14:compatExt spid="_x0000_s3074"/>
                </a:ext>
                <a:ext uri="{FF2B5EF4-FFF2-40B4-BE49-F238E27FC236}">
                  <a16:creationId xmlns:a16="http://schemas.microsoft.com/office/drawing/2014/main" id="{00000000-0008-0000-0600-0000020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export to 'data/…/ouput' folder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2273300</xdr:colOff>
          <xdr:row>3</xdr:row>
          <xdr:rowOff>152400</xdr:rowOff>
        </xdr:from>
        <xdr:to>
          <xdr:col>10</xdr:col>
          <xdr:colOff>3784600</xdr:colOff>
          <xdr:row>4</xdr:row>
          <xdr:rowOff>177800</xdr:rowOff>
        </xdr:to>
        <xdr:sp macro="" textlink="">
          <xdr:nvSpPr>
            <xdr:cNvPr id="3076" name="select_dashboard"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200" b="0" i="0" u="none" strike="noStrike" baseline="0">
                  <a:solidFill>
                    <a:srgbClr val="000000"/>
                  </a:solidFill>
                  <a:latin typeface="Lucida Grande" pitchFamily="2" charset="0"/>
                  <a:cs typeface="Lucida Grande" pitchFamily="2" charset="0"/>
                </a:rPr>
                <a:t>optional: load different Dashbord values</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ichieldenhaan/Code/etdataset/analysis_manager.xlsm" TargetMode="External"/><Relationship Id="rId1" Type="http://schemas.openxmlformats.org/officeDocument/2006/relationships/externalLinkPath" Target="/Users/michieldenhaan/Code/etdataset/analysis_manag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Dashboard"/>
      <sheetName val="analysis_manager"/>
    </sheetNames>
    <definedNames>
      <definedName name="export_data_button"/>
      <definedName name="import_data_button"/>
      <definedName name="select_dashboard_values"/>
    </definedNames>
    <sheetDataSet>
      <sheetData sheetId="0"/>
      <sheetData sheetId="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sheetPr>
  <dimension ref="B2:D39"/>
  <sheetViews>
    <sheetView workbookViewId="0">
      <selection activeCell="F4" sqref="F4"/>
    </sheetView>
  </sheetViews>
  <sheetFormatPr baseColWidth="10" defaultRowHeight="16" x14ac:dyDescent="0.2"/>
  <cols>
    <col min="1" max="1" width="10.83203125" style="1"/>
    <col min="2" max="2" width="14" style="1" customWidth="1"/>
    <col min="3" max="3" width="44" style="1" customWidth="1"/>
    <col min="4" max="4" width="9.33203125" style="1" customWidth="1"/>
    <col min="5" max="16384" width="10.83203125" style="1"/>
  </cols>
  <sheetData>
    <row r="2" spans="2:4" ht="21" x14ac:dyDescent="0.25">
      <c r="B2" s="2" t="s">
        <v>197</v>
      </c>
    </row>
    <row r="4" spans="2:4" x14ac:dyDescent="0.2">
      <c r="B4" s="3" t="s">
        <v>1</v>
      </c>
      <c r="C4" s="4" t="str">
        <f>"Residence analysis "&amp;C6&amp;" "&amp;C7</f>
        <v>Residence analysis nl 2019</v>
      </c>
      <c r="D4" s="5"/>
    </row>
    <row r="5" spans="2:4" x14ac:dyDescent="0.2">
      <c r="B5" s="6" t="s">
        <v>2</v>
      </c>
      <c r="C5" s="365">
        <f>MAX(Changelog!D:D)</f>
        <v>2.2599999999999998</v>
      </c>
      <c r="D5" s="7"/>
    </row>
    <row r="6" spans="2:4" x14ac:dyDescent="0.2">
      <c r="B6" s="132" t="s">
        <v>306</v>
      </c>
      <c r="C6" s="133" t="s">
        <v>801</v>
      </c>
      <c r="D6" s="7"/>
    </row>
    <row r="7" spans="2:4" x14ac:dyDescent="0.2">
      <c r="B7" s="132" t="s">
        <v>307</v>
      </c>
      <c r="C7" s="134">
        <v>2019</v>
      </c>
      <c r="D7" s="7"/>
    </row>
    <row r="8" spans="2:4" x14ac:dyDescent="0.2">
      <c r="B8" s="6" t="s">
        <v>3</v>
      </c>
      <c r="C8" s="335" t="s">
        <v>930</v>
      </c>
      <c r="D8" s="7"/>
    </row>
    <row r="9" spans="2:4" x14ac:dyDescent="0.2">
      <c r="B9" s="6" t="s">
        <v>4</v>
      </c>
      <c r="C9" s="1" t="s">
        <v>799</v>
      </c>
      <c r="D9" s="7"/>
    </row>
    <row r="10" spans="2:4" x14ac:dyDescent="0.2">
      <c r="B10" s="8" t="s">
        <v>18</v>
      </c>
      <c r="C10" s="9" t="s">
        <v>803</v>
      </c>
      <c r="D10" s="10"/>
    </row>
    <row r="12" spans="2:4" x14ac:dyDescent="0.2">
      <c r="B12" s="3" t="s">
        <v>8</v>
      </c>
      <c r="C12" s="4"/>
      <c r="D12" s="5"/>
    </row>
    <row r="13" spans="2:4" x14ac:dyDescent="0.2">
      <c r="B13" s="19"/>
      <c r="D13" s="7"/>
    </row>
    <row r="14" spans="2:4" x14ac:dyDescent="0.2">
      <c r="B14" s="19" t="s">
        <v>9</v>
      </c>
      <c r="C14" s="20" t="s">
        <v>10</v>
      </c>
      <c r="D14" s="7"/>
    </row>
    <row r="15" spans="2:4" ht="17" thickBot="1" x14ac:dyDescent="0.25">
      <c r="B15" s="19"/>
      <c r="C15" s="13" t="s">
        <v>11</v>
      </c>
      <c r="D15" s="7"/>
    </row>
    <row r="16" spans="2:4" ht="17" thickBot="1" x14ac:dyDescent="0.25">
      <c r="B16" s="19"/>
      <c r="C16" s="21" t="s">
        <v>12</v>
      </c>
      <c r="D16" s="7"/>
    </row>
    <row r="17" spans="2:4" x14ac:dyDescent="0.2">
      <c r="B17" s="19"/>
      <c r="C17" s="1" t="s">
        <v>13</v>
      </c>
      <c r="D17" s="7"/>
    </row>
    <row r="18" spans="2:4" x14ac:dyDescent="0.2">
      <c r="B18" s="19"/>
      <c r="D18" s="7"/>
    </row>
    <row r="19" spans="2:4" x14ac:dyDescent="0.2">
      <c r="B19" s="19" t="s">
        <v>604</v>
      </c>
      <c r="C19" s="22" t="s">
        <v>216</v>
      </c>
      <c r="D19" s="7"/>
    </row>
    <row r="20" spans="2:4" x14ac:dyDescent="0.2">
      <c r="B20" s="19"/>
      <c r="C20" s="114" t="s">
        <v>16</v>
      </c>
      <c r="D20" s="7"/>
    </row>
    <row r="21" spans="2:4" x14ac:dyDescent="0.2">
      <c r="B21" s="19"/>
      <c r="C21" s="115" t="s">
        <v>217</v>
      </c>
      <c r="D21" s="7"/>
    </row>
    <row r="22" spans="2:4" x14ac:dyDescent="0.2">
      <c r="B22" s="19"/>
      <c r="C22" s="116" t="s">
        <v>26</v>
      </c>
      <c r="D22" s="7"/>
    </row>
    <row r="23" spans="2:4" x14ac:dyDescent="0.2">
      <c r="B23" s="17"/>
      <c r="C23" s="23" t="s">
        <v>14</v>
      </c>
      <c r="D23" s="7"/>
    </row>
    <row r="24" spans="2:4" x14ac:dyDescent="0.2">
      <c r="B24" s="17"/>
      <c r="C24" s="117" t="s">
        <v>218</v>
      </c>
      <c r="D24" s="7"/>
    </row>
    <row r="25" spans="2:4" x14ac:dyDescent="0.2">
      <c r="B25" s="17"/>
      <c r="C25" s="118" t="s">
        <v>15</v>
      </c>
      <c r="D25" s="7"/>
    </row>
    <row r="26" spans="2:4" x14ac:dyDescent="0.2">
      <c r="B26" s="17"/>
      <c r="C26" s="88" t="s">
        <v>229</v>
      </c>
      <c r="D26" s="7"/>
    </row>
    <row r="27" spans="2:4" x14ac:dyDescent="0.2">
      <c r="B27" s="18"/>
      <c r="C27" s="379"/>
      <c r="D27" s="10"/>
    </row>
    <row r="29" spans="2:4" x14ac:dyDescent="0.2">
      <c r="B29" s="3" t="s">
        <v>17</v>
      </c>
      <c r="C29" s="4"/>
      <c r="D29" s="5"/>
    </row>
    <row r="30" spans="2:4" ht="68" x14ac:dyDescent="0.2">
      <c r="B30" s="17"/>
      <c r="C30" s="67" t="s">
        <v>634</v>
      </c>
      <c r="D30" s="7"/>
    </row>
    <row r="31" spans="2:4" x14ac:dyDescent="0.2">
      <c r="B31" s="17"/>
      <c r="D31" s="7"/>
    </row>
    <row r="32" spans="2:4" x14ac:dyDescent="0.2">
      <c r="B32" s="17"/>
      <c r="D32" s="7"/>
    </row>
    <row r="33" spans="2:4" x14ac:dyDescent="0.2">
      <c r="B33" s="17"/>
      <c r="D33" s="7"/>
    </row>
    <row r="34" spans="2:4" x14ac:dyDescent="0.2">
      <c r="B34" s="17"/>
      <c r="D34" s="7"/>
    </row>
    <row r="35" spans="2:4" x14ac:dyDescent="0.2">
      <c r="B35" s="17"/>
      <c r="D35" s="7"/>
    </row>
    <row r="36" spans="2:4" x14ac:dyDescent="0.2">
      <c r="B36" s="17"/>
      <c r="D36" s="7"/>
    </row>
    <row r="37" spans="2:4" x14ac:dyDescent="0.2">
      <c r="B37" s="17"/>
      <c r="D37" s="7"/>
    </row>
    <row r="38" spans="2:4" x14ac:dyDescent="0.2">
      <c r="B38" s="17"/>
      <c r="D38" s="7"/>
    </row>
    <row r="39" spans="2:4" x14ac:dyDescent="0.2">
      <c r="B39" s="18"/>
      <c r="C39" s="9"/>
      <c r="D39" s="10"/>
    </row>
  </sheetData>
  <phoneticPr fontId="28" type="noConversion"/>
  <pageMargins left="0.75" right="0.75" top="1" bottom="1" header="0.5" footer="0.5"/>
  <pageSetup paperSize="9" orientation="portrait" horizontalDpi="4294967292" verticalDpi="4294967292"/>
  <ignoredErrors>
    <ignoredError sqref="C5" emptyCellReferenc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2"/>
  </sheetPr>
  <dimension ref="B2:D45"/>
  <sheetViews>
    <sheetView workbookViewId="0">
      <selection activeCell="C43" sqref="C43"/>
    </sheetView>
  </sheetViews>
  <sheetFormatPr baseColWidth="10" defaultRowHeight="16" x14ac:dyDescent="0.2"/>
  <cols>
    <col min="1" max="1" width="10.83203125" style="1"/>
    <col min="2" max="2" width="17.6640625" style="1" bestFit="1" customWidth="1"/>
    <col min="3" max="3" width="92.1640625" style="1" bestFit="1" customWidth="1"/>
    <col min="4" max="4" width="9.33203125" style="1" customWidth="1"/>
    <col min="5" max="16384" width="10.83203125" style="1"/>
  </cols>
  <sheetData>
    <row r="2" spans="2:4" ht="21" x14ac:dyDescent="0.25">
      <c r="B2" s="2" t="s">
        <v>0</v>
      </c>
    </row>
    <row r="4" spans="2:4" x14ac:dyDescent="0.2">
      <c r="B4" s="553" t="s">
        <v>3</v>
      </c>
      <c r="C4" s="554" t="s">
        <v>5</v>
      </c>
      <c r="D4" s="555" t="s">
        <v>6</v>
      </c>
    </row>
    <row r="5" spans="2:4" x14ac:dyDescent="0.2">
      <c r="B5" s="6"/>
      <c r="C5" s="13"/>
      <c r="D5" s="14"/>
    </row>
    <row r="6" spans="2:4" x14ac:dyDescent="0.2">
      <c r="B6" s="334">
        <v>41474</v>
      </c>
      <c r="C6" t="s">
        <v>7</v>
      </c>
      <c r="D6" s="24">
        <v>1</v>
      </c>
    </row>
    <row r="7" spans="2:4" x14ac:dyDescent="0.2">
      <c r="B7" s="334">
        <v>41484</v>
      </c>
      <c r="C7" t="s">
        <v>465</v>
      </c>
      <c r="D7" s="24">
        <v>1</v>
      </c>
    </row>
    <row r="8" spans="2:4" x14ac:dyDescent="0.2">
      <c r="B8" s="334">
        <v>41485</v>
      </c>
      <c r="C8" t="s">
        <v>474</v>
      </c>
      <c r="D8" s="24">
        <v>1.01</v>
      </c>
    </row>
    <row r="9" spans="2:4" x14ac:dyDescent="0.2">
      <c r="B9" s="16"/>
      <c r="C9" t="s">
        <v>475</v>
      </c>
      <c r="D9" s="24"/>
    </row>
    <row r="10" spans="2:4" x14ac:dyDescent="0.2">
      <c r="B10" s="334">
        <v>41486</v>
      </c>
      <c r="C10" t="s">
        <v>532</v>
      </c>
      <c r="D10" s="24"/>
    </row>
    <row r="11" spans="2:4" x14ac:dyDescent="0.2">
      <c r="B11" s="106"/>
      <c r="C11" t="s">
        <v>483</v>
      </c>
      <c r="D11" s="24"/>
    </row>
    <row r="12" spans="2:4" x14ac:dyDescent="0.2">
      <c r="B12" s="334">
        <v>41490</v>
      </c>
      <c r="C12" t="s">
        <v>523</v>
      </c>
      <c r="D12" s="24">
        <v>2</v>
      </c>
    </row>
    <row r="13" spans="2:4" x14ac:dyDescent="0.2">
      <c r="B13" s="16"/>
      <c r="C13" t="s">
        <v>524</v>
      </c>
      <c r="D13" s="24"/>
    </row>
    <row r="14" spans="2:4" x14ac:dyDescent="0.2">
      <c r="B14" s="16"/>
      <c r="C14" t="s">
        <v>525</v>
      </c>
      <c r="D14" s="24"/>
    </row>
    <row r="15" spans="2:4" ht="17" x14ac:dyDescent="0.2">
      <c r="B15" s="16"/>
      <c r="C15" s="37" t="s">
        <v>526</v>
      </c>
      <c r="D15" s="24"/>
    </row>
    <row r="16" spans="2:4" x14ac:dyDescent="0.2">
      <c r="B16" s="334">
        <v>41491</v>
      </c>
      <c r="C16" t="s">
        <v>539</v>
      </c>
      <c r="D16" s="24">
        <v>2.0099999999999998</v>
      </c>
    </row>
    <row r="17" spans="2:4" ht="17" x14ac:dyDescent="0.2">
      <c r="B17" s="334">
        <v>41492</v>
      </c>
      <c r="C17" s="37" t="s">
        <v>588</v>
      </c>
      <c r="D17" s="24">
        <v>2.02</v>
      </c>
    </row>
    <row r="18" spans="2:4" x14ac:dyDescent="0.2">
      <c r="B18" s="334">
        <v>41494</v>
      </c>
      <c r="C18" t="s">
        <v>616</v>
      </c>
      <c r="D18" s="24">
        <v>2.02</v>
      </c>
    </row>
    <row r="19" spans="2:4" ht="17" x14ac:dyDescent="0.2">
      <c r="B19" s="334">
        <v>41495</v>
      </c>
      <c r="C19" s="37" t="s">
        <v>621</v>
      </c>
      <c r="D19" s="24">
        <v>2.0299999999999998</v>
      </c>
    </row>
    <row r="20" spans="2:4" ht="17" x14ac:dyDescent="0.2">
      <c r="B20" s="334">
        <v>41500</v>
      </c>
      <c r="C20" s="37" t="s">
        <v>633</v>
      </c>
      <c r="D20" s="24">
        <v>2.04</v>
      </c>
    </row>
    <row r="21" spans="2:4" ht="17" x14ac:dyDescent="0.2">
      <c r="B21" s="334">
        <v>41505</v>
      </c>
      <c r="C21" s="37" t="s">
        <v>636</v>
      </c>
      <c r="D21" s="24">
        <v>2.0499999999999998</v>
      </c>
    </row>
    <row r="22" spans="2:4" ht="17" x14ac:dyDescent="0.2">
      <c r="B22" s="334">
        <v>41507</v>
      </c>
      <c r="C22" s="37" t="s">
        <v>650</v>
      </c>
      <c r="D22" s="24" t="s">
        <v>449</v>
      </c>
    </row>
    <row r="23" spans="2:4" ht="34" x14ac:dyDescent="0.2">
      <c r="B23" s="334">
        <v>41507</v>
      </c>
      <c r="C23" s="37" t="s">
        <v>642</v>
      </c>
      <c r="D23" s="24">
        <v>2.06</v>
      </c>
    </row>
    <row r="24" spans="2:4" ht="34" x14ac:dyDescent="0.2">
      <c r="B24" s="334">
        <v>41512</v>
      </c>
      <c r="C24" s="37" t="s">
        <v>651</v>
      </c>
      <c r="D24" s="24">
        <v>2.0699999999999998</v>
      </c>
    </row>
    <row r="25" spans="2:4" ht="17" x14ac:dyDescent="0.2">
      <c r="B25" s="334">
        <v>41534</v>
      </c>
      <c r="C25" s="37" t="s">
        <v>654</v>
      </c>
      <c r="D25" s="24">
        <v>2.08</v>
      </c>
    </row>
    <row r="26" spans="2:4" ht="17" x14ac:dyDescent="0.2">
      <c r="B26" s="334">
        <v>41535</v>
      </c>
      <c r="C26" s="37" t="s">
        <v>687</v>
      </c>
      <c r="D26" s="24">
        <v>2.09</v>
      </c>
    </row>
    <row r="27" spans="2:4" ht="17" x14ac:dyDescent="0.2">
      <c r="B27" s="334">
        <v>41535</v>
      </c>
      <c r="C27" s="37" t="s">
        <v>693</v>
      </c>
      <c r="D27" s="24">
        <v>2.1</v>
      </c>
    </row>
    <row r="28" spans="2:4" ht="17" x14ac:dyDescent="0.2">
      <c r="B28" s="334">
        <v>41561</v>
      </c>
      <c r="C28" s="37" t="s">
        <v>696</v>
      </c>
      <c r="D28" s="15">
        <v>2.11</v>
      </c>
    </row>
    <row r="29" spans="2:4" ht="17" x14ac:dyDescent="0.2">
      <c r="B29" s="494">
        <v>41562</v>
      </c>
      <c r="C29" s="556" t="s">
        <v>697</v>
      </c>
      <c r="D29" s="15">
        <v>2.12</v>
      </c>
    </row>
    <row r="30" spans="2:4" ht="17" x14ac:dyDescent="0.2">
      <c r="B30" s="494">
        <v>41578</v>
      </c>
      <c r="C30" s="37" t="s">
        <v>699</v>
      </c>
      <c r="D30" s="15">
        <v>2.13</v>
      </c>
    </row>
    <row r="31" spans="2:4" ht="17" x14ac:dyDescent="0.2">
      <c r="B31" s="494">
        <v>41618</v>
      </c>
      <c r="C31" s="37" t="s">
        <v>731</v>
      </c>
      <c r="D31" s="15">
        <v>2.14</v>
      </c>
    </row>
    <row r="32" spans="2:4" ht="34" x14ac:dyDescent="0.2">
      <c r="B32" s="334" t="s">
        <v>735</v>
      </c>
      <c r="C32" s="37" t="s">
        <v>736</v>
      </c>
      <c r="D32" s="15">
        <v>2.15</v>
      </c>
    </row>
    <row r="33" spans="2:4" ht="34" x14ac:dyDescent="0.2">
      <c r="B33" s="334" t="s">
        <v>738</v>
      </c>
      <c r="C33" s="37" t="s">
        <v>737</v>
      </c>
      <c r="D33" s="15">
        <v>2.16</v>
      </c>
    </row>
    <row r="34" spans="2:4" ht="17" x14ac:dyDescent="0.2">
      <c r="B34" s="334" t="s">
        <v>739</v>
      </c>
      <c r="C34" s="37" t="s">
        <v>740</v>
      </c>
      <c r="D34" s="15">
        <v>2.17</v>
      </c>
    </row>
    <row r="35" spans="2:4" ht="34" x14ac:dyDescent="0.2">
      <c r="B35" s="16" t="s">
        <v>762</v>
      </c>
      <c r="C35" s="37" t="s">
        <v>763</v>
      </c>
      <c r="D35" s="15">
        <v>2.1800000000000002</v>
      </c>
    </row>
    <row r="36" spans="2:4" ht="51" x14ac:dyDescent="0.2">
      <c r="B36" s="16" t="s">
        <v>767</v>
      </c>
      <c r="C36" s="557" t="s">
        <v>770</v>
      </c>
      <c r="D36" s="15">
        <v>2.19</v>
      </c>
    </row>
    <row r="37" spans="2:4" ht="34" x14ac:dyDescent="0.2">
      <c r="B37" s="334" t="s">
        <v>767</v>
      </c>
      <c r="C37" s="37" t="s">
        <v>771</v>
      </c>
      <c r="D37" s="15">
        <v>2.2000000000000002</v>
      </c>
    </row>
    <row r="38" spans="2:4" ht="85" x14ac:dyDescent="0.2">
      <c r="B38" s="334" t="s">
        <v>783</v>
      </c>
      <c r="C38" s="37" t="s">
        <v>784</v>
      </c>
      <c r="D38" s="15">
        <v>2.21</v>
      </c>
    </row>
    <row r="39" spans="2:4" ht="17" x14ac:dyDescent="0.2">
      <c r="B39" s="334" t="s">
        <v>800</v>
      </c>
      <c r="C39" s="37" t="s">
        <v>802</v>
      </c>
      <c r="D39" s="15">
        <v>2.2200000000000002</v>
      </c>
    </row>
    <row r="40" spans="2:4" ht="34" x14ac:dyDescent="0.2">
      <c r="B40" s="334" t="s">
        <v>800</v>
      </c>
      <c r="C40" s="37" t="s">
        <v>829</v>
      </c>
      <c r="D40" s="15">
        <v>2.23</v>
      </c>
    </row>
    <row r="41" spans="2:4" ht="34" x14ac:dyDescent="0.2">
      <c r="B41" s="334" t="s">
        <v>800</v>
      </c>
      <c r="C41" s="37" t="s">
        <v>921</v>
      </c>
      <c r="D41" s="15">
        <v>2.2400000000000002</v>
      </c>
    </row>
    <row r="42" spans="2:4" ht="17" x14ac:dyDescent="0.2">
      <c r="B42" s="334" t="s">
        <v>927</v>
      </c>
      <c r="C42" s="37" t="s">
        <v>928</v>
      </c>
      <c r="D42" s="15">
        <v>2.25</v>
      </c>
    </row>
    <row r="43" spans="2:4" ht="85" x14ac:dyDescent="0.2">
      <c r="B43" s="334" t="s">
        <v>929</v>
      </c>
      <c r="C43" s="37" t="s">
        <v>931</v>
      </c>
      <c r="D43" s="15">
        <v>2.2599999999999998</v>
      </c>
    </row>
    <row r="44" spans="2:4" x14ac:dyDescent="0.2">
      <c r="B44" s="334"/>
      <c r="C44" s="37"/>
      <c r="D44" s="15"/>
    </row>
    <row r="45" spans="2:4" x14ac:dyDescent="0.2">
      <c r="B45" s="558"/>
      <c r="C45" s="559"/>
      <c r="D45" s="560"/>
    </row>
  </sheetData>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2"/>
  </sheetPr>
  <dimension ref="B2:D42"/>
  <sheetViews>
    <sheetView topLeftCell="A17" workbookViewId="0">
      <selection activeCell="A39" sqref="A39:XFD39"/>
    </sheetView>
  </sheetViews>
  <sheetFormatPr baseColWidth="10" defaultRowHeight="16" x14ac:dyDescent="0.2"/>
  <cols>
    <col min="1" max="1" width="10.83203125" style="1"/>
    <col min="2" max="2" width="56.1640625" style="1" bestFit="1" customWidth="1"/>
    <col min="3" max="3" width="136.1640625" style="1" bestFit="1" customWidth="1"/>
    <col min="4" max="16384" width="10.83203125" style="1"/>
  </cols>
  <sheetData>
    <row r="2" spans="2:3" ht="21" x14ac:dyDescent="0.25">
      <c r="B2" s="2" t="s">
        <v>19</v>
      </c>
    </row>
    <row r="4" spans="2:3" x14ac:dyDescent="0.2">
      <c r="B4" s="75" t="s">
        <v>20</v>
      </c>
      <c r="C4" s="12" t="s">
        <v>21</v>
      </c>
    </row>
    <row r="5" spans="2:3" x14ac:dyDescent="0.2">
      <c r="B5" s="51"/>
      <c r="C5" s="14"/>
    </row>
    <row r="6" spans="2:3" ht="28" customHeight="1" x14ac:dyDescent="0.2">
      <c r="B6" s="395" t="s">
        <v>197</v>
      </c>
      <c r="C6" s="396" t="s">
        <v>199</v>
      </c>
    </row>
    <row r="7" spans="2:3" ht="28" customHeight="1" x14ac:dyDescent="0.2">
      <c r="B7" s="395" t="s">
        <v>0</v>
      </c>
      <c r="C7" s="396" t="s">
        <v>200</v>
      </c>
    </row>
    <row r="8" spans="2:3" ht="28" customHeight="1" x14ac:dyDescent="0.2">
      <c r="B8" s="395" t="s">
        <v>438</v>
      </c>
      <c r="C8" s="397" t="s">
        <v>439</v>
      </c>
    </row>
    <row r="9" spans="2:3" ht="28" customHeight="1" x14ac:dyDescent="0.2">
      <c r="B9" s="395" t="s">
        <v>19</v>
      </c>
      <c r="C9" s="396" t="s">
        <v>22</v>
      </c>
    </row>
    <row r="10" spans="2:3" ht="28" customHeight="1" x14ac:dyDescent="0.2">
      <c r="B10" s="395" t="s">
        <v>23</v>
      </c>
      <c r="C10" s="396" t="s">
        <v>437</v>
      </c>
    </row>
    <row r="11" spans="2:3" ht="28" customHeight="1" x14ac:dyDescent="0.2">
      <c r="B11" s="395" t="s">
        <v>198</v>
      </c>
      <c r="C11" s="396" t="s">
        <v>196</v>
      </c>
    </row>
    <row r="12" spans="2:3" ht="28" customHeight="1" x14ac:dyDescent="0.2">
      <c r="B12" s="395" t="s">
        <v>24</v>
      </c>
      <c r="C12" s="396" t="s">
        <v>25</v>
      </c>
    </row>
    <row r="13" spans="2:3" ht="28" customHeight="1" x14ac:dyDescent="0.2">
      <c r="B13" s="398" t="s">
        <v>632</v>
      </c>
      <c r="C13" s="396" t="s">
        <v>224</v>
      </c>
    </row>
    <row r="14" spans="2:3" ht="28" customHeight="1" x14ac:dyDescent="0.2">
      <c r="B14" s="398" t="s">
        <v>187</v>
      </c>
      <c r="C14" s="396" t="s">
        <v>219</v>
      </c>
    </row>
    <row r="15" spans="2:3" ht="28" customHeight="1" x14ac:dyDescent="0.2">
      <c r="B15" s="399" t="s">
        <v>26</v>
      </c>
      <c r="C15" s="396" t="s">
        <v>27</v>
      </c>
    </row>
    <row r="16" spans="2:3" ht="28" customHeight="1" x14ac:dyDescent="0.2">
      <c r="B16" s="403" t="s">
        <v>442</v>
      </c>
      <c r="C16" s="404" t="s">
        <v>444</v>
      </c>
    </row>
    <row r="17" spans="2:3" ht="28" customHeight="1" x14ac:dyDescent="0.2">
      <c r="B17" s="403" t="s">
        <v>443</v>
      </c>
      <c r="C17" s="404" t="s">
        <v>445</v>
      </c>
    </row>
    <row r="18" spans="2:3" ht="28" customHeight="1" x14ac:dyDescent="0.2">
      <c r="B18" s="403" t="s">
        <v>446</v>
      </c>
      <c r="C18" s="404" t="s">
        <v>447</v>
      </c>
    </row>
    <row r="19" spans="2:3" ht="28" customHeight="1" x14ac:dyDescent="0.2">
      <c r="B19" s="401" t="s">
        <v>183</v>
      </c>
      <c r="C19" s="396" t="s">
        <v>441</v>
      </c>
    </row>
    <row r="20" spans="2:3" ht="28" customHeight="1" x14ac:dyDescent="0.2">
      <c r="B20" s="401" t="s">
        <v>635</v>
      </c>
      <c r="C20" s="396" t="s">
        <v>222</v>
      </c>
    </row>
    <row r="21" spans="2:3" ht="28" customHeight="1" x14ac:dyDescent="0.2">
      <c r="B21" s="400" t="s">
        <v>476</v>
      </c>
      <c r="C21" s="404" t="s">
        <v>477</v>
      </c>
    </row>
    <row r="22" spans="2:3" ht="28" customHeight="1" x14ac:dyDescent="0.2">
      <c r="B22" s="401" t="s">
        <v>212</v>
      </c>
      <c r="C22" s="396" t="s">
        <v>440</v>
      </c>
    </row>
    <row r="23" spans="2:3" ht="28" customHeight="1" x14ac:dyDescent="0.2">
      <c r="B23" s="402" t="s">
        <v>631</v>
      </c>
      <c r="C23" s="396" t="s">
        <v>223</v>
      </c>
    </row>
    <row r="24" spans="2:3" ht="28" customHeight="1" x14ac:dyDescent="0.2">
      <c r="B24" s="405" t="s">
        <v>589</v>
      </c>
      <c r="C24" s="396" t="s">
        <v>464</v>
      </c>
    </row>
    <row r="25" spans="2:3" ht="28" customHeight="1" x14ac:dyDescent="0.2">
      <c r="B25" s="405" t="s">
        <v>590</v>
      </c>
      <c r="C25" s="396" t="s">
        <v>464</v>
      </c>
    </row>
    <row r="26" spans="2:3" ht="28" customHeight="1" x14ac:dyDescent="0.2">
      <c r="B26" s="405" t="s">
        <v>591</v>
      </c>
      <c r="C26" s="396" t="s">
        <v>464</v>
      </c>
    </row>
    <row r="27" spans="2:3" ht="28" customHeight="1" x14ac:dyDescent="0.2">
      <c r="B27" s="405" t="s">
        <v>592</v>
      </c>
      <c r="C27" s="396" t="s">
        <v>464</v>
      </c>
    </row>
    <row r="28" spans="2:3" ht="28" customHeight="1" x14ac:dyDescent="0.2">
      <c r="B28" s="405" t="s">
        <v>593</v>
      </c>
      <c r="C28" s="396" t="s">
        <v>464</v>
      </c>
    </row>
    <row r="29" spans="2:3" ht="28" customHeight="1" x14ac:dyDescent="0.2">
      <c r="B29" s="405" t="s">
        <v>594</v>
      </c>
      <c r="C29" s="396" t="s">
        <v>464</v>
      </c>
    </row>
    <row r="30" spans="2:3" ht="28" customHeight="1" x14ac:dyDescent="0.2">
      <c r="B30" s="405" t="s">
        <v>595</v>
      </c>
      <c r="C30" s="396" t="s">
        <v>464</v>
      </c>
    </row>
    <row r="31" spans="2:3" ht="28" customHeight="1" x14ac:dyDescent="0.2">
      <c r="B31" s="405" t="s">
        <v>596</v>
      </c>
      <c r="C31" s="396" t="s">
        <v>464</v>
      </c>
    </row>
    <row r="32" spans="2:3" ht="28" customHeight="1" x14ac:dyDescent="0.2">
      <c r="B32" s="405" t="s">
        <v>597</v>
      </c>
      <c r="C32" s="396" t="s">
        <v>464</v>
      </c>
    </row>
    <row r="33" spans="2:4" ht="28" customHeight="1" x14ac:dyDescent="0.2">
      <c r="B33" s="405" t="s">
        <v>598</v>
      </c>
      <c r="C33" s="396" t="s">
        <v>464</v>
      </c>
    </row>
    <row r="34" spans="2:4" ht="28" customHeight="1" x14ac:dyDescent="0.2">
      <c r="B34" s="405" t="s">
        <v>599</v>
      </c>
      <c r="C34" s="396" t="s">
        <v>464</v>
      </c>
    </row>
    <row r="35" spans="2:4" ht="28" customHeight="1" x14ac:dyDescent="0.2">
      <c r="B35" s="405" t="s">
        <v>600</v>
      </c>
      <c r="C35" s="396" t="s">
        <v>464</v>
      </c>
    </row>
    <row r="36" spans="2:4" ht="28" customHeight="1" x14ac:dyDescent="0.2">
      <c r="B36" s="405" t="s">
        <v>601</v>
      </c>
      <c r="C36" s="396" t="s">
        <v>464</v>
      </c>
    </row>
    <row r="37" spans="2:4" ht="28" customHeight="1" x14ac:dyDescent="0.2">
      <c r="B37" s="405" t="s">
        <v>602</v>
      </c>
      <c r="C37" s="396" t="s">
        <v>464</v>
      </c>
    </row>
    <row r="38" spans="2:4" ht="28" customHeight="1" x14ac:dyDescent="0.2">
      <c r="B38" s="405" t="s">
        <v>603</v>
      </c>
      <c r="C38" s="396" t="s">
        <v>464</v>
      </c>
    </row>
    <row r="39" spans="2:4" ht="28" customHeight="1" x14ac:dyDescent="0.2">
      <c r="B39" s="405" t="s">
        <v>828</v>
      </c>
      <c r="C39" s="406"/>
    </row>
    <row r="40" spans="2:4" ht="28" customHeight="1" x14ac:dyDescent="0.2">
      <c r="B40" s="405" t="s">
        <v>827</v>
      </c>
      <c r="C40" s="396"/>
      <c r="D40" s="17"/>
    </row>
    <row r="41" spans="2:4" ht="28" customHeight="1" x14ac:dyDescent="0.2">
      <c r="B41" s="405" t="s">
        <v>804</v>
      </c>
      <c r="C41" s="396"/>
    </row>
    <row r="42" spans="2:4" ht="28" customHeight="1" x14ac:dyDescent="0.2"/>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2"/>
  </sheetPr>
  <dimension ref="B2:B20"/>
  <sheetViews>
    <sheetView workbookViewId="0"/>
  </sheetViews>
  <sheetFormatPr baseColWidth="10" defaultRowHeight="16" x14ac:dyDescent="0.2"/>
  <cols>
    <col min="1" max="1" width="10.83203125" style="1"/>
    <col min="2" max="2" width="143.83203125" style="1" bestFit="1" customWidth="1"/>
    <col min="3" max="16384" width="10.83203125" style="1"/>
  </cols>
  <sheetData>
    <row r="2" spans="2:2" ht="21" x14ac:dyDescent="0.25">
      <c r="B2" s="2" t="s">
        <v>23</v>
      </c>
    </row>
    <row r="4" spans="2:2" x14ac:dyDescent="0.2">
      <c r="B4" s="75" t="s">
        <v>30</v>
      </c>
    </row>
    <row r="5" spans="2:2" x14ac:dyDescent="0.2">
      <c r="B5" s="57"/>
    </row>
    <row r="6" spans="2:2" ht="102" x14ac:dyDescent="0.2">
      <c r="B6" s="77" t="s">
        <v>734</v>
      </c>
    </row>
    <row r="7" spans="2:2" x14ac:dyDescent="0.2">
      <c r="B7" s="89"/>
    </row>
    <row r="8" spans="2:2" x14ac:dyDescent="0.2">
      <c r="B8" s="90" t="s">
        <v>201</v>
      </c>
    </row>
    <row r="9" spans="2:2" x14ac:dyDescent="0.2">
      <c r="B9" s="91"/>
    </row>
    <row r="10" spans="2:2" x14ac:dyDescent="0.2">
      <c r="B10" s="92" t="s">
        <v>605</v>
      </c>
    </row>
    <row r="11" spans="2:2" x14ac:dyDescent="0.2">
      <c r="B11" s="92" t="s">
        <v>606</v>
      </c>
    </row>
    <row r="12" spans="2:2" x14ac:dyDescent="0.2">
      <c r="B12" s="92" t="s">
        <v>607</v>
      </c>
    </row>
    <row r="13" spans="2:2" x14ac:dyDescent="0.2">
      <c r="B13" s="92" t="s">
        <v>608</v>
      </c>
    </row>
    <row r="14" spans="2:2" x14ac:dyDescent="0.2">
      <c r="B14" s="92" t="s">
        <v>609</v>
      </c>
    </row>
    <row r="15" spans="2:2" x14ac:dyDescent="0.2">
      <c r="B15" s="92" t="s">
        <v>610</v>
      </c>
    </row>
    <row r="16" spans="2:2" x14ac:dyDescent="0.2">
      <c r="B16" s="54"/>
    </row>
    <row r="18" spans="2:2" x14ac:dyDescent="0.2">
      <c r="B18" s="75" t="s">
        <v>29</v>
      </c>
    </row>
    <row r="19" spans="2:2" x14ac:dyDescent="0.2">
      <c r="B19" s="57"/>
    </row>
    <row r="20" spans="2:2" ht="102" x14ac:dyDescent="0.2">
      <c r="B20" s="76" t="s">
        <v>638</v>
      </c>
    </row>
  </sheetData>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2"/>
  </sheetPr>
  <dimension ref="B2:CR54"/>
  <sheetViews>
    <sheetView workbookViewId="0"/>
  </sheetViews>
  <sheetFormatPr baseColWidth="10" defaultColWidth="2.83203125" defaultRowHeight="16" x14ac:dyDescent="0.2"/>
  <cols>
    <col min="1" max="16384" width="2.83203125" style="1"/>
  </cols>
  <sheetData>
    <row r="2" spans="2:81" ht="31" x14ac:dyDescent="0.2">
      <c r="B2" s="81" t="s">
        <v>230</v>
      </c>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78"/>
      <c r="BG2" s="78"/>
      <c r="BH2" s="78"/>
      <c r="BI2" s="78"/>
      <c r="BJ2" s="78"/>
      <c r="BK2" s="78"/>
      <c r="BL2" s="78"/>
      <c r="BM2" s="78"/>
      <c r="BN2" s="78"/>
      <c r="BO2" s="78"/>
      <c r="BP2" s="78"/>
      <c r="BQ2" s="78"/>
      <c r="BR2" s="78"/>
      <c r="BS2" s="78"/>
      <c r="BT2" s="78"/>
      <c r="BU2" s="78"/>
      <c r="BV2" s="78"/>
      <c r="BW2" s="78"/>
    </row>
    <row r="3" spans="2:81" ht="31" x14ac:dyDescent="0.2">
      <c r="B3" s="82" t="s">
        <v>78</v>
      </c>
      <c r="C3" s="83"/>
      <c r="D3" s="83"/>
      <c r="E3" s="83"/>
      <c r="F3" s="83"/>
      <c r="G3" s="83"/>
      <c r="H3" s="83"/>
      <c r="I3" s="83"/>
      <c r="J3" s="83"/>
      <c r="K3" s="83"/>
      <c r="L3" s="83"/>
      <c r="M3" s="83"/>
      <c r="N3" s="83"/>
      <c r="O3" s="83"/>
      <c r="P3" s="84"/>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BK3" s="78"/>
      <c r="BL3" s="78"/>
      <c r="BM3" s="78"/>
      <c r="BN3" s="78"/>
      <c r="BO3" s="78"/>
      <c r="BP3" s="78"/>
      <c r="BQ3" s="78"/>
      <c r="BR3" s="78"/>
      <c r="BS3" s="78"/>
      <c r="BT3" s="78"/>
      <c r="BU3" s="78"/>
      <c r="BV3" s="78"/>
      <c r="BW3" s="78"/>
    </row>
    <row r="4" spans="2:81" ht="15" customHeight="1" x14ac:dyDescent="0.2">
      <c r="B4" s="85" t="s">
        <v>196</v>
      </c>
      <c r="C4" s="86"/>
      <c r="D4" s="86"/>
      <c r="E4" s="86"/>
      <c r="F4" s="86"/>
      <c r="G4" s="86"/>
      <c r="H4" s="86"/>
      <c r="I4" s="86"/>
      <c r="J4" s="86"/>
      <c r="K4" s="86"/>
      <c r="L4" s="86"/>
      <c r="M4" s="86"/>
      <c r="N4" s="86"/>
      <c r="O4" s="86"/>
      <c r="P4" s="87"/>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row>
    <row r="5" spans="2:81" ht="15" customHeight="1" x14ac:dyDescent="0.2">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c r="BA5" s="80"/>
      <c r="BB5" s="80"/>
      <c r="BC5" s="80"/>
      <c r="BD5" s="80"/>
      <c r="BE5" s="80"/>
      <c r="BF5" s="80"/>
      <c r="BG5" s="80"/>
      <c r="BH5" s="80"/>
      <c r="BI5" s="80"/>
      <c r="BJ5" s="80"/>
      <c r="BK5" s="80"/>
      <c r="BL5" s="80"/>
      <c r="BM5" s="80"/>
      <c r="BN5" s="80"/>
      <c r="BO5" s="80"/>
      <c r="BP5" s="80"/>
      <c r="BQ5" s="80"/>
      <c r="BR5" s="80"/>
      <c r="BS5" s="80"/>
      <c r="BT5" s="80"/>
      <c r="BU5" s="80"/>
      <c r="BV5" s="80"/>
      <c r="BW5" s="80"/>
    </row>
    <row r="6" spans="2:81" ht="24" x14ac:dyDescent="0.2">
      <c r="B6" s="80"/>
      <c r="C6" s="93" t="s">
        <v>193</v>
      </c>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N6" s="80"/>
      <c r="AO6" s="93" t="s">
        <v>194</v>
      </c>
      <c r="AP6" s="80"/>
      <c r="AQ6" s="80"/>
      <c r="AR6" s="80"/>
      <c r="AS6" s="80"/>
      <c r="AT6" s="80"/>
      <c r="AU6" s="80"/>
      <c r="AV6" s="80"/>
      <c r="AW6" s="80"/>
      <c r="AX6" s="80"/>
      <c r="AY6" s="80"/>
      <c r="AZ6" s="80"/>
      <c r="BA6" s="80"/>
      <c r="BB6" s="80"/>
      <c r="BC6" s="80"/>
      <c r="BD6" s="80"/>
      <c r="BE6" s="80"/>
      <c r="BF6" s="80"/>
      <c r="BG6" s="80"/>
      <c r="BH6" s="80"/>
      <c r="BI6" s="80"/>
      <c r="BJ6" s="80"/>
      <c r="BK6" s="80"/>
      <c r="BL6" s="80"/>
      <c r="BM6" s="80"/>
      <c r="BN6" s="80"/>
      <c r="BO6" s="80"/>
      <c r="BP6" s="80"/>
      <c r="BQ6" s="80"/>
      <c r="BS6" s="80"/>
      <c r="BT6" s="80"/>
      <c r="BU6" s="80"/>
      <c r="BV6" s="93" t="s">
        <v>195</v>
      </c>
    </row>
    <row r="8" spans="2:81" x14ac:dyDescent="0.2">
      <c r="CC8" s="13"/>
    </row>
    <row r="54" spans="96:96" x14ac:dyDescent="0.2">
      <c r="CR54" s="1" t="s">
        <v>434</v>
      </c>
    </row>
  </sheetData>
  <pageMargins left="0.75" right="0.75" top="1" bottom="1" header="0.5" footer="0.5"/>
  <pageSetup paperSize="9"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2"/>
  </sheetPr>
  <dimension ref="B2:D185"/>
  <sheetViews>
    <sheetView topLeftCell="A66" workbookViewId="0">
      <selection activeCell="C34" sqref="C34"/>
    </sheetView>
  </sheetViews>
  <sheetFormatPr baseColWidth="10" defaultRowHeight="16" x14ac:dyDescent="0.2"/>
  <cols>
    <col min="1" max="1" width="10.83203125" style="1"/>
    <col min="2" max="2" width="25.5" style="1" customWidth="1"/>
    <col min="3" max="3" width="79.33203125" style="1" customWidth="1"/>
    <col min="4" max="4" width="78.33203125" style="1" customWidth="1"/>
    <col min="5" max="16384" width="10.83203125" style="1"/>
  </cols>
  <sheetData>
    <row r="2" spans="2:4" ht="21" x14ac:dyDescent="0.25">
      <c r="B2" s="2" t="s">
        <v>24</v>
      </c>
      <c r="C2" s="2"/>
    </row>
    <row r="4" spans="2:4" x14ac:dyDescent="0.2">
      <c r="B4" s="3" t="s">
        <v>78</v>
      </c>
      <c r="C4" s="5"/>
    </row>
    <row r="5" spans="2:4" ht="79" customHeight="1" x14ac:dyDescent="0.2">
      <c r="B5" s="596" t="s">
        <v>189</v>
      </c>
      <c r="C5" s="598"/>
    </row>
    <row r="6" spans="2:4" ht="17" thickBot="1" x14ac:dyDescent="0.25"/>
    <row r="7" spans="2:4" x14ac:dyDescent="0.2">
      <c r="B7" s="25" t="s">
        <v>31</v>
      </c>
      <c r="C7" s="26"/>
      <c r="D7" s="27"/>
    </row>
    <row r="8" spans="2:4" x14ac:dyDescent="0.2">
      <c r="B8" s="28"/>
      <c r="D8" s="29"/>
    </row>
    <row r="9" spans="2:4" x14ac:dyDescent="0.2">
      <c r="B9" s="30" t="s">
        <v>32</v>
      </c>
      <c r="C9" s="31" t="s">
        <v>33</v>
      </c>
      <c r="D9" s="32" t="s">
        <v>34</v>
      </c>
    </row>
    <row r="10" spans="2:4" x14ac:dyDescent="0.2">
      <c r="B10" s="35" t="s">
        <v>35</v>
      </c>
      <c r="C10" s="13"/>
      <c r="D10" s="34"/>
    </row>
    <row r="11" spans="2:4" ht="34" x14ac:dyDescent="0.2">
      <c r="B11" s="28"/>
      <c r="C11" s="37" t="s">
        <v>537</v>
      </c>
      <c r="D11" s="38"/>
    </row>
    <row r="12" spans="2:4" x14ac:dyDescent="0.2">
      <c r="B12" s="28"/>
      <c r="C12" s="37"/>
      <c r="D12" s="39"/>
    </row>
    <row r="13" spans="2:4" x14ac:dyDescent="0.2">
      <c r="B13" s="36"/>
      <c r="C13" s="66"/>
      <c r="D13" s="38"/>
    </row>
    <row r="14" spans="2:4" ht="17" x14ac:dyDescent="0.2">
      <c r="B14" s="36"/>
      <c r="C14" s="66" t="s">
        <v>186</v>
      </c>
      <c r="D14" s="38"/>
    </row>
    <row r="15" spans="2:4" x14ac:dyDescent="0.2">
      <c r="B15" s="36"/>
      <c r="C15" s="66"/>
      <c r="D15" s="38"/>
    </row>
    <row r="16" spans="2:4" ht="15" customHeight="1" x14ac:dyDescent="0.2">
      <c r="B16" s="36"/>
      <c r="C16" s="66" t="s">
        <v>623</v>
      </c>
      <c r="D16" s="38"/>
    </row>
    <row r="17" spans="2:4" ht="15" customHeight="1" x14ac:dyDescent="0.2">
      <c r="B17" s="36"/>
      <c r="C17" s="66"/>
      <c r="D17" s="38"/>
    </row>
    <row r="18" spans="2:4" ht="16" customHeight="1" x14ac:dyDescent="0.2">
      <c r="B18" s="36"/>
      <c r="C18" s="66" t="s">
        <v>448</v>
      </c>
      <c r="D18" s="38" t="s">
        <v>624</v>
      </c>
    </row>
    <row r="19" spans="2:4" ht="14" customHeight="1" x14ac:dyDescent="0.2">
      <c r="B19" s="36"/>
      <c r="C19" s="66"/>
      <c r="D19" s="38"/>
    </row>
    <row r="20" spans="2:4" ht="47" customHeight="1" x14ac:dyDescent="0.2">
      <c r="B20" s="36"/>
      <c r="C20" s="66" t="s">
        <v>538</v>
      </c>
      <c r="D20" s="38"/>
    </row>
    <row r="21" spans="2:4" ht="14" customHeight="1" x14ac:dyDescent="0.2">
      <c r="B21" s="36"/>
      <c r="C21" t="s">
        <v>470</v>
      </c>
      <c r="D21" s="38" t="s">
        <v>622</v>
      </c>
    </row>
    <row r="22" spans="2:4" ht="14" customHeight="1" x14ac:dyDescent="0.2">
      <c r="B22" s="36"/>
      <c r="C22" t="s">
        <v>471</v>
      </c>
      <c r="D22" s="38" t="s">
        <v>622</v>
      </c>
    </row>
    <row r="23" spans="2:4" ht="14" customHeight="1" x14ac:dyDescent="0.2">
      <c r="B23" s="36"/>
      <c r="C23" t="s">
        <v>472</v>
      </c>
      <c r="D23" s="38" t="s">
        <v>622</v>
      </c>
    </row>
    <row r="24" spans="2:4" ht="14" customHeight="1" x14ac:dyDescent="0.2">
      <c r="B24" s="36"/>
      <c r="C24" t="s">
        <v>473</v>
      </c>
      <c r="D24" s="38" t="s">
        <v>622</v>
      </c>
    </row>
    <row r="25" spans="2:4" ht="14" customHeight="1" x14ac:dyDescent="0.2">
      <c r="B25" s="36"/>
      <c r="C25"/>
      <c r="D25" s="38"/>
    </row>
    <row r="26" spans="2:4" ht="85" x14ac:dyDescent="0.2">
      <c r="B26" s="36"/>
      <c r="C26" s="37" t="s">
        <v>652</v>
      </c>
      <c r="D26" s="38"/>
    </row>
    <row r="27" spans="2:4" x14ac:dyDescent="0.2">
      <c r="B27" s="36"/>
      <c r="C27" s="37"/>
      <c r="D27" s="38"/>
    </row>
    <row r="28" spans="2:4" ht="14" customHeight="1" x14ac:dyDescent="0.2">
      <c r="B28" s="36"/>
      <c r="C28" t="s">
        <v>688</v>
      </c>
      <c r="D28" s="38" t="s">
        <v>689</v>
      </c>
    </row>
    <row r="29" spans="2:4" ht="14" customHeight="1" x14ac:dyDescent="0.2">
      <c r="B29" s="36"/>
      <c r="C29"/>
      <c r="D29" s="38"/>
    </row>
    <row r="30" spans="2:4" ht="14" customHeight="1" x14ac:dyDescent="0.2">
      <c r="B30" s="36"/>
      <c r="C30" t="s">
        <v>625</v>
      </c>
      <c r="D30" s="38" t="s">
        <v>622</v>
      </c>
    </row>
    <row r="31" spans="2:4" ht="14" customHeight="1" x14ac:dyDescent="0.2">
      <c r="B31" s="36"/>
      <c r="C31" t="s">
        <v>288</v>
      </c>
      <c r="D31" s="38"/>
    </row>
    <row r="32" spans="2:4" ht="14" customHeight="1" x14ac:dyDescent="0.2">
      <c r="B32" s="36"/>
      <c r="C32" t="s">
        <v>626</v>
      </c>
      <c r="D32" s="38"/>
    </row>
    <row r="33" spans="2:4" ht="14" customHeight="1" x14ac:dyDescent="0.2">
      <c r="B33" s="36"/>
      <c r="C33" t="s">
        <v>627</v>
      </c>
      <c r="D33" s="38"/>
    </row>
    <row r="34" spans="2:4" ht="14" customHeight="1" x14ac:dyDescent="0.2">
      <c r="B34" s="36"/>
      <c r="C34" t="s">
        <v>628</v>
      </c>
      <c r="D34" s="38"/>
    </row>
    <row r="35" spans="2:4" ht="14" customHeight="1" x14ac:dyDescent="0.2">
      <c r="B35" s="36"/>
      <c r="C35"/>
      <c r="D35" s="38"/>
    </row>
    <row r="36" spans="2:4" ht="14" customHeight="1" x14ac:dyDescent="0.2">
      <c r="B36" s="36"/>
      <c r="C36"/>
      <c r="D36" s="38"/>
    </row>
    <row r="37" spans="2:4" ht="14" customHeight="1" x14ac:dyDescent="0.2">
      <c r="B37" s="36"/>
      <c r="C37"/>
      <c r="D37" s="38"/>
    </row>
    <row r="38" spans="2:4" ht="14" customHeight="1" x14ac:dyDescent="0.2">
      <c r="B38" s="36"/>
      <c r="C38" s="66"/>
      <c r="D38" s="38"/>
    </row>
    <row r="39" spans="2:4" ht="17" thickBot="1" x14ac:dyDescent="0.25">
      <c r="B39" s="44"/>
      <c r="C39" s="97"/>
      <c r="D39" s="98"/>
    </row>
    <row r="40" spans="2:4" ht="17" thickBot="1" x14ac:dyDescent="0.25">
      <c r="C40" s="67"/>
      <c r="D40" s="68"/>
    </row>
    <row r="41" spans="2:4" x14ac:dyDescent="0.2">
      <c r="B41" s="25" t="s">
        <v>188</v>
      </c>
      <c r="C41" s="26"/>
      <c r="D41" s="27"/>
    </row>
    <row r="42" spans="2:4" x14ac:dyDescent="0.2">
      <c r="B42" s="28"/>
      <c r="D42" s="29"/>
    </row>
    <row r="43" spans="2:4" x14ac:dyDescent="0.2">
      <c r="B43" s="30" t="s">
        <v>32</v>
      </c>
      <c r="C43" s="31" t="s">
        <v>33</v>
      </c>
      <c r="D43" s="32" t="s">
        <v>202</v>
      </c>
    </row>
    <row r="44" spans="2:4" x14ac:dyDescent="0.2">
      <c r="B44" s="35" t="s">
        <v>450</v>
      </c>
      <c r="C44" s="13"/>
      <c r="D44" s="34"/>
    </row>
    <row r="45" spans="2:4" x14ac:dyDescent="0.2">
      <c r="B45" s="36"/>
      <c r="C45" s="220" t="s">
        <v>86</v>
      </c>
      <c r="D45" s="38" t="s">
        <v>449</v>
      </c>
    </row>
    <row r="46" spans="2:4" x14ac:dyDescent="0.2">
      <c r="B46" s="36"/>
      <c r="C46" s="220" t="s">
        <v>274</v>
      </c>
      <c r="D46" s="38" t="s">
        <v>449</v>
      </c>
    </row>
    <row r="47" spans="2:4" x14ac:dyDescent="0.2">
      <c r="B47" s="36"/>
      <c r="C47" s="220" t="s">
        <v>89</v>
      </c>
      <c r="D47" s="38" t="s">
        <v>449</v>
      </c>
    </row>
    <row r="48" spans="2:4" x14ac:dyDescent="0.2">
      <c r="B48" s="36"/>
      <c r="C48" s="220" t="s">
        <v>87</v>
      </c>
      <c r="D48" s="38" t="s">
        <v>449</v>
      </c>
    </row>
    <row r="49" spans="2:4" x14ac:dyDescent="0.2">
      <c r="B49" s="36"/>
      <c r="C49" s="220" t="s">
        <v>275</v>
      </c>
      <c r="D49" s="38" t="s">
        <v>449</v>
      </c>
    </row>
    <row r="50" spans="2:4" x14ac:dyDescent="0.2">
      <c r="B50" s="36"/>
      <c r="C50" s="220" t="s">
        <v>209</v>
      </c>
      <c r="D50" s="38" t="s">
        <v>449</v>
      </c>
    </row>
    <row r="51" spans="2:4" x14ac:dyDescent="0.2">
      <c r="B51" s="36"/>
      <c r="C51" s="9"/>
      <c r="D51" s="173"/>
    </row>
    <row r="52" spans="2:4" x14ac:dyDescent="0.2">
      <c r="B52" s="94" t="s">
        <v>76</v>
      </c>
      <c r="C52" s="174"/>
      <c r="D52" s="175"/>
    </row>
    <row r="53" spans="2:4" x14ac:dyDescent="0.2">
      <c r="B53" s="35"/>
      <c r="C53" t="s">
        <v>280</v>
      </c>
      <c r="D53" s="40" t="s">
        <v>449</v>
      </c>
    </row>
    <row r="54" spans="2:4" x14ac:dyDescent="0.2">
      <c r="B54" s="28"/>
      <c r="C54" t="s">
        <v>90</v>
      </c>
      <c r="D54" s="40" t="s">
        <v>449</v>
      </c>
    </row>
    <row r="55" spans="2:4" x14ac:dyDescent="0.2">
      <c r="B55" s="28"/>
      <c r="C55" t="s">
        <v>281</v>
      </c>
      <c r="D55" s="40" t="s">
        <v>449</v>
      </c>
    </row>
    <row r="56" spans="2:4" x14ac:dyDescent="0.2">
      <c r="B56" s="28"/>
      <c r="C56" t="s">
        <v>282</v>
      </c>
      <c r="D56" s="40" t="s">
        <v>449</v>
      </c>
    </row>
    <row r="57" spans="2:4" x14ac:dyDescent="0.2">
      <c r="B57" s="28"/>
      <c r="C57" t="s">
        <v>283</v>
      </c>
      <c r="D57" s="40" t="s">
        <v>449</v>
      </c>
    </row>
    <row r="58" spans="2:4" x14ac:dyDescent="0.2">
      <c r="B58" s="28"/>
      <c r="C58" t="s">
        <v>364</v>
      </c>
      <c r="D58" s="40" t="s">
        <v>449</v>
      </c>
    </row>
    <row r="59" spans="2:4" x14ac:dyDescent="0.2">
      <c r="B59" s="28"/>
      <c r="C59" t="s">
        <v>284</v>
      </c>
      <c r="D59" s="40" t="s">
        <v>449</v>
      </c>
    </row>
    <row r="60" spans="2:4" x14ac:dyDescent="0.2">
      <c r="B60" s="28"/>
      <c r="C60" t="s">
        <v>386</v>
      </c>
      <c r="D60" s="40" t="s">
        <v>449</v>
      </c>
    </row>
    <row r="61" spans="2:4" x14ac:dyDescent="0.2">
      <c r="B61" s="28"/>
      <c r="C61" t="s">
        <v>285</v>
      </c>
      <c r="D61" s="40" t="s">
        <v>449</v>
      </c>
    </row>
    <row r="62" spans="2:4" x14ac:dyDescent="0.2">
      <c r="B62" s="28"/>
      <c r="C62" t="s">
        <v>286</v>
      </c>
      <c r="D62" s="40" t="s">
        <v>449</v>
      </c>
    </row>
    <row r="63" spans="2:4" x14ac:dyDescent="0.2">
      <c r="B63" s="28"/>
      <c r="C63" t="s">
        <v>287</v>
      </c>
      <c r="D63" s="40" t="s">
        <v>449</v>
      </c>
    </row>
    <row r="64" spans="2:4" x14ac:dyDescent="0.2">
      <c r="B64" s="28"/>
      <c r="C64" t="s">
        <v>289</v>
      </c>
      <c r="D64" s="40" t="s">
        <v>449</v>
      </c>
    </row>
    <row r="65" spans="2:4" x14ac:dyDescent="0.2">
      <c r="B65" s="28"/>
      <c r="D65" s="29"/>
    </row>
    <row r="66" spans="2:4" x14ac:dyDescent="0.2">
      <c r="B66" s="45" t="s">
        <v>88</v>
      </c>
      <c r="C66" s="4"/>
      <c r="D66" s="95"/>
    </row>
    <row r="67" spans="2:4" x14ac:dyDescent="0.2">
      <c r="B67" s="28"/>
      <c r="C67" t="s">
        <v>291</v>
      </c>
      <c r="D67" s="40" t="s">
        <v>449</v>
      </c>
    </row>
    <row r="68" spans="2:4" x14ac:dyDescent="0.2">
      <c r="B68" s="28"/>
      <c r="C68" t="s">
        <v>294</v>
      </c>
      <c r="D68" s="40" t="s">
        <v>449</v>
      </c>
    </row>
    <row r="69" spans="2:4" x14ac:dyDescent="0.2">
      <c r="B69" s="28"/>
      <c r="C69" t="s">
        <v>292</v>
      </c>
      <c r="D69" s="40" t="s">
        <v>449</v>
      </c>
    </row>
    <row r="70" spans="2:4" x14ac:dyDescent="0.2">
      <c r="B70" s="28"/>
      <c r="C70" t="s">
        <v>293</v>
      </c>
      <c r="D70" s="40" t="s">
        <v>449</v>
      </c>
    </row>
    <row r="71" spans="2:4" x14ac:dyDescent="0.2">
      <c r="B71" s="28"/>
      <c r="C71" t="s">
        <v>295</v>
      </c>
      <c r="D71" s="40" t="s">
        <v>449</v>
      </c>
    </row>
    <row r="72" spans="2:4" x14ac:dyDescent="0.2">
      <c r="B72" s="28"/>
      <c r="C72" t="s">
        <v>365</v>
      </c>
      <c r="D72" s="40" t="s">
        <v>449</v>
      </c>
    </row>
    <row r="73" spans="2:4" x14ac:dyDescent="0.2">
      <c r="B73" s="28"/>
      <c r="C73" t="s">
        <v>296</v>
      </c>
      <c r="D73" s="40" t="s">
        <v>449</v>
      </c>
    </row>
    <row r="74" spans="2:4" x14ac:dyDescent="0.2">
      <c r="B74" s="28"/>
      <c r="C74" t="s">
        <v>387</v>
      </c>
      <c r="D74" s="40" t="s">
        <v>449</v>
      </c>
    </row>
    <row r="75" spans="2:4" x14ac:dyDescent="0.2">
      <c r="B75" s="28"/>
      <c r="C75" t="s">
        <v>297</v>
      </c>
      <c r="D75" s="40" t="s">
        <v>449</v>
      </c>
    </row>
    <row r="76" spans="2:4" x14ac:dyDescent="0.2">
      <c r="B76" s="28"/>
      <c r="C76" t="s">
        <v>298</v>
      </c>
      <c r="D76" s="40" t="s">
        <v>449</v>
      </c>
    </row>
    <row r="77" spans="2:4" x14ac:dyDescent="0.2">
      <c r="B77" s="28"/>
      <c r="C77" t="s">
        <v>299</v>
      </c>
      <c r="D77" s="40" t="s">
        <v>449</v>
      </c>
    </row>
    <row r="78" spans="2:4" x14ac:dyDescent="0.2">
      <c r="B78" s="28"/>
      <c r="C78" t="s">
        <v>300</v>
      </c>
      <c r="D78" s="40" t="s">
        <v>449</v>
      </c>
    </row>
    <row r="79" spans="2:4" x14ac:dyDescent="0.2">
      <c r="B79" s="28"/>
      <c r="D79" s="29"/>
    </row>
    <row r="80" spans="2:4" x14ac:dyDescent="0.2">
      <c r="B80" s="45" t="s">
        <v>75</v>
      </c>
      <c r="C80" s="4"/>
      <c r="D80" s="95"/>
    </row>
    <row r="81" spans="2:4" x14ac:dyDescent="0.2">
      <c r="B81" s="28"/>
      <c r="C81" t="s">
        <v>184</v>
      </c>
      <c r="D81" s="40" t="s">
        <v>449</v>
      </c>
    </row>
    <row r="82" spans="2:4" x14ac:dyDescent="0.2">
      <c r="B82" s="28"/>
      <c r="C82" t="s">
        <v>332</v>
      </c>
      <c r="D82" s="40" t="s">
        <v>449</v>
      </c>
    </row>
    <row r="83" spans="2:4" x14ac:dyDescent="0.2">
      <c r="B83" s="28"/>
      <c r="C83" t="s">
        <v>185</v>
      </c>
      <c r="D83" s="40" t="s">
        <v>449</v>
      </c>
    </row>
    <row r="84" spans="2:4" x14ac:dyDescent="0.2">
      <c r="B84" s="28"/>
      <c r="D84" s="29"/>
    </row>
    <row r="85" spans="2:4" x14ac:dyDescent="0.2">
      <c r="B85" s="45" t="s">
        <v>88</v>
      </c>
      <c r="C85" s="4"/>
      <c r="D85" s="95"/>
    </row>
    <row r="86" spans="2:4" x14ac:dyDescent="0.2">
      <c r="B86" s="35"/>
      <c r="C86" t="s">
        <v>301</v>
      </c>
      <c r="D86" s="40" t="s">
        <v>449</v>
      </c>
    </row>
    <row r="87" spans="2:4" x14ac:dyDescent="0.2">
      <c r="B87" s="28"/>
      <c r="C87" t="s">
        <v>302</v>
      </c>
      <c r="D87" s="40" t="s">
        <v>449</v>
      </c>
    </row>
    <row r="88" spans="2:4" x14ac:dyDescent="0.2">
      <c r="B88" s="28"/>
      <c r="C88" s="96" t="s">
        <v>91</v>
      </c>
      <c r="D88" s="40" t="s">
        <v>449</v>
      </c>
    </row>
    <row r="89" spans="2:4" x14ac:dyDescent="0.2">
      <c r="B89" s="28"/>
      <c r="C89" s="96"/>
      <c r="D89" s="40"/>
    </row>
    <row r="90" spans="2:4" x14ac:dyDescent="0.2">
      <c r="B90" s="45" t="s">
        <v>92</v>
      </c>
      <c r="C90" s="4"/>
      <c r="D90" s="95"/>
    </row>
    <row r="91" spans="2:4" x14ac:dyDescent="0.2">
      <c r="B91" s="28"/>
      <c r="C91" t="s">
        <v>93</v>
      </c>
      <c r="D91" s="40" t="s">
        <v>449</v>
      </c>
    </row>
    <row r="92" spans="2:4" x14ac:dyDescent="0.2">
      <c r="B92" s="41"/>
      <c r="C92" s="9"/>
      <c r="D92" s="176"/>
    </row>
    <row r="93" spans="2:4" x14ac:dyDescent="0.2">
      <c r="B93" s="35" t="s">
        <v>276</v>
      </c>
      <c r="D93" s="29"/>
    </row>
    <row r="94" spans="2:4" x14ac:dyDescent="0.2">
      <c r="B94" s="28"/>
      <c r="C94" t="s">
        <v>371</v>
      </c>
      <c r="D94" s="40" t="s">
        <v>449</v>
      </c>
    </row>
    <row r="95" spans="2:4" x14ac:dyDescent="0.2">
      <c r="B95" s="28"/>
      <c r="C95" t="s">
        <v>388</v>
      </c>
      <c r="D95" s="40" t="s">
        <v>449</v>
      </c>
    </row>
    <row r="96" spans="2:4" x14ac:dyDescent="0.2">
      <c r="B96" s="28"/>
      <c r="C96" t="s">
        <v>372</v>
      </c>
      <c r="D96" s="40" t="s">
        <v>449</v>
      </c>
    </row>
    <row r="97" spans="2:4" x14ac:dyDescent="0.2">
      <c r="B97" s="28"/>
      <c r="C97" t="s">
        <v>373</v>
      </c>
      <c r="D97" s="40" t="s">
        <v>449</v>
      </c>
    </row>
    <row r="98" spans="2:4" x14ac:dyDescent="0.2">
      <c r="B98" s="28"/>
      <c r="C98" t="s">
        <v>374</v>
      </c>
      <c r="D98" s="40" t="s">
        <v>449</v>
      </c>
    </row>
    <row r="99" spans="2:4" x14ac:dyDescent="0.2">
      <c r="B99" s="28"/>
      <c r="D99" s="29"/>
    </row>
    <row r="100" spans="2:4" x14ac:dyDescent="0.2">
      <c r="B100" s="45" t="s">
        <v>378</v>
      </c>
      <c r="C100" s="4"/>
      <c r="D100" s="95"/>
    </row>
    <row r="101" spans="2:4" x14ac:dyDescent="0.2">
      <c r="B101" s="28"/>
      <c r="C101" t="s">
        <v>366</v>
      </c>
      <c r="D101" s="40" t="s">
        <v>449</v>
      </c>
    </row>
    <row r="102" spans="2:4" x14ac:dyDescent="0.2">
      <c r="B102" s="28"/>
      <c r="C102" t="s">
        <v>303</v>
      </c>
      <c r="D102" s="40" t="s">
        <v>449</v>
      </c>
    </row>
    <row r="103" spans="2:4" x14ac:dyDescent="0.2">
      <c r="B103" s="28"/>
      <c r="C103" t="s">
        <v>304</v>
      </c>
      <c r="D103" s="40" t="s">
        <v>449</v>
      </c>
    </row>
    <row r="104" spans="2:4" x14ac:dyDescent="0.2">
      <c r="B104" s="28"/>
      <c r="C104" t="s">
        <v>305</v>
      </c>
      <c r="D104" s="40" t="s">
        <v>449</v>
      </c>
    </row>
    <row r="105" spans="2:4" x14ac:dyDescent="0.2">
      <c r="B105" s="28"/>
      <c r="C105" t="s">
        <v>367</v>
      </c>
      <c r="D105" s="40" t="s">
        <v>449</v>
      </c>
    </row>
    <row r="106" spans="2:4" x14ac:dyDescent="0.2">
      <c r="B106" s="28"/>
      <c r="C106" t="s">
        <v>368</v>
      </c>
      <c r="D106" s="40" t="s">
        <v>449</v>
      </c>
    </row>
    <row r="107" spans="2:4" x14ac:dyDescent="0.2">
      <c r="B107" s="28"/>
      <c r="C107" t="s">
        <v>369</v>
      </c>
      <c r="D107" s="40" t="s">
        <v>449</v>
      </c>
    </row>
    <row r="108" spans="2:4" x14ac:dyDescent="0.2">
      <c r="B108" s="28"/>
      <c r="C108" t="s">
        <v>370</v>
      </c>
      <c r="D108" s="40" t="s">
        <v>449</v>
      </c>
    </row>
    <row r="109" spans="2:4" x14ac:dyDescent="0.2">
      <c r="B109" s="28"/>
      <c r="D109" s="29"/>
    </row>
    <row r="110" spans="2:4" x14ac:dyDescent="0.2">
      <c r="B110" s="357"/>
      <c r="C110" s="358"/>
      <c r="D110" s="359"/>
    </row>
    <row r="111" spans="2:4" x14ac:dyDescent="0.2">
      <c r="B111" s="35" t="s">
        <v>620</v>
      </c>
      <c r="D111" s="360"/>
    </row>
    <row r="112" spans="2:4" x14ac:dyDescent="0.2">
      <c r="B112" s="35"/>
      <c r="C112" t="s">
        <v>617</v>
      </c>
      <c r="D112" s="361"/>
    </row>
    <row r="113" spans="2:4" x14ac:dyDescent="0.2">
      <c r="B113" s="35"/>
      <c r="C113" t="s">
        <v>619</v>
      </c>
      <c r="D113" s="361"/>
    </row>
    <row r="114" spans="2:4" x14ac:dyDescent="0.2">
      <c r="B114" s="35"/>
      <c r="C114"/>
      <c r="D114" s="361"/>
    </row>
    <row r="115" spans="2:4" x14ac:dyDescent="0.2">
      <c r="B115" s="35"/>
      <c r="C115" t="s">
        <v>618</v>
      </c>
      <c r="D115" s="361"/>
    </row>
    <row r="116" spans="2:4" x14ac:dyDescent="0.2">
      <c r="B116" s="35"/>
      <c r="D116" s="360"/>
    </row>
    <row r="117" spans="2:4" x14ac:dyDescent="0.2">
      <c r="B117" s="101"/>
      <c r="C117" s="9"/>
      <c r="D117" s="362"/>
    </row>
    <row r="118" spans="2:4" x14ac:dyDescent="0.2">
      <c r="B118" s="35" t="s">
        <v>415</v>
      </c>
      <c r="D118" s="360"/>
    </row>
    <row r="119" spans="2:4" x14ac:dyDescent="0.2">
      <c r="B119" s="35"/>
      <c r="C119" t="s">
        <v>416</v>
      </c>
      <c r="D119" s="40" t="s">
        <v>449</v>
      </c>
    </row>
    <row r="120" spans="2:4" x14ac:dyDescent="0.2">
      <c r="B120" s="35"/>
      <c r="C120" t="s">
        <v>417</v>
      </c>
      <c r="D120" s="40" t="s">
        <v>449</v>
      </c>
    </row>
    <row r="121" spans="2:4" x14ac:dyDescent="0.2">
      <c r="B121" s="35"/>
      <c r="D121" s="364"/>
    </row>
    <row r="122" spans="2:4" x14ac:dyDescent="0.2">
      <c r="B122" s="35"/>
      <c r="C122" t="s">
        <v>518</v>
      </c>
      <c r="D122" s="40" t="s">
        <v>449</v>
      </c>
    </row>
    <row r="123" spans="2:4" x14ac:dyDescent="0.2">
      <c r="B123" s="35"/>
      <c r="C123" t="s">
        <v>519</v>
      </c>
      <c r="D123" s="40" t="s">
        <v>449</v>
      </c>
    </row>
    <row r="124" spans="2:4" x14ac:dyDescent="0.2">
      <c r="B124" s="35"/>
      <c r="D124" s="364"/>
    </row>
    <row r="125" spans="2:4" x14ac:dyDescent="0.2">
      <c r="B125" s="35"/>
      <c r="C125" t="s">
        <v>520</v>
      </c>
      <c r="D125" s="40" t="s">
        <v>449</v>
      </c>
    </row>
    <row r="126" spans="2:4" x14ac:dyDescent="0.2">
      <c r="B126" s="35"/>
      <c r="C126" t="s">
        <v>521</v>
      </c>
      <c r="D126" s="40" t="s">
        <v>449</v>
      </c>
    </row>
    <row r="127" spans="2:4" ht="17" thickBot="1" x14ac:dyDescent="0.25">
      <c r="B127" s="356"/>
      <c r="C127" s="69"/>
      <c r="D127" s="363"/>
    </row>
    <row r="128" spans="2:4" ht="17" thickBot="1" x14ac:dyDescent="0.25"/>
    <row r="129" spans="2:3" x14ac:dyDescent="0.2">
      <c r="B129" s="25" t="s">
        <v>203</v>
      </c>
      <c r="C129" s="27"/>
    </row>
    <row r="130" spans="2:3" x14ac:dyDescent="0.2">
      <c r="B130" s="28"/>
      <c r="C130" s="29"/>
    </row>
    <row r="131" spans="2:3" x14ac:dyDescent="0.2">
      <c r="B131" s="30" t="s">
        <v>225</v>
      </c>
      <c r="C131" s="99" t="s">
        <v>204</v>
      </c>
    </row>
    <row r="132" spans="2:3" x14ac:dyDescent="0.2">
      <c r="B132" s="35" t="s">
        <v>205</v>
      </c>
      <c r="C132" s="40" t="s">
        <v>36</v>
      </c>
    </row>
    <row r="133" spans="2:3" x14ac:dyDescent="0.2">
      <c r="B133" s="28"/>
      <c r="C133" s="40" t="s">
        <v>37</v>
      </c>
    </row>
    <row r="134" spans="2:3" x14ac:dyDescent="0.2">
      <c r="B134" s="28"/>
      <c r="C134" s="40" t="s">
        <v>38</v>
      </c>
    </row>
    <row r="135" spans="2:3" x14ac:dyDescent="0.2">
      <c r="B135" s="28"/>
      <c r="C135" s="40" t="s">
        <v>39</v>
      </c>
    </row>
    <row r="136" spans="2:3" x14ac:dyDescent="0.2">
      <c r="B136" s="28"/>
      <c r="C136" s="40" t="s">
        <v>40</v>
      </c>
    </row>
    <row r="137" spans="2:3" x14ac:dyDescent="0.2">
      <c r="B137" s="28"/>
      <c r="C137" s="40" t="s">
        <v>41</v>
      </c>
    </row>
    <row r="138" spans="2:3" x14ac:dyDescent="0.2">
      <c r="B138" s="28"/>
      <c r="C138" s="100" t="s">
        <v>42</v>
      </c>
    </row>
    <row r="139" spans="2:3" x14ac:dyDescent="0.2">
      <c r="B139" s="46"/>
      <c r="C139" s="100" t="s">
        <v>48</v>
      </c>
    </row>
    <row r="140" spans="2:3" x14ac:dyDescent="0.2">
      <c r="B140" s="28"/>
      <c r="C140" s="40" t="s">
        <v>43</v>
      </c>
    </row>
    <row r="141" spans="2:3" x14ac:dyDescent="0.2">
      <c r="B141" s="28"/>
      <c r="C141" s="40" t="s">
        <v>44</v>
      </c>
    </row>
    <row r="142" spans="2:3" x14ac:dyDescent="0.2">
      <c r="B142" s="28"/>
      <c r="C142" s="40" t="s">
        <v>45</v>
      </c>
    </row>
    <row r="143" spans="2:3" x14ac:dyDescent="0.2">
      <c r="B143" s="28"/>
      <c r="C143" s="40" t="s">
        <v>46</v>
      </c>
    </row>
    <row r="144" spans="2:3" x14ac:dyDescent="0.2">
      <c r="B144" s="28"/>
      <c r="C144" s="40" t="s">
        <v>47</v>
      </c>
    </row>
    <row r="145" spans="2:3" x14ac:dyDescent="0.2">
      <c r="B145" s="41"/>
      <c r="C145" s="176"/>
    </row>
    <row r="146" spans="2:3" x14ac:dyDescent="0.2">
      <c r="B146" s="35" t="s">
        <v>384</v>
      </c>
      <c r="C146" s="40" t="s">
        <v>206</v>
      </c>
    </row>
    <row r="147" spans="2:3" x14ac:dyDescent="0.2">
      <c r="B147" s="35"/>
      <c r="C147" s="40" t="s">
        <v>72</v>
      </c>
    </row>
    <row r="148" spans="2:3" x14ac:dyDescent="0.2">
      <c r="B148" s="101"/>
      <c r="C148" s="176"/>
    </row>
    <row r="149" spans="2:3" x14ac:dyDescent="0.2">
      <c r="B149" s="35" t="s">
        <v>207</v>
      </c>
      <c r="C149" s="40" t="s">
        <v>49</v>
      </c>
    </row>
    <row r="150" spans="2:3" x14ac:dyDescent="0.2">
      <c r="B150" s="35"/>
      <c r="C150" s="40" t="s">
        <v>50</v>
      </c>
    </row>
    <row r="151" spans="2:3" x14ac:dyDescent="0.2">
      <c r="B151" s="28"/>
      <c r="C151" s="40" t="s">
        <v>51</v>
      </c>
    </row>
    <row r="152" spans="2:3" x14ac:dyDescent="0.2">
      <c r="B152" s="28"/>
      <c r="C152" s="40" t="s">
        <v>52</v>
      </c>
    </row>
    <row r="153" spans="2:3" x14ac:dyDescent="0.2">
      <c r="B153" s="28"/>
      <c r="C153" s="40" t="s">
        <v>53</v>
      </c>
    </row>
    <row r="154" spans="2:3" x14ac:dyDescent="0.2">
      <c r="B154" s="28"/>
      <c r="C154" s="40" t="s">
        <v>54</v>
      </c>
    </row>
    <row r="155" spans="2:3" x14ac:dyDescent="0.2">
      <c r="B155" s="28"/>
      <c r="C155" s="40" t="s">
        <v>55</v>
      </c>
    </row>
    <row r="156" spans="2:3" x14ac:dyDescent="0.2">
      <c r="B156" s="28"/>
      <c r="C156" s="40" t="s">
        <v>56</v>
      </c>
    </row>
    <row r="157" spans="2:3" x14ac:dyDescent="0.2">
      <c r="B157" s="28"/>
      <c r="C157" s="40" t="s">
        <v>57</v>
      </c>
    </row>
    <row r="158" spans="2:3" x14ac:dyDescent="0.2">
      <c r="B158" s="28"/>
      <c r="C158" s="40" t="s">
        <v>58</v>
      </c>
    </row>
    <row r="159" spans="2:3" x14ac:dyDescent="0.2">
      <c r="B159" s="28"/>
      <c r="C159" s="40" t="s">
        <v>59</v>
      </c>
    </row>
    <row r="160" spans="2:3" x14ac:dyDescent="0.2">
      <c r="B160" s="28"/>
      <c r="C160" s="40" t="s">
        <v>60</v>
      </c>
    </row>
    <row r="161" spans="2:3" x14ac:dyDescent="0.2">
      <c r="B161" s="28"/>
      <c r="C161" s="40" t="s">
        <v>61</v>
      </c>
    </row>
    <row r="162" spans="2:3" x14ac:dyDescent="0.2">
      <c r="B162" s="28"/>
      <c r="C162" s="40" t="s">
        <v>62</v>
      </c>
    </row>
    <row r="163" spans="2:3" x14ac:dyDescent="0.2">
      <c r="B163" s="28"/>
      <c r="C163" s="40" t="s">
        <v>63</v>
      </c>
    </row>
    <row r="164" spans="2:3" x14ac:dyDescent="0.2">
      <c r="B164" s="28"/>
      <c r="C164" s="40" t="s">
        <v>64</v>
      </c>
    </row>
    <row r="165" spans="2:3" x14ac:dyDescent="0.2">
      <c r="B165" s="28"/>
      <c r="C165" s="40" t="s">
        <v>65</v>
      </c>
    </row>
    <row r="166" spans="2:3" x14ac:dyDescent="0.2">
      <c r="B166" s="28"/>
      <c r="C166" s="40" t="s">
        <v>66</v>
      </c>
    </row>
    <row r="167" spans="2:3" x14ac:dyDescent="0.2">
      <c r="B167" s="28"/>
      <c r="C167" s="40" t="s">
        <v>67</v>
      </c>
    </row>
    <row r="168" spans="2:3" x14ac:dyDescent="0.2">
      <c r="B168" s="28"/>
      <c r="C168" s="40" t="s">
        <v>68</v>
      </c>
    </row>
    <row r="169" spans="2:3" x14ac:dyDescent="0.2">
      <c r="B169" s="28"/>
      <c r="C169" s="40" t="s">
        <v>69</v>
      </c>
    </row>
    <row r="170" spans="2:3" x14ac:dyDescent="0.2">
      <c r="B170" s="28"/>
      <c r="C170" s="40" t="s">
        <v>70</v>
      </c>
    </row>
    <row r="171" spans="2:3" x14ac:dyDescent="0.2">
      <c r="B171" s="28"/>
      <c r="C171" s="40" t="s">
        <v>71</v>
      </c>
    </row>
    <row r="172" spans="2:3" x14ac:dyDescent="0.2">
      <c r="B172" s="41"/>
      <c r="C172" s="176"/>
    </row>
    <row r="173" spans="2:3" x14ac:dyDescent="0.2">
      <c r="B173" s="35" t="s">
        <v>208</v>
      </c>
      <c r="C173" s="40" t="s">
        <v>73</v>
      </c>
    </row>
    <row r="174" spans="2:3" x14ac:dyDescent="0.2">
      <c r="B174" s="28"/>
      <c r="C174" s="40" t="s">
        <v>74</v>
      </c>
    </row>
    <row r="175" spans="2:3" x14ac:dyDescent="0.2">
      <c r="B175" s="28"/>
      <c r="C175" s="29"/>
    </row>
    <row r="176" spans="2:3" x14ac:dyDescent="0.2">
      <c r="B176" s="45" t="s">
        <v>211</v>
      </c>
      <c r="C176" s="107" t="s">
        <v>211</v>
      </c>
    </row>
    <row r="177" spans="2:3" x14ac:dyDescent="0.2">
      <c r="B177" s="35"/>
      <c r="C177" s="29"/>
    </row>
    <row r="178" spans="2:3" x14ac:dyDescent="0.2">
      <c r="B178" s="45" t="s">
        <v>106</v>
      </c>
      <c r="C178" s="107" t="s">
        <v>106</v>
      </c>
    </row>
    <row r="179" spans="2:3" x14ac:dyDescent="0.2">
      <c r="B179" s="35"/>
      <c r="C179" s="29"/>
    </row>
    <row r="180" spans="2:3" x14ac:dyDescent="0.2">
      <c r="B180" s="45" t="s">
        <v>105</v>
      </c>
      <c r="C180" s="107" t="s">
        <v>105</v>
      </c>
    </row>
    <row r="181" spans="2:3" x14ac:dyDescent="0.2">
      <c r="B181" s="101"/>
      <c r="C181" s="176"/>
    </row>
    <row r="182" spans="2:3" x14ac:dyDescent="0.2">
      <c r="B182" s="46" t="s">
        <v>695</v>
      </c>
      <c r="C182" s="40" t="s">
        <v>103</v>
      </c>
    </row>
    <row r="183" spans="2:3" x14ac:dyDescent="0.2">
      <c r="B183" s="28"/>
      <c r="C183" s="40"/>
    </row>
    <row r="184" spans="2:3" x14ac:dyDescent="0.2">
      <c r="B184" s="28"/>
      <c r="C184" s="29"/>
    </row>
    <row r="185" spans="2:3" ht="17" thickBot="1" x14ac:dyDescent="0.25">
      <c r="B185" s="44"/>
      <c r="C185" s="47"/>
    </row>
  </sheetData>
  <mergeCells count="1">
    <mergeCell ref="B5:C5"/>
  </mergeCells>
  <pageMargins left="0.75" right="0.75" top="1" bottom="1" header="0.5" footer="0.5"/>
  <pageSetup paperSize="9" orientation="portrait" horizontalDpi="4294967292" verticalDpi="429496729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FF00"/>
  </sheetPr>
  <dimension ref="B2:P143"/>
  <sheetViews>
    <sheetView tabSelected="1" workbookViewId="0">
      <selection activeCell="G67" sqref="G67"/>
    </sheetView>
  </sheetViews>
  <sheetFormatPr baseColWidth="10" defaultRowHeight="16" x14ac:dyDescent="0.2"/>
  <cols>
    <col min="1" max="1" width="10.83203125" style="1"/>
    <col min="2" max="2" width="17.1640625" style="1" customWidth="1"/>
    <col min="3" max="3" width="83.6640625" style="1" bestFit="1" customWidth="1"/>
    <col min="4" max="4" width="7.1640625" style="204" bestFit="1" customWidth="1"/>
    <col min="5" max="5" width="17.1640625" style="203" customWidth="1"/>
    <col min="6" max="6" width="3.83203125" style="203" customWidth="1"/>
    <col min="7" max="7" width="30.83203125" style="1" customWidth="1"/>
    <col min="8" max="8" width="3.83203125" style="1" customWidth="1"/>
    <col min="9" max="9" width="32.5" style="1" customWidth="1"/>
    <col min="10" max="10" width="4.33203125" style="1" customWidth="1"/>
    <col min="11" max="11" width="56.1640625" style="1" customWidth="1"/>
    <col min="12" max="12" width="9.1640625" style="1" customWidth="1"/>
    <col min="13" max="13" width="125.33203125" style="1" customWidth="1"/>
    <col min="14" max="14" width="6.83203125" style="1" customWidth="1"/>
    <col min="15" max="15" width="84" style="1" bestFit="1" customWidth="1"/>
    <col min="16" max="16" width="12.1640625" style="1" bestFit="1" customWidth="1"/>
    <col min="17" max="16384" width="10.83203125" style="1"/>
  </cols>
  <sheetData>
    <row r="2" spans="2:16" ht="21" x14ac:dyDescent="0.25">
      <c r="B2" s="2" t="s">
        <v>26</v>
      </c>
      <c r="I2" s="366" t="s">
        <v>629</v>
      </c>
      <c r="J2" s="11"/>
      <c r="K2" s="4"/>
      <c r="L2" s="5"/>
    </row>
    <row r="3" spans="2:16" x14ac:dyDescent="0.2">
      <c r="B3" s="211"/>
      <c r="I3" s="367"/>
      <c r="L3" s="7"/>
    </row>
    <row r="4" spans="2:16" x14ac:dyDescent="0.2">
      <c r="B4" s="48" t="s">
        <v>78</v>
      </c>
      <c r="C4" s="4"/>
      <c r="D4" s="205"/>
      <c r="E4" s="212"/>
      <c r="I4" s="368"/>
      <c r="L4" s="7"/>
    </row>
    <row r="5" spans="2:16" ht="45" customHeight="1" x14ac:dyDescent="0.2">
      <c r="B5" s="596" t="s">
        <v>226</v>
      </c>
      <c r="C5" s="597"/>
      <c r="D5" s="597"/>
      <c r="E5" s="598"/>
      <c r="F5" s="143"/>
      <c r="I5" s="369"/>
      <c r="J5" s="9"/>
      <c r="K5" s="9"/>
      <c r="L5" s="10"/>
    </row>
    <row r="6" spans="2:16" ht="17" thickBot="1" x14ac:dyDescent="0.25"/>
    <row r="7" spans="2:16" x14ac:dyDescent="0.2">
      <c r="B7" s="25" t="s">
        <v>24</v>
      </c>
      <c r="C7" s="49"/>
      <c r="D7" s="206"/>
      <c r="E7" s="213"/>
      <c r="F7" s="213"/>
      <c r="G7" s="49"/>
      <c r="H7" s="49"/>
      <c r="I7" s="49"/>
      <c r="J7" s="49"/>
      <c r="K7" s="112" t="s">
        <v>79</v>
      </c>
      <c r="L7" s="49"/>
      <c r="M7" s="27"/>
      <c r="O7" s="371"/>
      <c r="P7" s="372"/>
    </row>
    <row r="8" spans="2:16" x14ac:dyDescent="0.2">
      <c r="B8" s="28"/>
      <c r="K8" s="17"/>
      <c r="M8" s="29"/>
      <c r="O8" s="368"/>
      <c r="P8" s="370"/>
    </row>
    <row r="9" spans="2:16" x14ac:dyDescent="0.2">
      <c r="B9" s="546" t="s">
        <v>80</v>
      </c>
      <c r="C9" s="563" t="s">
        <v>33</v>
      </c>
      <c r="D9" s="563" t="s">
        <v>82</v>
      </c>
      <c r="E9" s="563" t="s">
        <v>81</v>
      </c>
      <c r="F9" s="563"/>
      <c r="G9" s="563" t="s">
        <v>653</v>
      </c>
      <c r="H9" s="563"/>
      <c r="I9" s="563" t="s">
        <v>34</v>
      </c>
      <c r="J9" s="563"/>
      <c r="K9" s="51" t="s">
        <v>83</v>
      </c>
      <c r="L9" s="51" t="s">
        <v>84</v>
      </c>
      <c r="M9" s="52" t="s">
        <v>78</v>
      </c>
      <c r="N9" s="13"/>
      <c r="O9" s="375" t="s">
        <v>694</v>
      </c>
      <c r="P9" s="376" t="s">
        <v>615</v>
      </c>
    </row>
    <row r="10" spans="2:16" x14ac:dyDescent="0.2">
      <c r="B10" s="454" t="s">
        <v>35</v>
      </c>
      <c r="C10" s="13"/>
      <c r="D10" s="582"/>
      <c r="E10" s="583"/>
      <c r="F10" s="583"/>
      <c r="G10" s="13"/>
      <c r="H10" s="13"/>
      <c r="I10" s="13"/>
      <c r="J10" s="14"/>
      <c r="K10" s="455" t="s">
        <v>611</v>
      </c>
      <c r="L10" s="564" t="b">
        <f>IF(COUNTIF(P:P,0)+COUNTIF(P:P,FALSE)=0,TRUE,FALSE)</f>
        <v>0</v>
      </c>
      <c r="M10" s="58"/>
      <c r="N10" s="13"/>
      <c r="O10" s="368"/>
      <c r="P10" s="370"/>
    </row>
    <row r="11" spans="2:16" x14ac:dyDescent="0.2">
      <c r="B11" s="33"/>
      <c r="C11" t="s">
        <v>306</v>
      </c>
      <c r="D11" s="353"/>
      <c r="E11" t="s">
        <v>798</v>
      </c>
      <c r="F11" s="1"/>
      <c r="G11" s="20" t="s">
        <v>614</v>
      </c>
      <c r="H11" s="13"/>
      <c r="I11" s="13"/>
      <c r="J11" s="14"/>
      <c r="L11" s="53"/>
      <c r="M11" s="284"/>
      <c r="N11" s="354"/>
      <c r="O11" s="368" t="s">
        <v>614</v>
      </c>
      <c r="P11" s="370"/>
    </row>
    <row r="12" spans="2:16" x14ac:dyDescent="0.2">
      <c r="B12" s="33"/>
      <c r="C12" t="s">
        <v>612</v>
      </c>
      <c r="D12" s="353"/>
      <c r="E12">
        <v>2011</v>
      </c>
      <c r="F12" s="1"/>
      <c r="G12" s="20" t="s">
        <v>613</v>
      </c>
      <c r="H12" s="13"/>
      <c r="I12" s="13"/>
      <c r="J12" s="14"/>
      <c r="K12" s="57" t="s">
        <v>215</v>
      </c>
      <c r="L12" s="496" t="b">
        <f>IF(COUNTBLANK(E11:E85)-COUNTBLANK(C11:C85)=7,TRUE,FALSE)</f>
        <v>0</v>
      </c>
      <c r="M12" s="284"/>
      <c r="N12" s="354"/>
      <c r="O12" s="368" t="s">
        <v>613</v>
      </c>
      <c r="P12" s="370">
        <f>IF(L12=TRUE,1,0)</f>
        <v>0</v>
      </c>
    </row>
    <row r="13" spans="2:16" x14ac:dyDescent="0.2">
      <c r="B13" s="33"/>
      <c r="C13" s="13"/>
      <c r="D13" s="582"/>
      <c r="E13" s="583"/>
      <c r="F13" s="583"/>
      <c r="G13" s="13"/>
      <c r="H13" s="13"/>
      <c r="I13" s="13"/>
      <c r="J13" s="14"/>
      <c r="K13" s="53"/>
      <c r="L13" s="111"/>
      <c r="M13" s="284"/>
      <c r="N13" s="354"/>
      <c r="O13" s="368"/>
      <c r="P13" s="370"/>
    </row>
    <row r="14" spans="2:16" x14ac:dyDescent="0.2">
      <c r="B14" s="33"/>
      <c r="C14" s="13"/>
      <c r="D14" s="582"/>
      <c r="E14" s="583"/>
      <c r="F14" s="583"/>
      <c r="G14" s="13"/>
      <c r="H14" s="13"/>
      <c r="I14" s="13"/>
      <c r="J14" s="14"/>
      <c r="K14" s="53"/>
      <c r="L14" s="111"/>
      <c r="M14" s="130"/>
      <c r="N14" s="67"/>
      <c r="O14" s="368"/>
      <c r="P14" s="370"/>
    </row>
    <row r="15" spans="2:16" x14ac:dyDescent="0.2">
      <c r="B15" s="565"/>
      <c r="C15" s="566"/>
      <c r="D15" s="567"/>
      <c r="E15" s="568"/>
      <c r="F15" s="568"/>
      <c r="G15" s="566"/>
      <c r="H15" s="566"/>
      <c r="I15" s="566"/>
      <c r="J15" s="113"/>
      <c r="K15" s="51"/>
      <c r="L15" s="51"/>
      <c r="M15" s="52"/>
      <c r="N15" s="13"/>
      <c r="O15" s="368"/>
      <c r="P15" s="370"/>
    </row>
    <row r="16" spans="2:16" x14ac:dyDescent="0.2">
      <c r="B16" s="35" t="s">
        <v>85</v>
      </c>
      <c r="C16" s="13"/>
      <c r="D16" s="582"/>
      <c r="E16" s="583"/>
      <c r="F16" s="583"/>
      <c r="G16" s="13"/>
      <c r="H16" s="13"/>
      <c r="I16" s="13"/>
      <c r="J16" s="13"/>
      <c r="K16" s="57"/>
      <c r="L16" s="57"/>
      <c r="M16" s="58"/>
      <c r="N16" s="13"/>
      <c r="O16" s="368"/>
      <c r="P16" s="370"/>
    </row>
    <row r="17" spans="2:16" ht="15" customHeight="1" x14ac:dyDescent="0.2">
      <c r="B17" s="28"/>
      <c r="C17" t="s">
        <v>353</v>
      </c>
      <c r="D17" s="353" t="s">
        <v>213</v>
      </c>
      <c r="E17" s="584">
        <f>Final_demand_residences</f>
        <v>0</v>
      </c>
      <c r="F17"/>
      <c r="G17" s="344"/>
      <c r="H17" s="585"/>
      <c r="I17" t="s">
        <v>880</v>
      </c>
      <c r="K17" s="599" t="s">
        <v>877</v>
      </c>
      <c r="L17" s="285"/>
      <c r="M17" s="130"/>
      <c r="N17" s="67"/>
      <c r="O17" s="368"/>
      <c r="P17" s="370"/>
    </row>
    <row r="18" spans="2:16" x14ac:dyDescent="0.2">
      <c r="B18" s="35"/>
      <c r="D18" s="324"/>
      <c r="E18" s="216"/>
      <c r="F18" s="216"/>
      <c r="G18" s="343"/>
      <c r="H18" s="586"/>
      <c r="K18" s="599"/>
      <c r="L18" s="339"/>
      <c r="M18" s="130"/>
      <c r="N18" s="67"/>
      <c r="O18" s="368"/>
      <c r="P18" s="370"/>
    </row>
    <row r="19" spans="2:16" ht="16" customHeight="1" thickBot="1" x14ac:dyDescent="0.25">
      <c r="B19" s="35"/>
      <c r="C19" s="581" t="s">
        <v>700</v>
      </c>
      <c r="D19" s="324"/>
      <c r="E19" s="216"/>
      <c r="F19" s="216"/>
      <c r="G19" s="343"/>
      <c r="H19" s="586"/>
      <c r="K19" s="498" t="str">
        <f t="array" ref="K19:K25">TRANSPOSE('Final demand per energy carrier'!E71:K71)</f>
        <v>Network gas</v>
      </c>
      <c r="L19" s="502" t="e">
        <f t="array" ref="L19:L25">TRANSPOSE('Final demand per energy carrier'!E74:K74)</f>
        <v>#DIV/0!</v>
      </c>
      <c r="M19" s="292" t="e">
        <f>IF(ABS(L19)&lt;0.03," ","Consider adjusting your inputs that influence the demand for gas.")</f>
        <v>#DIV/0!</v>
      </c>
      <c r="N19" s="67"/>
      <c r="O19" s="368"/>
      <c r="P19" s="370"/>
    </row>
    <row r="20" spans="2:16" ht="17" thickBot="1" x14ac:dyDescent="0.25">
      <c r="B20" s="35"/>
      <c r="C20" s="587" t="s">
        <v>76</v>
      </c>
      <c r="D20" s="325" t="s">
        <v>213</v>
      </c>
      <c r="E20" s="321"/>
      <c r="F20" s="584"/>
      <c r="G20" s="344" t="s">
        <v>347</v>
      </c>
      <c r="H20" s="585"/>
      <c r="I20" s="340"/>
      <c r="J20" s="7"/>
      <c r="K20" s="498" t="str">
        <v>Electricity</v>
      </c>
      <c r="L20" s="502" t="e">
        <v>#DIV/0!</v>
      </c>
      <c r="M20" s="292" t="e">
        <f>IF(ABS(L20)&lt;0.03," ","Consider adjusting your inputs that influence the demand for electricity.")</f>
        <v>#DIV/0!</v>
      </c>
      <c r="N20" s="67"/>
      <c r="O20" s="368" t="s">
        <v>540</v>
      </c>
      <c r="P20" s="370"/>
    </row>
    <row r="21" spans="2:16" ht="17" thickBot="1" x14ac:dyDescent="0.25">
      <c r="B21" s="35"/>
      <c r="C21" s="587" t="s">
        <v>290</v>
      </c>
      <c r="D21" s="325" t="s">
        <v>213</v>
      </c>
      <c r="E21" s="321"/>
      <c r="F21" s="584"/>
      <c r="G21" s="344" t="s">
        <v>348</v>
      </c>
      <c r="H21" s="585"/>
      <c r="I21" s="340"/>
      <c r="J21" s="7"/>
      <c r="K21" s="498" t="str">
        <v>Solar thermal</v>
      </c>
      <c r="L21" s="502">
        <v>0</v>
      </c>
      <c r="M21" s="292" t="s">
        <v>769</v>
      </c>
      <c r="N21" s="67"/>
      <c r="O21" s="368" t="s">
        <v>541</v>
      </c>
      <c r="P21" s="370"/>
    </row>
    <row r="22" spans="2:16" ht="17" thickBot="1" x14ac:dyDescent="0.25">
      <c r="B22" s="35"/>
      <c r="C22" s="587" t="s">
        <v>88</v>
      </c>
      <c r="D22" s="325" t="s">
        <v>213</v>
      </c>
      <c r="E22" s="321"/>
      <c r="F22" s="584"/>
      <c r="G22" s="344" t="s">
        <v>349</v>
      </c>
      <c r="H22" s="585"/>
      <c r="I22" s="340"/>
      <c r="J22" s="7"/>
      <c r="K22" s="498" t="str">
        <v>Coal</v>
      </c>
      <c r="L22" s="502" t="e">
        <v>#DIV/0!</v>
      </c>
      <c r="M22" s="292" t="e">
        <f>IF(ABS(L22)&lt;0.03," ","Consider adjusting your inputs that influence the demand for coal.")</f>
        <v>#DIV/0!</v>
      </c>
      <c r="N22" s="67"/>
      <c r="O22" s="368" t="s">
        <v>542</v>
      </c>
      <c r="P22" s="370"/>
    </row>
    <row r="23" spans="2:16" ht="17" thickBot="1" x14ac:dyDescent="0.25">
      <c r="B23" s="35"/>
      <c r="C23" s="587" t="s">
        <v>75</v>
      </c>
      <c r="D23" s="325" t="s">
        <v>213</v>
      </c>
      <c r="E23" s="321"/>
      <c r="F23" s="584"/>
      <c r="G23" s="344" t="s">
        <v>350</v>
      </c>
      <c r="H23" s="585"/>
      <c r="I23" s="340"/>
      <c r="J23" s="7"/>
      <c r="K23" s="498" t="str">
        <v>Oil</v>
      </c>
      <c r="L23" s="502" t="e">
        <v>#DIV/0!</v>
      </c>
      <c r="M23" s="292" t="e">
        <f>IF(ABS(L23)&lt;0.03," ","Consider adjusting your inputs that influence the demand for oil.")</f>
        <v>#DIV/0!</v>
      </c>
      <c r="N23" s="67"/>
      <c r="O23" s="368" t="s">
        <v>543</v>
      </c>
      <c r="P23" s="370"/>
    </row>
    <row r="24" spans="2:16" ht="17" thickBot="1" x14ac:dyDescent="0.25">
      <c r="B24" s="35"/>
      <c r="C24" s="587" t="s">
        <v>276</v>
      </c>
      <c r="D24" s="325" t="s">
        <v>213</v>
      </c>
      <c r="E24" s="321"/>
      <c r="F24" s="584"/>
      <c r="G24" s="344" t="s">
        <v>351</v>
      </c>
      <c r="H24" s="585"/>
      <c r="I24" s="340"/>
      <c r="K24" s="498" t="str">
        <v>Woodpellets</v>
      </c>
      <c r="L24" s="502" t="e">
        <v>#DIV/0!</v>
      </c>
      <c r="M24" s="292" t="e">
        <f>IF(ABS(L24)&lt;0.03," ","Consider adjusting your inputs that influence the demand for wood pellets.")</f>
        <v>#DIV/0!</v>
      </c>
      <c r="N24" s="67"/>
      <c r="O24" s="368" t="s">
        <v>544</v>
      </c>
      <c r="P24" s="370"/>
    </row>
    <row r="25" spans="2:16" ht="17" thickBot="1" x14ac:dyDescent="0.25">
      <c r="B25" s="35"/>
      <c r="C25" s="587" t="s">
        <v>378</v>
      </c>
      <c r="D25" s="325" t="s">
        <v>213</v>
      </c>
      <c r="E25" s="321"/>
      <c r="F25" s="584"/>
      <c r="G25" s="344" t="s">
        <v>352</v>
      </c>
      <c r="H25" s="585"/>
      <c r="I25" s="340"/>
      <c r="K25" s="498" t="str">
        <v>District heat</v>
      </c>
      <c r="L25" s="502" t="e">
        <v>#DIV/0!</v>
      </c>
      <c r="M25" s="292" t="e">
        <f>IF(ABS(L25)&lt;0.03," ","Consider adjusting your inputs that influence the demand for district heat.")</f>
        <v>#DIV/0!</v>
      </c>
      <c r="N25" s="67"/>
      <c r="O25" s="368" t="s">
        <v>545</v>
      </c>
      <c r="P25" s="370"/>
    </row>
    <row r="26" spans="2:16" x14ac:dyDescent="0.2">
      <c r="B26" s="35"/>
      <c r="D26" s="324"/>
      <c r="G26" s="345"/>
      <c r="H26" s="135"/>
      <c r="K26" s="285"/>
      <c r="L26" s="288"/>
      <c r="M26" s="130"/>
      <c r="N26" s="67"/>
      <c r="O26" s="368"/>
      <c r="P26" s="370"/>
    </row>
    <row r="27" spans="2:16" ht="17" x14ac:dyDescent="0.2">
      <c r="B27" s="35"/>
      <c r="C27" s="1" t="s">
        <v>698</v>
      </c>
      <c r="D27" s="324" t="s">
        <v>213</v>
      </c>
      <c r="E27" s="497">
        <f>E17-SUM(E20:E25)</f>
        <v>0</v>
      </c>
      <c r="F27" s="209"/>
      <c r="G27" s="345"/>
      <c r="H27" s="135"/>
      <c r="K27" s="285" t="s">
        <v>522</v>
      </c>
      <c r="L27" s="503" t="e">
        <f>IF(ABS(E27)/E17&lt;0.05,TRUE,E27/E17)</f>
        <v>#DIV/0!</v>
      </c>
      <c r="M27" s="292" t="e">
        <f>IF(L27=TRUE," ","Consider adjusting the final demands for space heating, space cooling....")</f>
        <v>#DIV/0!</v>
      </c>
      <c r="N27" s="67"/>
      <c r="O27" s="368"/>
      <c r="P27" s="370"/>
    </row>
    <row r="28" spans="2:16" x14ac:dyDescent="0.2">
      <c r="B28" s="569"/>
      <c r="C28" s="549"/>
      <c r="D28" s="326"/>
      <c r="E28" s="570"/>
      <c r="F28" s="570"/>
      <c r="G28" s="346"/>
      <c r="H28" s="571"/>
      <c r="I28" s="549"/>
      <c r="J28" s="549"/>
      <c r="K28" s="289"/>
      <c r="L28" s="289"/>
      <c r="M28" s="286"/>
      <c r="N28" s="67"/>
      <c r="O28" s="368"/>
      <c r="P28" s="370"/>
    </row>
    <row r="29" spans="2:16" ht="16" customHeight="1" x14ac:dyDescent="0.2">
      <c r="B29" s="35" t="s">
        <v>76</v>
      </c>
      <c r="D29" s="324"/>
      <c r="E29" s="588"/>
      <c r="F29" s="208"/>
      <c r="G29" s="345"/>
      <c r="H29" s="135"/>
      <c r="K29" s="495" t="s">
        <v>190</v>
      </c>
      <c r="L29" s="499">
        <f>IF(SUM(E31:E40)=1,TRUE,SUM(E31:E40))</f>
        <v>0</v>
      </c>
      <c r="M29" s="292" t="str">
        <f>IF(L29=TRUE," ","Please adjust the percentages on the left. You might find it usefule to temporarily define one share as '1-sum( all others )' ")</f>
        <v xml:space="preserve">Please adjust the percentages on the left. You might find it usefule to temporarily define one share as '1-sum( all others )' </v>
      </c>
      <c r="N29" s="355"/>
      <c r="O29" s="368"/>
      <c r="P29" s="370">
        <f>IF(L29=TRUE,1,0)</f>
        <v>0</v>
      </c>
    </row>
    <row r="30" spans="2:16" ht="16" customHeight="1" thickBot="1" x14ac:dyDescent="0.25">
      <c r="B30" s="35"/>
      <c r="C30" s="581" t="s">
        <v>730</v>
      </c>
      <c r="D30" s="324"/>
      <c r="E30" s="208"/>
      <c r="F30" s="208"/>
      <c r="G30" s="345"/>
      <c r="H30" s="135"/>
      <c r="K30" s="495"/>
      <c r="L30" s="287"/>
      <c r="M30" s="292"/>
      <c r="N30" s="355"/>
      <c r="O30" s="368"/>
      <c r="P30" s="370"/>
    </row>
    <row r="31" spans="2:16" ht="17" thickBot="1" x14ac:dyDescent="0.25">
      <c r="B31" s="35"/>
      <c r="C31" s="587" t="s">
        <v>701</v>
      </c>
      <c r="D31" s="327"/>
      <c r="E31" s="322"/>
      <c r="F31" s="336"/>
      <c r="G31" s="347"/>
      <c r="H31" s="581"/>
      <c r="I31" s="340"/>
      <c r="K31" s="285"/>
      <c r="L31" s="287"/>
      <c r="M31" s="292"/>
      <c r="N31" s="355"/>
      <c r="O31" s="368" t="s">
        <v>546</v>
      </c>
      <c r="P31" s="370"/>
    </row>
    <row r="32" spans="2:16" ht="17" thickBot="1" x14ac:dyDescent="0.25">
      <c r="B32" s="35"/>
      <c r="C32" s="587" t="s">
        <v>772</v>
      </c>
      <c r="D32" s="327"/>
      <c r="E32" s="322"/>
      <c r="F32" s="336"/>
      <c r="G32" s="347"/>
      <c r="H32" s="581"/>
      <c r="I32" s="340"/>
      <c r="K32" s="285"/>
      <c r="L32" s="287"/>
      <c r="M32" s="292"/>
      <c r="N32" s="355"/>
      <c r="O32" s="368" t="s">
        <v>547</v>
      </c>
      <c r="P32" s="370"/>
    </row>
    <row r="33" spans="2:16" ht="17" thickBot="1" x14ac:dyDescent="0.25">
      <c r="B33" s="35"/>
      <c r="C33" s="587" t="s">
        <v>702</v>
      </c>
      <c r="D33" s="327"/>
      <c r="E33" s="322"/>
      <c r="F33" s="336"/>
      <c r="G33" s="347"/>
      <c r="H33" s="581"/>
      <c r="I33" s="340"/>
      <c r="K33" s="285"/>
      <c r="L33" s="287"/>
      <c r="M33" s="130"/>
      <c r="N33" s="67"/>
      <c r="O33" s="368" t="s">
        <v>550</v>
      </c>
      <c r="P33" s="370"/>
    </row>
    <row r="34" spans="2:16" ht="17" thickBot="1" x14ac:dyDescent="0.25">
      <c r="B34" s="35"/>
      <c r="C34" s="587" t="s">
        <v>703</v>
      </c>
      <c r="D34" s="327"/>
      <c r="E34" s="322"/>
      <c r="F34" s="336"/>
      <c r="G34" s="347"/>
      <c r="H34" s="581"/>
      <c r="I34" s="340"/>
      <c r="K34" s="285"/>
      <c r="L34" s="287"/>
      <c r="M34" s="130"/>
      <c r="N34" s="67"/>
      <c r="O34" s="368" t="s">
        <v>548</v>
      </c>
      <c r="P34" s="370"/>
    </row>
    <row r="35" spans="2:16" ht="17" thickBot="1" x14ac:dyDescent="0.25">
      <c r="B35" s="35"/>
      <c r="C35" s="587" t="s">
        <v>704</v>
      </c>
      <c r="D35" s="327"/>
      <c r="E35" s="322"/>
      <c r="F35" s="336"/>
      <c r="G35" s="347"/>
      <c r="H35" s="581"/>
      <c r="I35" s="340"/>
      <c r="K35" s="285"/>
      <c r="L35" s="287"/>
      <c r="M35" s="130"/>
      <c r="N35" s="67"/>
      <c r="O35" s="368" t="s">
        <v>549</v>
      </c>
      <c r="P35" s="370"/>
    </row>
    <row r="36" spans="2:16" ht="17" thickBot="1" x14ac:dyDescent="0.25">
      <c r="B36" s="35"/>
      <c r="C36" s="587" t="s">
        <v>705</v>
      </c>
      <c r="D36" s="327"/>
      <c r="E36" s="322"/>
      <c r="F36" s="336"/>
      <c r="G36" s="347"/>
      <c r="H36" s="581"/>
      <c r="I36" s="340"/>
      <c r="K36" s="285"/>
      <c r="L36" s="287"/>
      <c r="M36" s="130"/>
      <c r="N36" s="67"/>
      <c r="O36" s="373" t="s">
        <v>551</v>
      </c>
      <c r="P36" s="370"/>
    </row>
    <row r="37" spans="2:16" ht="17" thickBot="1" x14ac:dyDescent="0.25">
      <c r="B37" s="35"/>
      <c r="C37" s="587" t="s">
        <v>706</v>
      </c>
      <c r="D37" s="327"/>
      <c r="E37" s="322"/>
      <c r="F37" s="336"/>
      <c r="G37" s="347"/>
      <c r="H37" s="581"/>
      <c r="I37" s="340"/>
      <c r="K37" s="285"/>
      <c r="L37" s="287"/>
      <c r="M37" s="130"/>
      <c r="N37" s="67"/>
      <c r="O37" s="373" t="s">
        <v>553</v>
      </c>
      <c r="P37" s="370"/>
    </row>
    <row r="38" spans="2:16" ht="17" thickBot="1" x14ac:dyDescent="0.25">
      <c r="B38" s="35"/>
      <c r="C38" s="587" t="s">
        <v>707</v>
      </c>
      <c r="D38" s="327"/>
      <c r="E38" s="322"/>
      <c r="F38" s="336"/>
      <c r="G38" s="347"/>
      <c r="H38" s="581"/>
      <c r="I38" s="340"/>
      <c r="K38" s="285"/>
      <c r="L38" s="287"/>
      <c r="M38" s="130"/>
      <c r="N38" s="67"/>
      <c r="O38" s="373" t="s">
        <v>552</v>
      </c>
      <c r="P38" s="370"/>
    </row>
    <row r="39" spans="2:16" ht="17" thickBot="1" x14ac:dyDescent="0.25">
      <c r="B39" s="35"/>
      <c r="C39" s="587" t="s">
        <v>708</v>
      </c>
      <c r="D39" s="327"/>
      <c r="E39" s="322"/>
      <c r="F39" s="336"/>
      <c r="G39" s="347"/>
      <c r="H39" s="581"/>
      <c r="I39" s="340"/>
      <c r="K39" s="285"/>
      <c r="L39" s="287"/>
      <c r="M39" s="292"/>
      <c r="O39" s="373" t="s">
        <v>554</v>
      </c>
      <c r="P39" s="370"/>
    </row>
    <row r="40" spans="2:16" ht="17" thickBot="1" x14ac:dyDescent="0.25">
      <c r="B40" s="35"/>
      <c r="C40" s="587" t="s">
        <v>743</v>
      </c>
      <c r="D40" s="327"/>
      <c r="E40" s="322"/>
      <c r="F40" s="336"/>
      <c r="G40" s="347"/>
      <c r="H40" s="581"/>
      <c r="I40" s="340"/>
      <c r="K40" s="285"/>
      <c r="L40" s="67"/>
      <c r="M40" s="130"/>
      <c r="N40" s="67"/>
      <c r="O40" s="373" t="s">
        <v>752</v>
      </c>
      <c r="P40" s="370"/>
    </row>
    <row r="41" spans="2:16" x14ac:dyDescent="0.2">
      <c r="B41" s="569"/>
      <c r="C41" s="549"/>
      <c r="D41" s="326"/>
      <c r="E41" s="572"/>
      <c r="F41" s="572"/>
      <c r="G41" s="348"/>
      <c r="H41" s="573"/>
      <c r="I41" s="549"/>
      <c r="J41" s="549"/>
      <c r="K41" s="289"/>
      <c r="L41" s="289"/>
      <c r="M41" s="286"/>
      <c r="N41" s="67"/>
      <c r="O41" s="374"/>
      <c r="P41" s="370"/>
    </row>
    <row r="42" spans="2:16" ht="16" customHeight="1" x14ac:dyDescent="0.2">
      <c r="B42" s="35" t="s">
        <v>290</v>
      </c>
      <c r="D42" s="324"/>
      <c r="E42" s="210"/>
      <c r="F42" s="210"/>
      <c r="G42" s="345"/>
      <c r="H42" s="135"/>
      <c r="K42" s="495" t="s">
        <v>190</v>
      </c>
      <c r="L42" s="499">
        <f>IF(SUM(E44:E53)=1,TRUE,SUM(E44:E53))</f>
        <v>0</v>
      </c>
      <c r="M42" s="292" t="str">
        <f>IF(L42=TRUE," ","Please adjust the percentages on the left. You might find it usefule to temporarily define one share as '1-sum( all others )' ")</f>
        <v xml:space="preserve">Please adjust the percentages on the left. You might find it usefule to temporarily define one share as '1-sum( all others )' </v>
      </c>
      <c r="N42" s="355"/>
      <c r="O42" s="368"/>
      <c r="P42" s="370">
        <f>IF(L42=TRUE,1,0)</f>
        <v>0</v>
      </c>
    </row>
    <row r="43" spans="2:16" ht="16" customHeight="1" thickBot="1" x14ac:dyDescent="0.25">
      <c r="B43" s="35"/>
      <c r="C43" s="581" t="s">
        <v>729</v>
      </c>
      <c r="D43" s="324"/>
      <c r="E43" s="210"/>
      <c r="F43" s="210"/>
      <c r="G43" s="345"/>
      <c r="H43" s="135"/>
      <c r="K43" s="495"/>
      <c r="L43" s="287"/>
      <c r="M43" s="292"/>
      <c r="N43" s="355"/>
      <c r="O43" s="368"/>
      <c r="P43" s="370"/>
    </row>
    <row r="44" spans="2:16" ht="17" thickBot="1" x14ac:dyDescent="0.25">
      <c r="B44" s="35"/>
      <c r="C44" s="587" t="s">
        <v>701</v>
      </c>
      <c r="D44" s="327"/>
      <c r="E44" s="322"/>
      <c r="F44" s="336"/>
      <c r="G44" s="347"/>
      <c r="H44" s="581"/>
      <c r="I44" s="340"/>
      <c r="K44" s="285"/>
      <c r="L44" s="287"/>
      <c r="M44" s="130"/>
      <c r="N44" s="355"/>
      <c r="O44" s="368" t="s">
        <v>555</v>
      </c>
      <c r="P44" s="370"/>
    </row>
    <row r="45" spans="2:16" ht="17" thickBot="1" x14ac:dyDescent="0.25">
      <c r="B45" s="35"/>
      <c r="C45" s="587" t="s">
        <v>773</v>
      </c>
      <c r="D45" s="327"/>
      <c r="E45" s="322"/>
      <c r="F45" s="336"/>
      <c r="G45" s="347"/>
      <c r="H45" s="581"/>
      <c r="I45" s="342"/>
      <c r="K45" s="285"/>
      <c r="L45" s="287"/>
      <c r="M45" s="29"/>
      <c r="N45" s="355"/>
      <c r="O45" s="368" t="s">
        <v>556</v>
      </c>
      <c r="P45" s="370"/>
    </row>
    <row r="46" spans="2:16" ht="17" thickBot="1" x14ac:dyDescent="0.25">
      <c r="B46" s="35"/>
      <c r="C46" s="587" t="s">
        <v>709</v>
      </c>
      <c r="D46" s="327"/>
      <c r="E46" s="322"/>
      <c r="F46" s="336"/>
      <c r="G46" s="347"/>
      <c r="H46" s="581"/>
      <c r="I46" s="342"/>
      <c r="K46" s="285"/>
      <c r="L46" s="287"/>
      <c r="M46" s="29"/>
      <c r="N46" s="67"/>
      <c r="O46" s="368" t="s">
        <v>557</v>
      </c>
      <c r="P46" s="370"/>
    </row>
    <row r="47" spans="2:16" ht="17" thickBot="1" x14ac:dyDescent="0.25">
      <c r="B47" s="35"/>
      <c r="C47" s="587" t="s">
        <v>741</v>
      </c>
      <c r="D47" s="327"/>
      <c r="E47" s="322"/>
      <c r="F47" s="336"/>
      <c r="G47" s="347"/>
      <c r="H47" s="581"/>
      <c r="I47" s="342"/>
      <c r="K47" s="285"/>
      <c r="L47" s="287"/>
      <c r="M47" s="29"/>
      <c r="N47" s="67"/>
      <c r="O47" s="368" t="s">
        <v>558</v>
      </c>
      <c r="P47" s="370"/>
    </row>
    <row r="48" spans="2:16" ht="17" thickBot="1" x14ac:dyDescent="0.25">
      <c r="B48" s="35"/>
      <c r="C48" s="587" t="s">
        <v>710</v>
      </c>
      <c r="D48" s="327"/>
      <c r="E48" s="322"/>
      <c r="F48" s="336"/>
      <c r="G48" s="347"/>
      <c r="H48" s="581"/>
      <c r="I48" s="341"/>
      <c r="K48" s="285"/>
      <c r="L48" s="287"/>
      <c r="M48" s="130"/>
      <c r="N48" s="67"/>
      <c r="O48" s="368" t="s">
        <v>559</v>
      </c>
      <c r="P48" s="370"/>
    </row>
    <row r="49" spans="2:16" ht="17" thickBot="1" x14ac:dyDescent="0.25">
      <c r="B49" s="35"/>
      <c r="C49" s="587" t="s">
        <v>711</v>
      </c>
      <c r="D49" s="327"/>
      <c r="E49" s="322"/>
      <c r="F49" s="336"/>
      <c r="G49" s="347"/>
      <c r="H49" s="581"/>
      <c r="I49" s="342"/>
      <c r="K49" s="285"/>
      <c r="L49" s="287"/>
      <c r="M49" s="130"/>
      <c r="N49" s="67"/>
      <c r="O49" s="373" t="s">
        <v>560</v>
      </c>
      <c r="P49" s="370"/>
    </row>
    <row r="50" spans="2:16" ht="17" thickBot="1" x14ac:dyDescent="0.25">
      <c r="B50" s="35"/>
      <c r="C50" s="587" t="s">
        <v>712</v>
      </c>
      <c r="D50" s="327"/>
      <c r="E50" s="322"/>
      <c r="F50" s="336"/>
      <c r="G50" s="347"/>
      <c r="H50" s="581"/>
      <c r="I50" s="342"/>
      <c r="K50" s="285"/>
      <c r="L50" s="287"/>
      <c r="M50" s="130"/>
      <c r="N50" s="67"/>
      <c r="O50" s="373" t="s">
        <v>561</v>
      </c>
      <c r="P50" s="370"/>
    </row>
    <row r="51" spans="2:16" ht="17" thickBot="1" x14ac:dyDescent="0.25">
      <c r="B51" s="35"/>
      <c r="C51" s="587" t="s">
        <v>713</v>
      </c>
      <c r="D51" s="327"/>
      <c r="E51" s="322"/>
      <c r="F51" s="336"/>
      <c r="G51" s="347"/>
      <c r="H51" s="581"/>
      <c r="I51" s="342"/>
      <c r="K51" s="285"/>
      <c r="L51" s="287"/>
      <c r="M51" s="130"/>
      <c r="N51" s="67"/>
      <c r="O51" s="373" t="s">
        <v>562</v>
      </c>
      <c r="P51" s="370"/>
    </row>
    <row r="52" spans="2:16" ht="17" thickBot="1" x14ac:dyDescent="0.25">
      <c r="B52" s="35"/>
      <c r="C52" s="587" t="s">
        <v>714</v>
      </c>
      <c r="D52" s="327"/>
      <c r="E52" s="322"/>
      <c r="F52" s="336"/>
      <c r="G52" s="347"/>
      <c r="H52" s="581"/>
      <c r="I52" s="342"/>
      <c r="K52" s="285"/>
      <c r="L52" s="287"/>
      <c r="M52" s="130"/>
      <c r="N52" s="67"/>
      <c r="O52" s="373" t="s">
        <v>563</v>
      </c>
      <c r="P52" s="370"/>
    </row>
    <row r="53" spans="2:16" ht="17" thickBot="1" x14ac:dyDescent="0.25">
      <c r="B53" s="35"/>
      <c r="C53" s="587" t="s">
        <v>743</v>
      </c>
      <c r="D53" s="327"/>
      <c r="E53" s="322"/>
      <c r="F53" s="336"/>
      <c r="G53" s="347"/>
      <c r="H53" s="581"/>
      <c r="I53" s="342"/>
      <c r="K53" s="285"/>
      <c r="L53" s="285"/>
      <c r="M53" s="130"/>
      <c r="N53" s="67"/>
      <c r="O53" s="373" t="s">
        <v>760</v>
      </c>
      <c r="P53" s="370"/>
    </row>
    <row r="54" spans="2:16" x14ac:dyDescent="0.2">
      <c r="B54" s="569"/>
      <c r="C54" s="549"/>
      <c r="D54" s="326"/>
      <c r="E54" s="574"/>
      <c r="F54" s="574"/>
      <c r="G54" s="346"/>
      <c r="H54" s="571"/>
      <c r="I54" s="549"/>
      <c r="J54" s="549"/>
      <c r="K54" s="290"/>
      <c r="L54" s="290"/>
      <c r="M54" s="286"/>
      <c r="N54" s="67"/>
      <c r="O54" s="368"/>
      <c r="P54" s="370">
        <f>IF(L55=TRUE,1,0)</f>
        <v>0</v>
      </c>
    </row>
    <row r="55" spans="2:16" ht="17" x14ac:dyDescent="0.2">
      <c r="B55" s="35" t="s">
        <v>88</v>
      </c>
      <c r="C55" s="56"/>
      <c r="D55" s="328"/>
      <c r="E55" s="501"/>
      <c r="F55" s="501"/>
      <c r="G55" s="345"/>
      <c r="H55" s="135"/>
      <c r="K55" s="495" t="s">
        <v>190</v>
      </c>
      <c r="L55" s="499">
        <f>IF(SUM(E57:E59)=1,TRUE,SUM(E57:E59))</f>
        <v>0</v>
      </c>
      <c r="M55" s="575" t="str">
        <f>IF(L55=TRUE," ","Please adjust the percentages on the left. ")</f>
        <v xml:space="preserve">Please adjust the percentages on the left. </v>
      </c>
      <c r="N55" s="67"/>
      <c r="O55" s="368"/>
      <c r="P55" s="370"/>
    </row>
    <row r="56" spans="2:16" ht="17" thickBot="1" x14ac:dyDescent="0.25">
      <c r="B56" s="35"/>
      <c r="C56" s="581" t="s">
        <v>728</v>
      </c>
      <c r="D56" s="328"/>
      <c r="E56" s="501"/>
      <c r="F56" s="501"/>
      <c r="G56" s="345"/>
      <c r="H56" s="135"/>
      <c r="K56" s="495"/>
      <c r="L56" s="287"/>
      <c r="M56" s="500"/>
      <c r="N56" s="67"/>
      <c r="O56" s="368"/>
      <c r="P56" s="370"/>
    </row>
    <row r="57" spans="2:16" ht="17" thickBot="1" x14ac:dyDescent="0.25">
      <c r="B57" s="35"/>
      <c r="C57" s="587" t="s">
        <v>715</v>
      </c>
      <c r="D57" s="329"/>
      <c r="E57" s="323"/>
      <c r="F57" s="337"/>
      <c r="G57" s="347"/>
      <c r="H57" s="581"/>
      <c r="I57" s="341"/>
      <c r="K57" s="285"/>
      <c r="L57" s="287"/>
      <c r="M57" s="130"/>
      <c r="N57" s="67"/>
      <c r="O57" s="373" t="s">
        <v>564</v>
      </c>
      <c r="P57" s="370"/>
    </row>
    <row r="58" spans="2:16" ht="17" thickBot="1" x14ac:dyDescent="0.25">
      <c r="B58" s="35"/>
      <c r="C58" s="587" t="s">
        <v>716</v>
      </c>
      <c r="D58" s="329"/>
      <c r="E58" s="323"/>
      <c r="F58" s="337"/>
      <c r="G58" s="347"/>
      <c r="H58" s="581"/>
      <c r="I58" s="342"/>
      <c r="K58" s="285"/>
      <c r="L58" s="287"/>
      <c r="M58" s="130"/>
      <c r="N58" s="67"/>
      <c r="O58" s="373" t="s">
        <v>565</v>
      </c>
      <c r="P58" s="370"/>
    </row>
    <row r="59" spans="2:16" ht="17" thickBot="1" x14ac:dyDescent="0.25">
      <c r="B59" s="35"/>
      <c r="C59" s="587" t="s">
        <v>717</v>
      </c>
      <c r="D59" s="330"/>
      <c r="E59" s="323"/>
      <c r="F59" s="337"/>
      <c r="G59" s="349"/>
      <c r="H59" s="589"/>
      <c r="I59" s="342"/>
      <c r="K59" s="285"/>
      <c r="L59" s="287"/>
      <c r="M59" s="130"/>
      <c r="N59" s="67"/>
      <c r="O59" s="373" t="s">
        <v>566</v>
      </c>
      <c r="P59" s="370"/>
    </row>
    <row r="60" spans="2:16" x14ac:dyDescent="0.2">
      <c r="B60" s="569"/>
      <c r="C60" s="549"/>
      <c r="D60" s="326"/>
      <c r="E60" s="574"/>
      <c r="F60" s="574"/>
      <c r="G60" s="346"/>
      <c r="H60" s="571"/>
      <c r="I60" s="549"/>
      <c r="J60" s="549"/>
      <c r="K60" s="290"/>
      <c r="L60" s="289"/>
      <c r="M60" s="286"/>
      <c r="N60" s="67"/>
      <c r="O60" s="368"/>
      <c r="P60" s="370">
        <f>IF(L61=TRUE,1,0)</f>
        <v>0</v>
      </c>
    </row>
    <row r="61" spans="2:16" ht="17" x14ac:dyDescent="0.2">
      <c r="B61" s="35" t="s">
        <v>75</v>
      </c>
      <c r="D61" s="324"/>
      <c r="E61" s="501"/>
      <c r="F61" s="337"/>
      <c r="G61" s="347"/>
      <c r="H61" s="581"/>
      <c r="K61" s="495" t="s">
        <v>190</v>
      </c>
      <c r="L61" s="499">
        <f>IF(SUM(E63:E65)=1,TRUE,SUM(E63:E65))</f>
        <v>0</v>
      </c>
      <c r="M61" s="575" t="str">
        <f>IF(L61=TRUE," ","Please adjust the percentages on the left. ")</f>
        <v xml:space="preserve">Please adjust the percentages on the left. </v>
      </c>
      <c r="N61" s="67"/>
      <c r="O61" s="368"/>
      <c r="P61" s="370"/>
    </row>
    <row r="62" spans="2:16" ht="17" thickBot="1" x14ac:dyDescent="0.25">
      <c r="B62" s="35"/>
      <c r="C62" s="581" t="s">
        <v>727</v>
      </c>
      <c r="D62" s="324"/>
      <c r="E62" s="501"/>
      <c r="F62" s="337"/>
      <c r="G62" s="347"/>
      <c r="H62" s="581"/>
      <c r="K62" s="495"/>
      <c r="L62" s="287"/>
      <c r="M62" s="500"/>
      <c r="N62" s="67"/>
      <c r="O62" s="368"/>
      <c r="P62" s="370"/>
    </row>
    <row r="63" spans="2:16" ht="17" thickBot="1" x14ac:dyDescent="0.25">
      <c r="B63" s="35"/>
      <c r="C63" s="587" t="s">
        <v>718</v>
      </c>
      <c r="D63" s="329"/>
      <c r="E63" s="323"/>
      <c r="F63" s="337"/>
      <c r="G63" s="347"/>
      <c r="H63" s="581"/>
      <c r="I63" s="341"/>
      <c r="K63" s="285"/>
      <c r="L63" s="285"/>
      <c r="M63" s="130"/>
      <c r="N63" s="67"/>
      <c r="O63" s="373" t="s">
        <v>567</v>
      </c>
      <c r="P63" s="370"/>
    </row>
    <row r="64" spans="2:16" ht="17" thickBot="1" x14ac:dyDescent="0.25">
      <c r="B64" s="35"/>
      <c r="C64" s="587" t="s">
        <v>719</v>
      </c>
      <c r="D64" s="329"/>
      <c r="E64" s="323"/>
      <c r="F64" s="337"/>
      <c r="G64" s="347"/>
      <c r="H64" s="581"/>
      <c r="I64" s="341"/>
      <c r="K64" s="285"/>
      <c r="L64" s="285"/>
      <c r="M64" s="130"/>
      <c r="N64" s="67"/>
      <c r="O64" s="373" t="s">
        <v>568</v>
      </c>
      <c r="P64" s="370"/>
    </row>
    <row r="65" spans="2:16" ht="17" thickBot="1" x14ac:dyDescent="0.25">
      <c r="B65" s="35"/>
      <c r="C65" s="587" t="s">
        <v>99</v>
      </c>
      <c r="D65" s="329"/>
      <c r="E65" s="323"/>
      <c r="F65" s="337"/>
      <c r="G65" s="349"/>
      <c r="H65" s="589"/>
      <c r="I65" s="341"/>
      <c r="K65" s="285"/>
      <c r="L65" s="285"/>
      <c r="M65" s="130"/>
      <c r="N65" s="67"/>
      <c r="O65" s="373" t="s">
        <v>569</v>
      </c>
      <c r="P65" s="370"/>
    </row>
    <row r="66" spans="2:16" x14ac:dyDescent="0.2">
      <c r="B66" s="569"/>
      <c r="C66" s="549"/>
      <c r="D66" s="326"/>
      <c r="E66" s="574"/>
      <c r="F66" s="574"/>
      <c r="G66" s="346"/>
      <c r="H66" s="571"/>
      <c r="I66" s="549"/>
      <c r="J66" s="549"/>
      <c r="K66" s="290"/>
      <c r="L66" s="290"/>
      <c r="M66" s="286"/>
      <c r="N66" s="67"/>
      <c r="O66" s="368"/>
      <c r="P66" s="370">
        <f>IF(L67=TRUE,1,0)</f>
        <v>0</v>
      </c>
    </row>
    <row r="67" spans="2:16" ht="17" x14ac:dyDescent="0.2">
      <c r="B67" s="35" t="s">
        <v>276</v>
      </c>
      <c r="D67" s="324"/>
      <c r="E67" s="501"/>
      <c r="F67" s="501"/>
      <c r="G67" s="345"/>
      <c r="H67" s="135"/>
      <c r="K67" s="495" t="s">
        <v>190</v>
      </c>
      <c r="L67" s="499">
        <f>IF(SUM(E69:E73)=1,TRUE,SUM(E69:E73))</f>
        <v>0</v>
      </c>
      <c r="M67" s="575" t="str">
        <f>IF(L67=TRUE," ","Please adjust the percentages on the left. ")</f>
        <v xml:space="preserve">Please adjust the percentages on the left. </v>
      </c>
      <c r="N67" s="67"/>
      <c r="O67" s="368"/>
      <c r="P67" s="370"/>
    </row>
    <row r="68" spans="2:16" ht="17" thickBot="1" x14ac:dyDescent="0.25">
      <c r="B68" s="35"/>
      <c r="C68" s="581" t="s">
        <v>726</v>
      </c>
      <c r="D68" s="324"/>
      <c r="E68" s="501"/>
      <c r="F68" s="501"/>
      <c r="G68" s="345"/>
      <c r="H68" s="135"/>
      <c r="K68" s="495"/>
      <c r="L68" s="287"/>
      <c r="M68" s="500"/>
      <c r="N68" s="67"/>
      <c r="O68" s="368"/>
      <c r="P68" s="370"/>
    </row>
    <row r="69" spans="2:16" ht="17" thickBot="1" x14ac:dyDescent="0.25">
      <c r="B69" s="35"/>
      <c r="C69" s="587" t="s">
        <v>720</v>
      </c>
      <c r="D69" s="329"/>
      <c r="E69" s="323"/>
      <c r="F69" s="337"/>
      <c r="G69" s="347"/>
      <c r="H69" s="581"/>
      <c r="I69" s="341"/>
      <c r="K69" s="285"/>
      <c r="L69" s="285"/>
      <c r="M69" s="130"/>
      <c r="N69" s="67"/>
      <c r="O69" s="373" t="s">
        <v>571</v>
      </c>
      <c r="P69" s="370"/>
    </row>
    <row r="70" spans="2:16" ht="17" thickBot="1" x14ac:dyDescent="0.25">
      <c r="B70" s="35"/>
      <c r="C70" s="587" t="s">
        <v>721</v>
      </c>
      <c r="D70" s="329"/>
      <c r="E70" s="323"/>
      <c r="F70" s="337"/>
      <c r="G70" s="347"/>
      <c r="H70" s="581"/>
      <c r="I70" s="341"/>
      <c r="K70" s="285"/>
      <c r="L70" s="285"/>
      <c r="M70" s="130"/>
      <c r="N70" s="67"/>
      <c r="O70" s="373" t="s">
        <v>570</v>
      </c>
      <c r="P70" s="370"/>
    </row>
    <row r="71" spans="2:16" ht="17" thickBot="1" x14ac:dyDescent="0.25">
      <c r="B71" s="35"/>
      <c r="C71" s="587" t="s">
        <v>722</v>
      </c>
      <c r="D71" s="329"/>
      <c r="E71" s="323"/>
      <c r="F71" s="337"/>
      <c r="G71" s="349"/>
      <c r="H71" s="589"/>
      <c r="I71" s="341"/>
      <c r="K71" s="285"/>
      <c r="L71" s="285"/>
      <c r="M71" s="130"/>
      <c r="N71" s="67"/>
      <c r="O71" s="373" t="s">
        <v>572</v>
      </c>
      <c r="P71" s="370"/>
    </row>
    <row r="72" spans="2:16" ht="17" thickBot="1" x14ac:dyDescent="0.25">
      <c r="B72" s="35"/>
      <c r="C72" s="587" t="s">
        <v>723</v>
      </c>
      <c r="D72" s="329"/>
      <c r="E72" s="323"/>
      <c r="F72" s="337"/>
      <c r="G72" s="349"/>
      <c r="H72" s="589"/>
      <c r="I72" s="341"/>
      <c r="K72" s="285"/>
      <c r="L72" s="285"/>
      <c r="M72" s="130"/>
      <c r="N72" s="67"/>
      <c r="O72" s="373" t="s">
        <v>573</v>
      </c>
      <c r="P72" s="370"/>
    </row>
    <row r="73" spans="2:16" ht="17" thickBot="1" x14ac:dyDescent="0.25">
      <c r="B73" s="35"/>
      <c r="C73" s="587" t="s">
        <v>724</v>
      </c>
      <c r="D73" s="329"/>
      <c r="E73" s="323"/>
      <c r="F73" s="337"/>
      <c r="G73" s="349"/>
      <c r="H73" s="589"/>
      <c r="I73" s="341"/>
      <c r="K73" s="285"/>
      <c r="L73" s="285"/>
      <c r="M73" s="130"/>
      <c r="N73" s="67"/>
      <c r="O73" s="373" t="s">
        <v>574</v>
      </c>
      <c r="P73" s="370"/>
    </row>
    <row r="74" spans="2:16" x14ac:dyDescent="0.2">
      <c r="B74" s="569"/>
      <c r="C74" s="549"/>
      <c r="D74" s="326"/>
      <c r="E74" s="574"/>
      <c r="F74" s="574"/>
      <c r="G74" s="346"/>
      <c r="H74" s="571"/>
      <c r="I74" s="549"/>
      <c r="J74" s="549"/>
      <c r="K74" s="290"/>
      <c r="L74" s="290"/>
      <c r="M74" s="286"/>
      <c r="N74" s="67"/>
      <c r="O74" s="368"/>
      <c r="P74" s="370">
        <f>IF(L75=TRUE,1,0)</f>
        <v>0</v>
      </c>
    </row>
    <row r="75" spans="2:16" ht="17" x14ac:dyDescent="0.2">
      <c r="B75" s="35" t="s">
        <v>830</v>
      </c>
      <c r="D75" s="324"/>
      <c r="E75" s="501"/>
      <c r="F75" s="501"/>
      <c r="G75" s="345"/>
      <c r="H75" s="135"/>
      <c r="K75" s="495" t="s">
        <v>190</v>
      </c>
      <c r="L75" s="499">
        <f>IF(SUM(E77:E84)=1,TRUE,SUM(E77:E84))</f>
        <v>0</v>
      </c>
      <c r="M75" s="575" t="str">
        <f>IF(L75=TRUE," ","Please adjust the percentages on the left. ")</f>
        <v xml:space="preserve">Please adjust the percentages on the left. </v>
      </c>
      <c r="N75" s="67"/>
      <c r="O75" s="368"/>
      <c r="P75" s="370"/>
    </row>
    <row r="76" spans="2:16" ht="17" thickBot="1" x14ac:dyDescent="0.25">
      <c r="B76" s="35"/>
      <c r="C76" s="581" t="s">
        <v>725</v>
      </c>
      <c r="D76" s="324"/>
      <c r="E76" s="501"/>
      <c r="F76" s="501"/>
      <c r="G76" s="345"/>
      <c r="H76" s="135"/>
      <c r="K76" s="495"/>
      <c r="L76" s="287"/>
      <c r="M76" s="500"/>
      <c r="N76" s="67"/>
      <c r="O76" s="368"/>
      <c r="P76" s="370"/>
    </row>
    <row r="77" spans="2:16" ht="17" thickBot="1" x14ac:dyDescent="0.25">
      <c r="B77" s="35"/>
      <c r="C77" s="587" t="s">
        <v>517</v>
      </c>
      <c r="D77" s="329"/>
      <c r="E77" s="323"/>
      <c r="F77" s="337"/>
      <c r="G77" s="349"/>
      <c r="H77" s="589"/>
      <c r="I77" s="341"/>
      <c r="K77" s="285"/>
      <c r="L77" s="285"/>
      <c r="M77" s="130"/>
      <c r="N77" s="67"/>
      <c r="O77" s="373" t="s">
        <v>575</v>
      </c>
      <c r="P77" s="370"/>
    </row>
    <row r="78" spans="2:16" ht="17" thickBot="1" x14ac:dyDescent="0.25">
      <c r="B78" s="35"/>
      <c r="C78" s="587" t="s">
        <v>303</v>
      </c>
      <c r="D78" s="329"/>
      <c r="E78" s="323"/>
      <c r="F78" s="337"/>
      <c r="G78" s="347"/>
      <c r="H78" s="581"/>
      <c r="I78" s="341"/>
      <c r="K78" s="285"/>
      <c r="L78" s="285"/>
      <c r="M78" s="130"/>
      <c r="N78" s="67"/>
      <c r="O78" s="373" t="s">
        <v>576</v>
      </c>
      <c r="P78" s="370"/>
    </row>
    <row r="79" spans="2:16" ht="17" thickBot="1" x14ac:dyDescent="0.25">
      <c r="B79" s="35"/>
      <c r="C79" s="587" t="s">
        <v>304</v>
      </c>
      <c r="D79" s="329"/>
      <c r="E79" s="323"/>
      <c r="F79" s="337"/>
      <c r="G79" s="347"/>
      <c r="H79" s="581"/>
      <c r="I79" s="341"/>
      <c r="K79" s="285"/>
      <c r="L79" s="285"/>
      <c r="M79" s="130"/>
      <c r="N79" s="67"/>
      <c r="O79" s="373" t="s">
        <v>578</v>
      </c>
      <c r="P79" s="370"/>
    </row>
    <row r="80" spans="2:16" ht="17" thickBot="1" x14ac:dyDescent="0.25">
      <c r="B80" s="35"/>
      <c r="C80" s="587" t="s">
        <v>305</v>
      </c>
      <c r="D80" s="329"/>
      <c r="E80" s="323"/>
      <c r="F80" s="337"/>
      <c r="G80" s="347"/>
      <c r="H80" s="581"/>
      <c r="I80" s="341"/>
      <c r="K80" s="285"/>
      <c r="L80" s="285"/>
      <c r="M80" s="130"/>
      <c r="N80" s="67"/>
      <c r="O80" s="373" t="s">
        <v>577</v>
      </c>
      <c r="P80" s="370"/>
    </row>
    <row r="81" spans="2:16" ht="17" thickBot="1" x14ac:dyDescent="0.25">
      <c r="B81" s="35"/>
      <c r="C81" s="587" t="s">
        <v>367</v>
      </c>
      <c r="D81" s="329"/>
      <c r="E81" s="323"/>
      <c r="F81" s="337"/>
      <c r="G81" s="347"/>
      <c r="H81" s="581"/>
      <c r="I81" s="341"/>
      <c r="K81" s="285"/>
      <c r="L81" s="285"/>
      <c r="M81" s="130"/>
      <c r="N81" s="67"/>
      <c r="O81" s="373" t="s">
        <v>579</v>
      </c>
      <c r="P81" s="370"/>
    </row>
    <row r="82" spans="2:16" ht="17" thickBot="1" x14ac:dyDescent="0.25">
      <c r="B82" s="35"/>
      <c r="C82" s="587" t="s">
        <v>368</v>
      </c>
      <c r="D82" s="329"/>
      <c r="E82" s="323"/>
      <c r="F82" s="337"/>
      <c r="G82" s="347"/>
      <c r="H82" s="581"/>
      <c r="I82" s="341"/>
      <c r="K82" s="285"/>
      <c r="L82" s="285"/>
      <c r="M82" s="130"/>
      <c r="N82" s="67"/>
      <c r="O82" s="373" t="s">
        <v>580</v>
      </c>
      <c r="P82" s="370"/>
    </row>
    <row r="83" spans="2:16" ht="17" thickBot="1" x14ac:dyDescent="0.25">
      <c r="B83" s="35"/>
      <c r="C83" s="587" t="s">
        <v>369</v>
      </c>
      <c r="D83" s="329"/>
      <c r="E83" s="323"/>
      <c r="F83" s="337"/>
      <c r="G83" s="347"/>
      <c r="H83" s="581"/>
      <c r="I83" s="341"/>
      <c r="K83" s="285"/>
      <c r="L83" s="285"/>
      <c r="M83" s="130"/>
      <c r="N83" s="67"/>
      <c r="O83" s="373" t="s">
        <v>581</v>
      </c>
      <c r="P83" s="370"/>
    </row>
    <row r="84" spans="2:16" ht="17" thickBot="1" x14ac:dyDescent="0.25">
      <c r="B84" s="35"/>
      <c r="C84" s="587" t="s">
        <v>370</v>
      </c>
      <c r="D84" s="329"/>
      <c r="E84" s="323"/>
      <c r="F84" s="337"/>
      <c r="G84" s="347"/>
      <c r="H84" s="581"/>
      <c r="I84" s="341"/>
      <c r="K84" s="285"/>
      <c r="L84" s="285"/>
      <c r="M84" s="130"/>
      <c r="N84" s="67"/>
      <c r="O84" s="373" t="s">
        <v>582</v>
      </c>
      <c r="P84" s="370"/>
    </row>
    <row r="85" spans="2:16" x14ac:dyDescent="0.2">
      <c r="B85" s="569"/>
      <c r="C85" s="549"/>
      <c r="D85" s="326"/>
      <c r="E85" s="570"/>
      <c r="F85" s="570"/>
      <c r="G85" s="346"/>
      <c r="H85" s="571"/>
      <c r="I85" s="549"/>
      <c r="J85" s="549"/>
      <c r="K85" s="290"/>
      <c r="L85" s="290"/>
      <c r="M85" s="286"/>
      <c r="N85" s="67"/>
      <c r="O85" s="368"/>
      <c r="P85" s="370">
        <f>IF(L86=TRUE,1,0)</f>
        <v>1</v>
      </c>
    </row>
    <row r="86" spans="2:16" ht="18" thickBot="1" x14ac:dyDescent="0.25">
      <c r="B86" s="521" t="s">
        <v>768</v>
      </c>
      <c r="C86" s="4"/>
      <c r="D86" s="576"/>
      <c r="E86" s="590"/>
      <c r="F86" s="590"/>
      <c r="G86" s="577"/>
      <c r="H86" s="591"/>
      <c r="I86" s="4"/>
      <c r="J86" s="4"/>
      <c r="K86" s="522"/>
      <c r="L86" s="499" t="b">
        <f>IF(SUM(E90:E109)=E87,TRUE,FALSE)</f>
        <v>1</v>
      </c>
      <c r="M86" s="578" t="str">
        <f>IF(L86=FALSE,"Please make sure number of residences per type and construction period match total number of residences","")</f>
        <v/>
      </c>
      <c r="N86" s="67"/>
      <c r="O86" s="368"/>
      <c r="P86" s="370"/>
    </row>
    <row r="87" spans="2:16" ht="17" thickBot="1" x14ac:dyDescent="0.25">
      <c r="B87" s="35"/>
      <c r="C87" t="s">
        <v>805</v>
      </c>
      <c r="D87" s="580" t="s">
        <v>806</v>
      </c>
      <c r="E87" s="321"/>
      <c r="F87" s="337"/>
      <c r="G87" s="347"/>
      <c r="H87" s="581"/>
      <c r="I87" s="340"/>
      <c r="K87" s="495"/>
      <c r="L87" s="285"/>
      <c r="M87" s="579"/>
      <c r="N87"/>
      <c r="O87" s="373" t="s">
        <v>922</v>
      </c>
      <c r="P87" s="370"/>
    </row>
    <row r="88" spans="2:16" x14ac:dyDescent="0.2">
      <c r="B88" s="35"/>
      <c r="C88"/>
      <c r="D88" s="580"/>
      <c r="E88" s="562"/>
      <c r="F88" s="337"/>
      <c r="G88" s="347"/>
      <c r="H88" s="581"/>
      <c r="I88" s="592"/>
      <c r="K88" s="495"/>
      <c r="L88" s="285"/>
      <c r="M88" s="500"/>
      <c r="N88" s="67"/>
      <c r="O88" s="373"/>
      <c r="P88" s="370"/>
    </row>
    <row r="89" spans="2:16" ht="17" thickBot="1" x14ac:dyDescent="0.25">
      <c r="B89" s="35"/>
      <c r="C89" t="s">
        <v>856</v>
      </c>
      <c r="D89" s="580"/>
      <c r="E89" s="562"/>
      <c r="F89" s="337"/>
      <c r="G89" s="347"/>
      <c r="H89" s="581"/>
      <c r="I89" s="581"/>
      <c r="K89" s="285"/>
      <c r="L89" s="285"/>
      <c r="M89" s="500"/>
      <c r="N89" s="67"/>
      <c r="O89" s="373"/>
      <c r="P89" s="7"/>
    </row>
    <row r="90" spans="2:16" ht="17" thickBot="1" x14ac:dyDescent="0.25">
      <c r="B90" s="35"/>
      <c r="C90" s="587" t="s">
        <v>835</v>
      </c>
      <c r="D90" s="580" t="s">
        <v>806</v>
      </c>
      <c r="E90" s="561"/>
      <c r="F90" s="337"/>
      <c r="G90" s="347"/>
      <c r="H90" s="581"/>
      <c r="I90" s="340"/>
      <c r="K90" s="495"/>
      <c r="L90" s="285"/>
      <c r="M90" s="500"/>
      <c r="N90" s="67"/>
      <c r="O90" s="523" t="s">
        <v>807</v>
      </c>
      <c r="P90" s="370"/>
    </row>
    <row r="91" spans="2:16" ht="17" thickBot="1" x14ac:dyDescent="0.25">
      <c r="B91" s="35"/>
      <c r="C91" s="587" t="s">
        <v>836</v>
      </c>
      <c r="D91" s="580" t="s">
        <v>806</v>
      </c>
      <c r="E91" s="561"/>
      <c r="F91" s="337"/>
      <c r="G91" s="347"/>
      <c r="H91" s="581"/>
      <c r="I91" s="342"/>
      <c r="K91" s="285"/>
      <c r="L91" s="285"/>
      <c r="M91" s="500"/>
      <c r="N91" s="67"/>
      <c r="O91" s="523" t="s">
        <v>808</v>
      </c>
      <c r="P91" s="7"/>
    </row>
    <row r="92" spans="2:16" ht="17" thickBot="1" x14ac:dyDescent="0.25">
      <c r="B92" s="35"/>
      <c r="C92" s="587" t="s">
        <v>837</v>
      </c>
      <c r="D92" s="580" t="s">
        <v>806</v>
      </c>
      <c r="E92" s="561"/>
      <c r="F92" s="337"/>
      <c r="G92" s="347"/>
      <c r="H92" s="581"/>
      <c r="I92" s="342"/>
      <c r="K92" s="285"/>
      <c r="L92" s="285"/>
      <c r="M92" s="500"/>
      <c r="N92" s="67"/>
      <c r="O92" s="523" t="s">
        <v>809</v>
      </c>
      <c r="P92" s="7"/>
    </row>
    <row r="93" spans="2:16" ht="17" thickBot="1" x14ac:dyDescent="0.25">
      <c r="B93" s="35"/>
      <c r="C93" s="587" t="s">
        <v>838</v>
      </c>
      <c r="D93" s="580" t="s">
        <v>806</v>
      </c>
      <c r="E93" s="561"/>
      <c r="F93" s="337"/>
      <c r="G93" s="347"/>
      <c r="H93" s="581"/>
      <c r="I93" s="342"/>
      <c r="K93" s="285"/>
      <c r="L93" s="285"/>
      <c r="M93" s="500"/>
      <c r="N93" s="67"/>
      <c r="O93" s="523" t="s">
        <v>810</v>
      </c>
      <c r="P93" s="7"/>
    </row>
    <row r="94" spans="2:16" ht="17" thickBot="1" x14ac:dyDescent="0.25">
      <c r="B94" s="35"/>
      <c r="C94" s="587" t="s">
        <v>839</v>
      </c>
      <c r="D94" s="580" t="s">
        <v>806</v>
      </c>
      <c r="E94" s="561"/>
      <c r="F94" s="337"/>
      <c r="G94" s="347"/>
      <c r="H94" s="581"/>
      <c r="I94" s="342"/>
      <c r="K94" s="285"/>
      <c r="L94" s="285"/>
      <c r="M94" s="500"/>
      <c r="N94" s="67"/>
      <c r="O94" s="523" t="s">
        <v>811</v>
      </c>
      <c r="P94" s="7"/>
    </row>
    <row r="95" spans="2:16" ht="17" thickBot="1" x14ac:dyDescent="0.25">
      <c r="B95" s="35"/>
      <c r="C95" s="587" t="s">
        <v>840</v>
      </c>
      <c r="D95" s="580" t="s">
        <v>806</v>
      </c>
      <c r="E95" s="561"/>
      <c r="F95" s="337"/>
      <c r="G95" s="347"/>
      <c r="H95" s="581"/>
      <c r="I95" s="342"/>
      <c r="K95" s="285"/>
      <c r="L95" s="285"/>
      <c r="M95" s="500"/>
      <c r="N95" s="67"/>
      <c r="O95" s="523" t="s">
        <v>812</v>
      </c>
      <c r="P95" s="370"/>
    </row>
    <row r="96" spans="2:16" ht="17" thickBot="1" x14ac:dyDescent="0.25">
      <c r="B96" s="35"/>
      <c r="C96" s="587" t="s">
        <v>841</v>
      </c>
      <c r="D96" s="580" t="s">
        <v>806</v>
      </c>
      <c r="E96" s="561"/>
      <c r="F96" s="337"/>
      <c r="G96" s="347"/>
      <c r="H96" s="581"/>
      <c r="I96" s="342"/>
      <c r="K96" s="285"/>
      <c r="L96" s="285"/>
      <c r="M96" s="500"/>
      <c r="N96" s="67"/>
      <c r="O96" s="523" t="s">
        <v>813</v>
      </c>
      <c r="P96" s="7"/>
    </row>
    <row r="97" spans="2:16" ht="17" thickBot="1" x14ac:dyDescent="0.25">
      <c r="B97" s="35"/>
      <c r="C97" s="587" t="s">
        <v>842</v>
      </c>
      <c r="D97" s="580" t="s">
        <v>806</v>
      </c>
      <c r="E97" s="561"/>
      <c r="F97" s="337"/>
      <c r="G97" s="347"/>
      <c r="H97" s="581"/>
      <c r="I97" s="342"/>
      <c r="K97" s="285"/>
      <c r="L97" s="285"/>
      <c r="M97" s="500"/>
      <c r="N97" s="67"/>
      <c r="O97" s="523" t="s">
        <v>814</v>
      </c>
      <c r="P97" s="7"/>
    </row>
    <row r="98" spans="2:16" ht="17" thickBot="1" x14ac:dyDescent="0.25">
      <c r="B98" s="35"/>
      <c r="C98" s="587" t="s">
        <v>843</v>
      </c>
      <c r="D98" s="580" t="s">
        <v>806</v>
      </c>
      <c r="E98" s="561"/>
      <c r="F98" s="337"/>
      <c r="G98" s="347"/>
      <c r="H98" s="581"/>
      <c r="I98" s="342"/>
      <c r="K98" s="285"/>
      <c r="L98" s="285"/>
      <c r="M98" s="500"/>
      <c r="N98" s="67"/>
      <c r="O98" s="523" t="s">
        <v>815</v>
      </c>
      <c r="P98" s="7"/>
    </row>
    <row r="99" spans="2:16" ht="17" thickBot="1" x14ac:dyDescent="0.25">
      <c r="B99" s="35"/>
      <c r="C99" s="587" t="s">
        <v>844</v>
      </c>
      <c r="D99" s="580" t="s">
        <v>806</v>
      </c>
      <c r="E99" s="561"/>
      <c r="F99" s="337"/>
      <c r="G99" s="347"/>
      <c r="H99" s="581"/>
      <c r="I99" s="342"/>
      <c r="K99" s="285"/>
      <c r="L99" s="285"/>
      <c r="M99" s="500"/>
      <c r="N99" s="67"/>
      <c r="O99" s="523" t="s">
        <v>816</v>
      </c>
      <c r="P99" s="7"/>
    </row>
    <row r="100" spans="2:16" ht="17" thickBot="1" x14ac:dyDescent="0.25">
      <c r="B100" s="35"/>
      <c r="C100" s="587" t="s">
        <v>845</v>
      </c>
      <c r="D100" s="580" t="s">
        <v>806</v>
      </c>
      <c r="E100" s="561"/>
      <c r="F100" s="337"/>
      <c r="G100" s="347"/>
      <c r="H100" s="581"/>
      <c r="I100" s="342"/>
      <c r="K100" s="285"/>
      <c r="L100" s="285"/>
      <c r="M100" s="500"/>
      <c r="N100" s="67"/>
      <c r="O100" s="523" t="s">
        <v>817</v>
      </c>
      <c r="P100" s="370"/>
    </row>
    <row r="101" spans="2:16" ht="17" thickBot="1" x14ac:dyDescent="0.25">
      <c r="B101" s="35"/>
      <c r="C101" s="587" t="s">
        <v>846</v>
      </c>
      <c r="D101" s="580" t="s">
        <v>806</v>
      </c>
      <c r="E101" s="561"/>
      <c r="F101" s="337"/>
      <c r="G101" s="347"/>
      <c r="H101" s="581"/>
      <c r="I101" s="342"/>
      <c r="K101" s="285"/>
      <c r="L101" s="285"/>
      <c r="M101" s="500"/>
      <c r="N101" s="67"/>
      <c r="O101" s="523" t="s">
        <v>818</v>
      </c>
      <c r="P101" s="7"/>
    </row>
    <row r="102" spans="2:16" ht="17" thickBot="1" x14ac:dyDescent="0.25">
      <c r="B102" s="35"/>
      <c r="C102" s="587" t="s">
        <v>847</v>
      </c>
      <c r="D102" s="580" t="s">
        <v>806</v>
      </c>
      <c r="E102" s="561"/>
      <c r="F102" s="337"/>
      <c r="G102" s="347"/>
      <c r="H102" s="581"/>
      <c r="I102" s="342"/>
      <c r="K102" s="285"/>
      <c r="L102" s="285"/>
      <c r="M102" s="500"/>
      <c r="N102" s="67"/>
      <c r="O102" s="523" t="s">
        <v>819</v>
      </c>
      <c r="P102" s="7"/>
    </row>
    <row r="103" spans="2:16" ht="17" thickBot="1" x14ac:dyDescent="0.25">
      <c r="B103" s="35"/>
      <c r="C103" s="587" t="s">
        <v>848</v>
      </c>
      <c r="D103" s="580" t="s">
        <v>806</v>
      </c>
      <c r="E103" s="561"/>
      <c r="F103" s="337"/>
      <c r="G103" s="347"/>
      <c r="H103" s="581"/>
      <c r="I103" s="342"/>
      <c r="K103" s="285"/>
      <c r="L103" s="285"/>
      <c r="M103" s="500"/>
      <c r="N103" s="67"/>
      <c r="O103" s="523" t="s">
        <v>820</v>
      </c>
      <c r="P103" s="7"/>
    </row>
    <row r="104" spans="2:16" ht="17" thickBot="1" x14ac:dyDescent="0.25">
      <c r="B104" s="35"/>
      <c r="C104" s="587" t="s">
        <v>849</v>
      </c>
      <c r="D104" s="580" t="s">
        <v>806</v>
      </c>
      <c r="E104" s="561"/>
      <c r="F104" s="337"/>
      <c r="G104" s="347"/>
      <c r="H104" s="581"/>
      <c r="I104" s="342"/>
      <c r="K104" s="285"/>
      <c r="L104" s="285"/>
      <c r="M104" s="500"/>
      <c r="N104" s="67"/>
      <c r="O104" s="523" t="s">
        <v>821</v>
      </c>
      <c r="P104" s="7"/>
    </row>
    <row r="105" spans="2:16" ht="18" customHeight="1" thickBot="1" x14ac:dyDescent="0.25">
      <c r="B105" s="35"/>
      <c r="C105" s="587" t="s">
        <v>850</v>
      </c>
      <c r="D105" s="580" t="s">
        <v>806</v>
      </c>
      <c r="E105" s="561"/>
      <c r="F105" s="337"/>
      <c r="G105" s="347"/>
      <c r="H105" s="581"/>
      <c r="I105" s="342"/>
      <c r="K105" s="285"/>
      <c r="L105" s="285"/>
      <c r="M105" s="500"/>
      <c r="N105" s="67"/>
      <c r="O105" s="523" t="s">
        <v>822</v>
      </c>
      <c r="P105" s="370"/>
    </row>
    <row r="106" spans="2:16" ht="17" thickBot="1" x14ac:dyDescent="0.25">
      <c r="B106" s="35"/>
      <c r="C106" s="587" t="s">
        <v>851</v>
      </c>
      <c r="D106" s="580" t="s">
        <v>806</v>
      </c>
      <c r="E106" s="561"/>
      <c r="F106" s="337"/>
      <c r="G106" s="347"/>
      <c r="H106" s="581"/>
      <c r="I106" s="342"/>
      <c r="K106" s="285"/>
      <c r="L106" s="285"/>
      <c r="M106" s="500"/>
      <c r="N106" s="67"/>
      <c r="O106" s="523" t="s">
        <v>823</v>
      </c>
      <c r="P106" s="7"/>
    </row>
    <row r="107" spans="2:16" ht="17" thickBot="1" x14ac:dyDescent="0.25">
      <c r="B107" s="35"/>
      <c r="C107" s="587" t="s">
        <v>852</v>
      </c>
      <c r="D107" s="580" t="s">
        <v>806</v>
      </c>
      <c r="E107" s="561"/>
      <c r="F107" s="337"/>
      <c r="G107" s="347"/>
      <c r="H107" s="581"/>
      <c r="I107" s="342"/>
      <c r="K107" s="285"/>
      <c r="L107" s="285"/>
      <c r="M107" s="500"/>
      <c r="N107" s="67"/>
      <c r="O107" s="523" t="s">
        <v>824</v>
      </c>
      <c r="P107" s="7"/>
    </row>
    <row r="108" spans="2:16" ht="17" thickBot="1" x14ac:dyDescent="0.25">
      <c r="B108" s="35"/>
      <c r="C108" s="587" t="s">
        <v>853</v>
      </c>
      <c r="D108" s="580" t="s">
        <v>806</v>
      </c>
      <c r="E108" s="561"/>
      <c r="F108" s="337"/>
      <c r="G108" s="347"/>
      <c r="H108" s="581"/>
      <c r="I108" s="342"/>
      <c r="K108" s="285"/>
      <c r="L108" s="285"/>
      <c r="M108" s="500"/>
      <c r="N108" s="67"/>
      <c r="O108" s="523" t="s">
        <v>825</v>
      </c>
      <c r="P108" s="7"/>
    </row>
    <row r="109" spans="2:16" ht="17" thickBot="1" x14ac:dyDescent="0.25">
      <c r="B109" s="35"/>
      <c r="C109" s="587" t="s">
        <v>854</v>
      </c>
      <c r="D109" s="580" t="s">
        <v>806</v>
      </c>
      <c r="E109" s="561"/>
      <c r="F109" s="337"/>
      <c r="G109" s="347"/>
      <c r="H109" s="581"/>
      <c r="I109" s="342"/>
      <c r="K109" s="285"/>
      <c r="L109" s="285"/>
      <c r="M109" s="500"/>
      <c r="N109" s="67"/>
      <c r="O109" s="523" t="s">
        <v>826</v>
      </c>
      <c r="P109" s="7"/>
    </row>
    <row r="110" spans="2:16" x14ac:dyDescent="0.2">
      <c r="B110" s="35"/>
      <c r="C110"/>
      <c r="D110" s="580"/>
      <c r="E110" s="337"/>
      <c r="F110" s="337"/>
      <c r="G110" s="347"/>
      <c r="H110" s="581"/>
      <c r="I110" s="581"/>
      <c r="K110" s="290"/>
      <c r="L110" s="290"/>
      <c r="M110" s="286"/>
      <c r="N110" s="67"/>
      <c r="O110" s="368"/>
      <c r="P110" s="370">
        <f>IF(L111=TRUE,1,0)</f>
        <v>0</v>
      </c>
    </row>
    <row r="111" spans="2:16" ht="17" x14ac:dyDescent="0.2">
      <c r="B111" s="521" t="s">
        <v>833</v>
      </c>
      <c r="C111" s="4"/>
      <c r="D111" s="205"/>
      <c r="E111" s="590"/>
      <c r="F111" s="590"/>
      <c r="G111" s="577"/>
      <c r="H111" s="591"/>
      <c r="I111" s="591"/>
      <c r="J111" s="4"/>
      <c r="K111" s="495" t="s">
        <v>190</v>
      </c>
      <c r="L111" s="499">
        <f>IF(SUM(E113:E132)=1,TRUE,SUM(E113:E132))</f>
        <v>0</v>
      </c>
      <c r="M111" s="575" t="str">
        <f>IF(L111=TRUE," ","Please adjust the percentages on the left. ")</f>
        <v xml:space="preserve">Please adjust the percentages on the left. </v>
      </c>
      <c r="N111" s="67"/>
      <c r="O111" s="368"/>
      <c r="P111" s="370"/>
    </row>
    <row r="112" spans="2:16" ht="17" thickBot="1" x14ac:dyDescent="0.25">
      <c r="B112" s="35"/>
      <c r="C112" t="s">
        <v>855</v>
      </c>
      <c r="D112" s="580"/>
      <c r="E112" s="562"/>
      <c r="F112" s="337"/>
      <c r="G112" s="347"/>
      <c r="H112" s="581"/>
      <c r="I112" s="581"/>
      <c r="K112" s="285"/>
      <c r="L112" s="285"/>
      <c r="M112" s="500"/>
      <c r="N112" s="67"/>
      <c r="O112" s="373"/>
      <c r="P112" s="7"/>
    </row>
    <row r="113" spans="2:16" ht="17" thickBot="1" x14ac:dyDescent="0.25">
      <c r="B113" s="35"/>
      <c r="C113" s="587" t="s">
        <v>835</v>
      </c>
      <c r="D113" s="580" t="s">
        <v>834</v>
      </c>
      <c r="E113" s="323"/>
      <c r="F113" s="337"/>
      <c r="G113" s="347"/>
      <c r="H113" s="581"/>
      <c r="I113" s="340"/>
      <c r="K113" s="495"/>
      <c r="L113" s="285"/>
      <c r="M113" s="500"/>
      <c r="N113" s="67"/>
      <c r="O113" s="523" t="s">
        <v>857</v>
      </c>
      <c r="P113" s="370"/>
    </row>
    <row r="114" spans="2:16" ht="17" thickBot="1" x14ac:dyDescent="0.25">
      <c r="B114" s="35"/>
      <c r="C114" s="587" t="s">
        <v>836</v>
      </c>
      <c r="D114" s="580" t="s">
        <v>834</v>
      </c>
      <c r="E114" s="323"/>
      <c r="F114" s="337"/>
      <c r="G114" s="347"/>
      <c r="H114" s="581"/>
      <c r="I114" s="342"/>
      <c r="K114" s="285"/>
      <c r="L114" s="285"/>
      <c r="M114" s="500"/>
      <c r="N114" s="67"/>
      <c r="O114" s="523" t="s">
        <v>858</v>
      </c>
      <c r="P114" s="7"/>
    </row>
    <row r="115" spans="2:16" ht="17" thickBot="1" x14ac:dyDescent="0.25">
      <c r="B115" s="35"/>
      <c r="C115" s="587" t="s">
        <v>837</v>
      </c>
      <c r="D115" s="580" t="s">
        <v>834</v>
      </c>
      <c r="E115" s="323"/>
      <c r="F115" s="337"/>
      <c r="G115" s="347"/>
      <c r="H115" s="581"/>
      <c r="I115" s="342"/>
      <c r="K115" s="285"/>
      <c r="L115" s="285"/>
      <c r="M115" s="500"/>
      <c r="N115" s="67"/>
      <c r="O115" s="523" t="s">
        <v>859</v>
      </c>
      <c r="P115" s="7"/>
    </row>
    <row r="116" spans="2:16" ht="17" thickBot="1" x14ac:dyDescent="0.25">
      <c r="B116" s="35"/>
      <c r="C116" s="587" t="s">
        <v>838</v>
      </c>
      <c r="D116" s="580" t="s">
        <v>834</v>
      </c>
      <c r="E116" s="323"/>
      <c r="F116" s="337"/>
      <c r="G116" s="347"/>
      <c r="H116" s="581"/>
      <c r="I116" s="342"/>
      <c r="K116" s="285"/>
      <c r="L116" s="285"/>
      <c r="M116" s="500"/>
      <c r="N116" s="67"/>
      <c r="O116" s="523" t="s">
        <v>860</v>
      </c>
      <c r="P116" s="7"/>
    </row>
    <row r="117" spans="2:16" ht="17" thickBot="1" x14ac:dyDescent="0.25">
      <c r="B117" s="35"/>
      <c r="C117" s="587" t="s">
        <v>839</v>
      </c>
      <c r="D117" s="580" t="s">
        <v>834</v>
      </c>
      <c r="E117" s="323"/>
      <c r="F117" s="337"/>
      <c r="G117" s="347"/>
      <c r="H117" s="581"/>
      <c r="I117" s="342"/>
      <c r="K117" s="285"/>
      <c r="L117" s="285"/>
      <c r="M117" s="500"/>
      <c r="N117" s="67"/>
      <c r="O117" s="523" t="s">
        <v>861</v>
      </c>
      <c r="P117" s="7"/>
    </row>
    <row r="118" spans="2:16" ht="17" thickBot="1" x14ac:dyDescent="0.25">
      <c r="B118" s="35"/>
      <c r="C118" s="587" t="s">
        <v>840</v>
      </c>
      <c r="D118" s="580" t="s">
        <v>834</v>
      </c>
      <c r="E118" s="323"/>
      <c r="F118" s="337"/>
      <c r="G118" s="347"/>
      <c r="H118" s="581"/>
      <c r="I118" s="342"/>
      <c r="K118" s="285"/>
      <c r="L118" s="285"/>
      <c r="M118" s="500"/>
      <c r="N118" s="67"/>
      <c r="O118" s="523" t="s">
        <v>862</v>
      </c>
      <c r="P118" s="7"/>
    </row>
    <row r="119" spans="2:16" ht="17" thickBot="1" x14ac:dyDescent="0.25">
      <c r="B119" s="35"/>
      <c r="C119" s="587" t="s">
        <v>841</v>
      </c>
      <c r="D119" s="580" t="s">
        <v>834</v>
      </c>
      <c r="E119" s="323"/>
      <c r="F119" s="337"/>
      <c r="G119" s="347"/>
      <c r="H119" s="581"/>
      <c r="I119" s="342"/>
      <c r="K119" s="285"/>
      <c r="L119" s="285"/>
      <c r="M119" s="500"/>
      <c r="N119" s="67"/>
      <c r="O119" s="523" t="s">
        <v>863</v>
      </c>
      <c r="P119" s="370"/>
    </row>
    <row r="120" spans="2:16" ht="17" thickBot="1" x14ac:dyDescent="0.25">
      <c r="B120" s="35"/>
      <c r="C120" s="587" t="s">
        <v>842</v>
      </c>
      <c r="D120" s="580" t="s">
        <v>834</v>
      </c>
      <c r="E120" s="323"/>
      <c r="F120" s="337"/>
      <c r="G120" s="347"/>
      <c r="H120" s="581"/>
      <c r="I120" s="342"/>
      <c r="K120" s="285"/>
      <c r="L120" s="285"/>
      <c r="M120" s="500"/>
      <c r="N120" s="67"/>
      <c r="O120" s="523" t="s">
        <v>864</v>
      </c>
      <c r="P120" s="7"/>
    </row>
    <row r="121" spans="2:16" ht="17" thickBot="1" x14ac:dyDescent="0.25">
      <c r="B121" s="35"/>
      <c r="C121" s="587" t="s">
        <v>843</v>
      </c>
      <c r="D121" s="580" t="s">
        <v>834</v>
      </c>
      <c r="E121" s="323"/>
      <c r="F121" s="337"/>
      <c r="G121" s="347"/>
      <c r="H121" s="581"/>
      <c r="I121" s="342"/>
      <c r="K121" s="285"/>
      <c r="L121" s="285"/>
      <c r="M121" s="500"/>
      <c r="N121" s="67"/>
      <c r="O121" s="523" t="s">
        <v>865</v>
      </c>
      <c r="P121" s="7"/>
    </row>
    <row r="122" spans="2:16" ht="17" thickBot="1" x14ac:dyDescent="0.25">
      <c r="B122" s="35"/>
      <c r="C122" s="587" t="s">
        <v>844</v>
      </c>
      <c r="D122" s="580" t="s">
        <v>834</v>
      </c>
      <c r="E122" s="323"/>
      <c r="F122" s="337"/>
      <c r="G122" s="347"/>
      <c r="H122" s="581"/>
      <c r="I122" s="342"/>
      <c r="K122" s="285"/>
      <c r="L122" s="285"/>
      <c r="M122" s="500"/>
      <c r="N122" s="67"/>
      <c r="O122" s="523" t="s">
        <v>866</v>
      </c>
      <c r="P122" s="7"/>
    </row>
    <row r="123" spans="2:16" ht="17" thickBot="1" x14ac:dyDescent="0.25">
      <c r="B123" s="35"/>
      <c r="C123" s="587" t="s">
        <v>845</v>
      </c>
      <c r="D123" s="580" t="s">
        <v>834</v>
      </c>
      <c r="E123" s="323"/>
      <c r="F123" s="337"/>
      <c r="G123" s="347"/>
      <c r="H123" s="581"/>
      <c r="I123" s="342"/>
      <c r="K123" s="285"/>
      <c r="L123" s="285"/>
      <c r="M123" s="500"/>
      <c r="N123" s="67"/>
      <c r="O123" s="523" t="s">
        <v>867</v>
      </c>
      <c r="P123" s="7"/>
    </row>
    <row r="124" spans="2:16" ht="17" thickBot="1" x14ac:dyDescent="0.25">
      <c r="B124" s="35"/>
      <c r="C124" s="587" t="s">
        <v>846</v>
      </c>
      <c r="D124" s="580" t="s">
        <v>834</v>
      </c>
      <c r="E124" s="323"/>
      <c r="F124" s="337"/>
      <c r="G124" s="347"/>
      <c r="H124" s="581"/>
      <c r="I124" s="342"/>
      <c r="K124" s="285"/>
      <c r="L124" s="285"/>
      <c r="M124" s="500"/>
      <c r="N124" s="67"/>
      <c r="O124" s="523" t="s">
        <v>868</v>
      </c>
      <c r="P124" s="7"/>
    </row>
    <row r="125" spans="2:16" ht="17" thickBot="1" x14ac:dyDescent="0.25">
      <c r="B125" s="35"/>
      <c r="C125" s="587" t="s">
        <v>847</v>
      </c>
      <c r="D125" s="580" t="s">
        <v>834</v>
      </c>
      <c r="E125" s="323"/>
      <c r="F125" s="337"/>
      <c r="G125" s="347"/>
      <c r="H125" s="581"/>
      <c r="I125" s="342"/>
      <c r="K125" s="285"/>
      <c r="L125" s="285"/>
      <c r="M125" s="500"/>
      <c r="N125" s="67"/>
      <c r="O125" s="523" t="s">
        <v>869</v>
      </c>
      <c r="P125" s="370"/>
    </row>
    <row r="126" spans="2:16" ht="17" thickBot="1" x14ac:dyDescent="0.25">
      <c r="B126" s="35"/>
      <c r="C126" s="587" t="s">
        <v>848</v>
      </c>
      <c r="D126" s="580" t="s">
        <v>834</v>
      </c>
      <c r="E126" s="323"/>
      <c r="F126" s="337"/>
      <c r="G126" s="347"/>
      <c r="H126" s="581"/>
      <c r="I126" s="342"/>
      <c r="K126" s="285"/>
      <c r="L126" s="285"/>
      <c r="M126" s="500"/>
      <c r="N126" s="67"/>
      <c r="O126" s="523" t="s">
        <v>870</v>
      </c>
      <c r="P126" s="7"/>
    </row>
    <row r="127" spans="2:16" ht="17" thickBot="1" x14ac:dyDescent="0.25">
      <c r="B127" s="35"/>
      <c r="C127" s="587" t="s">
        <v>849</v>
      </c>
      <c r="D127" s="580" t="s">
        <v>834</v>
      </c>
      <c r="E127" s="323"/>
      <c r="F127" s="337"/>
      <c r="G127" s="347"/>
      <c r="H127" s="581"/>
      <c r="I127" s="342"/>
      <c r="K127" s="285"/>
      <c r="L127" s="285"/>
      <c r="M127" s="500"/>
      <c r="N127" s="67"/>
      <c r="O127" s="523" t="s">
        <v>871</v>
      </c>
      <c r="P127" s="7"/>
    </row>
    <row r="128" spans="2:16" ht="17" thickBot="1" x14ac:dyDescent="0.25">
      <c r="B128" s="35"/>
      <c r="C128" s="587" t="s">
        <v>850</v>
      </c>
      <c r="D128" s="580" t="s">
        <v>834</v>
      </c>
      <c r="E128" s="323"/>
      <c r="F128" s="337"/>
      <c r="G128" s="347"/>
      <c r="H128" s="581"/>
      <c r="I128" s="342"/>
      <c r="K128" s="285"/>
      <c r="L128" s="285"/>
      <c r="M128" s="500"/>
      <c r="N128" s="67"/>
      <c r="O128" s="523" t="s">
        <v>872</v>
      </c>
      <c r="P128" s="7"/>
    </row>
    <row r="129" spans="2:16" ht="17" thickBot="1" x14ac:dyDescent="0.25">
      <c r="B129" s="35"/>
      <c r="C129" s="587" t="s">
        <v>851</v>
      </c>
      <c r="D129" s="580" t="s">
        <v>834</v>
      </c>
      <c r="E129" s="323"/>
      <c r="F129" s="337"/>
      <c r="G129" s="347"/>
      <c r="H129" s="581"/>
      <c r="I129" s="342"/>
      <c r="K129" s="285"/>
      <c r="L129" s="285"/>
      <c r="M129" s="500"/>
      <c r="N129" s="67"/>
      <c r="O129" s="523" t="s">
        <v>873</v>
      </c>
      <c r="P129" s="7"/>
    </row>
    <row r="130" spans="2:16" ht="17" thickBot="1" x14ac:dyDescent="0.25">
      <c r="B130" s="35"/>
      <c r="C130" s="587" t="s">
        <v>852</v>
      </c>
      <c r="D130" s="580" t="s">
        <v>834</v>
      </c>
      <c r="E130" s="323"/>
      <c r="F130" s="337"/>
      <c r="G130" s="347"/>
      <c r="H130" s="581"/>
      <c r="I130" s="342"/>
      <c r="K130" s="285"/>
      <c r="L130" s="285"/>
      <c r="M130" s="500"/>
      <c r="N130" s="67"/>
      <c r="O130" s="523" t="s">
        <v>874</v>
      </c>
      <c r="P130" s="7"/>
    </row>
    <row r="131" spans="2:16" ht="17" thickBot="1" x14ac:dyDescent="0.25">
      <c r="B131" s="35"/>
      <c r="C131" s="587" t="s">
        <v>853</v>
      </c>
      <c r="D131" s="580" t="s">
        <v>834</v>
      </c>
      <c r="E131" s="323"/>
      <c r="F131" s="337"/>
      <c r="G131" s="347"/>
      <c r="H131" s="581"/>
      <c r="I131" s="342"/>
      <c r="K131" s="285"/>
      <c r="L131" s="285"/>
      <c r="M131" s="500"/>
      <c r="N131" s="67"/>
      <c r="O131" s="523" t="s">
        <v>875</v>
      </c>
      <c r="P131" s="370"/>
    </row>
    <row r="132" spans="2:16" ht="17" thickBot="1" x14ac:dyDescent="0.25">
      <c r="B132" s="35"/>
      <c r="C132" s="587" t="s">
        <v>854</v>
      </c>
      <c r="D132" s="580" t="s">
        <v>834</v>
      </c>
      <c r="E132" s="323"/>
      <c r="F132" s="337"/>
      <c r="G132" s="347"/>
      <c r="H132" s="581"/>
      <c r="I132" s="342"/>
      <c r="K132" s="285"/>
      <c r="L132" s="285"/>
      <c r="M132" s="500"/>
      <c r="N132" s="67"/>
      <c r="O132" s="523" t="s">
        <v>876</v>
      </c>
      <c r="P132" s="7"/>
    </row>
    <row r="133" spans="2:16" ht="17" thickBot="1" x14ac:dyDescent="0.25">
      <c r="B133" s="44"/>
      <c r="C133" s="69"/>
      <c r="D133" s="207"/>
      <c r="E133" s="214"/>
      <c r="F133" s="214"/>
      <c r="G133" s="350"/>
      <c r="H133" s="338"/>
      <c r="I133" s="338"/>
      <c r="J133" s="69"/>
      <c r="K133" s="471"/>
      <c r="L133" s="471"/>
      <c r="M133" s="70"/>
      <c r="O133" s="18"/>
      <c r="P133" s="10"/>
    </row>
    <row r="134" spans="2:16" x14ac:dyDescent="0.2">
      <c r="G134" s="345"/>
      <c r="H134" s="135"/>
    </row>
    <row r="135" spans="2:16" x14ac:dyDescent="0.2">
      <c r="G135" s="351"/>
    </row>
    <row r="136" spans="2:16" x14ac:dyDescent="0.2">
      <c r="G136" s="351"/>
    </row>
    <row r="137" spans="2:16" x14ac:dyDescent="0.2">
      <c r="G137" s="352"/>
      <c r="H137" s="148"/>
      <c r="I137" s="148"/>
      <c r="J137" s="148"/>
      <c r="K137" s="148"/>
    </row>
    <row r="138" spans="2:16" x14ac:dyDescent="0.2">
      <c r="G138" s="352"/>
      <c r="H138" s="148"/>
      <c r="I138" s="148"/>
      <c r="J138" s="148"/>
      <c r="K138" s="148"/>
    </row>
    <row r="139" spans="2:16" x14ac:dyDescent="0.2">
      <c r="G139" s="352"/>
      <c r="H139" s="148"/>
      <c r="I139" s="148"/>
      <c r="J139" s="148"/>
      <c r="K139" s="148"/>
    </row>
    <row r="140" spans="2:16" x14ac:dyDescent="0.2">
      <c r="G140" s="352"/>
      <c r="H140" s="148"/>
      <c r="I140" s="148"/>
      <c r="J140" s="148"/>
      <c r="K140" s="148"/>
    </row>
    <row r="141" spans="2:16" x14ac:dyDescent="0.2">
      <c r="G141" s="352"/>
      <c r="H141" s="148"/>
      <c r="I141" s="148"/>
      <c r="J141" s="148"/>
      <c r="K141" s="148"/>
    </row>
    <row r="142" spans="2:16" x14ac:dyDescent="0.2">
      <c r="G142" s="352"/>
      <c r="H142" s="148"/>
      <c r="I142" s="148"/>
      <c r="J142" s="148"/>
      <c r="K142" s="148"/>
    </row>
    <row r="143" spans="2:16" x14ac:dyDescent="0.2">
      <c r="G143" s="352"/>
      <c r="H143" s="148"/>
      <c r="I143" s="148"/>
      <c r="J143" s="148"/>
      <c r="K143" s="148"/>
    </row>
  </sheetData>
  <mergeCells count="2">
    <mergeCell ref="B5:E5"/>
    <mergeCell ref="K17:K18"/>
  </mergeCells>
  <conditionalFormatting sqref="L10">
    <cfRule type="cellIs" dxfId="17" priority="17" operator="equal">
      <formula>TRUE</formula>
    </cfRule>
  </conditionalFormatting>
  <conditionalFormatting sqref="L12">
    <cfRule type="cellIs" dxfId="16" priority="16" operator="equal">
      <formula>TRUE</formula>
    </cfRule>
  </conditionalFormatting>
  <conditionalFormatting sqref="L19:L25">
    <cfRule type="cellIs" dxfId="15" priority="32" operator="between">
      <formula>-0.03</formula>
      <formula>0.03</formula>
    </cfRule>
  </conditionalFormatting>
  <conditionalFormatting sqref="L27">
    <cfRule type="cellIs" dxfId="14" priority="5" operator="equal">
      <formula>TRUE</formula>
    </cfRule>
  </conditionalFormatting>
  <conditionalFormatting sqref="L29">
    <cfRule type="cellIs" dxfId="13" priority="14" operator="equal">
      <formula>TRUE</formula>
    </cfRule>
  </conditionalFormatting>
  <conditionalFormatting sqref="L42">
    <cfRule type="cellIs" dxfId="12" priority="15" operator="equal">
      <formula>TRUE</formula>
    </cfRule>
  </conditionalFormatting>
  <conditionalFormatting sqref="L55">
    <cfRule type="cellIs" dxfId="11" priority="13" operator="equal">
      <formula>TRUE</formula>
    </cfRule>
  </conditionalFormatting>
  <conditionalFormatting sqref="L61">
    <cfRule type="cellIs" dxfId="10" priority="12" operator="equal">
      <formula>TRUE</formula>
    </cfRule>
  </conditionalFormatting>
  <conditionalFormatting sqref="L67">
    <cfRule type="cellIs" dxfId="9" priority="7" operator="equal">
      <formula>TRUE</formula>
    </cfRule>
  </conditionalFormatting>
  <conditionalFormatting sqref="L75">
    <cfRule type="cellIs" dxfId="8" priority="6" operator="equal">
      <formula>TRUE</formula>
    </cfRule>
  </conditionalFormatting>
  <conditionalFormatting sqref="L86">
    <cfRule type="cellIs" dxfId="7" priority="1" operator="equal">
      <formula>TRUE</formula>
    </cfRule>
  </conditionalFormatting>
  <conditionalFormatting sqref="L111">
    <cfRule type="cellIs" dxfId="6" priority="2" operator="equal">
      <formula>TRUE</formula>
    </cfRule>
  </conditionalFormatting>
  <dataValidations count="2">
    <dataValidation type="decimal" operator="greaterThanOrEqual" allowBlank="1" showInputMessage="1" showErrorMessage="1" errorTitle="Number Range" error="You may only enter positive numbers here. " sqref="E20:E25" xr:uid="{00000000-0002-0000-0600-000000000000}">
      <formula1>0</formula1>
    </dataValidation>
    <dataValidation type="decimal" operator="greaterThanOrEqual" showInputMessage="1" showErrorMessage="1" errorTitle="Number Range" error="You may only add positive numbers. _x000d_" sqref="I87:I88 E31:E132" xr:uid="{00000000-0002-0000-0600-000001000000}">
      <formula1>0</formula1>
    </dataValidation>
  </dataValidations>
  <pageMargins left="0.75" right="0.75" top="1" bottom="1" header="0.5" footer="0.5"/>
  <pageSetup paperSize="9" orientation="portrait" horizontalDpi="4294967292" verticalDpi="4294967292"/>
  <drawing r:id="rId1"/>
  <legacyDrawing r:id="rId2"/>
  <mc:AlternateContent xmlns:mc="http://schemas.openxmlformats.org/markup-compatibility/2006">
    <mc:Choice Requires="x14">
      <controls>
        <mc:AlternateContent xmlns:mc="http://schemas.openxmlformats.org/markup-compatibility/2006">
          <mc:Choice Requires="x14">
            <control shapeId="3073" r:id="rId3" name="import_data">
              <controlPr defaultSize="0" print="0" autoFill="0" autoPict="0" macro="[1]!import_data_button">
                <anchor moveWithCells="1" sizeWithCells="1">
                  <from>
                    <xdr:col>8</xdr:col>
                    <xdr:colOff>101600</xdr:colOff>
                    <xdr:row>2</xdr:row>
                    <xdr:rowOff>38100</xdr:rowOff>
                  </from>
                  <to>
                    <xdr:col>10</xdr:col>
                    <xdr:colOff>3771900</xdr:colOff>
                    <xdr:row>3</xdr:row>
                    <xdr:rowOff>63500</xdr:rowOff>
                  </to>
                </anchor>
              </controlPr>
            </control>
          </mc:Choice>
        </mc:AlternateContent>
        <mc:AlternateContent xmlns:mc="http://schemas.openxmlformats.org/markup-compatibility/2006">
          <mc:Choice Requires="x14">
            <control shapeId="3074" r:id="rId4" name="export_data">
              <controlPr defaultSize="0" print="0" autoFill="0" autoPict="0" macro="[1]!export_data_button">
                <anchor moveWithCells="1" sizeWithCells="1">
                  <from>
                    <xdr:col>8</xdr:col>
                    <xdr:colOff>139700</xdr:colOff>
                    <xdr:row>4</xdr:row>
                    <xdr:rowOff>279400</xdr:rowOff>
                  </from>
                  <to>
                    <xdr:col>10</xdr:col>
                    <xdr:colOff>3810000</xdr:colOff>
                    <xdr:row>4</xdr:row>
                    <xdr:rowOff>495300</xdr:rowOff>
                  </to>
                </anchor>
              </controlPr>
            </control>
          </mc:Choice>
        </mc:AlternateContent>
        <mc:AlternateContent xmlns:mc="http://schemas.openxmlformats.org/markup-compatibility/2006">
          <mc:Choice Requires="x14">
            <control shapeId="3076" r:id="rId5" name="select_dashboard">
              <controlPr defaultSize="0" print="0" autoFill="0" autoPict="0" macro="[1]!select_dashboard_values">
                <anchor moveWithCells="1" sizeWithCells="1">
                  <from>
                    <xdr:col>8</xdr:col>
                    <xdr:colOff>2273300</xdr:colOff>
                    <xdr:row>3</xdr:row>
                    <xdr:rowOff>152400</xdr:rowOff>
                  </from>
                  <to>
                    <xdr:col>10</xdr:col>
                    <xdr:colOff>3784600</xdr:colOff>
                    <xdr:row>4</xdr:row>
                    <xdr:rowOff>177800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6" tint="0.39997558519241921"/>
  </sheetPr>
  <dimension ref="B2:BO101"/>
  <sheetViews>
    <sheetView workbookViewId="0">
      <pane xSplit="2" ySplit="7" topLeftCell="AD8" activePane="bottomRight" state="frozen"/>
      <selection activeCell="Z57" sqref="Z57"/>
      <selection pane="topRight" activeCell="Z57" sqref="Z57"/>
      <selection pane="bottomLeft" activeCell="Z57" sqref="Z57"/>
      <selection pane="bottomRight" activeCell="B25" sqref="B25"/>
    </sheetView>
  </sheetViews>
  <sheetFormatPr baseColWidth="10" defaultRowHeight="16" x14ac:dyDescent="0.2"/>
  <cols>
    <col min="1" max="1" width="10.83203125" style="1"/>
    <col min="2" max="2" width="42.83203125" style="1" customWidth="1"/>
    <col min="3" max="66" width="13.6640625" style="1" customWidth="1"/>
    <col min="67" max="67" width="17.33203125" style="1" bestFit="1" customWidth="1"/>
    <col min="68" max="16384" width="10.83203125" style="1"/>
  </cols>
  <sheetData>
    <row r="2" spans="2:67" ht="21" x14ac:dyDescent="0.25">
      <c r="B2" s="2" t="s">
        <v>632</v>
      </c>
    </row>
    <row r="3" spans="2:67" ht="15" customHeight="1" x14ac:dyDescent="0.25">
      <c r="B3" s="2"/>
    </row>
    <row r="4" spans="2:67" ht="15" customHeight="1" x14ac:dyDescent="0.2">
      <c r="B4" s="64" t="s">
        <v>78</v>
      </c>
      <c r="C4" s="4"/>
      <c r="D4" s="4"/>
      <c r="E4" s="4"/>
      <c r="F4" s="4"/>
      <c r="G4" s="4"/>
      <c r="H4" s="5"/>
    </row>
    <row r="5" spans="2:67" ht="30" customHeight="1" x14ac:dyDescent="0.2">
      <c r="B5" s="600"/>
      <c r="C5" s="601"/>
      <c r="D5" s="601"/>
      <c r="E5" s="601"/>
      <c r="F5" s="601"/>
      <c r="G5" s="601"/>
      <c r="H5" s="602"/>
    </row>
    <row r="6" spans="2:67" ht="15" customHeight="1" thickBot="1" x14ac:dyDescent="0.3">
      <c r="B6" s="2"/>
    </row>
    <row r="7" spans="2:67" ht="30" customHeight="1" x14ac:dyDescent="0.2">
      <c r="B7" s="300" t="s">
        <v>102</v>
      </c>
      <c r="C7" s="301" t="s">
        <v>36</v>
      </c>
      <c r="D7" s="301" t="s">
        <v>37</v>
      </c>
      <c r="E7" s="301" t="s">
        <v>38</v>
      </c>
      <c r="F7" s="301" t="s">
        <v>39</v>
      </c>
      <c r="G7" s="301" t="s">
        <v>40</v>
      </c>
      <c r="H7" s="301" t="s">
        <v>41</v>
      </c>
      <c r="I7" s="301" t="s">
        <v>48</v>
      </c>
      <c r="J7" s="301" t="s">
        <v>43</v>
      </c>
      <c r="K7" s="301" t="s">
        <v>44</v>
      </c>
      <c r="L7" s="301" t="s">
        <v>45</v>
      </c>
      <c r="M7" s="301" t="s">
        <v>46</v>
      </c>
      <c r="N7" s="301" t="s">
        <v>47</v>
      </c>
      <c r="O7" s="301" t="s">
        <v>485</v>
      </c>
      <c r="P7" s="301" t="s">
        <v>486</v>
      </c>
      <c r="Q7" s="301" t="s">
        <v>487</v>
      </c>
      <c r="R7" s="301" t="s">
        <v>488</v>
      </c>
      <c r="S7" s="301" t="s">
        <v>42</v>
      </c>
      <c r="T7" s="301" t="s">
        <v>489</v>
      </c>
      <c r="U7" s="301" t="s">
        <v>49</v>
      </c>
      <c r="V7" s="301" t="s">
        <v>50</v>
      </c>
      <c r="W7" s="301" t="s">
        <v>51</v>
      </c>
      <c r="X7" s="301" t="s">
        <v>52</v>
      </c>
      <c r="Y7" s="301" t="s">
        <v>53</v>
      </c>
      <c r="Z7" s="301" t="s">
        <v>54</v>
      </c>
      <c r="AA7" s="301" t="s">
        <v>55</v>
      </c>
      <c r="AB7" s="301" t="s">
        <v>56</v>
      </c>
      <c r="AC7" s="301" t="s">
        <v>57</v>
      </c>
      <c r="AD7" s="301" t="s">
        <v>58</v>
      </c>
      <c r="AE7" s="301" t="s">
        <v>59</v>
      </c>
      <c r="AF7" s="301" t="s">
        <v>60</v>
      </c>
      <c r="AG7" s="301" t="s">
        <v>61</v>
      </c>
      <c r="AH7" s="301" t="s">
        <v>62</v>
      </c>
      <c r="AI7" s="301" t="s">
        <v>63</v>
      </c>
      <c r="AJ7" s="301" t="s">
        <v>64</v>
      </c>
      <c r="AK7" s="301" t="s">
        <v>65</v>
      </c>
      <c r="AL7" s="301" t="s">
        <v>66</v>
      </c>
      <c r="AM7" s="301" t="s">
        <v>67</v>
      </c>
      <c r="AN7" s="301" t="s">
        <v>68</v>
      </c>
      <c r="AO7" s="301" t="s">
        <v>69</v>
      </c>
      <c r="AP7" s="301" t="s">
        <v>70</v>
      </c>
      <c r="AQ7" s="301" t="s">
        <v>71</v>
      </c>
      <c r="AR7" s="301" t="s">
        <v>490</v>
      </c>
      <c r="AS7" s="301" t="s">
        <v>491</v>
      </c>
      <c r="AT7" s="301" t="s">
        <v>492</v>
      </c>
      <c r="AU7" s="301" t="s">
        <v>73</v>
      </c>
      <c r="AV7" s="301" t="s">
        <v>72</v>
      </c>
      <c r="AW7" s="301" t="s">
        <v>493</v>
      </c>
      <c r="AX7" s="301" t="s">
        <v>494</v>
      </c>
      <c r="AY7" s="301" t="s">
        <v>495</v>
      </c>
      <c r="AZ7" s="301" t="s">
        <v>74</v>
      </c>
      <c r="BA7" s="301" t="s">
        <v>103</v>
      </c>
      <c r="BB7" s="301" t="s">
        <v>496</v>
      </c>
      <c r="BC7" s="301" t="s">
        <v>497</v>
      </c>
      <c r="BD7" s="301" t="s">
        <v>498</v>
      </c>
      <c r="BE7" s="301" t="s">
        <v>499</v>
      </c>
      <c r="BF7" s="301" t="s">
        <v>500</v>
      </c>
      <c r="BG7" s="301" t="s">
        <v>501</v>
      </c>
      <c r="BH7" s="301" t="s">
        <v>104</v>
      </c>
      <c r="BI7" s="301" t="s">
        <v>502</v>
      </c>
      <c r="BJ7" s="301" t="s">
        <v>503</v>
      </c>
      <c r="BK7" s="301" t="s">
        <v>504</v>
      </c>
      <c r="BL7" s="301" t="s">
        <v>105</v>
      </c>
      <c r="BM7" s="301" t="s">
        <v>106</v>
      </c>
      <c r="BN7" s="302" t="s">
        <v>100</v>
      </c>
      <c r="BO7" s="303" t="s">
        <v>505</v>
      </c>
    </row>
    <row r="8" spans="2:67" x14ac:dyDescent="0.2">
      <c r="B8" s="304" t="s">
        <v>107</v>
      </c>
      <c r="C8" s="305"/>
      <c r="D8" s="305"/>
      <c r="E8" s="305"/>
      <c r="F8" s="305"/>
      <c r="G8" s="305"/>
      <c r="H8" s="305"/>
      <c r="I8" s="305"/>
      <c r="J8" s="305"/>
      <c r="K8" s="305"/>
      <c r="L8" s="305"/>
      <c r="M8" s="305"/>
      <c r="N8" s="305"/>
      <c r="O8" s="305"/>
      <c r="P8" s="305"/>
      <c r="Q8" s="305"/>
      <c r="R8" s="305"/>
      <c r="S8" s="305"/>
      <c r="T8" s="305"/>
      <c r="U8" s="305"/>
      <c r="V8" s="305"/>
      <c r="W8" s="305"/>
      <c r="X8" s="305"/>
      <c r="Y8" s="305"/>
      <c r="Z8" s="305"/>
      <c r="AA8" s="305"/>
      <c r="AB8" s="305"/>
      <c r="AC8" s="305"/>
      <c r="AD8" s="305"/>
      <c r="AE8" s="305"/>
      <c r="AF8" s="305"/>
      <c r="AG8" s="305"/>
      <c r="AH8" s="305"/>
      <c r="AI8" s="305"/>
      <c r="AJ8" s="305"/>
      <c r="AK8" s="305"/>
      <c r="AL8" s="305"/>
      <c r="AM8" s="305"/>
      <c r="AN8" s="305"/>
      <c r="AO8" s="305"/>
      <c r="AP8" s="305"/>
      <c r="AQ8" s="305"/>
      <c r="AR8" s="305"/>
      <c r="AS8" s="305"/>
      <c r="AT8" s="305"/>
      <c r="AU8" s="305"/>
      <c r="AV8" s="305"/>
      <c r="AW8" s="305"/>
      <c r="AX8" s="305"/>
      <c r="AY8" s="305"/>
      <c r="AZ8" s="305"/>
      <c r="BA8" s="305"/>
      <c r="BB8" s="305"/>
      <c r="BC8" s="305"/>
      <c r="BD8" s="305"/>
      <c r="BE8" s="305"/>
      <c r="BF8" s="305"/>
      <c r="BG8" s="305"/>
      <c r="BH8" s="305"/>
      <c r="BI8" s="305"/>
      <c r="BJ8" s="305"/>
      <c r="BK8" s="305"/>
      <c r="BL8" s="305"/>
      <c r="BM8" s="305"/>
      <c r="BN8" s="306"/>
      <c r="BO8" s="307"/>
    </row>
    <row r="9" spans="2:67" x14ac:dyDescent="0.2">
      <c r="B9" s="308" t="s">
        <v>108</v>
      </c>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s="309"/>
      <c r="BO9" s="40"/>
    </row>
    <row r="10" spans="2:67" x14ac:dyDescent="0.2">
      <c r="B10" s="308" t="s">
        <v>109</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s="309"/>
      <c r="BO10" s="40"/>
    </row>
    <row r="11" spans="2:67" x14ac:dyDescent="0.2">
      <c r="B11" s="308" t="s">
        <v>110</v>
      </c>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s="309"/>
      <c r="BO11" s="40"/>
    </row>
    <row r="12" spans="2:67" x14ac:dyDescent="0.2">
      <c r="B12" s="308" t="s">
        <v>111</v>
      </c>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s="309"/>
      <c r="BO12" s="40"/>
    </row>
    <row r="13" spans="2:67" x14ac:dyDescent="0.2">
      <c r="B13" s="308" t="s">
        <v>112</v>
      </c>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s="309"/>
      <c r="BO13" s="40"/>
    </row>
    <row r="14" spans="2:67" ht="17" thickBot="1" x14ac:dyDescent="0.25">
      <c r="B14" s="308" t="s">
        <v>113</v>
      </c>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s="309"/>
      <c r="BO14" s="40"/>
    </row>
    <row r="15" spans="2:67" ht="17" thickBot="1" x14ac:dyDescent="0.25">
      <c r="B15" s="310" t="s">
        <v>114</v>
      </c>
      <c r="C15" s="311"/>
      <c r="D15" s="311"/>
      <c r="E15" s="311"/>
      <c r="F15" s="311"/>
      <c r="G15" s="311"/>
      <c r="H15" s="311"/>
      <c r="I15" s="311"/>
      <c r="J15" s="311"/>
      <c r="K15" s="311"/>
      <c r="L15" s="311"/>
      <c r="M15" s="311"/>
      <c r="N15" s="311"/>
      <c r="O15" s="311"/>
      <c r="P15" s="311"/>
      <c r="Q15" s="311"/>
      <c r="R15" s="311"/>
      <c r="S15" s="311"/>
      <c r="T15" s="311"/>
      <c r="U15" s="311"/>
      <c r="V15" s="311"/>
      <c r="W15" s="311"/>
      <c r="X15" s="312"/>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1"/>
      <c r="AV15" s="311"/>
      <c r="AW15" s="311"/>
      <c r="AX15" s="311"/>
      <c r="AY15" s="311"/>
      <c r="AZ15" s="311"/>
      <c r="BA15" s="311"/>
      <c r="BB15" s="311"/>
      <c r="BC15" s="311"/>
      <c r="BD15" s="311"/>
      <c r="BE15" s="311"/>
      <c r="BF15" s="311"/>
      <c r="BG15" s="311"/>
      <c r="BH15" s="311"/>
      <c r="BI15" s="311"/>
      <c r="BJ15" s="311"/>
      <c r="BK15" s="311"/>
      <c r="BL15" s="311"/>
      <c r="BM15" s="311"/>
      <c r="BN15" s="313"/>
      <c r="BO15" s="314"/>
    </row>
    <row r="16" spans="2:67" x14ac:dyDescent="0.2">
      <c r="B16" s="308" t="s">
        <v>115</v>
      </c>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s="309"/>
      <c r="BO16" s="40"/>
    </row>
    <row r="17" spans="2:67" ht="17" thickBot="1" x14ac:dyDescent="0.25">
      <c r="B17" s="308" t="s">
        <v>116</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s="309"/>
      <c r="BO17" s="40"/>
    </row>
    <row r="18" spans="2:67" ht="17" thickBot="1" x14ac:dyDescent="0.25">
      <c r="B18" s="310" t="s">
        <v>117</v>
      </c>
      <c r="C18" s="311"/>
      <c r="D18" s="311"/>
      <c r="E18" s="311"/>
      <c r="F18" s="311"/>
      <c r="G18" s="311"/>
      <c r="H18" s="311"/>
      <c r="I18" s="311"/>
      <c r="J18" s="311"/>
      <c r="K18" s="311"/>
      <c r="L18" s="311"/>
      <c r="M18" s="311"/>
      <c r="N18" s="311"/>
      <c r="O18" s="311"/>
      <c r="P18" s="311"/>
      <c r="Q18" s="311"/>
      <c r="R18" s="311"/>
      <c r="S18" s="311"/>
      <c r="T18" s="311"/>
      <c r="U18" s="311"/>
      <c r="V18" s="311"/>
      <c r="W18" s="311"/>
      <c r="X18" s="311"/>
      <c r="Y18" s="311"/>
      <c r="Z18" s="311"/>
      <c r="AA18" s="311"/>
      <c r="AB18" s="311"/>
      <c r="AC18" s="311"/>
      <c r="AD18" s="311"/>
      <c r="AE18" s="311"/>
      <c r="AF18" s="311"/>
      <c r="AG18" s="311"/>
      <c r="AH18" s="311"/>
      <c r="AI18" s="311"/>
      <c r="AJ18" s="311"/>
      <c r="AK18" s="311"/>
      <c r="AL18" s="311"/>
      <c r="AM18" s="311"/>
      <c r="AN18" s="311"/>
      <c r="AO18" s="311"/>
      <c r="AP18" s="311"/>
      <c r="AQ18" s="311"/>
      <c r="AR18" s="311"/>
      <c r="AS18" s="311"/>
      <c r="AT18" s="311"/>
      <c r="AU18" s="311"/>
      <c r="AV18" s="311"/>
      <c r="AW18" s="311"/>
      <c r="AX18" s="311"/>
      <c r="AY18" s="311"/>
      <c r="AZ18" s="311"/>
      <c r="BA18" s="311"/>
      <c r="BB18" s="311"/>
      <c r="BC18" s="311"/>
      <c r="BD18" s="311"/>
      <c r="BE18" s="311"/>
      <c r="BF18" s="311"/>
      <c r="BG18" s="311"/>
      <c r="BH18" s="311"/>
      <c r="BI18" s="311"/>
      <c r="BJ18" s="311"/>
      <c r="BK18" s="311"/>
      <c r="BL18" s="311"/>
      <c r="BM18" s="311"/>
      <c r="BN18" s="313"/>
      <c r="BO18" s="314"/>
    </row>
    <row r="19" spans="2:67" x14ac:dyDescent="0.2">
      <c r="B19" s="308" t="s">
        <v>118</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s="309"/>
      <c r="BO19" s="40"/>
    </row>
    <row r="20" spans="2:67" x14ac:dyDescent="0.2">
      <c r="B20" s="308" t="s">
        <v>119</v>
      </c>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s="309"/>
      <c r="BO20" s="40"/>
    </row>
    <row r="21" spans="2:67" x14ac:dyDescent="0.2">
      <c r="B21" s="308" t="s">
        <v>120</v>
      </c>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s="309"/>
      <c r="BO21" s="40"/>
    </row>
    <row r="22" spans="2:67" x14ac:dyDescent="0.2">
      <c r="B22" s="308" t="s">
        <v>121</v>
      </c>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s="309"/>
      <c r="BO22" s="40"/>
    </row>
    <row r="23" spans="2:67" x14ac:dyDescent="0.2">
      <c r="B23" s="308" t="s">
        <v>122</v>
      </c>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s="309"/>
      <c r="BO23" s="40"/>
    </row>
    <row r="24" spans="2:67" x14ac:dyDescent="0.2">
      <c r="B24" s="315" t="s">
        <v>123</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316"/>
      <c r="BO24" s="43"/>
    </row>
    <row r="25" spans="2:67" x14ac:dyDescent="0.2">
      <c r="B25" s="308" t="s">
        <v>124</v>
      </c>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s="309"/>
      <c r="BO25" s="40"/>
    </row>
    <row r="26" spans="2:67" x14ac:dyDescent="0.2">
      <c r="B26" s="308" t="s">
        <v>125</v>
      </c>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s="309"/>
      <c r="BO26" s="40"/>
    </row>
    <row r="27" spans="2:67" x14ac:dyDescent="0.2">
      <c r="B27" s="308" t="s">
        <v>126</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s="309"/>
      <c r="BO27" s="40"/>
    </row>
    <row r="28" spans="2:67" x14ac:dyDescent="0.2">
      <c r="B28" s="308" t="s">
        <v>418</v>
      </c>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s="309"/>
      <c r="BO28" s="40"/>
    </row>
    <row r="29" spans="2:67" x14ac:dyDescent="0.2">
      <c r="B29" s="308" t="s">
        <v>419</v>
      </c>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s="309"/>
      <c r="BO29" s="40"/>
    </row>
    <row r="30" spans="2:67" x14ac:dyDescent="0.2">
      <c r="B30" s="308" t="s">
        <v>420</v>
      </c>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s="309"/>
      <c r="BO30" s="40"/>
    </row>
    <row r="31" spans="2:67" x14ac:dyDescent="0.2">
      <c r="B31" s="308" t="s">
        <v>421</v>
      </c>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s="309"/>
      <c r="BO31" s="40"/>
    </row>
    <row r="32" spans="2:67" x14ac:dyDescent="0.2">
      <c r="B32" s="308" t="s">
        <v>422</v>
      </c>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s="309"/>
      <c r="BO32" s="40"/>
    </row>
    <row r="33" spans="2:67" x14ac:dyDescent="0.2">
      <c r="B33" s="308" t="s">
        <v>423</v>
      </c>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s="309"/>
      <c r="BO33" s="40"/>
    </row>
    <row r="34" spans="2:67" x14ac:dyDescent="0.2">
      <c r="B34" s="308" t="s">
        <v>127</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s="309"/>
      <c r="BO34" s="40"/>
    </row>
    <row r="35" spans="2:67" x14ac:dyDescent="0.2">
      <c r="B35" s="308" t="s">
        <v>424</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s="309"/>
      <c r="BO35" s="40"/>
    </row>
    <row r="36" spans="2:67" x14ac:dyDescent="0.2">
      <c r="B36" s="308" t="s">
        <v>425</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s="309"/>
      <c r="BO36" s="40"/>
    </row>
    <row r="37" spans="2:67" x14ac:dyDescent="0.2">
      <c r="B37" s="308" t="s">
        <v>128</v>
      </c>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s="309"/>
      <c r="BO37" s="40"/>
    </row>
    <row r="38" spans="2:67" x14ac:dyDescent="0.2">
      <c r="B38" s="308" t="s">
        <v>129</v>
      </c>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s="309"/>
      <c r="BO38" s="40"/>
    </row>
    <row r="39" spans="2:67" ht="17" thickBot="1" x14ac:dyDescent="0.25">
      <c r="B39" s="308" t="s">
        <v>130</v>
      </c>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s="309"/>
      <c r="BO39" s="40"/>
    </row>
    <row r="40" spans="2:67" ht="17" thickBot="1" x14ac:dyDescent="0.25">
      <c r="B40" s="310" t="s">
        <v>131</v>
      </c>
      <c r="C40" s="311"/>
      <c r="D40" s="311"/>
      <c r="E40" s="311"/>
      <c r="F40" s="311"/>
      <c r="G40" s="311"/>
      <c r="H40" s="311"/>
      <c r="I40" s="311"/>
      <c r="J40" s="311"/>
      <c r="K40" s="311"/>
      <c r="L40" s="311"/>
      <c r="M40" s="311"/>
      <c r="N40" s="311"/>
      <c r="O40" s="311"/>
      <c r="P40" s="311"/>
      <c r="Q40" s="311"/>
      <c r="R40" s="311"/>
      <c r="S40" s="311"/>
      <c r="T40" s="311"/>
      <c r="U40" s="311"/>
      <c r="V40" s="311"/>
      <c r="W40" s="311"/>
      <c r="X40" s="311"/>
      <c r="Y40" s="311"/>
      <c r="Z40" s="311"/>
      <c r="AA40" s="311"/>
      <c r="AB40" s="311"/>
      <c r="AC40" s="311"/>
      <c r="AD40" s="311"/>
      <c r="AE40" s="311"/>
      <c r="AF40" s="311"/>
      <c r="AG40" s="311"/>
      <c r="AH40" s="311"/>
      <c r="AI40" s="311"/>
      <c r="AJ40" s="311"/>
      <c r="AK40" s="311"/>
      <c r="AL40" s="311"/>
      <c r="AM40" s="311"/>
      <c r="AN40" s="311"/>
      <c r="AO40" s="311"/>
      <c r="AP40" s="311"/>
      <c r="AQ40" s="311"/>
      <c r="AR40" s="311"/>
      <c r="AS40" s="311"/>
      <c r="AT40" s="311"/>
      <c r="AU40" s="311"/>
      <c r="AV40" s="311"/>
      <c r="AW40" s="311"/>
      <c r="AX40" s="311"/>
      <c r="AY40" s="311"/>
      <c r="AZ40" s="311"/>
      <c r="BA40" s="311"/>
      <c r="BB40" s="311"/>
      <c r="BC40" s="311"/>
      <c r="BD40" s="311"/>
      <c r="BE40" s="311"/>
      <c r="BF40" s="311"/>
      <c r="BG40" s="311"/>
      <c r="BH40" s="311"/>
      <c r="BI40" s="311"/>
      <c r="BJ40" s="311"/>
      <c r="BK40" s="311"/>
      <c r="BL40" s="311"/>
      <c r="BM40" s="311"/>
      <c r="BN40" s="313"/>
      <c r="BO40" s="314"/>
    </row>
    <row r="41" spans="2:67" x14ac:dyDescent="0.2">
      <c r="B41" s="308" t="s">
        <v>132</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s="309"/>
      <c r="BO41" s="40"/>
    </row>
    <row r="42" spans="2:67" x14ac:dyDescent="0.2">
      <c r="B42" s="308" t="s">
        <v>133</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s="309"/>
      <c r="BO42" s="40"/>
    </row>
    <row r="43" spans="2:67" x14ac:dyDescent="0.2">
      <c r="B43" s="308" t="s">
        <v>426</v>
      </c>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s="309"/>
      <c r="BO43" s="40"/>
    </row>
    <row r="44" spans="2:67" x14ac:dyDescent="0.2">
      <c r="B44" s="308" t="s">
        <v>427</v>
      </c>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s="309"/>
      <c r="BO44" s="40"/>
    </row>
    <row r="45" spans="2:67" x14ac:dyDescent="0.2">
      <c r="B45" s="308" t="s">
        <v>134</v>
      </c>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s="309"/>
      <c r="BO45" s="40"/>
    </row>
    <row r="46" spans="2:67" x14ac:dyDescent="0.2">
      <c r="B46" s="308" t="s">
        <v>428</v>
      </c>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s="309"/>
      <c r="BO46" s="40"/>
    </row>
    <row r="47" spans="2:67" x14ac:dyDescent="0.2">
      <c r="B47" s="308" t="s">
        <v>429</v>
      </c>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s="309"/>
      <c r="BO47" s="40"/>
    </row>
    <row r="48" spans="2:67" x14ac:dyDescent="0.2">
      <c r="B48" s="308" t="s">
        <v>430</v>
      </c>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s="309"/>
      <c r="BO48" s="40"/>
    </row>
    <row r="49" spans="2:67" x14ac:dyDescent="0.2">
      <c r="B49" s="308" t="s">
        <v>431</v>
      </c>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s="309"/>
      <c r="BO49" s="40"/>
    </row>
    <row r="50" spans="2:67" x14ac:dyDescent="0.2">
      <c r="B50" s="308" t="s">
        <v>432</v>
      </c>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s="309"/>
      <c r="BO50" s="40"/>
    </row>
    <row r="51" spans="2:67" x14ac:dyDescent="0.2">
      <c r="B51" s="308" t="s">
        <v>135</v>
      </c>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s="309"/>
      <c r="BO51" s="40"/>
    </row>
    <row r="52" spans="2:67" x14ac:dyDescent="0.2">
      <c r="B52" s="308" t="s">
        <v>433</v>
      </c>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s="309"/>
      <c r="BO52" s="40"/>
    </row>
    <row r="53" spans="2:67" x14ac:dyDescent="0.2">
      <c r="B53" s="308" t="s">
        <v>136</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s="309"/>
      <c r="BO53" s="40"/>
    </row>
    <row r="54" spans="2:67" x14ac:dyDescent="0.2">
      <c r="B54" s="308" t="s">
        <v>137</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s="309"/>
      <c r="BO54" s="40"/>
    </row>
    <row r="55" spans="2:67" x14ac:dyDescent="0.2">
      <c r="B55" s="308" t="s">
        <v>138</v>
      </c>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s="309"/>
      <c r="BO55" s="40"/>
    </row>
    <row r="56" spans="2:67" x14ac:dyDescent="0.2">
      <c r="B56" s="308" t="s">
        <v>129</v>
      </c>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s="309"/>
      <c r="BO56" s="40"/>
    </row>
    <row r="57" spans="2:67" x14ac:dyDescent="0.2">
      <c r="B57" s="308" t="s">
        <v>139</v>
      </c>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s="309"/>
      <c r="BO57" s="40"/>
    </row>
    <row r="58" spans="2:67" ht="17" thickBot="1" x14ac:dyDescent="0.25">
      <c r="B58" s="308" t="s">
        <v>140</v>
      </c>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s="309"/>
      <c r="BO58" s="40"/>
    </row>
    <row r="59" spans="2:67" ht="17" thickBot="1" x14ac:dyDescent="0.25">
      <c r="B59" s="310" t="s">
        <v>141</v>
      </c>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c r="AA59" s="311"/>
      <c r="AB59" s="311"/>
      <c r="AC59" s="311"/>
      <c r="AD59" s="311"/>
      <c r="AE59" s="311"/>
      <c r="AF59" s="311"/>
      <c r="AG59" s="311"/>
      <c r="AH59" s="311"/>
      <c r="AI59" s="311"/>
      <c r="AJ59" s="311"/>
      <c r="AK59" s="311"/>
      <c r="AL59" s="311"/>
      <c r="AM59" s="311"/>
      <c r="AN59" s="311"/>
      <c r="AO59" s="311"/>
      <c r="AP59" s="311"/>
      <c r="AQ59" s="311"/>
      <c r="AR59" s="311"/>
      <c r="AS59" s="311"/>
      <c r="AT59" s="311"/>
      <c r="AU59" s="311"/>
      <c r="AV59" s="311"/>
      <c r="AW59" s="311"/>
      <c r="AX59" s="311"/>
      <c r="AY59" s="311"/>
      <c r="AZ59" s="311"/>
      <c r="BA59" s="311"/>
      <c r="BB59" s="311"/>
      <c r="BC59" s="311"/>
      <c r="BD59" s="311"/>
      <c r="BE59" s="311"/>
      <c r="BF59" s="311"/>
      <c r="BG59" s="311"/>
      <c r="BH59" s="311"/>
      <c r="BI59" s="311"/>
      <c r="BJ59" s="311"/>
      <c r="BK59" s="311"/>
      <c r="BL59" s="311"/>
      <c r="BM59" s="311"/>
      <c r="BN59" s="313"/>
      <c r="BO59" s="314"/>
    </row>
    <row r="60" spans="2:67" ht="17" thickBot="1" x14ac:dyDescent="0.25">
      <c r="B60" s="310" t="s">
        <v>28</v>
      </c>
      <c r="C60" s="311"/>
      <c r="D60" s="311"/>
      <c r="E60" s="311"/>
      <c r="F60" s="311"/>
      <c r="G60" s="311"/>
      <c r="H60" s="311"/>
      <c r="I60" s="311"/>
      <c r="J60" s="311"/>
      <c r="K60" s="311"/>
      <c r="L60" s="311"/>
      <c r="M60" s="311"/>
      <c r="N60" s="311"/>
      <c r="O60" s="311"/>
      <c r="P60" s="311"/>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1"/>
      <c r="AU60" s="311"/>
      <c r="AV60" s="311"/>
      <c r="AW60" s="311"/>
      <c r="AX60" s="311"/>
      <c r="AY60" s="311"/>
      <c r="AZ60" s="311"/>
      <c r="BA60" s="311"/>
      <c r="BB60" s="311"/>
      <c r="BC60" s="311"/>
      <c r="BD60" s="311"/>
      <c r="BE60" s="311"/>
      <c r="BF60" s="311"/>
      <c r="BG60" s="311"/>
      <c r="BH60" s="311"/>
      <c r="BI60" s="311"/>
      <c r="BJ60" s="311"/>
      <c r="BK60" s="311"/>
      <c r="BL60" s="311"/>
      <c r="BM60" s="311"/>
      <c r="BN60" s="313"/>
      <c r="BO60" s="314"/>
    </row>
    <row r="61" spans="2:67" x14ac:dyDescent="0.2">
      <c r="B61" s="308" t="s">
        <v>142</v>
      </c>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s="309"/>
      <c r="BO61" s="40"/>
    </row>
    <row r="62" spans="2:67" x14ac:dyDescent="0.2">
      <c r="B62" s="308" t="s">
        <v>143</v>
      </c>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s="309"/>
      <c r="BO62" s="40"/>
    </row>
    <row r="63" spans="2:67" x14ac:dyDescent="0.2">
      <c r="B63" s="308" t="s">
        <v>144</v>
      </c>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s="309"/>
      <c r="BO63" s="40"/>
    </row>
    <row r="64" spans="2:67" x14ac:dyDescent="0.2">
      <c r="B64" s="308" t="s">
        <v>145</v>
      </c>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s="309"/>
      <c r="BO64" s="40"/>
    </row>
    <row r="65" spans="2:67" x14ac:dyDescent="0.2">
      <c r="B65" s="308" t="s">
        <v>146</v>
      </c>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s="309"/>
      <c r="BO65" s="40"/>
    </row>
    <row r="66" spans="2:67" x14ac:dyDescent="0.2">
      <c r="B66" s="308" t="s">
        <v>147</v>
      </c>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s="309"/>
      <c r="BO66" s="40"/>
    </row>
    <row r="67" spans="2:67" x14ac:dyDescent="0.2">
      <c r="B67" s="308" t="s">
        <v>148</v>
      </c>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s="309"/>
      <c r="BO67" s="40"/>
    </row>
    <row r="68" spans="2:67" x14ac:dyDescent="0.2">
      <c r="B68" s="308" t="s">
        <v>149</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s="309"/>
      <c r="BO68" s="40"/>
    </row>
    <row r="69" spans="2:67" x14ac:dyDescent="0.2">
      <c r="B69" s="308" t="s">
        <v>150</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s="309"/>
      <c r="BO69" s="40"/>
    </row>
    <row r="70" spans="2:67" x14ac:dyDescent="0.2">
      <c r="B70" s="308" t="s">
        <v>151</v>
      </c>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s="309"/>
      <c r="BO70" s="40"/>
    </row>
    <row r="71" spans="2:67" x14ac:dyDescent="0.2">
      <c r="B71" s="308" t="s">
        <v>152</v>
      </c>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s="309"/>
      <c r="BO71" s="40"/>
    </row>
    <row r="72" spans="2:67" x14ac:dyDescent="0.2">
      <c r="B72" s="308" t="s">
        <v>153</v>
      </c>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s="309"/>
      <c r="BO72" s="40"/>
    </row>
    <row r="73" spans="2:67" ht="17" thickBot="1" x14ac:dyDescent="0.25">
      <c r="B73" s="308" t="s">
        <v>154</v>
      </c>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s="309"/>
      <c r="BO73" s="40"/>
    </row>
    <row r="74" spans="2:67" ht="17" thickBot="1" x14ac:dyDescent="0.25">
      <c r="B74" s="310" t="s">
        <v>155</v>
      </c>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1"/>
      <c r="AV74" s="311"/>
      <c r="AW74" s="311"/>
      <c r="AX74" s="311"/>
      <c r="AY74" s="311"/>
      <c r="AZ74" s="311"/>
      <c r="BA74" s="311"/>
      <c r="BB74" s="311"/>
      <c r="BC74" s="311"/>
      <c r="BD74" s="311"/>
      <c r="BE74" s="311"/>
      <c r="BF74" s="311"/>
      <c r="BG74" s="311"/>
      <c r="BH74" s="311"/>
      <c r="BI74" s="311"/>
      <c r="BJ74" s="311"/>
      <c r="BK74" s="311"/>
      <c r="BL74" s="311"/>
      <c r="BM74" s="311"/>
      <c r="BN74" s="313"/>
      <c r="BO74" s="314"/>
    </row>
    <row r="75" spans="2:67" x14ac:dyDescent="0.2">
      <c r="B75" s="308" t="s">
        <v>156</v>
      </c>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s="309"/>
      <c r="BO75" s="40"/>
    </row>
    <row r="76" spans="2:67" x14ac:dyDescent="0.2">
      <c r="B76" s="308" t="s">
        <v>157</v>
      </c>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s="309"/>
      <c r="BO76" s="40"/>
    </row>
    <row r="77" spans="2:67" x14ac:dyDescent="0.2">
      <c r="B77" s="308" t="s">
        <v>158</v>
      </c>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s="309"/>
      <c r="BO77" s="40"/>
    </row>
    <row r="78" spans="2:67" x14ac:dyDescent="0.2">
      <c r="B78" s="308" t="s">
        <v>159</v>
      </c>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s="309"/>
      <c r="BO78" s="40"/>
    </row>
    <row r="79" spans="2:67" x14ac:dyDescent="0.2">
      <c r="B79" s="308" t="s">
        <v>160</v>
      </c>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s="309"/>
      <c r="BO79" s="40"/>
    </row>
    <row r="80" spans="2:67" ht="17" thickBot="1" x14ac:dyDescent="0.25">
      <c r="B80" s="308" t="s">
        <v>161</v>
      </c>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s="309"/>
      <c r="BO80" s="40"/>
    </row>
    <row r="81" spans="2:67" ht="17" thickBot="1" x14ac:dyDescent="0.25">
      <c r="B81" s="310" t="s">
        <v>77</v>
      </c>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c r="AA81" s="311"/>
      <c r="AB81" s="311"/>
      <c r="AC81" s="311"/>
      <c r="AD81" s="311"/>
      <c r="AE81" s="311"/>
      <c r="AF81" s="311"/>
      <c r="AG81" s="311"/>
      <c r="AH81" s="311"/>
      <c r="AI81" s="311"/>
      <c r="AJ81" s="311"/>
      <c r="AK81" s="311"/>
      <c r="AL81" s="311"/>
      <c r="AM81" s="311"/>
      <c r="AN81" s="311"/>
      <c r="AO81" s="311"/>
      <c r="AP81" s="311"/>
      <c r="AQ81" s="311"/>
      <c r="AR81" s="311"/>
      <c r="AS81" s="311"/>
      <c r="AT81" s="311"/>
      <c r="AU81" s="311"/>
      <c r="AV81" s="311"/>
      <c r="AW81" s="311"/>
      <c r="AX81" s="311"/>
      <c r="AY81" s="311"/>
      <c r="AZ81" s="311"/>
      <c r="BA81" s="311"/>
      <c r="BB81" s="311"/>
      <c r="BC81" s="311"/>
      <c r="BD81" s="311"/>
      <c r="BE81" s="311"/>
      <c r="BF81" s="311"/>
      <c r="BG81" s="311"/>
      <c r="BH81" s="311"/>
      <c r="BI81" s="311"/>
      <c r="BJ81" s="311"/>
      <c r="BK81" s="311"/>
      <c r="BL81" s="311"/>
      <c r="BM81" s="311"/>
      <c r="BN81" s="313"/>
      <c r="BO81" s="314"/>
    </row>
    <row r="82" spans="2:67" x14ac:dyDescent="0.2">
      <c r="B82" s="308" t="s">
        <v>162</v>
      </c>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s="309"/>
      <c r="BO82" s="40"/>
    </row>
    <row r="83" spans="2:67" x14ac:dyDescent="0.2">
      <c r="B83" s="308" t="s">
        <v>163</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s="309"/>
      <c r="BO83" s="40"/>
    </row>
    <row r="84" spans="2:67" x14ac:dyDescent="0.2">
      <c r="B84" s="308" t="s">
        <v>164</v>
      </c>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s="309"/>
      <c r="BO84" s="40"/>
    </row>
    <row r="85" spans="2:67" x14ac:dyDescent="0.2">
      <c r="B85" s="308" t="s">
        <v>165</v>
      </c>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s="309"/>
      <c r="BO85" s="40"/>
    </row>
    <row r="86" spans="2:67" ht="17" thickBot="1" x14ac:dyDescent="0.25">
      <c r="B86" s="308" t="s">
        <v>166</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s="309"/>
      <c r="BO86" s="40"/>
    </row>
    <row r="87" spans="2:67" ht="17" thickBot="1" x14ac:dyDescent="0.25">
      <c r="B87" s="310" t="s">
        <v>167</v>
      </c>
      <c r="C87" s="311"/>
      <c r="D87" s="311"/>
      <c r="E87" s="311"/>
      <c r="F87" s="311"/>
      <c r="G87" s="311"/>
      <c r="H87" s="311"/>
      <c r="I87" s="311"/>
      <c r="J87" s="311"/>
      <c r="K87" s="311"/>
      <c r="L87" s="311"/>
      <c r="M87" s="311"/>
      <c r="N87" s="311"/>
      <c r="O87" s="311"/>
      <c r="P87" s="311"/>
      <c r="Q87" s="311"/>
      <c r="R87" s="311"/>
      <c r="S87" s="311"/>
      <c r="T87" s="311"/>
      <c r="U87" s="311"/>
      <c r="V87" s="311"/>
      <c r="W87" s="311"/>
      <c r="X87" s="311"/>
      <c r="Y87" s="311"/>
      <c r="Z87" s="311"/>
      <c r="AA87" s="311"/>
      <c r="AB87" s="311"/>
      <c r="AC87" s="311"/>
      <c r="AD87" s="311"/>
      <c r="AE87" s="311"/>
      <c r="AF87" s="311"/>
      <c r="AG87" s="311"/>
      <c r="AH87" s="311"/>
      <c r="AI87" s="311"/>
      <c r="AJ87" s="311"/>
      <c r="AK87" s="311"/>
      <c r="AL87" s="311"/>
      <c r="AM87" s="311"/>
      <c r="AN87" s="311"/>
      <c r="AO87" s="311"/>
      <c r="AP87" s="311"/>
      <c r="AQ87" s="311"/>
      <c r="AR87" s="311"/>
      <c r="AS87" s="311"/>
      <c r="AT87" s="311"/>
      <c r="AU87" s="311"/>
      <c r="AV87" s="311"/>
      <c r="AW87" s="311"/>
      <c r="AX87" s="311"/>
      <c r="AY87" s="311"/>
      <c r="AZ87" s="311"/>
      <c r="BA87" s="311"/>
      <c r="BB87" s="311"/>
      <c r="BC87" s="311"/>
      <c r="BD87" s="311"/>
      <c r="BE87" s="311"/>
      <c r="BF87" s="311"/>
      <c r="BG87" s="311"/>
      <c r="BH87" s="311"/>
      <c r="BI87" s="311"/>
      <c r="BJ87" s="311"/>
      <c r="BK87" s="311"/>
      <c r="BL87" s="311"/>
      <c r="BM87" s="311"/>
      <c r="BN87" s="313"/>
      <c r="BO87" s="314"/>
    </row>
    <row r="88" spans="2:67" x14ac:dyDescent="0.2">
      <c r="B88" s="308" t="s">
        <v>168</v>
      </c>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s="309"/>
      <c r="BO88" s="40"/>
    </row>
    <row r="89" spans="2:67" x14ac:dyDescent="0.2">
      <c r="B89" s="308" t="s">
        <v>169</v>
      </c>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s="309"/>
      <c r="BO89" s="40"/>
    </row>
    <row r="90" spans="2:67" x14ac:dyDescent="0.2">
      <c r="B90" s="308" t="s">
        <v>170</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s="309"/>
      <c r="BO90" s="40"/>
    </row>
    <row r="91" spans="2:67" ht="17" thickBot="1" x14ac:dyDescent="0.25">
      <c r="B91" s="308" t="s">
        <v>171</v>
      </c>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s="309"/>
      <c r="BO91" s="40"/>
    </row>
    <row r="92" spans="2:67" ht="17" thickBot="1" x14ac:dyDescent="0.25">
      <c r="B92" s="310" t="s">
        <v>172</v>
      </c>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c r="AA92" s="311"/>
      <c r="AB92" s="311"/>
      <c r="AC92" s="311"/>
      <c r="AD92" s="311"/>
      <c r="AE92" s="311"/>
      <c r="AF92" s="311"/>
      <c r="AG92" s="311"/>
      <c r="AH92" s="311"/>
      <c r="AI92" s="311"/>
      <c r="AJ92" s="311"/>
      <c r="AK92" s="311"/>
      <c r="AL92" s="311"/>
      <c r="AM92" s="311"/>
      <c r="AN92" s="311"/>
      <c r="AO92" s="311"/>
      <c r="AP92" s="311"/>
      <c r="AQ92" s="311"/>
      <c r="AR92" s="311"/>
      <c r="AS92" s="311"/>
      <c r="AT92" s="311"/>
      <c r="AU92" s="311"/>
      <c r="AV92" s="311"/>
      <c r="AW92" s="311"/>
      <c r="AX92" s="311"/>
      <c r="AY92" s="311"/>
      <c r="AZ92" s="311"/>
      <c r="BA92" s="311"/>
      <c r="BB92" s="311"/>
      <c r="BC92" s="311"/>
      <c r="BD92" s="311"/>
      <c r="BE92" s="311"/>
      <c r="BF92" s="311"/>
      <c r="BG92" s="311"/>
      <c r="BH92" s="311"/>
      <c r="BI92" s="311"/>
      <c r="BJ92" s="311"/>
      <c r="BK92" s="311"/>
      <c r="BL92" s="311"/>
      <c r="BM92" s="311"/>
      <c r="BN92" s="313"/>
      <c r="BO92" s="314"/>
    </row>
    <row r="93" spans="2:67" x14ac:dyDescent="0.2">
      <c r="B93" s="308" t="s">
        <v>173</v>
      </c>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s="309"/>
      <c r="BO93" s="40"/>
    </row>
    <row r="94" spans="2:67" x14ac:dyDescent="0.2">
      <c r="B94" s="308" t="s">
        <v>174</v>
      </c>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s="309"/>
      <c r="BO94" s="40"/>
    </row>
    <row r="95" spans="2:67" x14ac:dyDescent="0.2">
      <c r="B95" s="308" t="s">
        <v>175</v>
      </c>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s="309"/>
      <c r="BO95" s="40"/>
    </row>
    <row r="96" spans="2:67" ht="17" thickBot="1" x14ac:dyDescent="0.25">
      <c r="B96" s="308" t="s">
        <v>176</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s="309"/>
      <c r="BO96" s="40"/>
    </row>
    <row r="97" spans="2:67" ht="17" thickBot="1" x14ac:dyDescent="0.25">
      <c r="B97" s="310" t="s">
        <v>177</v>
      </c>
      <c r="C97" s="311"/>
      <c r="D97" s="311"/>
      <c r="E97" s="311"/>
      <c r="F97" s="311"/>
      <c r="G97" s="311"/>
      <c r="H97" s="311"/>
      <c r="I97" s="311"/>
      <c r="J97" s="311"/>
      <c r="K97" s="311"/>
      <c r="L97" s="311"/>
      <c r="M97" s="311"/>
      <c r="N97" s="311"/>
      <c r="O97" s="311"/>
      <c r="P97" s="311"/>
      <c r="Q97" s="311"/>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1"/>
      <c r="AU97" s="311"/>
      <c r="AV97" s="311"/>
      <c r="AW97" s="311"/>
      <c r="AX97" s="311"/>
      <c r="AY97" s="311"/>
      <c r="AZ97" s="311"/>
      <c r="BA97" s="311"/>
      <c r="BB97" s="311"/>
      <c r="BC97" s="311"/>
      <c r="BD97" s="311"/>
      <c r="BE97" s="311"/>
      <c r="BF97" s="311"/>
      <c r="BG97" s="311"/>
      <c r="BH97" s="311"/>
      <c r="BI97" s="311"/>
      <c r="BJ97" s="311"/>
      <c r="BK97" s="311"/>
      <c r="BL97" s="311"/>
      <c r="BM97" s="311"/>
      <c r="BN97" s="313"/>
      <c r="BO97" s="314"/>
    </row>
    <row r="98" spans="2:67" x14ac:dyDescent="0.2">
      <c r="B98" s="308" t="s">
        <v>178</v>
      </c>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s="309"/>
      <c r="BO98" s="40"/>
    </row>
    <row r="99" spans="2:67" x14ac:dyDescent="0.2">
      <c r="B99" s="308" t="s">
        <v>179</v>
      </c>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s="309"/>
      <c r="BO99" s="40"/>
    </row>
    <row r="100" spans="2:67" x14ac:dyDescent="0.2">
      <c r="B100" s="308" t="s">
        <v>180</v>
      </c>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s="309"/>
      <c r="BO100" s="40"/>
    </row>
    <row r="101" spans="2:67" ht="17" thickBot="1" x14ac:dyDescent="0.25">
      <c r="B101" s="317" t="s">
        <v>181</v>
      </c>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c r="AA101" s="318"/>
      <c r="AB101" s="318"/>
      <c r="AC101" s="318"/>
      <c r="AD101" s="318"/>
      <c r="AE101" s="318"/>
      <c r="AF101" s="318"/>
      <c r="AG101" s="318"/>
      <c r="AH101" s="318"/>
      <c r="AI101" s="318"/>
      <c r="AJ101" s="318"/>
      <c r="AK101" s="318"/>
      <c r="AL101" s="318"/>
      <c r="AM101" s="318"/>
      <c r="AN101" s="318"/>
      <c r="AO101" s="318"/>
      <c r="AP101" s="318"/>
      <c r="AQ101" s="318"/>
      <c r="AR101" s="318"/>
      <c r="AS101" s="318"/>
      <c r="AT101" s="318"/>
      <c r="AU101" s="318"/>
      <c r="AV101" s="318"/>
      <c r="AW101" s="318"/>
      <c r="AX101" s="318"/>
      <c r="AY101" s="318"/>
      <c r="AZ101" s="318"/>
      <c r="BA101" s="318"/>
      <c r="BB101" s="318"/>
      <c r="BC101" s="318"/>
      <c r="BD101" s="318"/>
      <c r="BE101" s="318"/>
      <c r="BF101" s="318"/>
      <c r="BG101" s="318"/>
      <c r="BH101" s="318"/>
      <c r="BI101" s="318"/>
      <c r="BJ101" s="318"/>
      <c r="BK101" s="318"/>
      <c r="BL101" s="318"/>
      <c r="BM101" s="318"/>
      <c r="BN101" s="319"/>
      <c r="BO101" s="47"/>
    </row>
  </sheetData>
  <mergeCells count="1">
    <mergeCell ref="B5:H5"/>
  </mergeCells>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6" tint="0.39997558519241921"/>
  </sheetPr>
  <dimension ref="B2:S53"/>
  <sheetViews>
    <sheetView workbookViewId="0">
      <selection activeCell="G16" sqref="G16"/>
    </sheetView>
  </sheetViews>
  <sheetFormatPr baseColWidth="10" defaultRowHeight="16" x14ac:dyDescent="0.2"/>
  <cols>
    <col min="1" max="1" width="10.83203125" style="1"/>
    <col min="2" max="2" width="21.6640625" style="1" customWidth="1"/>
    <col min="3" max="3" width="44.1640625" style="1" customWidth="1"/>
    <col min="4" max="4" width="16.83203125" style="1" hidden="1" customWidth="1"/>
    <col min="5" max="5" width="64.5" style="1" bestFit="1" customWidth="1"/>
    <col min="6" max="6" width="18.33203125" style="1" bestFit="1" customWidth="1"/>
    <col min="7" max="7" width="29" style="1" customWidth="1"/>
    <col min="8" max="8" width="14" style="1" bestFit="1" customWidth="1"/>
    <col min="9" max="9" width="17.5" style="1" customWidth="1"/>
    <col min="10" max="10" width="16.83203125" style="1" bestFit="1" customWidth="1"/>
    <col min="11" max="11" width="13.1640625" style="1" bestFit="1" customWidth="1"/>
    <col min="12" max="12" width="17.5" style="527" customWidth="1"/>
    <col min="13" max="13" width="16.6640625" style="527" customWidth="1"/>
    <col min="14" max="14" width="16.6640625" style="1" customWidth="1"/>
    <col min="15" max="15" width="16.83203125" style="1" customWidth="1"/>
    <col min="16" max="17" width="17.1640625" style="1" customWidth="1"/>
    <col min="18" max="18" width="22.83203125" style="109" customWidth="1"/>
    <col min="19" max="19" width="29.1640625" style="1" bestFit="1" customWidth="1"/>
    <col min="20" max="16384" width="10.83203125" style="1"/>
  </cols>
  <sheetData>
    <row r="2" spans="2:19" ht="21" x14ac:dyDescent="0.25">
      <c r="B2" s="2" t="s">
        <v>187</v>
      </c>
    </row>
    <row r="4" spans="2:19" x14ac:dyDescent="0.2">
      <c r="B4" s="3" t="s">
        <v>78</v>
      </c>
      <c r="C4" s="4"/>
      <c r="D4" s="4"/>
      <c r="E4" s="5"/>
      <c r="F4" s="17"/>
    </row>
    <row r="5" spans="2:19" x14ac:dyDescent="0.2">
      <c r="B5" s="472" t="s">
        <v>932</v>
      </c>
      <c r="C5" s="473"/>
      <c r="D5" s="473"/>
      <c r="E5" s="493"/>
      <c r="F5" s="407"/>
      <c r="G5" s="135"/>
      <c r="H5" s="135"/>
      <c r="I5" s="135"/>
      <c r="J5" s="135"/>
      <c r="K5" s="135"/>
      <c r="L5" s="528"/>
      <c r="M5" s="528"/>
      <c r="N5" s="135"/>
      <c r="O5" s="135"/>
      <c r="P5" s="135"/>
      <c r="Q5" s="135"/>
    </row>
    <row r="6" spans="2:19" ht="17" thickBot="1" x14ac:dyDescent="0.25"/>
    <row r="7" spans="2:19" x14ac:dyDescent="0.2">
      <c r="B7" s="463" t="s">
        <v>587</v>
      </c>
      <c r="C7" s="464"/>
      <c r="D7" s="464"/>
      <c r="E7" s="484" t="s">
        <v>692</v>
      </c>
      <c r="F7" s="457" t="s">
        <v>690</v>
      </c>
      <c r="G7" s="457"/>
      <c r="H7" s="456"/>
      <c r="I7" s="456"/>
      <c r="J7" s="457"/>
      <c r="K7" s="476"/>
      <c r="L7" s="524" t="s">
        <v>785</v>
      </c>
      <c r="M7" s="524"/>
      <c r="N7" s="479"/>
      <c r="O7" s="49"/>
      <c r="P7" s="49"/>
      <c r="Q7" s="49"/>
      <c r="R7" s="480"/>
    </row>
    <row r="8" spans="2:19" ht="30" customHeight="1" x14ac:dyDescent="0.2">
      <c r="B8" s="474" t="s">
        <v>279</v>
      </c>
      <c r="C8" s="475" t="s">
        <v>182</v>
      </c>
      <c r="E8" s="485" t="s">
        <v>231</v>
      </c>
      <c r="F8" s="1" t="s">
        <v>656</v>
      </c>
      <c r="G8" s="1" t="s">
        <v>764</v>
      </c>
      <c r="H8" s="1" t="s">
        <v>660</v>
      </c>
      <c r="I8" s="1" t="s">
        <v>746</v>
      </c>
      <c r="J8" s="1" t="s">
        <v>657</v>
      </c>
      <c r="K8" s="477" t="s">
        <v>691</v>
      </c>
      <c r="L8" s="528" t="s">
        <v>781</v>
      </c>
      <c r="M8" s="528" t="s">
        <v>782</v>
      </c>
      <c r="N8" s="481" t="s">
        <v>639</v>
      </c>
      <c r="O8" s="482" t="s">
        <v>640</v>
      </c>
      <c r="P8" s="482" t="s">
        <v>478</v>
      </c>
      <c r="Q8" s="482" t="s">
        <v>766</v>
      </c>
      <c r="R8" s="483" t="s">
        <v>641</v>
      </c>
      <c r="S8" s="215" t="s">
        <v>346</v>
      </c>
    </row>
    <row r="9" spans="2:19" ht="15" customHeight="1" x14ac:dyDescent="0.2">
      <c r="B9" s="41"/>
      <c r="C9" s="9"/>
      <c r="D9" s="63"/>
      <c r="E9" s="485"/>
      <c r="F9" s="458" t="s">
        <v>658</v>
      </c>
      <c r="G9" s="458" t="s">
        <v>765</v>
      </c>
      <c r="H9" s="458" t="s">
        <v>659</v>
      </c>
      <c r="I9" s="458" t="s">
        <v>745</v>
      </c>
      <c r="J9" s="458" t="s">
        <v>655</v>
      </c>
      <c r="K9" s="10" t="s">
        <v>686</v>
      </c>
      <c r="L9" s="525"/>
      <c r="M9" s="525"/>
      <c r="N9" s="18"/>
      <c r="O9" s="9"/>
      <c r="P9" s="9"/>
      <c r="Q9" s="9"/>
      <c r="R9" s="478"/>
    </row>
    <row r="10" spans="2:19" x14ac:dyDescent="0.2">
      <c r="B10" s="46" t="s">
        <v>76</v>
      </c>
      <c r="E10" s="17"/>
      <c r="K10" s="7"/>
      <c r="N10" s="65"/>
      <c r="R10" s="128"/>
      <c r="S10" s="215"/>
    </row>
    <row r="11" spans="2:19" x14ac:dyDescent="0.2">
      <c r="B11" s="46"/>
      <c r="C11" t="s">
        <v>389</v>
      </c>
      <c r="D11"/>
      <c r="E11" s="16" t="s">
        <v>661</v>
      </c>
      <c r="F11" s="465"/>
      <c r="G11" s="465"/>
      <c r="H11" s="465"/>
      <c r="I11" s="465"/>
      <c r="J11" s="465"/>
      <c r="K11" s="486"/>
      <c r="L11" s="526"/>
      <c r="M11" s="526"/>
      <c r="N11" s="184">
        <f>F11</f>
        <v>0</v>
      </c>
      <c r="O11" s="166"/>
      <c r="P11"/>
      <c r="Q11"/>
      <c r="R11" s="190">
        <f>N11</f>
        <v>0</v>
      </c>
      <c r="S11" s="215" t="s">
        <v>308</v>
      </c>
    </row>
    <row r="12" spans="2:19" x14ac:dyDescent="0.2">
      <c r="B12" s="46"/>
      <c r="C12" t="s">
        <v>391</v>
      </c>
      <c r="D12"/>
      <c r="E12" s="16" t="s">
        <v>662</v>
      </c>
      <c r="F12" s="465"/>
      <c r="G12" s="465"/>
      <c r="H12" s="465"/>
      <c r="I12" s="465"/>
      <c r="J12" s="465"/>
      <c r="K12" s="486"/>
      <c r="L12" s="526"/>
      <c r="M12" s="526"/>
      <c r="N12" s="184"/>
      <c r="O12" s="166" t="e">
        <f>1/H12</f>
        <v>#DIV/0!</v>
      </c>
      <c r="P12"/>
      <c r="Q12"/>
      <c r="R12" s="190" t="e">
        <f>O12</f>
        <v>#DIV/0!</v>
      </c>
      <c r="S12" s="215" t="s">
        <v>309</v>
      </c>
    </row>
    <row r="13" spans="2:19" x14ac:dyDescent="0.2">
      <c r="B13" s="46"/>
      <c r="C13" t="s">
        <v>393</v>
      </c>
      <c r="D13"/>
      <c r="E13" s="16" t="s">
        <v>878</v>
      </c>
      <c r="F13" s="465"/>
      <c r="G13" s="465"/>
      <c r="H13" s="465"/>
      <c r="I13" s="465"/>
      <c r="J13" s="465"/>
      <c r="K13" s="486"/>
      <c r="L13" s="526"/>
      <c r="M13" s="526"/>
      <c r="N13" s="184">
        <f>F13</f>
        <v>0</v>
      </c>
      <c r="O13" s="166"/>
      <c r="P13"/>
      <c r="Q13"/>
      <c r="R13" s="190">
        <f>N13</f>
        <v>0</v>
      </c>
      <c r="S13" s="215" t="s">
        <v>310</v>
      </c>
    </row>
    <row r="14" spans="2:19" x14ac:dyDescent="0.2">
      <c r="B14" s="62"/>
      <c r="C14" t="s">
        <v>394</v>
      </c>
      <c r="D14"/>
      <c r="E14" s="16" t="s">
        <v>253</v>
      </c>
      <c r="F14" s="465"/>
      <c r="G14" s="465"/>
      <c r="H14" s="465"/>
      <c r="I14" s="465"/>
      <c r="J14" s="465"/>
      <c r="K14" s="486"/>
      <c r="L14" s="526"/>
      <c r="M14" s="526"/>
      <c r="N14" s="184"/>
      <c r="O14" s="166" t="e">
        <f>1/H14</f>
        <v>#DIV/0!</v>
      </c>
      <c r="P14"/>
      <c r="Q14"/>
      <c r="R14" s="190" t="e">
        <f>O14</f>
        <v>#DIV/0!</v>
      </c>
      <c r="S14" s="215" t="s">
        <v>311</v>
      </c>
    </row>
    <row r="15" spans="2:19" x14ac:dyDescent="0.2">
      <c r="B15" s="62"/>
      <c r="C15" t="s">
        <v>396</v>
      </c>
      <c r="D15"/>
      <c r="E15" s="16" t="s">
        <v>663</v>
      </c>
      <c r="F15" s="465"/>
      <c r="G15" s="465"/>
      <c r="H15" s="465"/>
      <c r="I15" s="465"/>
      <c r="J15" s="465"/>
      <c r="K15" s="486"/>
      <c r="L15" s="526"/>
      <c r="M15" s="526"/>
      <c r="N15" s="184">
        <f>F15</f>
        <v>0</v>
      </c>
      <c r="O15" s="166"/>
      <c r="P15"/>
      <c r="Q15"/>
      <c r="R15" s="190">
        <f>N15</f>
        <v>0</v>
      </c>
      <c r="S15" s="215" t="s">
        <v>312</v>
      </c>
    </row>
    <row r="16" spans="2:19" x14ac:dyDescent="0.2">
      <c r="B16" s="62"/>
      <c r="C16" t="s">
        <v>397</v>
      </c>
      <c r="D16"/>
      <c r="E16" s="16" t="s">
        <v>664</v>
      </c>
      <c r="F16" s="465"/>
      <c r="G16" s="465"/>
      <c r="H16" s="465"/>
      <c r="I16" s="465"/>
      <c r="J16" s="465"/>
      <c r="K16" s="486"/>
      <c r="L16" s="526"/>
      <c r="M16" s="526"/>
      <c r="N16" s="184">
        <f>F16</f>
        <v>0</v>
      </c>
      <c r="O16" s="166"/>
      <c r="P16"/>
      <c r="Q16"/>
      <c r="R16" s="190">
        <f>N16</f>
        <v>0</v>
      </c>
      <c r="S16" s="215" t="s">
        <v>313</v>
      </c>
    </row>
    <row r="17" spans="2:19" x14ac:dyDescent="0.2">
      <c r="B17" s="62"/>
      <c r="C17" t="s">
        <v>398</v>
      </c>
      <c r="D17"/>
      <c r="E17" s="16" t="s">
        <v>665</v>
      </c>
      <c r="F17" s="465"/>
      <c r="G17" s="465"/>
      <c r="H17" s="465"/>
      <c r="I17" s="465"/>
      <c r="J17" s="465"/>
      <c r="K17" s="486"/>
      <c r="L17" s="526"/>
      <c r="M17" s="526"/>
      <c r="N17" s="184">
        <f>F17</f>
        <v>0</v>
      </c>
      <c r="O17" s="166"/>
      <c r="P17"/>
      <c r="Q17"/>
      <c r="R17" s="190">
        <f>N17</f>
        <v>0</v>
      </c>
      <c r="S17" s="215" t="s">
        <v>314</v>
      </c>
    </row>
    <row r="18" spans="2:19" x14ac:dyDescent="0.2">
      <c r="B18" s="62"/>
      <c r="C18" t="s">
        <v>399</v>
      </c>
      <c r="D18"/>
      <c r="E18" s="16" t="s">
        <v>666</v>
      </c>
      <c r="F18" s="465"/>
      <c r="G18" s="465"/>
      <c r="H18" s="465"/>
      <c r="I18" s="465"/>
      <c r="J18" s="465"/>
      <c r="K18" s="486"/>
      <c r="L18" s="526"/>
      <c r="M18" s="526"/>
      <c r="N18" s="184">
        <f>F18</f>
        <v>0</v>
      </c>
      <c r="O18" s="166"/>
      <c r="P18"/>
      <c r="Q18"/>
      <c r="R18" s="190">
        <f>N18</f>
        <v>0</v>
      </c>
      <c r="S18" s="215" t="s">
        <v>315</v>
      </c>
    </row>
    <row r="19" spans="2:19" x14ac:dyDescent="0.2">
      <c r="B19" s="62"/>
      <c r="C19" t="s">
        <v>400</v>
      </c>
      <c r="D19"/>
      <c r="E19" s="16" t="s">
        <v>667</v>
      </c>
      <c r="F19" s="465"/>
      <c r="G19" s="465"/>
      <c r="H19" s="465"/>
      <c r="I19" s="465"/>
      <c r="J19" s="465"/>
      <c r="K19" s="486"/>
      <c r="L19" s="526"/>
      <c r="M19" s="526"/>
      <c r="N19" s="184">
        <f>F19</f>
        <v>0</v>
      </c>
      <c r="O19" s="166"/>
      <c r="P19"/>
      <c r="Q19"/>
      <c r="R19" s="190">
        <f>N19</f>
        <v>0</v>
      </c>
      <c r="S19" s="215" t="s">
        <v>316</v>
      </c>
    </row>
    <row r="20" spans="2:19" x14ac:dyDescent="0.2">
      <c r="B20" s="62"/>
      <c r="C20" t="s">
        <v>750</v>
      </c>
      <c r="D20"/>
      <c r="E20" s="16" t="s">
        <v>742</v>
      </c>
      <c r="F20" s="465"/>
      <c r="G20" s="465"/>
      <c r="H20" s="465"/>
      <c r="I20" s="465"/>
      <c r="J20" s="465"/>
      <c r="K20" s="486"/>
      <c r="L20" s="526">
        <v>0.22611100000000001</v>
      </c>
      <c r="M20" s="526">
        <v>0.20860999999999999</v>
      </c>
      <c r="N20" s="184"/>
      <c r="O20" s="166">
        <f>(1-M20)/L20</f>
        <v>3.5000066339098939</v>
      </c>
      <c r="P20"/>
      <c r="Q20"/>
      <c r="R20" s="190">
        <f>O20</f>
        <v>3.5000066339098939</v>
      </c>
      <c r="S20" s="215" t="s">
        <v>744</v>
      </c>
    </row>
    <row r="21" spans="2:19" x14ac:dyDescent="0.2">
      <c r="B21" s="62"/>
      <c r="C21" t="s">
        <v>749</v>
      </c>
      <c r="D21"/>
      <c r="E21" s="16"/>
      <c r="F21" s="465">
        <f t="shared" ref="F21:K21" si="0">F20</f>
        <v>0</v>
      </c>
      <c r="G21" s="465">
        <f t="shared" si="0"/>
        <v>0</v>
      </c>
      <c r="H21" s="465">
        <f>L20</f>
        <v>0.22611100000000001</v>
      </c>
      <c r="I21" s="465">
        <f>M20</f>
        <v>0.20860999999999999</v>
      </c>
      <c r="J21" s="465">
        <f t="shared" si="0"/>
        <v>0</v>
      </c>
      <c r="K21" s="486">
        <f t="shared" si="0"/>
        <v>0</v>
      </c>
      <c r="L21" s="526"/>
      <c r="M21" s="526"/>
      <c r="N21" s="184">
        <f>G21</f>
        <v>0</v>
      </c>
      <c r="O21" s="166"/>
      <c r="P21"/>
      <c r="Q21" s="465">
        <f>G21*I21/((G21*I21)+((1-(SUM(H21:I21))+H21)))</f>
        <v>0</v>
      </c>
      <c r="R21" s="190">
        <f>N21</f>
        <v>0</v>
      </c>
      <c r="S21" s="215" t="s">
        <v>757</v>
      </c>
    </row>
    <row r="22" spans="2:19" x14ac:dyDescent="0.2">
      <c r="B22" s="41"/>
      <c r="C22" s="9"/>
      <c r="D22" s="9"/>
      <c r="E22" s="18"/>
      <c r="F22" s="466"/>
      <c r="G22" s="466"/>
      <c r="H22" s="466"/>
      <c r="I22" s="466"/>
      <c r="J22" s="466"/>
      <c r="K22" s="487"/>
      <c r="L22" s="529"/>
      <c r="M22" s="529"/>
      <c r="N22" s="185"/>
      <c r="O22" s="170"/>
      <c r="P22" s="9"/>
      <c r="Q22" s="9"/>
      <c r="R22" s="191"/>
      <c r="S22" s="183"/>
    </row>
    <row r="23" spans="2:19" x14ac:dyDescent="0.2">
      <c r="B23" s="46" t="s">
        <v>290</v>
      </c>
      <c r="E23" s="17"/>
      <c r="F23" s="467"/>
      <c r="G23" s="467"/>
      <c r="H23" s="467"/>
      <c r="I23" s="467"/>
      <c r="J23" s="467"/>
      <c r="K23" s="488"/>
      <c r="L23" s="530"/>
      <c r="M23" s="530"/>
      <c r="N23" s="186"/>
      <c r="O23" s="109"/>
      <c r="R23" s="128"/>
      <c r="S23" s="183"/>
    </row>
    <row r="24" spans="2:19" x14ac:dyDescent="0.2">
      <c r="B24" s="46"/>
      <c r="C24" t="s">
        <v>390</v>
      </c>
      <c r="D24"/>
      <c r="E24" s="16" t="s">
        <v>668</v>
      </c>
      <c r="F24" s="465"/>
      <c r="G24" s="465"/>
      <c r="H24" s="465"/>
      <c r="I24" s="465"/>
      <c r="J24" s="465"/>
      <c r="K24" s="486"/>
      <c r="L24" s="526"/>
      <c r="M24" s="526"/>
      <c r="N24" s="184">
        <f>F24</f>
        <v>0</v>
      </c>
      <c r="O24" s="166"/>
      <c r="P24"/>
      <c r="Q24"/>
      <c r="R24" s="190">
        <f>N24</f>
        <v>0</v>
      </c>
      <c r="S24" s="215" t="s">
        <v>317</v>
      </c>
    </row>
    <row r="25" spans="2:19" x14ac:dyDescent="0.2">
      <c r="B25" s="46"/>
      <c r="C25" t="s">
        <v>406</v>
      </c>
      <c r="D25"/>
      <c r="E25" s="16" t="s">
        <v>669</v>
      </c>
      <c r="F25" s="465"/>
      <c r="G25" s="465"/>
      <c r="H25" s="465"/>
      <c r="I25" s="465"/>
      <c r="J25" s="465"/>
      <c r="K25" s="486"/>
      <c r="L25" s="526"/>
      <c r="M25" s="526"/>
      <c r="N25" s="184"/>
      <c r="O25" s="166" t="e">
        <f>1/H25</f>
        <v>#DIV/0!</v>
      </c>
      <c r="P25"/>
      <c r="Q25"/>
      <c r="R25" s="190" t="e">
        <f>O25</f>
        <v>#DIV/0!</v>
      </c>
      <c r="S25" s="215" t="s">
        <v>318</v>
      </c>
    </row>
    <row r="26" spans="2:19" x14ac:dyDescent="0.2">
      <c r="B26" s="46"/>
      <c r="C26" t="s">
        <v>392</v>
      </c>
      <c r="D26"/>
      <c r="E26" s="16" t="s">
        <v>879</v>
      </c>
      <c r="F26" s="465"/>
      <c r="G26" s="465"/>
      <c r="H26" s="465"/>
      <c r="I26" s="465"/>
      <c r="J26" s="465"/>
      <c r="K26" s="486"/>
      <c r="L26" s="526"/>
      <c r="M26" s="526"/>
      <c r="N26" s="184">
        <f>F26</f>
        <v>0</v>
      </c>
      <c r="O26" s="166"/>
      <c r="P26"/>
      <c r="Q26"/>
      <c r="R26" s="190">
        <f>N26</f>
        <v>0</v>
      </c>
      <c r="S26" s="215" t="s">
        <v>319</v>
      </c>
    </row>
    <row r="27" spans="2:19" x14ac:dyDescent="0.2">
      <c r="B27" s="62"/>
      <c r="C27" t="s">
        <v>395</v>
      </c>
      <c r="D27"/>
      <c r="E27" s="16" t="s">
        <v>257</v>
      </c>
      <c r="F27" s="465"/>
      <c r="G27" s="465"/>
      <c r="H27" s="465"/>
      <c r="I27" s="465"/>
      <c r="J27" s="465"/>
      <c r="K27" s="486"/>
      <c r="L27" s="526"/>
      <c r="M27" s="526"/>
      <c r="N27" s="184"/>
      <c r="O27" s="166" t="e">
        <f>1/H27</f>
        <v>#DIV/0!</v>
      </c>
      <c r="P27"/>
      <c r="Q27"/>
      <c r="R27" s="190" t="e">
        <f>O27</f>
        <v>#DIV/0!</v>
      </c>
      <c r="S27" s="215" t="s">
        <v>320</v>
      </c>
    </row>
    <row r="28" spans="2:19" x14ac:dyDescent="0.2">
      <c r="B28" s="62"/>
      <c r="C28" t="s">
        <v>401</v>
      </c>
      <c r="D28"/>
      <c r="E28" s="16" t="s">
        <v>670</v>
      </c>
      <c r="F28" s="465"/>
      <c r="G28" s="465"/>
      <c r="H28" s="465"/>
      <c r="I28" s="465"/>
      <c r="J28" s="465"/>
      <c r="K28" s="486"/>
      <c r="L28" s="526"/>
      <c r="M28" s="526"/>
      <c r="N28" s="184">
        <f t="shared" ref="N28:N32" si="1">F28</f>
        <v>0</v>
      </c>
      <c r="O28" s="166"/>
      <c r="P28"/>
      <c r="Q28"/>
      <c r="R28" s="190">
        <f t="shared" ref="R28:R32" si="2">N28</f>
        <v>0</v>
      </c>
      <c r="S28" s="215" t="s">
        <v>321</v>
      </c>
    </row>
    <row r="29" spans="2:19" x14ac:dyDescent="0.2">
      <c r="B29" s="62"/>
      <c r="C29" t="s">
        <v>402</v>
      </c>
      <c r="D29"/>
      <c r="E29" s="16" t="s">
        <v>671</v>
      </c>
      <c r="F29" s="465"/>
      <c r="G29" s="465"/>
      <c r="H29" s="465"/>
      <c r="I29" s="465"/>
      <c r="J29" s="465"/>
      <c r="K29" s="486"/>
      <c r="L29" s="526"/>
      <c r="M29" s="526"/>
      <c r="N29" s="184">
        <f t="shared" si="1"/>
        <v>0</v>
      </c>
      <c r="O29" s="166"/>
      <c r="P29"/>
      <c r="Q29"/>
      <c r="R29" s="190">
        <f t="shared" si="2"/>
        <v>0</v>
      </c>
      <c r="S29" s="215" t="s">
        <v>322</v>
      </c>
    </row>
    <row r="30" spans="2:19" x14ac:dyDescent="0.2">
      <c r="B30" s="62"/>
      <c r="C30" t="s">
        <v>403</v>
      </c>
      <c r="D30"/>
      <c r="E30" s="16" t="s">
        <v>672</v>
      </c>
      <c r="F30" s="465"/>
      <c r="G30" s="465"/>
      <c r="H30" s="465"/>
      <c r="I30" s="465"/>
      <c r="J30" s="465"/>
      <c r="K30" s="486"/>
      <c r="L30" s="526"/>
      <c r="M30" s="526"/>
      <c r="N30" s="184">
        <f t="shared" si="1"/>
        <v>0</v>
      </c>
      <c r="O30" s="166"/>
      <c r="P30"/>
      <c r="Q30"/>
      <c r="R30" s="190">
        <f t="shared" si="2"/>
        <v>0</v>
      </c>
      <c r="S30" s="215" t="s">
        <v>323</v>
      </c>
    </row>
    <row r="31" spans="2:19" x14ac:dyDescent="0.2">
      <c r="B31" s="62"/>
      <c r="C31" t="s">
        <v>404</v>
      </c>
      <c r="D31"/>
      <c r="E31" s="16" t="s">
        <v>673</v>
      </c>
      <c r="F31" s="465"/>
      <c r="G31" s="465"/>
      <c r="H31" s="465"/>
      <c r="I31" s="465"/>
      <c r="J31" s="465"/>
      <c r="K31" s="486"/>
      <c r="L31" s="526"/>
      <c r="M31" s="526"/>
      <c r="N31" s="184">
        <f t="shared" si="1"/>
        <v>0</v>
      </c>
      <c r="O31" s="166"/>
      <c r="P31"/>
      <c r="Q31"/>
      <c r="R31" s="190">
        <f t="shared" si="2"/>
        <v>0</v>
      </c>
      <c r="S31" s="215" t="s">
        <v>324</v>
      </c>
    </row>
    <row r="32" spans="2:19" x14ac:dyDescent="0.2">
      <c r="B32" s="62"/>
      <c r="C32" t="s">
        <v>405</v>
      </c>
      <c r="D32"/>
      <c r="E32" s="16" t="s">
        <v>674</v>
      </c>
      <c r="F32" s="465"/>
      <c r="G32" s="465"/>
      <c r="H32" s="465"/>
      <c r="I32" s="465"/>
      <c r="J32" s="465"/>
      <c r="K32" s="486"/>
      <c r="L32" s="526"/>
      <c r="M32" s="526"/>
      <c r="N32" s="184">
        <f t="shared" si="1"/>
        <v>0</v>
      </c>
      <c r="O32" s="166"/>
      <c r="P32"/>
      <c r="Q32"/>
      <c r="R32" s="190">
        <f t="shared" si="2"/>
        <v>0</v>
      </c>
      <c r="S32" s="215" t="s">
        <v>325</v>
      </c>
    </row>
    <row r="33" spans="2:19" x14ac:dyDescent="0.2">
      <c r="B33" s="62"/>
      <c r="C33" t="s">
        <v>755</v>
      </c>
      <c r="D33"/>
      <c r="E33" s="16" t="s">
        <v>761</v>
      </c>
      <c r="F33" s="465"/>
      <c r="G33" s="465"/>
      <c r="H33" s="465"/>
      <c r="I33" s="465"/>
      <c r="J33" s="465"/>
      <c r="K33" s="486"/>
      <c r="L33" s="526">
        <v>0</v>
      </c>
      <c r="M33" s="526">
        <v>1</v>
      </c>
      <c r="N33" s="184"/>
      <c r="O33" s="595">
        <v>1</v>
      </c>
      <c r="P33" s="408"/>
      <c r="Q33" s="408"/>
      <c r="R33" s="190">
        <f>O33</f>
        <v>1</v>
      </c>
      <c r="S33" s="215" t="s">
        <v>758</v>
      </c>
    </row>
    <row r="34" spans="2:19" x14ac:dyDescent="0.2">
      <c r="B34" s="62"/>
      <c r="C34" t="s">
        <v>756</v>
      </c>
      <c r="D34"/>
      <c r="E34" s="16"/>
      <c r="F34" s="465">
        <f t="shared" ref="F34:K34" si="3">F33</f>
        <v>0</v>
      </c>
      <c r="G34" s="465">
        <f t="shared" si="3"/>
        <v>0</v>
      </c>
      <c r="H34" s="465">
        <f>L33</f>
        <v>0</v>
      </c>
      <c r="I34" s="465">
        <f>M33</f>
        <v>1</v>
      </c>
      <c r="J34" s="465">
        <f t="shared" si="3"/>
        <v>0</v>
      </c>
      <c r="K34" s="486">
        <f t="shared" si="3"/>
        <v>0</v>
      </c>
      <c r="L34" s="526"/>
      <c r="M34" s="526"/>
      <c r="N34" s="184">
        <f>G34</f>
        <v>0</v>
      </c>
      <c r="O34" s="166"/>
      <c r="P34"/>
      <c r="Q34" s="465" t="e">
        <f>G34*I34/((G34*I34)+((1-(SUM(H34:I34))+H34)))</f>
        <v>#DIV/0!</v>
      </c>
      <c r="R34" s="190">
        <f>N34</f>
        <v>0</v>
      </c>
      <c r="S34" s="215" t="s">
        <v>759</v>
      </c>
    </row>
    <row r="35" spans="2:19" x14ac:dyDescent="0.2">
      <c r="B35" s="28"/>
      <c r="E35" s="17"/>
      <c r="F35" s="467"/>
      <c r="G35" s="467"/>
      <c r="H35" s="467"/>
      <c r="I35" s="467"/>
      <c r="J35" s="467"/>
      <c r="K35" s="488"/>
      <c r="L35" s="530"/>
      <c r="M35" s="530"/>
      <c r="N35" s="187"/>
      <c r="O35" s="109"/>
      <c r="R35" s="192"/>
      <c r="S35" s="183"/>
    </row>
    <row r="36" spans="2:19" x14ac:dyDescent="0.2">
      <c r="B36" s="45" t="s">
        <v>88</v>
      </c>
      <c r="C36" s="4"/>
      <c r="D36" s="4"/>
      <c r="E36" s="270"/>
      <c r="F36" s="468"/>
      <c r="G36" s="468"/>
      <c r="H36" s="468"/>
      <c r="I36" s="468"/>
      <c r="J36" s="468"/>
      <c r="K36" s="489"/>
      <c r="L36" s="531"/>
      <c r="M36" s="531"/>
      <c r="N36" s="188"/>
      <c r="O36" s="193"/>
      <c r="P36" s="4"/>
      <c r="Q36" s="4"/>
      <c r="R36" s="194"/>
      <c r="S36" s="183"/>
    </row>
    <row r="37" spans="2:19" x14ac:dyDescent="0.2">
      <c r="B37" s="62"/>
      <c r="C37" t="s">
        <v>327</v>
      </c>
      <c r="D37"/>
      <c r="E37" s="16" t="s">
        <v>675</v>
      </c>
      <c r="F37" s="465"/>
      <c r="G37" s="465"/>
      <c r="H37" s="465"/>
      <c r="I37" s="465"/>
      <c r="J37" s="465"/>
      <c r="K37" s="486"/>
      <c r="L37" s="526"/>
      <c r="M37" s="526"/>
      <c r="N37" s="184"/>
      <c r="O37" s="166" t="e">
        <f>1/H37</f>
        <v>#DIV/0!</v>
      </c>
      <c r="P37"/>
      <c r="Q37"/>
      <c r="R37" s="190" t="e">
        <f>O37</f>
        <v>#DIV/0!</v>
      </c>
      <c r="S37" s="215" t="s">
        <v>329</v>
      </c>
    </row>
    <row r="38" spans="2:19" x14ac:dyDescent="0.2">
      <c r="B38" s="62"/>
      <c r="C38" t="s">
        <v>326</v>
      </c>
      <c r="D38"/>
      <c r="E38" s="16" t="s">
        <v>676</v>
      </c>
      <c r="F38" s="465"/>
      <c r="G38" s="465"/>
      <c r="H38" s="465"/>
      <c r="I38" s="465"/>
      <c r="J38" s="465"/>
      <c r="K38" s="486"/>
      <c r="L38" s="526"/>
      <c r="M38" s="526"/>
      <c r="N38" s="184"/>
      <c r="O38" s="166" t="e">
        <f>1/H38</f>
        <v>#DIV/0!</v>
      </c>
      <c r="P38"/>
      <c r="Q38"/>
      <c r="R38" s="190" t="e">
        <f>O38</f>
        <v>#DIV/0!</v>
      </c>
      <c r="S38" s="215" t="s">
        <v>330</v>
      </c>
    </row>
    <row r="39" spans="2:19" x14ac:dyDescent="0.2">
      <c r="B39" s="62"/>
      <c r="C39" t="s">
        <v>328</v>
      </c>
      <c r="D39"/>
      <c r="E39" s="16" t="s">
        <v>677</v>
      </c>
      <c r="F39" s="465"/>
      <c r="G39" s="465"/>
      <c r="H39" s="465"/>
      <c r="I39" s="465"/>
      <c r="J39" s="465"/>
      <c r="K39" s="486"/>
      <c r="L39" s="526"/>
      <c r="M39" s="526"/>
      <c r="N39" s="184"/>
      <c r="O39" s="166" t="e">
        <f>1/H39</f>
        <v>#DIV/0!</v>
      </c>
      <c r="P39"/>
      <c r="Q39"/>
      <c r="R39" s="190" t="e">
        <f>O39</f>
        <v>#DIV/0!</v>
      </c>
      <c r="S39" s="215" t="s">
        <v>331</v>
      </c>
    </row>
    <row r="40" spans="2:19" x14ac:dyDescent="0.2">
      <c r="B40" s="41"/>
      <c r="C40" s="9"/>
      <c r="D40" s="9"/>
      <c r="E40" s="18"/>
      <c r="F40" s="466"/>
      <c r="G40" s="466"/>
      <c r="H40" s="466"/>
      <c r="I40" s="466"/>
      <c r="J40" s="466"/>
      <c r="K40" s="487"/>
      <c r="L40" s="529"/>
      <c r="M40" s="529"/>
      <c r="N40" s="185"/>
      <c r="O40" s="170"/>
      <c r="P40" s="9"/>
      <c r="Q40" s="9"/>
      <c r="R40" s="191"/>
      <c r="S40" s="183"/>
    </row>
    <row r="41" spans="2:19" x14ac:dyDescent="0.2">
      <c r="B41" s="46" t="s">
        <v>276</v>
      </c>
      <c r="E41" s="17"/>
      <c r="F41" s="467"/>
      <c r="G41" s="467"/>
      <c r="H41" s="467"/>
      <c r="I41" s="467"/>
      <c r="J41" s="467"/>
      <c r="K41" s="488"/>
      <c r="L41" s="530"/>
      <c r="M41" s="530"/>
      <c r="N41" s="186"/>
      <c r="O41" s="109"/>
      <c r="R41" s="128"/>
      <c r="S41" s="183"/>
    </row>
    <row r="42" spans="2:19" x14ac:dyDescent="0.2">
      <c r="B42" s="46"/>
      <c r="C42" t="s">
        <v>337</v>
      </c>
      <c r="D42"/>
      <c r="E42" s="16" t="s">
        <v>678</v>
      </c>
      <c r="F42" s="465"/>
      <c r="G42" s="465"/>
      <c r="H42" s="465"/>
      <c r="I42" s="465"/>
      <c r="J42" s="465"/>
      <c r="K42" s="486"/>
      <c r="L42" s="526"/>
      <c r="M42" s="526"/>
      <c r="N42" s="184">
        <f>F42</f>
        <v>0</v>
      </c>
      <c r="O42" s="166"/>
      <c r="P42"/>
      <c r="Q42"/>
      <c r="R42" s="190">
        <f>N42</f>
        <v>0</v>
      </c>
      <c r="S42" s="215" t="s">
        <v>342</v>
      </c>
    </row>
    <row r="43" spans="2:19" x14ac:dyDescent="0.2">
      <c r="B43" s="46"/>
      <c r="C43" t="s">
        <v>385</v>
      </c>
      <c r="D43"/>
      <c r="E43" s="16" t="s">
        <v>679</v>
      </c>
      <c r="F43" s="465"/>
      <c r="G43" s="465"/>
      <c r="H43" s="465"/>
      <c r="I43" s="465"/>
      <c r="J43" s="465"/>
      <c r="K43" s="486"/>
      <c r="L43" s="526"/>
      <c r="M43" s="526"/>
      <c r="N43" s="184">
        <f>F43</f>
        <v>0</v>
      </c>
      <c r="O43" s="166"/>
      <c r="P43"/>
      <c r="Q43"/>
      <c r="R43" s="190">
        <f t="shared" ref="R43:R46" si="4">N43</f>
        <v>0</v>
      </c>
      <c r="S43" s="215" t="s">
        <v>341</v>
      </c>
    </row>
    <row r="44" spans="2:19" x14ac:dyDescent="0.2">
      <c r="B44" s="46"/>
      <c r="C44" t="s">
        <v>338</v>
      </c>
      <c r="D44"/>
      <c r="E44" s="16" t="s">
        <v>680</v>
      </c>
      <c r="F44" s="465"/>
      <c r="G44" s="465"/>
      <c r="H44" s="465"/>
      <c r="I44" s="465"/>
      <c r="J44" s="465"/>
      <c r="K44" s="486"/>
      <c r="L44" s="526"/>
      <c r="M44" s="526"/>
      <c r="N44" s="184">
        <f>F44</f>
        <v>0</v>
      </c>
      <c r="O44" s="166"/>
      <c r="P44"/>
      <c r="Q44"/>
      <c r="R44" s="190">
        <f t="shared" si="4"/>
        <v>0</v>
      </c>
      <c r="S44" s="215" t="s">
        <v>343</v>
      </c>
    </row>
    <row r="45" spans="2:19" x14ac:dyDescent="0.2">
      <c r="B45" s="46"/>
      <c r="C45" t="s">
        <v>339</v>
      </c>
      <c r="D45"/>
      <c r="E45" s="16" t="s">
        <v>681</v>
      </c>
      <c r="F45" s="465"/>
      <c r="G45" s="465"/>
      <c r="H45" s="465"/>
      <c r="I45" s="465"/>
      <c r="J45" s="465"/>
      <c r="K45" s="486"/>
      <c r="L45" s="526"/>
      <c r="M45" s="526"/>
      <c r="N45" s="184">
        <f>F45</f>
        <v>0</v>
      </c>
      <c r="O45" s="166"/>
      <c r="P45"/>
      <c r="Q45"/>
      <c r="R45" s="190">
        <f t="shared" si="4"/>
        <v>0</v>
      </c>
      <c r="S45" s="215" t="s">
        <v>344</v>
      </c>
    </row>
    <row r="46" spans="2:19" x14ac:dyDescent="0.2">
      <c r="B46" s="62"/>
      <c r="C46" t="s">
        <v>340</v>
      </c>
      <c r="D46"/>
      <c r="E46" s="16" t="s">
        <v>682</v>
      </c>
      <c r="F46" s="465"/>
      <c r="G46" s="465"/>
      <c r="H46" s="465"/>
      <c r="I46" s="465"/>
      <c r="J46" s="465"/>
      <c r="K46" s="486"/>
      <c r="L46" s="526"/>
      <c r="M46" s="526"/>
      <c r="N46" s="184">
        <f>F46</f>
        <v>0</v>
      </c>
      <c r="O46" s="166"/>
      <c r="P46"/>
      <c r="Q46"/>
      <c r="R46" s="190">
        <f t="shared" si="4"/>
        <v>0</v>
      </c>
      <c r="S46" s="215" t="s">
        <v>345</v>
      </c>
    </row>
    <row r="47" spans="2:19" x14ac:dyDescent="0.2">
      <c r="B47" s="108"/>
      <c r="C47" s="42"/>
      <c r="D47" s="42"/>
      <c r="E47" s="490"/>
      <c r="F47" s="469"/>
      <c r="G47" s="469"/>
      <c r="H47" s="469"/>
      <c r="I47" s="469"/>
      <c r="J47" s="469"/>
      <c r="K47" s="491"/>
      <c r="L47" s="532"/>
      <c r="M47" s="532"/>
      <c r="N47" s="189"/>
      <c r="O47" s="195"/>
      <c r="P47" s="42"/>
      <c r="Q47" s="42"/>
      <c r="R47" s="196"/>
      <c r="S47" s="183"/>
    </row>
    <row r="48" spans="2:19" x14ac:dyDescent="0.2">
      <c r="B48" s="35" t="s">
        <v>75</v>
      </c>
      <c r="E48" s="17"/>
      <c r="F48" s="467"/>
      <c r="G48" s="467"/>
      <c r="H48" s="467"/>
      <c r="I48" s="467"/>
      <c r="J48" s="467"/>
      <c r="K48" s="488"/>
      <c r="L48" s="530"/>
      <c r="M48" s="530"/>
      <c r="N48" s="187"/>
      <c r="O48" s="109"/>
      <c r="R48" s="192"/>
      <c r="S48" s="183"/>
    </row>
    <row r="49" spans="2:19" x14ac:dyDescent="0.2">
      <c r="B49" s="62"/>
      <c r="C49" t="s">
        <v>98</v>
      </c>
      <c r="D49"/>
      <c r="E49" s="16" t="s">
        <v>683</v>
      </c>
      <c r="F49" s="465"/>
      <c r="G49" s="465"/>
      <c r="H49" s="465"/>
      <c r="I49" s="465"/>
      <c r="J49" s="465"/>
      <c r="K49" s="486"/>
      <c r="L49" s="526"/>
      <c r="M49" s="526"/>
      <c r="N49" s="184"/>
      <c r="O49" s="166"/>
      <c r="P49"/>
      <c r="Q49"/>
      <c r="R49" s="459">
        <f>K49</f>
        <v>0</v>
      </c>
      <c r="S49" s="215" t="s">
        <v>334</v>
      </c>
    </row>
    <row r="50" spans="2:19" x14ac:dyDescent="0.2">
      <c r="B50" s="62"/>
      <c r="C50" t="s">
        <v>333</v>
      </c>
      <c r="D50"/>
      <c r="E50" s="16" t="s">
        <v>684</v>
      </c>
      <c r="F50" s="465"/>
      <c r="G50" s="465"/>
      <c r="H50" s="465"/>
      <c r="I50" s="465"/>
      <c r="J50" s="465"/>
      <c r="K50" s="486"/>
      <c r="L50" s="526"/>
      <c r="M50" s="526"/>
      <c r="N50" s="184"/>
      <c r="O50" s="166"/>
      <c r="P50"/>
      <c r="Q50"/>
      <c r="R50" s="459">
        <f>K50</f>
        <v>0</v>
      </c>
      <c r="S50" s="215" t="s">
        <v>335</v>
      </c>
    </row>
    <row r="51" spans="2:19" x14ac:dyDescent="0.2">
      <c r="B51" s="62"/>
      <c r="C51" t="s">
        <v>99</v>
      </c>
      <c r="D51"/>
      <c r="E51" s="16" t="s">
        <v>685</v>
      </c>
      <c r="F51" s="465"/>
      <c r="G51" s="465"/>
      <c r="H51" s="465"/>
      <c r="I51" s="465"/>
      <c r="J51" s="465"/>
      <c r="K51" s="486"/>
      <c r="L51" s="526"/>
      <c r="M51" s="526"/>
      <c r="N51" s="184"/>
      <c r="O51" s="166"/>
      <c r="P51"/>
      <c r="Q51"/>
      <c r="R51" s="459">
        <f>K51</f>
        <v>0</v>
      </c>
      <c r="S51" s="215" t="s">
        <v>336</v>
      </c>
    </row>
    <row r="52" spans="2:19" ht="17" thickBot="1" x14ac:dyDescent="0.25">
      <c r="B52" s="44"/>
      <c r="C52" s="69"/>
      <c r="D52" s="69"/>
      <c r="E52" s="119"/>
      <c r="F52" s="470"/>
      <c r="G52" s="470"/>
      <c r="H52" s="470"/>
      <c r="I52" s="470"/>
      <c r="J52" s="470"/>
      <c r="K52" s="492"/>
      <c r="L52" s="533"/>
      <c r="M52" s="533"/>
      <c r="N52" s="119"/>
      <c r="O52" s="69"/>
      <c r="P52" s="69"/>
      <c r="Q52" s="69"/>
      <c r="R52" s="129"/>
    </row>
    <row r="53" spans="2:19" x14ac:dyDescent="0.2">
      <c r="F53" s="467"/>
      <c r="G53" s="467"/>
      <c r="H53" s="467"/>
      <c r="I53" s="467"/>
      <c r="J53" s="467"/>
      <c r="K53" s="467"/>
      <c r="L53" s="530"/>
      <c r="M53" s="530"/>
    </row>
  </sheetData>
  <pageMargins left="0.75" right="0.75" top="1" bottom="1" header="0.5" footer="0.5"/>
  <pageSetup paperSize="9" orientation="portrait" horizontalDpi="4294967292" verticalDpi="4294967292"/>
  <ignoredErrors>
    <ignoredError sqref="R27 R12 R13:R1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5" tint="0.39997558519241921"/>
  </sheetPr>
  <dimension ref="B2:F38"/>
  <sheetViews>
    <sheetView workbookViewId="0">
      <selection activeCell="D17" sqref="D17"/>
    </sheetView>
  </sheetViews>
  <sheetFormatPr baseColWidth="10" defaultRowHeight="16" x14ac:dyDescent="0.2"/>
  <cols>
    <col min="1" max="1" width="10.83203125" style="1"/>
    <col min="2" max="3" width="20.83203125" style="1" customWidth="1"/>
    <col min="4" max="4" width="23.1640625" style="1" customWidth="1"/>
    <col min="5" max="5" width="21" style="1" customWidth="1"/>
    <col min="6" max="6" width="9.6640625" style="1" customWidth="1"/>
    <col min="7" max="7" width="42" style="1" bestFit="1" customWidth="1"/>
    <col min="8" max="8" width="10.83203125" style="1"/>
    <col min="9" max="9" width="18.6640625" style="1" bestFit="1" customWidth="1"/>
    <col min="10" max="10" width="8.33203125" style="1" bestFit="1" customWidth="1"/>
    <col min="11" max="11" width="7.5" style="1" bestFit="1" customWidth="1"/>
    <col min="12" max="12" width="6.1640625" style="1" customWidth="1"/>
    <col min="13" max="14" width="10.83203125" style="1"/>
    <col min="15" max="15" width="15.83203125" style="1" bestFit="1" customWidth="1"/>
    <col min="16" max="16384" width="10.83203125" style="1"/>
  </cols>
  <sheetData>
    <row r="2" spans="2:6" ht="21" x14ac:dyDescent="0.25">
      <c r="B2" s="2" t="s">
        <v>534</v>
      </c>
    </row>
    <row r="4" spans="2:6" x14ac:dyDescent="0.2">
      <c r="B4" s="3" t="s">
        <v>78</v>
      </c>
      <c r="C4" s="4"/>
      <c r="D4" s="4"/>
      <c r="E4" s="5"/>
    </row>
    <row r="5" spans="2:6" x14ac:dyDescent="0.2">
      <c r="B5" s="596" t="s">
        <v>379</v>
      </c>
      <c r="C5" s="597"/>
      <c r="D5" s="597"/>
      <c r="E5" s="598"/>
      <c r="F5" s="143"/>
    </row>
    <row r="6" spans="2:6" ht="17" thickBot="1" x14ac:dyDescent="0.25"/>
    <row r="7" spans="2:6" ht="34" x14ac:dyDescent="0.2">
      <c r="B7" s="140" t="s">
        <v>383</v>
      </c>
      <c r="C7" s="394" t="s">
        <v>279</v>
      </c>
      <c r="D7" s="120" t="s">
        <v>411</v>
      </c>
      <c r="E7" s="121" t="s">
        <v>277</v>
      </c>
      <c r="F7" s="144"/>
    </row>
    <row r="8" spans="2:6" x14ac:dyDescent="0.2">
      <c r="B8" s="158" t="s">
        <v>205</v>
      </c>
      <c r="D8" s="270"/>
      <c r="E8" s="95"/>
    </row>
    <row r="9" spans="2:6" x14ac:dyDescent="0.2">
      <c r="B9" s="160"/>
      <c r="C9" t="s">
        <v>96</v>
      </c>
      <c r="D9" s="275" t="e">
        <f>SUM('Final demand per energy carrier'!H15:H25)</f>
        <v>#DIV/0!</v>
      </c>
      <c r="E9" s="272" t="e">
        <f>IF(SUM($D$9:$D$10)=0,1,D9/SUM($D$9:$D$10))</f>
        <v>#DIV/0!</v>
      </c>
    </row>
    <row r="10" spans="2:6" x14ac:dyDescent="0.2">
      <c r="B10" s="160"/>
      <c r="C10" t="s">
        <v>381</v>
      </c>
      <c r="D10" s="275" t="e">
        <f>SUM('Final demand per energy carrier'!H28:H38)</f>
        <v>#DIV/0!</v>
      </c>
      <c r="E10" s="272" t="e">
        <f>IF(SUM($D$9:$D$10)=0,0,D10/SUM($D$9:$D$10))</f>
        <v>#DIV/0!</v>
      </c>
    </row>
    <row r="11" spans="2:6" x14ac:dyDescent="0.2">
      <c r="B11" s="160"/>
      <c r="C11" s="9"/>
      <c r="D11" s="276"/>
      <c r="E11" s="273"/>
    </row>
    <row r="12" spans="2:6" x14ac:dyDescent="0.2">
      <c r="B12" s="158" t="s">
        <v>207</v>
      </c>
      <c r="D12" s="277"/>
      <c r="E12" s="274"/>
    </row>
    <row r="13" spans="2:6" x14ac:dyDescent="0.2">
      <c r="B13" s="160"/>
      <c r="C13" t="s">
        <v>96</v>
      </c>
      <c r="D13" s="275" t="e">
        <f>SUM('Final demand per energy carrier'!I15:I25)</f>
        <v>#DIV/0!</v>
      </c>
      <c r="E13" s="272" t="e">
        <f>IF(SUM($D$13:$D$14)=0,1,D13/SUM($D$13:$D$14))</f>
        <v>#DIV/0!</v>
      </c>
    </row>
    <row r="14" spans="2:6" x14ac:dyDescent="0.2">
      <c r="B14" s="160"/>
      <c r="C14" t="s">
        <v>290</v>
      </c>
      <c r="D14" s="275" t="e">
        <f>SUM('Final demand per energy carrier'!I28:I38)</f>
        <v>#DIV/0!</v>
      </c>
      <c r="E14" s="272" t="e">
        <f>IF(SUM($D$13:$D$14)=0,0,D14/SUM($D$13:$D$14))</f>
        <v>#DIV/0!</v>
      </c>
    </row>
    <row r="15" spans="2:6" x14ac:dyDescent="0.2">
      <c r="B15" s="160"/>
      <c r="D15" s="276"/>
      <c r="E15" s="273"/>
    </row>
    <row r="16" spans="2:6" x14ac:dyDescent="0.2">
      <c r="B16" s="158" t="s">
        <v>384</v>
      </c>
      <c r="C16" s="271"/>
      <c r="D16" s="277"/>
      <c r="E16" s="274"/>
    </row>
    <row r="17" spans="2:5" x14ac:dyDescent="0.2">
      <c r="B17" s="160"/>
      <c r="C17" t="s">
        <v>96</v>
      </c>
      <c r="D17" s="275" t="e">
        <f>SUM('Final demand per energy carrier'!E15:E25)</f>
        <v>#DIV/0!</v>
      </c>
      <c r="E17" s="272" t="e">
        <f>IF(SUM($D$17:$D$20)=0,1,D17/SUM($D$17:$D$20))</f>
        <v>#DIV/0!</v>
      </c>
    </row>
    <row r="18" spans="2:5" x14ac:dyDescent="0.2">
      <c r="B18" s="160"/>
      <c r="C18" t="s">
        <v>381</v>
      </c>
      <c r="D18" s="275" t="e">
        <f>SUM('Final demand per energy carrier'!E28:E38)</f>
        <v>#DIV/0!</v>
      </c>
      <c r="E18" s="272" t="e">
        <f>IF(SUM($D$17:$D$20)=0,0,D18/SUM($D$17:$D$20))</f>
        <v>#DIV/0!</v>
      </c>
    </row>
    <row r="19" spans="2:5" x14ac:dyDescent="0.2">
      <c r="B19" s="160"/>
      <c r="C19" t="s">
        <v>95</v>
      </c>
      <c r="D19" s="275">
        <f>SUM('Final demand per energy carrier'!E41:E43)</f>
        <v>0</v>
      </c>
      <c r="E19" s="272" t="e">
        <f>IF(SUM($D$17:$D$20)=0,0,D19/SUM($D$17:$D$20))</f>
        <v>#DIV/0!</v>
      </c>
    </row>
    <row r="20" spans="2:5" x14ac:dyDescent="0.2">
      <c r="B20" s="389"/>
      <c r="C20" t="s">
        <v>276</v>
      </c>
      <c r="D20" s="275" t="e">
        <f>SUM('Final demand per energy carrier'!E47:E51)</f>
        <v>#DIV/0!</v>
      </c>
      <c r="E20" s="272" t="e">
        <f>IF(SUM($D$17:$D$20)=0,0,D20/SUM($D$17:$D$20))</f>
        <v>#DIV/0!</v>
      </c>
    </row>
    <row r="21" spans="2:5" x14ac:dyDescent="0.2">
      <c r="B21" s="35"/>
      <c r="D21" s="276"/>
      <c r="E21" s="273"/>
    </row>
    <row r="22" spans="2:5" x14ac:dyDescent="0.2">
      <c r="B22" s="158" t="s">
        <v>377</v>
      </c>
      <c r="C22" s="271"/>
      <c r="D22" s="277"/>
      <c r="E22" s="274"/>
    </row>
    <row r="23" spans="2:5" x14ac:dyDescent="0.2">
      <c r="B23" s="160"/>
      <c r="C23" t="s">
        <v>96</v>
      </c>
      <c r="D23" s="275" t="e">
        <f>SUM('Final demand per energy carrier'!J15:J25)</f>
        <v>#DIV/0!</v>
      </c>
      <c r="E23" s="272" t="e">
        <f>IF(SUM($D$23:$D$25)=0,1,D23/SUM($D$23:$D$25))</f>
        <v>#DIV/0!</v>
      </c>
    </row>
    <row r="24" spans="2:5" x14ac:dyDescent="0.2">
      <c r="B24" s="160"/>
      <c r="C24" t="s">
        <v>381</v>
      </c>
      <c r="D24" s="275" t="e">
        <f>SUM('Final demand per energy carrier'!J28:J38)</f>
        <v>#DIV/0!</v>
      </c>
      <c r="E24" s="272" t="e">
        <f>IF(SUM($D$23:$D$25)=0,0,D24/SUM($D$23:$D$25))</f>
        <v>#DIV/0!</v>
      </c>
    </row>
    <row r="25" spans="2:5" x14ac:dyDescent="0.2">
      <c r="B25" s="160"/>
      <c r="C25" t="s">
        <v>276</v>
      </c>
      <c r="D25" s="275" t="e">
        <f>SUM('Final demand per energy carrier'!J47:J51)</f>
        <v>#DIV/0!</v>
      </c>
      <c r="E25" s="272" t="e">
        <f>IF(SUM($D$23:$D$25)=0,0,D25/SUM($D$23:$D$25))</f>
        <v>#DIV/0!</v>
      </c>
    </row>
    <row r="26" spans="2:5" x14ac:dyDescent="0.2">
      <c r="B26" s="160"/>
      <c r="D26" s="276"/>
      <c r="E26" s="273"/>
    </row>
    <row r="27" spans="2:5" x14ac:dyDescent="0.2">
      <c r="B27" s="158" t="s">
        <v>220</v>
      </c>
      <c r="C27" s="271"/>
      <c r="D27" s="277"/>
      <c r="E27" s="274"/>
    </row>
    <row r="28" spans="2:5" x14ac:dyDescent="0.2">
      <c r="B28" s="160"/>
      <c r="C28" t="s">
        <v>96</v>
      </c>
      <c r="D28" s="275" t="e">
        <f>SUM('Final demand per energy carrier'!F15:F25)</f>
        <v>#DIV/0!</v>
      </c>
      <c r="E28" s="272" t="e">
        <f>IF(SUM($D$28:$D$33)=0,1,D28/SUM($D$28:$D$33))</f>
        <v>#DIV/0!</v>
      </c>
    </row>
    <row r="29" spans="2:5" x14ac:dyDescent="0.2">
      <c r="B29" s="160"/>
      <c r="C29" t="s">
        <v>381</v>
      </c>
      <c r="D29" s="275" t="e">
        <f>SUM('Final demand per energy carrier'!F28:F38)</f>
        <v>#DIV/0!</v>
      </c>
      <c r="E29" s="272" t="e">
        <f>IF(SUM($D$28:$D$33)=0,0,D29/SUM($D$28:$D$33))</f>
        <v>#DIV/0!</v>
      </c>
    </row>
    <row r="30" spans="2:5" x14ac:dyDescent="0.2">
      <c r="B30" s="160"/>
      <c r="C30" t="s">
        <v>276</v>
      </c>
      <c r="D30" s="275" t="e">
        <f>SUM('Final demand per energy carrier'!F47:F51)</f>
        <v>#DIV/0!</v>
      </c>
      <c r="E30" s="272" t="e">
        <f>IF(SUM($D$28:$D$33)=0,0,D30/SUM($D$28:$D$33))</f>
        <v>#DIV/0!</v>
      </c>
    </row>
    <row r="31" spans="2:5" x14ac:dyDescent="0.2">
      <c r="B31" s="160"/>
      <c r="C31" t="s">
        <v>75</v>
      </c>
      <c r="D31" s="275" t="e">
        <f>SUM('Final demand per energy carrier'!F55:F57)</f>
        <v>#DIV/0!</v>
      </c>
      <c r="E31" s="272" t="e">
        <f>IF(SUM($D$28:$D$33)=0,0,D31/SUM($D$28:$D$33))</f>
        <v>#DIV/0!</v>
      </c>
    </row>
    <row r="32" spans="2:5" x14ac:dyDescent="0.2">
      <c r="B32" s="160"/>
      <c r="C32" t="s">
        <v>649</v>
      </c>
      <c r="D32" s="275">
        <f>SUM('Final demand per energy carrier'!F61:F68)</f>
        <v>0</v>
      </c>
      <c r="E32" s="272" t="e">
        <f>IF(SUM($D$28:$D$33)=0,0,D32/SUM($D$28:$D$33))</f>
        <v>#DIV/0!</v>
      </c>
    </row>
    <row r="33" spans="2:5" x14ac:dyDescent="0.2">
      <c r="B33" s="160"/>
      <c r="C33" t="s">
        <v>95</v>
      </c>
      <c r="D33" s="275" t="e">
        <f>SUM('Final demand per energy carrier'!F41:F43)</f>
        <v>#DIV/0!</v>
      </c>
      <c r="E33" s="272" t="e">
        <f>IF(SUM($D$28:$D$33)=0,0,D33/SUM($D$28:$D$33))</f>
        <v>#DIV/0!</v>
      </c>
    </row>
    <row r="34" spans="2:5" x14ac:dyDescent="0.2">
      <c r="B34" s="390"/>
      <c r="D34" s="276"/>
      <c r="E34" s="273"/>
    </row>
    <row r="35" spans="2:5" x14ac:dyDescent="0.2">
      <c r="B35" s="391" t="s">
        <v>637</v>
      </c>
      <c r="C35" s="271"/>
      <c r="D35" s="277"/>
      <c r="E35" s="274"/>
    </row>
    <row r="36" spans="2:5" x14ac:dyDescent="0.2">
      <c r="B36" s="160"/>
      <c r="C36" t="s">
        <v>96</v>
      </c>
      <c r="D36" s="275" t="e">
        <f>SUM('Final demand per energy carrier'!K15:K25)</f>
        <v>#DIV/0!</v>
      </c>
      <c r="E36" s="272" t="e">
        <f>IF(SUM($D$36:$D$37)=0,1,D36/SUM($D$36:$D$37))</f>
        <v>#DIV/0!</v>
      </c>
    </row>
    <row r="37" spans="2:5" x14ac:dyDescent="0.2">
      <c r="B37" s="160"/>
      <c r="C37" t="s">
        <v>381</v>
      </c>
      <c r="D37" s="275" t="e">
        <f>SUM('Final demand per energy carrier'!K28:K38)</f>
        <v>#DIV/0!</v>
      </c>
      <c r="E37" s="272" t="e">
        <f>IF(SUM($D$36:$D$37)=0,0,D37/SUM($D$36:$D$37))</f>
        <v>#DIV/0!</v>
      </c>
    </row>
    <row r="38" spans="2:5" ht="17" thickBot="1" x14ac:dyDescent="0.25">
      <c r="B38" s="392"/>
      <c r="C38" s="69"/>
      <c r="D38" s="119"/>
      <c r="E38" s="70"/>
    </row>
  </sheetData>
  <mergeCells count="1">
    <mergeCell ref="B5:E5"/>
  </mergeCells>
  <pageMargins left="0.75" right="0.75" top="1" bottom="1" header="0.5" footer="0.5"/>
  <pageSetup paperSize="9" orientation="portrait" horizontalDpi="4294967292" verticalDpi="429496729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5" tint="0.39997558519241921"/>
  </sheetPr>
  <dimension ref="B2:G57"/>
  <sheetViews>
    <sheetView workbookViewId="0">
      <selection activeCell="H58" sqref="H58"/>
    </sheetView>
  </sheetViews>
  <sheetFormatPr baseColWidth="10" defaultRowHeight="16" x14ac:dyDescent="0.2"/>
  <cols>
    <col min="1" max="1" width="10.83203125" style="1"/>
    <col min="2" max="2" width="24.83203125" style="1" customWidth="1"/>
    <col min="3" max="3" width="14.6640625" style="1" customWidth="1"/>
    <col min="4" max="4" width="41.1640625" style="1" bestFit="1" customWidth="1"/>
    <col min="5" max="5" width="28.5" style="1" customWidth="1"/>
    <col min="6" max="7" width="22.6640625" style="1" customWidth="1"/>
    <col min="8" max="8" width="52.33203125" style="1" bestFit="1" customWidth="1"/>
    <col min="9" max="9" width="38.6640625" style="1" bestFit="1" customWidth="1"/>
    <col min="10" max="10" width="37.6640625" style="1" bestFit="1" customWidth="1"/>
    <col min="11" max="16384" width="10.83203125" style="1"/>
  </cols>
  <sheetData>
    <row r="2" spans="2:7" ht="21" x14ac:dyDescent="0.25">
      <c r="B2" s="2" t="s">
        <v>536</v>
      </c>
      <c r="C2" s="2"/>
    </row>
    <row r="4" spans="2:7" x14ac:dyDescent="0.2">
      <c r="B4" s="3" t="s">
        <v>78</v>
      </c>
      <c r="C4" s="11"/>
      <c r="D4" s="4"/>
      <c r="E4" s="4"/>
      <c r="F4" s="5"/>
    </row>
    <row r="5" spans="2:7" ht="33" customHeight="1" x14ac:dyDescent="0.2">
      <c r="B5" s="596" t="s">
        <v>514</v>
      </c>
      <c r="C5" s="597"/>
      <c r="D5" s="597"/>
      <c r="E5" s="597"/>
      <c r="F5" s="598"/>
      <c r="G5" s="144"/>
    </row>
    <row r="6" spans="2:7" ht="17" thickBot="1" x14ac:dyDescent="0.25"/>
    <row r="7" spans="2:7" ht="51" x14ac:dyDescent="0.2">
      <c r="B7" s="140" t="s">
        <v>279</v>
      </c>
      <c r="C7" s="145" t="s">
        <v>383</v>
      </c>
      <c r="D7" s="122"/>
      <c r="E7" s="120" t="s">
        <v>380</v>
      </c>
      <c r="F7" s="121" t="s">
        <v>412</v>
      </c>
    </row>
    <row r="8" spans="2:7" x14ac:dyDescent="0.2">
      <c r="B8" s="158" t="s">
        <v>96</v>
      </c>
      <c r="C8" s="393"/>
      <c r="D8" s="142"/>
      <c r="E8" s="270"/>
      <c r="F8" s="95"/>
    </row>
    <row r="9" spans="2:7" x14ac:dyDescent="0.2">
      <c r="B9" s="160"/>
      <c r="C9" s="56" t="s">
        <v>384</v>
      </c>
      <c r="D9" t="str">
        <f>technical_specs!C17</f>
        <v>Gas-fired Heaters (space heating)</v>
      </c>
      <c r="E9" s="278" t="e">
        <f>'Technology split final demand'!I17</f>
        <v>#DIV/0!</v>
      </c>
      <c r="F9" s="281" t="e">
        <f>IF(SUM($E$9:$E$11)=0,0,E9/SUM($E$9:$E$11))</f>
        <v>#DIV/0!</v>
      </c>
    </row>
    <row r="10" spans="2:7" x14ac:dyDescent="0.2">
      <c r="B10" s="160"/>
      <c r="C10" s="56"/>
      <c r="D10" t="str">
        <f>technical_specs!C11</f>
        <v>Condensing Combi Boiler (space heating)</v>
      </c>
      <c r="E10" s="278" t="e">
        <f>'Technology split final demand'!I11</f>
        <v>#DIV/0!</v>
      </c>
      <c r="F10" s="281" t="e">
        <f>IF(SUM($E$9:$E$11)=0,0,E10/SUM($E$9:$E$11))</f>
        <v>#DIV/0!</v>
      </c>
    </row>
    <row r="11" spans="2:7" x14ac:dyDescent="0.2">
      <c r="B11" s="160"/>
      <c r="C11" s="56"/>
      <c r="D11" t="str">
        <f>technical_specs!C21</f>
        <v>Hybrid heatpump, gas part (space heating)</v>
      </c>
      <c r="E11" s="278" t="e">
        <f>'Technology split final demand'!I21</f>
        <v>#DIV/0!</v>
      </c>
      <c r="F11" s="281" t="e">
        <f>IF(SUM($E$9:$E$11)=0,0,E11/SUM($E$9:$E$11))</f>
        <v>#DIV/0!</v>
      </c>
    </row>
    <row r="12" spans="2:7" x14ac:dyDescent="0.2">
      <c r="B12" s="35"/>
      <c r="E12" s="279"/>
      <c r="F12" s="274"/>
    </row>
    <row r="13" spans="2:7" x14ac:dyDescent="0.2">
      <c r="B13" s="35"/>
      <c r="C13" s="56" t="s">
        <v>105</v>
      </c>
      <c r="D13" t="str">
        <f>technical_specs!C16</f>
        <v>Electric Heaters (resistance) (space heating)</v>
      </c>
      <c r="E13" s="278" t="e">
        <f>'Technology split final demand'!I16</f>
        <v>#DIV/0!</v>
      </c>
      <c r="F13" s="281" t="e">
        <f>IF(SUM($E$13:$E$16)=0,1,E13/SUM($E$13:$E$16))</f>
        <v>#DIV/0!</v>
      </c>
    </row>
    <row r="14" spans="2:7" x14ac:dyDescent="0.2">
      <c r="B14" s="35"/>
      <c r="D14" t="str">
        <f>technical_specs!C14</f>
        <v>electricity-driven Heat pump (air) (space heating)</v>
      </c>
      <c r="E14" s="278" t="e">
        <f>'Technology split final demand'!I14</f>
        <v>#DIV/0!</v>
      </c>
      <c r="F14" s="281" t="e">
        <f>IF(SUM($E$13:$E$16)=0,0,E14/SUM($E$13:$E$16))</f>
        <v>#DIV/0!</v>
      </c>
    </row>
    <row r="15" spans="2:7" x14ac:dyDescent="0.2">
      <c r="B15" s="35"/>
      <c r="D15" t="str">
        <f>technical_specs!C12</f>
        <v>Electric Heat Pump (ground) (space heating)</v>
      </c>
      <c r="E15" s="278" t="e">
        <f>'Technology split final demand'!I12</f>
        <v>#DIV/0!</v>
      </c>
      <c r="F15" s="281" t="e">
        <f t="shared" ref="F15" si="0">IF(SUM($E$13:$E$16)=0,0,E15/SUM($E$13:$E$16))</f>
        <v>#DIV/0!</v>
      </c>
    </row>
    <row r="16" spans="2:7" x14ac:dyDescent="0.2">
      <c r="B16" s="35"/>
      <c r="D16" t="str">
        <f>technical_specs!C20</f>
        <v>Hybrid heatpump, heatpump part (space heating)</v>
      </c>
      <c r="E16" s="278" t="e">
        <f>'Technology split final demand'!I20</f>
        <v>#DIV/0!</v>
      </c>
      <c r="F16" s="281" t="e">
        <f>IF(SUM($E$13:$E$16)=0,0,E16/SUM($E$13:$E$16))</f>
        <v>#DIV/0!</v>
      </c>
    </row>
    <row r="17" spans="2:6" x14ac:dyDescent="0.2">
      <c r="B17" s="101"/>
      <c r="C17" s="9"/>
      <c r="D17" s="9"/>
      <c r="E17" s="280"/>
      <c r="F17" s="273"/>
    </row>
    <row r="18" spans="2:6" x14ac:dyDescent="0.2">
      <c r="B18" s="160" t="s">
        <v>381</v>
      </c>
      <c r="E18" s="279"/>
      <c r="F18" s="274"/>
    </row>
    <row r="19" spans="2:6" x14ac:dyDescent="0.2">
      <c r="B19" s="35"/>
      <c r="C19" s="56" t="s">
        <v>384</v>
      </c>
      <c r="D19" t="str">
        <f>technical_specs!C24</f>
        <v>Condensing Combi Boiler (hot water)</v>
      </c>
      <c r="E19" s="278" t="e">
        <f>'Technology split final demand'!I24</f>
        <v>#DIV/0!</v>
      </c>
      <c r="F19" s="281" t="e">
        <f>IF(SUM($E$19:$E$21)=0,0,E19/SUM($E$19:$E$21))</f>
        <v>#DIV/0!</v>
      </c>
    </row>
    <row r="20" spans="2:6" x14ac:dyDescent="0.2">
      <c r="B20" s="35"/>
      <c r="D20" t="str">
        <f>technical_specs!C30</f>
        <v>Gas-fired Heaters (hot water)</v>
      </c>
      <c r="E20" s="278" t="e">
        <f>'Technology split final demand'!I30</f>
        <v>#DIV/0!</v>
      </c>
      <c r="F20" s="281" t="e">
        <f>IF(SUM($E$19:$E$21)=0,0,E20/SUM($E$19:$E$21))</f>
        <v>#DIV/0!</v>
      </c>
    </row>
    <row r="21" spans="2:6" x14ac:dyDescent="0.2">
      <c r="B21" s="35"/>
      <c r="D21" t="str">
        <f>technical_specs!C34</f>
        <v>Hybrid heatpump, gas part (hot water)</v>
      </c>
      <c r="E21" s="278" t="e">
        <f>'Technology split final demand'!I34</f>
        <v>#DIV/0!</v>
      </c>
      <c r="F21" s="281" t="e">
        <f>IF(SUM($E$19:$E$21)=0,0,E21/SUM($E$19:$E$21))</f>
        <v>#DIV/0!</v>
      </c>
    </row>
    <row r="22" spans="2:6" x14ac:dyDescent="0.2">
      <c r="B22" s="35"/>
      <c r="E22" s="279"/>
      <c r="F22" s="282"/>
    </row>
    <row r="23" spans="2:6" x14ac:dyDescent="0.2">
      <c r="B23" s="35"/>
      <c r="C23" s="56" t="s">
        <v>105</v>
      </c>
      <c r="D23" t="str">
        <f>technical_specs!C27</f>
        <v>electricity-driven Heat pump (air) (hot water)</v>
      </c>
      <c r="E23" s="278" t="e">
        <f>'Technology split final demand'!I27</f>
        <v>#DIV/0!</v>
      </c>
      <c r="F23" s="281" t="e">
        <f>IF(SUM($E$23:$E$26)=0,0,E23/SUM($E$23:$E$26))</f>
        <v>#DIV/0!</v>
      </c>
    </row>
    <row r="24" spans="2:6" x14ac:dyDescent="0.2">
      <c r="B24" s="35"/>
      <c r="D24" t="str">
        <f>technical_specs!C25</f>
        <v>Electric Heat Pump (ground) (hot water)</v>
      </c>
      <c r="E24" s="278" t="e">
        <f>'Technology split final demand'!I25</f>
        <v>#DIV/0!</v>
      </c>
      <c r="F24" s="281" t="e">
        <f t="shared" ref="F24:F26" si="1">IF(SUM($E$23:$E$26)=0,0,E24/SUM($E$23:$E$26))</f>
        <v>#DIV/0!</v>
      </c>
    </row>
    <row r="25" spans="2:6" x14ac:dyDescent="0.2">
      <c r="B25" s="35"/>
      <c r="D25" t="str">
        <f>technical_specs!C29</f>
        <v>Electric Heaters (resistance) (hot water)</v>
      </c>
      <c r="E25" s="278" t="e">
        <f>'Technology split final demand'!I29</f>
        <v>#DIV/0!</v>
      </c>
      <c r="F25" s="281" t="e">
        <f t="shared" si="1"/>
        <v>#DIV/0!</v>
      </c>
    </row>
    <row r="26" spans="2:6" x14ac:dyDescent="0.2">
      <c r="B26" s="35"/>
      <c r="D26" t="str">
        <f>technical_specs!C33</f>
        <v>Hybrid heatpump, heatpump part (hot water)</v>
      </c>
      <c r="E26" s="278" t="e">
        <f>'Technology split final demand'!I33</f>
        <v>#DIV/0!</v>
      </c>
      <c r="F26" s="281" t="e">
        <f t="shared" si="1"/>
        <v>#DIV/0!</v>
      </c>
    </row>
    <row r="27" spans="2:6" x14ac:dyDescent="0.2">
      <c r="B27" s="101"/>
      <c r="C27" s="9"/>
      <c r="D27" s="9"/>
      <c r="E27" s="280"/>
      <c r="F27" s="283"/>
    </row>
    <row r="28" spans="2:6" x14ac:dyDescent="0.2">
      <c r="B28" s="160" t="s">
        <v>413</v>
      </c>
      <c r="E28" s="279"/>
      <c r="F28" s="282"/>
    </row>
    <row r="29" spans="2:6" x14ac:dyDescent="0.2">
      <c r="B29" s="35"/>
      <c r="C29" s="56" t="s">
        <v>104</v>
      </c>
      <c r="D29" t="e">
        <f>'Technology split final demand'!#REF!</f>
        <v>#REF!</v>
      </c>
      <c r="E29" s="278" t="e">
        <f>'Technology split final demand'!#REF!</f>
        <v>#REF!</v>
      </c>
      <c r="F29" s="281" t="e">
        <f>IF(SUM($E$29:$E$29)=0,1,E29/SUM($E$29:$E$29))</f>
        <v>#REF!</v>
      </c>
    </row>
    <row r="30" spans="2:6" x14ac:dyDescent="0.2">
      <c r="B30" s="101"/>
      <c r="C30" s="9"/>
      <c r="D30" s="9"/>
      <c r="E30" s="280"/>
      <c r="F30" s="283"/>
    </row>
    <row r="31" spans="2:6" x14ac:dyDescent="0.2">
      <c r="B31" s="160" t="s">
        <v>95</v>
      </c>
      <c r="E31" s="279"/>
      <c r="F31" s="282"/>
    </row>
    <row r="32" spans="2:6" x14ac:dyDescent="0.2">
      <c r="B32" s="35"/>
      <c r="C32" s="56" t="s">
        <v>105</v>
      </c>
      <c r="D32" t="str">
        <f>technical_specs!C39</f>
        <v>Conventional electric airconditioning</v>
      </c>
      <c r="E32" s="278" t="e">
        <f>'Technology split final demand'!I39</f>
        <v>#DIV/0!</v>
      </c>
      <c r="F32" s="281" t="e">
        <f>IF(SUM($E$32:$E$34)=0,1,E32/SUM($E$32:$E$34))</f>
        <v>#DIV/0!</v>
      </c>
    </row>
    <row r="33" spans="2:6" x14ac:dyDescent="0.2">
      <c r="B33" s="35"/>
      <c r="D33" t="str">
        <f>technical_specs!C37</f>
        <v>Electric heat pump ground</v>
      </c>
      <c r="E33" s="278" t="e">
        <f>'Technology split final demand'!I37</f>
        <v>#DIV/0!</v>
      </c>
      <c r="F33" s="281" t="e">
        <f t="shared" ref="F33:F34" si="2">IF(SUM($E$32:$E$34)=0,0,E33/SUM($E$32:$E$34))</f>
        <v>#DIV/0!</v>
      </c>
    </row>
    <row r="34" spans="2:6" x14ac:dyDescent="0.2">
      <c r="B34" s="35"/>
      <c r="D34" t="str">
        <f>technical_specs!C38</f>
        <v>Electric heat pump air</v>
      </c>
      <c r="E34" s="278" t="e">
        <f>'Technology split final demand'!I38</f>
        <v>#DIV/0!</v>
      </c>
      <c r="F34" s="281" t="e">
        <f t="shared" si="2"/>
        <v>#DIV/0!</v>
      </c>
    </row>
    <row r="35" spans="2:6" x14ac:dyDescent="0.2">
      <c r="B35" s="101"/>
      <c r="C35" s="9"/>
      <c r="D35" s="9"/>
      <c r="E35" s="280"/>
      <c r="F35" s="283"/>
    </row>
    <row r="36" spans="2:6" x14ac:dyDescent="0.2">
      <c r="B36" s="160" t="s">
        <v>276</v>
      </c>
      <c r="E36" s="279"/>
      <c r="F36" s="282"/>
    </row>
    <row r="37" spans="2:6" x14ac:dyDescent="0.2">
      <c r="B37" s="35"/>
      <c r="C37" s="56" t="s">
        <v>105</v>
      </c>
      <c r="D37" t="str">
        <f>technical_specs!C44</f>
        <v>Electric halogen stoves</v>
      </c>
      <c r="E37" s="278" t="e">
        <f>'Technology split final demand'!I44</f>
        <v>#DIV/0!</v>
      </c>
      <c r="F37" s="281" t="e">
        <f>IF(SUM($E$37:$E$39)=0,0,E37/SUM($E$37:$E$39))</f>
        <v>#DIV/0!</v>
      </c>
    </row>
    <row r="38" spans="2:6" x14ac:dyDescent="0.2">
      <c r="B38" s="35"/>
      <c r="D38" t="str">
        <f>technical_specs!C45</f>
        <v>Electric induction stoves</v>
      </c>
      <c r="E38" s="278" t="e">
        <f>'Technology split final demand'!I45</f>
        <v>#DIV/0!</v>
      </c>
      <c r="F38" s="281" t="e">
        <f t="shared" ref="F38" si="3">IF(SUM($E$37:$E$39)=0,0,E38/SUM($E$37:$E$39))</f>
        <v>#DIV/0!</v>
      </c>
    </row>
    <row r="39" spans="2:6" x14ac:dyDescent="0.2">
      <c r="B39" s="35"/>
      <c r="D39" t="str">
        <f>technical_specs!C43</f>
        <v>Electric stoves (resistance)</v>
      </c>
      <c r="E39" s="278" t="e">
        <f>'Technology split final demand'!I43</f>
        <v>#DIV/0!</v>
      </c>
      <c r="F39" s="281" t="e">
        <f>IF(SUM($E$37:$E$39)=0,1,E39/SUM($E$37:$E$39))</f>
        <v>#DIV/0!</v>
      </c>
    </row>
    <row r="40" spans="2:6" x14ac:dyDescent="0.2">
      <c r="B40" s="101"/>
      <c r="C40" s="9"/>
      <c r="D40" s="9"/>
      <c r="E40" s="280"/>
      <c r="F40" s="283"/>
    </row>
    <row r="41" spans="2:6" x14ac:dyDescent="0.2">
      <c r="B41" s="160" t="s">
        <v>75</v>
      </c>
      <c r="E41" s="279"/>
      <c r="F41" s="282"/>
    </row>
    <row r="42" spans="2:6" x14ac:dyDescent="0.2">
      <c r="B42" s="35"/>
      <c r="C42" s="56" t="s">
        <v>105</v>
      </c>
      <c r="E42" s="279"/>
      <c r="F42" s="282"/>
    </row>
    <row r="43" spans="2:6" x14ac:dyDescent="0.2">
      <c r="B43" s="35"/>
      <c r="D43" t="str">
        <f>technical_specs!C50</f>
        <v>Low energy light bulbs / fluorescent lighting</v>
      </c>
      <c r="E43" s="278" t="e">
        <f>'Technology split final demand'!I50</f>
        <v>#DIV/0!</v>
      </c>
      <c r="F43" s="281" t="e">
        <f>IF(SUM($E$43:$E$45)=0,1,E43/SUM($E$43:$E$45))</f>
        <v>#DIV/0!</v>
      </c>
    </row>
    <row r="44" spans="2:6" x14ac:dyDescent="0.2">
      <c r="B44" s="35"/>
      <c r="D44" t="str">
        <f>technical_specs!C49</f>
        <v>Incandescent lamps</v>
      </c>
      <c r="E44" s="278" t="e">
        <f>'Technology split final demand'!I49</f>
        <v>#DIV/0!</v>
      </c>
      <c r="F44" s="281" t="e">
        <f t="shared" ref="F44:F45" si="4">IF(SUM($E$43:$E$45)=0,0,E44/SUM($E$43:$E$45))</f>
        <v>#DIV/0!</v>
      </c>
    </row>
    <row r="45" spans="2:6" x14ac:dyDescent="0.2">
      <c r="B45" s="35"/>
      <c r="D45" t="str">
        <f>technical_specs!C51</f>
        <v>LED lamps</v>
      </c>
      <c r="E45" s="278" t="e">
        <f>'Technology split final demand'!I51</f>
        <v>#DIV/0!</v>
      </c>
      <c r="F45" s="281" t="e">
        <f t="shared" si="4"/>
        <v>#DIV/0!</v>
      </c>
    </row>
    <row r="46" spans="2:6" x14ac:dyDescent="0.2">
      <c r="B46" s="101"/>
      <c r="C46" s="9"/>
      <c r="D46" s="9"/>
      <c r="E46" s="280"/>
      <c r="F46" s="283"/>
    </row>
    <row r="47" spans="2:6" x14ac:dyDescent="0.2">
      <c r="B47" s="160" t="s">
        <v>515</v>
      </c>
      <c r="E47" s="279"/>
      <c r="F47" s="282"/>
    </row>
    <row r="48" spans="2:6" x14ac:dyDescent="0.2">
      <c r="B48" s="35"/>
      <c r="C48" s="56" t="s">
        <v>105</v>
      </c>
      <c r="E48" s="279"/>
      <c r="F48" s="282"/>
    </row>
    <row r="49" spans="2:6" x14ac:dyDescent="0.2">
      <c r="B49" s="35"/>
      <c r="D49" t="str">
        <f>'Final demand per energy carrier'!C61</f>
        <v>Dishwashers</v>
      </c>
      <c r="E49" s="278">
        <f>'Final demand per energy carrier'!D61</f>
        <v>0</v>
      </c>
      <c r="F49" s="281">
        <f>IF(SUM($E$49:$E$56)=0,0,E49/SUM($E$49:$E$56))</f>
        <v>0</v>
      </c>
    </row>
    <row r="50" spans="2:6" x14ac:dyDescent="0.2">
      <c r="B50" s="35"/>
      <c r="D50" t="str">
        <f>'Final demand per energy carrier'!C62</f>
        <v>Fridges / Freezers</v>
      </c>
      <c r="E50" s="278">
        <f>'Final demand per energy carrier'!D62</f>
        <v>0</v>
      </c>
      <c r="F50" s="281">
        <f t="shared" ref="F50:F55" si="5">IF(SUM($E$49:$E$56)=0,0,E50/SUM($E$49:$E$56))</f>
        <v>0</v>
      </c>
    </row>
    <row r="51" spans="2:6" x14ac:dyDescent="0.2">
      <c r="B51" s="35"/>
      <c r="D51" t="str">
        <f>'Final demand per energy carrier'!C63</f>
        <v>Washing Machines</v>
      </c>
      <c r="E51" s="278">
        <f>'Final demand per energy carrier'!D63</f>
        <v>0</v>
      </c>
      <c r="F51" s="281">
        <f t="shared" si="5"/>
        <v>0</v>
      </c>
    </row>
    <row r="52" spans="2:6" x14ac:dyDescent="0.2">
      <c r="B52" s="35"/>
      <c r="D52" t="str">
        <f>'Final demand per energy carrier'!C64</f>
        <v>Dryers</v>
      </c>
      <c r="E52" s="278">
        <f>'Final demand per energy carrier'!D64</f>
        <v>0</v>
      </c>
      <c r="F52" s="281">
        <f t="shared" si="5"/>
        <v>0</v>
      </c>
    </row>
    <row r="53" spans="2:6" x14ac:dyDescent="0.2">
      <c r="B53" s="35"/>
      <c r="D53" t="str">
        <f>'Final demand per energy carrier'!C65</f>
        <v>Television</v>
      </c>
      <c r="E53" s="278">
        <f>'Final demand per energy carrier'!D65</f>
        <v>0</v>
      </c>
      <c r="F53" s="281">
        <f t="shared" si="5"/>
        <v>0</v>
      </c>
    </row>
    <row r="54" spans="2:6" x14ac:dyDescent="0.2">
      <c r="B54" s="35"/>
      <c r="D54" t="str">
        <f>'Final demand per energy carrier'!C66</f>
        <v>Computers / Media</v>
      </c>
      <c r="E54" s="278">
        <f>'Final demand per energy carrier'!D66</f>
        <v>0</v>
      </c>
      <c r="F54" s="281">
        <f t="shared" si="5"/>
        <v>0</v>
      </c>
    </row>
    <row r="55" spans="2:6" x14ac:dyDescent="0.2">
      <c r="B55" s="35"/>
      <c r="D55" t="str">
        <f>'Final demand per energy carrier'!C67</f>
        <v>Vacuum Cleaners</v>
      </c>
      <c r="E55" s="278">
        <f>'Final demand per energy carrier'!D67</f>
        <v>0</v>
      </c>
      <c r="F55" s="281">
        <f t="shared" si="5"/>
        <v>0</v>
      </c>
    </row>
    <row r="56" spans="2:6" x14ac:dyDescent="0.2">
      <c r="B56" s="35"/>
      <c r="D56" t="str">
        <f>'Final demand per energy carrier'!C68</f>
        <v>Others</v>
      </c>
      <c r="E56" s="278">
        <f>'Final demand per energy carrier'!D68</f>
        <v>0</v>
      </c>
      <c r="F56" s="281">
        <f>IF(SUM($E$49:$E$56)=0,1,E56/SUM($E$49:$E$56))</f>
        <v>1</v>
      </c>
    </row>
    <row r="57" spans="2:6" ht="17" thickBot="1" x14ac:dyDescent="0.25">
      <c r="B57" s="356"/>
      <c r="C57" s="69"/>
      <c r="D57" s="69"/>
      <c r="E57" s="119"/>
      <c r="F57" s="70"/>
    </row>
  </sheetData>
  <mergeCells count="1">
    <mergeCell ref="B5:F5"/>
  </mergeCells>
  <pageMargins left="0.75" right="0.75" top="1" bottom="1" header="0.5" footer="0.5"/>
  <pageSetup paperSize="9" orientation="portrait" horizontalDpi="4294967292" verticalDpi="429496729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8" tint="0.39997558519241921"/>
  </sheetPr>
  <dimension ref="B2:R76"/>
  <sheetViews>
    <sheetView workbookViewId="0">
      <pane xSplit="2" ySplit="9" topLeftCell="C10" activePane="bottomRight" state="frozen"/>
      <selection pane="topRight" activeCell="C1" sqref="C1"/>
      <selection pane="bottomLeft" activeCell="A10" sqref="A10"/>
      <selection pane="bottomRight" activeCell="F11" sqref="F11"/>
    </sheetView>
  </sheetViews>
  <sheetFormatPr baseColWidth="10" defaultRowHeight="16" x14ac:dyDescent="0.2"/>
  <cols>
    <col min="1" max="1" width="10.83203125" style="1"/>
    <col min="2" max="2" width="31" style="1" customWidth="1"/>
    <col min="3" max="3" width="41.5" style="1" bestFit="1" customWidth="1"/>
    <col min="4" max="4" width="16.83203125" style="1" customWidth="1"/>
    <col min="5" max="11" width="21.6640625" style="1" customWidth="1"/>
    <col min="12" max="12" width="10.83203125" style="1"/>
    <col min="13" max="18" width="20.83203125" style="1" customWidth="1"/>
    <col min="19" max="16384" width="10.83203125" style="1"/>
  </cols>
  <sheetData>
    <row r="2" spans="2:18" ht="21" x14ac:dyDescent="0.25">
      <c r="B2" s="2" t="s">
        <v>183</v>
      </c>
    </row>
    <row r="4" spans="2:18" x14ac:dyDescent="0.2">
      <c r="B4" s="3" t="s">
        <v>78</v>
      </c>
      <c r="C4" s="4"/>
      <c r="D4" s="4"/>
      <c r="E4" s="4"/>
      <c r="F4" s="4"/>
      <c r="G4" s="5"/>
    </row>
    <row r="5" spans="2:18" ht="30" customHeight="1" x14ac:dyDescent="0.2">
      <c r="B5" s="596" t="s">
        <v>278</v>
      </c>
      <c r="C5" s="597"/>
      <c r="D5" s="597"/>
      <c r="E5" s="597"/>
      <c r="F5" s="597"/>
      <c r="G5" s="598"/>
    </row>
    <row r="6" spans="2:18" ht="17" thickBot="1" x14ac:dyDescent="0.25"/>
    <row r="7" spans="2:18" x14ac:dyDescent="0.2">
      <c r="B7" s="25" t="s">
        <v>183</v>
      </c>
      <c r="C7" s="49"/>
      <c r="D7" s="49"/>
      <c r="E7" s="49"/>
      <c r="F7" s="49"/>
      <c r="G7" s="49"/>
      <c r="H7" s="49"/>
      <c r="I7" s="49"/>
      <c r="J7" s="49"/>
      <c r="K7" s="27"/>
      <c r="M7" s="534" t="s">
        <v>778</v>
      </c>
      <c r="N7" s="536"/>
      <c r="O7" s="536"/>
      <c r="P7" s="536"/>
      <c r="Q7" s="536"/>
      <c r="R7" s="537"/>
    </row>
    <row r="8" spans="2:18" x14ac:dyDescent="0.2">
      <c r="B8" s="28"/>
      <c r="K8" s="29"/>
      <c r="M8" s="538"/>
      <c r="N8" s="527"/>
      <c r="O8" s="527"/>
      <c r="P8" s="527"/>
      <c r="Q8" s="527"/>
      <c r="R8" s="535"/>
    </row>
    <row r="9" spans="2:18" ht="34" x14ac:dyDescent="0.2">
      <c r="B9" s="59" t="s">
        <v>279</v>
      </c>
      <c r="C9" s="63" t="s">
        <v>97</v>
      </c>
      <c r="D9" s="73" t="s">
        <v>375</v>
      </c>
      <c r="E9" s="60" t="s">
        <v>643</v>
      </c>
      <c r="F9" s="60" t="s">
        <v>407</v>
      </c>
      <c r="G9" s="60" t="s">
        <v>644</v>
      </c>
      <c r="H9" s="60" t="s">
        <v>408</v>
      </c>
      <c r="I9" s="60" t="s">
        <v>409</v>
      </c>
      <c r="J9" s="60" t="s">
        <v>410</v>
      </c>
      <c r="K9" s="103" t="s">
        <v>645</v>
      </c>
      <c r="M9" s="538" t="s">
        <v>775</v>
      </c>
      <c r="N9" s="539" t="s">
        <v>774</v>
      </c>
      <c r="O9" s="539" t="s">
        <v>777</v>
      </c>
      <c r="P9" s="527" t="s">
        <v>659</v>
      </c>
      <c r="Q9" s="527" t="s">
        <v>745</v>
      </c>
      <c r="R9" s="535" t="s">
        <v>776</v>
      </c>
    </row>
    <row r="10" spans="2:18" x14ac:dyDescent="0.2">
      <c r="B10" s="46" t="s">
        <v>101</v>
      </c>
      <c r="C10" s="444"/>
      <c r="D10" s="444"/>
      <c r="E10" s="445"/>
      <c r="F10" s="445"/>
      <c r="G10" s="445"/>
      <c r="H10" s="445"/>
      <c r="I10" s="445"/>
      <c r="J10" s="445"/>
      <c r="K10" s="446"/>
      <c r="M10" s="538"/>
      <c r="N10" s="527"/>
      <c r="O10" s="527"/>
      <c r="P10" s="527"/>
      <c r="Q10" s="527"/>
      <c r="R10" s="535"/>
    </row>
    <row r="11" spans="2:18" x14ac:dyDescent="0.2">
      <c r="B11" s="28"/>
      <c r="C11" s="358" t="s">
        <v>94</v>
      </c>
      <c r="D11" s="358"/>
      <c r="E11" s="449">
        <f>Final_demand_gas</f>
        <v>0</v>
      </c>
      <c r="F11" s="447">
        <f>Final_demand_electricity</f>
        <v>0</v>
      </c>
      <c r="G11" s="447">
        <f>Final_demand_solar_thermal</f>
        <v>0</v>
      </c>
      <c r="H11" s="447">
        <f>Final_demand_coal</f>
        <v>0</v>
      </c>
      <c r="I11" s="447">
        <f>Final_demand_oil</f>
        <v>0</v>
      </c>
      <c r="J11" s="447">
        <f>Final_demand_woodpellets</f>
        <v>0</v>
      </c>
      <c r="K11" s="448">
        <f>Final_demand_heat</f>
        <v>0</v>
      </c>
      <c r="L11" s="17"/>
      <c r="M11" s="538"/>
      <c r="N11" s="527"/>
      <c r="O11" s="527"/>
      <c r="P11" s="527"/>
      <c r="Q11" s="527"/>
      <c r="R11" s="535"/>
    </row>
    <row r="12" spans="2:18" x14ac:dyDescent="0.2">
      <c r="B12" s="62"/>
      <c r="C12" s="61"/>
      <c r="D12" s="61"/>
      <c r="E12" s="74"/>
      <c r="F12" s="74"/>
      <c r="G12" s="74"/>
      <c r="H12" s="74"/>
      <c r="I12" s="74"/>
      <c r="J12" s="74"/>
      <c r="K12" s="110"/>
      <c r="M12" s="538"/>
      <c r="N12" s="527"/>
      <c r="O12" s="527"/>
      <c r="P12" s="527"/>
      <c r="Q12" s="527"/>
      <c r="R12" s="535"/>
    </row>
    <row r="13" spans="2:18" x14ac:dyDescent="0.2">
      <c r="B13" s="59"/>
      <c r="C13" s="9"/>
      <c r="D13" s="9"/>
      <c r="E13" s="240"/>
      <c r="F13" s="240"/>
      <c r="G13" s="240"/>
      <c r="H13" s="240"/>
      <c r="I13" s="240"/>
      <c r="J13" s="240"/>
      <c r="K13" s="241"/>
      <c r="M13" s="538"/>
      <c r="N13" s="527"/>
      <c r="O13" s="527"/>
      <c r="P13" s="527"/>
      <c r="Q13" s="527"/>
      <c r="R13" s="535"/>
    </row>
    <row r="14" spans="2:18" x14ac:dyDescent="0.2">
      <c r="B14" s="46" t="str">
        <f>'Technology split final demand'!B10</f>
        <v>Space Heating</v>
      </c>
      <c r="C14" s="141"/>
      <c r="D14" s="9"/>
      <c r="E14" s="240"/>
      <c r="F14" s="240"/>
      <c r="G14" s="240"/>
      <c r="H14" s="240"/>
      <c r="I14" s="240"/>
      <c r="J14" s="240"/>
      <c r="K14" s="241"/>
      <c r="M14" s="538"/>
      <c r="N14" s="527"/>
      <c r="O14" s="527"/>
      <c r="P14" s="527"/>
      <c r="Q14" s="527"/>
      <c r="R14" s="535"/>
    </row>
    <row r="15" spans="2:18" x14ac:dyDescent="0.2">
      <c r="B15" s="46"/>
      <c r="C15" s="220" t="str">
        <f>'Technology split final demand'!C11</f>
        <v>Condensing Combi Boiler (space heating)</v>
      </c>
      <c r="D15" s="162" t="e">
        <f>'Technology split final demand'!I11</f>
        <v>#DIV/0!</v>
      </c>
      <c r="E15" s="267" t="e">
        <f>D15*Final_demand_space_heating</f>
        <v>#DIV/0!</v>
      </c>
      <c r="F15" s="268"/>
      <c r="G15" s="268"/>
      <c r="H15" s="268"/>
      <c r="I15" s="268"/>
      <c r="J15" s="268"/>
      <c r="K15" s="269"/>
      <c r="M15" s="538"/>
      <c r="N15" s="527"/>
      <c r="O15" s="527"/>
      <c r="P15" s="527"/>
      <c r="Q15" s="527"/>
      <c r="R15" s="535"/>
    </row>
    <row r="16" spans="2:18" x14ac:dyDescent="0.2">
      <c r="B16" s="46"/>
      <c r="C16" s="220" t="str">
        <f>'Technology split final demand'!C12</f>
        <v>Electric Heat Pump (ground) (space heating)</v>
      </c>
      <c r="D16" s="162" t="e">
        <f>'Technology split final demand'!I12</f>
        <v>#DIV/0!</v>
      </c>
      <c r="E16" s="251"/>
      <c r="F16" s="252" t="e">
        <f>D16*Final_demand_space_heating</f>
        <v>#DIV/0!</v>
      </c>
      <c r="G16" s="252"/>
      <c r="H16" s="252"/>
      <c r="I16" s="252"/>
      <c r="J16" s="252"/>
      <c r="K16" s="253"/>
      <c r="M16" s="538"/>
      <c r="N16" s="527"/>
      <c r="O16" s="527"/>
      <c r="P16" s="527"/>
      <c r="Q16" s="527"/>
      <c r="R16" s="535"/>
    </row>
    <row r="17" spans="2:18" x14ac:dyDescent="0.2">
      <c r="B17" s="46"/>
      <c r="C17" s="220" t="str">
        <f>'Technology split final demand'!C13</f>
        <v>District Heating (space heating)</v>
      </c>
      <c r="D17" s="162" t="e">
        <f>'Technology split final demand'!I13</f>
        <v>#DIV/0!</v>
      </c>
      <c r="E17" s="251"/>
      <c r="F17" s="252"/>
      <c r="G17" s="252"/>
      <c r="H17" s="252"/>
      <c r="I17" s="252"/>
      <c r="J17" s="252"/>
      <c r="K17" s="253" t="e">
        <f>D17*Final_demand_space_heating</f>
        <v>#DIV/0!</v>
      </c>
      <c r="M17" s="538"/>
      <c r="N17" s="527"/>
      <c r="O17" s="527"/>
      <c r="P17" s="527"/>
      <c r="Q17" s="527"/>
      <c r="R17" s="535"/>
    </row>
    <row r="18" spans="2:18" x14ac:dyDescent="0.2">
      <c r="B18" s="46"/>
      <c r="C18" s="220" t="str">
        <f>'Technology split final demand'!C14</f>
        <v>electricity-driven Heat pump (air) (space heating)</v>
      </c>
      <c r="D18" s="162" t="e">
        <f>'Technology split final demand'!I14</f>
        <v>#DIV/0!</v>
      </c>
      <c r="E18" s="251"/>
      <c r="F18" s="252" t="e">
        <f>D18*Final_demand_space_heating</f>
        <v>#DIV/0!</v>
      </c>
      <c r="G18" s="252"/>
      <c r="H18" s="252"/>
      <c r="I18" s="252"/>
      <c r="J18" s="252"/>
      <c r="K18" s="253"/>
      <c r="M18" s="538"/>
      <c r="N18" s="527"/>
      <c r="O18" s="527"/>
      <c r="P18" s="527"/>
      <c r="Q18" s="527"/>
      <c r="R18" s="535"/>
    </row>
    <row r="19" spans="2:18" x14ac:dyDescent="0.2">
      <c r="B19" s="46"/>
      <c r="C19" s="220" t="str">
        <f>'Technology split final demand'!C15</f>
        <v>woodpellets (biomass) heaters (space heating)</v>
      </c>
      <c r="D19" s="162" t="e">
        <f>'Technology split final demand'!I15</f>
        <v>#DIV/0!</v>
      </c>
      <c r="E19" s="251"/>
      <c r="F19" s="252"/>
      <c r="G19" s="252"/>
      <c r="H19" s="252"/>
      <c r="I19" s="252"/>
      <c r="J19" s="252" t="e">
        <f>D19*Final_demand_space_heating</f>
        <v>#DIV/0!</v>
      </c>
      <c r="K19" s="253"/>
      <c r="M19" s="538"/>
      <c r="N19" s="527"/>
      <c r="O19" s="527"/>
      <c r="P19" s="527"/>
      <c r="Q19" s="527"/>
      <c r="R19" s="535"/>
    </row>
    <row r="20" spans="2:18" x14ac:dyDescent="0.2">
      <c r="B20" s="46"/>
      <c r="C20" s="220" t="str">
        <f>'Technology split final demand'!C16</f>
        <v>Electric Heaters (resistance) (space heating)</v>
      </c>
      <c r="D20" s="162" t="e">
        <f>'Technology split final demand'!I16</f>
        <v>#DIV/0!</v>
      </c>
      <c r="E20" s="251"/>
      <c r="F20" s="252" t="e">
        <f>D20*Final_demand_space_heating</f>
        <v>#DIV/0!</v>
      </c>
      <c r="G20" s="252"/>
      <c r="H20" s="252"/>
      <c r="I20" s="252"/>
      <c r="J20" s="252"/>
      <c r="K20" s="253"/>
      <c r="M20" s="538"/>
      <c r="N20" s="527"/>
      <c r="O20" s="527"/>
      <c r="P20" s="527"/>
      <c r="Q20" s="527"/>
      <c r="R20" s="535"/>
    </row>
    <row r="21" spans="2:18" x14ac:dyDescent="0.2">
      <c r="B21" s="46"/>
      <c r="C21" s="220" t="str">
        <f>'Technology split final demand'!C17</f>
        <v>Gas-fired Heaters (space heating)</v>
      </c>
      <c r="D21" s="162" t="e">
        <f>'Technology split final demand'!I17</f>
        <v>#DIV/0!</v>
      </c>
      <c r="E21" s="251" t="e">
        <f>D21*Final_demand_space_heating</f>
        <v>#DIV/0!</v>
      </c>
      <c r="F21" s="252"/>
      <c r="G21" s="252"/>
      <c r="H21" s="252"/>
      <c r="I21" s="252"/>
      <c r="J21" s="252"/>
      <c r="K21" s="253"/>
      <c r="M21" s="538"/>
      <c r="N21" s="527"/>
      <c r="O21" s="527"/>
      <c r="P21" s="527"/>
      <c r="Q21" s="527"/>
      <c r="R21" s="535"/>
    </row>
    <row r="22" spans="2:18" x14ac:dyDescent="0.2">
      <c r="B22" s="46"/>
      <c r="C22" s="220" t="str">
        <f>'Technology split final demand'!C18</f>
        <v>Oil-fired Heaters (space heating)</v>
      </c>
      <c r="D22" s="162" t="e">
        <f>'Technology split final demand'!I18</f>
        <v>#DIV/0!</v>
      </c>
      <c r="E22" s="251"/>
      <c r="F22" s="252"/>
      <c r="G22" s="252"/>
      <c r="H22" s="252"/>
      <c r="I22" s="252" t="e">
        <f>D22*Final_demand_space_heating</f>
        <v>#DIV/0!</v>
      </c>
      <c r="J22" s="252"/>
      <c r="K22" s="253"/>
      <c r="M22" s="538"/>
      <c r="N22" s="527"/>
      <c r="O22" s="527"/>
      <c r="P22" s="527"/>
      <c r="Q22" s="527"/>
      <c r="R22" s="535"/>
    </row>
    <row r="23" spans="2:18" x14ac:dyDescent="0.2">
      <c r="B23" s="46"/>
      <c r="C23" s="220" t="str">
        <f>'Technology split final demand'!C19</f>
        <v>Coal-fired Heaters (space heating)</v>
      </c>
      <c r="D23" s="162" t="e">
        <f>'Technology split final demand'!I19</f>
        <v>#DIV/0!</v>
      </c>
      <c r="E23" s="251"/>
      <c r="F23" s="252"/>
      <c r="G23" s="252"/>
      <c r="H23" s="252" t="e">
        <f>D23*Final_demand_space_heating</f>
        <v>#DIV/0!</v>
      </c>
      <c r="I23" s="252"/>
      <c r="J23" s="252"/>
      <c r="K23" s="253"/>
      <c r="M23" s="538"/>
      <c r="N23" s="527"/>
      <c r="O23" s="527"/>
      <c r="P23" s="527"/>
      <c r="Q23" s="527"/>
      <c r="R23" s="535"/>
    </row>
    <row r="24" spans="2:18" x14ac:dyDescent="0.2">
      <c r="B24" s="46"/>
      <c r="C24" s="220" t="s">
        <v>753</v>
      </c>
      <c r="D24" s="507" t="e">
        <f>'Technology split final demand'!I20</f>
        <v>#DIV/0!</v>
      </c>
      <c r="E24" s="252"/>
      <c r="F24" s="252" t="e">
        <f>D24*Final_demand_space_heating</f>
        <v>#DIV/0!</v>
      </c>
      <c r="G24" s="252"/>
      <c r="H24" s="252"/>
      <c r="I24" s="252"/>
      <c r="J24" s="252"/>
      <c r="K24" s="253"/>
      <c r="M24" s="540">
        <f>technical_specs!O20</f>
        <v>3.5000066339098939</v>
      </c>
      <c r="N24" s="527" t="e">
        <f>F24*M24</f>
        <v>#DIV/0!</v>
      </c>
      <c r="O24" s="541" t="e">
        <f>SUM(N24,F24,E25)</f>
        <v>#DIV/0!</v>
      </c>
      <c r="P24" s="527" t="e">
        <f>F24/$O24</f>
        <v>#DIV/0!</v>
      </c>
      <c r="Q24" s="527" t="e">
        <f>E25/$O24</f>
        <v>#DIV/0!</v>
      </c>
      <c r="R24" s="535" t="e">
        <f>N24/$O24</f>
        <v>#DIV/0!</v>
      </c>
    </row>
    <row r="25" spans="2:18" x14ac:dyDescent="0.2">
      <c r="B25" s="46"/>
      <c r="C25" s="221" t="s">
        <v>748</v>
      </c>
      <c r="D25" s="504" t="e">
        <f>'Technology split final demand'!I21</f>
        <v>#DIV/0!</v>
      </c>
      <c r="E25" s="254" t="e">
        <f>D25*Final_demand_space_heating</f>
        <v>#DIV/0!</v>
      </c>
      <c r="F25" s="254"/>
      <c r="G25" s="254"/>
      <c r="H25" s="254"/>
      <c r="I25" s="254"/>
      <c r="J25" s="254"/>
      <c r="K25" s="255"/>
      <c r="M25" s="538"/>
      <c r="N25" s="527"/>
      <c r="O25" s="527"/>
      <c r="P25" s="527"/>
      <c r="Q25" s="527"/>
      <c r="R25" s="535"/>
    </row>
    <row r="26" spans="2:18" x14ac:dyDescent="0.2">
      <c r="B26" s="222"/>
      <c r="C26" s="506" t="s">
        <v>754</v>
      </c>
      <c r="D26" s="141"/>
      <c r="E26" s="238"/>
      <c r="F26" s="238"/>
      <c r="G26" s="238"/>
      <c r="H26" s="238"/>
      <c r="I26" s="238"/>
      <c r="J26" s="238"/>
      <c r="K26" s="239"/>
      <c r="M26" s="538"/>
      <c r="N26" s="527"/>
      <c r="O26" s="527"/>
      <c r="P26" s="527"/>
      <c r="Q26" s="527"/>
      <c r="R26" s="535"/>
    </row>
    <row r="27" spans="2:18" x14ac:dyDescent="0.2">
      <c r="B27" s="46" t="str">
        <f>'Technology split final demand'!B23</f>
        <v>Hot Water</v>
      </c>
      <c r="C27" s="218"/>
      <c r="D27" s="141"/>
      <c r="E27" s="163"/>
      <c r="F27" s="163"/>
      <c r="G27" s="163"/>
      <c r="H27" s="163"/>
      <c r="I27" s="163"/>
      <c r="J27" s="163"/>
      <c r="K27" s="164"/>
      <c r="M27" s="538"/>
      <c r="N27" s="527"/>
      <c r="O27" s="527"/>
      <c r="P27" s="527"/>
      <c r="Q27" s="527"/>
      <c r="R27" s="535"/>
    </row>
    <row r="28" spans="2:18" x14ac:dyDescent="0.2">
      <c r="B28" s="46"/>
      <c r="C28" s="220" t="str">
        <f>'Technology split final demand'!C24</f>
        <v>Condensing Combi Boiler (hot water)</v>
      </c>
      <c r="D28" s="162" t="e">
        <f>'Technology split final demand'!I24</f>
        <v>#DIV/0!</v>
      </c>
      <c r="E28" s="251" t="e">
        <f>D28*Final_demand_hot_water</f>
        <v>#DIV/0!</v>
      </c>
      <c r="F28" s="252"/>
      <c r="G28" s="252"/>
      <c r="H28" s="252"/>
      <c r="I28" s="252"/>
      <c r="J28" s="252"/>
      <c r="K28" s="253"/>
      <c r="M28" s="538"/>
      <c r="N28" s="527"/>
      <c r="O28" s="527"/>
      <c r="P28" s="527"/>
      <c r="Q28" s="527"/>
      <c r="R28" s="535"/>
    </row>
    <row r="29" spans="2:18" x14ac:dyDescent="0.2">
      <c r="B29" s="46"/>
      <c r="C29" s="220" t="str">
        <f>'Technology split final demand'!C25</f>
        <v>Electric Heat Pump (ground) (hot water)</v>
      </c>
      <c r="D29" s="162" t="e">
        <f>'Technology split final demand'!I25</f>
        <v>#DIV/0!</v>
      </c>
      <c r="E29" s="251"/>
      <c r="F29" s="252" t="e">
        <f>D29*Final_demand_hot_water</f>
        <v>#DIV/0!</v>
      </c>
      <c r="G29" s="252"/>
      <c r="H29" s="252"/>
      <c r="I29" s="252"/>
      <c r="J29" s="252"/>
      <c r="K29" s="253"/>
      <c r="M29" s="538"/>
      <c r="N29" s="527"/>
      <c r="O29" s="527"/>
      <c r="P29" s="527"/>
      <c r="Q29" s="527"/>
      <c r="R29" s="535"/>
    </row>
    <row r="30" spans="2:18" x14ac:dyDescent="0.2">
      <c r="B30" s="46"/>
      <c r="C30" s="220" t="str">
        <f>'Technology split final demand'!C26</f>
        <v>District Heating (hot water)</v>
      </c>
      <c r="D30" s="162" t="e">
        <f>'Technology split final demand'!I26</f>
        <v>#DIV/0!</v>
      </c>
      <c r="E30" s="251"/>
      <c r="F30" s="252"/>
      <c r="G30" s="252"/>
      <c r="H30" s="252"/>
      <c r="I30" s="252"/>
      <c r="J30" s="252"/>
      <c r="K30" s="253" t="e">
        <f>D30*Final_demand_hot_water</f>
        <v>#DIV/0!</v>
      </c>
      <c r="M30" s="538"/>
      <c r="N30" s="527"/>
      <c r="O30" s="527"/>
      <c r="P30" s="527"/>
      <c r="Q30" s="527"/>
      <c r="R30" s="535"/>
    </row>
    <row r="31" spans="2:18" x14ac:dyDescent="0.2">
      <c r="B31" s="46"/>
      <c r="C31" s="220" t="str">
        <f>'Technology split final demand'!C27</f>
        <v>electricity-driven Heat pump (air) (hot water)</v>
      </c>
      <c r="D31" s="162" t="e">
        <f>'Technology split final demand'!I27</f>
        <v>#DIV/0!</v>
      </c>
      <c r="E31" s="251"/>
      <c r="F31" s="252" t="e">
        <f>D31*Final_demand_hot_water</f>
        <v>#DIV/0!</v>
      </c>
      <c r="G31" s="252"/>
      <c r="H31" s="252"/>
      <c r="I31" s="252"/>
      <c r="J31" s="252"/>
      <c r="K31" s="253"/>
      <c r="M31" s="538"/>
      <c r="N31" s="527"/>
      <c r="O31" s="527"/>
      <c r="P31" s="527"/>
      <c r="Q31" s="527"/>
      <c r="R31" s="535"/>
    </row>
    <row r="32" spans="2:18" x14ac:dyDescent="0.2">
      <c r="B32" s="46"/>
      <c r="C32" s="220" t="str">
        <f>'Technology split final demand'!C28</f>
        <v>woodpellets (biomass) heaters (hot water)</v>
      </c>
      <c r="D32" s="162" t="e">
        <f>'Technology split final demand'!I28</f>
        <v>#DIV/0!</v>
      </c>
      <c r="E32" s="251"/>
      <c r="F32" s="252"/>
      <c r="G32" s="252"/>
      <c r="H32" s="252"/>
      <c r="I32" s="252"/>
      <c r="J32" s="252" t="e">
        <f>D32*Final_demand_hot_water</f>
        <v>#DIV/0!</v>
      </c>
      <c r="K32" s="253"/>
      <c r="M32" s="538"/>
      <c r="N32" s="527"/>
      <c r="O32" s="527"/>
      <c r="P32" s="527"/>
      <c r="Q32" s="527"/>
      <c r="R32" s="535"/>
    </row>
    <row r="33" spans="2:18" x14ac:dyDescent="0.2">
      <c r="B33" s="46"/>
      <c r="C33" s="220" t="str">
        <f>'Technology split final demand'!C29</f>
        <v>Electric Heaters (resistance) (hot water)</v>
      </c>
      <c r="D33" s="162" t="e">
        <f>'Technology split final demand'!I29</f>
        <v>#DIV/0!</v>
      </c>
      <c r="E33" s="251"/>
      <c r="F33" s="252" t="e">
        <f>D33*Final_demand_hot_water</f>
        <v>#DIV/0!</v>
      </c>
      <c r="G33" s="252"/>
      <c r="H33" s="252"/>
      <c r="I33" s="252"/>
      <c r="J33" s="252"/>
      <c r="K33" s="253"/>
      <c r="M33" s="538"/>
      <c r="N33" s="527"/>
      <c r="O33" s="527"/>
      <c r="P33" s="527"/>
      <c r="Q33" s="527"/>
      <c r="R33" s="535"/>
    </row>
    <row r="34" spans="2:18" x14ac:dyDescent="0.2">
      <c r="B34" s="46"/>
      <c r="C34" s="220" t="str">
        <f>'Technology split final demand'!C30</f>
        <v>Gas-fired Heaters (hot water)</v>
      </c>
      <c r="D34" s="162" t="e">
        <f>'Technology split final demand'!I30</f>
        <v>#DIV/0!</v>
      </c>
      <c r="E34" s="251" t="e">
        <f>D34*Final_demand_hot_water</f>
        <v>#DIV/0!</v>
      </c>
      <c r="F34" s="252"/>
      <c r="G34" s="252"/>
      <c r="H34" s="252"/>
      <c r="I34" s="252"/>
      <c r="J34" s="252"/>
      <c r="K34" s="253"/>
      <c r="M34" s="538"/>
      <c r="N34" s="527"/>
      <c r="O34" s="527"/>
      <c r="P34" s="527"/>
      <c r="Q34" s="527"/>
      <c r="R34" s="535"/>
    </row>
    <row r="35" spans="2:18" x14ac:dyDescent="0.2">
      <c r="B35" s="46"/>
      <c r="C35" s="220" t="str">
        <f>'Technology split final demand'!C31</f>
        <v>Oil-fired Heaters (hot water)</v>
      </c>
      <c r="D35" s="162" t="e">
        <f>'Technology split final demand'!I31</f>
        <v>#DIV/0!</v>
      </c>
      <c r="E35" s="251"/>
      <c r="F35" s="252"/>
      <c r="G35" s="252"/>
      <c r="H35" s="252"/>
      <c r="I35" s="252" t="e">
        <f>D35*Final_demand_hot_water</f>
        <v>#DIV/0!</v>
      </c>
      <c r="J35" s="252"/>
      <c r="K35" s="253"/>
      <c r="M35" s="538"/>
      <c r="N35" s="527"/>
      <c r="O35" s="527"/>
      <c r="P35" s="527"/>
      <c r="Q35" s="527"/>
      <c r="R35" s="535"/>
    </row>
    <row r="36" spans="2:18" x14ac:dyDescent="0.2">
      <c r="B36" s="46"/>
      <c r="C36" s="220" t="str">
        <f>'Technology split final demand'!C32</f>
        <v>Coal-fired Heaters (hot water)</v>
      </c>
      <c r="D36" s="162" t="e">
        <f>'Technology split final demand'!I32</f>
        <v>#DIV/0!</v>
      </c>
      <c r="E36" s="251"/>
      <c r="F36" s="252"/>
      <c r="G36" s="252"/>
      <c r="H36" s="252" t="e">
        <f>D36*Final_demand_hot_water</f>
        <v>#DIV/0!</v>
      </c>
      <c r="I36" s="252"/>
      <c r="J36" s="252"/>
      <c r="K36" s="253"/>
      <c r="M36" s="538"/>
      <c r="N36" s="527"/>
      <c r="O36" s="527"/>
      <c r="P36" s="527"/>
      <c r="Q36" s="527"/>
      <c r="R36" s="535"/>
    </row>
    <row r="37" spans="2:18" x14ac:dyDescent="0.2">
      <c r="B37" s="46"/>
      <c r="C37" s="220" t="str">
        <f>'Technology split final demand'!C33</f>
        <v>Hybrid heatpump, heatpump part (hot water)</v>
      </c>
      <c r="D37" s="507" t="e">
        <f>'Technology split final demand'!I33</f>
        <v>#DIV/0!</v>
      </c>
      <c r="E37" s="252"/>
      <c r="F37" s="252" t="e">
        <f>D37*Final_demand_hot_water</f>
        <v>#DIV/0!</v>
      </c>
      <c r="G37" s="252"/>
      <c r="H37" s="252"/>
      <c r="I37" s="252"/>
      <c r="J37" s="252"/>
      <c r="K37" s="253"/>
      <c r="M37" s="540">
        <f>technical_specs!O33</f>
        <v>1</v>
      </c>
      <c r="N37" s="527" t="e">
        <f>F37*M37</f>
        <v>#DIV/0!</v>
      </c>
      <c r="O37" s="541" t="e">
        <f>SUM(N37,F37,E38)</f>
        <v>#DIV/0!</v>
      </c>
      <c r="P37" s="527" t="e">
        <f>F37/$O37</f>
        <v>#DIV/0!</v>
      </c>
      <c r="Q37" s="527" t="e">
        <f>E38/$O37</f>
        <v>#DIV/0!</v>
      </c>
      <c r="R37" s="535" t="e">
        <f>N37/$O37</f>
        <v>#DIV/0!</v>
      </c>
    </row>
    <row r="38" spans="2:18" x14ac:dyDescent="0.2">
      <c r="B38" s="46"/>
      <c r="C38" s="221" t="str">
        <f>'Technology split final demand'!C34</f>
        <v>Hybrid heatpump, gas part (hot water)</v>
      </c>
      <c r="D38" s="219" t="e">
        <f>'Technology split final demand'!I34</f>
        <v>#DIV/0!</v>
      </c>
      <c r="E38" s="254" t="e">
        <f>D38*Final_demand_hot_water</f>
        <v>#DIV/0!</v>
      </c>
      <c r="F38" s="254"/>
      <c r="G38" s="254"/>
      <c r="H38" s="254"/>
      <c r="I38" s="254"/>
      <c r="J38" s="254"/>
      <c r="K38" s="255"/>
      <c r="M38" s="542"/>
      <c r="N38" s="543"/>
      <c r="O38" s="543"/>
      <c r="P38" s="543"/>
      <c r="Q38" s="543"/>
      <c r="R38" s="544"/>
    </row>
    <row r="39" spans="2:18" x14ac:dyDescent="0.2">
      <c r="B39" s="222"/>
      <c r="C39" s="218"/>
      <c r="D39" s="141"/>
      <c r="E39" s="259"/>
      <c r="F39" s="259"/>
      <c r="G39" s="259"/>
      <c r="H39" s="259"/>
      <c r="I39" s="259"/>
      <c r="J39" s="259"/>
      <c r="K39" s="260"/>
    </row>
    <row r="40" spans="2:18" x14ac:dyDescent="0.2">
      <c r="B40" s="46" t="str">
        <f>'Technology split final demand'!B36</f>
        <v>Space Cooling</v>
      </c>
      <c r="C40" s="218"/>
      <c r="D40" s="141"/>
      <c r="E40" s="261"/>
      <c r="F40" s="259"/>
      <c r="G40" s="259"/>
      <c r="H40" s="259"/>
      <c r="I40" s="259"/>
      <c r="J40" s="259"/>
      <c r="K40" s="260"/>
    </row>
    <row r="41" spans="2:18" x14ac:dyDescent="0.2">
      <c r="B41" s="46"/>
      <c r="C41" s="220" t="str">
        <f>'Technology split final demand'!C37</f>
        <v>Electric heat pump ground</v>
      </c>
      <c r="D41" s="162" t="e">
        <f>'Technology split final demand'!I37</f>
        <v>#DIV/0!</v>
      </c>
      <c r="E41" s="251"/>
      <c r="F41" s="252" t="e">
        <f>D41*Final_demand_cooling</f>
        <v>#DIV/0!</v>
      </c>
      <c r="G41" s="252"/>
      <c r="H41" s="252"/>
      <c r="I41" s="252"/>
      <c r="J41" s="252"/>
      <c r="K41" s="253"/>
    </row>
    <row r="42" spans="2:18" x14ac:dyDescent="0.2">
      <c r="B42" s="46"/>
      <c r="C42" s="220" t="str">
        <f>'Technology split final demand'!C38</f>
        <v>Electric heat pump air</v>
      </c>
      <c r="D42" s="162" t="e">
        <f>'Technology split final demand'!I38</f>
        <v>#DIV/0!</v>
      </c>
      <c r="E42" s="251"/>
      <c r="F42" s="252" t="e">
        <f>D42*Final_demand_cooling</f>
        <v>#DIV/0!</v>
      </c>
      <c r="G42" s="252"/>
      <c r="H42" s="252"/>
      <c r="I42" s="252"/>
      <c r="J42" s="252"/>
      <c r="K42" s="253"/>
    </row>
    <row r="43" spans="2:18" x14ac:dyDescent="0.2">
      <c r="B43" s="46"/>
      <c r="C43" s="221" t="str">
        <f>'Technology split final demand'!C39</f>
        <v>Conventional electric airconditioning</v>
      </c>
      <c r="D43" s="219" t="e">
        <f>'Technology split final demand'!I39</f>
        <v>#DIV/0!</v>
      </c>
      <c r="E43" s="251"/>
      <c r="F43" s="254" t="e">
        <f>D43*Final_demand_cooling</f>
        <v>#DIV/0!</v>
      </c>
      <c r="G43" s="254"/>
      <c r="H43" s="254"/>
      <c r="I43" s="254"/>
      <c r="J43" s="254"/>
      <c r="K43" s="255"/>
    </row>
    <row r="44" spans="2:18" x14ac:dyDescent="0.2">
      <c r="B44" s="46"/>
      <c r="C44" s="102"/>
      <c r="D44" s="139"/>
      <c r="E44" s="256"/>
      <c r="F44" s="262"/>
      <c r="G44" s="262"/>
      <c r="H44" s="262"/>
      <c r="I44" s="262"/>
      <c r="J44" s="262"/>
      <c r="K44" s="263"/>
    </row>
    <row r="45" spans="2:18" x14ac:dyDescent="0.2">
      <c r="B45" s="222"/>
      <c r="C45" s="218"/>
      <c r="D45" s="141"/>
      <c r="E45" s="259"/>
      <c r="F45" s="259"/>
      <c r="G45" s="259"/>
      <c r="H45" s="259"/>
      <c r="I45" s="259"/>
      <c r="J45" s="259"/>
      <c r="K45" s="260"/>
    </row>
    <row r="46" spans="2:18" x14ac:dyDescent="0.2">
      <c r="B46" s="46" t="str">
        <f>'Technology split final demand'!B41</f>
        <v>Cooking</v>
      </c>
      <c r="C46" s="218"/>
      <c r="D46" s="141"/>
      <c r="E46" s="261"/>
      <c r="F46" s="259"/>
      <c r="G46" s="259"/>
      <c r="H46" s="259"/>
      <c r="I46" s="259"/>
      <c r="J46" s="259"/>
      <c r="K46" s="260"/>
    </row>
    <row r="47" spans="2:18" x14ac:dyDescent="0.2">
      <c r="B47" s="46"/>
      <c r="C47" s="220" t="str">
        <f>'Technology split final demand'!C42</f>
        <v>Gas stoves</v>
      </c>
      <c r="D47" s="162" t="e">
        <f>'Technology split final demand'!I42</f>
        <v>#DIV/0!</v>
      </c>
      <c r="E47" s="251" t="e">
        <f>$D47*Final_demand_cooking</f>
        <v>#DIV/0!</v>
      </c>
      <c r="F47" s="252"/>
      <c r="G47" s="252"/>
      <c r="H47" s="252"/>
      <c r="I47" s="252"/>
      <c r="J47" s="252"/>
      <c r="K47" s="253"/>
    </row>
    <row r="48" spans="2:18" x14ac:dyDescent="0.2">
      <c r="B48" s="46"/>
      <c r="C48" s="220" t="str">
        <f>'Technology split final demand'!C43</f>
        <v>Electric stoves (resistance)</v>
      </c>
      <c r="D48" s="162" t="e">
        <f>'Technology split final demand'!I43</f>
        <v>#DIV/0!</v>
      </c>
      <c r="E48" s="251"/>
      <c r="F48" s="252" t="e">
        <f>$D48*Final_demand_cooking</f>
        <v>#DIV/0!</v>
      </c>
      <c r="G48" s="252"/>
      <c r="H48" s="252"/>
      <c r="I48" s="252"/>
      <c r="J48" s="252"/>
      <c r="K48" s="253"/>
      <c r="M48" s="136"/>
    </row>
    <row r="49" spans="2:13" x14ac:dyDescent="0.2">
      <c r="B49" s="46"/>
      <c r="C49" s="220" t="str">
        <f>'Technology split final demand'!C44</f>
        <v>Electric halogen stoves</v>
      </c>
      <c r="D49" s="162" t="e">
        <f>'Technology split final demand'!I44</f>
        <v>#DIV/0!</v>
      </c>
      <c r="E49" s="251"/>
      <c r="F49" s="252" t="e">
        <f>$D49*Final_demand_cooking</f>
        <v>#DIV/0!</v>
      </c>
      <c r="G49" s="252"/>
      <c r="H49" s="252"/>
      <c r="I49" s="252"/>
      <c r="J49" s="252"/>
      <c r="K49" s="253"/>
    </row>
    <row r="50" spans="2:13" x14ac:dyDescent="0.2">
      <c r="B50" s="46"/>
      <c r="C50" s="220" t="str">
        <f>'Technology split final demand'!C45</f>
        <v>Electric induction stoves</v>
      </c>
      <c r="D50" s="162" t="e">
        <f>'Technology split final demand'!I45</f>
        <v>#DIV/0!</v>
      </c>
      <c r="E50" s="251"/>
      <c r="F50" s="252" t="e">
        <f>$D50*Final_demand_cooking</f>
        <v>#DIV/0!</v>
      </c>
      <c r="G50" s="252"/>
      <c r="H50" s="252"/>
      <c r="I50" s="252"/>
      <c r="J50" s="252"/>
      <c r="K50" s="253"/>
    </row>
    <row r="51" spans="2:13" x14ac:dyDescent="0.2">
      <c r="B51" s="46"/>
      <c r="C51" s="221" t="str">
        <f>'Technology split final demand'!C46</f>
        <v>Biomass stoves</v>
      </c>
      <c r="D51" s="219" t="e">
        <f>'Technology split final demand'!I46</f>
        <v>#DIV/0!</v>
      </c>
      <c r="E51" s="251"/>
      <c r="F51" s="254"/>
      <c r="G51" s="254"/>
      <c r="H51" s="254"/>
      <c r="I51" s="254"/>
      <c r="J51" s="254" t="e">
        <f>$D51*Final_demand_cooking</f>
        <v>#DIV/0!</v>
      </c>
      <c r="K51" s="255"/>
    </row>
    <row r="52" spans="2:13" x14ac:dyDescent="0.2">
      <c r="B52" s="46"/>
      <c r="C52" s="102"/>
      <c r="D52" s="139"/>
      <c r="E52" s="256"/>
      <c r="F52" s="257"/>
      <c r="G52" s="257"/>
      <c r="H52" s="257"/>
      <c r="I52" s="257"/>
      <c r="J52" s="257"/>
      <c r="K52" s="258"/>
    </row>
    <row r="53" spans="2:13" x14ac:dyDescent="0.2">
      <c r="B53" s="222"/>
      <c r="C53" s="218"/>
      <c r="D53" s="141"/>
      <c r="E53" s="259"/>
      <c r="F53" s="259"/>
      <c r="G53" s="259"/>
      <c r="H53" s="259"/>
      <c r="I53" s="259"/>
      <c r="J53" s="259"/>
      <c r="K53" s="260"/>
    </row>
    <row r="54" spans="2:13" x14ac:dyDescent="0.2">
      <c r="B54" s="46" t="str">
        <f>'Technology split final demand'!B48</f>
        <v>Lighting</v>
      </c>
      <c r="C54" s="218"/>
      <c r="D54" s="141"/>
      <c r="E54" s="261"/>
      <c r="F54" s="259"/>
      <c r="G54" s="259"/>
      <c r="H54" s="259"/>
      <c r="I54" s="259"/>
      <c r="J54" s="259"/>
      <c r="K54" s="259"/>
      <c r="L54" s="28"/>
    </row>
    <row r="55" spans="2:13" x14ac:dyDescent="0.2">
      <c r="B55" s="46"/>
      <c r="C55" s="220" t="str">
        <f>'Technology split final demand'!C49</f>
        <v>Incandescent lamps</v>
      </c>
      <c r="D55" s="162" t="e">
        <f>'Technology split final demand'!I49</f>
        <v>#DIV/0!</v>
      </c>
      <c r="E55" s="251"/>
      <c r="F55" s="252" t="e">
        <f>$D55*Final_demand_lighting</f>
        <v>#DIV/0!</v>
      </c>
      <c r="G55" s="252"/>
      <c r="H55" s="252"/>
      <c r="I55" s="252"/>
      <c r="J55" s="252"/>
      <c r="K55" s="252"/>
      <c r="L55" s="28"/>
    </row>
    <row r="56" spans="2:13" x14ac:dyDescent="0.2">
      <c r="B56" s="46"/>
      <c r="C56" s="220" t="str">
        <f>'Technology split final demand'!C50</f>
        <v>Low energy light bulbs / fluorescent lighting</v>
      </c>
      <c r="D56" s="162" t="e">
        <f>'Technology split final demand'!I50</f>
        <v>#DIV/0!</v>
      </c>
      <c r="E56" s="251"/>
      <c r="F56" s="252" t="e">
        <f>$D56*Final_demand_lighting</f>
        <v>#DIV/0!</v>
      </c>
      <c r="G56" s="252"/>
      <c r="H56" s="252"/>
      <c r="I56" s="252"/>
      <c r="J56" s="252"/>
      <c r="K56" s="252"/>
      <c r="L56" s="28"/>
    </row>
    <row r="57" spans="2:13" x14ac:dyDescent="0.2">
      <c r="B57" s="46"/>
      <c r="C57" s="221" t="str">
        <f>'Technology split final demand'!C51</f>
        <v>LED lamps</v>
      </c>
      <c r="D57" s="219" t="e">
        <f>'Technology split final demand'!I51</f>
        <v>#DIV/0!</v>
      </c>
      <c r="E57" s="264"/>
      <c r="F57" s="254" t="e">
        <f>$D57*Final_demand_lighting</f>
        <v>#DIV/0!</v>
      </c>
      <c r="G57" s="254"/>
      <c r="H57" s="254"/>
      <c r="I57" s="254"/>
      <c r="J57" s="254"/>
      <c r="K57" s="254"/>
      <c r="L57" s="28"/>
    </row>
    <row r="58" spans="2:13" x14ac:dyDescent="0.2">
      <c r="B58" s="46"/>
      <c r="C58" s="139"/>
      <c r="D58" s="139"/>
      <c r="E58" s="265"/>
      <c r="F58" s="265"/>
      <c r="G58" s="265"/>
      <c r="H58" s="265"/>
      <c r="I58" s="265"/>
      <c r="J58" s="265"/>
      <c r="K58" s="265"/>
      <c r="L58" s="28"/>
    </row>
    <row r="59" spans="2:13" x14ac:dyDescent="0.2">
      <c r="B59" s="222"/>
      <c r="C59" s="141"/>
      <c r="D59" s="141"/>
      <c r="E59" s="266"/>
      <c r="F59" s="266"/>
      <c r="G59" s="266"/>
      <c r="H59" s="266"/>
      <c r="I59" s="266"/>
      <c r="J59" s="266"/>
      <c r="K59" s="266"/>
      <c r="L59" s="28"/>
    </row>
    <row r="60" spans="2:13" x14ac:dyDescent="0.2">
      <c r="B60" s="46" t="s">
        <v>378</v>
      </c>
      <c r="C60" s="141"/>
      <c r="D60" s="141"/>
      <c r="E60" s="266"/>
      <c r="F60" s="266"/>
      <c r="G60" s="266"/>
      <c r="H60" s="266"/>
      <c r="I60" s="266"/>
      <c r="J60" s="266"/>
      <c r="K60" s="266"/>
      <c r="L60" s="28"/>
      <c r="M60" s="161"/>
    </row>
    <row r="61" spans="2:13" x14ac:dyDescent="0.2">
      <c r="B61" s="28"/>
      <c r="C61" t="s">
        <v>506</v>
      </c>
      <c r="D61" s="162">
        <f>Dashboard!E77</f>
        <v>0</v>
      </c>
      <c r="E61" s="275"/>
      <c r="F61" s="410">
        <f t="shared" ref="F61:F68" si="0">D61*Final_demand_appliances</f>
        <v>0</v>
      </c>
      <c r="G61" s="410"/>
      <c r="H61" s="410"/>
      <c r="I61" s="410"/>
      <c r="J61" s="410"/>
      <c r="K61" s="409"/>
      <c r="L61" s="28"/>
      <c r="M61" s="161"/>
    </row>
    <row r="62" spans="2:13" x14ac:dyDescent="0.2">
      <c r="B62" s="28"/>
      <c r="C62" t="s">
        <v>507</v>
      </c>
      <c r="D62" s="162">
        <f>Dashboard!E78</f>
        <v>0</v>
      </c>
      <c r="E62" s="275"/>
      <c r="F62" s="410">
        <f t="shared" si="0"/>
        <v>0</v>
      </c>
      <c r="G62" s="410"/>
      <c r="H62" s="410"/>
      <c r="I62" s="410"/>
      <c r="J62" s="410"/>
      <c r="K62" s="410"/>
      <c r="L62" s="28"/>
      <c r="M62" s="161"/>
    </row>
    <row r="63" spans="2:13" x14ac:dyDescent="0.2">
      <c r="B63" s="28"/>
      <c r="C63" t="s">
        <v>508</v>
      </c>
      <c r="D63" s="162">
        <f>Dashboard!E79</f>
        <v>0</v>
      </c>
      <c r="E63" s="275"/>
      <c r="F63" s="410">
        <f t="shared" si="0"/>
        <v>0</v>
      </c>
      <c r="G63" s="410"/>
      <c r="H63" s="410"/>
      <c r="I63" s="410"/>
      <c r="J63" s="410"/>
      <c r="K63" s="410"/>
      <c r="L63" s="28"/>
      <c r="M63" s="161"/>
    </row>
    <row r="64" spans="2:13" x14ac:dyDescent="0.2">
      <c r="B64" s="28"/>
      <c r="C64" t="s">
        <v>509</v>
      </c>
      <c r="D64" s="162">
        <f>Dashboard!E80</f>
        <v>0</v>
      </c>
      <c r="E64" s="275"/>
      <c r="F64" s="410">
        <f t="shared" si="0"/>
        <v>0</v>
      </c>
      <c r="G64" s="410"/>
      <c r="H64" s="410"/>
      <c r="I64" s="410"/>
      <c r="J64" s="410"/>
      <c r="K64" s="410"/>
      <c r="L64" s="28"/>
      <c r="M64" s="161"/>
    </row>
    <row r="65" spans="2:13" x14ac:dyDescent="0.2">
      <c r="B65" s="28"/>
      <c r="C65" t="s">
        <v>510</v>
      </c>
      <c r="D65" s="172">
        <f>Dashboard!E81</f>
        <v>0</v>
      </c>
      <c r="E65" s="275"/>
      <c r="F65" s="410">
        <f t="shared" si="0"/>
        <v>0</v>
      </c>
      <c r="G65" s="410"/>
      <c r="H65" s="410"/>
      <c r="I65" s="410"/>
      <c r="J65" s="410"/>
      <c r="K65" s="410"/>
      <c r="L65" s="28"/>
      <c r="M65" s="161"/>
    </row>
    <row r="66" spans="2:13" x14ac:dyDescent="0.2">
      <c r="B66" s="28"/>
      <c r="C66" t="s">
        <v>511</v>
      </c>
      <c r="D66" s="162">
        <f>Dashboard!E82</f>
        <v>0</v>
      </c>
      <c r="E66" s="275"/>
      <c r="F66" s="410">
        <f t="shared" si="0"/>
        <v>0</v>
      </c>
      <c r="G66" s="410"/>
      <c r="H66" s="410"/>
      <c r="I66" s="410"/>
      <c r="J66" s="410"/>
      <c r="K66" s="410"/>
      <c r="L66" s="28"/>
      <c r="M66" s="161"/>
    </row>
    <row r="67" spans="2:13" x14ac:dyDescent="0.2">
      <c r="B67" s="28"/>
      <c r="C67" t="s">
        <v>512</v>
      </c>
      <c r="D67" s="162">
        <f>Dashboard!E83</f>
        <v>0</v>
      </c>
      <c r="E67" s="275"/>
      <c r="F67" s="410">
        <f t="shared" si="0"/>
        <v>0</v>
      </c>
      <c r="G67" s="410"/>
      <c r="H67" s="410"/>
      <c r="I67" s="410"/>
      <c r="J67" s="410"/>
      <c r="K67" s="410"/>
      <c r="L67" s="28"/>
      <c r="M67" s="161"/>
    </row>
    <row r="68" spans="2:13" x14ac:dyDescent="0.2">
      <c r="B68" s="28"/>
      <c r="C68" s="42" t="s">
        <v>513</v>
      </c>
      <c r="D68" s="219">
        <f>Dashboard!E84</f>
        <v>0</v>
      </c>
      <c r="E68" s="412"/>
      <c r="F68" s="411">
        <f t="shared" si="0"/>
        <v>0</v>
      </c>
      <c r="G68" s="411"/>
      <c r="H68" s="411"/>
      <c r="I68" s="411"/>
      <c r="J68" s="411"/>
      <c r="K68" s="411"/>
      <c r="L68" s="28"/>
    </row>
    <row r="69" spans="2:13" x14ac:dyDescent="0.2">
      <c r="B69" s="46"/>
      <c r="C69" s="139"/>
      <c r="D69" s="139"/>
      <c r="E69" s="139"/>
      <c r="F69" s="139"/>
      <c r="G69" s="139"/>
      <c r="H69" s="139"/>
      <c r="I69" s="139"/>
      <c r="J69" s="139"/>
      <c r="K69" s="139"/>
      <c r="L69" s="28"/>
    </row>
    <row r="70" spans="2:13" x14ac:dyDescent="0.2">
      <c r="B70" s="222"/>
      <c r="C70" s="9"/>
      <c r="D70" s="9"/>
      <c r="E70" s="223"/>
      <c r="F70" s="163"/>
      <c r="G70" s="163"/>
      <c r="H70" s="163"/>
      <c r="I70" s="163"/>
      <c r="J70" s="163"/>
      <c r="K70" s="163"/>
      <c r="L70" s="28"/>
    </row>
    <row r="71" spans="2:13" x14ac:dyDescent="0.2">
      <c r="B71" s="242" t="s">
        <v>376</v>
      </c>
      <c r="C71" s="50"/>
      <c r="D71" s="50"/>
      <c r="E71" s="418" t="s">
        <v>384</v>
      </c>
      <c r="F71" s="238" t="s">
        <v>105</v>
      </c>
      <c r="G71" s="238" t="s">
        <v>104</v>
      </c>
      <c r="H71" s="238" t="s">
        <v>205</v>
      </c>
      <c r="I71" s="238" t="s">
        <v>207</v>
      </c>
      <c r="J71" s="238" t="s">
        <v>377</v>
      </c>
      <c r="K71" s="239" t="s">
        <v>414</v>
      </c>
      <c r="L71" s="28"/>
    </row>
    <row r="72" spans="2:13" x14ac:dyDescent="0.2">
      <c r="B72" s="33"/>
      <c r="C72" s="11" t="s">
        <v>646</v>
      </c>
      <c r="D72" s="12"/>
      <c r="E72" s="413" t="e">
        <f>SUM(E15:E69)</f>
        <v>#DIV/0!</v>
      </c>
      <c r="F72" s="237" t="e">
        <f>SUM(F15:F69)</f>
        <v>#DIV/0!</v>
      </c>
      <c r="G72" s="237"/>
      <c r="H72" s="237" t="e">
        <f>SUM(H15:H69)</f>
        <v>#DIV/0!</v>
      </c>
      <c r="I72" s="237" t="e">
        <f>SUM(I15:I69)</f>
        <v>#DIV/0!</v>
      </c>
      <c r="J72" s="237" t="e">
        <f>SUM(J15:J69)</f>
        <v>#DIV/0!</v>
      </c>
      <c r="K72" s="237" t="e">
        <f>SUM(K15:K69)</f>
        <v>#DIV/0!</v>
      </c>
      <c r="L72" s="28"/>
    </row>
    <row r="73" spans="2:13" x14ac:dyDescent="0.2">
      <c r="B73" s="33"/>
      <c r="C73" s="13" t="s">
        <v>648</v>
      </c>
      <c r="D73" s="414"/>
      <c r="E73" s="413" t="e">
        <f>E11-E72</f>
        <v>#DIV/0!</v>
      </c>
      <c r="F73" s="237" t="e">
        <f>F11-F72</f>
        <v>#DIV/0!</v>
      </c>
      <c r="G73" s="237"/>
      <c r="H73" s="237" t="e">
        <f>H11-H72</f>
        <v>#DIV/0!</v>
      </c>
      <c r="I73" s="237" t="e">
        <f>I11-I72</f>
        <v>#DIV/0!</v>
      </c>
      <c r="J73" s="237" t="e">
        <f>J11-J72</f>
        <v>#DIV/0!</v>
      </c>
      <c r="K73" s="237" t="e">
        <f>K11-K72</f>
        <v>#DIV/0!</v>
      </c>
      <c r="L73" s="28"/>
    </row>
    <row r="74" spans="2:13" x14ac:dyDescent="0.2">
      <c r="B74" s="33"/>
      <c r="C74" s="50" t="s">
        <v>647</v>
      </c>
      <c r="D74" s="113"/>
      <c r="E74" s="415" t="e">
        <f>E73/E11</f>
        <v>#DIV/0!</v>
      </c>
      <c r="F74" s="416" t="e">
        <f>F73/F11</f>
        <v>#DIV/0!</v>
      </c>
      <c r="G74" s="416"/>
      <c r="H74" s="416" t="e">
        <f>H73/H11</f>
        <v>#DIV/0!</v>
      </c>
      <c r="I74" s="416" t="e">
        <f>I73/I11</f>
        <v>#DIV/0!</v>
      </c>
      <c r="J74" s="416" t="e">
        <f>J73/J11</f>
        <v>#DIV/0!</v>
      </c>
      <c r="K74" s="417" t="e">
        <f>K73/K11</f>
        <v>#DIV/0!</v>
      </c>
      <c r="L74" s="28"/>
    </row>
    <row r="75" spans="2:13" x14ac:dyDescent="0.2">
      <c r="B75" s="33"/>
      <c r="C75" s="13"/>
      <c r="D75" s="13"/>
      <c r="E75" s="243"/>
      <c r="F75" s="243"/>
      <c r="G75" s="243"/>
      <c r="H75" s="243"/>
      <c r="I75" s="243"/>
      <c r="J75" s="243"/>
      <c r="K75" s="243"/>
      <c r="L75" s="28"/>
    </row>
    <row r="76" spans="2:13" ht="17" thickBot="1" x14ac:dyDescent="0.25">
      <c r="B76" s="44"/>
      <c r="C76" s="69"/>
      <c r="D76" s="69"/>
      <c r="E76" s="69"/>
      <c r="F76" s="69"/>
      <c r="G76" s="69"/>
      <c r="H76" s="69"/>
      <c r="I76" s="69"/>
      <c r="J76" s="69"/>
      <c r="K76" s="69"/>
      <c r="L76" s="28"/>
    </row>
  </sheetData>
  <mergeCells count="1">
    <mergeCell ref="B5:G5"/>
  </mergeCells>
  <conditionalFormatting sqref="J71">
    <cfRule type="cellIs" dxfId="5" priority="4" operator="lessThan">
      <formula>0</formula>
    </cfRule>
  </conditionalFormatting>
  <pageMargins left="0.75" right="0.75" top="1" bottom="1" header="0.5" footer="0.5"/>
  <pageSetup paperSize="9" orientation="portrait" horizontalDpi="4294967292" verticalDpi="429496729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8" tint="0.39997558519241921"/>
  </sheetPr>
  <dimension ref="B2:J62"/>
  <sheetViews>
    <sheetView workbookViewId="0">
      <selection activeCell="A25" sqref="A25:XFD25"/>
    </sheetView>
  </sheetViews>
  <sheetFormatPr baseColWidth="10" defaultRowHeight="16" x14ac:dyDescent="0.2"/>
  <cols>
    <col min="1" max="1" width="10.83203125" style="1"/>
    <col min="2" max="2" width="22.33203125" style="1" customWidth="1"/>
    <col min="3" max="3" width="41.1640625" style="1" bestFit="1" customWidth="1"/>
    <col min="4" max="5" width="17.83203125" style="1" customWidth="1"/>
    <col min="6" max="6" width="27.83203125" style="1" bestFit="1" customWidth="1"/>
    <col min="7" max="7" width="26.6640625" style="1" customWidth="1"/>
    <col min="8" max="8" width="22.5" style="1" customWidth="1"/>
    <col min="9" max="9" width="26.33203125" style="1" customWidth="1"/>
    <col min="10" max="10" width="25.6640625" style="1" bestFit="1" customWidth="1"/>
    <col min="11" max="11" width="10.83203125" style="1"/>
    <col min="12" max="12" width="29.83203125" style="1" customWidth="1"/>
    <col min="13" max="16384" width="10.83203125" style="1"/>
  </cols>
  <sheetData>
    <row r="2" spans="2:10" ht="21" x14ac:dyDescent="0.25">
      <c r="B2" s="2" t="s">
        <v>535</v>
      </c>
    </row>
    <row r="4" spans="2:10" x14ac:dyDescent="0.2">
      <c r="B4" s="3" t="s">
        <v>78</v>
      </c>
      <c r="C4" s="4"/>
      <c r="D4" s="4"/>
      <c r="E4" s="4"/>
      <c r="F4" s="5"/>
    </row>
    <row r="5" spans="2:10" s="67" customFormat="1" ht="75" customHeight="1" x14ac:dyDescent="0.2">
      <c r="B5" s="596" t="s">
        <v>228</v>
      </c>
      <c r="C5" s="597"/>
      <c r="D5" s="597"/>
      <c r="E5" s="597"/>
      <c r="F5" s="598"/>
      <c r="G5" s="143"/>
    </row>
    <row r="6" spans="2:10" ht="17" thickBot="1" x14ac:dyDescent="0.25"/>
    <row r="7" spans="2:10" x14ac:dyDescent="0.2">
      <c r="B7" s="25" t="s">
        <v>583</v>
      </c>
      <c r="C7" s="49"/>
      <c r="D7" s="26"/>
      <c r="E7" s="26"/>
      <c r="F7" s="26"/>
      <c r="G7" s="26"/>
      <c r="H7" s="49"/>
      <c r="I7" s="27"/>
      <c r="J7" s="28"/>
    </row>
    <row r="8" spans="2:10" x14ac:dyDescent="0.2">
      <c r="B8" s="28"/>
      <c r="I8" s="29"/>
      <c r="J8" s="33"/>
    </row>
    <row r="9" spans="2:10" ht="102" x14ac:dyDescent="0.2">
      <c r="B9" s="59" t="s">
        <v>279</v>
      </c>
      <c r="C9" s="63" t="s">
        <v>182</v>
      </c>
      <c r="D9" s="73" t="s">
        <v>435</v>
      </c>
      <c r="E9" s="73" t="s">
        <v>747</v>
      </c>
      <c r="F9" s="73" t="s">
        <v>479</v>
      </c>
      <c r="G9" s="73" t="s">
        <v>480</v>
      </c>
      <c r="H9" s="73" t="s">
        <v>192</v>
      </c>
      <c r="I9" s="149" t="s">
        <v>191</v>
      </c>
      <c r="J9" s="245"/>
    </row>
    <row r="10" spans="2:10" x14ac:dyDescent="0.2">
      <c r="B10" s="46" t="s">
        <v>76</v>
      </c>
      <c r="I10" s="29"/>
      <c r="J10" s="246"/>
    </row>
    <row r="11" spans="2:10" x14ac:dyDescent="0.2">
      <c r="B11" s="46"/>
      <c r="C11" t="str">
        <f>technical_specs!C11</f>
        <v>Condensing Combi Boiler (space heating)</v>
      </c>
      <c r="D11" s="165">
        <f>Dashboard!E31</f>
        <v>0</v>
      </c>
      <c r="E11" s="165">
        <f>D11</f>
        <v>0</v>
      </c>
      <c r="F11" s="460">
        <f>Eff_space_heating_combi_boiler</f>
        <v>0</v>
      </c>
      <c r="G11" s="172">
        <v>1</v>
      </c>
      <c r="H11" s="248" t="e">
        <f>E11/F11*G11</f>
        <v>#DIV/0!</v>
      </c>
      <c r="I11" s="505" t="e">
        <f t="shared" ref="I11:I21" si="0">H11/SUM($H$11:$H$21)</f>
        <v>#DIV/0!</v>
      </c>
      <c r="J11" s="331"/>
    </row>
    <row r="12" spans="2:10" x14ac:dyDescent="0.2">
      <c r="B12" s="46"/>
      <c r="C12" t="str">
        <f>technical_specs!C12</f>
        <v>Electric Heat Pump (ground) (space heating)</v>
      </c>
      <c r="D12" s="165">
        <f>Dashboard!E32</f>
        <v>0</v>
      </c>
      <c r="E12" s="165">
        <f t="shared" ref="E12:E19" si="1">D12</f>
        <v>0</v>
      </c>
      <c r="F12" s="460" t="e">
        <f>Eff_space_heating_pump_ground</f>
        <v>#DIV/0!</v>
      </c>
      <c r="G12" s="172">
        <v>1</v>
      </c>
      <c r="H12" s="248" t="e">
        <f t="shared" ref="H12:H21" si="2">E12/F12*G12</f>
        <v>#DIV/0!</v>
      </c>
      <c r="I12" s="505" t="e">
        <f t="shared" si="0"/>
        <v>#DIV/0!</v>
      </c>
      <c r="J12" s="247"/>
    </row>
    <row r="13" spans="2:10" x14ac:dyDescent="0.2">
      <c r="B13" s="46"/>
      <c r="C13" t="str">
        <f>technical_specs!C13</f>
        <v>District Heating (space heating)</v>
      </c>
      <c r="D13" s="165">
        <f>Dashboard!E33</f>
        <v>0</v>
      </c>
      <c r="E13" s="165">
        <f t="shared" si="1"/>
        <v>0</v>
      </c>
      <c r="F13" s="460">
        <f>Eff_space_heating_district</f>
        <v>0</v>
      </c>
      <c r="G13" s="172">
        <v>1</v>
      </c>
      <c r="H13" s="248" t="e">
        <f t="shared" si="2"/>
        <v>#DIV/0!</v>
      </c>
      <c r="I13" s="505" t="e">
        <f t="shared" si="0"/>
        <v>#DIV/0!</v>
      </c>
      <c r="J13" s="247"/>
    </row>
    <row r="14" spans="2:10" x14ac:dyDescent="0.2">
      <c r="B14" s="62"/>
      <c r="C14" t="str">
        <f>technical_specs!C14</f>
        <v>electricity-driven Heat pump (air) (space heating)</v>
      </c>
      <c r="D14" s="165">
        <f>Dashboard!E34</f>
        <v>0</v>
      </c>
      <c r="E14" s="165">
        <f t="shared" si="1"/>
        <v>0</v>
      </c>
      <c r="F14" s="460" t="e">
        <f>Eff_space_heating_pump_air</f>
        <v>#DIV/0!</v>
      </c>
      <c r="G14" s="172">
        <v>1</v>
      </c>
      <c r="H14" s="248" t="e">
        <f t="shared" si="2"/>
        <v>#DIV/0!</v>
      </c>
      <c r="I14" s="505" t="e">
        <f t="shared" si="0"/>
        <v>#DIV/0!</v>
      </c>
      <c r="J14" s="247"/>
    </row>
    <row r="15" spans="2:10" x14ac:dyDescent="0.2">
      <c r="B15" s="62"/>
      <c r="C15" t="str">
        <f>technical_specs!C15</f>
        <v>woodpellets (biomass) heaters (space heating)</v>
      </c>
      <c r="D15" s="165">
        <f>Dashboard!E35</f>
        <v>0</v>
      </c>
      <c r="E15" s="165">
        <f t="shared" si="1"/>
        <v>0</v>
      </c>
      <c r="F15" s="460">
        <f>Eff_space_heating_woodpellets</f>
        <v>0</v>
      </c>
      <c r="G15" s="172">
        <v>1</v>
      </c>
      <c r="H15" s="248" t="e">
        <f t="shared" si="2"/>
        <v>#DIV/0!</v>
      </c>
      <c r="I15" s="505" t="e">
        <f t="shared" si="0"/>
        <v>#DIV/0!</v>
      </c>
      <c r="J15" s="247"/>
    </row>
    <row r="16" spans="2:10" x14ac:dyDescent="0.2">
      <c r="B16" s="62"/>
      <c r="C16" t="str">
        <f>technical_specs!C16</f>
        <v>Electric Heaters (resistance) (space heating)</v>
      </c>
      <c r="D16" s="165">
        <f>Dashboard!E36</f>
        <v>0</v>
      </c>
      <c r="E16" s="165">
        <f t="shared" si="1"/>
        <v>0</v>
      </c>
      <c r="F16" s="460">
        <f>Eff_space_heating_electric</f>
        <v>0</v>
      </c>
      <c r="G16" s="172">
        <v>1</v>
      </c>
      <c r="H16" s="248" t="e">
        <f t="shared" si="2"/>
        <v>#DIV/0!</v>
      </c>
      <c r="I16" s="505" t="e">
        <f t="shared" si="0"/>
        <v>#DIV/0!</v>
      </c>
      <c r="J16" s="247"/>
    </row>
    <row r="17" spans="2:10" ht="15" customHeight="1" x14ac:dyDescent="0.2">
      <c r="B17" s="62"/>
      <c r="C17" t="str">
        <f>technical_specs!C17</f>
        <v>Gas-fired Heaters (space heating)</v>
      </c>
      <c r="D17" s="165">
        <f>Dashboard!E37</f>
        <v>0</v>
      </c>
      <c r="E17" s="165">
        <f t="shared" si="1"/>
        <v>0</v>
      </c>
      <c r="F17" s="460">
        <f>Eff_space_heating_gas</f>
        <v>0</v>
      </c>
      <c r="G17" s="172">
        <v>1</v>
      </c>
      <c r="H17" s="248" t="e">
        <f t="shared" si="2"/>
        <v>#DIV/0!</v>
      </c>
      <c r="I17" s="505" t="e">
        <f t="shared" si="0"/>
        <v>#DIV/0!</v>
      </c>
      <c r="J17" s="247"/>
    </row>
    <row r="18" spans="2:10" x14ac:dyDescent="0.2">
      <c r="B18" s="62"/>
      <c r="C18" t="str">
        <f>technical_specs!C18</f>
        <v>Oil-fired Heaters (space heating)</v>
      </c>
      <c r="D18" s="165">
        <f>Dashboard!E38</f>
        <v>0</v>
      </c>
      <c r="E18" s="165">
        <f t="shared" si="1"/>
        <v>0</v>
      </c>
      <c r="F18" s="460">
        <f>Eff_space_heating_oil</f>
        <v>0</v>
      </c>
      <c r="G18" s="172">
        <v>1</v>
      </c>
      <c r="H18" s="248" t="e">
        <f t="shared" si="2"/>
        <v>#DIV/0!</v>
      </c>
      <c r="I18" s="505" t="e">
        <f t="shared" si="0"/>
        <v>#DIV/0!</v>
      </c>
      <c r="J18" s="247"/>
    </row>
    <row r="19" spans="2:10" x14ac:dyDescent="0.2">
      <c r="B19" s="62"/>
      <c r="C19" t="str">
        <f>technical_specs!C19</f>
        <v>Coal-fired Heaters (space heating)</v>
      </c>
      <c r="D19" s="165">
        <f>Dashboard!E39</f>
        <v>0</v>
      </c>
      <c r="E19" s="165">
        <f t="shared" si="1"/>
        <v>0</v>
      </c>
      <c r="F19" s="460">
        <f>Eff_space_heating_coal</f>
        <v>0</v>
      </c>
      <c r="G19" s="172">
        <v>1</v>
      </c>
      <c r="H19" s="248" t="e">
        <f t="shared" si="2"/>
        <v>#DIV/0!</v>
      </c>
      <c r="I19" s="505" t="e">
        <f t="shared" si="0"/>
        <v>#DIV/0!</v>
      </c>
      <c r="J19" s="247"/>
    </row>
    <row r="20" spans="2:10" x14ac:dyDescent="0.2">
      <c r="B20" s="62"/>
      <c r="C20" t="str">
        <f>technical_specs!C20</f>
        <v>Hybrid heatpump, heatpump part (space heating)</v>
      </c>
      <c r="D20" s="165">
        <f>Dashboard!E40</f>
        <v>0</v>
      </c>
      <c r="E20" s="165">
        <f>D20*(1-technical_specs!Q21)</f>
        <v>0</v>
      </c>
      <c r="F20" s="460">
        <f>Eff_space_heating_hhp_heatpump</f>
        <v>3.5000066339098939</v>
      </c>
      <c r="G20" s="172">
        <v>1</v>
      </c>
      <c r="H20" s="248">
        <f t="shared" si="2"/>
        <v>0</v>
      </c>
      <c r="I20" s="505" t="e">
        <f t="shared" si="0"/>
        <v>#DIV/0!</v>
      </c>
      <c r="J20" s="247"/>
    </row>
    <row r="21" spans="2:10" x14ac:dyDescent="0.2">
      <c r="B21" s="62"/>
      <c r="C21" t="str">
        <f>technical_specs!C21</f>
        <v>Hybrid heatpump, gas part (space heating)</v>
      </c>
      <c r="D21" s="165"/>
      <c r="E21" s="165">
        <f>D20*technical_specs!Q21</f>
        <v>0</v>
      </c>
      <c r="F21" s="460">
        <f>Eff_space_heating_hhp_gas</f>
        <v>0</v>
      </c>
      <c r="G21" s="172">
        <v>1</v>
      </c>
      <c r="H21" s="248" t="e">
        <f t="shared" si="2"/>
        <v>#DIV/0!</v>
      </c>
      <c r="I21" s="505" t="e">
        <f t="shared" si="0"/>
        <v>#DIV/0!</v>
      </c>
      <c r="J21" s="247"/>
    </row>
    <row r="22" spans="2:10" x14ac:dyDescent="0.2">
      <c r="B22" s="41"/>
      <c r="C22" s="9"/>
      <c r="D22" s="169"/>
      <c r="E22" s="169"/>
      <c r="F22" s="462"/>
      <c r="G22" s="178"/>
      <c r="H22" s="250"/>
      <c r="I22" s="235"/>
      <c r="J22" s="247"/>
    </row>
    <row r="23" spans="2:10" x14ac:dyDescent="0.2">
      <c r="B23" s="46" t="s">
        <v>290</v>
      </c>
      <c r="D23" s="168"/>
      <c r="E23" s="168"/>
      <c r="F23" s="461"/>
      <c r="G23" s="55"/>
      <c r="H23" s="249"/>
      <c r="I23" s="236"/>
      <c r="J23" s="247"/>
    </row>
    <row r="24" spans="2:10" x14ac:dyDescent="0.2">
      <c r="B24" s="46"/>
      <c r="C24" t="str">
        <f>technical_specs!C24</f>
        <v>Condensing Combi Boiler (hot water)</v>
      </c>
      <c r="D24" s="165">
        <f>Dashboard!E44</f>
        <v>0</v>
      </c>
      <c r="E24" s="165">
        <f>D24</f>
        <v>0</v>
      </c>
      <c r="F24" s="460">
        <f>Eff_hot_water_combi_boiler</f>
        <v>0</v>
      </c>
      <c r="G24" s="172">
        <v>1</v>
      </c>
      <c r="H24" s="248" t="e">
        <f>E24/F24*G24</f>
        <v>#DIV/0!</v>
      </c>
      <c r="I24" s="505" t="e">
        <f t="shared" ref="I24:I34" si="3">H24/SUM($H$24:$H$34)</f>
        <v>#DIV/0!</v>
      </c>
      <c r="J24" s="247"/>
    </row>
    <row r="25" spans="2:10" x14ac:dyDescent="0.2">
      <c r="B25" s="46"/>
      <c r="C25" t="str">
        <f>technical_specs!C25</f>
        <v>Electric Heat Pump (ground) (hot water)</v>
      </c>
      <c r="D25" s="165">
        <f>Dashboard!E45</f>
        <v>0</v>
      </c>
      <c r="E25" s="165">
        <f t="shared" ref="E25:E32" si="4">D25</f>
        <v>0</v>
      </c>
      <c r="F25" s="460" t="e">
        <f>Eff_hot_water_pump_ground</f>
        <v>#DIV/0!</v>
      </c>
      <c r="G25" s="172">
        <v>1</v>
      </c>
      <c r="H25" s="248" t="e">
        <f t="shared" ref="H25:H34" si="5">E25/F25*G25</f>
        <v>#DIV/0!</v>
      </c>
      <c r="I25" s="505" t="e">
        <f t="shared" si="3"/>
        <v>#DIV/0!</v>
      </c>
      <c r="J25" s="247"/>
    </row>
    <row r="26" spans="2:10" x14ac:dyDescent="0.2">
      <c r="B26" s="62"/>
      <c r="C26" t="str">
        <f>technical_specs!C26</f>
        <v>District Heating (hot water)</v>
      </c>
      <c r="D26" s="165">
        <f>Dashboard!E46</f>
        <v>0</v>
      </c>
      <c r="E26" s="165">
        <f t="shared" si="4"/>
        <v>0</v>
      </c>
      <c r="F26" s="460">
        <f>Eff_hot_water_district</f>
        <v>0</v>
      </c>
      <c r="G26" s="172">
        <v>1</v>
      </c>
      <c r="H26" s="248" t="e">
        <f t="shared" si="5"/>
        <v>#DIV/0!</v>
      </c>
      <c r="I26" s="505" t="e">
        <f t="shared" si="3"/>
        <v>#DIV/0!</v>
      </c>
      <c r="J26" s="247"/>
    </row>
    <row r="27" spans="2:10" x14ac:dyDescent="0.2">
      <c r="B27" s="62"/>
      <c r="C27" t="str">
        <f>technical_specs!C27</f>
        <v>electricity-driven Heat pump (air) (hot water)</v>
      </c>
      <c r="D27" s="165">
        <f>Dashboard!E47</f>
        <v>0</v>
      </c>
      <c r="E27" s="165">
        <f t="shared" si="4"/>
        <v>0</v>
      </c>
      <c r="F27" s="460" t="e">
        <f>Eff_hot_water_pump_air</f>
        <v>#DIV/0!</v>
      </c>
      <c r="G27" s="172">
        <v>1</v>
      </c>
      <c r="H27" s="248" t="e">
        <f t="shared" si="5"/>
        <v>#DIV/0!</v>
      </c>
      <c r="I27" s="505" t="e">
        <f t="shared" si="3"/>
        <v>#DIV/0!</v>
      </c>
      <c r="J27" s="247"/>
    </row>
    <row r="28" spans="2:10" x14ac:dyDescent="0.2">
      <c r="B28" s="62"/>
      <c r="C28" t="str">
        <f>technical_specs!C28</f>
        <v>woodpellets (biomass) heaters (hot water)</v>
      </c>
      <c r="D28" s="165">
        <f>Dashboard!E48</f>
        <v>0</v>
      </c>
      <c r="E28" s="165">
        <f t="shared" si="4"/>
        <v>0</v>
      </c>
      <c r="F28" s="460">
        <f>Eff_hot_water_woodpellets</f>
        <v>0</v>
      </c>
      <c r="G28" s="172">
        <v>1</v>
      </c>
      <c r="H28" s="248" t="e">
        <f t="shared" si="5"/>
        <v>#DIV/0!</v>
      </c>
      <c r="I28" s="505" t="e">
        <f t="shared" si="3"/>
        <v>#DIV/0!</v>
      </c>
      <c r="J28" s="247"/>
    </row>
    <row r="29" spans="2:10" x14ac:dyDescent="0.2">
      <c r="B29" s="62"/>
      <c r="C29" t="str">
        <f>technical_specs!C29</f>
        <v>Electric Heaters (resistance) (hot water)</v>
      </c>
      <c r="D29" s="165">
        <f>Dashboard!E49</f>
        <v>0</v>
      </c>
      <c r="E29" s="165">
        <f t="shared" si="4"/>
        <v>0</v>
      </c>
      <c r="F29" s="460">
        <f>Eff_hot_water_electric</f>
        <v>0</v>
      </c>
      <c r="G29" s="172">
        <v>1</v>
      </c>
      <c r="H29" s="248" t="e">
        <f t="shared" si="5"/>
        <v>#DIV/0!</v>
      </c>
      <c r="I29" s="505" t="e">
        <f t="shared" si="3"/>
        <v>#DIV/0!</v>
      </c>
      <c r="J29" s="247"/>
    </row>
    <row r="30" spans="2:10" x14ac:dyDescent="0.2">
      <c r="B30" s="62"/>
      <c r="C30" t="str">
        <f>technical_specs!C30</f>
        <v>Gas-fired Heaters (hot water)</v>
      </c>
      <c r="D30" s="165">
        <f>Dashboard!E50</f>
        <v>0</v>
      </c>
      <c r="E30" s="165">
        <f t="shared" si="4"/>
        <v>0</v>
      </c>
      <c r="F30" s="460">
        <f>Eff_hot_water_gas</f>
        <v>0</v>
      </c>
      <c r="G30" s="172">
        <v>1</v>
      </c>
      <c r="H30" s="248" t="e">
        <f t="shared" si="5"/>
        <v>#DIV/0!</v>
      </c>
      <c r="I30" s="505" t="e">
        <f t="shared" si="3"/>
        <v>#DIV/0!</v>
      </c>
      <c r="J30" s="247"/>
    </row>
    <row r="31" spans="2:10" x14ac:dyDescent="0.2">
      <c r="B31" s="62"/>
      <c r="C31" t="str">
        <f>technical_specs!C31</f>
        <v>Oil-fired Heaters (hot water)</v>
      </c>
      <c r="D31" s="165">
        <f>Dashboard!E51</f>
        <v>0</v>
      </c>
      <c r="E31" s="165">
        <f t="shared" si="4"/>
        <v>0</v>
      </c>
      <c r="F31" s="460">
        <f>Eff_hot_water_oil</f>
        <v>0</v>
      </c>
      <c r="G31" s="172">
        <v>1</v>
      </c>
      <c r="H31" s="248" t="e">
        <f t="shared" si="5"/>
        <v>#DIV/0!</v>
      </c>
      <c r="I31" s="505" t="e">
        <f t="shared" si="3"/>
        <v>#DIV/0!</v>
      </c>
      <c r="J31" s="247"/>
    </row>
    <row r="32" spans="2:10" x14ac:dyDescent="0.2">
      <c r="B32" s="62"/>
      <c r="C32" t="str">
        <f>technical_specs!C32</f>
        <v>Coal-fired Heaters (hot water)</v>
      </c>
      <c r="D32" s="165">
        <f>Dashboard!E52</f>
        <v>0</v>
      </c>
      <c r="E32" s="165">
        <f t="shared" si="4"/>
        <v>0</v>
      </c>
      <c r="F32" s="460">
        <f>Eff_hot_water_coal</f>
        <v>0</v>
      </c>
      <c r="G32" s="172">
        <v>1</v>
      </c>
      <c r="H32" s="248" t="e">
        <f t="shared" si="5"/>
        <v>#DIV/0!</v>
      </c>
      <c r="I32" s="505" t="e">
        <f t="shared" si="3"/>
        <v>#DIV/0!</v>
      </c>
      <c r="J32" s="247"/>
    </row>
    <row r="33" spans="2:10" x14ac:dyDescent="0.2">
      <c r="B33" s="62"/>
      <c r="C33" t="str">
        <f>technical_specs!C33</f>
        <v>Hybrid heatpump, heatpump part (hot water)</v>
      </c>
      <c r="D33" s="165">
        <f>Dashboard!E53</f>
        <v>0</v>
      </c>
      <c r="E33" s="165" t="e">
        <f>D33*(1-technical_specs!Q34)</f>
        <v>#DIV/0!</v>
      </c>
      <c r="F33" s="460">
        <f>Eff_hot_water_hhp_heatpump</f>
        <v>1</v>
      </c>
      <c r="G33" s="172">
        <v>1</v>
      </c>
      <c r="H33" s="248" t="e">
        <f t="shared" si="5"/>
        <v>#DIV/0!</v>
      </c>
      <c r="I33" s="505" t="e">
        <f t="shared" si="3"/>
        <v>#DIV/0!</v>
      </c>
      <c r="J33" s="247"/>
    </row>
    <row r="34" spans="2:10" x14ac:dyDescent="0.2">
      <c r="B34" s="62"/>
      <c r="C34" t="str">
        <f>technical_specs!C34</f>
        <v>Hybrid heatpump, gas part (hot water)</v>
      </c>
      <c r="D34" s="165"/>
      <c r="E34" s="165" t="e">
        <f>D33*technical_specs!Q34</f>
        <v>#DIV/0!</v>
      </c>
      <c r="F34" s="460">
        <f>Eff_hot_water_hhp_gas</f>
        <v>0</v>
      </c>
      <c r="G34" s="172">
        <v>1</v>
      </c>
      <c r="H34" s="248" t="e">
        <f t="shared" si="5"/>
        <v>#DIV/0!</v>
      </c>
      <c r="I34" s="505" t="e">
        <f t="shared" si="3"/>
        <v>#DIV/0!</v>
      </c>
      <c r="J34" s="247"/>
    </row>
    <row r="35" spans="2:10" x14ac:dyDescent="0.2">
      <c r="B35" s="28"/>
      <c r="C35" s="9"/>
      <c r="D35" s="169"/>
      <c r="E35" s="169"/>
      <c r="F35" s="462"/>
      <c r="G35" s="170"/>
      <c r="H35" s="250"/>
      <c r="I35" s="235"/>
      <c r="J35" s="247"/>
    </row>
    <row r="36" spans="2:10" x14ac:dyDescent="0.2">
      <c r="B36" s="45" t="s">
        <v>88</v>
      </c>
      <c r="D36" s="168"/>
      <c r="E36" s="168"/>
      <c r="F36" s="461"/>
      <c r="G36" s="109"/>
      <c r="H36" s="249"/>
      <c r="I36" s="236"/>
      <c r="J36" s="247"/>
    </row>
    <row r="37" spans="2:10" x14ac:dyDescent="0.2">
      <c r="B37" s="62"/>
      <c r="C37" t="str">
        <f>technical_specs!C37</f>
        <v>Electric heat pump ground</v>
      </c>
      <c r="D37" s="165">
        <f>Dashboard!E57</f>
        <v>0</v>
      </c>
      <c r="E37" s="165">
        <f>D37</f>
        <v>0</v>
      </c>
      <c r="F37" s="460" t="e">
        <f>Eff_cooling_pump_ground</f>
        <v>#DIV/0!</v>
      </c>
      <c r="G37" s="166"/>
      <c r="H37" s="248" t="e">
        <f>E37/F37</f>
        <v>#DIV/0!</v>
      </c>
      <c r="I37" s="234" t="e">
        <f>H37/SUM($H$37:$H$39)</f>
        <v>#DIV/0!</v>
      </c>
      <c r="J37" s="247"/>
    </row>
    <row r="38" spans="2:10" x14ac:dyDescent="0.2">
      <c r="B38" s="62"/>
      <c r="C38" t="str">
        <f>technical_specs!C38</f>
        <v>Electric heat pump air</v>
      </c>
      <c r="D38" s="165">
        <f>Dashboard!E58</f>
        <v>0</v>
      </c>
      <c r="E38" s="165">
        <f t="shared" ref="E38:E39" si="6">D38</f>
        <v>0</v>
      </c>
      <c r="F38" s="460" t="e">
        <f>Eff_cooling_pump_air</f>
        <v>#DIV/0!</v>
      </c>
      <c r="G38" s="166"/>
      <c r="H38" s="248" t="e">
        <f t="shared" ref="H38:H39" si="7">E38/F38</f>
        <v>#DIV/0!</v>
      </c>
      <c r="I38" s="234" t="e">
        <f t="shared" ref="I38:I39" si="8">H38/SUM($H$37:$H$39)</f>
        <v>#DIV/0!</v>
      </c>
      <c r="J38" s="247"/>
    </row>
    <row r="39" spans="2:10" x14ac:dyDescent="0.2">
      <c r="B39" s="62"/>
      <c r="C39" t="str">
        <f>technical_specs!C39</f>
        <v>Conventional electric airconditioning</v>
      </c>
      <c r="D39" s="165">
        <f>Dashboard!E59</f>
        <v>0</v>
      </c>
      <c r="E39" s="165">
        <f t="shared" si="6"/>
        <v>0</v>
      </c>
      <c r="F39" s="460" t="e">
        <f>Eff_cooling_airco</f>
        <v>#DIV/0!</v>
      </c>
      <c r="G39" s="166"/>
      <c r="H39" s="248" t="e">
        <f t="shared" si="7"/>
        <v>#DIV/0!</v>
      </c>
      <c r="I39" s="234" t="e">
        <f t="shared" si="8"/>
        <v>#DIV/0!</v>
      </c>
      <c r="J39" s="247"/>
    </row>
    <row r="40" spans="2:10" x14ac:dyDescent="0.2">
      <c r="B40" s="41"/>
      <c r="C40" s="9"/>
      <c r="D40" s="169"/>
      <c r="E40" s="169"/>
      <c r="F40" s="462"/>
      <c r="G40" s="170"/>
      <c r="H40" s="250"/>
      <c r="I40" s="235"/>
      <c r="J40" s="247"/>
    </row>
    <row r="41" spans="2:10" x14ac:dyDescent="0.2">
      <c r="B41" s="46" t="s">
        <v>276</v>
      </c>
      <c r="D41" s="168"/>
      <c r="E41" s="168"/>
      <c r="F41" s="461"/>
      <c r="G41" s="109"/>
      <c r="H41" s="249"/>
      <c r="I41" s="236"/>
      <c r="J41" s="247"/>
    </row>
    <row r="42" spans="2:10" x14ac:dyDescent="0.2">
      <c r="B42" s="46"/>
      <c r="C42" t="str">
        <f>technical_specs!C42</f>
        <v>Gas stoves</v>
      </c>
      <c r="D42" s="165">
        <f>Dashboard!E69</f>
        <v>0</v>
      </c>
      <c r="E42" s="165">
        <f>D42</f>
        <v>0</v>
      </c>
      <c r="F42" s="460">
        <f>Eff_cooking_gas</f>
        <v>0</v>
      </c>
      <c r="G42" s="166"/>
      <c r="H42" s="248" t="e">
        <f>E42/F42</f>
        <v>#DIV/0!</v>
      </c>
      <c r="I42" s="234" t="e">
        <f>H42/SUM($H$42:$H$46)</f>
        <v>#DIV/0!</v>
      </c>
      <c r="J42" s="247"/>
    </row>
    <row r="43" spans="2:10" x14ac:dyDescent="0.2">
      <c r="B43" s="46"/>
      <c r="C43" t="str">
        <f>technical_specs!C43</f>
        <v>Electric stoves (resistance)</v>
      </c>
      <c r="D43" s="165">
        <f>Dashboard!E70</f>
        <v>0</v>
      </c>
      <c r="E43" s="165">
        <f t="shared" ref="E43:E46" si="9">D43</f>
        <v>0</v>
      </c>
      <c r="F43" s="460">
        <f>Eff_cooking_electric</f>
        <v>0</v>
      </c>
      <c r="G43" s="166"/>
      <c r="H43" s="248" t="e">
        <f t="shared" ref="H43:H46" si="10">E43/F43</f>
        <v>#DIV/0!</v>
      </c>
      <c r="I43" s="234" t="e">
        <f t="shared" ref="I43:I46" si="11">H43/SUM($H$42:$H$46)</f>
        <v>#DIV/0!</v>
      </c>
      <c r="J43" s="247"/>
    </row>
    <row r="44" spans="2:10" x14ac:dyDescent="0.2">
      <c r="B44" s="46"/>
      <c r="C44" t="str">
        <f>technical_specs!C44</f>
        <v>Electric halogen stoves</v>
      </c>
      <c r="D44" s="165">
        <f>Dashboard!E71</f>
        <v>0</v>
      </c>
      <c r="E44" s="165">
        <f t="shared" si="9"/>
        <v>0</v>
      </c>
      <c r="F44" s="460">
        <f>Eff_cooking_halogen</f>
        <v>0</v>
      </c>
      <c r="G44" s="166"/>
      <c r="H44" s="248" t="e">
        <f t="shared" si="10"/>
        <v>#DIV/0!</v>
      </c>
      <c r="I44" s="234" t="e">
        <f t="shared" si="11"/>
        <v>#DIV/0!</v>
      </c>
      <c r="J44" s="247"/>
    </row>
    <row r="45" spans="2:10" x14ac:dyDescent="0.2">
      <c r="B45" s="46"/>
      <c r="C45" t="str">
        <f>technical_specs!C45</f>
        <v>Electric induction stoves</v>
      </c>
      <c r="D45" s="165">
        <f>Dashboard!E72</f>
        <v>0</v>
      </c>
      <c r="E45" s="165">
        <f t="shared" si="9"/>
        <v>0</v>
      </c>
      <c r="F45" s="460">
        <f>Eff_cooking_induction</f>
        <v>0</v>
      </c>
      <c r="G45" s="166"/>
      <c r="H45" s="248" t="e">
        <f t="shared" si="10"/>
        <v>#DIV/0!</v>
      </c>
      <c r="I45" s="234" t="e">
        <f t="shared" si="11"/>
        <v>#DIV/0!</v>
      </c>
      <c r="J45" s="247"/>
    </row>
    <row r="46" spans="2:10" x14ac:dyDescent="0.2">
      <c r="B46" s="62"/>
      <c r="C46" t="str">
        <f>technical_specs!C46</f>
        <v>Biomass stoves</v>
      </c>
      <c r="D46" s="165">
        <f>Dashboard!E73</f>
        <v>0</v>
      </c>
      <c r="E46" s="165">
        <f t="shared" si="9"/>
        <v>0</v>
      </c>
      <c r="F46" s="460">
        <f>Eff_cooking_biomass</f>
        <v>0</v>
      </c>
      <c r="G46" s="166"/>
      <c r="H46" s="248" t="e">
        <f t="shared" si="10"/>
        <v>#DIV/0!</v>
      </c>
      <c r="I46" s="234" t="e">
        <f t="shared" si="11"/>
        <v>#DIV/0!</v>
      </c>
      <c r="J46" s="247"/>
    </row>
    <row r="47" spans="2:10" x14ac:dyDescent="0.2">
      <c r="B47" s="108"/>
      <c r="C47" s="9"/>
      <c r="D47" s="169"/>
      <c r="E47" s="169"/>
      <c r="F47" s="462"/>
      <c r="G47" s="170"/>
      <c r="H47" s="250"/>
      <c r="I47" s="235"/>
      <c r="J47" s="247"/>
    </row>
    <row r="48" spans="2:10" x14ac:dyDescent="0.2">
      <c r="B48" s="35" t="s">
        <v>75</v>
      </c>
      <c r="D48" s="168"/>
      <c r="E48" s="168"/>
      <c r="F48" s="461"/>
      <c r="G48" s="109"/>
      <c r="H48" s="249"/>
      <c r="I48" s="236"/>
      <c r="J48" s="247"/>
    </row>
    <row r="49" spans="2:10" x14ac:dyDescent="0.2">
      <c r="B49" s="62"/>
      <c r="C49" t="str">
        <f>technical_specs!C49</f>
        <v>Incandescent lamps</v>
      </c>
      <c r="D49" s="165">
        <f>Dashboard!E63</f>
        <v>0</v>
      </c>
      <c r="E49" s="165">
        <f>D49</f>
        <v>0</v>
      </c>
      <c r="F49" s="460">
        <f>Eff_lighting_incandescent</f>
        <v>0</v>
      </c>
      <c r="G49" s="166"/>
      <c r="H49" s="248" t="e">
        <f>E49/F49</f>
        <v>#DIV/0!</v>
      </c>
      <c r="I49" s="234" t="e">
        <f>H49/SUM($H$49:$H$51)</f>
        <v>#DIV/0!</v>
      </c>
      <c r="J49" s="28"/>
    </row>
    <row r="50" spans="2:10" x14ac:dyDescent="0.2">
      <c r="B50" s="62"/>
      <c r="C50" t="str">
        <f>technical_specs!C50</f>
        <v>Low energy light bulbs / fluorescent lighting</v>
      </c>
      <c r="D50" s="165">
        <f>Dashboard!E64</f>
        <v>0</v>
      </c>
      <c r="E50" s="165">
        <f t="shared" ref="E50:E51" si="12">D50</f>
        <v>0</v>
      </c>
      <c r="F50" s="460">
        <f>Eff_lighting_fluorescent</f>
        <v>0</v>
      </c>
      <c r="G50" s="166"/>
      <c r="H50" s="248" t="e">
        <f t="shared" ref="H50:H51" si="13">E50/F50</f>
        <v>#DIV/0!</v>
      </c>
      <c r="I50" s="234" t="e">
        <f t="shared" ref="I50:I51" si="14">H50/SUM($H$49:$H$51)</f>
        <v>#DIV/0!</v>
      </c>
      <c r="J50" s="28"/>
    </row>
    <row r="51" spans="2:10" x14ac:dyDescent="0.2">
      <c r="B51" s="62"/>
      <c r="C51" t="str">
        <f>technical_specs!C51</f>
        <v>LED lamps</v>
      </c>
      <c r="D51" s="165">
        <f>Dashboard!E65</f>
        <v>0</v>
      </c>
      <c r="E51" s="165">
        <f t="shared" si="12"/>
        <v>0</v>
      </c>
      <c r="F51" s="460">
        <f>Eff_lighting_led</f>
        <v>0</v>
      </c>
      <c r="G51" s="166"/>
      <c r="H51" s="248" t="e">
        <f t="shared" si="13"/>
        <v>#DIV/0!</v>
      </c>
      <c r="I51" s="234" t="e">
        <f t="shared" si="14"/>
        <v>#DIV/0!</v>
      </c>
      <c r="J51" s="28"/>
    </row>
    <row r="52" spans="2:10" x14ac:dyDescent="0.2">
      <c r="B52" s="108"/>
      <c r="C52" s="9"/>
      <c r="D52" s="169"/>
      <c r="E52" s="169"/>
      <c r="F52" s="170"/>
      <c r="G52" s="170"/>
      <c r="H52" s="250"/>
      <c r="I52" s="235"/>
      <c r="J52" s="28"/>
    </row>
    <row r="53" spans="2:10" x14ac:dyDescent="0.2">
      <c r="B53" s="35" t="s">
        <v>515</v>
      </c>
      <c r="H53" s="20"/>
      <c r="I53" s="29"/>
      <c r="J53" s="28"/>
    </row>
    <row r="54" spans="2:10" x14ac:dyDescent="0.2">
      <c r="B54" s="28"/>
      <c r="C54" t="s">
        <v>506</v>
      </c>
      <c r="D54"/>
      <c r="E54"/>
      <c r="F54"/>
      <c r="G54"/>
      <c r="H54" s="167"/>
      <c r="I54" s="244">
        <f>Dashboard!E77</f>
        <v>0</v>
      </c>
      <c r="J54" s="28"/>
    </row>
    <row r="55" spans="2:10" x14ac:dyDescent="0.2">
      <c r="B55" s="28"/>
      <c r="C55" t="s">
        <v>507</v>
      </c>
      <c r="D55"/>
      <c r="E55"/>
      <c r="F55"/>
      <c r="G55"/>
      <c r="H55" s="167"/>
      <c r="I55" s="244">
        <f>Dashboard!E78</f>
        <v>0</v>
      </c>
      <c r="J55" s="28"/>
    </row>
    <row r="56" spans="2:10" x14ac:dyDescent="0.2">
      <c r="B56" s="28"/>
      <c r="C56" t="s">
        <v>508</v>
      </c>
      <c r="D56"/>
      <c r="E56"/>
      <c r="F56"/>
      <c r="G56"/>
      <c r="H56" s="167"/>
      <c r="I56" s="244">
        <f>Dashboard!E79</f>
        <v>0</v>
      </c>
      <c r="J56" s="28"/>
    </row>
    <row r="57" spans="2:10" x14ac:dyDescent="0.2">
      <c r="B57" s="28"/>
      <c r="C57" t="s">
        <v>509</v>
      </c>
      <c r="D57"/>
      <c r="E57"/>
      <c r="F57"/>
      <c r="G57"/>
      <c r="H57" s="167"/>
      <c r="I57" s="244">
        <f>Dashboard!E80</f>
        <v>0</v>
      </c>
      <c r="J57" s="28"/>
    </row>
    <row r="58" spans="2:10" x14ac:dyDescent="0.2">
      <c r="B58" s="28"/>
      <c r="C58" t="s">
        <v>510</v>
      </c>
      <c r="D58"/>
      <c r="E58"/>
      <c r="F58"/>
      <c r="G58"/>
      <c r="H58" s="167"/>
      <c r="I58" s="244">
        <f>Dashboard!E81</f>
        <v>0</v>
      </c>
      <c r="J58" s="28"/>
    </row>
    <row r="59" spans="2:10" x14ac:dyDescent="0.2">
      <c r="B59" s="28"/>
      <c r="C59" t="s">
        <v>511</v>
      </c>
      <c r="D59"/>
      <c r="E59"/>
      <c r="F59"/>
      <c r="G59"/>
      <c r="H59" s="167"/>
      <c r="I59" s="244">
        <f>Dashboard!E82</f>
        <v>0</v>
      </c>
      <c r="J59" s="28"/>
    </row>
    <row r="60" spans="2:10" x14ac:dyDescent="0.2">
      <c r="B60" s="28"/>
      <c r="C60" t="s">
        <v>512</v>
      </c>
      <c r="D60"/>
      <c r="E60"/>
      <c r="F60"/>
      <c r="G60"/>
      <c r="H60" s="167"/>
      <c r="I60" s="244">
        <f>Dashboard!E83</f>
        <v>0</v>
      </c>
    </row>
    <row r="61" spans="2:10" x14ac:dyDescent="0.2">
      <c r="B61" s="28"/>
      <c r="C61" t="s">
        <v>513</v>
      </c>
      <c r="D61"/>
      <c r="E61"/>
      <c r="F61"/>
      <c r="G61"/>
      <c r="H61" s="167"/>
      <c r="I61" s="244">
        <f>Dashboard!E84</f>
        <v>0</v>
      </c>
    </row>
    <row r="62" spans="2:10" ht="17" thickBot="1" x14ac:dyDescent="0.25">
      <c r="B62" s="44"/>
      <c r="C62" s="69"/>
      <c r="D62" s="69"/>
      <c r="E62" s="69"/>
      <c r="F62" s="69"/>
      <c r="G62" s="69"/>
      <c r="H62" s="69"/>
      <c r="I62" s="70"/>
    </row>
  </sheetData>
  <mergeCells count="1">
    <mergeCell ref="B5:F5"/>
  </mergeCells>
  <pageMargins left="0.75" right="0.75" top="1" bottom="1" header="0.5" footer="0.5"/>
  <pageSetup paperSize="9" orientation="portrait" horizontalDpi="4294967292" verticalDpi="429496729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8" tint="0.39997558519241921"/>
  </sheetPr>
  <dimension ref="B2:M28"/>
  <sheetViews>
    <sheetView workbookViewId="0">
      <selection activeCell="H27" sqref="H27"/>
    </sheetView>
  </sheetViews>
  <sheetFormatPr baseColWidth="10" defaultRowHeight="16" x14ac:dyDescent="0.2"/>
  <cols>
    <col min="1" max="1" width="10.83203125" style="102"/>
    <col min="2" max="2" width="27.83203125" style="102" bestFit="1" customWidth="1"/>
    <col min="3" max="3" width="18.5" style="102" customWidth="1"/>
    <col min="4" max="4" width="24" style="102" customWidth="1"/>
    <col min="5" max="5" width="28.33203125" style="102" customWidth="1"/>
    <col min="6" max="6" width="24.33203125" style="102" customWidth="1"/>
    <col min="7" max="7" width="19.5" style="102" customWidth="1"/>
    <col min="8" max="8" width="26.33203125" style="102" customWidth="1"/>
    <col min="9" max="9" width="23.1640625" style="102" customWidth="1"/>
    <col min="10" max="10" width="25" style="102" customWidth="1"/>
    <col min="11" max="11" width="18.5" style="102" customWidth="1"/>
    <col min="12" max="12" width="25.5" style="102" customWidth="1"/>
    <col min="13" max="16384" width="10.83203125" style="102"/>
  </cols>
  <sheetData>
    <row r="2" spans="2:13" ht="21" x14ac:dyDescent="0.25">
      <c r="B2" s="2" t="s">
        <v>221</v>
      </c>
      <c r="C2" s="1"/>
      <c r="D2" s="1"/>
      <c r="E2" s="1"/>
      <c r="F2" s="1"/>
      <c r="G2" s="1"/>
    </row>
    <row r="3" spans="2:13" x14ac:dyDescent="0.2">
      <c r="B3" s="1"/>
      <c r="C3" s="1"/>
      <c r="D3" s="1"/>
      <c r="E3" s="1"/>
      <c r="F3" s="1"/>
      <c r="G3" s="1"/>
    </row>
    <row r="4" spans="2:13" x14ac:dyDescent="0.2">
      <c r="B4" s="3" t="s">
        <v>78</v>
      </c>
      <c r="C4" s="4"/>
      <c r="D4" s="4"/>
      <c r="E4" s="4"/>
      <c r="F4" s="4"/>
      <c r="G4" s="5"/>
    </row>
    <row r="5" spans="2:13" ht="45" customHeight="1" x14ac:dyDescent="0.2">
      <c r="B5" s="596" t="s">
        <v>227</v>
      </c>
      <c r="C5" s="597"/>
      <c r="D5" s="597"/>
      <c r="E5" s="597"/>
      <c r="F5" s="597"/>
      <c r="G5" s="598"/>
    </row>
    <row r="6" spans="2:13" ht="17" thickBot="1" x14ac:dyDescent="0.25"/>
    <row r="7" spans="2:13" x14ac:dyDescent="0.2">
      <c r="B7" s="123" t="s">
        <v>183</v>
      </c>
      <c r="C7" s="26"/>
      <c r="D7" s="49"/>
      <c r="E7" s="49"/>
      <c r="F7" s="49"/>
      <c r="G7" s="49"/>
      <c r="H7" s="49"/>
      <c r="I7" s="49"/>
      <c r="J7" s="49"/>
      <c r="K7" s="383"/>
      <c r="L7" s="27"/>
    </row>
    <row r="8" spans="2:13" x14ac:dyDescent="0.2">
      <c r="B8" s="124"/>
      <c r="C8" s="1"/>
      <c r="D8" s="1"/>
      <c r="E8" s="1"/>
      <c r="F8" s="1"/>
      <c r="G8" s="1"/>
      <c r="H8" s="1"/>
      <c r="I8" s="1"/>
      <c r="J8" s="1"/>
      <c r="K8" s="124"/>
      <c r="L8" s="29"/>
    </row>
    <row r="9" spans="2:13" ht="34" x14ac:dyDescent="0.2">
      <c r="B9" s="125" t="s">
        <v>279</v>
      </c>
      <c r="C9" s="60" t="s">
        <v>205</v>
      </c>
      <c r="D9" s="60" t="s">
        <v>206</v>
      </c>
      <c r="E9" s="60" t="s">
        <v>207</v>
      </c>
      <c r="F9" s="60" t="s">
        <v>377</v>
      </c>
      <c r="G9" s="60" t="s">
        <v>104</v>
      </c>
      <c r="H9" s="60" t="s">
        <v>77</v>
      </c>
      <c r="I9" s="60" t="s">
        <v>105</v>
      </c>
      <c r="J9" s="60" t="s">
        <v>106</v>
      </c>
      <c r="K9" s="384" t="s">
        <v>527</v>
      </c>
      <c r="L9" s="103" t="s">
        <v>831</v>
      </c>
    </row>
    <row r="10" spans="2:13" x14ac:dyDescent="0.2">
      <c r="B10" s="126"/>
      <c r="C10" s="61"/>
      <c r="D10" s="61"/>
      <c r="E10" s="61"/>
      <c r="F10" s="61"/>
      <c r="G10" s="61"/>
      <c r="H10" s="61"/>
      <c r="I10" s="61"/>
      <c r="J10" s="61"/>
      <c r="K10" s="385"/>
      <c r="L10" s="104"/>
    </row>
    <row r="11" spans="2:13" ht="34" x14ac:dyDescent="0.2">
      <c r="B11" s="332" t="s">
        <v>210</v>
      </c>
      <c r="C11" s="291">
        <f>SUM('Corrected energy balance step 2'!C82:N82)+'Corrected energy balance step 2'!S82</f>
        <v>0</v>
      </c>
      <c r="D11" s="291">
        <f>'Corrected energy balance step 2'!T82+'Corrected energy balance step 2'!AV82</f>
        <v>0</v>
      </c>
      <c r="E11" s="291">
        <f>SUM('Corrected energy balance step 2'!U82:AQ82)</f>
        <v>0</v>
      </c>
      <c r="F11" s="291">
        <f>'Corrected energy balance step 2'!AU82+'Corrected energy balance step 2'!AZ82</f>
        <v>0</v>
      </c>
      <c r="G11" s="291">
        <f>'Corrected energy balance step 2'!BH82</f>
        <v>0</v>
      </c>
      <c r="H11" s="291">
        <f>SUM('Corrected energy balance step 2'!O82:R82,'Corrected energy balance step 2'!AR82:AT82,'Corrected energy balance step 2'!AV82:AZ82,,'Corrected energy balance step 2'!BB82:BE82,'Corrected energy balance step 2'!BF82:BG82,'Corrected energy balance step 2'!BI82:BK82)</f>
        <v>0</v>
      </c>
      <c r="I11" s="291">
        <f>'Corrected energy balance step 2'!BL82</f>
        <v>0</v>
      </c>
      <c r="J11" s="291">
        <f>'Corrected energy balance step 2'!BM82</f>
        <v>0</v>
      </c>
      <c r="K11" s="386">
        <f>SUM(C11:J11)</f>
        <v>0</v>
      </c>
      <c r="L11" s="380">
        <f>'Corrected energy balance step 2'!BN82</f>
        <v>0</v>
      </c>
      <c r="M11" s="137"/>
    </row>
    <row r="12" spans="2:13" ht="27" customHeight="1" x14ac:dyDescent="0.2">
      <c r="B12" s="138" t="s">
        <v>354</v>
      </c>
      <c r="C12" s="299" t="s">
        <v>358</v>
      </c>
      <c r="D12" s="299" t="s">
        <v>355</v>
      </c>
      <c r="E12" s="299" t="s">
        <v>359</v>
      </c>
      <c r="F12" s="299" t="s">
        <v>360</v>
      </c>
      <c r="G12" s="299" t="s">
        <v>357</v>
      </c>
      <c r="H12" s="299" t="s">
        <v>361</v>
      </c>
      <c r="I12" s="442" t="s">
        <v>356</v>
      </c>
      <c r="J12" s="299" t="s">
        <v>362</v>
      </c>
      <c r="K12" s="387"/>
      <c r="L12" s="381" t="s">
        <v>363</v>
      </c>
      <c r="M12" s="298"/>
    </row>
    <row r="13" spans="2:13" ht="17" thickBot="1" x14ac:dyDescent="0.25">
      <c r="B13" s="127"/>
      <c r="C13" s="105"/>
      <c r="D13" s="105"/>
      <c r="E13" s="105"/>
      <c r="F13" s="105"/>
      <c r="G13" s="105"/>
      <c r="H13" s="105"/>
      <c r="I13" s="105"/>
      <c r="J13" s="105"/>
      <c r="K13" s="388"/>
      <c r="L13" s="382"/>
    </row>
    <row r="16" spans="2:13" x14ac:dyDescent="0.2">
      <c r="K16" s="293" t="s">
        <v>528</v>
      </c>
      <c r="L16" s="294"/>
    </row>
    <row r="17" spans="2:12" x14ac:dyDescent="0.2">
      <c r="K17" s="295" t="s">
        <v>529</v>
      </c>
      <c r="L17" s="296"/>
    </row>
    <row r="18" spans="2:12" x14ac:dyDescent="0.2">
      <c r="K18" s="295" t="str">
        <f>"- total demand of aggregated carriers"</f>
        <v>- total demand of aggregated carriers</v>
      </c>
      <c r="L18" s="296"/>
    </row>
    <row r="19" spans="2:12" x14ac:dyDescent="0.2">
      <c r="K19" s="295" t="str">
        <f>"- total demand in energy balance"</f>
        <v>- total demand in energy balance</v>
      </c>
      <c r="L19" s="296"/>
    </row>
    <row r="20" spans="2:12" x14ac:dyDescent="0.2">
      <c r="K20" s="295" t="s">
        <v>530</v>
      </c>
      <c r="L20" s="296"/>
    </row>
    <row r="21" spans="2:12" x14ac:dyDescent="0.2">
      <c r="K21" s="295" t="s">
        <v>533</v>
      </c>
      <c r="L21" s="296"/>
    </row>
    <row r="22" spans="2:12" x14ac:dyDescent="0.2">
      <c r="K22" s="295"/>
      <c r="L22" s="296"/>
    </row>
    <row r="23" spans="2:12" x14ac:dyDescent="0.2">
      <c r="K23" s="297" t="s">
        <v>531</v>
      </c>
      <c r="L23" s="320">
        <f>K11-Final_demand_residences</f>
        <v>0</v>
      </c>
    </row>
    <row r="24" spans="2:12" ht="78" customHeight="1" x14ac:dyDescent="0.2">
      <c r="B24" s="377"/>
      <c r="C24" s="377"/>
      <c r="K24" s="603" t="s">
        <v>832</v>
      </c>
      <c r="L24" s="604"/>
    </row>
    <row r="25" spans="2:12" x14ac:dyDescent="0.2">
      <c r="B25" s="377"/>
      <c r="C25" s="377"/>
    </row>
    <row r="26" spans="2:12" x14ac:dyDescent="0.2">
      <c r="B26" s="377"/>
      <c r="C26" s="377"/>
      <c r="D26" s="377"/>
    </row>
    <row r="27" spans="2:12" x14ac:dyDescent="0.2">
      <c r="I27" s="1"/>
    </row>
    <row r="28" spans="2:12" x14ac:dyDescent="0.2">
      <c r="K28" s="378"/>
    </row>
  </sheetData>
  <mergeCells count="2">
    <mergeCell ref="B5:G5"/>
    <mergeCell ref="K24:L24"/>
  </mergeCells>
  <conditionalFormatting sqref="C13:F13">
    <cfRule type="cellIs" dxfId="4" priority="3" operator="greaterThan">
      <formula>0</formula>
    </cfRule>
  </conditionalFormatting>
  <conditionalFormatting sqref="K13:L13">
    <cfRule type="uniqueValues" dxfId="3" priority="1"/>
    <cfRule type="duplicateValues" dxfId="2" priority="2"/>
  </conditionalFormatting>
  <conditionalFormatting sqref="L23">
    <cfRule type="cellIs" dxfId="1" priority="7" operator="notBetween">
      <formula>-1</formula>
      <formula>1</formula>
    </cfRule>
    <cfRule type="cellIs" dxfId="0" priority="8" operator="between">
      <formula>-1</formula>
      <formula>1</formula>
    </cfRule>
  </conditionalFormatting>
  <pageMargins left="0.75" right="0.75" top="1" bottom="1" header="0.5" footer="0.5"/>
  <pageSetup paperSize="9" orientation="portrait"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75A8-1B00-7A40-A337-29B69FF1B3AF}">
  <sheetPr>
    <tabColor theme="8" tint="0.39997558519241921"/>
  </sheetPr>
  <dimension ref="A2:K31"/>
  <sheetViews>
    <sheetView workbookViewId="0">
      <selection activeCell="E16" sqref="E16"/>
    </sheetView>
  </sheetViews>
  <sheetFormatPr baseColWidth="10" defaultRowHeight="16" x14ac:dyDescent="0.2"/>
  <cols>
    <col min="1" max="1" width="10.83203125" style="1"/>
    <col min="2" max="2" width="26.1640625" style="1" customWidth="1"/>
    <col min="3" max="3" width="47" style="1" customWidth="1"/>
    <col min="4" max="10" width="22" style="1" customWidth="1"/>
    <col min="11" max="11" width="21.33203125" style="1" customWidth="1"/>
    <col min="12" max="12" width="20.6640625" style="1" customWidth="1"/>
    <col min="13" max="16384" width="10.83203125" style="1"/>
  </cols>
  <sheetData>
    <row r="2" spans="1:11" ht="21" x14ac:dyDescent="0.25">
      <c r="B2" s="2" t="s">
        <v>786</v>
      </c>
    </row>
    <row r="4" spans="1:11" ht="112" customHeight="1" x14ac:dyDescent="0.2">
      <c r="B4" s="605" t="s">
        <v>787</v>
      </c>
      <c r="C4" s="606"/>
      <c r="D4" s="17"/>
    </row>
    <row r="5" spans="1:11" x14ac:dyDescent="0.2">
      <c r="B5" s="596"/>
      <c r="C5" s="597"/>
      <c r="D5" s="17"/>
    </row>
    <row r="6" spans="1:11" ht="17" thickBot="1" x14ac:dyDescent="0.25">
      <c r="A6" s="56"/>
      <c r="B6" s="56"/>
      <c r="C6" s="56"/>
      <c r="D6" s="56"/>
      <c r="E6" s="56"/>
      <c r="F6" s="56"/>
      <c r="G6" s="56"/>
      <c r="H6" s="56"/>
      <c r="I6" s="56"/>
      <c r="J6" s="56"/>
      <c r="K6" s="56"/>
    </row>
    <row r="7" spans="1:11" x14ac:dyDescent="0.2">
      <c r="A7" s="56"/>
      <c r="B7" s="150"/>
      <c r="C7" s="151"/>
      <c r="D7" s="152"/>
      <c r="E7" s="152"/>
      <c r="F7" s="152"/>
      <c r="G7" s="152"/>
      <c r="H7" s="152"/>
      <c r="I7" s="450"/>
      <c r="J7" s="56"/>
      <c r="K7" s="56"/>
    </row>
    <row r="8" spans="1:11" ht="51" x14ac:dyDescent="0.2">
      <c r="A8" s="56"/>
      <c r="B8" s="546"/>
      <c r="C8" s="547"/>
      <c r="D8" s="548" t="s">
        <v>791</v>
      </c>
      <c r="E8" s="549" t="s">
        <v>792</v>
      </c>
      <c r="F8" s="548" t="s">
        <v>794</v>
      </c>
      <c r="G8" s="548" t="s">
        <v>775</v>
      </c>
      <c r="H8" s="549" t="s">
        <v>796</v>
      </c>
      <c r="I8" s="550" t="s">
        <v>797</v>
      </c>
      <c r="J8" s="56"/>
      <c r="K8" s="56"/>
    </row>
    <row r="9" spans="1:11" x14ac:dyDescent="0.2">
      <c r="A9" s="56"/>
      <c r="B9" s="545" t="s">
        <v>789</v>
      </c>
      <c r="C9" s="96" t="s">
        <v>384</v>
      </c>
      <c r="D9" s="56">
        <f>Final_demand_gas</f>
        <v>0</v>
      </c>
      <c r="E9" s="56" t="e">
        <f>'Application Shares'!E17</f>
        <v>#DIV/0!</v>
      </c>
      <c r="F9" s="56" t="e">
        <f>'Technology Shares'!F11</f>
        <v>#DIV/0!</v>
      </c>
      <c r="G9" s="56"/>
      <c r="H9" s="1" t="e">
        <f>D9*E9*F9</f>
        <v>#DIV/0!</v>
      </c>
      <c r="I9" s="29" t="e">
        <f>H9/SUM(H$9:H$11)</f>
        <v>#DIV/0!</v>
      </c>
      <c r="J9" s="56"/>
      <c r="K9" s="56"/>
    </row>
    <row r="10" spans="1:11" x14ac:dyDescent="0.2">
      <c r="A10" s="56"/>
      <c r="B10" s="545"/>
      <c r="C10" s="56" t="s">
        <v>105</v>
      </c>
      <c r="D10" s="56">
        <f>Final_demand_electricity</f>
        <v>0</v>
      </c>
      <c r="E10" s="551" t="e">
        <f>'Application Shares'!E28</f>
        <v>#DIV/0!</v>
      </c>
      <c r="F10" s="56" t="e">
        <f>'Technology Shares'!F16</f>
        <v>#DIV/0!</v>
      </c>
      <c r="G10" s="451">
        <f>technical_specs!O20</f>
        <v>3.5000066339098939</v>
      </c>
      <c r="H10" s="1" t="e">
        <f>D10*E10*F10</f>
        <v>#DIV/0!</v>
      </c>
      <c r="I10" s="29" t="e">
        <f t="shared" ref="I10:I11" si="0">H10/SUM(H$9:H$11)</f>
        <v>#DIV/0!</v>
      </c>
      <c r="J10" s="56"/>
      <c r="K10" s="56"/>
    </row>
    <row r="11" spans="1:11" x14ac:dyDescent="0.2">
      <c r="A11" s="56"/>
      <c r="B11" s="545"/>
      <c r="C11" s="56" t="s">
        <v>788</v>
      </c>
      <c r="D11" s="56"/>
      <c r="E11" s="56"/>
      <c r="F11" s="56"/>
      <c r="G11" s="56"/>
      <c r="H11" s="56" t="e">
        <f>H10*G10</f>
        <v>#DIV/0!</v>
      </c>
      <c r="I11" s="29" t="e">
        <f t="shared" si="0"/>
        <v>#DIV/0!</v>
      </c>
      <c r="J11" s="56"/>
      <c r="K11" s="56"/>
    </row>
    <row r="12" spans="1:11" x14ac:dyDescent="0.2">
      <c r="A12" s="56"/>
      <c r="B12" s="545"/>
      <c r="C12" s="56"/>
      <c r="D12" s="56"/>
      <c r="E12" s="56"/>
      <c r="F12" s="56"/>
      <c r="G12" s="56"/>
      <c r="H12" s="56"/>
      <c r="I12" s="333"/>
      <c r="J12" s="56"/>
      <c r="K12" s="56"/>
    </row>
    <row r="13" spans="1:11" ht="17" x14ac:dyDescent="0.2">
      <c r="A13" s="56"/>
      <c r="B13" s="552"/>
      <c r="C13" s="547"/>
      <c r="D13" s="547"/>
      <c r="E13" s="549" t="s">
        <v>793</v>
      </c>
      <c r="F13" s="549" t="s">
        <v>795</v>
      </c>
      <c r="G13" s="549"/>
      <c r="H13" s="549" t="s">
        <v>796</v>
      </c>
      <c r="I13" s="550" t="s">
        <v>797</v>
      </c>
      <c r="J13" s="56"/>
      <c r="K13" s="56"/>
    </row>
    <row r="14" spans="1:11" x14ac:dyDescent="0.2">
      <c r="A14" s="56"/>
      <c r="B14" s="453" t="s">
        <v>790</v>
      </c>
      <c r="C14" s="56" t="s">
        <v>384</v>
      </c>
      <c r="D14" s="56">
        <f>Final_demand_gas</f>
        <v>0</v>
      </c>
      <c r="E14" s="56" t="e">
        <f>'Application Shares'!E18</f>
        <v>#DIV/0!</v>
      </c>
      <c r="F14" s="56" t="e">
        <f>'Technology Shares'!F21</f>
        <v>#DIV/0!</v>
      </c>
      <c r="G14" s="56"/>
      <c r="H14" s="1" t="e">
        <f>D14*E14*F14</f>
        <v>#DIV/0!</v>
      </c>
      <c r="I14" s="29" t="e">
        <f>H14/SUM(H$14:H$16)</f>
        <v>#DIV/0!</v>
      </c>
      <c r="J14" s="56"/>
      <c r="K14" s="56"/>
    </row>
    <row r="15" spans="1:11" x14ac:dyDescent="0.2">
      <c r="B15" s="28"/>
      <c r="C15" s="56" t="s">
        <v>105</v>
      </c>
      <c r="D15" s="56">
        <f>Final_demand_electricity</f>
        <v>0</v>
      </c>
      <c r="E15" s="551" t="e">
        <f>'Application Shares'!E29</f>
        <v>#DIV/0!</v>
      </c>
      <c r="F15" s="551" t="e">
        <f>'Technology Shares'!F26</f>
        <v>#DIV/0!</v>
      </c>
      <c r="G15" s="551">
        <f>technical_specs!O33</f>
        <v>1</v>
      </c>
      <c r="H15" s="1" t="e">
        <f>D15*E15*F15</f>
        <v>#DIV/0!</v>
      </c>
      <c r="I15" s="29" t="e">
        <f t="shared" ref="I15" si="1">H15/SUM(H$14:H$16)</f>
        <v>#DIV/0!</v>
      </c>
      <c r="J15" s="56"/>
      <c r="K15" s="56"/>
    </row>
    <row r="16" spans="1:11" x14ac:dyDescent="0.2">
      <c r="B16" s="28"/>
      <c r="C16" s="56" t="s">
        <v>788</v>
      </c>
      <c r="D16" s="451"/>
      <c r="E16" s="451"/>
      <c r="F16" s="451"/>
      <c r="G16" s="451"/>
      <c r="H16" s="451" t="e">
        <f>H15*G15</f>
        <v>#DIV/0!</v>
      </c>
      <c r="I16" s="29" t="e">
        <f>H16/SUM(H$14:H$16)</f>
        <v>#DIV/0!</v>
      </c>
      <c r="J16" s="56"/>
      <c r="K16" s="56"/>
    </row>
    <row r="17" spans="2:11" ht="17" thickBot="1" x14ac:dyDescent="0.25">
      <c r="B17" s="44"/>
      <c r="C17" s="147"/>
      <c r="D17" s="147"/>
      <c r="E17" s="147"/>
      <c r="F17" s="147"/>
      <c r="G17" s="147"/>
      <c r="H17" s="147"/>
      <c r="I17" s="452"/>
      <c r="J17" s="56"/>
      <c r="K17" s="56"/>
    </row>
    <row r="18" spans="2:11" x14ac:dyDescent="0.2">
      <c r="C18" s="56"/>
      <c r="D18" s="56"/>
      <c r="E18" s="56"/>
      <c r="F18" s="56"/>
      <c r="G18" s="56"/>
      <c r="H18" s="56"/>
      <c r="I18" s="56"/>
      <c r="J18" s="56"/>
      <c r="K18" s="56"/>
    </row>
    <row r="19" spans="2:11" x14ac:dyDescent="0.2">
      <c r="C19" s="56"/>
      <c r="D19" s="56"/>
      <c r="E19" s="56"/>
      <c r="F19" s="56"/>
      <c r="G19" s="56"/>
      <c r="H19" s="56"/>
      <c r="I19" s="56"/>
      <c r="J19" s="56"/>
      <c r="K19" s="56"/>
    </row>
    <row r="20" spans="2:11" x14ac:dyDescent="0.2">
      <c r="C20" s="56"/>
      <c r="D20" s="56"/>
      <c r="E20" s="56"/>
      <c r="F20" s="56"/>
      <c r="G20" s="56"/>
      <c r="H20" s="56"/>
      <c r="I20" s="56"/>
      <c r="J20" s="56"/>
      <c r="K20" s="56"/>
    </row>
    <row r="21" spans="2:11" x14ac:dyDescent="0.2">
      <c r="C21" s="56"/>
      <c r="D21" s="56"/>
      <c r="E21" s="56"/>
      <c r="F21" s="56"/>
      <c r="G21" s="56"/>
      <c r="H21" s="56"/>
      <c r="I21" s="56"/>
      <c r="J21" s="56"/>
      <c r="K21" s="56"/>
    </row>
    <row r="22" spans="2:11" x14ac:dyDescent="0.2">
      <c r="C22" s="56"/>
      <c r="D22" s="56"/>
      <c r="E22" s="56"/>
      <c r="F22" s="56"/>
      <c r="G22" s="56"/>
      <c r="H22" s="56"/>
      <c r="I22" s="56"/>
      <c r="J22" s="56"/>
      <c r="K22" s="56"/>
    </row>
    <row r="23" spans="2:11" x14ac:dyDescent="0.2">
      <c r="C23" s="56"/>
      <c r="D23" s="56"/>
      <c r="E23" s="56"/>
      <c r="F23" s="56"/>
      <c r="G23" s="56"/>
      <c r="H23" s="56"/>
      <c r="I23" s="56"/>
      <c r="J23" s="56"/>
      <c r="K23" s="56"/>
    </row>
    <row r="24" spans="2:11" x14ac:dyDescent="0.2">
      <c r="C24" s="56"/>
      <c r="D24" s="56"/>
      <c r="E24" s="56"/>
      <c r="F24" s="56"/>
      <c r="G24" s="56"/>
      <c r="H24" s="56"/>
      <c r="I24" s="56"/>
      <c r="J24" s="56"/>
      <c r="K24" s="56"/>
    </row>
    <row r="25" spans="2:11" x14ac:dyDescent="0.2">
      <c r="C25" s="56"/>
      <c r="D25" s="56"/>
      <c r="E25" s="56"/>
      <c r="F25" s="56"/>
      <c r="G25" s="56"/>
      <c r="H25" s="56"/>
      <c r="I25" s="56"/>
      <c r="J25" s="56"/>
      <c r="K25" s="56"/>
    </row>
    <row r="26" spans="2:11" x14ac:dyDescent="0.2">
      <c r="C26" s="56"/>
      <c r="D26" s="56"/>
      <c r="E26" s="56"/>
      <c r="F26" s="56"/>
      <c r="G26" s="56"/>
      <c r="H26" s="56"/>
      <c r="I26" s="56"/>
      <c r="J26" s="56"/>
      <c r="K26" s="56"/>
    </row>
    <row r="27" spans="2:11" x14ac:dyDescent="0.2">
      <c r="C27" s="56"/>
      <c r="D27" s="56"/>
      <c r="E27" s="56"/>
      <c r="F27" s="56"/>
      <c r="G27" s="56"/>
      <c r="H27" s="56"/>
      <c r="I27" s="56"/>
      <c r="J27" s="56"/>
      <c r="K27" s="56"/>
    </row>
    <row r="28" spans="2:11" x14ac:dyDescent="0.2">
      <c r="C28" s="56"/>
      <c r="D28" s="56"/>
      <c r="E28" s="56"/>
      <c r="F28" s="56"/>
      <c r="G28" s="56"/>
      <c r="H28" s="56"/>
      <c r="I28" s="56"/>
      <c r="J28" s="56"/>
      <c r="K28" s="56"/>
    </row>
    <row r="29" spans="2:11" x14ac:dyDescent="0.2">
      <c r="C29" s="56"/>
      <c r="D29" s="56"/>
      <c r="E29" s="56"/>
      <c r="F29" s="56"/>
      <c r="G29" s="56"/>
      <c r="H29" s="56"/>
      <c r="I29" s="56"/>
      <c r="J29" s="56"/>
      <c r="K29" s="56"/>
    </row>
    <row r="30" spans="2:11" x14ac:dyDescent="0.2">
      <c r="C30" s="56"/>
      <c r="D30" s="56"/>
      <c r="E30" s="56"/>
      <c r="F30" s="56"/>
      <c r="G30" s="56"/>
      <c r="H30" s="56"/>
      <c r="I30" s="56"/>
      <c r="J30" s="56"/>
      <c r="K30" s="56"/>
    </row>
    <row r="31" spans="2:11" x14ac:dyDescent="0.2">
      <c r="C31" s="56"/>
      <c r="D31" s="56"/>
      <c r="E31" s="56"/>
      <c r="F31" s="56"/>
      <c r="G31" s="56"/>
      <c r="H31" s="56"/>
      <c r="I31" s="56"/>
      <c r="J31" s="56"/>
      <c r="K31" s="56"/>
    </row>
  </sheetData>
  <mergeCells count="2">
    <mergeCell ref="B5:C5"/>
    <mergeCell ref="B4:C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theme="8" tint="0.59999389629810485"/>
  </sheetPr>
  <dimension ref="A2:N63"/>
  <sheetViews>
    <sheetView workbookViewId="0">
      <selection activeCell="A25" sqref="A25:XFD25"/>
    </sheetView>
  </sheetViews>
  <sheetFormatPr baseColWidth="10" defaultRowHeight="16" x14ac:dyDescent="0.2"/>
  <cols>
    <col min="1" max="1" width="10.83203125" style="1"/>
    <col min="2" max="2" width="21.6640625" style="1" customWidth="1"/>
    <col min="3" max="3" width="41.1640625" style="1" bestFit="1" customWidth="1"/>
    <col min="4" max="9" width="23.33203125" style="1" customWidth="1"/>
    <col min="10" max="16384" width="10.83203125" style="1"/>
  </cols>
  <sheetData>
    <row r="2" spans="1:14" ht="21" x14ac:dyDescent="0.25">
      <c r="B2" s="2" t="s">
        <v>630</v>
      </c>
    </row>
    <row r="4" spans="1:14" x14ac:dyDescent="0.2">
      <c r="B4" s="3" t="s">
        <v>78</v>
      </c>
      <c r="C4" s="4"/>
      <c r="D4" s="5"/>
    </row>
    <row r="5" spans="1:14" ht="38" customHeight="1" x14ac:dyDescent="0.2">
      <c r="B5" s="596" t="s">
        <v>484</v>
      </c>
      <c r="C5" s="597"/>
      <c r="D5" s="598"/>
    </row>
    <row r="6" spans="1:14" ht="17" thickBot="1" x14ac:dyDescent="0.25">
      <c r="A6" s="56"/>
      <c r="B6" s="56"/>
      <c r="C6" s="56"/>
      <c r="D6" s="56"/>
      <c r="E6" s="56"/>
      <c r="F6" s="56"/>
      <c r="G6" s="56"/>
      <c r="H6" s="56"/>
      <c r="I6" s="56"/>
    </row>
    <row r="7" spans="1:14" x14ac:dyDescent="0.2">
      <c r="A7" s="56"/>
      <c r="B7" s="150" t="s">
        <v>584</v>
      </c>
      <c r="C7" s="151"/>
      <c r="D7" s="152"/>
      <c r="E7" s="152"/>
      <c r="F7" s="151"/>
      <c r="G7" s="151"/>
      <c r="H7" s="151"/>
      <c r="I7" s="179"/>
    </row>
    <row r="8" spans="1:14" x14ac:dyDescent="0.2">
      <c r="A8" s="56"/>
      <c r="B8" s="71"/>
      <c r="C8" s="56"/>
      <c r="D8" s="146"/>
      <c r="E8" s="146"/>
      <c r="F8" s="56"/>
      <c r="G8" s="56"/>
      <c r="H8" s="56"/>
      <c r="I8" s="333"/>
    </row>
    <row r="9" spans="1:14" ht="68" x14ac:dyDescent="0.2">
      <c r="A9" s="56"/>
      <c r="B9" s="153"/>
      <c r="C9" s="177" t="s">
        <v>182</v>
      </c>
      <c r="D9" s="180" t="s">
        <v>436</v>
      </c>
      <c r="E9" s="180" t="s">
        <v>585</v>
      </c>
      <c r="F9" s="180" t="s">
        <v>214</v>
      </c>
      <c r="G9" s="180" t="s">
        <v>751</v>
      </c>
      <c r="H9" s="180" t="s">
        <v>586</v>
      </c>
      <c r="I9" s="181" t="s">
        <v>516</v>
      </c>
    </row>
    <row r="10" spans="1:14" x14ac:dyDescent="0.2">
      <c r="A10" s="56"/>
      <c r="B10" s="154" t="s">
        <v>76</v>
      </c>
      <c r="C10" s="217"/>
      <c r="D10" s="227"/>
      <c r="E10" s="227"/>
      <c r="F10" s="227"/>
      <c r="G10" s="227"/>
      <c r="H10" s="508"/>
      <c r="I10" s="509"/>
    </row>
    <row r="11" spans="1:14" x14ac:dyDescent="0.2">
      <c r="A11" s="56"/>
      <c r="B11" s="154"/>
      <c r="C11" t="str">
        <f>'Technology split final demand'!C11</f>
        <v>Condensing Combi Boiler (space heating)</v>
      </c>
      <c r="D11" s="200" t="e">
        <f>'Technology split final demand'!I11</f>
        <v>#DIV/0!</v>
      </c>
      <c r="E11" s="201" t="e">
        <f t="shared" ref="E11:E20" si="0">Final_demand_space_heating*D11</f>
        <v>#DIV/0!</v>
      </c>
      <c r="F11" s="200">
        <f>technical_specs!R11</f>
        <v>0</v>
      </c>
      <c r="G11" s="511" t="e">
        <f>F11*E11</f>
        <v>#DIV/0!</v>
      </c>
      <c r="H11" s="510" t="e">
        <f>G11</f>
        <v>#DIV/0!</v>
      </c>
      <c r="I11" s="443" t="e">
        <f t="shared" ref="I11:I21" si="1">H11/SUM($H$11:$H$21)</f>
        <v>#DIV/0!</v>
      </c>
      <c r="L11" s="56"/>
      <c r="N11" s="182"/>
    </row>
    <row r="12" spans="1:14" x14ac:dyDescent="0.2">
      <c r="A12" s="56"/>
      <c r="B12" s="154"/>
      <c r="C12" t="str">
        <f>'Technology split final demand'!C12</f>
        <v>Electric Heat Pump (ground) (space heating)</v>
      </c>
      <c r="D12" s="200" t="e">
        <f>'Technology split final demand'!I12</f>
        <v>#DIV/0!</v>
      </c>
      <c r="E12" s="201" t="e">
        <f t="shared" si="0"/>
        <v>#DIV/0!</v>
      </c>
      <c r="F12" s="200" t="e">
        <f>technical_specs!R12</f>
        <v>#DIV/0!</v>
      </c>
      <c r="G12" s="511" t="e">
        <f t="shared" ref="G12:G21" si="2">F12*E12</f>
        <v>#DIV/0!</v>
      </c>
      <c r="H12" s="198" t="e">
        <f t="shared" ref="H12:H19" si="3">G12</f>
        <v>#DIV/0!</v>
      </c>
      <c r="I12" s="199" t="e">
        <f t="shared" si="1"/>
        <v>#DIV/0!</v>
      </c>
      <c r="L12" s="56"/>
      <c r="N12" s="182"/>
    </row>
    <row r="13" spans="1:14" x14ac:dyDescent="0.2">
      <c r="A13" s="56"/>
      <c r="B13" s="154"/>
      <c r="C13" t="str">
        <f>'Technology split final demand'!C13</f>
        <v>District Heating (space heating)</v>
      </c>
      <c r="D13" s="200" t="e">
        <f>'Technology split final demand'!I13</f>
        <v>#DIV/0!</v>
      </c>
      <c r="E13" s="201" t="e">
        <f t="shared" si="0"/>
        <v>#DIV/0!</v>
      </c>
      <c r="F13" s="200">
        <f>technical_specs!R13</f>
        <v>0</v>
      </c>
      <c r="G13" s="511" t="e">
        <f t="shared" si="2"/>
        <v>#DIV/0!</v>
      </c>
      <c r="H13" s="198" t="e">
        <f t="shared" si="3"/>
        <v>#DIV/0!</v>
      </c>
      <c r="I13" s="199" t="e">
        <f t="shared" si="1"/>
        <v>#DIV/0!</v>
      </c>
      <c r="L13" s="56"/>
      <c r="N13" s="182"/>
    </row>
    <row r="14" spans="1:14" x14ac:dyDescent="0.2">
      <c r="A14" s="56"/>
      <c r="B14" s="155"/>
      <c r="C14" t="str">
        <f>'Technology split final demand'!C14</f>
        <v>electricity-driven Heat pump (air) (space heating)</v>
      </c>
      <c r="D14" s="200" t="e">
        <f>'Technology split final demand'!I14</f>
        <v>#DIV/0!</v>
      </c>
      <c r="E14" s="201" t="e">
        <f t="shared" si="0"/>
        <v>#DIV/0!</v>
      </c>
      <c r="F14" s="200" t="e">
        <f>technical_specs!R14</f>
        <v>#DIV/0!</v>
      </c>
      <c r="G14" s="511" t="e">
        <f t="shared" si="2"/>
        <v>#DIV/0!</v>
      </c>
      <c r="H14" s="198" t="e">
        <f t="shared" si="3"/>
        <v>#DIV/0!</v>
      </c>
      <c r="I14" s="199" t="e">
        <f t="shared" si="1"/>
        <v>#DIV/0!</v>
      </c>
      <c r="L14" s="56"/>
      <c r="N14" s="182"/>
    </row>
    <row r="15" spans="1:14" x14ac:dyDescent="0.2">
      <c r="A15" s="56"/>
      <c r="B15" s="155"/>
      <c r="C15" t="str">
        <f>'Technology split final demand'!C15</f>
        <v>woodpellets (biomass) heaters (space heating)</v>
      </c>
      <c r="D15" s="200" t="e">
        <f>'Technology split final demand'!I15</f>
        <v>#DIV/0!</v>
      </c>
      <c r="E15" s="201" t="e">
        <f t="shared" si="0"/>
        <v>#DIV/0!</v>
      </c>
      <c r="F15" s="200">
        <f>technical_specs!R15</f>
        <v>0</v>
      </c>
      <c r="G15" s="511" t="e">
        <f t="shared" si="2"/>
        <v>#DIV/0!</v>
      </c>
      <c r="H15" s="198" t="e">
        <f t="shared" si="3"/>
        <v>#DIV/0!</v>
      </c>
      <c r="I15" s="199" t="e">
        <f t="shared" si="1"/>
        <v>#DIV/0!</v>
      </c>
      <c r="L15" s="56"/>
      <c r="N15" s="182"/>
    </row>
    <row r="16" spans="1:14" x14ac:dyDescent="0.2">
      <c r="A16" s="56"/>
      <c r="B16" s="155"/>
      <c r="C16" t="str">
        <f>'Technology split final demand'!C16</f>
        <v>Electric Heaters (resistance) (space heating)</v>
      </c>
      <c r="D16" s="200" t="e">
        <f>'Technology split final demand'!I16</f>
        <v>#DIV/0!</v>
      </c>
      <c r="E16" s="201" t="e">
        <f t="shared" si="0"/>
        <v>#DIV/0!</v>
      </c>
      <c r="F16" s="200">
        <f>technical_specs!R16</f>
        <v>0</v>
      </c>
      <c r="G16" s="511" t="e">
        <f t="shared" si="2"/>
        <v>#DIV/0!</v>
      </c>
      <c r="H16" s="198" t="e">
        <f t="shared" si="3"/>
        <v>#DIV/0!</v>
      </c>
      <c r="I16" s="199" t="e">
        <f t="shared" si="1"/>
        <v>#DIV/0!</v>
      </c>
      <c r="L16" s="56"/>
      <c r="N16" s="182"/>
    </row>
    <row r="17" spans="1:14" x14ac:dyDescent="0.2">
      <c r="A17" s="56"/>
      <c r="B17" s="155"/>
      <c r="C17" t="str">
        <f>'Technology split final demand'!C17</f>
        <v>Gas-fired Heaters (space heating)</v>
      </c>
      <c r="D17" s="200" t="e">
        <f>'Technology split final demand'!I17</f>
        <v>#DIV/0!</v>
      </c>
      <c r="E17" s="201" t="e">
        <f t="shared" si="0"/>
        <v>#DIV/0!</v>
      </c>
      <c r="F17" s="200">
        <f>technical_specs!R17</f>
        <v>0</v>
      </c>
      <c r="G17" s="511" t="e">
        <f t="shared" si="2"/>
        <v>#DIV/0!</v>
      </c>
      <c r="H17" s="198" t="e">
        <f t="shared" si="3"/>
        <v>#DIV/0!</v>
      </c>
      <c r="I17" s="199" t="e">
        <f t="shared" si="1"/>
        <v>#DIV/0!</v>
      </c>
      <c r="L17" s="56"/>
      <c r="N17" s="182"/>
    </row>
    <row r="18" spans="1:14" x14ac:dyDescent="0.2">
      <c r="A18" s="56"/>
      <c r="B18" s="155"/>
      <c r="C18" t="str">
        <f>'Technology split final demand'!C18</f>
        <v>Oil-fired Heaters (space heating)</v>
      </c>
      <c r="D18" s="200" t="e">
        <f>'Technology split final demand'!I18</f>
        <v>#DIV/0!</v>
      </c>
      <c r="E18" s="201" t="e">
        <f t="shared" si="0"/>
        <v>#DIV/0!</v>
      </c>
      <c r="F18" s="200">
        <f>technical_specs!R18</f>
        <v>0</v>
      </c>
      <c r="G18" s="511" t="e">
        <f t="shared" si="2"/>
        <v>#DIV/0!</v>
      </c>
      <c r="H18" s="198" t="e">
        <f t="shared" si="3"/>
        <v>#DIV/0!</v>
      </c>
      <c r="I18" s="199" t="e">
        <f t="shared" si="1"/>
        <v>#DIV/0!</v>
      </c>
      <c r="K18" s="182"/>
      <c r="L18" s="182"/>
      <c r="M18" s="182"/>
      <c r="N18" s="182"/>
    </row>
    <row r="19" spans="1:14" x14ac:dyDescent="0.2">
      <c r="A19" s="56"/>
      <c r="B19" s="155"/>
      <c r="C19" t="str">
        <f>'Technology split final demand'!C19</f>
        <v>Coal-fired Heaters (space heating)</v>
      </c>
      <c r="D19" s="200" t="e">
        <f>'Technology split final demand'!I19</f>
        <v>#DIV/0!</v>
      </c>
      <c r="E19" s="201" t="e">
        <f t="shared" si="0"/>
        <v>#DIV/0!</v>
      </c>
      <c r="F19" s="200">
        <f>technical_specs!R19</f>
        <v>0</v>
      </c>
      <c r="G19" s="511" t="e">
        <f t="shared" si="2"/>
        <v>#DIV/0!</v>
      </c>
      <c r="H19" s="198" t="e">
        <f t="shared" si="3"/>
        <v>#DIV/0!</v>
      </c>
      <c r="I19" s="199" t="e">
        <f t="shared" si="1"/>
        <v>#DIV/0!</v>
      </c>
      <c r="K19" s="182"/>
      <c r="L19" s="182"/>
      <c r="M19" s="182"/>
      <c r="N19" s="182"/>
    </row>
    <row r="20" spans="1:14" x14ac:dyDescent="0.2">
      <c r="A20" s="56"/>
      <c r="B20" s="155"/>
      <c r="C20" t="str">
        <f>'Technology split final demand'!C20</f>
        <v>Hybrid heatpump, heatpump part (space heating)</v>
      </c>
      <c r="D20" s="200" t="e">
        <f>'Technology split final demand'!I20</f>
        <v>#DIV/0!</v>
      </c>
      <c r="E20" s="201" t="e">
        <f t="shared" si="0"/>
        <v>#DIV/0!</v>
      </c>
      <c r="F20" s="200">
        <f>technical_specs!R20</f>
        <v>3.5000066339098939</v>
      </c>
      <c r="G20" s="511" t="e">
        <f t="shared" si="2"/>
        <v>#DIV/0!</v>
      </c>
      <c r="H20" s="198" t="e">
        <f>G20+G21</f>
        <v>#DIV/0!</v>
      </c>
      <c r="I20" s="199" t="e">
        <f t="shared" si="1"/>
        <v>#DIV/0!</v>
      </c>
      <c r="K20" s="182"/>
      <c r="L20" s="182"/>
      <c r="M20" s="182"/>
      <c r="N20" s="182"/>
    </row>
    <row r="21" spans="1:14" x14ac:dyDescent="0.2">
      <c r="A21" s="56"/>
      <c r="B21" s="155"/>
      <c r="C21" s="42" t="str">
        <f>'Technology split final demand'!C21</f>
        <v>Hybrid heatpump, gas part (space heating)</v>
      </c>
      <c r="D21" s="225" t="e">
        <f>'Technology split final demand'!I21</f>
        <v>#DIV/0!</v>
      </c>
      <c r="E21" s="226" t="e">
        <f t="shared" ref="E21" si="4">Final_demand_space_heating*D21</f>
        <v>#DIV/0!</v>
      </c>
      <c r="F21" s="225">
        <f>technical_specs!R21</f>
        <v>0</v>
      </c>
      <c r="G21" s="512" t="e">
        <f t="shared" si="2"/>
        <v>#DIV/0!</v>
      </c>
      <c r="H21" s="228" t="e">
        <f>G20+G21</f>
        <v>#DIV/0!</v>
      </c>
      <c r="I21" s="229" t="e">
        <f t="shared" si="1"/>
        <v>#DIV/0!</v>
      </c>
      <c r="K21" s="182"/>
      <c r="L21" s="182"/>
      <c r="M21" s="182"/>
      <c r="N21" s="182"/>
    </row>
    <row r="22" spans="1:14" x14ac:dyDescent="0.2">
      <c r="A22" s="56"/>
      <c r="B22" s="156"/>
      <c r="C22" s="157"/>
      <c r="D22" s="202"/>
      <c r="E22" s="202"/>
      <c r="F22" s="202"/>
      <c r="G22" s="513"/>
      <c r="H22" s="202"/>
      <c r="I22" s="197"/>
      <c r="K22" s="182"/>
      <c r="L22" s="182"/>
      <c r="M22" s="182"/>
      <c r="N22" s="182"/>
    </row>
    <row r="23" spans="1:14" x14ac:dyDescent="0.2">
      <c r="A23" s="56"/>
      <c r="B23" s="154" t="s">
        <v>290</v>
      </c>
      <c r="C23" s="157"/>
      <c r="D23" s="202"/>
      <c r="E23" s="202"/>
      <c r="F23" s="202"/>
      <c r="G23" s="513"/>
      <c r="H23" s="202"/>
      <c r="I23" s="197"/>
      <c r="K23" s="182"/>
      <c r="L23" s="182"/>
      <c r="M23" s="182"/>
      <c r="N23" s="182"/>
    </row>
    <row r="24" spans="1:14" x14ac:dyDescent="0.2">
      <c r="A24" s="56"/>
      <c r="B24" s="154"/>
      <c r="C24" t="str">
        <f>'Technology split final demand'!C24</f>
        <v>Condensing Combi Boiler (hot water)</v>
      </c>
      <c r="D24" s="200" t="e">
        <f>'Technology split final demand'!I24</f>
        <v>#DIV/0!</v>
      </c>
      <c r="E24" s="201" t="e">
        <f t="shared" ref="E24:E32" si="5">Final_demand_hot_water*D24</f>
        <v>#DIV/0!</v>
      </c>
      <c r="F24" s="200">
        <f>technical_specs!R24</f>
        <v>0</v>
      </c>
      <c r="G24" s="511" t="e">
        <f>F24*E24</f>
        <v>#DIV/0!</v>
      </c>
      <c r="H24" s="198" t="e">
        <f>G24</f>
        <v>#DIV/0!</v>
      </c>
      <c r="I24" s="199" t="e">
        <f t="shared" ref="I24:I34" si="6">H24/SUM($H$24:$H$34)</f>
        <v>#DIV/0!</v>
      </c>
      <c r="K24" s="182"/>
      <c r="L24" s="182"/>
      <c r="M24" s="182"/>
      <c r="N24" s="182"/>
    </row>
    <row r="25" spans="1:14" x14ac:dyDescent="0.2">
      <c r="A25" s="56"/>
      <c r="B25" s="154"/>
      <c r="C25" t="str">
        <f>'Technology split final demand'!C25</f>
        <v>Electric Heat Pump (ground) (hot water)</v>
      </c>
      <c r="D25" s="200" t="e">
        <f>'Technology split final demand'!I25</f>
        <v>#DIV/0!</v>
      </c>
      <c r="E25" s="201" t="e">
        <f t="shared" si="5"/>
        <v>#DIV/0!</v>
      </c>
      <c r="F25" s="200" t="e">
        <f>technical_specs!R25</f>
        <v>#DIV/0!</v>
      </c>
      <c r="G25" s="511" t="e">
        <f t="shared" ref="G25:G34" si="7">F25*E25</f>
        <v>#DIV/0!</v>
      </c>
      <c r="H25" s="198" t="e">
        <f t="shared" ref="H25:H32" si="8">G25</f>
        <v>#DIV/0!</v>
      </c>
      <c r="I25" s="199" t="e">
        <f t="shared" si="6"/>
        <v>#DIV/0!</v>
      </c>
      <c r="K25" s="182"/>
      <c r="L25" s="182"/>
      <c r="M25" s="182"/>
      <c r="N25" s="182"/>
    </row>
    <row r="26" spans="1:14" x14ac:dyDescent="0.2">
      <c r="A26" s="56"/>
      <c r="B26" s="155"/>
      <c r="C26" t="str">
        <f>'Technology split final demand'!C26</f>
        <v>District Heating (hot water)</v>
      </c>
      <c r="D26" s="200" t="e">
        <f>'Technology split final demand'!I26</f>
        <v>#DIV/0!</v>
      </c>
      <c r="E26" s="201" t="e">
        <f t="shared" si="5"/>
        <v>#DIV/0!</v>
      </c>
      <c r="F26" s="200">
        <f>technical_specs!R26</f>
        <v>0</v>
      </c>
      <c r="G26" s="511" t="e">
        <f t="shared" si="7"/>
        <v>#DIV/0!</v>
      </c>
      <c r="H26" s="198" t="e">
        <f t="shared" si="8"/>
        <v>#DIV/0!</v>
      </c>
      <c r="I26" s="199" t="e">
        <f t="shared" si="6"/>
        <v>#DIV/0!</v>
      </c>
      <c r="K26" s="182"/>
      <c r="L26" s="182"/>
      <c r="M26" s="182"/>
      <c r="N26" s="182"/>
    </row>
    <row r="27" spans="1:14" x14ac:dyDescent="0.2">
      <c r="A27" s="56"/>
      <c r="B27" s="155"/>
      <c r="C27" t="str">
        <f>'Technology split final demand'!C27</f>
        <v>electricity-driven Heat pump (air) (hot water)</v>
      </c>
      <c r="D27" s="200" t="e">
        <f>'Technology split final demand'!I27</f>
        <v>#DIV/0!</v>
      </c>
      <c r="E27" s="201" t="e">
        <f t="shared" si="5"/>
        <v>#DIV/0!</v>
      </c>
      <c r="F27" s="200" t="e">
        <f>technical_specs!R27</f>
        <v>#DIV/0!</v>
      </c>
      <c r="G27" s="511" t="e">
        <f t="shared" si="7"/>
        <v>#DIV/0!</v>
      </c>
      <c r="H27" s="198" t="e">
        <f t="shared" si="8"/>
        <v>#DIV/0!</v>
      </c>
      <c r="I27" s="199" t="e">
        <f t="shared" si="6"/>
        <v>#DIV/0!</v>
      </c>
      <c r="K27" s="182"/>
      <c r="L27" s="182"/>
      <c r="M27" s="182"/>
      <c r="N27" s="182"/>
    </row>
    <row r="28" spans="1:14" x14ac:dyDescent="0.2">
      <c r="A28" s="56"/>
      <c r="B28" s="155"/>
      <c r="C28" t="str">
        <f>'Technology split final demand'!C28</f>
        <v>woodpellets (biomass) heaters (hot water)</v>
      </c>
      <c r="D28" s="200" t="e">
        <f>'Technology split final demand'!I28</f>
        <v>#DIV/0!</v>
      </c>
      <c r="E28" s="201" t="e">
        <f t="shared" si="5"/>
        <v>#DIV/0!</v>
      </c>
      <c r="F28" s="200">
        <f>technical_specs!R28</f>
        <v>0</v>
      </c>
      <c r="G28" s="511" t="e">
        <f t="shared" si="7"/>
        <v>#DIV/0!</v>
      </c>
      <c r="H28" s="198" t="e">
        <f t="shared" si="8"/>
        <v>#DIV/0!</v>
      </c>
      <c r="I28" s="199" t="e">
        <f t="shared" si="6"/>
        <v>#DIV/0!</v>
      </c>
      <c r="K28" s="182"/>
      <c r="L28" s="182"/>
      <c r="M28" s="182"/>
      <c r="N28" s="182"/>
    </row>
    <row r="29" spans="1:14" x14ac:dyDescent="0.2">
      <c r="A29" s="56"/>
      <c r="B29" s="155"/>
      <c r="C29" t="str">
        <f>'Technology split final demand'!C29</f>
        <v>Electric Heaters (resistance) (hot water)</v>
      </c>
      <c r="D29" s="200" t="e">
        <f>'Technology split final demand'!I29</f>
        <v>#DIV/0!</v>
      </c>
      <c r="E29" s="201" t="e">
        <f t="shared" si="5"/>
        <v>#DIV/0!</v>
      </c>
      <c r="F29" s="200">
        <f>technical_specs!R29</f>
        <v>0</v>
      </c>
      <c r="G29" s="511" t="e">
        <f t="shared" si="7"/>
        <v>#DIV/0!</v>
      </c>
      <c r="H29" s="198" t="e">
        <f t="shared" si="8"/>
        <v>#DIV/0!</v>
      </c>
      <c r="I29" s="199" t="e">
        <f t="shared" si="6"/>
        <v>#DIV/0!</v>
      </c>
      <c r="K29" s="182"/>
      <c r="L29" s="182"/>
      <c r="M29" s="182"/>
      <c r="N29" s="182"/>
    </row>
    <row r="30" spans="1:14" x14ac:dyDescent="0.2">
      <c r="A30" s="56"/>
      <c r="B30" s="155"/>
      <c r="C30" t="str">
        <f>'Technology split final demand'!C30</f>
        <v>Gas-fired Heaters (hot water)</v>
      </c>
      <c r="D30" s="200" t="e">
        <f>'Technology split final demand'!I30</f>
        <v>#DIV/0!</v>
      </c>
      <c r="E30" s="201" t="e">
        <f t="shared" si="5"/>
        <v>#DIV/0!</v>
      </c>
      <c r="F30" s="200">
        <f>technical_specs!R30</f>
        <v>0</v>
      </c>
      <c r="G30" s="511" t="e">
        <f t="shared" si="7"/>
        <v>#DIV/0!</v>
      </c>
      <c r="H30" s="198" t="e">
        <f t="shared" si="8"/>
        <v>#DIV/0!</v>
      </c>
      <c r="I30" s="199" t="e">
        <f t="shared" si="6"/>
        <v>#DIV/0!</v>
      </c>
      <c r="K30" s="182"/>
      <c r="L30" s="182"/>
      <c r="M30" s="182"/>
      <c r="N30" s="182"/>
    </row>
    <row r="31" spans="1:14" x14ac:dyDescent="0.2">
      <c r="A31" s="56"/>
      <c r="B31" s="155"/>
      <c r="C31" t="str">
        <f>'Technology split final demand'!C31</f>
        <v>Oil-fired Heaters (hot water)</v>
      </c>
      <c r="D31" s="200" t="e">
        <f>'Technology split final demand'!I31</f>
        <v>#DIV/0!</v>
      </c>
      <c r="E31" s="201" t="e">
        <f t="shared" si="5"/>
        <v>#DIV/0!</v>
      </c>
      <c r="F31" s="200">
        <f>technical_specs!R31</f>
        <v>0</v>
      </c>
      <c r="G31" s="511" t="e">
        <f t="shared" si="7"/>
        <v>#DIV/0!</v>
      </c>
      <c r="H31" s="198" t="e">
        <f t="shared" si="8"/>
        <v>#DIV/0!</v>
      </c>
      <c r="I31" s="199" t="e">
        <f t="shared" si="6"/>
        <v>#DIV/0!</v>
      </c>
      <c r="K31" s="182"/>
      <c r="L31" s="182"/>
      <c r="M31" s="182"/>
      <c r="N31" s="182"/>
    </row>
    <row r="32" spans="1:14" x14ac:dyDescent="0.2">
      <c r="A32" s="56"/>
      <c r="B32" s="155"/>
      <c r="C32" t="str">
        <f>'Technology split final demand'!C32</f>
        <v>Coal-fired Heaters (hot water)</v>
      </c>
      <c r="D32" s="200" t="e">
        <f>'Technology split final demand'!I32</f>
        <v>#DIV/0!</v>
      </c>
      <c r="E32" s="201" t="e">
        <f t="shared" si="5"/>
        <v>#DIV/0!</v>
      </c>
      <c r="F32" s="200">
        <f>technical_specs!R32</f>
        <v>0</v>
      </c>
      <c r="G32" s="511" t="e">
        <f t="shared" si="7"/>
        <v>#DIV/0!</v>
      </c>
      <c r="H32" s="198" t="e">
        <f t="shared" si="8"/>
        <v>#DIV/0!</v>
      </c>
      <c r="I32" s="199" t="e">
        <f t="shared" si="6"/>
        <v>#DIV/0!</v>
      </c>
      <c r="K32" s="182"/>
      <c r="L32" s="182"/>
      <c r="M32" s="182"/>
      <c r="N32" s="182"/>
    </row>
    <row r="33" spans="1:14" x14ac:dyDescent="0.2">
      <c r="A33" s="56"/>
      <c r="B33" s="155"/>
      <c r="C33" t="str">
        <f>'Technology split final demand'!C33</f>
        <v>Hybrid heatpump, heatpump part (hot water)</v>
      </c>
      <c r="D33" s="200" t="e">
        <f>'Technology split final demand'!I33</f>
        <v>#DIV/0!</v>
      </c>
      <c r="E33" s="201" t="e">
        <f t="shared" ref="E33:E34" si="9">Final_demand_hot_water*D33</f>
        <v>#DIV/0!</v>
      </c>
      <c r="F33" s="200">
        <f>technical_specs!R33</f>
        <v>1</v>
      </c>
      <c r="G33" s="511" t="e">
        <f t="shared" si="7"/>
        <v>#DIV/0!</v>
      </c>
      <c r="H33" s="198" t="e">
        <f>G33+G34</f>
        <v>#DIV/0!</v>
      </c>
      <c r="I33" s="199" t="e">
        <f t="shared" si="6"/>
        <v>#DIV/0!</v>
      </c>
      <c r="K33" s="182"/>
      <c r="L33" s="182"/>
      <c r="M33" s="182"/>
      <c r="N33" s="182"/>
    </row>
    <row r="34" spans="1:14" x14ac:dyDescent="0.2">
      <c r="A34" s="56"/>
      <c r="B34" s="155"/>
      <c r="C34" s="42" t="str">
        <f>'Technology split final demand'!C34</f>
        <v>Hybrid heatpump, gas part (hot water)</v>
      </c>
      <c r="D34" s="225" t="e">
        <f>'Technology split final demand'!I34</f>
        <v>#DIV/0!</v>
      </c>
      <c r="E34" s="226" t="e">
        <f t="shared" si="9"/>
        <v>#DIV/0!</v>
      </c>
      <c r="F34" s="225">
        <f>technical_specs!R34</f>
        <v>0</v>
      </c>
      <c r="G34" s="512" t="e">
        <f t="shared" si="7"/>
        <v>#DIV/0!</v>
      </c>
      <c r="H34" s="228" t="e">
        <f>G33+G34</f>
        <v>#DIV/0!</v>
      </c>
      <c r="I34" s="229" t="e">
        <f t="shared" si="6"/>
        <v>#DIV/0!</v>
      </c>
      <c r="K34" s="182"/>
      <c r="L34" s="182"/>
      <c r="M34" s="182"/>
      <c r="N34" s="182"/>
    </row>
    <row r="35" spans="1:14" x14ac:dyDescent="0.2">
      <c r="A35" s="56"/>
      <c r="B35" s="436"/>
      <c r="D35" s="419"/>
      <c r="E35" s="420"/>
      <c r="F35" s="420"/>
      <c r="G35" s="514"/>
      <c r="H35" s="421"/>
      <c r="I35" s="224"/>
      <c r="K35" s="182"/>
      <c r="L35" s="182"/>
      <c r="M35" s="182"/>
      <c r="N35" s="182"/>
    </row>
    <row r="36" spans="1:14" x14ac:dyDescent="0.2">
      <c r="A36" s="56"/>
      <c r="B36" s="437"/>
      <c r="C36" s="438"/>
      <c r="D36" s="439"/>
      <c r="E36" s="439"/>
      <c r="F36" s="439"/>
      <c r="G36" s="515"/>
      <c r="H36" s="440"/>
      <c r="I36" s="441"/>
      <c r="K36" s="182"/>
      <c r="L36" s="182"/>
      <c r="M36" s="182"/>
      <c r="N36" s="182"/>
    </row>
    <row r="37" spans="1:14" x14ac:dyDescent="0.2">
      <c r="A37" s="56"/>
      <c r="B37" s="158" t="s">
        <v>88</v>
      </c>
      <c r="C37" s="230"/>
      <c r="D37" s="231"/>
      <c r="E37" s="231"/>
      <c r="F37" s="231"/>
      <c r="G37" s="516"/>
      <c r="H37" s="232"/>
      <c r="I37" s="233"/>
      <c r="K37" s="182"/>
      <c r="L37" s="182"/>
      <c r="M37" s="182"/>
      <c r="N37" s="182"/>
    </row>
    <row r="38" spans="1:14" x14ac:dyDescent="0.2">
      <c r="A38" s="56"/>
      <c r="B38" s="155"/>
      <c r="C38" t="str">
        <f>'Technology split final demand'!C37</f>
        <v>Electric heat pump ground</v>
      </c>
      <c r="D38" s="200" t="e">
        <f>'Technology split final demand'!I37</f>
        <v>#DIV/0!</v>
      </c>
      <c r="E38" s="201" t="e">
        <f>Final_demand_cooling*D38</f>
        <v>#DIV/0!</v>
      </c>
      <c r="F38" s="200" t="e">
        <f>technical_specs!R37</f>
        <v>#DIV/0!</v>
      </c>
      <c r="G38" s="511" t="e">
        <f>F38*E38</f>
        <v>#DIV/0!</v>
      </c>
      <c r="H38" s="198" t="e">
        <f>G38</f>
        <v>#DIV/0!</v>
      </c>
      <c r="I38" s="199" t="e">
        <f>H38/SUM($H$38:$H$40)</f>
        <v>#DIV/0!</v>
      </c>
      <c r="K38" s="182"/>
      <c r="L38" s="182"/>
      <c r="M38" s="182"/>
      <c r="N38" s="182"/>
    </row>
    <row r="39" spans="1:14" x14ac:dyDescent="0.2">
      <c r="A39" s="56"/>
      <c r="B39" s="155"/>
      <c r="C39" t="str">
        <f>'Technology split final demand'!C38</f>
        <v>Electric heat pump air</v>
      </c>
      <c r="D39" s="200" t="e">
        <f>'Technology split final demand'!I38</f>
        <v>#DIV/0!</v>
      </c>
      <c r="E39" s="201" t="e">
        <f>Final_demand_cooling*D39</f>
        <v>#DIV/0!</v>
      </c>
      <c r="F39" s="200" t="e">
        <f>technical_specs!R38</f>
        <v>#DIV/0!</v>
      </c>
      <c r="G39" s="511" t="e">
        <f t="shared" ref="G39:G40" si="10">F39*E39</f>
        <v>#DIV/0!</v>
      </c>
      <c r="H39" s="198" t="e">
        <f t="shared" ref="H39:H40" si="11">G39</f>
        <v>#DIV/0!</v>
      </c>
      <c r="I39" s="199" t="e">
        <f t="shared" ref="I39:I40" si="12">H39/SUM($H$38:$H$40)</f>
        <v>#DIV/0!</v>
      </c>
      <c r="K39" s="182"/>
      <c r="L39" s="182"/>
      <c r="M39" s="182"/>
      <c r="N39" s="182"/>
    </row>
    <row r="40" spans="1:14" x14ac:dyDescent="0.2">
      <c r="A40" s="56"/>
      <c r="B40" s="155"/>
      <c r="C40" s="42" t="str">
        <f>'Technology split final demand'!C39</f>
        <v>Conventional electric airconditioning</v>
      </c>
      <c r="D40" s="225" t="e">
        <f>'Technology split final demand'!I39</f>
        <v>#DIV/0!</v>
      </c>
      <c r="E40" s="226" t="e">
        <f>Final_demand_cooling*D40</f>
        <v>#DIV/0!</v>
      </c>
      <c r="F40" s="225" t="e">
        <f>technical_specs!R39</f>
        <v>#DIV/0!</v>
      </c>
      <c r="G40" s="511" t="e">
        <f t="shared" si="10"/>
        <v>#DIV/0!</v>
      </c>
      <c r="H40" s="198" t="e">
        <f t="shared" si="11"/>
        <v>#DIV/0!</v>
      </c>
      <c r="I40" s="229" t="e">
        <f t="shared" si="12"/>
        <v>#DIV/0!</v>
      </c>
      <c r="K40" s="182"/>
      <c r="L40" s="182"/>
      <c r="M40" s="182"/>
      <c r="N40" s="182"/>
    </row>
    <row r="41" spans="1:14" x14ac:dyDescent="0.2">
      <c r="A41" s="56"/>
      <c r="B41" s="155"/>
      <c r="C41" s="4"/>
      <c r="D41" s="428"/>
      <c r="E41" s="429"/>
      <c r="F41" s="428"/>
      <c r="G41" s="517"/>
      <c r="H41" s="430"/>
      <c r="I41" s="431"/>
      <c r="K41" s="182"/>
      <c r="L41" s="182"/>
      <c r="M41" s="182"/>
      <c r="N41" s="182"/>
    </row>
    <row r="42" spans="1:14" x14ac:dyDescent="0.2">
      <c r="A42" s="56"/>
      <c r="B42" s="156"/>
      <c r="C42" s="432"/>
      <c r="D42" s="433"/>
      <c r="E42" s="433"/>
      <c r="F42" s="433"/>
      <c r="G42" s="518"/>
      <c r="H42" s="434"/>
      <c r="I42" s="435"/>
      <c r="K42" s="182"/>
      <c r="L42" s="182"/>
      <c r="M42" s="182"/>
      <c r="N42" s="182"/>
    </row>
    <row r="43" spans="1:14" x14ac:dyDescent="0.2">
      <c r="A43" s="56"/>
      <c r="B43" s="154" t="s">
        <v>276</v>
      </c>
      <c r="C43" s="230"/>
      <c r="D43" s="231"/>
      <c r="E43" s="231"/>
      <c r="F43" s="231"/>
      <c r="G43" s="516"/>
      <c r="H43" s="232"/>
      <c r="I43" s="233"/>
      <c r="K43" s="182"/>
      <c r="L43" s="182"/>
      <c r="M43" s="182"/>
      <c r="N43" s="182"/>
    </row>
    <row r="44" spans="1:14" x14ac:dyDescent="0.2">
      <c r="A44" s="56"/>
      <c r="B44" s="154"/>
      <c r="C44" t="str">
        <f>'Technology split final demand'!C42</f>
        <v>Gas stoves</v>
      </c>
      <c r="D44" s="200" t="e">
        <f>'Technology split final demand'!I42</f>
        <v>#DIV/0!</v>
      </c>
      <c r="E44" s="201" t="e">
        <f>Final_demand_cooking*D44</f>
        <v>#DIV/0!</v>
      </c>
      <c r="F44" s="200">
        <f>technical_specs!R42</f>
        <v>0</v>
      </c>
      <c r="G44" s="511" t="e">
        <f>F44*E44</f>
        <v>#DIV/0!</v>
      </c>
      <c r="H44" s="198" t="e">
        <f>G44</f>
        <v>#DIV/0!</v>
      </c>
      <c r="I44" s="199" t="e">
        <f>H44/SUM($H$44:$H$48)</f>
        <v>#DIV/0!</v>
      </c>
      <c r="K44" s="182"/>
      <c r="L44" s="182"/>
      <c r="M44" s="182"/>
      <c r="N44" s="182"/>
    </row>
    <row r="45" spans="1:14" x14ac:dyDescent="0.2">
      <c r="A45" s="56"/>
      <c r="B45" s="154"/>
      <c r="C45" t="str">
        <f>'Technology split final demand'!C43</f>
        <v>Electric stoves (resistance)</v>
      </c>
      <c r="D45" s="200" t="e">
        <f>'Technology split final demand'!I43</f>
        <v>#DIV/0!</v>
      </c>
      <c r="E45" s="201" t="e">
        <f>Final_demand_cooking*D45</f>
        <v>#DIV/0!</v>
      </c>
      <c r="F45" s="200">
        <f>technical_specs!R43</f>
        <v>0</v>
      </c>
      <c r="G45" s="511" t="e">
        <f t="shared" ref="G45:G48" si="13">F45*E45</f>
        <v>#DIV/0!</v>
      </c>
      <c r="H45" s="198" t="e">
        <f t="shared" ref="H45:H48" si="14">G45</f>
        <v>#DIV/0!</v>
      </c>
      <c r="I45" s="199" t="e">
        <f t="shared" ref="I45:I47" si="15">H45/SUM($H$44:$H$48)</f>
        <v>#DIV/0!</v>
      </c>
      <c r="K45" s="182"/>
      <c r="L45" s="182"/>
      <c r="M45" s="182"/>
      <c r="N45" s="182"/>
    </row>
    <row r="46" spans="1:14" x14ac:dyDescent="0.2">
      <c r="A46" s="56"/>
      <c r="B46" s="154"/>
      <c r="C46" t="str">
        <f>'Technology split final demand'!C44</f>
        <v>Electric halogen stoves</v>
      </c>
      <c r="D46" s="200" t="e">
        <f>'Technology split final demand'!I44</f>
        <v>#DIV/0!</v>
      </c>
      <c r="E46" s="201" t="e">
        <f>Final_demand_cooking*D46</f>
        <v>#DIV/0!</v>
      </c>
      <c r="F46" s="200">
        <f>technical_specs!R44</f>
        <v>0</v>
      </c>
      <c r="G46" s="511" t="e">
        <f t="shared" si="13"/>
        <v>#DIV/0!</v>
      </c>
      <c r="H46" s="198" t="e">
        <f t="shared" si="14"/>
        <v>#DIV/0!</v>
      </c>
      <c r="I46" s="199" t="e">
        <f t="shared" si="15"/>
        <v>#DIV/0!</v>
      </c>
      <c r="K46" s="182"/>
      <c r="L46" s="182"/>
      <c r="M46" s="182"/>
      <c r="N46" s="182"/>
    </row>
    <row r="47" spans="1:14" x14ac:dyDescent="0.2">
      <c r="A47" s="56"/>
      <c r="B47" s="154"/>
      <c r="C47" t="str">
        <f>'Technology split final demand'!C45</f>
        <v>Electric induction stoves</v>
      </c>
      <c r="D47" s="200" t="e">
        <f>'Technology split final demand'!I45</f>
        <v>#DIV/0!</v>
      </c>
      <c r="E47" s="201" t="e">
        <f>Final_demand_cooking*D47</f>
        <v>#DIV/0!</v>
      </c>
      <c r="F47" s="200">
        <f>technical_specs!R45</f>
        <v>0</v>
      </c>
      <c r="G47" s="511" t="e">
        <f t="shared" si="13"/>
        <v>#DIV/0!</v>
      </c>
      <c r="H47" s="198" t="e">
        <f t="shared" si="14"/>
        <v>#DIV/0!</v>
      </c>
      <c r="I47" s="199" t="e">
        <f t="shared" si="15"/>
        <v>#DIV/0!</v>
      </c>
      <c r="K47" s="182"/>
      <c r="L47" s="182"/>
      <c r="M47" s="182"/>
      <c r="N47" s="182"/>
    </row>
    <row r="48" spans="1:14" x14ac:dyDescent="0.2">
      <c r="A48" s="56"/>
      <c r="B48" s="155"/>
      <c r="C48" s="42" t="str">
        <f>'Technology split final demand'!C46</f>
        <v>Biomass stoves</v>
      </c>
      <c r="D48" s="225" t="e">
        <f>'Technology split final demand'!I46</f>
        <v>#DIV/0!</v>
      </c>
      <c r="E48" s="226" t="e">
        <f>Final_demand_cooking*D48</f>
        <v>#DIV/0!</v>
      </c>
      <c r="F48" s="225">
        <f>technical_specs!R46</f>
        <v>0</v>
      </c>
      <c r="G48" s="511" t="e">
        <f t="shared" si="13"/>
        <v>#DIV/0!</v>
      </c>
      <c r="H48" s="198" t="e">
        <f t="shared" si="14"/>
        <v>#DIV/0!</v>
      </c>
      <c r="I48" s="229" t="e">
        <f>H48/SUM($H$44:$H$48)</f>
        <v>#DIV/0!</v>
      </c>
      <c r="K48" s="182"/>
      <c r="L48" s="182"/>
      <c r="M48" s="182"/>
      <c r="N48" s="182"/>
    </row>
    <row r="49" spans="1:14" x14ac:dyDescent="0.2">
      <c r="A49" s="56"/>
      <c r="B49" s="155"/>
      <c r="C49" s="4"/>
      <c r="D49" s="428"/>
      <c r="E49" s="429"/>
      <c r="F49" s="428"/>
      <c r="G49" s="517"/>
      <c r="H49" s="430"/>
      <c r="I49" s="431"/>
      <c r="K49" s="182"/>
      <c r="L49" s="182"/>
      <c r="M49" s="182"/>
      <c r="N49" s="182"/>
    </row>
    <row r="50" spans="1:14" x14ac:dyDescent="0.2">
      <c r="A50" s="56"/>
      <c r="B50" s="159"/>
      <c r="C50" s="424"/>
      <c r="D50" s="425"/>
      <c r="E50" s="425"/>
      <c r="F50" s="425"/>
      <c r="G50" s="519"/>
      <c r="H50" s="426"/>
      <c r="I50" s="427"/>
      <c r="K50" s="182"/>
      <c r="L50" s="182"/>
      <c r="M50" s="182"/>
      <c r="N50" s="182"/>
    </row>
    <row r="51" spans="1:14" x14ac:dyDescent="0.2">
      <c r="A51" s="56"/>
      <c r="B51" s="160" t="s">
        <v>75</v>
      </c>
      <c r="C51" s="230"/>
      <c r="D51" s="231"/>
      <c r="E51" s="231"/>
      <c r="F51" s="231"/>
      <c r="G51" s="516"/>
      <c r="H51" s="232"/>
      <c r="I51" s="233"/>
      <c r="K51" s="182"/>
      <c r="L51" s="182"/>
      <c r="M51" s="182"/>
      <c r="N51" s="182"/>
    </row>
    <row r="52" spans="1:14" x14ac:dyDescent="0.2">
      <c r="A52" s="56"/>
      <c r="B52" s="155"/>
      <c r="C52" t="str">
        <f>'Technology split final demand'!C49</f>
        <v>Incandescent lamps</v>
      </c>
      <c r="D52" s="200" t="e">
        <f>'Technology split final demand'!I49</f>
        <v>#DIV/0!</v>
      </c>
      <c r="E52" s="201" t="e">
        <f>Final_demand_lighting*D52</f>
        <v>#DIV/0!</v>
      </c>
      <c r="F52" s="200">
        <f>technical_specs!R49</f>
        <v>0</v>
      </c>
      <c r="G52" s="511" t="e">
        <f>F52*E52</f>
        <v>#DIV/0!</v>
      </c>
      <c r="H52" s="198" t="e">
        <f>G52</f>
        <v>#DIV/0!</v>
      </c>
      <c r="I52" s="199" t="e">
        <f>H52/SUM($H$52:$H$54)</f>
        <v>#DIV/0!</v>
      </c>
      <c r="K52" s="182"/>
      <c r="L52" s="182"/>
      <c r="M52" s="182"/>
      <c r="N52" s="182"/>
    </row>
    <row r="53" spans="1:14" x14ac:dyDescent="0.2">
      <c r="A53" s="56"/>
      <c r="B53" s="155"/>
      <c r="C53" t="str">
        <f>'Technology split final demand'!C50</f>
        <v>Low energy light bulbs / fluorescent lighting</v>
      </c>
      <c r="D53" s="200" t="e">
        <f>'Technology split final demand'!I50</f>
        <v>#DIV/0!</v>
      </c>
      <c r="E53" s="201" t="e">
        <f>Final_demand_lighting*D53</f>
        <v>#DIV/0!</v>
      </c>
      <c r="F53" s="200">
        <f>technical_specs!R50</f>
        <v>0</v>
      </c>
      <c r="G53" s="511" t="e">
        <f t="shared" ref="G53:G54" si="16">F53*E53</f>
        <v>#DIV/0!</v>
      </c>
      <c r="H53" s="198" t="e">
        <f t="shared" ref="H53:H54" si="17">G53</f>
        <v>#DIV/0!</v>
      </c>
      <c r="I53" s="199" t="e">
        <f>H53/SUM($H$52:$H$54)</f>
        <v>#DIV/0!</v>
      </c>
      <c r="K53" s="182"/>
      <c r="L53" s="182"/>
      <c r="M53" s="182"/>
      <c r="N53" s="182"/>
    </row>
    <row r="54" spans="1:14" x14ac:dyDescent="0.2">
      <c r="A54" s="56"/>
      <c r="B54" s="155"/>
      <c r="C54" s="42" t="str">
        <f>'Technology split final demand'!C51</f>
        <v>LED lamps</v>
      </c>
      <c r="D54" s="225" t="e">
        <f>'Technology split final demand'!I51</f>
        <v>#DIV/0!</v>
      </c>
      <c r="E54" s="226" t="e">
        <f>Final_demand_lighting*D54</f>
        <v>#DIV/0!</v>
      </c>
      <c r="F54" s="225">
        <f>technical_specs!R51</f>
        <v>0</v>
      </c>
      <c r="G54" s="512" t="e">
        <f t="shared" si="16"/>
        <v>#DIV/0!</v>
      </c>
      <c r="H54" s="228" t="e">
        <f t="shared" si="17"/>
        <v>#DIV/0!</v>
      </c>
      <c r="I54" s="229" t="e">
        <f>H54/SUM($H$52:$H$54)</f>
        <v>#DIV/0!</v>
      </c>
      <c r="K54" s="182"/>
      <c r="L54" s="182"/>
      <c r="M54" s="182"/>
      <c r="N54" s="182"/>
    </row>
    <row r="55" spans="1:14" x14ac:dyDescent="0.2">
      <c r="A55" s="56"/>
      <c r="B55" s="155"/>
      <c r="D55" s="419"/>
      <c r="E55" s="420"/>
      <c r="F55" s="419"/>
      <c r="G55" s="514"/>
      <c r="H55" s="421"/>
      <c r="I55" s="224"/>
      <c r="K55" s="182"/>
      <c r="L55" s="182"/>
      <c r="M55" s="182"/>
      <c r="N55" s="182"/>
    </row>
    <row r="56" spans="1:14" ht="17" thickBot="1" x14ac:dyDescent="0.25">
      <c r="A56" s="56"/>
      <c r="B56" s="72"/>
      <c r="C56" s="422"/>
      <c r="D56" s="422"/>
      <c r="E56" s="422"/>
      <c r="F56" s="422"/>
      <c r="G56" s="520"/>
      <c r="H56" s="422"/>
      <c r="I56" s="423"/>
      <c r="K56" s="182"/>
      <c r="L56" s="182"/>
      <c r="M56" s="182"/>
      <c r="N56" s="182"/>
    </row>
    <row r="57" spans="1:14" x14ac:dyDescent="0.2">
      <c r="A57" s="56"/>
      <c r="B57" s="56"/>
      <c r="C57" s="56"/>
      <c r="D57" s="56"/>
      <c r="E57" s="56"/>
      <c r="H57" s="56"/>
      <c r="I57" s="56"/>
      <c r="K57" s="182"/>
      <c r="L57" s="182"/>
      <c r="M57" s="182"/>
      <c r="N57" s="182"/>
    </row>
    <row r="58" spans="1:14" x14ac:dyDescent="0.2">
      <c r="A58" s="56"/>
      <c r="B58" s="56"/>
      <c r="C58" s="56"/>
      <c r="D58" s="56"/>
      <c r="E58" s="56"/>
      <c r="F58" s="200"/>
      <c r="G58" s="200"/>
      <c r="H58" s="56"/>
      <c r="I58" s="56"/>
      <c r="K58" s="182"/>
      <c r="L58" s="182"/>
      <c r="M58" s="182"/>
      <c r="N58" s="182"/>
    </row>
    <row r="59" spans="1:14" x14ac:dyDescent="0.2">
      <c r="A59" s="56"/>
      <c r="B59" s="56"/>
      <c r="C59" s="56"/>
      <c r="D59" s="56"/>
      <c r="E59" s="56"/>
      <c r="F59" s="56"/>
      <c r="G59" s="56"/>
      <c r="H59" s="56"/>
      <c r="I59" s="56"/>
      <c r="K59" s="182"/>
      <c r="L59" s="182"/>
      <c r="M59" s="182"/>
      <c r="N59" s="182"/>
    </row>
    <row r="60" spans="1:14" x14ac:dyDescent="0.2">
      <c r="A60" s="56"/>
      <c r="B60" s="56"/>
      <c r="C60" s="56"/>
      <c r="D60" s="56"/>
      <c r="E60" s="56"/>
      <c r="F60" s="200"/>
      <c r="G60" s="200"/>
      <c r="H60" s="56"/>
      <c r="I60" s="56"/>
    </row>
    <row r="61" spans="1:14" x14ac:dyDescent="0.2">
      <c r="A61" s="56"/>
      <c r="B61" s="56"/>
      <c r="C61" s="56"/>
      <c r="D61" s="56"/>
      <c r="E61" s="56"/>
      <c r="F61" s="56"/>
      <c r="G61" s="56"/>
      <c r="H61" s="56"/>
      <c r="I61" s="56"/>
    </row>
    <row r="62" spans="1:14" x14ac:dyDescent="0.2">
      <c r="A62" s="56"/>
      <c r="B62" s="56"/>
      <c r="C62" s="56"/>
      <c r="D62" s="56"/>
      <c r="E62" s="56"/>
      <c r="F62" s="56"/>
      <c r="G62" s="56"/>
      <c r="H62" s="56"/>
      <c r="I62" s="56"/>
    </row>
    <row r="63" spans="1:14" x14ac:dyDescent="0.2">
      <c r="A63" s="56"/>
      <c r="B63" s="56"/>
      <c r="C63" s="56"/>
      <c r="D63" s="56"/>
      <c r="E63" s="56"/>
      <c r="F63" s="56"/>
      <c r="G63" s="56"/>
      <c r="H63" s="56"/>
      <c r="I63" s="56"/>
    </row>
  </sheetData>
  <mergeCells count="1">
    <mergeCell ref="B5:D5"/>
  </mergeCells>
  <pageMargins left="0.75" right="0.75" top="1" bottom="1" header="0.5" footer="0.5"/>
  <pageSetup paperSize="9" orientation="portrait" horizontalDpi="4294967292" verticalDpi="42949672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theme="7" tint="0.39997558519241921"/>
  </sheetPr>
  <dimension ref="A1:B4"/>
  <sheetViews>
    <sheetView workbookViewId="0">
      <selection activeCell="B4" sqref="B4"/>
    </sheetView>
  </sheetViews>
  <sheetFormatPr baseColWidth="10" defaultRowHeight="16" x14ac:dyDescent="0.2"/>
  <cols>
    <col min="1" max="1" width="51.1640625" bestFit="1" customWidth="1"/>
    <col min="2" max="2" width="14.83203125" bestFit="1" customWidth="1"/>
  </cols>
  <sheetData>
    <row r="1" spans="1:2" x14ac:dyDescent="0.2">
      <c r="A1" t="s">
        <v>451</v>
      </c>
    </row>
    <row r="2" spans="1:2" x14ac:dyDescent="0.2">
      <c r="A2" t="s">
        <v>481</v>
      </c>
      <c r="B2" t="s">
        <v>482</v>
      </c>
    </row>
    <row r="3" spans="1:2" x14ac:dyDescent="0.2">
      <c r="A3" t="s">
        <v>232</v>
      </c>
      <c r="B3" s="171" t="e">
        <f>'Application Shares'!E9</f>
        <v>#DIV/0!</v>
      </c>
    </row>
    <row r="4" spans="1:2" x14ac:dyDescent="0.2">
      <c r="A4" t="s">
        <v>233</v>
      </c>
      <c r="B4" s="171" t="e">
        <f>'Application Shares'!E10</f>
        <v>#DIV/0!</v>
      </c>
    </row>
  </sheetData>
  <sortState xmlns:xlrd2="http://schemas.microsoft.com/office/spreadsheetml/2017/richdata2" ref="A2:A16">
    <sortCondition ref="A2"/>
  </sortState>
  <pageMargins left="0.75" right="0.75" top="1" bottom="1" header="0.5" footer="0.5"/>
  <pageSetup paperSize="9" orientation="portrait" horizontalDpi="4294967292" verticalDpi="429496729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theme="7" tint="0.39997558519241921"/>
  </sheetPr>
  <dimension ref="A1:B4"/>
  <sheetViews>
    <sheetView workbookViewId="0">
      <selection activeCell="B4" sqref="B4"/>
    </sheetView>
  </sheetViews>
  <sheetFormatPr baseColWidth="10" defaultRowHeight="16" x14ac:dyDescent="0.2"/>
  <cols>
    <col min="1" max="1" width="51.1640625" bestFit="1" customWidth="1"/>
    <col min="2" max="2" width="14.83203125" bestFit="1" customWidth="1"/>
  </cols>
  <sheetData>
    <row r="1" spans="1:2" x14ac:dyDescent="0.2">
      <c r="A1" t="s">
        <v>452</v>
      </c>
    </row>
    <row r="2" spans="1:2" x14ac:dyDescent="0.2">
      <c r="A2" t="s">
        <v>481</v>
      </c>
      <c r="B2" t="s">
        <v>482</v>
      </c>
    </row>
    <row r="3" spans="1:2" x14ac:dyDescent="0.2">
      <c r="A3" t="s">
        <v>234</v>
      </c>
      <c r="B3" s="171" t="e">
        <f>'Application Shares'!E13</f>
        <v>#DIV/0!</v>
      </c>
    </row>
    <row r="4" spans="1:2" x14ac:dyDescent="0.2">
      <c r="A4" t="s">
        <v>235</v>
      </c>
      <c r="B4" s="171" t="e">
        <f>'Application Shares'!E14</f>
        <v>#DIV/0!</v>
      </c>
    </row>
  </sheetData>
  <pageMargins left="0.75" right="0.75" top="1" bottom="1" header="0.5" footer="0.5"/>
  <pageSetup paperSize="9" orientation="portrait" horizontalDpi="4294967292" verticalDpi="429496729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theme="7" tint="0.39997558519241921"/>
  </sheetPr>
  <dimension ref="A1:C27"/>
  <sheetViews>
    <sheetView workbookViewId="0">
      <selection activeCell="B6" sqref="B6"/>
    </sheetView>
  </sheetViews>
  <sheetFormatPr baseColWidth="10" defaultRowHeight="16" x14ac:dyDescent="0.2"/>
  <cols>
    <col min="1" max="1" width="51.1640625" bestFit="1" customWidth="1"/>
    <col min="2" max="2" width="17" customWidth="1"/>
  </cols>
  <sheetData>
    <row r="1" spans="1:2" x14ac:dyDescent="0.2">
      <c r="A1" t="s">
        <v>453</v>
      </c>
    </row>
    <row r="2" spans="1:2" x14ac:dyDescent="0.2">
      <c r="A2" t="s">
        <v>481</v>
      </c>
      <c r="B2" t="s">
        <v>482</v>
      </c>
    </row>
    <row r="3" spans="1:2" x14ac:dyDescent="0.2">
      <c r="A3" t="s">
        <v>382</v>
      </c>
      <c r="B3" s="171" t="e">
        <f>'Application Shares'!E20</f>
        <v>#DIV/0!</v>
      </c>
    </row>
    <row r="4" spans="1:2" x14ac:dyDescent="0.2">
      <c r="A4" t="s">
        <v>238</v>
      </c>
      <c r="B4" s="171" t="e">
        <f>'Application Shares'!E19</f>
        <v>#DIV/0!</v>
      </c>
    </row>
    <row r="5" spans="1:2" x14ac:dyDescent="0.2">
      <c r="A5" t="s">
        <v>237</v>
      </c>
      <c r="B5" s="171" t="e">
        <f>'Application Shares'!E18</f>
        <v>#DIV/0!</v>
      </c>
    </row>
    <row r="6" spans="1:2" x14ac:dyDescent="0.2">
      <c r="A6" t="s">
        <v>236</v>
      </c>
      <c r="B6" s="171" t="e">
        <f>'Application Shares'!E17</f>
        <v>#DIV/0!</v>
      </c>
    </row>
    <row r="25" spans="3:3" x14ac:dyDescent="0.2">
      <c r="C25" s="131"/>
    </row>
    <row r="26" spans="3:3" x14ac:dyDescent="0.2">
      <c r="C26" s="131"/>
    </row>
    <row r="27" spans="3:3" x14ac:dyDescent="0.2">
      <c r="C27" s="131"/>
    </row>
  </sheetData>
  <pageMargins left="0.75" right="0.75" top="1" bottom="1" header="0.5" footer="0.5"/>
  <pageSetup paperSize="9" orientation="portrait" horizontalDpi="4294967292" verticalDpi="429496729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theme="7" tint="0.39997558519241921"/>
  </sheetPr>
  <dimension ref="A1:B5"/>
  <sheetViews>
    <sheetView workbookViewId="0">
      <selection activeCell="B5" sqref="B5"/>
    </sheetView>
  </sheetViews>
  <sheetFormatPr baseColWidth="10" defaultRowHeight="16" x14ac:dyDescent="0.2"/>
  <cols>
    <col min="1" max="1" width="50" bestFit="1" customWidth="1"/>
    <col min="2" max="2" width="14.83203125" bestFit="1" customWidth="1"/>
  </cols>
  <sheetData>
    <row r="1" spans="1:2" x14ac:dyDescent="0.2">
      <c r="A1" t="s">
        <v>467</v>
      </c>
    </row>
    <row r="2" spans="1:2" x14ac:dyDescent="0.2">
      <c r="A2" t="s">
        <v>481</v>
      </c>
      <c r="B2" t="s">
        <v>482</v>
      </c>
    </row>
    <row r="3" spans="1:2" x14ac:dyDescent="0.2">
      <c r="A3" t="s">
        <v>466</v>
      </c>
      <c r="B3" s="171" t="e">
        <f>'Application Shares'!E23</f>
        <v>#DIV/0!</v>
      </c>
    </row>
    <row r="4" spans="1:2" x14ac:dyDescent="0.2">
      <c r="A4" t="s">
        <v>468</v>
      </c>
      <c r="B4" s="171" t="e">
        <f>'Application Shares'!E24</f>
        <v>#DIV/0!</v>
      </c>
    </row>
    <row r="5" spans="1:2" x14ac:dyDescent="0.2">
      <c r="A5" t="s">
        <v>469</v>
      </c>
      <c r="B5" s="171" t="e">
        <f>'Application Shares'!E25</f>
        <v>#DIV/0!</v>
      </c>
    </row>
  </sheetData>
  <pageMargins left="0.75" right="0.75" top="1" bottom="1" header="0.5" footer="0.5"/>
  <pageSetup paperSize="9" orientation="portrait" horizontalDpi="4294967292" verticalDpi="429496729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theme="7" tint="0.39997558519241921"/>
  </sheetPr>
  <dimension ref="A1:B8"/>
  <sheetViews>
    <sheetView workbookViewId="0">
      <selection activeCell="B3" sqref="B3"/>
    </sheetView>
  </sheetViews>
  <sheetFormatPr baseColWidth="10" defaultRowHeight="16" x14ac:dyDescent="0.2"/>
  <cols>
    <col min="1" max="1" width="50" bestFit="1" customWidth="1"/>
    <col min="2" max="2" width="14.5" bestFit="1" customWidth="1"/>
  </cols>
  <sheetData>
    <row r="1" spans="1:2" x14ac:dyDescent="0.2">
      <c r="A1" t="s">
        <v>454</v>
      </c>
    </row>
    <row r="2" spans="1:2" x14ac:dyDescent="0.2">
      <c r="A2" t="s">
        <v>481</v>
      </c>
      <c r="B2" t="s">
        <v>482</v>
      </c>
    </row>
    <row r="3" spans="1:2" x14ac:dyDescent="0.2">
      <c r="A3" t="s">
        <v>242</v>
      </c>
      <c r="B3" s="171" t="e">
        <f>'Application Shares'!E33</f>
        <v>#DIV/0!</v>
      </c>
    </row>
    <row r="4" spans="1:2" x14ac:dyDescent="0.2">
      <c r="A4" t="s">
        <v>239</v>
      </c>
      <c r="B4" s="171" t="e">
        <f>'Application Shares'!E28</f>
        <v>#DIV/0!</v>
      </c>
    </row>
    <row r="5" spans="1:2" x14ac:dyDescent="0.2">
      <c r="A5" t="s">
        <v>240</v>
      </c>
      <c r="B5" s="171" t="e">
        <f>'Application Shares'!E29</f>
        <v>#DIV/0!</v>
      </c>
    </row>
    <row r="6" spans="1:2" x14ac:dyDescent="0.2">
      <c r="A6" t="s">
        <v>241</v>
      </c>
      <c r="B6" s="171" t="e">
        <f>'Application Shares'!E30</f>
        <v>#DIV/0!</v>
      </c>
    </row>
    <row r="7" spans="1:2" x14ac:dyDescent="0.2">
      <c r="A7" t="s">
        <v>243</v>
      </c>
      <c r="B7" s="171" t="e">
        <f>'Application Shares'!E31</f>
        <v>#DIV/0!</v>
      </c>
    </row>
    <row r="8" spans="1:2" x14ac:dyDescent="0.2">
      <c r="A8" t="s">
        <v>244</v>
      </c>
      <c r="B8" s="171" t="e">
        <f>'Application Shares'!E32</f>
        <v>#DIV/0!</v>
      </c>
    </row>
  </sheetData>
  <pageMargins left="0.75" right="0.75" top="1" bottom="1" header="0.5" footer="0.5"/>
  <pageSetup paperSize="9" orientation="portrait" horizontalDpi="4294967292" verticalDpi="429496729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theme="7" tint="0.39997558519241921"/>
  </sheetPr>
  <dimension ref="A1:C9"/>
  <sheetViews>
    <sheetView workbookViewId="0">
      <selection activeCell="B4" sqref="B4"/>
    </sheetView>
  </sheetViews>
  <sheetFormatPr baseColWidth="10" defaultRowHeight="16" x14ac:dyDescent="0.2"/>
  <cols>
    <col min="1" max="1" width="54.33203125" bestFit="1" customWidth="1"/>
    <col min="2" max="2" width="14.5" bestFit="1" customWidth="1"/>
  </cols>
  <sheetData>
    <row r="1" spans="1:3" x14ac:dyDescent="0.2">
      <c r="A1" t="s">
        <v>455</v>
      </c>
    </row>
    <row r="2" spans="1:3" x14ac:dyDescent="0.2">
      <c r="A2" t="s">
        <v>481</v>
      </c>
      <c r="B2" t="s">
        <v>482</v>
      </c>
    </row>
    <row r="3" spans="1:3" x14ac:dyDescent="0.2">
      <c r="A3" t="s">
        <v>246</v>
      </c>
      <c r="B3" s="171" t="e">
        <f>'Application Shares'!E37</f>
        <v>#DIV/0!</v>
      </c>
    </row>
    <row r="4" spans="1:3" x14ac:dyDescent="0.2">
      <c r="A4" t="s">
        <v>245</v>
      </c>
      <c r="B4" s="171" t="e">
        <f>'Application Shares'!E36</f>
        <v>#DIV/0!</v>
      </c>
    </row>
    <row r="9" spans="1:3" x14ac:dyDescent="0.2">
      <c r="C9" s="131"/>
    </row>
  </sheetData>
  <pageMargins left="0.75" right="0.75" top="1" bottom="1" header="0.5" footer="0.5"/>
  <pageSetup paperSize="9" orientation="portrait" horizontalDpi="4294967292" verticalDpi="429496729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theme="7" tint="0.39997558519241921"/>
  </sheetPr>
  <dimension ref="A1:B6"/>
  <sheetViews>
    <sheetView workbookViewId="0">
      <selection activeCell="F7" sqref="F7"/>
    </sheetView>
  </sheetViews>
  <sheetFormatPr baseColWidth="10" defaultRowHeight="16" x14ac:dyDescent="0.2"/>
  <cols>
    <col min="1" max="1" width="63.33203125" customWidth="1"/>
    <col min="2" max="2" width="14.83203125" bestFit="1" customWidth="1"/>
  </cols>
  <sheetData>
    <row r="1" spans="1:2" x14ac:dyDescent="0.2">
      <c r="A1" t="s">
        <v>456</v>
      </c>
    </row>
    <row r="2" spans="1:2" x14ac:dyDescent="0.2">
      <c r="A2" t="s">
        <v>481</v>
      </c>
      <c r="B2" t="s">
        <v>482</v>
      </c>
    </row>
    <row r="3" spans="1:2" x14ac:dyDescent="0.2">
      <c r="A3" t="s">
        <v>247</v>
      </c>
      <c r="B3" s="171" t="e">
        <f>'Technology Shares'!F32</f>
        <v>#DIV/0!</v>
      </c>
    </row>
    <row r="4" spans="1:2" x14ac:dyDescent="0.2">
      <c r="A4" t="s">
        <v>248</v>
      </c>
      <c r="B4" s="171" t="e">
        <f>'Technology Shares'!F33</f>
        <v>#DIV/0!</v>
      </c>
    </row>
    <row r="5" spans="1:2" x14ac:dyDescent="0.2">
      <c r="A5" t="s">
        <v>249</v>
      </c>
      <c r="B5" s="171" t="e">
        <f>'Technology Shares'!F34</f>
        <v>#DIV/0!</v>
      </c>
    </row>
    <row r="6" spans="1:2" x14ac:dyDescent="0.2">
      <c r="A6" t="s">
        <v>924</v>
      </c>
      <c r="B6" s="594">
        <v>0</v>
      </c>
    </row>
  </sheetData>
  <pageMargins left="0.75" right="0.75" top="1" bottom="1" header="0.5" footer="0.5"/>
  <pageSetup paperSize="9" orientation="portrait" horizontalDpi="4294967292" verticalDpi="429496729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theme="7" tint="0.39997558519241921"/>
  </sheetPr>
  <dimension ref="A1:B5"/>
  <sheetViews>
    <sheetView workbookViewId="0">
      <selection activeCell="A5" sqref="A5:XFD5"/>
    </sheetView>
  </sheetViews>
  <sheetFormatPr baseColWidth="10" defaultRowHeight="16" x14ac:dyDescent="0.2"/>
  <cols>
    <col min="1" max="1" width="60.6640625" bestFit="1" customWidth="1"/>
    <col min="2" max="2" width="14.83203125" bestFit="1" customWidth="1"/>
  </cols>
  <sheetData>
    <row r="1" spans="1:2" x14ac:dyDescent="0.2">
      <c r="A1" t="s">
        <v>457</v>
      </c>
    </row>
    <row r="2" spans="1:2" x14ac:dyDescent="0.2">
      <c r="A2" t="s">
        <v>481</v>
      </c>
      <c r="B2" t="s">
        <v>482</v>
      </c>
    </row>
    <row r="3" spans="1:2" x14ac:dyDescent="0.2">
      <c r="A3" t="s">
        <v>250</v>
      </c>
      <c r="B3" s="171" t="e">
        <f>'Technology Shares'!F9</f>
        <v>#DIV/0!</v>
      </c>
    </row>
    <row r="4" spans="1:2" x14ac:dyDescent="0.2">
      <c r="A4" t="s">
        <v>251</v>
      </c>
      <c r="B4" s="171" t="e">
        <f>'Technology Shares'!F10</f>
        <v>#DIV/0!</v>
      </c>
    </row>
    <row r="5" spans="1:2" x14ac:dyDescent="0.2">
      <c r="A5" t="s">
        <v>742</v>
      </c>
      <c r="B5" s="171" t="e">
        <f>'Technology Shares'!F11</f>
        <v>#DIV/0!</v>
      </c>
    </row>
  </sheetData>
  <pageMargins left="0.75" right="0.75" top="1" bottom="1" header="0.5" footer="0.5"/>
  <pageSetup paperSize="9" orientation="portrait" horizontalDpi="4294967292" verticalDpi="429496729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theme="7" tint="0.39997558519241921"/>
  </sheetPr>
  <dimension ref="A1:B7"/>
  <sheetViews>
    <sheetView workbookViewId="0">
      <selection activeCell="C3" sqref="C3"/>
    </sheetView>
  </sheetViews>
  <sheetFormatPr baseColWidth="10" defaultRowHeight="16" x14ac:dyDescent="0.2"/>
  <cols>
    <col min="1" max="1" width="97.1640625" bestFit="1" customWidth="1"/>
    <col min="2" max="2" width="14.83203125" bestFit="1" customWidth="1"/>
  </cols>
  <sheetData>
    <row r="1" spans="1:2" x14ac:dyDescent="0.2">
      <c r="A1" t="s">
        <v>458</v>
      </c>
    </row>
    <row r="2" spans="1:2" x14ac:dyDescent="0.2">
      <c r="A2" t="s">
        <v>481</v>
      </c>
      <c r="B2" t="s">
        <v>482</v>
      </c>
    </row>
    <row r="3" spans="1:2" x14ac:dyDescent="0.2">
      <c r="A3" t="s">
        <v>252</v>
      </c>
      <c r="B3" s="171" t="e">
        <f>'Technology Shares'!F13</f>
        <v>#DIV/0!</v>
      </c>
    </row>
    <row r="4" spans="1:2" x14ac:dyDescent="0.2">
      <c r="A4" t="s">
        <v>253</v>
      </c>
      <c r="B4" s="171" t="e">
        <f>'Technology Shares'!F14</f>
        <v>#DIV/0!</v>
      </c>
    </row>
    <row r="5" spans="1:2" x14ac:dyDescent="0.2">
      <c r="A5" t="s">
        <v>254</v>
      </c>
      <c r="B5" s="171" t="e">
        <f>'Technology Shares'!F15</f>
        <v>#DIV/0!</v>
      </c>
    </row>
    <row r="6" spans="1:2" x14ac:dyDescent="0.2">
      <c r="A6" t="s">
        <v>742</v>
      </c>
      <c r="B6" s="171" t="e">
        <f>'Technology Shares'!F16</f>
        <v>#DIV/0!</v>
      </c>
    </row>
    <row r="7" spans="1:2" x14ac:dyDescent="0.2">
      <c r="A7" t="s">
        <v>925</v>
      </c>
      <c r="B7" s="594">
        <v>0</v>
      </c>
    </row>
  </sheetData>
  <pageMargins left="0.75" right="0.75" top="1" bottom="1" header="0.5" footer="0.5"/>
  <pageSetup paperSize="9" orientation="portrait" horizontalDpi="4294967292" verticalDpi="429496729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tabColor theme="7" tint="0.39997558519241921"/>
  </sheetPr>
  <dimension ref="A1:C5"/>
  <sheetViews>
    <sheetView workbookViewId="0">
      <selection activeCell="A4" sqref="A4:XFD5"/>
    </sheetView>
  </sheetViews>
  <sheetFormatPr baseColWidth="10" defaultRowHeight="16" x14ac:dyDescent="0.2"/>
  <cols>
    <col min="1" max="1" width="64.6640625" customWidth="1"/>
    <col min="2" max="2" width="14.83203125" bestFit="1" customWidth="1"/>
  </cols>
  <sheetData>
    <row r="1" spans="1:3" x14ac:dyDescent="0.2">
      <c r="A1" t="s">
        <v>459</v>
      </c>
    </row>
    <row r="2" spans="1:3" x14ac:dyDescent="0.2">
      <c r="A2" t="s">
        <v>481</v>
      </c>
      <c r="B2" t="s">
        <v>482</v>
      </c>
    </row>
    <row r="3" spans="1:3" x14ac:dyDescent="0.2">
      <c r="A3" t="s">
        <v>255</v>
      </c>
      <c r="B3" s="171" t="e">
        <f>'Technology Shares'!F19</f>
        <v>#DIV/0!</v>
      </c>
      <c r="C3" s="131"/>
    </row>
    <row r="4" spans="1:3" x14ac:dyDescent="0.2">
      <c r="A4" t="s">
        <v>256</v>
      </c>
      <c r="B4" s="171" t="e">
        <f>'Technology Shares'!F20</f>
        <v>#DIV/0!</v>
      </c>
    </row>
    <row r="5" spans="1:3" x14ac:dyDescent="0.2">
      <c r="A5" t="s">
        <v>761</v>
      </c>
      <c r="B5" s="171" t="e">
        <f>'Technology Shares'!F21</f>
        <v>#DIV/0!</v>
      </c>
    </row>
  </sheetData>
  <pageMargins left="0.75" right="0.75" top="1" bottom="1" header="0.5" footer="0.5"/>
  <pageSetup paperSize="9" orientation="portrait" horizontalDpi="4294967292" verticalDpi="429496729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tabColor theme="7" tint="0.39997558519241921"/>
  </sheetPr>
  <dimension ref="A1:B7"/>
  <sheetViews>
    <sheetView workbookViewId="0">
      <selection activeCell="B7" sqref="B7"/>
    </sheetView>
  </sheetViews>
  <sheetFormatPr baseColWidth="10" defaultRowHeight="16" x14ac:dyDescent="0.2"/>
  <cols>
    <col min="1" max="1" width="73.33203125" customWidth="1"/>
    <col min="2" max="2" width="14.83203125" bestFit="1" customWidth="1"/>
  </cols>
  <sheetData>
    <row r="1" spans="1:2" x14ac:dyDescent="0.2">
      <c r="A1" s="96" t="s">
        <v>460</v>
      </c>
    </row>
    <row r="2" spans="1:2" x14ac:dyDescent="0.2">
      <c r="A2" s="96" t="s">
        <v>481</v>
      </c>
      <c r="B2" t="s">
        <v>482</v>
      </c>
    </row>
    <row r="3" spans="1:2" x14ac:dyDescent="0.2">
      <c r="A3" t="s">
        <v>257</v>
      </c>
      <c r="B3" s="171" t="e">
        <f>'Technology Shares'!F23</f>
        <v>#DIV/0!</v>
      </c>
    </row>
    <row r="4" spans="1:2" x14ac:dyDescent="0.2">
      <c r="A4" t="s">
        <v>258</v>
      </c>
      <c r="B4" s="171" t="e">
        <f>'Technology Shares'!F24</f>
        <v>#DIV/0!</v>
      </c>
    </row>
    <row r="5" spans="1:2" x14ac:dyDescent="0.2">
      <c r="A5" t="s">
        <v>259</v>
      </c>
      <c r="B5" s="171" t="e">
        <f>'Technology Shares'!F25</f>
        <v>#DIV/0!</v>
      </c>
    </row>
    <row r="6" spans="1:2" x14ac:dyDescent="0.2">
      <c r="A6" t="s">
        <v>761</v>
      </c>
      <c r="B6" s="171" t="e">
        <f>'Technology Shares'!F26</f>
        <v>#DIV/0!</v>
      </c>
    </row>
    <row r="7" spans="1:2" x14ac:dyDescent="0.2">
      <c r="A7" t="s">
        <v>926</v>
      </c>
      <c r="B7" s="594">
        <v>0</v>
      </c>
    </row>
  </sheetData>
  <pageMargins left="0.75" right="0.75" top="1" bottom="1" header="0.5" footer="0.5"/>
  <pageSetup paperSize="9" orientation="portrait" horizontalDpi="4294967292" verticalDpi="429496729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tabColor theme="7" tint="0.39997558519241921"/>
  </sheetPr>
  <dimension ref="A1:B5"/>
  <sheetViews>
    <sheetView workbookViewId="0">
      <selection activeCell="B5" sqref="B5"/>
    </sheetView>
  </sheetViews>
  <sheetFormatPr baseColWidth="10" defaultRowHeight="16" x14ac:dyDescent="0.2"/>
  <cols>
    <col min="1" max="1" width="75.5" customWidth="1"/>
    <col min="2" max="2" width="14.5" bestFit="1" customWidth="1"/>
  </cols>
  <sheetData>
    <row r="1" spans="1:2" x14ac:dyDescent="0.2">
      <c r="A1" t="s">
        <v>461</v>
      </c>
    </row>
    <row r="2" spans="1:2" x14ac:dyDescent="0.2">
      <c r="A2" t="s">
        <v>481</v>
      </c>
      <c r="B2" t="s">
        <v>482</v>
      </c>
    </row>
    <row r="3" spans="1:2" x14ac:dyDescent="0.2">
      <c r="A3" t="s">
        <v>260</v>
      </c>
      <c r="B3" s="171" t="e">
        <f>'Technology Shares'!F37</f>
        <v>#DIV/0!</v>
      </c>
    </row>
    <row r="4" spans="1:2" x14ac:dyDescent="0.2">
      <c r="A4" t="s">
        <v>261</v>
      </c>
      <c r="B4" s="171" t="e">
        <f>'Technology Shares'!F38</f>
        <v>#DIV/0!</v>
      </c>
    </row>
    <row r="5" spans="1:2" x14ac:dyDescent="0.2">
      <c r="A5" t="s">
        <v>262</v>
      </c>
      <c r="B5" s="171" t="e">
        <f>'Technology Shares'!F39</f>
        <v>#DIV/0!</v>
      </c>
    </row>
  </sheetData>
  <pageMargins left="0.75" right="0.75" top="1" bottom="1" header="0.5" footer="0.5"/>
  <pageSetup paperSize="9" orientation="portrait" horizontalDpi="4294967292" verticalDpi="429496729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tabColor theme="7" tint="0.39997558519241921"/>
  </sheetPr>
  <dimension ref="A1:B5"/>
  <sheetViews>
    <sheetView workbookViewId="0">
      <selection activeCell="B5" sqref="B5"/>
    </sheetView>
  </sheetViews>
  <sheetFormatPr baseColWidth="10" defaultRowHeight="16" x14ac:dyDescent="0.2"/>
  <cols>
    <col min="1" max="1" width="69.5" customWidth="1"/>
    <col min="2" max="2" width="14.83203125" bestFit="1" customWidth="1"/>
  </cols>
  <sheetData>
    <row r="1" spans="1:2" x14ac:dyDescent="0.2">
      <c r="A1" s="96" t="s">
        <v>462</v>
      </c>
    </row>
    <row r="2" spans="1:2" x14ac:dyDescent="0.2">
      <c r="A2" t="s">
        <v>481</v>
      </c>
      <c r="B2" t="s">
        <v>482</v>
      </c>
    </row>
    <row r="3" spans="1:2" x14ac:dyDescent="0.2">
      <c r="A3" t="s">
        <v>263</v>
      </c>
      <c r="B3" s="171" t="e">
        <f>'Technology Shares'!F43</f>
        <v>#DIV/0!</v>
      </c>
    </row>
    <row r="4" spans="1:2" x14ac:dyDescent="0.2">
      <c r="A4" t="s">
        <v>264</v>
      </c>
      <c r="B4" s="171" t="e">
        <f>'Technology Shares'!F44</f>
        <v>#DIV/0!</v>
      </c>
    </row>
    <row r="5" spans="1:2" x14ac:dyDescent="0.2">
      <c r="A5" t="s">
        <v>265</v>
      </c>
      <c r="B5" s="171" t="e">
        <f>'Technology Shares'!F45</f>
        <v>#DIV/0!</v>
      </c>
    </row>
  </sheetData>
  <pageMargins left="0.75" right="0.75" top="1" bottom="1" header="0.5" footer="0.5"/>
  <pageSetup paperSize="9" orientation="portrait" horizontalDpi="4294967292" verticalDpi="429496729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tabColor theme="7" tint="0.39997558519241921"/>
  </sheetPr>
  <dimension ref="A1:D10"/>
  <sheetViews>
    <sheetView workbookViewId="0">
      <selection activeCell="B10" sqref="B10"/>
    </sheetView>
  </sheetViews>
  <sheetFormatPr baseColWidth="10" defaultRowHeight="16" x14ac:dyDescent="0.2"/>
  <cols>
    <col min="1" max="1" width="78" customWidth="1"/>
    <col min="2" max="2" width="35.83203125" customWidth="1"/>
    <col min="3" max="3" width="70.33203125" bestFit="1" customWidth="1"/>
    <col min="4" max="4" width="17" bestFit="1" customWidth="1"/>
    <col min="5" max="5" width="14.5" bestFit="1" customWidth="1"/>
  </cols>
  <sheetData>
    <row r="1" spans="1:4" x14ac:dyDescent="0.2">
      <c r="A1" t="s">
        <v>463</v>
      </c>
    </row>
    <row r="2" spans="1:4" x14ac:dyDescent="0.2">
      <c r="A2" t="s">
        <v>481</v>
      </c>
      <c r="B2" t="s">
        <v>482</v>
      </c>
    </row>
    <row r="3" spans="1:4" x14ac:dyDescent="0.2">
      <c r="A3" t="s">
        <v>268</v>
      </c>
      <c r="B3" s="171">
        <f>'Technology Shares'!F49</f>
        <v>0</v>
      </c>
      <c r="D3" s="171"/>
    </row>
    <row r="4" spans="1:4" x14ac:dyDescent="0.2">
      <c r="A4" t="s">
        <v>269</v>
      </c>
      <c r="B4" s="171">
        <f>'Technology Shares'!F50</f>
        <v>0</v>
      </c>
      <c r="D4" s="171"/>
    </row>
    <row r="5" spans="1:4" x14ac:dyDescent="0.2">
      <c r="A5" t="s">
        <v>273</v>
      </c>
      <c r="B5" s="171">
        <f>'Technology Shares'!F51</f>
        <v>0</v>
      </c>
      <c r="D5" s="171"/>
    </row>
    <row r="6" spans="1:4" x14ac:dyDescent="0.2">
      <c r="A6" t="s">
        <v>266</v>
      </c>
      <c r="B6" s="171">
        <f>'Technology Shares'!F52</f>
        <v>0</v>
      </c>
      <c r="D6" s="171"/>
    </row>
    <row r="7" spans="1:4" x14ac:dyDescent="0.2">
      <c r="A7" t="s">
        <v>271</v>
      </c>
      <c r="B7" s="171">
        <f>'Technology Shares'!F53</f>
        <v>0</v>
      </c>
      <c r="D7" s="171"/>
    </row>
    <row r="8" spans="1:4" x14ac:dyDescent="0.2">
      <c r="A8" t="s">
        <v>267</v>
      </c>
      <c r="B8" s="171">
        <f>'Technology Shares'!F54</f>
        <v>0</v>
      </c>
      <c r="D8" s="171"/>
    </row>
    <row r="9" spans="1:4" x14ac:dyDescent="0.2">
      <c r="A9" t="s">
        <v>272</v>
      </c>
      <c r="B9" s="171">
        <f>'Technology Shares'!F55</f>
        <v>0</v>
      </c>
      <c r="D9" s="171"/>
    </row>
    <row r="10" spans="1:4" x14ac:dyDescent="0.2">
      <c r="A10" t="s">
        <v>270</v>
      </c>
      <c r="B10" s="171">
        <f>'Technology Shares'!F56</f>
        <v>1</v>
      </c>
      <c r="D10" s="171"/>
    </row>
  </sheetData>
  <pageMargins left="0.75" right="0.75" top="1" bottom="1" header="0.5" footer="0.5"/>
  <pageSetup paperSize="9" orientation="portrait" horizontalDpi="4294967292" verticalDpi="429496729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36">
    <tabColor theme="7" tint="0.39997558519241921"/>
  </sheetPr>
  <dimension ref="A1:B43"/>
  <sheetViews>
    <sheetView workbookViewId="0">
      <selection activeCell="F38" sqref="F38"/>
    </sheetView>
  </sheetViews>
  <sheetFormatPr baseColWidth="10" defaultRowHeight="16" x14ac:dyDescent="0.2"/>
  <cols>
    <col min="1" max="1" width="82.33203125" bestFit="1" customWidth="1"/>
  </cols>
  <sheetData>
    <row r="1" spans="1:2" x14ac:dyDescent="0.2">
      <c r="A1" t="s">
        <v>732</v>
      </c>
    </row>
    <row r="2" spans="1:2" x14ac:dyDescent="0.2">
      <c r="A2" t="s">
        <v>481</v>
      </c>
      <c r="B2" t="s">
        <v>733</v>
      </c>
    </row>
    <row r="3" spans="1:2" x14ac:dyDescent="0.2">
      <c r="A3" t="s">
        <v>923</v>
      </c>
      <c r="B3" s="593">
        <f>Dashboard!E87</f>
        <v>0</v>
      </c>
    </row>
    <row r="4" spans="1:2" x14ac:dyDescent="0.2">
      <c r="A4" t="s">
        <v>881</v>
      </c>
      <c r="B4">
        <f>Dashboard!E90</f>
        <v>0</v>
      </c>
    </row>
    <row r="5" spans="1:2" x14ac:dyDescent="0.2">
      <c r="A5" t="s">
        <v>882</v>
      </c>
      <c r="B5">
        <f>Dashboard!E91</f>
        <v>0</v>
      </c>
    </row>
    <row r="6" spans="1:2" x14ac:dyDescent="0.2">
      <c r="A6" t="s">
        <v>883</v>
      </c>
      <c r="B6">
        <f>Dashboard!E92</f>
        <v>0</v>
      </c>
    </row>
    <row r="7" spans="1:2" x14ac:dyDescent="0.2">
      <c r="A7" t="s">
        <v>884</v>
      </c>
      <c r="B7">
        <f>Dashboard!E93</f>
        <v>0</v>
      </c>
    </row>
    <row r="8" spans="1:2" x14ac:dyDescent="0.2">
      <c r="A8" t="s">
        <v>885</v>
      </c>
      <c r="B8">
        <f>Dashboard!E94</f>
        <v>0</v>
      </c>
    </row>
    <row r="9" spans="1:2" x14ac:dyDescent="0.2">
      <c r="A9" t="s">
        <v>886</v>
      </c>
      <c r="B9">
        <f>Dashboard!E95</f>
        <v>0</v>
      </c>
    </row>
    <row r="10" spans="1:2" x14ac:dyDescent="0.2">
      <c r="A10" t="s">
        <v>887</v>
      </c>
      <c r="B10">
        <f>Dashboard!E96</f>
        <v>0</v>
      </c>
    </row>
    <row r="11" spans="1:2" x14ac:dyDescent="0.2">
      <c r="A11" t="s">
        <v>888</v>
      </c>
      <c r="B11">
        <f>Dashboard!E97</f>
        <v>0</v>
      </c>
    </row>
    <row r="12" spans="1:2" x14ac:dyDescent="0.2">
      <c r="A12" t="s">
        <v>889</v>
      </c>
      <c r="B12">
        <f>Dashboard!E98</f>
        <v>0</v>
      </c>
    </row>
    <row r="13" spans="1:2" x14ac:dyDescent="0.2">
      <c r="A13" t="s">
        <v>890</v>
      </c>
      <c r="B13">
        <f>Dashboard!E99</f>
        <v>0</v>
      </c>
    </row>
    <row r="14" spans="1:2" x14ac:dyDescent="0.2">
      <c r="A14" t="s">
        <v>891</v>
      </c>
      <c r="B14">
        <f>Dashboard!E100</f>
        <v>0</v>
      </c>
    </row>
    <row r="15" spans="1:2" x14ac:dyDescent="0.2">
      <c r="A15" t="s">
        <v>892</v>
      </c>
      <c r="B15">
        <f>Dashboard!E101</f>
        <v>0</v>
      </c>
    </row>
    <row r="16" spans="1:2" x14ac:dyDescent="0.2">
      <c r="A16" t="s">
        <v>893</v>
      </c>
      <c r="B16">
        <f>Dashboard!E102</f>
        <v>0</v>
      </c>
    </row>
    <row r="17" spans="1:2" x14ac:dyDescent="0.2">
      <c r="A17" t="s">
        <v>894</v>
      </c>
      <c r="B17">
        <f>Dashboard!E103</f>
        <v>0</v>
      </c>
    </row>
    <row r="18" spans="1:2" x14ac:dyDescent="0.2">
      <c r="A18" t="s">
        <v>895</v>
      </c>
      <c r="B18">
        <f>Dashboard!E104</f>
        <v>0</v>
      </c>
    </row>
    <row r="19" spans="1:2" x14ac:dyDescent="0.2">
      <c r="A19" t="s">
        <v>896</v>
      </c>
      <c r="B19">
        <f>Dashboard!E105</f>
        <v>0</v>
      </c>
    </row>
    <row r="20" spans="1:2" x14ac:dyDescent="0.2">
      <c r="A20" t="s">
        <v>897</v>
      </c>
      <c r="B20">
        <f>Dashboard!E106</f>
        <v>0</v>
      </c>
    </row>
    <row r="21" spans="1:2" x14ac:dyDescent="0.2">
      <c r="A21" t="s">
        <v>898</v>
      </c>
      <c r="B21">
        <f>Dashboard!E107</f>
        <v>0</v>
      </c>
    </row>
    <row r="22" spans="1:2" x14ac:dyDescent="0.2">
      <c r="A22" t="s">
        <v>899</v>
      </c>
      <c r="B22">
        <f>Dashboard!E108</f>
        <v>0</v>
      </c>
    </row>
    <row r="23" spans="1:2" x14ac:dyDescent="0.2">
      <c r="A23" t="s">
        <v>900</v>
      </c>
      <c r="B23">
        <f>Dashboard!E109</f>
        <v>0</v>
      </c>
    </row>
    <row r="24" spans="1:2" x14ac:dyDescent="0.2">
      <c r="A24" t="s">
        <v>901</v>
      </c>
      <c r="B24">
        <f>Dashboard!E113</f>
        <v>0</v>
      </c>
    </row>
    <row r="25" spans="1:2" x14ac:dyDescent="0.2">
      <c r="A25" t="s">
        <v>902</v>
      </c>
      <c r="B25">
        <f>Dashboard!E114</f>
        <v>0</v>
      </c>
    </row>
    <row r="26" spans="1:2" x14ac:dyDescent="0.2">
      <c r="A26" t="s">
        <v>903</v>
      </c>
      <c r="B26">
        <f>Dashboard!E115</f>
        <v>0</v>
      </c>
    </row>
    <row r="27" spans="1:2" x14ac:dyDescent="0.2">
      <c r="A27" t="s">
        <v>904</v>
      </c>
      <c r="B27">
        <f>Dashboard!E116</f>
        <v>0</v>
      </c>
    </row>
    <row r="28" spans="1:2" x14ac:dyDescent="0.2">
      <c r="A28" t="s">
        <v>905</v>
      </c>
      <c r="B28">
        <f>Dashboard!E117</f>
        <v>0</v>
      </c>
    </row>
    <row r="29" spans="1:2" x14ac:dyDescent="0.2">
      <c r="A29" t="s">
        <v>906</v>
      </c>
      <c r="B29">
        <f>Dashboard!E118</f>
        <v>0</v>
      </c>
    </row>
    <row r="30" spans="1:2" x14ac:dyDescent="0.2">
      <c r="A30" t="s">
        <v>907</v>
      </c>
      <c r="B30">
        <f>Dashboard!E119</f>
        <v>0</v>
      </c>
    </row>
    <row r="31" spans="1:2" x14ac:dyDescent="0.2">
      <c r="A31" t="s">
        <v>908</v>
      </c>
      <c r="B31">
        <f>Dashboard!E120</f>
        <v>0</v>
      </c>
    </row>
    <row r="32" spans="1:2" x14ac:dyDescent="0.2">
      <c r="A32" t="s">
        <v>909</v>
      </c>
      <c r="B32">
        <f>Dashboard!E121</f>
        <v>0</v>
      </c>
    </row>
    <row r="33" spans="1:2" x14ac:dyDescent="0.2">
      <c r="A33" t="s">
        <v>910</v>
      </c>
      <c r="B33">
        <f>Dashboard!E122</f>
        <v>0</v>
      </c>
    </row>
    <row r="34" spans="1:2" x14ac:dyDescent="0.2">
      <c r="A34" t="s">
        <v>911</v>
      </c>
      <c r="B34">
        <f>Dashboard!E123</f>
        <v>0</v>
      </c>
    </row>
    <row r="35" spans="1:2" x14ac:dyDescent="0.2">
      <c r="A35" t="s">
        <v>912</v>
      </c>
      <c r="B35">
        <f>Dashboard!E124</f>
        <v>0</v>
      </c>
    </row>
    <row r="36" spans="1:2" x14ac:dyDescent="0.2">
      <c r="A36" t="s">
        <v>913</v>
      </c>
      <c r="B36">
        <f>Dashboard!E125</f>
        <v>0</v>
      </c>
    </row>
    <row r="37" spans="1:2" x14ac:dyDescent="0.2">
      <c r="A37" t="s">
        <v>914</v>
      </c>
      <c r="B37">
        <f>Dashboard!E126</f>
        <v>0</v>
      </c>
    </row>
    <row r="38" spans="1:2" x14ac:dyDescent="0.2">
      <c r="A38" t="s">
        <v>915</v>
      </c>
      <c r="B38">
        <f>Dashboard!E127</f>
        <v>0</v>
      </c>
    </row>
    <row r="39" spans="1:2" x14ac:dyDescent="0.2">
      <c r="A39" t="s">
        <v>916</v>
      </c>
      <c r="B39">
        <f>Dashboard!E128</f>
        <v>0</v>
      </c>
    </row>
    <row r="40" spans="1:2" x14ac:dyDescent="0.2">
      <c r="A40" t="s">
        <v>917</v>
      </c>
      <c r="B40">
        <f>Dashboard!E129</f>
        <v>0</v>
      </c>
    </row>
    <row r="41" spans="1:2" x14ac:dyDescent="0.2">
      <c r="A41" t="s">
        <v>918</v>
      </c>
      <c r="B41">
        <f>Dashboard!E130</f>
        <v>0</v>
      </c>
    </row>
    <row r="42" spans="1:2" x14ac:dyDescent="0.2">
      <c r="A42" t="s">
        <v>919</v>
      </c>
      <c r="B42">
        <f>Dashboard!E131</f>
        <v>0</v>
      </c>
    </row>
    <row r="43" spans="1:2" x14ac:dyDescent="0.2">
      <c r="A43" t="s">
        <v>920</v>
      </c>
      <c r="B43">
        <f>Dashboard!E132</f>
        <v>0</v>
      </c>
    </row>
  </sheetData>
  <pageMargins left="0.75" right="0.75" top="1" bottom="1" header="0.5" footer="0.5"/>
  <pageSetup paperSize="9" orientation="portrait" horizontalDpi="4294967292" verticalDpi="429496729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D1CF6-DD57-B342-AD5F-E1379680EA60}">
  <sheetPr>
    <tabColor theme="7" tint="0.39997558519241921"/>
  </sheetPr>
  <dimension ref="A1:B5"/>
  <sheetViews>
    <sheetView workbookViewId="0">
      <selection activeCell="B5" sqref="B5"/>
    </sheetView>
  </sheetViews>
  <sheetFormatPr baseColWidth="10" defaultRowHeight="16" x14ac:dyDescent="0.2"/>
  <cols>
    <col min="1" max="1" width="38.83203125" customWidth="1"/>
    <col min="2" max="2" width="22" customWidth="1"/>
  </cols>
  <sheetData>
    <row r="1" spans="1:2" x14ac:dyDescent="0.2">
      <c r="A1" t="s">
        <v>779</v>
      </c>
    </row>
    <row r="2" spans="1:2" x14ac:dyDescent="0.2">
      <c r="A2" t="s">
        <v>481</v>
      </c>
      <c r="B2" t="s">
        <v>482</v>
      </c>
    </row>
    <row r="3" spans="1:2" x14ac:dyDescent="0.2">
      <c r="A3" t="s">
        <v>745</v>
      </c>
      <c r="B3">
        <f>IFERROR('HHP input shares'!I9,0.187)</f>
        <v>0.187</v>
      </c>
    </row>
    <row r="4" spans="1:2" x14ac:dyDescent="0.2">
      <c r="A4" t="s">
        <v>659</v>
      </c>
      <c r="B4">
        <f>IFERROR('HHP input shares'!I10,0.18)</f>
        <v>0.18</v>
      </c>
    </row>
    <row r="5" spans="1:2" x14ac:dyDescent="0.2">
      <c r="A5" t="s">
        <v>776</v>
      </c>
      <c r="B5">
        <f>1-B4-B3</f>
        <v>0.63300000000000001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4EA2C-96F4-5F4F-8A0B-229EC013E8C4}">
  <sheetPr>
    <tabColor theme="7" tint="0.39997558519241921"/>
  </sheetPr>
  <dimension ref="A1:B5"/>
  <sheetViews>
    <sheetView workbookViewId="0">
      <selection activeCell="B6" sqref="B6"/>
    </sheetView>
  </sheetViews>
  <sheetFormatPr baseColWidth="10" defaultRowHeight="16" x14ac:dyDescent="0.2"/>
  <cols>
    <col min="1" max="1" width="43.1640625" customWidth="1"/>
  </cols>
  <sheetData>
    <row r="1" spans="1:2" x14ac:dyDescent="0.2">
      <c r="A1" t="s">
        <v>780</v>
      </c>
    </row>
    <row r="2" spans="1:2" x14ac:dyDescent="0.2">
      <c r="A2" t="s">
        <v>481</v>
      </c>
      <c r="B2" t="s">
        <v>482</v>
      </c>
    </row>
    <row r="3" spans="1:2" x14ac:dyDescent="0.2">
      <c r="A3" t="s">
        <v>745</v>
      </c>
      <c r="B3">
        <f>IFERROR('HHP input shares'!I14,0.33)</f>
        <v>0.33</v>
      </c>
    </row>
    <row r="4" spans="1:2" x14ac:dyDescent="0.2">
      <c r="A4" t="s">
        <v>659</v>
      </c>
      <c r="B4">
        <f>IFERROR('HHP input shares'!I15,0.22)</f>
        <v>0.22</v>
      </c>
    </row>
    <row r="5" spans="1:2" x14ac:dyDescent="0.2">
      <c r="A5" t="s">
        <v>776</v>
      </c>
      <c r="B5">
        <f>1-B4-B3</f>
        <v>0.45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51</vt:i4>
      </vt:variant>
    </vt:vector>
  </HeadingPairs>
  <TitlesOfParts>
    <vt:vector size="84" baseType="lpstr">
      <vt:lpstr>Cover Sheet</vt:lpstr>
      <vt:lpstr>Changelog</vt:lpstr>
      <vt:lpstr>Contents</vt:lpstr>
      <vt:lpstr>Introduction</vt:lpstr>
      <vt:lpstr>Dataflow</vt:lpstr>
      <vt:lpstr>Assumptions</vt:lpstr>
      <vt:lpstr>Dashboard</vt:lpstr>
      <vt:lpstr>Corrected energy balance step 2</vt:lpstr>
      <vt:lpstr>technical_specs</vt:lpstr>
      <vt:lpstr>Application Shares</vt:lpstr>
      <vt:lpstr>Technology Shares</vt:lpstr>
      <vt:lpstr>Final demand per energy carrier</vt:lpstr>
      <vt:lpstr>Technology split final demand</vt:lpstr>
      <vt:lpstr>Fuel aggregation</vt:lpstr>
      <vt:lpstr>HHP input shares</vt:lpstr>
      <vt:lpstr>Useful-final demand percentage</vt:lpstr>
      <vt:lpstr>csv_final_demand_coal</vt:lpstr>
      <vt:lpstr>csv_final_demand_crude_oil</vt:lpstr>
      <vt:lpstr>csv_final_demand_network_gas</vt:lpstr>
      <vt:lpstr>csv_final_demand_woodpellets</vt:lpstr>
      <vt:lpstr>csv_final_demand_electricity</vt:lpstr>
      <vt:lpstr>csv_final_demand_steam</vt:lpstr>
      <vt:lpstr>csv_cooling_electricity</vt:lpstr>
      <vt:lpstr>csv_heating_network_gas</vt:lpstr>
      <vt:lpstr>csv_heating_electricity</vt:lpstr>
      <vt:lpstr>csv_water_network_gas</vt:lpstr>
      <vt:lpstr>csv_water_electricity</vt:lpstr>
      <vt:lpstr>csv_cooking_electricity</vt:lpstr>
      <vt:lpstr>csv_lighting_electricity</vt:lpstr>
      <vt:lpstr>csv_appliances_electricity</vt:lpstr>
      <vt:lpstr>csv_export_to_area_analysis</vt:lpstr>
      <vt:lpstr>csv_heating_hhp_efficiencies</vt:lpstr>
      <vt:lpstr>csv_hot_water_hhp_efficiencies</vt:lpstr>
      <vt:lpstr>base_year</vt:lpstr>
      <vt:lpstr>country</vt:lpstr>
      <vt:lpstr>Eff_cooking_biomass</vt:lpstr>
      <vt:lpstr>Eff_cooking_electric</vt:lpstr>
      <vt:lpstr>Eff_cooking_gas</vt:lpstr>
      <vt:lpstr>Eff_cooking_halogen</vt:lpstr>
      <vt:lpstr>Eff_cooking_induction</vt:lpstr>
      <vt:lpstr>Eff_cooling_airco</vt:lpstr>
      <vt:lpstr>Eff_cooling_pump_air</vt:lpstr>
      <vt:lpstr>Eff_cooling_pump_ground</vt:lpstr>
      <vt:lpstr>Eff_hot_water_coal</vt:lpstr>
      <vt:lpstr>Eff_hot_water_combi_boiler</vt:lpstr>
      <vt:lpstr>Eff_hot_water_district</vt:lpstr>
      <vt:lpstr>Eff_hot_water_electric</vt:lpstr>
      <vt:lpstr>Eff_hot_water_gas</vt:lpstr>
      <vt:lpstr>Eff_hot_water_hhp_gas</vt:lpstr>
      <vt:lpstr>Eff_hot_water_hhp_heatpump</vt:lpstr>
      <vt:lpstr>Eff_hot_water_oil</vt:lpstr>
      <vt:lpstr>Eff_hot_water_pump_air</vt:lpstr>
      <vt:lpstr>Eff_hot_water_pump_ground</vt:lpstr>
      <vt:lpstr>Eff_hot_water_woodpellets</vt:lpstr>
      <vt:lpstr>Eff_lighting_fluorescent</vt:lpstr>
      <vt:lpstr>Eff_lighting_incandescent</vt:lpstr>
      <vt:lpstr>Eff_lighting_led</vt:lpstr>
      <vt:lpstr>Eff_space_heating_coal</vt:lpstr>
      <vt:lpstr>Eff_space_heating_combi_boiler</vt:lpstr>
      <vt:lpstr>Eff_space_heating_district</vt:lpstr>
      <vt:lpstr>Eff_space_heating_electric</vt:lpstr>
      <vt:lpstr>Eff_space_heating_gas</vt:lpstr>
      <vt:lpstr>Eff_space_heating_hhp_gas</vt:lpstr>
      <vt:lpstr>Eff_space_heating_hhp_heatpump</vt:lpstr>
      <vt:lpstr>Eff_space_heating_oil</vt:lpstr>
      <vt:lpstr>Eff_space_heating_pump_add_on</vt:lpstr>
      <vt:lpstr>Eff_space_heating_pump_air</vt:lpstr>
      <vt:lpstr>Eff_space_heating_pump_ground</vt:lpstr>
      <vt:lpstr>Eff_space_heating_woodpellets</vt:lpstr>
      <vt:lpstr>Final_demand_appliances</vt:lpstr>
      <vt:lpstr>Final_demand_coal</vt:lpstr>
      <vt:lpstr>Final_demand_cooking</vt:lpstr>
      <vt:lpstr>Final_demand_cooling</vt:lpstr>
      <vt:lpstr>Final_demand_electricity</vt:lpstr>
      <vt:lpstr>Final_demand_gas</vt:lpstr>
      <vt:lpstr>Final_demand_heat</vt:lpstr>
      <vt:lpstr>Final_demand_hot_water</vt:lpstr>
      <vt:lpstr>Final_demand_lighting</vt:lpstr>
      <vt:lpstr>Final_demand_oil</vt:lpstr>
      <vt:lpstr>Final_demand_other</vt:lpstr>
      <vt:lpstr>Final_demand_residences</vt:lpstr>
      <vt:lpstr>Final_demand_solar_thermal</vt:lpstr>
      <vt:lpstr>Final_demand_space_heating</vt:lpstr>
      <vt:lpstr>Final_demand_woodpellets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Quintel Intelligence</dc:creator>
  <cp:lastModifiedBy>Mathijs Bijkerk</cp:lastModifiedBy>
  <dcterms:created xsi:type="dcterms:W3CDTF">2013-06-25T11:11:29Z</dcterms:created>
  <dcterms:modified xsi:type="dcterms:W3CDTF">2026-08-19T15:05:42Z</dcterms:modified>
</cp:coreProperties>
</file>