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4"/>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analyses/"/>
    </mc:Choice>
  </mc:AlternateContent>
  <xr:revisionPtr revIDLastSave="0" documentId="13_ncr:1_{8B0E0E46-9C94-C540-96A7-F4A05EB25D78}" xr6:coauthVersionLast="47" xr6:coauthVersionMax="47" xr10:uidLastSave="{00000000-0000-0000-0000-000000000000}"/>
  <bookViews>
    <workbookView xWindow="-10380" yWindow="-28300" windowWidth="51200" windowHeight="27340" tabRatio="902" activeTab="6" xr2:uid="{00000000-000D-0000-FFFF-FFFF00000000}"/>
  </bookViews>
  <sheets>
    <sheet name="Cover sheet" sheetId="1" r:id="rId1"/>
    <sheet name="Changelog" sheetId="43" r:id="rId2"/>
    <sheet name="Contents" sheetId="22" r:id="rId3"/>
    <sheet name="Introduction" sheetId="2" r:id="rId4"/>
    <sheet name="Dataflow" sheetId="48" r:id="rId5"/>
    <sheet name="Assumptions" sheetId="23" r:id="rId6"/>
    <sheet name="Dashboard" sheetId="3" r:id="rId7"/>
    <sheet name="Corrected energy balance step 1" sheetId="17" r:id="rId8"/>
    <sheet name="autoproducer prod." sheetId="58" r:id="rId9"/>
    <sheet name="Production table step 1" sheetId="53" r:id="rId10"/>
    <sheet name="all_technical_specs" sheetId="19" r:id="rId11"/>
    <sheet name="technical_specs" sheetId="96" r:id="rId12"/>
    <sheet name="Results by fuel" sheetId="46" r:id="rId13"/>
    <sheet name="Results by machine" sheetId="40" r:id="rId14"/>
    <sheet name="Delta energy balance" sheetId="25" r:id="rId15"/>
    <sheet name="Corrected energy balance step 2" sheetId="5" r:id="rId16"/>
    <sheet name="CEB allocation" sheetId="16" r:id="rId17"/>
    <sheet name="Main activity power plants" sheetId="50" r:id="rId18"/>
    <sheet name="Main activity heat plants" sheetId="34" r:id="rId19"/>
    <sheet name="Co-fueling shares" sheetId="47" r:id="rId20"/>
    <sheet name="PV solar" sheetId="59" r:id="rId21"/>
    <sheet name="Fuel aggregation PP" sheetId="49" r:id="rId22"/>
    <sheet name="Fuel aggregation HP" sheetId="6" r:id="rId23"/>
    <sheet name="Oil aggregation CHP" sheetId="94" r:id="rId24"/>
    <sheet name="Mobile machinery" sheetId="97" r:id="rId25"/>
    <sheet name="Fuel aggregation matrix" sheetId="60" r:id="rId26"/>
    <sheet name="csv_corrected_energy_balance_2" sheetId="20" r:id="rId27"/>
    <sheet name="csv_central_producers" sheetId="24" r:id="rId28"/>
    <sheet name="csv_energy_hydrogen_solar_pv_ps" sheetId="92" r:id="rId29"/>
    <sheet name="csv_energy_mixer_for_gas_cs" sheetId="93" r:id="rId30"/>
  </sheets>
  <externalReferences>
    <externalReference r:id="rId31"/>
    <externalReference r:id="rId32"/>
    <externalReference r:id="rId33"/>
    <externalReference r:id="rId34"/>
    <externalReference r:id="rId35"/>
  </externalReferences>
  <definedNames>
    <definedName name="_xlnm._FilterDatabase" localSheetId="6" hidden="1">Dashboard!$K$249:$L$261</definedName>
    <definedName name="ap_subfuel_allo" localSheetId="8">'[1]CEB allocation'!$F$12:$BC$12</definedName>
    <definedName name="ap_subfuel_allo" localSheetId="4">'[2]CEB allocation'!$F$12:$BC$12</definedName>
    <definedName name="ap_subfuel_allo">'[3]CEB allocation'!$F$12:$BC$12</definedName>
    <definedName name="base_year" localSheetId="24">[4]Dashboard!$E$13</definedName>
    <definedName name="base_year" localSheetId="23">[4]Dashboard!$E$13</definedName>
    <definedName name="base_year">Dashboard!$E$13</definedName>
    <definedName name="BKB_plants">'[4]CEB allocation factors step 1'!$D$55</definedName>
    <definedName name="BKB_plants_carriers">'[4]CEB allocation factors step 1'!$F$17:$AT$17</definedName>
    <definedName name="blast_furnaces">'[4]CEB allocation factors step 1'!$D$50</definedName>
    <definedName name="blast_furnaces_carriers">'[4]CEB allocation factors step 1'!$F$12:$AT$12</definedName>
    <definedName name="charcoal_production_plants">'[4]CEB allocation factors step 1'!$D$63</definedName>
    <definedName name="charcoal_production_plants_carriers">'[4]CEB allocation factors step 1'!$F$25:$AT$25</definedName>
    <definedName name="chemical_and_petrochemical">'[4]CEB allocation factors step 1'!$D$69</definedName>
    <definedName name="chemical_and_petrochemical_carriers">'[4]CEB allocation factors step 1'!$F$31:$BC$31</definedName>
    <definedName name="coal_liquefaction_plants">'[4]CEB allocation factors step 1'!$D$57</definedName>
    <definedName name="coal_liquefaction_plants_carriers">'[4]CEB allocation factors step 1'!$F$19:$AT$19</definedName>
    <definedName name="coal_mines">'[4]CEB allocation factors step 1'!$D$48</definedName>
    <definedName name="coal_mines_carriers">'[4]CEB allocation factors step 1'!$F$10:$AT$10</definedName>
    <definedName name="coke_ovens">'[4]CEB allocation factors step 1'!$D$53</definedName>
    <definedName name="coke_ovens_carriers">'[4]CEB allocation factors step 1'!$F$15:$AT$15</definedName>
    <definedName name="construction">'[4]CEB allocation factors step 1'!$D$78</definedName>
    <definedName name="construction_carriers">'[4]CEB allocation factors step 1'!$F$40:$BC$40</definedName>
    <definedName name="country" localSheetId="24">[4]Dashboard!$E$12</definedName>
    <definedName name="country" localSheetId="23">[4]Dashboard!$E$12</definedName>
    <definedName name="country">Dashboard!$E$12</definedName>
    <definedName name="ei_subsector_allo" localSheetId="8">'[1]CEB allocation'!$D$17:$D$33</definedName>
    <definedName name="ei_subsector_allo" localSheetId="4">'[2]CEB allocation'!$D$17:$D$33</definedName>
    <definedName name="ei_subsector_allo" localSheetId="21">'CEB allocation'!#REF!</definedName>
    <definedName name="ei_subsector_allo" localSheetId="17">'CEB allocation'!#REF!</definedName>
    <definedName name="ei_subsector_allo" localSheetId="24">'[4]CEB allocation factors step 2'!#REF!</definedName>
    <definedName name="ei_subsector_allo" localSheetId="23">'[4]CEB allocation factors step 2'!#REF!</definedName>
    <definedName name="ei_subsector_allo">'[3]CEB allocation'!$D$17:$D$33</definedName>
    <definedName name="food">'[4]CEB allocation factors step 1'!$D$75</definedName>
    <definedName name="food_carriers">'[4]CEB allocation factors step 1'!$F$37:$BC$37</definedName>
    <definedName name="gas_to_liquids_plants">'[4]CEB allocation factors step 1'!$D$59</definedName>
    <definedName name="gas_to_liquids_plants_carriers">'[4]CEB allocation factors step 1'!$F$21:$AT$21</definedName>
    <definedName name="gas_works">'[4]CEB allocation factors step 1'!$D$51</definedName>
    <definedName name="gas_works_carriers">'[4]CEB allocation factors step 1'!$F$13:$AT$13</definedName>
    <definedName name="gasification_plants">'[4]CEB allocation factors step 1'!$D$52</definedName>
    <definedName name="gasification_plants_carriers">'[4]CEB allocation factors step 1'!$F$14:$AT$14</definedName>
    <definedName name="i_subsector_allo" localSheetId="8">'[1]CEB allocation'!$D$37:$D$49</definedName>
    <definedName name="i_subsector_allo" localSheetId="4">'[2]CEB allocation'!$D$37:$D$49</definedName>
    <definedName name="i_subsector_allo" localSheetId="21">'CEB allocation'!#REF!</definedName>
    <definedName name="i_subsector_allo" localSheetId="17">'CEB allocation'!#REF!</definedName>
    <definedName name="i_subsector_allo" localSheetId="24">'[4]CEB allocation factors step 2'!#REF!</definedName>
    <definedName name="i_subsector_allo" localSheetId="23">'[4]CEB allocation factors step 2'!#REF!</definedName>
    <definedName name="i_subsector_allo">'[3]CEB allocation'!$D$37:$D$49</definedName>
    <definedName name="iron_and_steel">'[4]CEB allocation factors step 1'!$D$68</definedName>
    <definedName name="iron_and_steel_carriers">'[4]CEB allocation factors step 1'!$F$30:$BC$30</definedName>
    <definedName name="kWh_MJ_conversion" localSheetId="8">[1]Assumptions!$C$177</definedName>
    <definedName name="kWh_MJ_conversion" localSheetId="4">[2]Assumptions!$C$176</definedName>
    <definedName name="kWh_MJ_conversion" localSheetId="24">[4]Assumptions!$C$173</definedName>
    <definedName name="kWh_MJ_conversion" localSheetId="23">[4]Assumptions!$C$173</definedName>
    <definedName name="kWh_MJ_conversion">Assumptions!$C$126</definedName>
    <definedName name="Liquefaction_regasification_plants">'[4]CEB allocation factors step 1'!$D$58</definedName>
    <definedName name="Liquefaction_regasification_plants_carriers">'[4]CEB allocation factors step 1'!$F$20:$AT$20</definedName>
    <definedName name="machinery">'[4]CEB allocation factors step 1'!$D$73</definedName>
    <definedName name="machinery_carriers">'[4]CEB allocation factors step 1'!$F$35:$BC$35</definedName>
    <definedName name="mining">'[4]CEB allocation factors step 1'!$D$74</definedName>
    <definedName name="mining_carriers">'[4]CEB allocation factors step 1'!$F$36:$BC$36</definedName>
    <definedName name="net_gross_conv" localSheetId="8">'[1]AP net-gross conversion'!$D$12</definedName>
    <definedName name="net_gross_conv" localSheetId="4">'[2]AP net-gross conversion'!$D$12</definedName>
    <definedName name="net_gross_conv" localSheetId="17">#REF!</definedName>
    <definedName name="net_gross_conv" localSheetId="24">'[4]AP net-gross conversion'!$D$12</definedName>
    <definedName name="net_gross_conv" localSheetId="23">'[4]AP net-gross conversion'!$D$12</definedName>
    <definedName name="net_gross_conv">'[3]AP net-gross conversion'!$D$12</definedName>
    <definedName name="non_ferrous_metals">'[4]CEB allocation factors step 1'!$D$70</definedName>
    <definedName name="non_ferrous_metals_carriers">'[4]CEB allocation factors step 1'!$F$32:$BC$32</definedName>
    <definedName name="non_metallic_minerals">'[4]CEB allocation factors step 1'!$D$71</definedName>
    <definedName name="non_metallic_minerals_carriers">'[4]CEB allocation factors step 1'!$F$33:$BC$33</definedName>
    <definedName name="non_specified">'[4]CEB allocation factors step 1'!$D$64</definedName>
    <definedName name="non_specified_energy_carriers">'[4]CEB allocation factors step 1'!$F$26:$AT$26</definedName>
    <definedName name="non_specified_industry">'[4]CEB allocation factors step 1'!$D$80</definedName>
    <definedName name="non_specified_industry_carriers">'[4]CEB allocation factors step 1'!$F$42:$BC$42</definedName>
    <definedName name="oil_and_gas_extraction">'[4]CEB allocation factors step 1'!$D$49</definedName>
    <definedName name="oil_and_gas_extraction_carriers">'[4]CEB allocation factors step 1'!$F$11:$AT$11</definedName>
    <definedName name="oil_refineries">'[4]CEB allocation factors step 1'!$D$56</definedName>
    <definedName name="oil_refineries_carriers">'[4]CEB allocation factors step 1'!$F$18:$AT$18</definedName>
    <definedName name="paper">'[4]CEB allocation factors step 1'!$D$76</definedName>
    <definedName name="paper_carriers">'[4]CEB allocation factors step 1'!$F$38:$BC$38</definedName>
    <definedName name="patent_fuel_plants">'[4]CEB allocation factors step 1'!$D$54</definedName>
    <definedName name="patent_fuel_plants_carriers">'[4]CEB allocation factors step 1'!$F$16:$AT$16</definedName>
    <definedName name="switch_decc" localSheetId="8">'[1]Fuel allocation'!$C$133</definedName>
    <definedName name="switch_decc" localSheetId="4">'[2]Fuel allocation'!$C$133</definedName>
    <definedName name="switch_decc" localSheetId="17">#REF!</definedName>
    <definedName name="switch_decc">'[4]Fuel allocation'!$C$130</definedName>
    <definedName name="switch_iea" localSheetId="8">'[1]Fuel allocation'!$C$91</definedName>
    <definedName name="switch_iea" localSheetId="4">'[2]Fuel allocation'!$C$91</definedName>
    <definedName name="switch_iea" localSheetId="17">#REF!</definedName>
    <definedName name="switch_iea">'[4]Fuel allocation'!$C$89</definedName>
    <definedName name="switch_protermo" localSheetId="8">'[1]Fuel allocation'!$C$49</definedName>
    <definedName name="switch_protermo" localSheetId="4">'[2]Fuel allocation'!$C$49</definedName>
    <definedName name="switch_protermo" localSheetId="17">#REF!</definedName>
    <definedName name="switch_protermo">'[4]Fuel allocation'!$C$48</definedName>
    <definedName name="textile">'[4]CEB allocation factors step 1'!$D$79</definedName>
    <definedName name="textile_carriers">'[4]CEB allocation factors step 1'!$F$41:$BC$41</definedName>
    <definedName name="transport_equipment">'[4]CEB allocation factors step 1'!$D$72</definedName>
    <definedName name="transport_equipment_carriers">'[4]CEB allocation factors step 1'!$F$34:$BC$34</definedName>
    <definedName name="wood_products">'[4]CEB allocation factors step 1'!$D$77</definedName>
    <definedName name="wood_products_carriers">'[4]CEB allocation factors step 1'!$F$39:$BC$39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11" i="24" l="1"/>
  <c r="L184" i="3"/>
  <c r="E185" i="3"/>
  <c r="E177" i="3" l="1"/>
  <c r="C11" i="24"/>
  <c r="E199" i="3"/>
  <c r="E200" i="3"/>
  <c r="E205" i="3"/>
  <c r="E206" i="3"/>
  <c r="E208" i="3"/>
  <c r="L63" i="40"/>
  <c r="F62" i="19"/>
  <c r="G62" i="19"/>
  <c r="H62" i="19"/>
  <c r="I62" i="19"/>
  <c r="E179" i="3"/>
  <c r="E158" i="3"/>
  <c r="E68" i="24"/>
  <c r="E67" i="24"/>
  <c r="E66" i="24"/>
  <c r="B66" i="24"/>
  <c r="C66" i="24"/>
  <c r="D66" i="24"/>
  <c r="D68" i="24"/>
  <c r="D67" i="24"/>
  <c r="C68" i="24"/>
  <c r="C67" i="24"/>
  <c r="B68" i="24"/>
  <c r="B67" i="24"/>
  <c r="E159" i="3" l="1"/>
  <c r="L59" i="40"/>
  <c r="E193" i="3"/>
  <c r="E187" i="3"/>
  <c r="G61" i="19"/>
  <c r="F61" i="19"/>
  <c r="R20" i="5"/>
  <c r="Q20" i="5"/>
  <c r="F10" i="25" s="1"/>
  <c r="P20" i="5"/>
  <c r="O20" i="5"/>
  <c r="R23" i="5"/>
  <c r="Q23" i="5"/>
  <c r="P23" i="5"/>
  <c r="O23" i="5"/>
  <c r="R24" i="5"/>
  <c r="F14" i="25" s="1"/>
  <c r="Q24" i="5"/>
  <c r="P24" i="5"/>
  <c r="O24" i="5"/>
  <c r="P19" i="5"/>
  <c r="Q19" i="5"/>
  <c r="R19" i="5"/>
  <c r="O19" i="5"/>
  <c r="D12" i="24"/>
  <c r="E12" i="24"/>
  <c r="D13" i="24"/>
  <c r="E13" i="24"/>
  <c r="D14" i="24"/>
  <c r="E14" i="24"/>
  <c r="D15" i="24"/>
  <c r="E15" i="24"/>
  <c r="D16" i="24"/>
  <c r="E16" i="24"/>
  <c r="D17" i="24"/>
  <c r="E17" i="24"/>
  <c r="D18" i="24"/>
  <c r="E18" i="24"/>
  <c r="E11" i="24"/>
  <c r="D11" i="24"/>
  <c r="E57" i="24"/>
  <c r="E58" i="24"/>
  <c r="E59" i="24"/>
  <c r="E60" i="24"/>
  <c r="E61" i="24"/>
  <c r="E62" i="24"/>
  <c r="D58" i="24"/>
  <c r="D59" i="24"/>
  <c r="D60" i="24"/>
  <c r="D61" i="24"/>
  <c r="D62" i="24"/>
  <c r="D57" i="24"/>
  <c r="F17" i="19"/>
  <c r="D50" i="50"/>
  <c r="D38" i="50"/>
  <c r="E14" i="25"/>
  <c r="E10" i="25"/>
  <c r="F13" i="25"/>
  <c r="E17" i="46"/>
  <c r="D17" i="46"/>
  <c r="D17" i="40"/>
  <c r="D47" i="50"/>
  <c r="D12" i="50"/>
  <c r="D13" i="50"/>
  <c r="C60" i="24"/>
  <c r="B60" i="24"/>
  <c r="E11" i="6"/>
  <c r="H11" i="6"/>
  <c r="H23" i="6"/>
  <c r="E23" i="6"/>
  <c r="E11" i="49"/>
  <c r="E12" i="49"/>
  <c r="E56" i="49" s="1"/>
  <c r="D12" i="49"/>
  <c r="D56" i="49" s="1"/>
  <c r="D11" i="49"/>
  <c r="L17" i="40"/>
  <c r="C33" i="24" s="1"/>
  <c r="F56" i="19"/>
  <c r="H56" i="19" s="1"/>
  <c r="G56" i="19"/>
  <c r="I56" i="19" s="1"/>
  <c r="G58" i="19"/>
  <c r="G57" i="19"/>
  <c r="F58" i="19"/>
  <c r="F57" i="19"/>
  <c r="G17" i="19"/>
  <c r="E184" i="3"/>
  <c r="BN92" i="5"/>
  <c r="E64" i="3" s="1"/>
  <c r="D33" i="24" l="1"/>
  <c r="H17" i="19"/>
  <c r="M17" i="40"/>
  <c r="L72" i="3" s="1"/>
  <c r="E280" i="3"/>
  <c r="E273" i="3"/>
  <c r="E266" i="3"/>
  <c r="E259" i="3"/>
  <c r="E252" i="3"/>
  <c r="E245" i="3"/>
  <c r="AY75" i="5"/>
  <c r="AY77" i="5"/>
  <c r="AY78" i="5"/>
  <c r="AY79" i="5"/>
  <c r="AY80" i="5"/>
  <c r="AY85" i="5"/>
  <c r="I8" i="97"/>
  <c r="I9" i="97"/>
  <c r="I10" i="97"/>
  <c r="I11" i="97"/>
  <c r="I12" i="97"/>
  <c r="I13" i="97"/>
  <c r="I14" i="97"/>
  <c r="I15" i="97"/>
  <c r="I16" i="97"/>
  <c r="I17" i="97"/>
  <c r="I18" i="97"/>
  <c r="I19" i="97"/>
  <c r="I20" i="97"/>
  <c r="I22" i="97"/>
  <c r="I24" i="97"/>
  <c r="I25" i="97"/>
  <c r="I26" i="97"/>
  <c r="I27" i="97"/>
  <c r="I29" i="97"/>
  <c r="AX75" i="5"/>
  <c r="AX77" i="5"/>
  <c r="AX78" i="5"/>
  <c r="AX79" i="5"/>
  <c r="AX80" i="5"/>
  <c r="AX85" i="5"/>
  <c r="AX88" i="5"/>
  <c r="AX89" i="5"/>
  <c r="AX90" i="5"/>
  <c r="AX91" i="5"/>
  <c r="AX87" i="5" s="1"/>
  <c r="AQ61" i="5"/>
  <c r="AQ62" i="5"/>
  <c r="AQ60" i="5" s="1"/>
  <c r="AQ63" i="5"/>
  <c r="AQ64" i="5"/>
  <c r="AQ65" i="5"/>
  <c r="AQ66" i="5"/>
  <c r="AQ67" i="5"/>
  <c r="AQ68" i="5"/>
  <c r="AQ69" i="5"/>
  <c r="AQ70" i="5"/>
  <c r="AQ71" i="5"/>
  <c r="AQ72" i="5"/>
  <c r="AQ73" i="5"/>
  <c r="AQ75" i="5"/>
  <c r="AQ76" i="5"/>
  <c r="AQ77" i="5"/>
  <c r="AQ78" i="5"/>
  <c r="AQ74" i="5" s="1"/>
  <c r="AQ79" i="5"/>
  <c r="AQ80" i="5"/>
  <c r="AQ82" i="5"/>
  <c r="AQ81" i="5" s="1"/>
  <c r="AQ83" i="5"/>
  <c r="AQ84" i="5"/>
  <c r="AQ85" i="5"/>
  <c r="AQ86" i="5"/>
  <c r="AR59" i="5"/>
  <c r="AV76" i="5"/>
  <c r="AV61" i="5"/>
  <c r="AV73" i="5"/>
  <c r="AV72" i="5"/>
  <c r="AV71" i="5"/>
  <c r="AV70" i="5"/>
  <c r="AV69" i="5"/>
  <c r="AV68" i="5"/>
  <c r="AV67" i="5"/>
  <c r="AV66" i="5"/>
  <c r="AV65" i="5"/>
  <c r="AV64" i="5"/>
  <c r="AV63" i="5"/>
  <c r="AV62" i="5"/>
  <c r="G9" i="97"/>
  <c r="D29" i="97"/>
  <c r="E29" i="97"/>
  <c r="F29" i="97"/>
  <c r="G29" i="97"/>
  <c r="H29" i="97"/>
  <c r="L245" i="3"/>
  <c r="L244" i="3"/>
  <c r="AI77" i="5"/>
  <c r="D25" i="97"/>
  <c r="AR82" i="5"/>
  <c r="E50" i="50" l="1"/>
  <c r="E17" i="40" s="1"/>
  <c r="B33" i="24" s="1"/>
  <c r="L246" i="3"/>
  <c r="AQ59" i="5"/>
  <c r="H27" i="97"/>
  <c r="G27" i="97"/>
  <c r="F27" i="97"/>
  <c r="E27" i="97"/>
  <c r="D27" i="97"/>
  <c r="H26" i="97"/>
  <c r="G26" i="97"/>
  <c r="F26" i="97"/>
  <c r="E26" i="97"/>
  <c r="D26" i="97"/>
  <c r="H25" i="97"/>
  <c r="G25" i="97"/>
  <c r="F25" i="97"/>
  <c r="E25" i="97"/>
  <c r="H24" i="97"/>
  <c r="G24" i="97"/>
  <c r="F24" i="97"/>
  <c r="E24" i="97"/>
  <c r="D24" i="97"/>
  <c r="H8" i="97"/>
  <c r="G8" i="97"/>
  <c r="F8" i="97"/>
  <c r="E8" i="97"/>
  <c r="D8" i="97"/>
  <c r="D9" i="97"/>
  <c r="D10" i="97"/>
  <c r="E10" i="97"/>
  <c r="F10" i="97"/>
  <c r="G10" i="97"/>
  <c r="H10" i="97"/>
  <c r="D11" i="97"/>
  <c r="E11" i="97"/>
  <c r="F11" i="97"/>
  <c r="G11" i="97"/>
  <c r="H11" i="97"/>
  <c r="D12" i="97"/>
  <c r="E12" i="97"/>
  <c r="F12" i="97"/>
  <c r="G12" i="97"/>
  <c r="H12" i="97"/>
  <c r="D13" i="97"/>
  <c r="E13" i="97"/>
  <c r="F13" i="97"/>
  <c r="G13" i="97"/>
  <c r="H13" i="97"/>
  <c r="D14" i="97"/>
  <c r="E14" i="97"/>
  <c r="F14" i="97"/>
  <c r="G14" i="97"/>
  <c r="H14" i="97"/>
  <c r="D15" i="97"/>
  <c r="E15" i="97"/>
  <c r="F15" i="97"/>
  <c r="G15" i="97"/>
  <c r="H15" i="97"/>
  <c r="D16" i="97"/>
  <c r="E16" i="97"/>
  <c r="F16" i="97"/>
  <c r="G16" i="97"/>
  <c r="H16" i="97"/>
  <c r="D17" i="97"/>
  <c r="E17" i="97"/>
  <c r="F17" i="97"/>
  <c r="G17" i="97"/>
  <c r="H17" i="97"/>
  <c r="D18" i="97"/>
  <c r="E18" i="97"/>
  <c r="F18" i="97"/>
  <c r="G18" i="97"/>
  <c r="H18" i="97"/>
  <c r="D22" i="97"/>
  <c r="E242" i="3" s="1"/>
  <c r="L250" i="3" s="1"/>
  <c r="E22" i="97"/>
  <c r="F22" i="97"/>
  <c r="G22" i="97"/>
  <c r="H22" i="97"/>
  <c r="D19" i="97"/>
  <c r="E19" i="97"/>
  <c r="F19" i="97"/>
  <c r="G19" i="97"/>
  <c r="H19" i="97"/>
  <c r="D20" i="97"/>
  <c r="E20" i="97"/>
  <c r="F20" i="97"/>
  <c r="G20" i="97"/>
  <c r="H20" i="97"/>
  <c r="E9" i="97"/>
  <c r="F9" i="97"/>
  <c r="H9" i="97"/>
  <c r="E46" i="97" l="1"/>
  <c r="E68" i="97" s="1"/>
  <c r="AH71" i="5" s="1"/>
  <c r="L253" i="3"/>
  <c r="H40" i="97" s="1"/>
  <c r="H62" i="97" s="1"/>
  <c r="AX68" i="5" s="1"/>
  <c r="L251" i="3"/>
  <c r="G46" i="97" s="1"/>
  <c r="G68" i="97" s="1"/>
  <c r="E263" i="3"/>
  <c r="E249" i="3"/>
  <c r="E277" i="3"/>
  <c r="L260" i="3" s="1"/>
  <c r="L261" i="3"/>
  <c r="E270" i="3"/>
  <c r="L259" i="3"/>
  <c r="I50" i="97" s="1"/>
  <c r="I72" i="97" s="1"/>
  <c r="AY84" i="5" s="1"/>
  <c r="L257" i="3"/>
  <c r="I49" i="97" s="1"/>
  <c r="I71" i="97" s="1"/>
  <c r="AY83" i="5" s="1"/>
  <c r="E256" i="3"/>
  <c r="L255" i="3"/>
  <c r="H42" i="97"/>
  <c r="H64" i="97" s="1"/>
  <c r="AX70" i="5" s="1"/>
  <c r="H36" i="97"/>
  <c r="H58" i="97" s="1"/>
  <c r="AX64" i="5" s="1"/>
  <c r="G38" i="97"/>
  <c r="G60" i="97" s="1"/>
  <c r="AW66" i="5" s="1"/>
  <c r="G34" i="97"/>
  <c r="G56" i="97" s="1"/>
  <c r="AW62" i="5" s="1"/>
  <c r="G33" i="97"/>
  <c r="G55" i="97" s="1"/>
  <c r="AW61" i="5" s="1"/>
  <c r="H37" i="97"/>
  <c r="H59" i="97" s="1"/>
  <c r="AX65" i="5" s="1"/>
  <c r="G41" i="97"/>
  <c r="G63" i="97" s="1"/>
  <c r="AW69" i="5" s="1"/>
  <c r="G37" i="97"/>
  <c r="G59" i="97" s="1"/>
  <c r="AW65" i="5" s="1"/>
  <c r="F46" i="97"/>
  <c r="F68" i="97" s="1"/>
  <c r="AI71" i="5" s="1"/>
  <c r="D46" i="97"/>
  <c r="D68" i="97" s="1"/>
  <c r="J20" i="97"/>
  <c r="J22" i="97"/>
  <c r="J17" i="97"/>
  <c r="J15" i="97"/>
  <c r="J13" i="97"/>
  <c r="J11" i="97"/>
  <c r="J19" i="97"/>
  <c r="J18" i="97"/>
  <c r="J16" i="97"/>
  <c r="J14" i="97"/>
  <c r="J12" i="97"/>
  <c r="J10" i="97"/>
  <c r="J9" i="97"/>
  <c r="J29" i="97"/>
  <c r="F43" i="19"/>
  <c r="F44" i="19"/>
  <c r="F45" i="19"/>
  <c r="F46" i="19"/>
  <c r="F47" i="19"/>
  <c r="F48" i="19"/>
  <c r="F49" i="19"/>
  <c r="F50" i="19"/>
  <c r="F51" i="19"/>
  <c r="F42" i="19"/>
  <c r="G43" i="19"/>
  <c r="E63" i="24" s="1"/>
  <c r="G44" i="19"/>
  <c r="G45" i="19"/>
  <c r="E6" i="24" s="1"/>
  <c r="G46" i="19"/>
  <c r="E9" i="24" s="1"/>
  <c r="G47" i="19"/>
  <c r="E3" i="24" s="1"/>
  <c r="G48" i="19"/>
  <c r="E10" i="24" s="1"/>
  <c r="G49" i="19"/>
  <c r="E5" i="24" s="1"/>
  <c r="G50" i="19"/>
  <c r="E64" i="24" s="1"/>
  <c r="G51" i="19"/>
  <c r="E65" i="24" s="1"/>
  <c r="G42" i="19"/>
  <c r="E4" i="24" s="1"/>
  <c r="G12" i="19"/>
  <c r="G13" i="19"/>
  <c r="G14" i="19"/>
  <c r="G15" i="19"/>
  <c r="G16" i="19"/>
  <c r="G18" i="19"/>
  <c r="G19" i="19"/>
  <c r="G20" i="19"/>
  <c r="G21" i="19"/>
  <c r="G22" i="19"/>
  <c r="G23" i="19"/>
  <c r="G24" i="19"/>
  <c r="G25" i="19"/>
  <c r="G26" i="19"/>
  <c r="G27" i="19"/>
  <c r="G28" i="19"/>
  <c r="G29" i="19"/>
  <c r="G11" i="19"/>
  <c r="F29" i="19"/>
  <c r="D45" i="24" s="1"/>
  <c r="F28" i="19"/>
  <c r="D44" i="24" s="1"/>
  <c r="F27" i="19"/>
  <c r="D43" i="24" s="1"/>
  <c r="F26" i="19"/>
  <c r="D41" i="24" s="1"/>
  <c r="F25" i="19"/>
  <c r="D40" i="24" s="1"/>
  <c r="F24" i="19"/>
  <c r="D39" i="24" s="1"/>
  <c r="F23" i="19"/>
  <c r="D38" i="24" s="1"/>
  <c r="F22" i="19"/>
  <c r="D37" i="24" s="1"/>
  <c r="F21" i="19"/>
  <c r="D36" i="24" s="1"/>
  <c r="F20" i="19"/>
  <c r="D42" i="24" s="1"/>
  <c r="F19" i="19"/>
  <c r="D35" i="24" s="1"/>
  <c r="F18" i="19"/>
  <c r="D34" i="24" s="1"/>
  <c r="F16" i="19"/>
  <c r="D32" i="24" s="1"/>
  <c r="F15" i="19"/>
  <c r="D31" i="24" s="1"/>
  <c r="F14" i="19"/>
  <c r="D30" i="24" s="1"/>
  <c r="F13" i="19"/>
  <c r="D29" i="24" s="1"/>
  <c r="F12" i="19"/>
  <c r="D28" i="24" s="1"/>
  <c r="F11" i="19"/>
  <c r="D27" i="24" s="1"/>
  <c r="G55" i="19"/>
  <c r="F55" i="19"/>
  <c r="G54" i="19"/>
  <c r="F54" i="19"/>
  <c r="G53" i="19"/>
  <c r="E172" i="3" s="1"/>
  <c r="F53" i="19"/>
  <c r="G30" i="19"/>
  <c r="G31" i="19"/>
  <c r="G32" i="19"/>
  <c r="G33" i="19"/>
  <c r="G34" i="19"/>
  <c r="G35" i="19"/>
  <c r="G36" i="19"/>
  <c r="G37" i="19"/>
  <c r="G38" i="19"/>
  <c r="G39" i="19"/>
  <c r="F31" i="19"/>
  <c r="F32" i="19"/>
  <c r="F33" i="19"/>
  <c r="F34" i="19"/>
  <c r="F35" i="19"/>
  <c r="F36" i="19"/>
  <c r="F37" i="19"/>
  <c r="F38" i="19"/>
  <c r="F39" i="19"/>
  <c r="F30" i="19"/>
  <c r="H20" i="96"/>
  <c r="H19" i="96"/>
  <c r="H18" i="96"/>
  <c r="H17" i="96"/>
  <c r="H16" i="96"/>
  <c r="H15" i="96"/>
  <c r="H14" i="96"/>
  <c r="H13" i="96"/>
  <c r="H12" i="96"/>
  <c r="H11" i="96"/>
  <c r="BF23" i="5"/>
  <c r="A1" i="20"/>
  <c r="L14" i="3" a="1"/>
  <c r="L14" i="3" s="1"/>
  <c r="C8" i="24"/>
  <c r="H33" i="97" l="1"/>
  <c r="H55" i="97" s="1"/>
  <c r="AX61" i="5" s="1"/>
  <c r="H38" i="97"/>
  <c r="H60" i="97" s="1"/>
  <c r="AX66" i="5" s="1"/>
  <c r="H39" i="97"/>
  <c r="H61" i="97" s="1"/>
  <c r="AX67" i="5" s="1"/>
  <c r="H44" i="97"/>
  <c r="H66" i="97" s="1"/>
  <c r="AX73" i="5" s="1"/>
  <c r="E64" i="40"/>
  <c r="B58" i="24" s="1"/>
  <c r="E63" i="40"/>
  <c r="H43" i="97"/>
  <c r="H65" i="97" s="1"/>
  <c r="AX72" i="5" s="1"/>
  <c r="G43" i="97"/>
  <c r="G65" i="97" s="1"/>
  <c r="AW72" i="5" s="1"/>
  <c r="G42" i="97"/>
  <c r="G64" i="97" s="1"/>
  <c r="AW70" i="5" s="1"/>
  <c r="H35" i="97"/>
  <c r="H57" i="97" s="1"/>
  <c r="AX63" i="5" s="1"/>
  <c r="H34" i="97"/>
  <c r="H56" i="97" s="1"/>
  <c r="AX62" i="5" s="1"/>
  <c r="G40" i="97"/>
  <c r="G62" i="97" s="1"/>
  <c r="AW68" i="5" s="1"/>
  <c r="E7" i="24"/>
  <c r="H51" i="97"/>
  <c r="I51" i="97"/>
  <c r="I73" i="97" s="1"/>
  <c r="AY86" i="5" s="1"/>
  <c r="H48" i="97"/>
  <c r="H70" i="97" s="1"/>
  <c r="AX82" i="5" s="1"/>
  <c r="I48" i="97"/>
  <c r="I70" i="97" s="1"/>
  <c r="AY82" i="5" s="1"/>
  <c r="G39" i="97"/>
  <c r="G61" i="97" s="1"/>
  <c r="AW67" i="5" s="1"/>
  <c r="H41" i="97"/>
  <c r="H63" i="97" s="1"/>
  <c r="AX69" i="5" s="1"/>
  <c r="G36" i="97"/>
  <c r="G58" i="97" s="1"/>
  <c r="AW64" i="5" s="1"/>
  <c r="G44" i="97"/>
  <c r="G66" i="97" s="1"/>
  <c r="AW73" i="5" s="1"/>
  <c r="G35" i="97"/>
  <c r="G57" i="97" s="1"/>
  <c r="AW63" i="5" s="1"/>
  <c r="I36" i="97"/>
  <c r="I58" i="97" s="1"/>
  <c r="AY64" i="5" s="1"/>
  <c r="I40" i="97"/>
  <c r="I62" i="97" s="1"/>
  <c r="AY68" i="5" s="1"/>
  <c r="I44" i="97"/>
  <c r="I66" i="97" s="1"/>
  <c r="AY73" i="5" s="1"/>
  <c r="I39" i="97"/>
  <c r="I61" i="97" s="1"/>
  <c r="AY67" i="5" s="1"/>
  <c r="I33" i="97"/>
  <c r="I55" i="97" s="1"/>
  <c r="AY61" i="5" s="1"/>
  <c r="I37" i="97"/>
  <c r="I59" i="97" s="1"/>
  <c r="AY65" i="5" s="1"/>
  <c r="I41" i="97"/>
  <c r="I63" i="97" s="1"/>
  <c r="AY69" i="5" s="1"/>
  <c r="I35" i="97"/>
  <c r="I57" i="97" s="1"/>
  <c r="AY63" i="5" s="1"/>
  <c r="I43" i="97"/>
  <c r="I65" i="97" s="1"/>
  <c r="AY72" i="5" s="1"/>
  <c r="I34" i="97"/>
  <c r="I56" i="97" s="1"/>
  <c r="AY62" i="5" s="1"/>
  <c r="I38" i="97"/>
  <c r="I60" i="97" s="1"/>
  <c r="AY66" i="5" s="1"/>
  <c r="I42" i="97"/>
  <c r="I64" i="97" s="1"/>
  <c r="AY70" i="5" s="1"/>
  <c r="H46" i="97"/>
  <c r="H68" i="97" s="1"/>
  <c r="AX71" i="5" s="1"/>
  <c r="I46" i="97"/>
  <c r="I68" i="97" s="1"/>
  <c r="AW71" i="5"/>
  <c r="G51" i="97"/>
  <c r="G73" i="97" s="1"/>
  <c r="AW86" i="5" s="1"/>
  <c r="H49" i="97"/>
  <c r="H71" i="97" s="1"/>
  <c r="AX83" i="5" s="1"/>
  <c r="G49" i="97"/>
  <c r="G71" i="97" s="1"/>
  <c r="AW83" i="5" s="1"/>
  <c r="G48" i="97"/>
  <c r="G70" i="97" s="1"/>
  <c r="AW82" i="5" s="1"/>
  <c r="AC71" i="5"/>
  <c r="D51" i="97"/>
  <c r="D73" i="97" s="1"/>
  <c r="AC86" i="5" s="1"/>
  <c r="E51" i="97"/>
  <c r="E73" i="97" s="1"/>
  <c r="AH86" i="5" s="1"/>
  <c r="F51" i="97"/>
  <c r="F73" i="97" s="1"/>
  <c r="AI86" i="5" s="1"/>
  <c r="J27" i="97"/>
  <c r="J8" i="97"/>
  <c r="L252" i="3"/>
  <c r="J24" i="97"/>
  <c r="L254" i="3"/>
  <c r="J26" i="97"/>
  <c r="J25" i="97"/>
  <c r="L256" i="3"/>
  <c r="H21" i="19"/>
  <c r="C62" i="24"/>
  <c r="B62" i="24"/>
  <c r="B61" i="24"/>
  <c r="C61" i="24"/>
  <c r="C57" i="24"/>
  <c r="B57" i="24"/>
  <c r="B18" i="24"/>
  <c r="C18" i="24"/>
  <c r="C17" i="24"/>
  <c r="B17" i="24"/>
  <c r="B16" i="24"/>
  <c r="C16" i="24"/>
  <c r="C15" i="24"/>
  <c r="B15" i="24"/>
  <c r="C13" i="24"/>
  <c r="B13" i="24"/>
  <c r="C12" i="24"/>
  <c r="B12" i="24"/>
  <c r="D63" i="40" l="1"/>
  <c r="M63" i="40" s="1"/>
  <c r="H63" i="40"/>
  <c r="N63" i="40" s="1"/>
  <c r="E202" i="3" s="1"/>
  <c r="H64" i="40"/>
  <c r="D64" i="40"/>
  <c r="AX60" i="5"/>
  <c r="AY81" i="5"/>
  <c r="H73" i="97"/>
  <c r="AX86" i="5" s="1"/>
  <c r="J68" i="97"/>
  <c r="AY71" i="5"/>
  <c r="AY60" i="5" s="1"/>
  <c r="I75" i="97"/>
  <c r="I77" i="97" s="1"/>
  <c r="AY76" i="5" s="1"/>
  <c r="AY74" i="5" s="1"/>
  <c r="D49" i="97"/>
  <c r="D71" i="97" s="1"/>
  <c r="AC83" i="5" s="1"/>
  <c r="E49" i="97"/>
  <c r="E71" i="97" s="1"/>
  <c r="AH83" i="5" s="1"/>
  <c r="F49" i="97"/>
  <c r="F71" i="97" s="1"/>
  <c r="E48" i="97"/>
  <c r="E70" i="97" s="1"/>
  <c r="AH82" i="5" s="1"/>
  <c r="F48" i="97"/>
  <c r="F70" i="97" s="1"/>
  <c r="AI82" i="5" s="1"/>
  <c r="D48" i="97"/>
  <c r="D70" i="97" s="1"/>
  <c r="AC82" i="5" s="1"/>
  <c r="D34" i="97"/>
  <c r="D56" i="97" s="1"/>
  <c r="AC62" i="5" s="1"/>
  <c r="D35" i="97"/>
  <c r="D57" i="97" s="1"/>
  <c r="AC63" i="5" s="1"/>
  <c r="D36" i="97"/>
  <c r="D58" i="97" s="1"/>
  <c r="AC64" i="5" s="1"/>
  <c r="D37" i="97"/>
  <c r="D59" i="97" s="1"/>
  <c r="AC65" i="5" s="1"/>
  <c r="D38" i="97"/>
  <c r="D60" i="97" s="1"/>
  <c r="AC66" i="5" s="1"/>
  <c r="D39" i="97"/>
  <c r="D61" i="97" s="1"/>
  <c r="AC67" i="5" s="1"/>
  <c r="D40" i="97"/>
  <c r="D62" i="97" s="1"/>
  <c r="AC68" i="5" s="1"/>
  <c r="D41" i="97"/>
  <c r="D63" i="97" s="1"/>
  <c r="AC69" i="5" s="1"/>
  <c r="D42" i="97"/>
  <c r="D64" i="97" s="1"/>
  <c r="AC70" i="5" s="1"/>
  <c r="D43" i="97"/>
  <c r="D65" i="97" s="1"/>
  <c r="AC72" i="5" s="1"/>
  <c r="D44" i="97"/>
  <c r="D66" i="97" s="1"/>
  <c r="AC73" i="5" s="1"/>
  <c r="E34" i="97"/>
  <c r="E56" i="97" s="1"/>
  <c r="AH62" i="5" s="1"/>
  <c r="E35" i="97"/>
  <c r="E57" i="97" s="1"/>
  <c r="AH63" i="5" s="1"/>
  <c r="E36" i="97"/>
  <c r="E58" i="97" s="1"/>
  <c r="AH64" i="5" s="1"/>
  <c r="E37" i="97"/>
  <c r="E59" i="97" s="1"/>
  <c r="AH65" i="5" s="1"/>
  <c r="E38" i="97"/>
  <c r="E60" i="97" s="1"/>
  <c r="AH66" i="5" s="1"/>
  <c r="E39" i="97"/>
  <c r="E61" i="97" s="1"/>
  <c r="AH67" i="5" s="1"/>
  <c r="E40" i="97"/>
  <c r="E62" i="97" s="1"/>
  <c r="AH68" i="5" s="1"/>
  <c r="E41" i="97"/>
  <c r="E63" i="97" s="1"/>
  <c r="AH69" i="5" s="1"/>
  <c r="E42" i="97"/>
  <c r="E64" i="97" s="1"/>
  <c r="AH70" i="5" s="1"/>
  <c r="E43" i="97"/>
  <c r="E65" i="97" s="1"/>
  <c r="AH72" i="5" s="1"/>
  <c r="E44" i="97"/>
  <c r="E66" i="97" s="1"/>
  <c r="AH73" i="5" s="1"/>
  <c r="F34" i="97"/>
  <c r="F56" i="97" s="1"/>
  <c r="F35" i="97"/>
  <c r="F57" i="97" s="1"/>
  <c r="F36" i="97"/>
  <c r="F58" i="97" s="1"/>
  <c r="AI64" i="5" s="1"/>
  <c r="F37" i="97"/>
  <c r="F59" i="97" s="1"/>
  <c r="F38" i="97"/>
  <c r="F60" i="97" s="1"/>
  <c r="AI66" i="5" s="1"/>
  <c r="F39" i="97"/>
  <c r="F61" i="97" s="1"/>
  <c r="F40" i="97"/>
  <c r="F62" i="97" s="1"/>
  <c r="AI68" i="5" s="1"/>
  <c r="F41" i="97"/>
  <c r="F63" i="97" s="1"/>
  <c r="F42" i="97"/>
  <c r="F64" i="97" s="1"/>
  <c r="F43" i="97"/>
  <c r="F65" i="97" s="1"/>
  <c r="F44" i="97"/>
  <c r="F66" i="97" s="1"/>
  <c r="AI73" i="5" s="1"/>
  <c r="E33" i="97"/>
  <c r="E55" i="97" s="1"/>
  <c r="F33" i="97"/>
  <c r="F55" i="97" s="1"/>
  <c r="D33" i="97"/>
  <c r="D55" i="97" s="1"/>
  <c r="L258" i="3"/>
  <c r="L249" i="3" s="1"/>
  <c r="I61" i="19"/>
  <c r="H61" i="19"/>
  <c r="H54" i="19"/>
  <c r="H55" i="19"/>
  <c r="H57" i="19"/>
  <c r="H58" i="19"/>
  <c r="H53" i="19"/>
  <c r="I54" i="19"/>
  <c r="I55" i="19"/>
  <c r="I57" i="19"/>
  <c r="I58" i="19"/>
  <c r="I53" i="19"/>
  <c r="I43" i="19"/>
  <c r="I44" i="19"/>
  <c r="I45" i="19"/>
  <c r="I46" i="19"/>
  <c r="I47" i="19"/>
  <c r="I48" i="19"/>
  <c r="I49" i="19"/>
  <c r="I50" i="19"/>
  <c r="I51" i="19"/>
  <c r="I42" i="19"/>
  <c r="H12" i="19"/>
  <c r="H13" i="19"/>
  <c r="H14" i="19"/>
  <c r="H15" i="19"/>
  <c r="H16" i="19"/>
  <c r="H18" i="19"/>
  <c r="H19" i="19"/>
  <c r="H20" i="19"/>
  <c r="H22" i="19"/>
  <c r="H23" i="19"/>
  <c r="H24" i="19"/>
  <c r="H25" i="19"/>
  <c r="H26" i="19"/>
  <c r="H27" i="19"/>
  <c r="H28" i="19"/>
  <c r="H29" i="19"/>
  <c r="H30" i="19"/>
  <c r="H31" i="19"/>
  <c r="H32" i="19"/>
  <c r="H33" i="19"/>
  <c r="H34" i="19"/>
  <c r="H35" i="19"/>
  <c r="H36" i="19"/>
  <c r="H37" i="19"/>
  <c r="H38" i="19"/>
  <c r="H39" i="19"/>
  <c r="H11" i="19"/>
  <c r="E203" i="3" l="1"/>
  <c r="L64" i="40" s="1"/>
  <c r="L203" i="3"/>
  <c r="P201" i="3" s="1"/>
  <c r="J73" i="97"/>
  <c r="J71" i="97"/>
  <c r="AI83" i="5"/>
  <c r="J70" i="97"/>
  <c r="AI67" i="5"/>
  <c r="J61" i="97"/>
  <c r="AI70" i="5"/>
  <c r="J64" i="97"/>
  <c r="AI62" i="5"/>
  <c r="J56" i="97"/>
  <c r="J58" i="97"/>
  <c r="AI72" i="5"/>
  <c r="J65" i="97"/>
  <c r="AI63" i="5"/>
  <c r="J57" i="97"/>
  <c r="AI61" i="5"/>
  <c r="J55" i="97"/>
  <c r="AH61" i="5"/>
  <c r="AI69" i="5"/>
  <c r="J63" i="97"/>
  <c r="AI65" i="5"/>
  <c r="J59" i="97"/>
  <c r="J62" i="97"/>
  <c r="J66" i="97"/>
  <c r="J60" i="97"/>
  <c r="AC61" i="5"/>
  <c r="E50" i="97"/>
  <c r="E72" i="97" s="1"/>
  <c r="AH84" i="5" s="1"/>
  <c r="F50" i="97"/>
  <c r="F72" i="97" s="1"/>
  <c r="F75" i="97" s="1"/>
  <c r="F77" i="97" s="1"/>
  <c r="D50" i="97"/>
  <c r="D72" i="97" s="1"/>
  <c r="AC84" i="5" s="1"/>
  <c r="H50" i="97"/>
  <c r="H72" i="97" s="1"/>
  <c r="AX84" i="5" s="1"/>
  <c r="AX81" i="5" s="1"/>
  <c r="G50" i="97"/>
  <c r="G72" i="97" s="1"/>
  <c r="E188" i="3"/>
  <c r="E196" i="3"/>
  <c r="E209" i="3" l="1"/>
  <c r="C58" i="24"/>
  <c r="N64" i="40"/>
  <c r="M64" i="40"/>
  <c r="G75" i="97"/>
  <c r="G77" i="97" s="1"/>
  <c r="AW76" i="5" s="1"/>
  <c r="AW84" i="5"/>
  <c r="H75" i="97"/>
  <c r="H77" i="97" s="1"/>
  <c r="AX76" i="5" s="1"/>
  <c r="AX74" i="5" s="1"/>
  <c r="AX59" i="5" s="1"/>
  <c r="J72" i="97"/>
  <c r="AI84" i="5"/>
  <c r="D75" i="97"/>
  <c r="E75" i="97"/>
  <c r="E77" i="97" s="1"/>
  <c r="AH76" i="5" s="1"/>
  <c r="AI76" i="5"/>
  <c r="J77" i="97" l="1"/>
  <c r="J75" i="97"/>
  <c r="D77" i="97"/>
  <c r="AC76" i="5" s="1"/>
  <c r="E194" i="3"/>
  <c r="C14" i="24" l="1"/>
  <c r="C10" i="24"/>
  <c r="E59" i="40" l="1"/>
  <c r="E174" i="3"/>
  <c r="E60" i="40" s="1"/>
  <c r="D60" i="40" s="1"/>
  <c r="D59" i="40" l="1"/>
  <c r="M59" i="40" s="1"/>
  <c r="B14" i="24"/>
  <c r="H59" i="40"/>
  <c r="N59" i="40" s="1"/>
  <c r="E190" i="3" s="1"/>
  <c r="L191" i="3" s="1"/>
  <c r="B59" i="24"/>
  <c r="E37" i="47" s="1"/>
  <c r="H60" i="40"/>
  <c r="L55" i="40"/>
  <c r="C65" i="24" s="1"/>
  <c r="E169" i="3"/>
  <c r="F35" i="47" l="1"/>
  <c r="B4" i="93" s="1"/>
  <c r="F36" i="47"/>
  <c r="B3" i="93" s="1"/>
  <c r="E191" i="3"/>
  <c r="L60" i="40" s="1"/>
  <c r="P189" i="3"/>
  <c r="L54" i="40"/>
  <c r="C63" i="24" s="1"/>
  <c r="L53" i="40"/>
  <c r="C64" i="24" s="1"/>
  <c r="E164" i="3"/>
  <c r="E160" i="3"/>
  <c r="B5" i="93" l="1"/>
  <c r="C26" i="24"/>
  <c r="C25" i="24"/>
  <c r="C24" i="24"/>
  <c r="C23" i="24"/>
  <c r="B26" i="24"/>
  <c r="B25" i="24"/>
  <c r="B24" i="24"/>
  <c r="B23" i="24"/>
  <c r="B51" i="24" l="1"/>
  <c r="C51" i="24"/>
  <c r="B4" i="92" l="1"/>
  <c r="B3" i="92"/>
  <c r="C22" i="24" l="1"/>
  <c r="C21" i="24"/>
  <c r="C20" i="24"/>
  <c r="C19" i="24"/>
  <c r="B22" i="24"/>
  <c r="B21" i="24"/>
  <c r="B20" i="24"/>
  <c r="B19" i="24"/>
  <c r="D27" i="49" l="1"/>
  <c r="D47" i="49"/>
  <c r="E27" i="49"/>
  <c r="E47" i="49"/>
  <c r="D14" i="49"/>
  <c r="D34" i="49"/>
  <c r="D28" i="49"/>
  <c r="D48" i="49"/>
  <c r="D32" i="49"/>
  <c r="D13" i="49"/>
  <c r="D33" i="49"/>
  <c r="D15" i="49"/>
  <c r="D35" i="49"/>
  <c r="D16" i="49"/>
  <c r="D36" i="49"/>
  <c r="D17" i="49"/>
  <c r="D37" i="49"/>
  <c r="D18" i="49"/>
  <c r="D38" i="49"/>
  <c r="D19" i="49"/>
  <c r="D39" i="49"/>
  <c r="D21" i="49"/>
  <c r="D41" i="49"/>
  <c r="D20" i="49"/>
  <c r="D40" i="49"/>
  <c r="D22" i="49"/>
  <c r="D42" i="49"/>
  <c r="D23" i="49"/>
  <c r="D43" i="49"/>
  <c r="D24" i="49"/>
  <c r="D44" i="49"/>
  <c r="D25" i="49"/>
  <c r="D45" i="49"/>
  <c r="D26" i="49"/>
  <c r="D69" i="49" s="1"/>
  <c r="D25" i="50" s="1"/>
  <c r="D110" i="50" s="1"/>
  <c r="D46" i="49"/>
  <c r="E26" i="49"/>
  <c r="E69" i="49" s="1"/>
  <c r="E82" i="46" s="1"/>
  <c r="E46" i="49"/>
  <c r="E14" i="49"/>
  <c r="E34" i="49"/>
  <c r="E28" i="49"/>
  <c r="E48" i="49"/>
  <c r="H38" i="6"/>
  <c r="H18" i="6"/>
  <c r="H30" i="6"/>
  <c r="H12" i="6"/>
  <c r="H13" i="6"/>
  <c r="H14" i="6"/>
  <c r="H15" i="6"/>
  <c r="H16" i="6"/>
  <c r="H17" i="6"/>
  <c r="H19" i="6"/>
  <c r="E18" i="6"/>
  <c r="E30" i="6"/>
  <c r="L20" i="40"/>
  <c r="C42" i="24" s="1"/>
  <c r="L21" i="40"/>
  <c r="C36" i="24" s="1"/>
  <c r="L22" i="40"/>
  <c r="C37" i="24" s="1"/>
  <c r="L23" i="40"/>
  <c r="C38" i="24" s="1"/>
  <c r="L24" i="40"/>
  <c r="C39" i="24" s="1"/>
  <c r="E32" i="49"/>
  <c r="L33" i="40"/>
  <c r="C49" i="24" s="1"/>
  <c r="L41" i="40"/>
  <c r="D12" i="59"/>
  <c r="E13" i="59"/>
  <c r="L42" i="40"/>
  <c r="D10" i="59"/>
  <c r="L34" i="40"/>
  <c r="C50" i="24" s="1"/>
  <c r="L11" i="40"/>
  <c r="C30" i="24" s="1"/>
  <c r="L12" i="40"/>
  <c r="C27" i="24" s="1"/>
  <c r="L13" i="40"/>
  <c r="C28" i="24" s="1"/>
  <c r="L14" i="40"/>
  <c r="C29" i="24" s="1"/>
  <c r="L15" i="40"/>
  <c r="C31" i="24" s="1"/>
  <c r="L16" i="40"/>
  <c r="C32" i="24" s="1"/>
  <c r="L18" i="40"/>
  <c r="C34" i="24" s="1"/>
  <c r="L19" i="40"/>
  <c r="C35" i="24" s="1"/>
  <c r="L25" i="40"/>
  <c r="L26" i="40"/>
  <c r="C41" i="24" s="1"/>
  <c r="L27" i="40"/>
  <c r="C43" i="24" s="1"/>
  <c r="L32" i="40"/>
  <c r="C48" i="24" s="1"/>
  <c r="L28" i="40"/>
  <c r="C44" i="24" s="1"/>
  <c r="L29" i="40"/>
  <c r="C45" i="24" s="1"/>
  <c r="L30" i="40"/>
  <c r="C46" i="24" s="1"/>
  <c r="L31" i="40"/>
  <c r="C47" i="24" s="1"/>
  <c r="L35" i="40"/>
  <c r="C52" i="24" s="1"/>
  <c r="L36" i="40"/>
  <c r="C53" i="24" s="1"/>
  <c r="L37" i="40"/>
  <c r="C54" i="24" s="1"/>
  <c r="E22" i="49"/>
  <c r="E42" i="49"/>
  <c r="L32" i="3"/>
  <c r="L27" i="3"/>
  <c r="P27" i="3" s="1"/>
  <c r="H31" i="6"/>
  <c r="H24" i="6"/>
  <c r="H26" i="6"/>
  <c r="H25" i="6"/>
  <c r="H29" i="6"/>
  <c r="H27" i="6"/>
  <c r="H28" i="6"/>
  <c r="E12" i="6"/>
  <c r="E24" i="6"/>
  <c r="E13" i="6"/>
  <c r="E25" i="6"/>
  <c r="E14" i="6"/>
  <c r="E26" i="6"/>
  <c r="E15" i="6"/>
  <c r="E27" i="6"/>
  <c r="E16" i="6"/>
  <c r="E28" i="6"/>
  <c r="E17" i="6"/>
  <c r="E29" i="6"/>
  <c r="E19" i="6"/>
  <c r="E31" i="6"/>
  <c r="E13" i="49"/>
  <c r="E33" i="49"/>
  <c r="E15" i="49"/>
  <c r="E35" i="49"/>
  <c r="E16" i="49"/>
  <c r="E36" i="49"/>
  <c r="E17" i="49"/>
  <c r="E37" i="49"/>
  <c r="E18" i="49"/>
  <c r="E38" i="49"/>
  <c r="E19" i="49"/>
  <c r="E39" i="49"/>
  <c r="E21" i="49"/>
  <c r="E41" i="49"/>
  <c r="E20" i="49"/>
  <c r="E40" i="49"/>
  <c r="E23" i="49"/>
  <c r="E43" i="49"/>
  <c r="E24" i="49"/>
  <c r="E44" i="49"/>
  <c r="E25" i="49"/>
  <c r="E45" i="49"/>
  <c r="L49" i="3"/>
  <c r="P49" i="3" s="1"/>
  <c r="L45" i="3"/>
  <c r="P45" i="3" s="1"/>
  <c r="L40" i="3"/>
  <c r="P40" i="3" s="1"/>
  <c r="L15" i="3"/>
  <c r="M15" i="3" s="1"/>
  <c r="L49" i="40"/>
  <c r="C3" i="24" s="1"/>
  <c r="L48" i="40"/>
  <c r="C9" i="24" s="1"/>
  <c r="L47" i="40"/>
  <c r="C6" i="24" s="1"/>
  <c r="L46" i="40"/>
  <c r="L45" i="40"/>
  <c r="C4" i="24" s="1"/>
  <c r="BF16" i="16"/>
  <c r="BF17" i="16"/>
  <c r="AZ16" i="16"/>
  <c r="AZ17" i="16"/>
  <c r="AU16" i="16"/>
  <c r="AU17" i="16"/>
  <c r="AR16" i="16"/>
  <c r="AR17" i="16"/>
  <c r="AT16" i="16"/>
  <c r="AT17" i="16"/>
  <c r="U16" i="16"/>
  <c r="V16" i="16"/>
  <c r="W16" i="16"/>
  <c r="X16" i="16"/>
  <c r="Y16" i="16"/>
  <c r="Z16" i="16"/>
  <c r="AA16" i="16"/>
  <c r="AB16" i="16"/>
  <c r="AC16" i="16"/>
  <c r="AD16" i="16"/>
  <c r="AE16" i="16"/>
  <c r="AF16" i="16"/>
  <c r="AG16" i="16"/>
  <c r="AH16" i="16"/>
  <c r="AI16" i="16"/>
  <c r="AJ16" i="16"/>
  <c r="AK16" i="16"/>
  <c r="AL16" i="16"/>
  <c r="AM16" i="16"/>
  <c r="AN16" i="16"/>
  <c r="AO16" i="16"/>
  <c r="AP16" i="16"/>
  <c r="AQ16" i="16"/>
  <c r="U17" i="16"/>
  <c r="V17" i="16"/>
  <c r="W17" i="16"/>
  <c r="X17" i="16"/>
  <c r="Y17" i="16"/>
  <c r="Z17" i="16"/>
  <c r="AA17" i="16"/>
  <c r="AB17" i="16"/>
  <c r="AC17" i="16"/>
  <c r="AD17" i="16"/>
  <c r="AE17" i="16"/>
  <c r="AF17" i="16"/>
  <c r="AG17" i="16"/>
  <c r="AH17" i="16"/>
  <c r="AI17" i="16"/>
  <c r="AJ17" i="16"/>
  <c r="AK17" i="16"/>
  <c r="AL17" i="16"/>
  <c r="AM17" i="16"/>
  <c r="AN17" i="16"/>
  <c r="AO17" i="16"/>
  <c r="AP17" i="16"/>
  <c r="AQ17" i="16"/>
  <c r="T16" i="16"/>
  <c r="T17" i="16"/>
  <c r="C16" i="16"/>
  <c r="D16" i="16"/>
  <c r="E16" i="16"/>
  <c r="F16" i="16"/>
  <c r="G16" i="16"/>
  <c r="H16" i="16"/>
  <c r="C17" i="16"/>
  <c r="D17" i="16"/>
  <c r="E17" i="16"/>
  <c r="F17" i="16"/>
  <c r="G17" i="16"/>
  <c r="H17" i="16"/>
  <c r="J16" i="16"/>
  <c r="K16" i="16"/>
  <c r="L16" i="16"/>
  <c r="M16" i="16"/>
  <c r="N16" i="16"/>
  <c r="S16" i="16"/>
  <c r="J17" i="16"/>
  <c r="K17" i="16"/>
  <c r="L17" i="16"/>
  <c r="M17" i="16"/>
  <c r="N17" i="16"/>
  <c r="S17" i="16"/>
  <c r="BL20" i="5"/>
  <c r="AZ9" i="16"/>
  <c r="AZ10" i="16"/>
  <c r="AU9" i="16"/>
  <c r="AU10" i="16"/>
  <c r="AR9" i="16"/>
  <c r="AR10" i="16"/>
  <c r="AT9" i="16"/>
  <c r="AT10" i="16"/>
  <c r="U9" i="16"/>
  <c r="V9" i="16"/>
  <c r="W9" i="16"/>
  <c r="X9" i="16"/>
  <c r="Y9" i="16"/>
  <c r="Z9" i="16"/>
  <c r="AA9" i="16"/>
  <c r="AB9" i="16"/>
  <c r="AC9" i="16"/>
  <c r="AD9" i="16"/>
  <c r="AE9" i="16"/>
  <c r="AF9" i="16"/>
  <c r="AG9" i="16"/>
  <c r="AH9" i="16"/>
  <c r="U10" i="16"/>
  <c r="V10" i="16"/>
  <c r="W10" i="16"/>
  <c r="X10" i="16"/>
  <c r="Y10" i="16"/>
  <c r="Z10" i="16"/>
  <c r="AA10" i="16"/>
  <c r="AB10" i="16"/>
  <c r="AC10" i="16"/>
  <c r="AD10" i="16"/>
  <c r="AE10" i="16"/>
  <c r="AF10" i="16"/>
  <c r="AG10" i="16"/>
  <c r="AH10" i="16"/>
  <c r="AJ9" i="16"/>
  <c r="AK9" i="16"/>
  <c r="AL9" i="16"/>
  <c r="AM9" i="16"/>
  <c r="AN9" i="16"/>
  <c r="AO9" i="16"/>
  <c r="AP9" i="16"/>
  <c r="AQ9" i="16"/>
  <c r="AJ10" i="16"/>
  <c r="AK10" i="16"/>
  <c r="AL10" i="16"/>
  <c r="AM10" i="16"/>
  <c r="AN10" i="16"/>
  <c r="AO10" i="16"/>
  <c r="AP10" i="16"/>
  <c r="AQ10" i="16"/>
  <c r="T9" i="16"/>
  <c r="T10" i="16"/>
  <c r="C9" i="16"/>
  <c r="D9" i="16"/>
  <c r="E9" i="16"/>
  <c r="F9" i="16"/>
  <c r="G9" i="16"/>
  <c r="H9" i="16"/>
  <c r="C10" i="16"/>
  <c r="D10" i="16"/>
  <c r="E10" i="16"/>
  <c r="F10" i="16"/>
  <c r="G10" i="16"/>
  <c r="H10" i="16"/>
  <c r="J9" i="16"/>
  <c r="K9" i="16"/>
  <c r="L9" i="16"/>
  <c r="M9" i="16"/>
  <c r="N9" i="16"/>
  <c r="S9" i="16"/>
  <c r="J10" i="16"/>
  <c r="K10" i="16"/>
  <c r="L10" i="16"/>
  <c r="M10" i="16"/>
  <c r="N10" i="16"/>
  <c r="S10" i="16"/>
  <c r="BN11" i="60"/>
  <c r="BN12" i="60"/>
  <c r="BN13" i="60"/>
  <c r="BN14" i="60"/>
  <c r="BN15" i="60"/>
  <c r="BN16" i="60"/>
  <c r="BN17" i="60"/>
  <c r="BN18" i="60"/>
  <c r="BN19" i="60"/>
  <c r="BN20" i="60"/>
  <c r="BN21" i="60"/>
  <c r="BN22" i="60"/>
  <c r="BN23" i="60"/>
  <c r="BN24" i="60"/>
  <c r="BN25" i="60"/>
  <c r="D27" i="60"/>
  <c r="E27" i="60"/>
  <c r="F27" i="60"/>
  <c r="G27" i="60"/>
  <c r="H27" i="60"/>
  <c r="I27" i="60"/>
  <c r="J27" i="60"/>
  <c r="K27" i="60"/>
  <c r="L27" i="60"/>
  <c r="M27" i="60"/>
  <c r="N27" i="60"/>
  <c r="O27" i="60"/>
  <c r="P27" i="60"/>
  <c r="Q27" i="60"/>
  <c r="R27" i="60"/>
  <c r="S27" i="60"/>
  <c r="T27" i="60"/>
  <c r="U27" i="60"/>
  <c r="V27" i="60"/>
  <c r="W27" i="60"/>
  <c r="X27" i="60"/>
  <c r="Y27" i="60"/>
  <c r="Z27" i="60"/>
  <c r="AA27" i="60"/>
  <c r="AB27" i="60"/>
  <c r="AC27" i="60"/>
  <c r="AD27" i="60"/>
  <c r="AE27" i="60"/>
  <c r="AF27" i="60"/>
  <c r="AG27" i="60"/>
  <c r="AH27" i="60"/>
  <c r="AI27" i="60"/>
  <c r="AJ27" i="60"/>
  <c r="AK27" i="60"/>
  <c r="AL27" i="60"/>
  <c r="AM27" i="60"/>
  <c r="AN27" i="60"/>
  <c r="AO27" i="60"/>
  <c r="AP27" i="60"/>
  <c r="AQ27" i="60"/>
  <c r="AR27" i="60"/>
  <c r="AS27" i="60"/>
  <c r="AT27" i="60"/>
  <c r="AU27" i="60"/>
  <c r="AV27" i="60"/>
  <c r="AW27" i="60"/>
  <c r="AX27" i="60"/>
  <c r="AY27" i="60"/>
  <c r="AZ27" i="60"/>
  <c r="BA27" i="60"/>
  <c r="BB27" i="60"/>
  <c r="BC27" i="60"/>
  <c r="BD27" i="60"/>
  <c r="BE27" i="60"/>
  <c r="BF27" i="60"/>
  <c r="BG27" i="60"/>
  <c r="BH27" i="60"/>
  <c r="BI27" i="60"/>
  <c r="BJ27" i="60"/>
  <c r="BK27" i="60"/>
  <c r="BL27" i="60"/>
  <c r="BM27" i="60"/>
  <c r="C27" i="60"/>
  <c r="BN10" i="60"/>
  <c r="C4" i="1"/>
  <c r="C6" i="1"/>
  <c r="C7" i="1"/>
  <c r="C56" i="24"/>
  <c r="C55" i="24"/>
  <c r="AV21" i="5"/>
  <c r="AV22" i="5"/>
  <c r="AU17" i="20" s="1"/>
  <c r="AV25" i="5"/>
  <c r="AU20" i="20" s="1"/>
  <c r="AV26" i="5"/>
  <c r="AV27" i="5"/>
  <c r="AV28" i="5"/>
  <c r="AV29" i="5"/>
  <c r="AV30" i="5"/>
  <c r="AV31" i="5"/>
  <c r="AV32" i="5"/>
  <c r="AV33" i="5"/>
  <c r="AU28" i="20" s="1"/>
  <c r="AV34" i="5"/>
  <c r="AV35" i="5"/>
  <c r="AV36" i="5"/>
  <c r="AV37" i="5"/>
  <c r="AV38" i="5"/>
  <c r="AV39" i="5"/>
  <c r="AV75" i="5"/>
  <c r="AV77" i="5"/>
  <c r="AV78" i="5"/>
  <c r="AV79" i="5"/>
  <c r="AV80" i="5"/>
  <c r="AV82" i="5"/>
  <c r="AV83" i="5"/>
  <c r="AV84" i="5"/>
  <c r="AV85" i="5"/>
  <c r="AV86" i="5"/>
  <c r="AV88" i="5"/>
  <c r="AV90" i="5"/>
  <c r="AV91" i="5"/>
  <c r="AV16" i="5"/>
  <c r="AV17" i="5"/>
  <c r="AV41" i="5"/>
  <c r="AU36" i="20" s="1"/>
  <c r="AV42" i="5"/>
  <c r="AV43" i="5"/>
  <c r="AV44" i="5"/>
  <c r="AV45" i="5"/>
  <c r="AV46" i="5"/>
  <c r="AV47" i="5"/>
  <c r="AU42" i="20" s="1"/>
  <c r="AV48" i="5"/>
  <c r="AV49" i="5"/>
  <c r="AV50" i="5"/>
  <c r="AV51" i="5"/>
  <c r="AV52" i="5"/>
  <c r="AV53" i="5"/>
  <c r="AU48" i="20" s="1"/>
  <c r="AV54" i="5"/>
  <c r="AV55" i="5"/>
  <c r="AV56" i="5"/>
  <c r="AV57" i="5"/>
  <c r="AV58" i="5"/>
  <c r="AS21" i="5"/>
  <c r="AS22" i="5"/>
  <c r="AR21" i="5"/>
  <c r="AQ16" i="20" s="1"/>
  <c r="AT21" i="5"/>
  <c r="AR22" i="5"/>
  <c r="AQ17" i="20" s="1"/>
  <c r="AT22" i="5"/>
  <c r="C21" i="5"/>
  <c r="C22" i="5"/>
  <c r="C25" i="5"/>
  <c r="C26" i="5"/>
  <c r="C27" i="5"/>
  <c r="C28" i="5"/>
  <c r="C29" i="5"/>
  <c r="C30" i="5"/>
  <c r="C31" i="5"/>
  <c r="C32" i="5"/>
  <c r="C33" i="5"/>
  <c r="C34" i="5"/>
  <c r="C35" i="5"/>
  <c r="C36" i="5"/>
  <c r="C37" i="5"/>
  <c r="C38" i="5"/>
  <c r="C39" i="5"/>
  <c r="D21" i="5"/>
  <c r="D22" i="5"/>
  <c r="D25" i="5"/>
  <c r="D26" i="5"/>
  <c r="D27" i="5"/>
  <c r="D28" i="5"/>
  <c r="D29" i="5"/>
  <c r="D30" i="5"/>
  <c r="D31" i="5"/>
  <c r="D32" i="5"/>
  <c r="D33" i="5"/>
  <c r="D34" i="5"/>
  <c r="D35" i="5"/>
  <c r="D36" i="5"/>
  <c r="D37" i="5"/>
  <c r="D38" i="5"/>
  <c r="D39" i="5"/>
  <c r="E21" i="5"/>
  <c r="E22" i="5"/>
  <c r="E25" i="5"/>
  <c r="E26" i="5"/>
  <c r="E27" i="5"/>
  <c r="E28" i="5"/>
  <c r="E29" i="5"/>
  <c r="E30" i="5"/>
  <c r="E31" i="5"/>
  <c r="E32" i="5"/>
  <c r="E33" i="5"/>
  <c r="E34" i="5"/>
  <c r="E35" i="5"/>
  <c r="E36" i="5"/>
  <c r="E37" i="5"/>
  <c r="E38" i="5"/>
  <c r="E39" i="5"/>
  <c r="F21" i="5"/>
  <c r="F22" i="5"/>
  <c r="F25" i="5"/>
  <c r="F26" i="5"/>
  <c r="F27" i="5"/>
  <c r="F28" i="5"/>
  <c r="F29" i="5"/>
  <c r="F30" i="5"/>
  <c r="F31" i="5"/>
  <c r="F32" i="5"/>
  <c r="F33" i="5"/>
  <c r="F34" i="5"/>
  <c r="F35" i="5"/>
  <c r="F36" i="5"/>
  <c r="F37" i="5"/>
  <c r="F38" i="5"/>
  <c r="F39" i="5"/>
  <c r="G21" i="5"/>
  <c r="G22" i="5"/>
  <c r="G25" i="5"/>
  <c r="G26" i="5"/>
  <c r="G27" i="5"/>
  <c r="G28" i="5"/>
  <c r="G29" i="5"/>
  <c r="G30" i="5"/>
  <c r="G31" i="5"/>
  <c r="G32" i="5"/>
  <c r="G33" i="5"/>
  <c r="G34" i="5"/>
  <c r="G35" i="5"/>
  <c r="G36" i="5"/>
  <c r="G37" i="5"/>
  <c r="G38" i="5"/>
  <c r="G39" i="5"/>
  <c r="H21" i="5"/>
  <c r="H22" i="5"/>
  <c r="H25" i="5"/>
  <c r="H26" i="5"/>
  <c r="H27" i="5"/>
  <c r="H28" i="5"/>
  <c r="H29" i="5"/>
  <c r="H30" i="5"/>
  <c r="H31" i="5"/>
  <c r="H32" i="5"/>
  <c r="H33" i="5"/>
  <c r="H34" i="5"/>
  <c r="H35" i="5"/>
  <c r="H36" i="5"/>
  <c r="H37" i="5"/>
  <c r="H38" i="5"/>
  <c r="H39" i="5"/>
  <c r="I21" i="5"/>
  <c r="I22" i="5"/>
  <c r="I25" i="5"/>
  <c r="I26" i="5"/>
  <c r="I27" i="5"/>
  <c r="I28" i="5"/>
  <c r="I29" i="5"/>
  <c r="I30" i="5"/>
  <c r="I31" i="5"/>
  <c r="I32" i="5"/>
  <c r="I33" i="5"/>
  <c r="I34" i="5"/>
  <c r="I35" i="5"/>
  <c r="I36" i="5"/>
  <c r="I37" i="5"/>
  <c r="I38" i="5"/>
  <c r="I39" i="5"/>
  <c r="J21" i="5"/>
  <c r="J22" i="5"/>
  <c r="J25" i="5"/>
  <c r="J26" i="5"/>
  <c r="J27" i="5"/>
  <c r="J28" i="5"/>
  <c r="J29" i="5"/>
  <c r="J30" i="5"/>
  <c r="J31" i="5"/>
  <c r="J32" i="5"/>
  <c r="J33" i="5"/>
  <c r="J34" i="5"/>
  <c r="J35" i="5"/>
  <c r="J36" i="5"/>
  <c r="J37" i="5"/>
  <c r="J38" i="5"/>
  <c r="J39" i="5"/>
  <c r="K21" i="5"/>
  <c r="K22" i="5"/>
  <c r="K25" i="5"/>
  <c r="K26" i="5"/>
  <c r="K27" i="5"/>
  <c r="K28" i="5"/>
  <c r="K29" i="5"/>
  <c r="K30" i="5"/>
  <c r="K31" i="5"/>
  <c r="K32" i="5"/>
  <c r="K33" i="5"/>
  <c r="K34" i="5"/>
  <c r="K35" i="5"/>
  <c r="K36" i="5"/>
  <c r="K37" i="5"/>
  <c r="K38" i="5"/>
  <c r="K39" i="5"/>
  <c r="L21" i="5"/>
  <c r="L22" i="5"/>
  <c r="L25" i="5"/>
  <c r="L26" i="5"/>
  <c r="L27" i="5"/>
  <c r="L28" i="5"/>
  <c r="L29" i="5"/>
  <c r="L30" i="5"/>
  <c r="L31" i="5"/>
  <c r="L32" i="5"/>
  <c r="L33" i="5"/>
  <c r="L34" i="5"/>
  <c r="L35" i="5"/>
  <c r="L36" i="5"/>
  <c r="L37" i="5"/>
  <c r="L38" i="5"/>
  <c r="L39" i="5"/>
  <c r="M21" i="5"/>
  <c r="M22" i="5"/>
  <c r="M25" i="5"/>
  <c r="M26" i="5"/>
  <c r="M27" i="5"/>
  <c r="M28" i="5"/>
  <c r="M29" i="5"/>
  <c r="M30" i="5"/>
  <c r="M31" i="5"/>
  <c r="M32" i="5"/>
  <c r="M33" i="5"/>
  <c r="M34" i="5"/>
  <c r="M35" i="5"/>
  <c r="M36" i="5"/>
  <c r="M37" i="5"/>
  <c r="M38" i="5"/>
  <c r="M39" i="5"/>
  <c r="N21" i="5"/>
  <c r="N22" i="5"/>
  <c r="N25" i="5"/>
  <c r="N26" i="5"/>
  <c r="N27" i="5"/>
  <c r="N28" i="5"/>
  <c r="N29" i="5"/>
  <c r="N30" i="5"/>
  <c r="N31" i="5"/>
  <c r="N32" i="5"/>
  <c r="N33" i="5"/>
  <c r="N34" i="5"/>
  <c r="N35" i="5"/>
  <c r="N36" i="5"/>
  <c r="N37" i="5"/>
  <c r="N38" i="5"/>
  <c r="N39" i="5"/>
  <c r="O21" i="5"/>
  <c r="O22" i="5"/>
  <c r="O25" i="5"/>
  <c r="O26" i="5"/>
  <c r="O27" i="5"/>
  <c r="O28" i="5"/>
  <c r="O29" i="5"/>
  <c r="O30" i="5"/>
  <c r="O31" i="5"/>
  <c r="O32" i="5"/>
  <c r="O33" i="5"/>
  <c r="O34" i="5"/>
  <c r="O35" i="5"/>
  <c r="O36" i="5"/>
  <c r="O37" i="5"/>
  <c r="O38" i="5"/>
  <c r="O39" i="5"/>
  <c r="P21" i="5"/>
  <c r="P22" i="5"/>
  <c r="P25" i="5"/>
  <c r="P26" i="5"/>
  <c r="P27" i="5"/>
  <c r="P28" i="5"/>
  <c r="P29" i="5"/>
  <c r="P30" i="5"/>
  <c r="P31" i="5"/>
  <c r="P32" i="5"/>
  <c r="P33" i="5"/>
  <c r="P34" i="5"/>
  <c r="P35" i="5"/>
  <c r="P36" i="5"/>
  <c r="P37" i="5"/>
  <c r="P38" i="5"/>
  <c r="P39" i="5"/>
  <c r="Q21" i="5"/>
  <c r="Q22" i="5"/>
  <c r="Q25" i="5"/>
  <c r="Q26" i="5"/>
  <c r="Q27" i="5"/>
  <c r="Q28" i="5"/>
  <c r="Q29" i="5"/>
  <c r="Q30" i="5"/>
  <c r="Q31" i="5"/>
  <c r="Q32" i="5"/>
  <c r="Q33" i="5"/>
  <c r="Q34" i="5"/>
  <c r="Q35" i="5"/>
  <c r="Q36" i="5"/>
  <c r="Q37" i="5"/>
  <c r="Q38" i="5"/>
  <c r="Q39" i="5"/>
  <c r="R21" i="5"/>
  <c r="R22" i="5"/>
  <c r="R25" i="5"/>
  <c r="R26" i="5"/>
  <c r="R27" i="5"/>
  <c r="R28" i="5"/>
  <c r="R29" i="5"/>
  <c r="R30" i="5"/>
  <c r="R31" i="5"/>
  <c r="R32" i="5"/>
  <c r="R33" i="5"/>
  <c r="R34" i="5"/>
  <c r="R35" i="5"/>
  <c r="R36" i="5"/>
  <c r="R37" i="5"/>
  <c r="R38" i="5"/>
  <c r="R39" i="5"/>
  <c r="S21" i="5"/>
  <c r="S22" i="5"/>
  <c r="S25" i="5"/>
  <c r="S26" i="5"/>
  <c r="S27" i="5"/>
  <c r="S28" i="5"/>
  <c r="S29" i="5"/>
  <c r="S30" i="5"/>
  <c r="S31" i="5"/>
  <c r="S32" i="5"/>
  <c r="S33" i="5"/>
  <c r="S34" i="5"/>
  <c r="S35" i="5"/>
  <c r="S36" i="5"/>
  <c r="S37" i="5"/>
  <c r="S38" i="5"/>
  <c r="S39" i="5"/>
  <c r="T21" i="5"/>
  <c r="T22" i="5"/>
  <c r="T25" i="5"/>
  <c r="T26" i="5"/>
  <c r="T27" i="5"/>
  <c r="T28" i="5"/>
  <c r="T29" i="5"/>
  <c r="T30" i="5"/>
  <c r="T31" i="5"/>
  <c r="T32" i="5"/>
  <c r="T33" i="5"/>
  <c r="T34" i="5"/>
  <c r="T35" i="5"/>
  <c r="T36" i="5"/>
  <c r="T37" i="5"/>
  <c r="T38" i="5"/>
  <c r="T39" i="5"/>
  <c r="U21" i="5"/>
  <c r="U22" i="5"/>
  <c r="U25" i="5"/>
  <c r="U26" i="5"/>
  <c r="U27" i="5"/>
  <c r="U28" i="5"/>
  <c r="U29" i="5"/>
  <c r="U30" i="5"/>
  <c r="U31" i="5"/>
  <c r="U32" i="5"/>
  <c r="U33" i="5"/>
  <c r="U34" i="5"/>
  <c r="U35" i="5"/>
  <c r="U36" i="5"/>
  <c r="U37" i="5"/>
  <c r="U38" i="5"/>
  <c r="U39" i="5"/>
  <c r="V21" i="5"/>
  <c r="V22" i="5"/>
  <c r="V25" i="5"/>
  <c r="V26" i="5"/>
  <c r="V27" i="5"/>
  <c r="V28" i="5"/>
  <c r="V29" i="5"/>
  <c r="V30" i="5"/>
  <c r="V31" i="5"/>
  <c r="V32" i="5"/>
  <c r="V33" i="5"/>
  <c r="V34" i="5"/>
  <c r="V35" i="5"/>
  <c r="V36" i="5"/>
  <c r="V37" i="5"/>
  <c r="V38" i="5"/>
  <c r="V39" i="5"/>
  <c r="W21" i="5"/>
  <c r="W22" i="5"/>
  <c r="W25" i="5"/>
  <c r="W26" i="5"/>
  <c r="W27" i="5"/>
  <c r="W28" i="5"/>
  <c r="W29" i="5"/>
  <c r="W30" i="5"/>
  <c r="W31" i="5"/>
  <c r="W32" i="5"/>
  <c r="W33" i="5"/>
  <c r="W34" i="5"/>
  <c r="W35" i="5"/>
  <c r="W36" i="5"/>
  <c r="W37" i="5"/>
  <c r="W38" i="5"/>
  <c r="W39" i="5"/>
  <c r="X21" i="5"/>
  <c r="X22" i="5"/>
  <c r="X25" i="5"/>
  <c r="X26" i="5"/>
  <c r="X27" i="5"/>
  <c r="X28" i="5"/>
  <c r="X29" i="5"/>
  <c r="X30" i="5"/>
  <c r="X31" i="5"/>
  <c r="X32" i="5"/>
  <c r="X33" i="5"/>
  <c r="X34" i="5"/>
  <c r="X35" i="5"/>
  <c r="X36" i="5"/>
  <c r="X37" i="5"/>
  <c r="X38" i="5"/>
  <c r="X39" i="5"/>
  <c r="Y21" i="5"/>
  <c r="Y22" i="5"/>
  <c r="Y25" i="5"/>
  <c r="Y26" i="5"/>
  <c r="Y27" i="5"/>
  <c r="Y28" i="5"/>
  <c r="Y29" i="5"/>
  <c r="Y30" i="5"/>
  <c r="Y31" i="5"/>
  <c r="Y32" i="5"/>
  <c r="Y33" i="5"/>
  <c r="Y34" i="5"/>
  <c r="Y35" i="5"/>
  <c r="Y36" i="5"/>
  <c r="Y37" i="5"/>
  <c r="Y38" i="5"/>
  <c r="Y39" i="5"/>
  <c r="Z21" i="5"/>
  <c r="Z22" i="5"/>
  <c r="Z25" i="5"/>
  <c r="Z26" i="5"/>
  <c r="Z27" i="5"/>
  <c r="Z28" i="5"/>
  <c r="Z29" i="5"/>
  <c r="Z30" i="5"/>
  <c r="Z31" i="5"/>
  <c r="Z32" i="5"/>
  <c r="Z33" i="5"/>
  <c r="Z34" i="5"/>
  <c r="Z35" i="5"/>
  <c r="Z36" i="5"/>
  <c r="Z37" i="5"/>
  <c r="Z38" i="5"/>
  <c r="Z39" i="5"/>
  <c r="AA21" i="5"/>
  <c r="AA22" i="5"/>
  <c r="AA25" i="5"/>
  <c r="AA26" i="5"/>
  <c r="AA27" i="5"/>
  <c r="AA28" i="5"/>
  <c r="AA29" i="5"/>
  <c r="AA30" i="5"/>
  <c r="AA31" i="5"/>
  <c r="AA32" i="5"/>
  <c r="AA33" i="5"/>
  <c r="AA34" i="5"/>
  <c r="AA35" i="5"/>
  <c r="AA36" i="5"/>
  <c r="AA37" i="5"/>
  <c r="AA38" i="5"/>
  <c r="AA39" i="5"/>
  <c r="AB21" i="5"/>
  <c r="AB22" i="5"/>
  <c r="AB25" i="5"/>
  <c r="AB26" i="5"/>
  <c r="AB27" i="5"/>
  <c r="AB28" i="5"/>
  <c r="AB29" i="5"/>
  <c r="AB30" i="5"/>
  <c r="AB31" i="5"/>
  <c r="AB32" i="5"/>
  <c r="AB33" i="5"/>
  <c r="AB34" i="5"/>
  <c r="AB35" i="5"/>
  <c r="AB36" i="5"/>
  <c r="AB37" i="5"/>
  <c r="AB38" i="5"/>
  <c r="AB39" i="5"/>
  <c r="AC21" i="5"/>
  <c r="AC22" i="5"/>
  <c r="AC25" i="5"/>
  <c r="AC26" i="5"/>
  <c r="AC27" i="5"/>
  <c r="AC28" i="5"/>
  <c r="AC29" i="5"/>
  <c r="AC30" i="5"/>
  <c r="AC31" i="5"/>
  <c r="AC32" i="5"/>
  <c r="AC33" i="5"/>
  <c r="AC34" i="5"/>
  <c r="AC35" i="5"/>
  <c r="AC36" i="5"/>
  <c r="AC37" i="5"/>
  <c r="AC38" i="5"/>
  <c r="AC39" i="5"/>
  <c r="AD21" i="5"/>
  <c r="AD22" i="5"/>
  <c r="AD25" i="5"/>
  <c r="AD26" i="5"/>
  <c r="AD27" i="5"/>
  <c r="AD28" i="5"/>
  <c r="AD29" i="5"/>
  <c r="AD30" i="5"/>
  <c r="AD31" i="5"/>
  <c r="AD32" i="5"/>
  <c r="AD33" i="5"/>
  <c r="AD34" i="5"/>
  <c r="AD35" i="5"/>
  <c r="AD36" i="5"/>
  <c r="AD37" i="5"/>
  <c r="AD38" i="5"/>
  <c r="AD39" i="5"/>
  <c r="AE21" i="5"/>
  <c r="AD16" i="20" s="1"/>
  <c r="AE22" i="5"/>
  <c r="AE25" i="5"/>
  <c r="AE26" i="5"/>
  <c r="AE27" i="5"/>
  <c r="AE28" i="5"/>
  <c r="AE29" i="5"/>
  <c r="AE30" i="5"/>
  <c r="AE31" i="5"/>
  <c r="AE32" i="5"/>
  <c r="AE33" i="5"/>
  <c r="AE34" i="5"/>
  <c r="AE35" i="5"/>
  <c r="AE36" i="5"/>
  <c r="AE37" i="5"/>
  <c r="AE38" i="5"/>
  <c r="AE39" i="5"/>
  <c r="AF21" i="5"/>
  <c r="AE16" i="20" s="1"/>
  <c r="AF22" i="5"/>
  <c r="AE17" i="20" s="1"/>
  <c r="AF25" i="5"/>
  <c r="AF26" i="5"/>
  <c r="AF27" i="5"/>
  <c r="AE22" i="20" s="1"/>
  <c r="AF28" i="5"/>
  <c r="AF29" i="5"/>
  <c r="AF30" i="5"/>
  <c r="AE25" i="20" s="1"/>
  <c r="AF31" i="5"/>
  <c r="AF32" i="5"/>
  <c r="AE27" i="20" s="1"/>
  <c r="AF33" i="5"/>
  <c r="AF34" i="5"/>
  <c r="AF35" i="5"/>
  <c r="AF36" i="5"/>
  <c r="AF37" i="5"/>
  <c r="AF38" i="5"/>
  <c r="AF39" i="5"/>
  <c r="AG21" i="5"/>
  <c r="AG22" i="5"/>
  <c r="AG25" i="5"/>
  <c r="AG26" i="5"/>
  <c r="AG27" i="5"/>
  <c r="AG28" i="5"/>
  <c r="AG29" i="5"/>
  <c r="AF24" i="20" s="1"/>
  <c r="AG30" i="5"/>
  <c r="AG31" i="5"/>
  <c r="AG32" i="5"/>
  <c r="AG33" i="5"/>
  <c r="AG34" i="5"/>
  <c r="AF29" i="20" s="1"/>
  <c r="AG35" i="5"/>
  <c r="AG36" i="5"/>
  <c r="AG37" i="5"/>
  <c r="AF32" i="20" s="1"/>
  <c r="AG38" i="5"/>
  <c r="AG39" i="5"/>
  <c r="AH21" i="5"/>
  <c r="AH22" i="5"/>
  <c r="AH25" i="5"/>
  <c r="AG20" i="20" s="1"/>
  <c r="AH26" i="5"/>
  <c r="AH27" i="5"/>
  <c r="AH28" i="5"/>
  <c r="AH29" i="5"/>
  <c r="AH30" i="5"/>
  <c r="AH31" i="5"/>
  <c r="AH32" i="5"/>
  <c r="AH33" i="5"/>
  <c r="AH34" i="5"/>
  <c r="AH35" i="5"/>
  <c r="AH36" i="5"/>
  <c r="AG31" i="20" s="1"/>
  <c r="AH37" i="5"/>
  <c r="AH38" i="5"/>
  <c r="AG33" i="20" s="1"/>
  <c r="AH39" i="5"/>
  <c r="AI21" i="5"/>
  <c r="AI22" i="5"/>
  <c r="AI25" i="5"/>
  <c r="AI26" i="5"/>
  <c r="AI27" i="5"/>
  <c r="AH22" i="20" s="1"/>
  <c r="AI28" i="5"/>
  <c r="AI29" i="5"/>
  <c r="AI30" i="5"/>
  <c r="AI31" i="5"/>
  <c r="AI32" i="5"/>
  <c r="AI33" i="5"/>
  <c r="AI34" i="5"/>
  <c r="AI35" i="5"/>
  <c r="AH30" i="20" s="1"/>
  <c r="AI36" i="5"/>
  <c r="AI37" i="5"/>
  <c r="AI38" i="5"/>
  <c r="AI39" i="5"/>
  <c r="AJ21" i="5"/>
  <c r="AI16" i="20" s="1"/>
  <c r="AJ22" i="5"/>
  <c r="AJ25" i="5"/>
  <c r="AJ26" i="5"/>
  <c r="AI21" i="20" s="1"/>
  <c r="AJ27" i="5"/>
  <c r="AI22" i="20" s="1"/>
  <c r="AJ28" i="5"/>
  <c r="AJ29" i="5"/>
  <c r="AJ30" i="5"/>
  <c r="AJ31" i="5"/>
  <c r="AJ32" i="5"/>
  <c r="AJ33" i="5"/>
  <c r="AJ34" i="5"/>
  <c r="AI29" i="20" s="1"/>
  <c r="AJ35" i="5"/>
  <c r="AJ36" i="5"/>
  <c r="AJ37" i="5"/>
  <c r="AJ38" i="5"/>
  <c r="AJ39" i="5"/>
  <c r="AK21" i="5"/>
  <c r="AK22" i="5"/>
  <c r="AK25" i="5"/>
  <c r="AJ20" i="20" s="1"/>
  <c r="AK26" i="5"/>
  <c r="AK27" i="5"/>
  <c r="AK28" i="5"/>
  <c r="AK29" i="5"/>
  <c r="AJ24" i="20" s="1"/>
  <c r="AK30" i="5"/>
  <c r="AK31" i="5"/>
  <c r="AK32" i="5"/>
  <c r="AK33" i="5"/>
  <c r="AK34" i="5"/>
  <c r="AJ29" i="20" s="1"/>
  <c r="AK35" i="5"/>
  <c r="AK36" i="5"/>
  <c r="AK37" i="5"/>
  <c r="AJ32" i="20" s="1"/>
  <c r="AK38" i="5"/>
  <c r="AK39" i="5"/>
  <c r="AL21" i="5"/>
  <c r="AL22" i="5"/>
  <c r="AK17" i="20" s="1"/>
  <c r="AL25" i="5"/>
  <c r="AK20" i="20" s="1"/>
  <c r="AL26" i="5"/>
  <c r="AK21" i="20" s="1"/>
  <c r="AL27" i="5"/>
  <c r="AL28" i="5"/>
  <c r="AL29" i="5"/>
  <c r="AL30" i="5"/>
  <c r="AL31" i="5"/>
  <c r="AL32" i="5"/>
  <c r="AL33" i="5"/>
  <c r="AL34" i="5"/>
  <c r="AK29" i="20" s="1"/>
  <c r="AL35" i="5"/>
  <c r="AL36" i="5"/>
  <c r="AK31" i="20" s="1"/>
  <c r="AL37" i="5"/>
  <c r="AL38" i="5"/>
  <c r="AL39" i="5"/>
  <c r="AM21" i="5"/>
  <c r="AL16" i="20" s="1"/>
  <c r="AM22" i="5"/>
  <c r="AM25" i="5"/>
  <c r="AM26" i="5"/>
  <c r="AM27" i="5"/>
  <c r="AM28" i="5"/>
  <c r="AM29" i="5"/>
  <c r="AM30" i="5"/>
  <c r="AM31" i="5"/>
  <c r="AL26" i="20" s="1"/>
  <c r="AM32" i="5"/>
  <c r="AM33" i="5"/>
  <c r="AM34" i="5"/>
  <c r="AM35" i="5"/>
  <c r="AL30" i="20" s="1"/>
  <c r="AM36" i="5"/>
  <c r="AM37" i="5"/>
  <c r="AM38" i="5"/>
  <c r="AM39" i="5"/>
  <c r="AL34" i="20" s="1"/>
  <c r="AN21" i="5"/>
  <c r="AM16" i="20" s="1"/>
  <c r="AN22" i="5"/>
  <c r="AM17" i="20" s="1"/>
  <c r="AN25" i="5"/>
  <c r="AN26" i="5"/>
  <c r="AN27" i="5"/>
  <c r="AM22" i="20" s="1"/>
  <c r="AN28" i="5"/>
  <c r="AN29" i="5"/>
  <c r="AN30" i="5"/>
  <c r="AM25" i="20" s="1"/>
  <c r="AN31" i="5"/>
  <c r="AN32" i="5"/>
  <c r="AM27" i="20" s="1"/>
  <c r="AN33" i="5"/>
  <c r="AN34" i="5"/>
  <c r="AN35" i="5"/>
  <c r="AN36" i="5"/>
  <c r="AN37" i="5"/>
  <c r="AN38" i="5"/>
  <c r="AM33" i="20" s="1"/>
  <c r="AN39" i="5"/>
  <c r="AO21" i="5"/>
  <c r="AO22" i="5"/>
  <c r="AO25" i="5"/>
  <c r="AN20" i="20" s="1"/>
  <c r="AO26" i="5"/>
  <c r="AO27" i="5"/>
  <c r="AO28" i="5"/>
  <c r="AO29" i="5"/>
  <c r="AN24" i="20" s="1"/>
  <c r="AO30" i="5"/>
  <c r="AO31" i="5"/>
  <c r="AO32" i="5"/>
  <c r="AO33" i="5"/>
  <c r="AO34" i="5"/>
  <c r="AN29" i="20" s="1"/>
  <c r="AO35" i="5"/>
  <c r="AO36" i="5"/>
  <c r="AO37" i="5"/>
  <c r="AN32" i="20" s="1"/>
  <c r="AO38" i="5"/>
  <c r="AO39" i="5"/>
  <c r="AP21" i="5"/>
  <c r="AP22" i="5"/>
  <c r="AP25" i="5"/>
  <c r="AO20" i="20" s="1"/>
  <c r="AP26" i="5"/>
  <c r="AP27" i="5"/>
  <c r="AP28" i="5"/>
  <c r="AP29" i="5"/>
  <c r="AP30" i="5"/>
  <c r="AP31" i="5"/>
  <c r="AP32" i="5"/>
  <c r="AP33" i="5"/>
  <c r="AP34" i="5"/>
  <c r="AP35" i="5"/>
  <c r="AP36" i="5"/>
  <c r="AO31" i="20" s="1"/>
  <c r="AP37" i="5"/>
  <c r="AP38" i="5"/>
  <c r="AO33" i="20" s="1"/>
  <c r="AP39" i="5"/>
  <c r="AQ21" i="5"/>
  <c r="AQ22" i="5"/>
  <c r="AQ25" i="5"/>
  <c r="AQ26" i="5"/>
  <c r="AQ27" i="5"/>
  <c r="AP22" i="20" s="1"/>
  <c r="AQ28" i="5"/>
  <c r="AQ29" i="5"/>
  <c r="AQ30" i="5"/>
  <c r="AQ31" i="5"/>
  <c r="AQ32" i="5"/>
  <c r="AQ33" i="5"/>
  <c r="AQ34" i="5"/>
  <c r="AQ35" i="5"/>
  <c r="AP30" i="20" s="1"/>
  <c r="AQ36" i="5"/>
  <c r="AQ37" i="5"/>
  <c r="AQ38" i="5"/>
  <c r="AQ39" i="5"/>
  <c r="AR25" i="5"/>
  <c r="AR26" i="5"/>
  <c r="AR27" i="5"/>
  <c r="AR28" i="5"/>
  <c r="AR29" i="5"/>
  <c r="AR30" i="5"/>
  <c r="AQ25" i="20" s="1"/>
  <c r="AR31" i="5"/>
  <c r="AR32" i="5"/>
  <c r="AQ27" i="20" s="1"/>
  <c r="AR33" i="5"/>
  <c r="AQ28" i="20" s="1"/>
  <c r="AR34" i="5"/>
  <c r="AR35" i="5"/>
  <c r="AR36" i="5"/>
  <c r="AR37" i="5"/>
  <c r="AR38" i="5"/>
  <c r="AR39" i="5"/>
  <c r="AS25" i="5"/>
  <c r="AS26" i="5"/>
  <c r="AS27" i="5"/>
  <c r="AS28" i="5"/>
  <c r="AS29" i="5"/>
  <c r="AR24" i="20" s="1"/>
  <c r="AS30" i="5"/>
  <c r="AS31" i="5"/>
  <c r="AS32" i="5"/>
  <c r="AS33" i="5"/>
  <c r="AS34" i="5"/>
  <c r="AR29" i="20" s="1"/>
  <c r="AS35" i="5"/>
  <c r="AS36" i="5"/>
  <c r="AS37" i="5"/>
  <c r="AR32" i="20" s="1"/>
  <c r="AS38" i="5"/>
  <c r="AS39" i="5"/>
  <c r="AT25" i="5"/>
  <c r="AT26" i="5"/>
  <c r="AT27" i="5"/>
  <c r="AT28" i="5"/>
  <c r="AT29" i="5"/>
  <c r="AT30" i="5"/>
  <c r="AS25" i="20" s="1"/>
  <c r="AT31" i="5"/>
  <c r="AS26" i="20" s="1"/>
  <c r="AT32" i="5"/>
  <c r="AT33" i="5"/>
  <c r="AT34" i="5"/>
  <c r="AT35" i="5"/>
  <c r="AS30" i="20" s="1"/>
  <c r="AT36" i="5"/>
  <c r="AT37" i="5"/>
  <c r="AT38" i="5"/>
  <c r="AS33" i="20" s="1"/>
  <c r="AT39" i="5"/>
  <c r="AU21" i="5"/>
  <c r="AT16" i="20" s="1"/>
  <c r="AU22" i="5"/>
  <c r="AU25" i="5"/>
  <c r="AU26" i="5"/>
  <c r="AT21" i="20" s="1"/>
  <c r="AU27" i="5"/>
  <c r="AU28" i="5"/>
  <c r="AU29" i="5"/>
  <c r="AU30" i="5"/>
  <c r="AU31" i="5"/>
  <c r="AU32" i="5"/>
  <c r="AU33" i="5"/>
  <c r="AU34" i="5"/>
  <c r="AU35" i="5"/>
  <c r="AU36" i="5"/>
  <c r="AU37" i="5"/>
  <c r="AT32" i="20" s="1"/>
  <c r="AU38" i="5"/>
  <c r="AT33" i="20" s="1"/>
  <c r="AU39" i="5"/>
  <c r="AT34" i="20" s="1"/>
  <c r="AZ21" i="5"/>
  <c r="AZ22" i="5"/>
  <c r="AZ25" i="5"/>
  <c r="AZ26" i="5"/>
  <c r="AZ27" i="5"/>
  <c r="AZ28" i="5"/>
  <c r="AZ29" i="5"/>
  <c r="AZ30" i="5"/>
  <c r="AZ31" i="5"/>
  <c r="AZ32" i="5"/>
  <c r="AZ33" i="5"/>
  <c r="AY28" i="20" s="1"/>
  <c r="AZ34" i="5"/>
  <c r="AZ35" i="5"/>
  <c r="AZ36" i="5"/>
  <c r="AZ37" i="5"/>
  <c r="AZ38" i="5"/>
  <c r="AY33" i="20" s="1"/>
  <c r="AZ39" i="5"/>
  <c r="BD21" i="5"/>
  <c r="BC16" i="20" s="1"/>
  <c r="BD22" i="5"/>
  <c r="BD23" i="5"/>
  <c r="BD25" i="5"/>
  <c r="BD26" i="5"/>
  <c r="BC21" i="20" s="1"/>
  <c r="BD27" i="5"/>
  <c r="BC22" i="20" s="1"/>
  <c r="BD28" i="5"/>
  <c r="BD29" i="5"/>
  <c r="BD30" i="5"/>
  <c r="BC25" i="20" s="1"/>
  <c r="BD31" i="5"/>
  <c r="BD32" i="5"/>
  <c r="BD33" i="5"/>
  <c r="BD34" i="5"/>
  <c r="BC29" i="20" s="1"/>
  <c r="BD35" i="5"/>
  <c r="BD36" i="5"/>
  <c r="BC31" i="20" s="1"/>
  <c r="BD37" i="5"/>
  <c r="BD38" i="5"/>
  <c r="BC33" i="20" s="1"/>
  <c r="BD39" i="5"/>
  <c r="BE21" i="5"/>
  <c r="BE22" i="5"/>
  <c r="BE23" i="5"/>
  <c r="P13" i="25" s="1"/>
  <c r="BE25" i="5"/>
  <c r="BE26" i="5"/>
  <c r="BE27" i="5"/>
  <c r="BE28" i="5"/>
  <c r="BE29" i="5"/>
  <c r="BD24" i="20" s="1"/>
  <c r="BE30" i="5"/>
  <c r="BE31" i="5"/>
  <c r="BE32" i="5"/>
  <c r="BE33" i="5"/>
  <c r="BE34" i="5"/>
  <c r="BE35" i="5"/>
  <c r="BE36" i="5"/>
  <c r="BE37" i="5"/>
  <c r="BE38" i="5"/>
  <c r="BE39" i="5"/>
  <c r="BF21" i="5"/>
  <c r="BE16" i="20" s="1"/>
  <c r="BF22" i="5"/>
  <c r="BF25" i="5"/>
  <c r="BF26" i="5"/>
  <c r="BF27" i="5"/>
  <c r="BE22" i="20" s="1"/>
  <c r="BF28" i="5"/>
  <c r="BF29" i="5"/>
  <c r="BF30" i="5"/>
  <c r="BF31" i="5"/>
  <c r="BE26" i="20" s="1"/>
  <c r="BF32" i="5"/>
  <c r="BF33" i="5"/>
  <c r="BF34" i="5"/>
  <c r="BF35" i="5"/>
  <c r="BF36" i="5"/>
  <c r="BE31" i="20" s="1"/>
  <c r="BF37" i="5"/>
  <c r="BF38" i="5"/>
  <c r="BF39" i="5"/>
  <c r="BG20" i="5"/>
  <c r="BF15" i="20" s="1"/>
  <c r="BG21" i="5"/>
  <c r="BG22" i="5"/>
  <c r="BG23" i="5"/>
  <c r="R13" i="25" s="1"/>
  <c r="BG25" i="5"/>
  <c r="BG26" i="5"/>
  <c r="BG27" i="5"/>
  <c r="BG28" i="5"/>
  <c r="BF23" i="20" s="1"/>
  <c r="BG29" i="5"/>
  <c r="BG30" i="5"/>
  <c r="BG31" i="5"/>
  <c r="BG32" i="5"/>
  <c r="BG33" i="5"/>
  <c r="BG34" i="5"/>
  <c r="BG35" i="5"/>
  <c r="BG36" i="5"/>
  <c r="BF31" i="20" s="1"/>
  <c r="BG37" i="5"/>
  <c r="BF32" i="20" s="1"/>
  <c r="BG38" i="5"/>
  <c r="BG39" i="5"/>
  <c r="BJ21" i="5"/>
  <c r="BJ22" i="5"/>
  <c r="BJ23" i="5"/>
  <c r="BJ25" i="5"/>
  <c r="BJ26" i="5"/>
  <c r="BJ27" i="5"/>
  <c r="BJ28" i="5"/>
  <c r="BJ29" i="5"/>
  <c r="BJ30" i="5"/>
  <c r="BJ31" i="5"/>
  <c r="BI26" i="20" s="1"/>
  <c r="BJ32" i="5"/>
  <c r="BJ33" i="5"/>
  <c r="BJ34" i="5"/>
  <c r="BJ35" i="5"/>
  <c r="BI30" i="20" s="1"/>
  <c r="BJ36" i="5"/>
  <c r="BJ37" i="5"/>
  <c r="BJ38" i="5"/>
  <c r="BJ39" i="5"/>
  <c r="BL21" i="5"/>
  <c r="BL22" i="5"/>
  <c r="BL23" i="5"/>
  <c r="BL25" i="5"/>
  <c r="BL26" i="5"/>
  <c r="BK21" i="20" s="1"/>
  <c r="BL27" i="5"/>
  <c r="BL28" i="5"/>
  <c r="BK23" i="20" s="1"/>
  <c r="BL29" i="5"/>
  <c r="BL30" i="5"/>
  <c r="BL31" i="5"/>
  <c r="BL32" i="5"/>
  <c r="BL33" i="5"/>
  <c r="BK28" i="20" s="1"/>
  <c r="BL34" i="5"/>
  <c r="BL35" i="5"/>
  <c r="BL36" i="5"/>
  <c r="BK31" i="20" s="1"/>
  <c r="BL37" i="5"/>
  <c r="BL38" i="5"/>
  <c r="BL39" i="5"/>
  <c r="BM19" i="5"/>
  <c r="BM20" i="5"/>
  <c r="U10" i="25" s="1"/>
  <c r="BM21" i="5"/>
  <c r="BL16" i="20" s="1"/>
  <c r="BM22" i="5"/>
  <c r="BM25" i="5"/>
  <c r="BM26" i="5"/>
  <c r="BM27" i="5"/>
  <c r="BM28" i="5"/>
  <c r="BM29" i="5"/>
  <c r="BM30" i="5"/>
  <c r="BM31" i="5"/>
  <c r="BM32" i="5"/>
  <c r="BM33" i="5"/>
  <c r="BM34" i="5"/>
  <c r="BL29" i="20" s="1"/>
  <c r="BM35" i="5"/>
  <c r="BM36" i="5"/>
  <c r="BM37" i="5"/>
  <c r="BL32" i="20" s="1"/>
  <c r="BM38" i="5"/>
  <c r="BM39" i="5"/>
  <c r="BL34" i="20" s="1"/>
  <c r="AW21" i="5"/>
  <c r="AW22" i="5"/>
  <c r="AW23" i="5"/>
  <c r="AW25" i="5"/>
  <c r="AW26" i="5"/>
  <c r="AW27" i="5"/>
  <c r="AV22" i="20" s="1"/>
  <c r="AW28" i="5"/>
  <c r="AW29" i="5"/>
  <c r="AV24" i="20" s="1"/>
  <c r="AW30" i="5"/>
  <c r="AW31" i="5"/>
  <c r="AW32" i="5"/>
  <c r="AW33" i="5"/>
  <c r="AW34" i="5"/>
  <c r="AW35" i="5"/>
  <c r="AV30" i="20" s="1"/>
  <c r="AW36" i="5"/>
  <c r="AW37" i="5"/>
  <c r="AW38" i="5"/>
  <c r="AW39" i="5"/>
  <c r="AV34" i="20" s="1"/>
  <c r="AX21" i="5"/>
  <c r="AX22" i="5"/>
  <c r="AX23" i="5"/>
  <c r="AX25" i="5"/>
  <c r="AW20" i="20" s="1"/>
  <c r="AX26" i="5"/>
  <c r="AX27" i="5"/>
  <c r="AW22" i="20" s="1"/>
  <c r="AX28" i="5"/>
  <c r="AX29" i="5"/>
  <c r="AX30" i="5"/>
  <c r="AW25" i="20" s="1"/>
  <c r="AX31" i="5"/>
  <c r="AX32" i="5"/>
  <c r="AX33" i="5"/>
  <c r="AW28" i="20" s="1"/>
  <c r="AX34" i="5"/>
  <c r="AX35" i="5"/>
  <c r="AX36" i="5"/>
  <c r="AX37" i="5"/>
  <c r="AX38" i="5"/>
  <c r="AX39" i="5"/>
  <c r="AY21" i="5"/>
  <c r="AY22" i="5"/>
  <c r="AX17" i="20" s="1"/>
  <c r="AY23" i="5"/>
  <c r="AY25" i="5"/>
  <c r="AY26" i="5"/>
  <c r="AY27" i="5"/>
  <c r="AY28" i="5"/>
  <c r="AY29" i="5"/>
  <c r="AY30" i="5"/>
  <c r="AY31" i="5"/>
  <c r="AY32" i="5"/>
  <c r="AX27" i="20" s="1"/>
  <c r="AY33" i="5"/>
  <c r="AY34" i="5"/>
  <c r="AY35" i="5"/>
  <c r="AY36" i="5"/>
  <c r="AY37" i="5"/>
  <c r="AY38" i="5"/>
  <c r="AY39" i="5"/>
  <c r="BA21" i="5"/>
  <c r="BA22" i="5"/>
  <c r="BA23" i="5"/>
  <c r="BA25" i="5"/>
  <c r="BA26" i="5"/>
  <c r="BA27" i="5"/>
  <c r="BA28" i="5"/>
  <c r="BA29" i="5"/>
  <c r="AZ24" i="20" s="1"/>
  <c r="BA30" i="5"/>
  <c r="BA31" i="5"/>
  <c r="BA32" i="5"/>
  <c r="BA33" i="5"/>
  <c r="AZ28" i="20" s="1"/>
  <c r="BA34" i="5"/>
  <c r="AZ29" i="20" s="1"/>
  <c r="BA35" i="5"/>
  <c r="BA36" i="5"/>
  <c r="BA37" i="5"/>
  <c r="AZ32" i="20" s="1"/>
  <c r="BA38" i="5"/>
  <c r="BA39" i="5"/>
  <c r="BB21" i="5"/>
  <c r="BB22" i="5"/>
  <c r="BB23" i="5"/>
  <c r="BB25" i="5"/>
  <c r="BB26" i="5"/>
  <c r="BB27" i="5"/>
  <c r="BA22" i="20" s="1"/>
  <c r="BB28" i="5"/>
  <c r="BB29" i="5"/>
  <c r="BA24" i="20" s="1"/>
  <c r="BB30" i="5"/>
  <c r="BB31" i="5"/>
  <c r="BA26" i="20" s="1"/>
  <c r="BB32" i="5"/>
  <c r="BB33" i="5"/>
  <c r="BB34" i="5"/>
  <c r="BB35" i="5"/>
  <c r="BA30" i="20" s="1"/>
  <c r="BB36" i="5"/>
  <c r="BA31" i="20" s="1"/>
  <c r="BB37" i="5"/>
  <c r="BB38" i="5"/>
  <c r="BB39" i="5"/>
  <c r="BC21" i="5"/>
  <c r="BC22" i="5"/>
  <c r="BC23" i="5"/>
  <c r="BC25" i="5"/>
  <c r="BB20" i="20" s="1"/>
  <c r="BC26" i="5"/>
  <c r="BB21" i="20" s="1"/>
  <c r="BC27" i="5"/>
  <c r="BB22" i="20" s="1"/>
  <c r="BC28" i="5"/>
  <c r="BC29" i="5"/>
  <c r="BC30" i="5"/>
  <c r="BC31" i="5"/>
  <c r="BC32" i="5"/>
  <c r="BC33" i="5"/>
  <c r="BB28" i="20" s="1"/>
  <c r="BC34" i="5"/>
  <c r="BC35" i="5"/>
  <c r="BC36" i="5"/>
  <c r="BC37" i="5"/>
  <c r="BC38" i="5"/>
  <c r="BB33" i="20" s="1"/>
  <c r="BC39" i="5"/>
  <c r="BH21" i="5"/>
  <c r="BH22" i="5"/>
  <c r="BG17" i="20" s="1"/>
  <c r="BH23" i="5"/>
  <c r="BG18" i="20" s="1"/>
  <c r="BH25" i="5"/>
  <c r="BH26" i="5"/>
  <c r="BH27" i="5"/>
  <c r="BH28" i="5"/>
  <c r="BG23" i="20" s="1"/>
  <c r="BH29" i="5"/>
  <c r="BH30" i="5"/>
  <c r="BH31" i="5"/>
  <c r="BH32" i="5"/>
  <c r="BH33" i="5"/>
  <c r="BG28" i="20" s="1"/>
  <c r="BH34" i="5"/>
  <c r="BH35" i="5"/>
  <c r="BG30" i="20" s="1"/>
  <c r="BH36" i="5"/>
  <c r="BH37" i="5"/>
  <c r="BH38" i="5"/>
  <c r="BH39" i="5"/>
  <c r="BG34" i="20" s="1"/>
  <c r="BI21" i="5"/>
  <c r="BI22" i="5"/>
  <c r="BI23" i="5"/>
  <c r="BI25" i="5"/>
  <c r="BI26" i="5"/>
  <c r="BI27" i="5"/>
  <c r="BI28" i="5"/>
  <c r="BI29" i="5"/>
  <c r="BI30" i="5"/>
  <c r="BI31" i="5"/>
  <c r="BI32" i="5"/>
  <c r="BI33" i="5"/>
  <c r="BH28" i="20" s="1"/>
  <c r="BI34" i="5"/>
  <c r="BH29" i="20" s="1"/>
  <c r="BI35" i="5"/>
  <c r="BI36" i="5"/>
  <c r="BI37" i="5"/>
  <c r="BH32" i="20" s="1"/>
  <c r="BI38" i="5"/>
  <c r="BI39" i="5"/>
  <c r="BH34" i="20" s="1"/>
  <c r="BI19" i="5"/>
  <c r="BH14" i="20" s="1"/>
  <c r="BK21" i="5"/>
  <c r="BK22" i="5"/>
  <c r="BK23" i="5"/>
  <c r="BK25" i="5"/>
  <c r="BK26" i="5"/>
  <c r="BK27" i="5"/>
  <c r="BK28" i="5"/>
  <c r="BJ23" i="20" s="1"/>
  <c r="BK29" i="5"/>
  <c r="BK30" i="5"/>
  <c r="BK31" i="5"/>
  <c r="BK32" i="5"/>
  <c r="BK33" i="5"/>
  <c r="BK34" i="5"/>
  <c r="BJ29" i="20" s="1"/>
  <c r="BK35" i="5"/>
  <c r="BK36" i="5"/>
  <c r="BK37" i="5"/>
  <c r="BK38" i="5"/>
  <c r="BK39" i="5"/>
  <c r="BJ34" i="20" s="1"/>
  <c r="BK19" i="5"/>
  <c r="C61" i="5"/>
  <c r="C62" i="5"/>
  <c r="C63" i="5"/>
  <c r="C64" i="5"/>
  <c r="C65" i="5"/>
  <c r="C66" i="5"/>
  <c r="C67" i="5"/>
  <c r="C68" i="5"/>
  <c r="C69" i="5"/>
  <c r="C70" i="5"/>
  <c r="C71" i="5"/>
  <c r="C72" i="5"/>
  <c r="C73" i="5"/>
  <c r="D61" i="5"/>
  <c r="D62" i="5"/>
  <c r="D63" i="5"/>
  <c r="D64" i="5"/>
  <c r="D65" i="5"/>
  <c r="C60" i="20" s="1"/>
  <c r="D66" i="5"/>
  <c r="D67" i="5"/>
  <c r="D68" i="5"/>
  <c r="D69" i="5"/>
  <c r="D70" i="5"/>
  <c r="D71" i="5"/>
  <c r="D72" i="5"/>
  <c r="D73" i="5"/>
  <c r="C68" i="20" s="1"/>
  <c r="E61" i="5"/>
  <c r="E62" i="5"/>
  <c r="E63" i="5"/>
  <c r="E64" i="5"/>
  <c r="E65" i="5"/>
  <c r="E66" i="5"/>
  <c r="E67" i="5"/>
  <c r="E68" i="5"/>
  <c r="E69" i="5"/>
  <c r="E70" i="5"/>
  <c r="E71" i="5"/>
  <c r="E72" i="5"/>
  <c r="E73" i="5"/>
  <c r="F61" i="5"/>
  <c r="F62" i="5"/>
  <c r="F63" i="5"/>
  <c r="F64" i="5"/>
  <c r="F65" i="5"/>
  <c r="F66" i="5"/>
  <c r="F67" i="5"/>
  <c r="F68" i="5"/>
  <c r="F69" i="5"/>
  <c r="F70" i="5"/>
  <c r="F71" i="5"/>
  <c r="F72" i="5"/>
  <c r="F73" i="5"/>
  <c r="G61" i="5"/>
  <c r="G62" i="5"/>
  <c r="G63" i="5"/>
  <c r="G64" i="5"/>
  <c r="G65" i="5"/>
  <c r="G66" i="5"/>
  <c r="G67" i="5"/>
  <c r="G68" i="5"/>
  <c r="G69" i="5"/>
  <c r="G70" i="5"/>
  <c r="G71" i="5"/>
  <c r="G72" i="5"/>
  <c r="G73" i="5"/>
  <c r="H61" i="5"/>
  <c r="H62" i="5"/>
  <c r="H63" i="5"/>
  <c r="H64" i="5"/>
  <c r="H65" i="5"/>
  <c r="H66" i="5"/>
  <c r="H67" i="5"/>
  <c r="H68" i="5"/>
  <c r="H69" i="5"/>
  <c r="H70" i="5"/>
  <c r="H71" i="5"/>
  <c r="H72" i="5"/>
  <c r="H73" i="5"/>
  <c r="I61" i="5"/>
  <c r="I62" i="5"/>
  <c r="I63" i="5"/>
  <c r="I64" i="5"/>
  <c r="I65" i="5"/>
  <c r="I66" i="5"/>
  <c r="I67" i="5"/>
  <c r="I68" i="5"/>
  <c r="I69" i="5"/>
  <c r="I70" i="5"/>
  <c r="I71" i="5"/>
  <c r="I72" i="5"/>
  <c r="I73" i="5"/>
  <c r="J61" i="5"/>
  <c r="J62" i="5"/>
  <c r="J63" i="5"/>
  <c r="J64" i="5"/>
  <c r="J65" i="5"/>
  <c r="J66" i="5"/>
  <c r="J67" i="5"/>
  <c r="J68" i="5"/>
  <c r="J69" i="5"/>
  <c r="J70" i="5"/>
  <c r="J71" i="5"/>
  <c r="J72" i="5"/>
  <c r="J73" i="5"/>
  <c r="K61" i="5"/>
  <c r="K62" i="5"/>
  <c r="K63" i="5"/>
  <c r="K64" i="5"/>
  <c r="K65" i="5"/>
  <c r="K66" i="5"/>
  <c r="K67" i="5"/>
  <c r="K68" i="5"/>
  <c r="K69" i="5"/>
  <c r="K70" i="5"/>
  <c r="K71" i="5"/>
  <c r="K72" i="5"/>
  <c r="K73" i="5"/>
  <c r="L61" i="5"/>
  <c r="L62" i="5"/>
  <c r="L63" i="5"/>
  <c r="L64" i="5"/>
  <c r="L65" i="5"/>
  <c r="L66" i="5"/>
  <c r="L67" i="5"/>
  <c r="L68" i="5"/>
  <c r="L69" i="5"/>
  <c r="L70" i="5"/>
  <c r="L71" i="5"/>
  <c r="L72" i="5"/>
  <c r="L73" i="5"/>
  <c r="M61" i="5"/>
  <c r="M62" i="5"/>
  <c r="M63" i="5"/>
  <c r="M64" i="5"/>
  <c r="M65" i="5"/>
  <c r="M66" i="5"/>
  <c r="M67" i="5"/>
  <c r="M68" i="5"/>
  <c r="M69" i="5"/>
  <c r="M70" i="5"/>
  <c r="M71" i="5"/>
  <c r="M72" i="5"/>
  <c r="M73" i="5"/>
  <c r="N61" i="5"/>
  <c r="N62" i="5"/>
  <c r="N63" i="5"/>
  <c r="N64" i="5"/>
  <c r="N65" i="5"/>
  <c r="N66" i="5"/>
  <c r="N67" i="5"/>
  <c r="N68" i="5"/>
  <c r="N69" i="5"/>
  <c r="N70" i="5"/>
  <c r="N71" i="5"/>
  <c r="N72" i="5"/>
  <c r="N73" i="5"/>
  <c r="O61" i="5"/>
  <c r="O62" i="5"/>
  <c r="O63" i="5"/>
  <c r="O64" i="5"/>
  <c r="O65" i="5"/>
  <c r="O66" i="5"/>
  <c r="O67" i="5"/>
  <c r="O68" i="5"/>
  <c r="O69" i="5"/>
  <c r="O70" i="5"/>
  <c r="O71" i="5"/>
  <c r="O72" i="5"/>
  <c r="O73" i="5"/>
  <c r="O60" i="5"/>
  <c r="P61" i="5"/>
  <c r="P62" i="5"/>
  <c r="P63" i="5"/>
  <c r="P64" i="5"/>
  <c r="P65" i="5"/>
  <c r="P66" i="5"/>
  <c r="P67" i="5"/>
  <c r="P68" i="5"/>
  <c r="P69" i="5"/>
  <c r="P70" i="5"/>
  <c r="P71" i="5"/>
  <c r="P72" i="5"/>
  <c r="P73" i="5"/>
  <c r="Q61" i="5"/>
  <c r="Q62" i="5"/>
  <c r="Q63" i="5"/>
  <c r="P58" i="20" s="1"/>
  <c r="Q64" i="5"/>
  <c r="Q65" i="5"/>
  <c r="Q66" i="5"/>
  <c r="Q67" i="5"/>
  <c r="Q68" i="5"/>
  <c r="Q69" i="5"/>
  <c r="Q70" i="5"/>
  <c r="Q71" i="5"/>
  <c r="P66" i="20" s="1"/>
  <c r="Q72" i="5"/>
  <c r="Q73" i="5"/>
  <c r="R61" i="5"/>
  <c r="R62" i="5"/>
  <c r="R63" i="5"/>
  <c r="R64" i="5"/>
  <c r="R65" i="5"/>
  <c r="R66" i="5"/>
  <c r="R67" i="5"/>
  <c r="R68" i="5"/>
  <c r="R69" i="5"/>
  <c r="R70" i="5"/>
  <c r="R71" i="5"/>
  <c r="R72" i="5"/>
  <c r="R73" i="5"/>
  <c r="S61" i="5"/>
  <c r="S62" i="5"/>
  <c r="S63" i="5"/>
  <c r="S64" i="5"/>
  <c r="S65" i="5"/>
  <c r="S66" i="5"/>
  <c r="S67" i="5"/>
  <c r="S68" i="5"/>
  <c r="S69" i="5"/>
  <c r="S70" i="5"/>
  <c r="S71" i="5"/>
  <c r="S72" i="5"/>
  <c r="S73" i="5"/>
  <c r="T61" i="5"/>
  <c r="T62" i="5"/>
  <c r="T63" i="5"/>
  <c r="T64" i="5"/>
  <c r="T65" i="5"/>
  <c r="T66" i="5"/>
  <c r="T67" i="5"/>
  <c r="T68" i="5"/>
  <c r="T69" i="5"/>
  <c r="T70" i="5"/>
  <c r="T71" i="5"/>
  <c r="T72" i="5"/>
  <c r="T73" i="5"/>
  <c r="U61" i="5"/>
  <c r="U62" i="5"/>
  <c r="U63" i="5"/>
  <c r="U64" i="5"/>
  <c r="U65" i="5"/>
  <c r="U66" i="5"/>
  <c r="U67" i="5"/>
  <c r="U68" i="5"/>
  <c r="U69" i="5"/>
  <c r="U70" i="5"/>
  <c r="U71" i="5"/>
  <c r="U72" i="5"/>
  <c r="U73" i="5"/>
  <c r="V61" i="5"/>
  <c r="V62" i="5"/>
  <c r="V63" i="5"/>
  <c r="V64" i="5"/>
  <c r="V65" i="5"/>
  <c r="V66" i="5"/>
  <c r="V67" i="5"/>
  <c r="V68" i="5"/>
  <c r="V69" i="5"/>
  <c r="V70" i="5"/>
  <c r="V71" i="5"/>
  <c r="V72" i="5"/>
  <c r="V73" i="5"/>
  <c r="W61" i="5"/>
  <c r="W62" i="5"/>
  <c r="W63" i="5"/>
  <c r="W64" i="5"/>
  <c r="W65" i="5"/>
  <c r="W66" i="5"/>
  <c r="W67" i="5"/>
  <c r="W68" i="5"/>
  <c r="W69" i="5"/>
  <c r="W70" i="5"/>
  <c r="W71" i="5"/>
  <c r="W72" i="5"/>
  <c r="W73" i="5"/>
  <c r="X61" i="5"/>
  <c r="X62" i="5"/>
  <c r="X63" i="5"/>
  <c r="X64" i="5"/>
  <c r="X65" i="5"/>
  <c r="X66" i="5"/>
  <c r="X67" i="5"/>
  <c r="X68" i="5"/>
  <c r="X69" i="5"/>
  <c r="X70" i="5"/>
  <c r="X71" i="5"/>
  <c r="X72" i="5"/>
  <c r="X73" i="5"/>
  <c r="Y61" i="5"/>
  <c r="Y62" i="5"/>
  <c r="Y63" i="5"/>
  <c r="Y64" i="5"/>
  <c r="Y65" i="5"/>
  <c r="Y66" i="5"/>
  <c r="Y67" i="5"/>
  <c r="Y68" i="5"/>
  <c r="Y69" i="5"/>
  <c r="Y70" i="5"/>
  <c r="Y71" i="5"/>
  <c r="Y72" i="5"/>
  <c r="Y73" i="5"/>
  <c r="Z61" i="5"/>
  <c r="Z62" i="5"/>
  <c r="Z63" i="5"/>
  <c r="Z64" i="5"/>
  <c r="Z65" i="5"/>
  <c r="Z66" i="5"/>
  <c r="Z67" i="5"/>
  <c r="Z68" i="5"/>
  <c r="Z69" i="5"/>
  <c r="Z70" i="5"/>
  <c r="Z71" i="5"/>
  <c r="Z72" i="5"/>
  <c r="Z73" i="5"/>
  <c r="AA61" i="5"/>
  <c r="AA62" i="5"/>
  <c r="AA63" i="5"/>
  <c r="AA64" i="5"/>
  <c r="AA65" i="5"/>
  <c r="AA66" i="5"/>
  <c r="AA67" i="5"/>
  <c r="AA68" i="5"/>
  <c r="AA69" i="5"/>
  <c r="AA70" i="5"/>
  <c r="AA71" i="5"/>
  <c r="AA72" i="5"/>
  <c r="AA73" i="5"/>
  <c r="AB61" i="5"/>
  <c r="AB62" i="5"/>
  <c r="AB63" i="5"/>
  <c r="AB64" i="5"/>
  <c r="AB65" i="5"/>
  <c r="AB66" i="5"/>
  <c r="AB67" i="5"/>
  <c r="AB68" i="5"/>
  <c r="AB69" i="5"/>
  <c r="AB70" i="5"/>
  <c r="AB71" i="5"/>
  <c r="AB72" i="5"/>
  <c r="AB73" i="5"/>
  <c r="AA68" i="20" s="1"/>
  <c r="AD61" i="5"/>
  <c r="AD62" i="5"/>
  <c r="AD63" i="5"/>
  <c r="AD64" i="5"/>
  <c r="AD65" i="5"/>
  <c r="AD66" i="5"/>
  <c r="AD67" i="5"/>
  <c r="AD68" i="5"/>
  <c r="AD69" i="5"/>
  <c r="AD70" i="5"/>
  <c r="AD71" i="5"/>
  <c r="AD72" i="5"/>
  <c r="AD73" i="5"/>
  <c r="AE61" i="5"/>
  <c r="AE62" i="5"/>
  <c r="AE63" i="5"/>
  <c r="AE64" i="5"/>
  <c r="AE65" i="5"/>
  <c r="AE66" i="5"/>
  <c r="AE67" i="5"/>
  <c r="AE68" i="5"/>
  <c r="AE69" i="5"/>
  <c r="AE70" i="5"/>
  <c r="AE71" i="5"/>
  <c r="AE72" i="5"/>
  <c r="AE73" i="5"/>
  <c r="AF61" i="5"/>
  <c r="AF62" i="5"/>
  <c r="AF63" i="5"/>
  <c r="AF64" i="5"/>
  <c r="AF65" i="5"/>
  <c r="AF66" i="5"/>
  <c r="AF67" i="5"/>
  <c r="AF68" i="5"/>
  <c r="AE63" i="20" s="1"/>
  <c r="AF69" i="5"/>
  <c r="AE64" i="20" s="1"/>
  <c r="AF70" i="5"/>
  <c r="AF71" i="5"/>
  <c r="AF72" i="5"/>
  <c r="AF73" i="5"/>
  <c r="AG61" i="5"/>
  <c r="AG62" i="5"/>
  <c r="AG63" i="5"/>
  <c r="AF58" i="20" s="1"/>
  <c r="AG64" i="5"/>
  <c r="AF59" i="20" s="1"/>
  <c r="AG65" i="5"/>
  <c r="AG66" i="5"/>
  <c r="AG67" i="5"/>
  <c r="AG68" i="5"/>
  <c r="AG69" i="5"/>
  <c r="AG70" i="5"/>
  <c r="AG71" i="5"/>
  <c r="AG72" i="5"/>
  <c r="AF67" i="20" s="1"/>
  <c r="AG73" i="5"/>
  <c r="AG61" i="20"/>
  <c r="AG62" i="20"/>
  <c r="AH56" i="20"/>
  <c r="AH57" i="20"/>
  <c r="AH64" i="20"/>
  <c r="AH65" i="20"/>
  <c r="AJ61" i="5"/>
  <c r="AJ62" i="5"/>
  <c r="AJ63" i="5"/>
  <c r="AJ64" i="5"/>
  <c r="AI59" i="20" s="1"/>
  <c r="AJ65" i="5"/>
  <c r="AI60" i="20" s="1"/>
  <c r="AJ66" i="5"/>
  <c r="AJ67" i="5"/>
  <c r="AJ68" i="5"/>
  <c r="AJ69" i="5"/>
  <c r="AJ70" i="5"/>
  <c r="AJ71" i="5"/>
  <c r="AJ72" i="5"/>
  <c r="AJ73" i="5"/>
  <c r="AI68" i="20" s="1"/>
  <c r="AK61" i="5"/>
  <c r="AK62" i="5"/>
  <c r="AK63" i="5"/>
  <c r="AK64" i="5"/>
  <c r="AK65" i="5"/>
  <c r="AK66" i="5"/>
  <c r="AK67" i="5"/>
  <c r="AJ62" i="20" s="1"/>
  <c r="AK68" i="5"/>
  <c r="AJ63" i="20" s="1"/>
  <c r="AK69" i="5"/>
  <c r="AK70" i="5"/>
  <c r="AK71" i="5"/>
  <c r="AK72" i="5"/>
  <c r="AK73" i="5"/>
  <c r="AL61" i="5"/>
  <c r="AL62" i="5"/>
  <c r="AK57" i="20" s="1"/>
  <c r="AL63" i="5"/>
  <c r="AK58" i="20" s="1"/>
  <c r="AL64" i="5"/>
  <c r="AL65" i="5"/>
  <c r="AL66" i="5"/>
  <c r="AL67" i="5"/>
  <c r="AL68" i="5"/>
  <c r="AL69" i="5"/>
  <c r="AL70" i="5"/>
  <c r="AK65" i="20" s="1"/>
  <c r="AL71" i="5"/>
  <c r="AL72" i="5"/>
  <c r="AL73" i="5"/>
  <c r="AM61" i="5"/>
  <c r="AM62" i="5"/>
  <c r="AM63" i="5"/>
  <c r="AM64" i="5"/>
  <c r="AM65" i="5"/>
  <c r="AL60" i="20" s="1"/>
  <c r="AM66" i="5"/>
  <c r="AM67" i="5"/>
  <c r="AM68" i="5"/>
  <c r="AM69" i="5"/>
  <c r="AM70" i="5"/>
  <c r="AM71" i="5"/>
  <c r="AM72" i="5"/>
  <c r="AM73" i="5"/>
  <c r="AN61" i="5"/>
  <c r="AM56" i="20" s="1"/>
  <c r="AN62" i="5"/>
  <c r="AN63" i="5"/>
  <c r="AN64" i="5"/>
  <c r="AN65" i="5"/>
  <c r="AN66" i="5"/>
  <c r="AN67" i="5"/>
  <c r="AN68" i="5"/>
  <c r="AM63" i="20" s="1"/>
  <c r="AN69" i="5"/>
  <c r="AM64" i="20" s="1"/>
  <c r="AN70" i="5"/>
  <c r="AN71" i="5"/>
  <c r="AN72" i="5"/>
  <c r="AN73" i="5"/>
  <c r="AO61" i="5"/>
  <c r="AO62" i="5"/>
  <c r="AO63" i="5"/>
  <c r="AN58" i="20" s="1"/>
  <c r="AO64" i="5"/>
  <c r="AN59" i="20" s="1"/>
  <c r="AO65" i="5"/>
  <c r="AO66" i="5"/>
  <c r="AO67" i="5"/>
  <c r="AO68" i="5"/>
  <c r="AO69" i="5"/>
  <c r="AO70" i="5"/>
  <c r="AO71" i="5"/>
  <c r="AO72" i="5"/>
  <c r="AN67" i="20" s="1"/>
  <c r="AO73" i="5"/>
  <c r="AP61" i="5"/>
  <c r="AP62" i="5"/>
  <c r="AP63" i="5"/>
  <c r="AP64" i="5"/>
  <c r="AP65" i="5"/>
  <c r="AP66" i="5"/>
  <c r="AO61" i="20" s="1"/>
  <c r="AP67" i="5"/>
  <c r="AO62" i="20" s="1"/>
  <c r="AP68" i="5"/>
  <c r="AP69" i="5"/>
  <c r="AP70" i="5"/>
  <c r="AO65" i="20" s="1"/>
  <c r="AP71" i="5"/>
  <c r="AP72" i="5"/>
  <c r="AP73" i="5"/>
  <c r="AP56" i="20"/>
  <c r="AP57" i="20"/>
  <c r="AP64" i="20"/>
  <c r="AR61" i="5"/>
  <c r="AR62" i="5"/>
  <c r="AR63" i="5"/>
  <c r="AR64" i="5"/>
  <c r="AQ59" i="20" s="1"/>
  <c r="AR65" i="5"/>
  <c r="AQ60" i="20" s="1"/>
  <c r="AR66" i="5"/>
  <c r="AR67" i="5"/>
  <c r="AR68" i="5"/>
  <c r="AR69" i="5"/>
  <c r="AR70" i="5"/>
  <c r="AR71" i="5"/>
  <c r="AR72" i="5"/>
  <c r="AR73" i="5"/>
  <c r="AQ68" i="20" s="1"/>
  <c r="AS61" i="5"/>
  <c r="AS62" i="5"/>
  <c r="AS63" i="5"/>
  <c r="AS64" i="5"/>
  <c r="AS65" i="5"/>
  <c r="AS66" i="5"/>
  <c r="AS67" i="5"/>
  <c r="AR62" i="20" s="1"/>
  <c r="AS68" i="5"/>
  <c r="AR63" i="20" s="1"/>
  <c r="AS69" i="5"/>
  <c r="AS70" i="5"/>
  <c r="AS71" i="5"/>
  <c r="AS72" i="5"/>
  <c r="AS73" i="5"/>
  <c r="AT61" i="5"/>
  <c r="AT62" i="5"/>
  <c r="AS57" i="20" s="1"/>
  <c r="AT63" i="5"/>
  <c r="AS58" i="20" s="1"/>
  <c r="AT64" i="5"/>
  <c r="AT65" i="5"/>
  <c r="AT66" i="5"/>
  <c r="AT67" i="5"/>
  <c r="AT68" i="5"/>
  <c r="AT69" i="5"/>
  <c r="AT70" i="5"/>
  <c r="AS65" i="20" s="1"/>
  <c r="AT71" i="5"/>
  <c r="AT72" i="5"/>
  <c r="AT73" i="5"/>
  <c r="AU61" i="5"/>
  <c r="AU62" i="5"/>
  <c r="AU63" i="5"/>
  <c r="AU64" i="5"/>
  <c r="AU65" i="5"/>
  <c r="AT60" i="20" s="1"/>
  <c r="AU66" i="5"/>
  <c r="AT61" i="20" s="1"/>
  <c r="AU67" i="5"/>
  <c r="AU68" i="5"/>
  <c r="AU69" i="5"/>
  <c r="AT64" i="20" s="1"/>
  <c r="AU70" i="5"/>
  <c r="AU71" i="5"/>
  <c r="AU72" i="5"/>
  <c r="AU73" i="5"/>
  <c r="AT68" i="20" s="1"/>
  <c r="AW59" i="20"/>
  <c r="AZ61" i="5"/>
  <c r="AZ62" i="5"/>
  <c r="AZ63" i="5"/>
  <c r="AZ64" i="5"/>
  <c r="AZ65" i="5"/>
  <c r="AZ66" i="5"/>
  <c r="AZ67" i="5"/>
  <c r="AZ68" i="5"/>
  <c r="AZ69" i="5"/>
  <c r="AZ70" i="5"/>
  <c r="AZ71" i="5"/>
  <c r="AZ72" i="5"/>
  <c r="AZ73" i="5"/>
  <c r="BA61" i="5"/>
  <c r="BA62" i="5"/>
  <c r="BA63" i="5"/>
  <c r="BA64" i="5"/>
  <c r="AZ59" i="20" s="1"/>
  <c r="BA65" i="5"/>
  <c r="AZ60" i="20" s="1"/>
  <c r="BA66" i="5"/>
  <c r="BA67" i="5"/>
  <c r="BA68" i="5"/>
  <c r="BA69" i="5"/>
  <c r="BA70" i="5"/>
  <c r="BA71" i="5"/>
  <c r="BA72" i="5"/>
  <c r="AZ67" i="20" s="1"/>
  <c r="BA73" i="5"/>
  <c r="AZ68" i="20" s="1"/>
  <c r="BB61" i="5"/>
  <c r="BB62" i="5"/>
  <c r="BB63" i="5"/>
  <c r="BB64" i="5"/>
  <c r="BB65" i="5"/>
  <c r="BB66" i="5"/>
  <c r="BB67" i="5"/>
  <c r="BB68" i="5"/>
  <c r="BA63" i="20" s="1"/>
  <c r="BB69" i="5"/>
  <c r="BB70" i="5"/>
  <c r="BB71" i="5"/>
  <c r="BB72" i="5"/>
  <c r="BB73" i="5"/>
  <c r="BC61" i="5"/>
  <c r="BC62" i="5"/>
  <c r="BB57" i="20" s="1"/>
  <c r="BC63" i="5"/>
  <c r="BB58" i="20" s="1"/>
  <c r="BC64" i="5"/>
  <c r="BC65" i="5"/>
  <c r="BC66" i="5"/>
  <c r="BC67" i="5"/>
  <c r="BC68" i="5"/>
  <c r="BC69" i="5"/>
  <c r="BC70" i="5"/>
  <c r="BB65" i="20" s="1"/>
  <c r="BC71" i="5"/>
  <c r="BB66" i="20" s="1"/>
  <c r="BC72" i="5"/>
  <c r="BC73" i="5"/>
  <c r="BD61" i="5"/>
  <c r="BD62" i="5"/>
  <c r="BD63" i="5"/>
  <c r="BD64" i="5"/>
  <c r="BD65" i="5"/>
  <c r="BD66" i="5"/>
  <c r="BC61" i="20" s="1"/>
  <c r="BD67" i="5"/>
  <c r="BD68" i="5"/>
  <c r="BD69" i="5"/>
  <c r="BD70" i="5"/>
  <c r="BD71" i="5"/>
  <c r="BD72" i="5"/>
  <c r="BD73" i="5"/>
  <c r="BC68" i="20" s="1"/>
  <c r="BE61" i="5"/>
  <c r="BD56" i="20" s="1"/>
  <c r="BE62" i="5"/>
  <c r="BE63" i="5"/>
  <c r="BE64" i="5"/>
  <c r="BE65" i="5"/>
  <c r="BE66" i="5"/>
  <c r="BE67" i="5"/>
  <c r="BE68" i="5"/>
  <c r="BD63" i="20" s="1"/>
  <c r="BE69" i="5"/>
  <c r="BD64" i="20" s="1"/>
  <c r="BE70" i="5"/>
  <c r="BE71" i="5"/>
  <c r="BE72" i="5"/>
  <c r="BE73" i="5"/>
  <c r="BF61" i="5"/>
  <c r="BF62" i="5"/>
  <c r="BF63" i="5"/>
  <c r="BE58" i="20" s="1"/>
  <c r="BF64" i="5"/>
  <c r="BE59" i="20" s="1"/>
  <c r="BF65" i="5"/>
  <c r="BF66" i="5"/>
  <c r="BF67" i="5"/>
  <c r="BF68" i="5"/>
  <c r="BF69" i="5"/>
  <c r="BF70" i="5"/>
  <c r="BF71" i="5"/>
  <c r="BE66" i="20" s="1"/>
  <c r="BF72" i="5"/>
  <c r="BF73" i="5"/>
  <c r="BG61" i="5"/>
  <c r="BG62" i="5"/>
  <c r="BG63" i="5"/>
  <c r="BG64" i="5"/>
  <c r="BG65" i="5"/>
  <c r="BG66" i="5"/>
  <c r="BF61" i="20" s="1"/>
  <c r="BG67" i="5"/>
  <c r="BF62" i="20" s="1"/>
  <c r="BG68" i="5"/>
  <c r="BG69" i="5"/>
  <c r="BG70" i="5"/>
  <c r="BG71" i="5"/>
  <c r="BG72" i="5"/>
  <c r="BG73" i="5"/>
  <c r="BH61" i="5"/>
  <c r="BG56" i="20" s="1"/>
  <c r="BH62" i="5"/>
  <c r="BG57" i="20" s="1"/>
  <c r="BH63" i="5"/>
  <c r="BH64" i="5"/>
  <c r="BH65" i="5"/>
  <c r="BH66" i="5"/>
  <c r="BH67" i="5"/>
  <c r="BH68" i="5"/>
  <c r="BH69" i="5"/>
  <c r="BH70" i="5"/>
  <c r="BG65" i="20" s="1"/>
  <c r="BH71" i="5"/>
  <c r="BH72" i="5"/>
  <c r="BH73" i="5"/>
  <c r="BI61" i="5"/>
  <c r="BI62" i="5"/>
  <c r="BI63" i="5"/>
  <c r="BI64" i="5"/>
  <c r="BH59" i="20" s="1"/>
  <c r="BI65" i="5"/>
  <c r="BH60" i="20" s="1"/>
  <c r="BI66" i="5"/>
  <c r="BI67" i="5"/>
  <c r="BI68" i="5"/>
  <c r="BI69" i="5"/>
  <c r="BI70" i="5"/>
  <c r="BI71" i="5"/>
  <c r="BI72" i="5"/>
  <c r="BH67" i="20" s="1"/>
  <c r="BI73" i="5"/>
  <c r="BH68" i="20" s="1"/>
  <c r="BJ61" i="5"/>
  <c r="BJ62" i="5"/>
  <c r="BJ63" i="5"/>
  <c r="BJ64" i="5"/>
  <c r="BJ65" i="5"/>
  <c r="BJ66" i="5"/>
  <c r="BJ67" i="5"/>
  <c r="BI62" i="20" s="1"/>
  <c r="BJ68" i="5"/>
  <c r="BI63" i="20" s="1"/>
  <c r="BJ69" i="5"/>
  <c r="BJ70" i="5"/>
  <c r="BJ71" i="5"/>
  <c r="BJ72" i="5"/>
  <c r="BJ73" i="5"/>
  <c r="BK61" i="5"/>
  <c r="BK62" i="5"/>
  <c r="BJ57" i="20" s="1"/>
  <c r="BK63" i="5"/>
  <c r="BJ58" i="20" s="1"/>
  <c r="BK64" i="5"/>
  <c r="BK65" i="5"/>
  <c r="BK66" i="5"/>
  <c r="BK67" i="5"/>
  <c r="BK68" i="5"/>
  <c r="BK69" i="5"/>
  <c r="BK70" i="5"/>
  <c r="BJ65" i="20" s="1"/>
  <c r="BK71" i="5"/>
  <c r="BJ66" i="20" s="1"/>
  <c r="BK72" i="5"/>
  <c r="BK73" i="5"/>
  <c r="BL61" i="5"/>
  <c r="BL62" i="5"/>
  <c r="BL63" i="5"/>
  <c r="BL64" i="5"/>
  <c r="BL65" i="5"/>
  <c r="BL66" i="5"/>
  <c r="BK61" i="20" s="1"/>
  <c r="BL67" i="5"/>
  <c r="BL68" i="5"/>
  <c r="BL69" i="5"/>
  <c r="BL70" i="5"/>
  <c r="BL71" i="5"/>
  <c r="BK66" i="20" s="1"/>
  <c r="BL72" i="5"/>
  <c r="BL73" i="5"/>
  <c r="BK68" i="20" s="1"/>
  <c r="BM61" i="5"/>
  <c r="BL56" i="20" s="1"/>
  <c r="BM62" i="5"/>
  <c r="BM63" i="5"/>
  <c r="BM64" i="5"/>
  <c r="BM65" i="5"/>
  <c r="BM66" i="5"/>
  <c r="BM67" i="5"/>
  <c r="BM68" i="5"/>
  <c r="BL63" i="20" s="1"/>
  <c r="BM69" i="5"/>
  <c r="BL64" i="20" s="1"/>
  <c r="BM70" i="5"/>
  <c r="BM71" i="5"/>
  <c r="BM72" i="5"/>
  <c r="BM73" i="5"/>
  <c r="C75" i="5"/>
  <c r="C76" i="5"/>
  <c r="C77" i="5"/>
  <c r="C78" i="5"/>
  <c r="C79" i="5"/>
  <c r="C80" i="5"/>
  <c r="D75" i="5"/>
  <c r="D76" i="5"/>
  <c r="D77" i="5"/>
  <c r="D78" i="5"/>
  <c r="D79" i="5"/>
  <c r="D80" i="5"/>
  <c r="C75" i="20" s="1"/>
  <c r="E75" i="5"/>
  <c r="E76" i="5"/>
  <c r="E77" i="5"/>
  <c r="E78" i="5"/>
  <c r="E79" i="5"/>
  <c r="E80" i="5"/>
  <c r="F75" i="5"/>
  <c r="E70" i="20" s="1"/>
  <c r="F76" i="5"/>
  <c r="E71" i="20" s="1"/>
  <c r="F77" i="5"/>
  <c r="F78" i="5"/>
  <c r="F79" i="5"/>
  <c r="F80" i="5"/>
  <c r="G75" i="5"/>
  <c r="G76" i="5"/>
  <c r="G77" i="5"/>
  <c r="F72" i="20" s="1"/>
  <c r="G78" i="5"/>
  <c r="G79" i="5"/>
  <c r="G80" i="5"/>
  <c r="H75" i="5"/>
  <c r="H76" i="5"/>
  <c r="H77" i="5"/>
  <c r="H78" i="5"/>
  <c r="H79" i="5"/>
  <c r="G74" i="20" s="1"/>
  <c r="H80" i="5"/>
  <c r="G75" i="20" s="1"/>
  <c r="I75" i="5"/>
  <c r="I76" i="5"/>
  <c r="I77" i="5"/>
  <c r="I78" i="5"/>
  <c r="I79" i="5"/>
  <c r="I80" i="5"/>
  <c r="J75" i="5"/>
  <c r="J76" i="5"/>
  <c r="I71" i="20" s="1"/>
  <c r="J77" i="5"/>
  <c r="J78" i="5"/>
  <c r="J79" i="5"/>
  <c r="J80" i="5"/>
  <c r="K75" i="5"/>
  <c r="K76" i="5"/>
  <c r="K77" i="5"/>
  <c r="K78" i="5"/>
  <c r="J73" i="20" s="1"/>
  <c r="K79" i="5"/>
  <c r="K80" i="5"/>
  <c r="L75" i="5"/>
  <c r="L76" i="5"/>
  <c r="L77" i="5"/>
  <c r="L78" i="5"/>
  <c r="L79" i="5"/>
  <c r="L80" i="5"/>
  <c r="K75" i="20" s="1"/>
  <c r="M75" i="5"/>
  <c r="M76" i="5"/>
  <c r="M77" i="5"/>
  <c r="M78" i="5"/>
  <c r="M79" i="5"/>
  <c r="M80" i="5"/>
  <c r="N75" i="5"/>
  <c r="M70" i="20" s="1"/>
  <c r="N76" i="5"/>
  <c r="N77" i="5"/>
  <c r="N78" i="5"/>
  <c r="N79" i="5"/>
  <c r="N80" i="5"/>
  <c r="O75" i="5"/>
  <c r="O76" i="5"/>
  <c r="O77" i="5"/>
  <c r="N72" i="20" s="1"/>
  <c r="O78" i="5"/>
  <c r="O79" i="5"/>
  <c r="O80" i="5"/>
  <c r="P75" i="5"/>
  <c r="P76" i="5"/>
  <c r="P77" i="5"/>
  <c r="P78" i="5"/>
  <c r="P79" i="5"/>
  <c r="O74" i="20" s="1"/>
  <c r="P80" i="5"/>
  <c r="O75" i="20" s="1"/>
  <c r="Q75" i="5"/>
  <c r="Q76" i="5"/>
  <c r="Q77" i="5"/>
  <c r="Q78" i="5"/>
  <c r="Q79" i="5"/>
  <c r="Q80" i="5"/>
  <c r="R75" i="5"/>
  <c r="Q70" i="20" s="1"/>
  <c r="R76" i="5"/>
  <c r="Q71" i="20" s="1"/>
  <c r="R77" i="5"/>
  <c r="R78" i="5"/>
  <c r="R79" i="5"/>
  <c r="R80" i="5"/>
  <c r="S75" i="5"/>
  <c r="S76" i="5"/>
  <c r="S77" i="5"/>
  <c r="S78" i="5"/>
  <c r="R73" i="20" s="1"/>
  <c r="S79" i="5"/>
  <c r="S80" i="5"/>
  <c r="T75" i="5"/>
  <c r="T76" i="5"/>
  <c r="T77" i="5"/>
  <c r="T78" i="5"/>
  <c r="T79" i="5"/>
  <c r="T80" i="5"/>
  <c r="S75" i="20" s="1"/>
  <c r="U75" i="5"/>
  <c r="U76" i="5"/>
  <c r="U77" i="5"/>
  <c r="U78" i="5"/>
  <c r="U79" i="5"/>
  <c r="U80" i="5"/>
  <c r="V75" i="5"/>
  <c r="U70" i="20" s="1"/>
  <c r="V76" i="5"/>
  <c r="V77" i="5"/>
  <c r="V78" i="5"/>
  <c r="V79" i="5"/>
  <c r="V80" i="5"/>
  <c r="W75" i="5"/>
  <c r="W76" i="5"/>
  <c r="W77" i="5"/>
  <c r="V72" i="20" s="1"/>
  <c r="W78" i="5"/>
  <c r="W79" i="5"/>
  <c r="W80" i="5"/>
  <c r="X75" i="5"/>
  <c r="X76" i="5"/>
  <c r="X77" i="5"/>
  <c r="X78" i="5"/>
  <c r="X79" i="5"/>
  <c r="W74" i="20" s="1"/>
  <c r="X80" i="5"/>
  <c r="Y75" i="5"/>
  <c r="Y76" i="5"/>
  <c r="Y77" i="5"/>
  <c r="Y78" i="5"/>
  <c r="Y79" i="5"/>
  <c r="Y80" i="5"/>
  <c r="Z75" i="5"/>
  <c r="Y70" i="20" s="1"/>
  <c r="Z76" i="5"/>
  <c r="Y71" i="20" s="1"/>
  <c r="Z77" i="5"/>
  <c r="Z78" i="5"/>
  <c r="Z79" i="5"/>
  <c r="Z80" i="5"/>
  <c r="AA75" i="5"/>
  <c r="AA76" i="5"/>
  <c r="AA77" i="5"/>
  <c r="AA78" i="5"/>
  <c r="Z73" i="20" s="1"/>
  <c r="AA79" i="5"/>
  <c r="AA80" i="5"/>
  <c r="AB75" i="5"/>
  <c r="AB76" i="5"/>
  <c r="AB77" i="5"/>
  <c r="AB78" i="5"/>
  <c r="AB79" i="5"/>
  <c r="AB80" i="5"/>
  <c r="AA75" i="20" s="1"/>
  <c r="AC75" i="5"/>
  <c r="AC77" i="5"/>
  <c r="AC78" i="5"/>
  <c r="AC79" i="5"/>
  <c r="AC80" i="5"/>
  <c r="AD75" i="5"/>
  <c r="AC70" i="20" s="1"/>
  <c r="AD76" i="5"/>
  <c r="AC71" i="20" s="1"/>
  <c r="AD77" i="5"/>
  <c r="AD78" i="5"/>
  <c r="AD79" i="5"/>
  <c r="AD80" i="5"/>
  <c r="AE75" i="5"/>
  <c r="AE76" i="5"/>
  <c r="AE77" i="5"/>
  <c r="AD72" i="20" s="1"/>
  <c r="AE78" i="5"/>
  <c r="AE79" i="5"/>
  <c r="AE80" i="5"/>
  <c r="AF75" i="5"/>
  <c r="AF76" i="5"/>
  <c r="AF77" i="5"/>
  <c r="AF78" i="5"/>
  <c r="AF79" i="5"/>
  <c r="AE74" i="20" s="1"/>
  <c r="AF80" i="5"/>
  <c r="AE75" i="20" s="1"/>
  <c r="AG75" i="5"/>
  <c r="AG76" i="5"/>
  <c r="AG77" i="5"/>
  <c r="AG78" i="5"/>
  <c r="AG79" i="5"/>
  <c r="AF74" i="20" s="1"/>
  <c r="AG80" i="5"/>
  <c r="AH75" i="5"/>
  <c r="AG70" i="20" s="1"/>
  <c r="AG71" i="20"/>
  <c r="AH77" i="5"/>
  <c r="AH78" i="5"/>
  <c r="AH79" i="5"/>
  <c r="AH80" i="5"/>
  <c r="AI75" i="5"/>
  <c r="AH72" i="20"/>
  <c r="AI78" i="5"/>
  <c r="AH73" i="20" s="1"/>
  <c r="AI79" i="5"/>
  <c r="AI80" i="5"/>
  <c r="AJ75" i="5"/>
  <c r="AJ76" i="5"/>
  <c r="AJ77" i="5"/>
  <c r="AJ78" i="5"/>
  <c r="AJ79" i="5"/>
  <c r="AI74" i="20" s="1"/>
  <c r="AJ80" i="5"/>
  <c r="AI75" i="20" s="1"/>
  <c r="AK75" i="5"/>
  <c r="AJ70" i="20" s="1"/>
  <c r="AK76" i="5"/>
  <c r="AK77" i="5"/>
  <c r="AK78" i="5"/>
  <c r="AK79" i="5"/>
  <c r="AK80" i="5"/>
  <c r="AL75" i="5"/>
  <c r="AK70" i="20" s="1"/>
  <c r="AL76" i="5"/>
  <c r="AK71" i="20" s="1"/>
  <c r="AL77" i="5"/>
  <c r="AL78" i="5"/>
  <c r="AL79" i="5"/>
  <c r="AL80" i="5"/>
  <c r="AM75" i="5"/>
  <c r="AM76" i="5"/>
  <c r="AM77" i="5"/>
  <c r="AM78" i="5"/>
  <c r="AL73" i="20" s="1"/>
  <c r="AM79" i="5"/>
  <c r="AM80" i="5"/>
  <c r="AN75" i="5"/>
  <c r="AN76" i="5"/>
  <c r="AN77" i="5"/>
  <c r="AN78" i="5"/>
  <c r="AN79" i="5"/>
  <c r="AM74" i="20" s="1"/>
  <c r="AN80" i="5"/>
  <c r="AM75" i="20" s="1"/>
  <c r="AO75" i="5"/>
  <c r="AO76" i="5"/>
  <c r="AO77" i="5"/>
  <c r="AO78" i="5"/>
  <c r="AO79" i="5"/>
  <c r="AN74" i="20" s="1"/>
  <c r="AO80" i="5"/>
  <c r="AP75" i="5"/>
  <c r="AO70" i="20" s="1"/>
  <c r="AP76" i="5"/>
  <c r="AO71" i="20" s="1"/>
  <c r="AP77" i="5"/>
  <c r="AP78" i="5"/>
  <c r="AP79" i="5"/>
  <c r="AP80" i="5"/>
  <c r="AP72" i="20"/>
  <c r="AP73" i="20"/>
  <c r="AR75" i="5"/>
  <c r="AR76" i="5"/>
  <c r="AR77" i="5"/>
  <c r="AQ72" i="20" s="1"/>
  <c r="AR78" i="5"/>
  <c r="AR79" i="5"/>
  <c r="AQ74" i="20" s="1"/>
  <c r="AR80" i="5"/>
  <c r="AQ75" i="20" s="1"/>
  <c r="AS75" i="5"/>
  <c r="AS76" i="5"/>
  <c r="AS77" i="5"/>
  <c r="AS78" i="5"/>
  <c r="AS79" i="5"/>
  <c r="AS80" i="5"/>
  <c r="AT75" i="5"/>
  <c r="AS70" i="20" s="1"/>
  <c r="AT76" i="5"/>
  <c r="AS71" i="20" s="1"/>
  <c r="AT77" i="5"/>
  <c r="AT78" i="5"/>
  <c r="AT79" i="5"/>
  <c r="AT80" i="5"/>
  <c r="AU75" i="5"/>
  <c r="AT70" i="20" s="1"/>
  <c r="AU76" i="5"/>
  <c r="AU77" i="5"/>
  <c r="AU78" i="5"/>
  <c r="AU79" i="5"/>
  <c r="AU80" i="5"/>
  <c r="AW75" i="5"/>
  <c r="AW77" i="5"/>
  <c r="AW78" i="5"/>
  <c r="AW79" i="5"/>
  <c r="AV74" i="20" s="1"/>
  <c r="AW80" i="5"/>
  <c r="AV75" i="20" s="1"/>
  <c r="AW70" i="20"/>
  <c r="AW74" i="20"/>
  <c r="AX71" i="20"/>
  <c r="AX72" i="20"/>
  <c r="AZ75" i="5"/>
  <c r="AZ76" i="5"/>
  <c r="AZ77" i="5"/>
  <c r="AY72" i="20" s="1"/>
  <c r="AZ78" i="5"/>
  <c r="AY73" i="20" s="1"/>
  <c r="AZ79" i="5"/>
  <c r="AZ80" i="5"/>
  <c r="BA75" i="5"/>
  <c r="BA76" i="5"/>
  <c r="BA77" i="5"/>
  <c r="AZ72" i="20" s="1"/>
  <c r="BA78" i="5"/>
  <c r="BA79" i="5"/>
  <c r="BA80" i="5"/>
  <c r="AZ75" i="20" s="1"/>
  <c r="BB75" i="5"/>
  <c r="BB76" i="5"/>
  <c r="BB77" i="5"/>
  <c r="BB78" i="5"/>
  <c r="BB79" i="5"/>
  <c r="BB80" i="5"/>
  <c r="BC75" i="5"/>
  <c r="BB70" i="20" s="1"/>
  <c r="BC76" i="5"/>
  <c r="BB71" i="20" s="1"/>
  <c r="BC77" i="5"/>
  <c r="BC78" i="5"/>
  <c r="BC79" i="5"/>
  <c r="BB74" i="20" s="1"/>
  <c r="BC80" i="5"/>
  <c r="BD75" i="5"/>
  <c r="BC70" i="20" s="1"/>
  <c r="BD76" i="5"/>
  <c r="BD77" i="5"/>
  <c r="BD78" i="5"/>
  <c r="BD79" i="5"/>
  <c r="BD80" i="5"/>
  <c r="BE75" i="5"/>
  <c r="BE76" i="5"/>
  <c r="BE77" i="5"/>
  <c r="BE78" i="5"/>
  <c r="BD73" i="20" s="1"/>
  <c r="BE79" i="5"/>
  <c r="BD74" i="20" s="1"/>
  <c r="BE80" i="5"/>
  <c r="BD75" i="20" s="1"/>
  <c r="BF75" i="5"/>
  <c r="BF76" i="5"/>
  <c r="BF77" i="5"/>
  <c r="BF78" i="5"/>
  <c r="BF79" i="5"/>
  <c r="BE74" i="20" s="1"/>
  <c r="BF80" i="5"/>
  <c r="BE75" i="20" s="1"/>
  <c r="BG75" i="5"/>
  <c r="BF70" i="20" s="1"/>
  <c r="BG76" i="5"/>
  <c r="BF71" i="20" s="1"/>
  <c r="BG77" i="5"/>
  <c r="BG78" i="5"/>
  <c r="BG79" i="5"/>
  <c r="BG80" i="5"/>
  <c r="BH75" i="5"/>
  <c r="BH76" i="5"/>
  <c r="BH77" i="5"/>
  <c r="BG72" i="20" s="1"/>
  <c r="BH78" i="5"/>
  <c r="BG73" i="20" s="1"/>
  <c r="BH79" i="5"/>
  <c r="BH80" i="5"/>
  <c r="BI75" i="5"/>
  <c r="BI76" i="5"/>
  <c r="BI77" i="5"/>
  <c r="BH72" i="20" s="1"/>
  <c r="BI78" i="5"/>
  <c r="BI79" i="5"/>
  <c r="BI80" i="5"/>
  <c r="BH75" i="20" s="1"/>
  <c r="BJ75" i="5"/>
  <c r="BJ76" i="5"/>
  <c r="BJ77" i="5"/>
  <c r="BJ78" i="5"/>
  <c r="BJ79" i="5"/>
  <c r="BJ80" i="5"/>
  <c r="BK75" i="5"/>
  <c r="BK76" i="5"/>
  <c r="BJ71" i="20" s="1"/>
  <c r="BK77" i="5"/>
  <c r="BK78" i="5"/>
  <c r="BK79" i="5"/>
  <c r="BK80" i="5"/>
  <c r="BL75" i="5"/>
  <c r="BL76" i="5"/>
  <c r="BL77" i="5"/>
  <c r="BL78" i="5"/>
  <c r="BL79" i="5"/>
  <c r="BL80" i="5"/>
  <c r="BM75" i="5"/>
  <c r="BM76" i="5"/>
  <c r="BM77" i="5"/>
  <c r="BM78" i="5"/>
  <c r="BM79" i="5"/>
  <c r="BL74" i="20" s="1"/>
  <c r="BM80" i="5"/>
  <c r="BL75" i="20" s="1"/>
  <c r="C82" i="5"/>
  <c r="C83" i="5"/>
  <c r="C84" i="5"/>
  <c r="C85" i="5"/>
  <c r="C86" i="5"/>
  <c r="D82" i="5"/>
  <c r="D83" i="5"/>
  <c r="D84" i="5"/>
  <c r="D85" i="5"/>
  <c r="D86" i="5"/>
  <c r="E82" i="5"/>
  <c r="E83" i="5"/>
  <c r="E84" i="5"/>
  <c r="E85" i="5"/>
  <c r="E86" i="5"/>
  <c r="F82" i="5"/>
  <c r="E77" i="20" s="1"/>
  <c r="F83" i="5"/>
  <c r="F84" i="5"/>
  <c r="F85" i="5"/>
  <c r="F86" i="5"/>
  <c r="G82" i="5"/>
  <c r="G83" i="5"/>
  <c r="G84" i="5"/>
  <c r="F79" i="20" s="1"/>
  <c r="G85" i="5"/>
  <c r="G86" i="5"/>
  <c r="H82" i="5"/>
  <c r="H83" i="5"/>
  <c r="H84" i="5"/>
  <c r="H85" i="5"/>
  <c r="H86" i="5"/>
  <c r="I82" i="5"/>
  <c r="H77" i="20" s="1"/>
  <c r="I83" i="5"/>
  <c r="H78" i="20" s="1"/>
  <c r="I84" i="5"/>
  <c r="I85" i="5"/>
  <c r="I86" i="5"/>
  <c r="J82" i="5"/>
  <c r="J83" i="5"/>
  <c r="J84" i="5"/>
  <c r="J85" i="5"/>
  <c r="I80" i="20" s="1"/>
  <c r="J86" i="5"/>
  <c r="I81" i="20" s="1"/>
  <c r="K82" i="5"/>
  <c r="K83" i="5"/>
  <c r="K84" i="5"/>
  <c r="K85" i="5"/>
  <c r="K86" i="5"/>
  <c r="L82" i="5"/>
  <c r="L83" i="5"/>
  <c r="L84" i="5"/>
  <c r="K79" i="20" s="1"/>
  <c r="L85" i="5"/>
  <c r="L86" i="5"/>
  <c r="M82" i="5"/>
  <c r="M83" i="5"/>
  <c r="M84" i="5"/>
  <c r="M85" i="5"/>
  <c r="M86" i="5"/>
  <c r="N82" i="5"/>
  <c r="M77" i="20" s="1"/>
  <c r="N83" i="5"/>
  <c r="N84" i="5"/>
  <c r="N85" i="5"/>
  <c r="N86" i="5"/>
  <c r="O82" i="5"/>
  <c r="O83" i="5"/>
  <c r="O84" i="5"/>
  <c r="N79" i="20" s="1"/>
  <c r="O85" i="5"/>
  <c r="O86" i="5"/>
  <c r="P82" i="5"/>
  <c r="P83" i="5"/>
  <c r="P84" i="5"/>
  <c r="P85" i="5"/>
  <c r="P86" i="5"/>
  <c r="Q82" i="5"/>
  <c r="P77" i="20" s="1"/>
  <c r="Q83" i="5"/>
  <c r="P78" i="20" s="1"/>
  <c r="Q84" i="5"/>
  <c r="Q85" i="5"/>
  <c r="Q86" i="5"/>
  <c r="R82" i="5"/>
  <c r="R83" i="5"/>
  <c r="Q78" i="20" s="1"/>
  <c r="R84" i="5"/>
  <c r="R85" i="5"/>
  <c r="Q80" i="20" s="1"/>
  <c r="R86" i="5"/>
  <c r="Q81" i="20" s="1"/>
  <c r="S82" i="5"/>
  <c r="S83" i="5"/>
  <c r="S84" i="5"/>
  <c r="S85" i="5"/>
  <c r="S86" i="5"/>
  <c r="T82" i="5"/>
  <c r="T83" i="5"/>
  <c r="T84" i="5"/>
  <c r="S79" i="20" s="1"/>
  <c r="T85" i="5"/>
  <c r="T86" i="5"/>
  <c r="U82" i="5"/>
  <c r="U83" i="5"/>
  <c r="U84" i="5"/>
  <c r="U85" i="5"/>
  <c r="U86" i="5"/>
  <c r="V82" i="5"/>
  <c r="U77" i="20" s="1"/>
  <c r="V83" i="5"/>
  <c r="V84" i="5"/>
  <c r="V85" i="5"/>
  <c r="V86" i="5"/>
  <c r="W82" i="5"/>
  <c r="W83" i="5"/>
  <c r="W84" i="5"/>
  <c r="V79" i="20" s="1"/>
  <c r="W85" i="5"/>
  <c r="W86" i="5"/>
  <c r="X82" i="5"/>
  <c r="X83" i="5"/>
  <c r="X84" i="5"/>
  <c r="X85" i="5"/>
  <c r="X86" i="5"/>
  <c r="Y82" i="5"/>
  <c r="Y83" i="5"/>
  <c r="X78" i="20" s="1"/>
  <c r="Y84" i="5"/>
  <c r="Y85" i="5"/>
  <c r="Y86" i="5"/>
  <c r="Z82" i="5"/>
  <c r="Z83" i="5"/>
  <c r="Y78" i="20" s="1"/>
  <c r="Z84" i="5"/>
  <c r="Z85" i="5"/>
  <c r="Y80" i="20" s="1"/>
  <c r="Z86" i="5"/>
  <c r="Y81" i="20" s="1"/>
  <c r="AA82" i="5"/>
  <c r="AA83" i="5"/>
  <c r="AA84" i="5"/>
  <c r="AA85" i="5"/>
  <c r="AA86" i="5"/>
  <c r="AB82" i="5"/>
  <c r="AB83" i="5"/>
  <c r="AB84" i="5"/>
  <c r="AA79" i="20" s="1"/>
  <c r="AB85" i="5"/>
  <c r="AB86" i="5"/>
  <c r="AC85" i="5"/>
  <c r="AD82" i="5"/>
  <c r="AC77" i="20" s="1"/>
  <c r="AD83" i="5"/>
  <c r="AD84" i="5"/>
  <c r="AD85" i="5"/>
  <c r="AD86" i="5"/>
  <c r="AE82" i="5"/>
  <c r="AE83" i="5"/>
  <c r="AE84" i="5"/>
  <c r="AD79" i="20" s="1"/>
  <c r="AE85" i="5"/>
  <c r="AE86" i="5"/>
  <c r="AF82" i="5"/>
  <c r="AF83" i="5"/>
  <c r="AF84" i="5"/>
  <c r="AF85" i="5"/>
  <c r="AF86" i="5"/>
  <c r="AG82" i="5"/>
  <c r="AF77" i="20" s="1"/>
  <c r="AG83" i="5"/>
  <c r="AF78" i="20" s="1"/>
  <c r="AG84" i="5"/>
  <c r="AG85" i="5"/>
  <c r="AG86" i="5"/>
  <c r="AH85" i="5"/>
  <c r="AG80" i="20" s="1"/>
  <c r="AG81" i="20"/>
  <c r="AI85" i="5"/>
  <c r="AJ82" i="5"/>
  <c r="AJ83" i="5"/>
  <c r="AJ84" i="5"/>
  <c r="AI79" i="20" s="1"/>
  <c r="AJ85" i="5"/>
  <c r="AJ86" i="5"/>
  <c r="AK82" i="5"/>
  <c r="AK83" i="5"/>
  <c r="AK84" i="5"/>
  <c r="AJ79" i="20" s="1"/>
  <c r="AK85" i="5"/>
  <c r="AK86" i="5"/>
  <c r="AJ81" i="20" s="1"/>
  <c r="AL82" i="5"/>
  <c r="AK77" i="20" s="1"/>
  <c r="AL83" i="5"/>
  <c r="AL84" i="5"/>
  <c r="AL85" i="5"/>
  <c r="AL86" i="5"/>
  <c r="AM82" i="5"/>
  <c r="AM83" i="5"/>
  <c r="AM84" i="5"/>
  <c r="AL79" i="20" s="1"/>
  <c r="AM85" i="5"/>
  <c r="AL80" i="20" s="1"/>
  <c r="AM86" i="5"/>
  <c r="AL81" i="20" s="1"/>
  <c r="AN82" i="5"/>
  <c r="AN83" i="5"/>
  <c r="AN84" i="5"/>
  <c r="AN85" i="5"/>
  <c r="AN86" i="5"/>
  <c r="AO82" i="5"/>
  <c r="AN77" i="20" s="1"/>
  <c r="AO83" i="5"/>
  <c r="AN78" i="20" s="1"/>
  <c r="AO84" i="5"/>
  <c r="AO85" i="5"/>
  <c r="AO86" i="5"/>
  <c r="AP82" i="5"/>
  <c r="AP83" i="5"/>
  <c r="AP84" i="5"/>
  <c r="AP85" i="5"/>
  <c r="AO80" i="20" s="1"/>
  <c r="AP86" i="5"/>
  <c r="AR83" i="5"/>
  <c r="AR84" i="5"/>
  <c r="AQ79" i="20" s="1"/>
  <c r="AR85" i="5"/>
  <c r="AR86" i="5"/>
  <c r="AS82" i="5"/>
  <c r="AS83" i="5"/>
  <c r="AS84" i="5"/>
  <c r="AR79" i="20" s="1"/>
  <c r="AS85" i="5"/>
  <c r="AS86" i="5"/>
  <c r="AR81" i="20" s="1"/>
  <c r="AT82" i="5"/>
  <c r="AS77" i="20" s="1"/>
  <c r="AT83" i="5"/>
  <c r="AT84" i="5"/>
  <c r="AT85" i="5"/>
  <c r="AT86" i="5"/>
  <c r="AU82" i="5"/>
  <c r="AU83" i="5"/>
  <c r="AU84" i="5"/>
  <c r="AU85" i="5"/>
  <c r="AT80" i="20" s="1"/>
  <c r="AU86" i="5"/>
  <c r="AT81" i="20" s="1"/>
  <c r="AW85" i="5"/>
  <c r="AW78" i="20"/>
  <c r="AX80" i="20"/>
  <c r="AZ82" i="5"/>
  <c r="AY77" i="20" s="1"/>
  <c r="AZ83" i="5"/>
  <c r="AZ84" i="5"/>
  <c r="AZ85" i="5"/>
  <c r="AZ86" i="5"/>
  <c r="BA82" i="5"/>
  <c r="BA83" i="5"/>
  <c r="BA84" i="5"/>
  <c r="AZ79" i="20" s="1"/>
  <c r="BA85" i="5"/>
  <c r="BA86" i="5"/>
  <c r="BB82" i="5"/>
  <c r="BB83" i="5"/>
  <c r="BB84" i="5"/>
  <c r="BA79" i="20" s="1"/>
  <c r="BB85" i="5"/>
  <c r="BB86" i="5"/>
  <c r="BA81" i="20" s="1"/>
  <c r="BC82" i="5"/>
  <c r="BB77" i="20" s="1"/>
  <c r="BC83" i="5"/>
  <c r="BC84" i="5"/>
  <c r="BC85" i="5"/>
  <c r="BC86" i="5"/>
  <c r="BD82" i="5"/>
  <c r="BD83" i="5"/>
  <c r="BD84" i="5"/>
  <c r="BD85" i="5"/>
  <c r="BC80" i="20" s="1"/>
  <c r="BD86" i="5"/>
  <c r="BC81" i="20" s="1"/>
  <c r="BE82" i="5"/>
  <c r="BE83" i="5"/>
  <c r="BE84" i="5"/>
  <c r="BE85" i="5"/>
  <c r="BE86" i="5"/>
  <c r="BF82" i="5"/>
  <c r="BE77" i="20" s="1"/>
  <c r="BF83" i="5"/>
  <c r="BE78" i="20" s="1"/>
  <c r="BF84" i="5"/>
  <c r="BF85" i="5"/>
  <c r="BF86" i="5"/>
  <c r="BG82" i="5"/>
  <c r="BG83" i="5"/>
  <c r="BG84" i="5"/>
  <c r="BG85" i="5"/>
  <c r="BF80" i="20" s="1"/>
  <c r="BG86" i="5"/>
  <c r="BH82" i="5"/>
  <c r="BG77" i="20" s="1"/>
  <c r="BH83" i="5"/>
  <c r="BH84" i="5"/>
  <c r="BH85" i="5"/>
  <c r="BH86" i="5"/>
  <c r="BI82" i="5"/>
  <c r="BI83" i="5"/>
  <c r="BI84" i="5"/>
  <c r="BH79" i="20" s="1"/>
  <c r="BI85" i="5"/>
  <c r="BI86" i="5"/>
  <c r="BJ82" i="5"/>
  <c r="BJ83" i="5"/>
  <c r="BJ84" i="5"/>
  <c r="BI79" i="20" s="1"/>
  <c r="BJ85" i="5"/>
  <c r="BJ86" i="5"/>
  <c r="BI81" i="20" s="1"/>
  <c r="BK82" i="5"/>
  <c r="BK83" i="5"/>
  <c r="BK84" i="5"/>
  <c r="BK85" i="5"/>
  <c r="BK86" i="5"/>
  <c r="BL82" i="5"/>
  <c r="BL83" i="5"/>
  <c r="BL84" i="5"/>
  <c r="BL85" i="5"/>
  <c r="BK80" i="20" s="1"/>
  <c r="BL86" i="5"/>
  <c r="BK81" i="20" s="1"/>
  <c r="BM82" i="5"/>
  <c r="BM83" i="5"/>
  <c r="BM84" i="5"/>
  <c r="BM85" i="5"/>
  <c r="BM86" i="5"/>
  <c r="C88" i="5"/>
  <c r="C90" i="5"/>
  <c r="B85" i="20" s="1"/>
  <c r="C91" i="5"/>
  <c r="D88" i="5"/>
  <c r="D90" i="5"/>
  <c r="D91" i="5"/>
  <c r="E88" i="5"/>
  <c r="D83" i="20" s="1"/>
  <c r="E90" i="5"/>
  <c r="E91" i="5"/>
  <c r="D86" i="20" s="1"/>
  <c r="F88" i="5"/>
  <c r="F90" i="5"/>
  <c r="F91" i="5"/>
  <c r="G88" i="5"/>
  <c r="G90" i="5"/>
  <c r="G91" i="5"/>
  <c r="H88" i="5"/>
  <c r="H90" i="5"/>
  <c r="G85" i="20" s="1"/>
  <c r="H91" i="5"/>
  <c r="I88" i="5"/>
  <c r="I90" i="5"/>
  <c r="I91" i="5"/>
  <c r="J88" i="5"/>
  <c r="J90" i="5"/>
  <c r="J91" i="5"/>
  <c r="K88" i="5"/>
  <c r="J83" i="20" s="1"/>
  <c r="K90" i="5"/>
  <c r="K91" i="5"/>
  <c r="L88" i="5"/>
  <c r="L90" i="5"/>
  <c r="L91" i="5"/>
  <c r="M88" i="5"/>
  <c r="L83" i="20" s="1"/>
  <c r="M90" i="5"/>
  <c r="M91" i="5"/>
  <c r="L86" i="20" s="1"/>
  <c r="N88" i="5"/>
  <c r="N90" i="5"/>
  <c r="N91" i="5"/>
  <c r="O88" i="5"/>
  <c r="O90" i="5"/>
  <c r="O91" i="5"/>
  <c r="P88" i="5"/>
  <c r="P90" i="5"/>
  <c r="O85" i="20" s="1"/>
  <c r="P91" i="5"/>
  <c r="O86" i="20" s="1"/>
  <c r="Q88" i="5"/>
  <c r="Q90" i="5"/>
  <c r="Q91" i="5"/>
  <c r="R88" i="5"/>
  <c r="R90" i="5"/>
  <c r="R91" i="5"/>
  <c r="S88" i="5"/>
  <c r="S90" i="5"/>
  <c r="S91" i="5"/>
  <c r="T88" i="5"/>
  <c r="T87" i="5" s="1"/>
  <c r="T90" i="5"/>
  <c r="T91" i="5"/>
  <c r="U88" i="5"/>
  <c r="U90" i="5"/>
  <c r="U91" i="5"/>
  <c r="T86" i="20" s="1"/>
  <c r="V88" i="5"/>
  <c r="V87" i="5" s="1"/>
  <c r="V90" i="5"/>
  <c r="V91" i="5"/>
  <c r="W88" i="5"/>
  <c r="W90" i="5"/>
  <c r="W91" i="5"/>
  <c r="X88" i="5"/>
  <c r="X90" i="5"/>
  <c r="X91" i="5"/>
  <c r="W86" i="20" s="1"/>
  <c r="Y88" i="5"/>
  <c r="Y87" i="5" s="1"/>
  <c r="X82" i="20" s="1"/>
  <c r="Y90" i="5"/>
  <c r="Y91" i="5"/>
  <c r="Z88" i="5"/>
  <c r="Z90" i="5"/>
  <c r="Z91" i="5"/>
  <c r="AA88" i="5"/>
  <c r="Z83" i="20" s="1"/>
  <c r="AA90" i="5"/>
  <c r="AA91" i="5"/>
  <c r="AB88" i="5"/>
  <c r="AB87" i="5" s="1"/>
  <c r="AB90" i="5"/>
  <c r="AB91" i="5"/>
  <c r="AC88" i="5"/>
  <c r="AC90" i="5"/>
  <c r="AC91" i="5"/>
  <c r="AB86" i="20" s="1"/>
  <c r="AD88" i="5"/>
  <c r="AD90" i="5"/>
  <c r="AD91" i="5"/>
  <c r="AE88" i="5"/>
  <c r="AE90" i="5"/>
  <c r="AE91" i="5"/>
  <c r="AF88" i="5"/>
  <c r="AF90" i="5"/>
  <c r="AF91" i="5"/>
  <c r="AE86" i="20" s="1"/>
  <c r="AG88" i="5"/>
  <c r="AG87" i="5" s="1"/>
  <c r="AG90" i="5"/>
  <c r="AG91" i="5"/>
  <c r="AH88" i="5"/>
  <c r="AH90" i="5"/>
  <c r="AH91" i="5"/>
  <c r="AI88" i="5"/>
  <c r="AI90" i="5"/>
  <c r="AH85" i="20" s="1"/>
  <c r="AI91" i="5"/>
  <c r="AJ88" i="5"/>
  <c r="AJ87" i="5" s="1"/>
  <c r="AJ90" i="5"/>
  <c r="AJ91" i="5"/>
  <c r="AK88" i="5"/>
  <c r="AK90" i="5"/>
  <c r="AK91" i="5"/>
  <c r="AJ86" i="20" s="1"/>
  <c r="AL88" i="5"/>
  <c r="AL87" i="5" s="1"/>
  <c r="AK82" i="20" s="1"/>
  <c r="AL90" i="5"/>
  <c r="AL91" i="5"/>
  <c r="AM88" i="5"/>
  <c r="AM90" i="5"/>
  <c r="AM91" i="5"/>
  <c r="AL86" i="20" s="1"/>
  <c r="AN88" i="5"/>
  <c r="AN90" i="5"/>
  <c r="AN91" i="5"/>
  <c r="AM86" i="20" s="1"/>
  <c r="AO88" i="5"/>
  <c r="AO87" i="5" s="1"/>
  <c r="AO90" i="5"/>
  <c r="AO91" i="5"/>
  <c r="AP88" i="5"/>
  <c r="AP90" i="5"/>
  <c r="AP91" i="5"/>
  <c r="AQ88" i="5"/>
  <c r="AQ90" i="5"/>
  <c r="AP85" i="20" s="1"/>
  <c r="AQ91" i="5"/>
  <c r="AR88" i="5"/>
  <c r="AR87" i="5" s="1"/>
  <c r="AR90" i="5"/>
  <c r="AR91" i="5"/>
  <c r="AS88" i="5"/>
  <c r="AS90" i="5"/>
  <c r="AS91" i="5"/>
  <c r="AT88" i="5"/>
  <c r="AT87" i="5" s="1"/>
  <c r="AS82" i="20" s="1"/>
  <c r="AT90" i="5"/>
  <c r="AT91" i="5"/>
  <c r="AU88" i="5"/>
  <c r="AU90" i="5"/>
  <c r="AU91" i="5"/>
  <c r="AT86" i="20" s="1"/>
  <c r="AW88" i="5"/>
  <c r="AW90" i="5"/>
  <c r="AW91" i="5"/>
  <c r="AV86" i="20" s="1"/>
  <c r="AY88" i="5"/>
  <c r="AY90" i="5"/>
  <c r="AY91" i="5"/>
  <c r="AZ88" i="5"/>
  <c r="AZ90" i="5"/>
  <c r="AY85" i="20" s="1"/>
  <c r="AZ91" i="5"/>
  <c r="BA88" i="5"/>
  <c r="BA87" i="5" s="1"/>
  <c r="BA90" i="5"/>
  <c r="BA91" i="5"/>
  <c r="BB88" i="5"/>
  <c r="BB90" i="5"/>
  <c r="BB91" i="5"/>
  <c r="BC88" i="5"/>
  <c r="BC87" i="5" s="1"/>
  <c r="BB82" i="20" s="1"/>
  <c r="BC90" i="5"/>
  <c r="BC91" i="5"/>
  <c r="BD88" i="5"/>
  <c r="BD90" i="5"/>
  <c r="BD91" i="5"/>
  <c r="BC86" i="20" s="1"/>
  <c r="BE88" i="5"/>
  <c r="BE90" i="5"/>
  <c r="BE91" i="5"/>
  <c r="BD86" i="20" s="1"/>
  <c r="BF88" i="5"/>
  <c r="BF90" i="5"/>
  <c r="BF91" i="5"/>
  <c r="BG88" i="5"/>
  <c r="BG90" i="5"/>
  <c r="BG91" i="5"/>
  <c r="BH88" i="5"/>
  <c r="BH90" i="5"/>
  <c r="BG85" i="20" s="1"/>
  <c r="BH91" i="5"/>
  <c r="BI88" i="5"/>
  <c r="BI87" i="5" s="1"/>
  <c r="BI90" i="5"/>
  <c r="BI91" i="5"/>
  <c r="BJ88" i="5"/>
  <c r="BJ90" i="5"/>
  <c r="BJ91" i="5"/>
  <c r="BK88" i="5"/>
  <c r="BK87" i="5" s="1"/>
  <c r="BJ82" i="20" s="1"/>
  <c r="BK90" i="5"/>
  <c r="BK91" i="5"/>
  <c r="BL88" i="5"/>
  <c r="BL90" i="5"/>
  <c r="BL91" i="5"/>
  <c r="BK86" i="20" s="1"/>
  <c r="BM88" i="5"/>
  <c r="BM90" i="5"/>
  <c r="BM91" i="5"/>
  <c r="BL86" i="20" s="1"/>
  <c r="C16" i="5"/>
  <c r="D16" i="5"/>
  <c r="E16" i="5"/>
  <c r="F16" i="5"/>
  <c r="G16" i="5"/>
  <c r="H16" i="5"/>
  <c r="I16" i="5"/>
  <c r="J16" i="5"/>
  <c r="K16" i="5"/>
  <c r="J11" i="20" s="1"/>
  <c r="L16" i="5"/>
  <c r="M16" i="5"/>
  <c r="N16" i="5"/>
  <c r="O16" i="5"/>
  <c r="N11" i="20" s="1"/>
  <c r="P16" i="5"/>
  <c r="Q16" i="5"/>
  <c r="R16" i="5"/>
  <c r="S16" i="5"/>
  <c r="R11" i="20" s="1"/>
  <c r="T16" i="5"/>
  <c r="U16" i="5"/>
  <c r="V16" i="5"/>
  <c r="W16" i="5"/>
  <c r="V11" i="20" s="1"/>
  <c r="X16" i="5"/>
  <c r="Y16" i="5"/>
  <c r="Z16" i="5"/>
  <c r="AA16" i="5"/>
  <c r="Z11" i="20" s="1"/>
  <c r="AB16" i="5"/>
  <c r="AC16" i="5"/>
  <c r="AD16" i="5"/>
  <c r="AE16" i="5"/>
  <c r="AF16" i="5"/>
  <c r="AG16" i="5"/>
  <c r="AF11" i="20" s="1"/>
  <c r="AH16" i="5"/>
  <c r="AG11" i="20" s="1"/>
  <c r="AI16" i="5"/>
  <c r="AJ16" i="5"/>
  <c r="AK16" i="5"/>
  <c r="AL16" i="5"/>
  <c r="AK11" i="20" s="1"/>
  <c r="AM16" i="5"/>
  <c r="AL11" i="20" s="1"/>
  <c r="AN16" i="5"/>
  <c r="AO16" i="5"/>
  <c r="AN11" i="20" s="1"/>
  <c r="AP16" i="5"/>
  <c r="AO11" i="20" s="1"/>
  <c r="AQ16" i="5"/>
  <c r="AP11" i="20" s="1"/>
  <c r="AR16" i="5"/>
  <c r="AQ11" i="20" s="1"/>
  <c r="AS16" i="5"/>
  <c r="AT16" i="5"/>
  <c r="AS11" i="20" s="1"/>
  <c r="AU16" i="5"/>
  <c r="AT11" i="20" s="1"/>
  <c r="AW16" i="5"/>
  <c r="AX16" i="5"/>
  <c r="AY16" i="5"/>
  <c r="AX11" i="20" s="1"/>
  <c r="AZ16" i="5"/>
  <c r="AY11" i="20" s="1"/>
  <c r="BA16" i="5"/>
  <c r="BB16" i="5"/>
  <c r="BA11" i="20" s="1"/>
  <c r="BC16" i="5"/>
  <c r="BB11" i="20" s="1"/>
  <c r="BD16" i="5"/>
  <c r="BC11" i="20" s="1"/>
  <c r="BE16" i="5"/>
  <c r="BF16" i="5"/>
  <c r="BE11" i="20" s="1"/>
  <c r="BG16" i="5"/>
  <c r="BF11" i="20" s="1"/>
  <c r="BH16" i="5"/>
  <c r="BG11" i="20" s="1"/>
  <c r="BI16" i="5"/>
  <c r="BH11" i="20" s="1"/>
  <c r="BJ16" i="5"/>
  <c r="BI11" i="20" s="1"/>
  <c r="BK16" i="5"/>
  <c r="BJ11" i="20" s="1"/>
  <c r="BL16" i="5"/>
  <c r="BK11" i="20" s="1"/>
  <c r="BM16" i="5"/>
  <c r="C17" i="5"/>
  <c r="D17" i="5"/>
  <c r="E17" i="5"/>
  <c r="D12" i="20" s="1"/>
  <c r="F17" i="5"/>
  <c r="G17" i="5"/>
  <c r="H17" i="5"/>
  <c r="I17" i="5"/>
  <c r="J17" i="5"/>
  <c r="K17" i="5"/>
  <c r="J12" i="20" s="1"/>
  <c r="L17" i="5"/>
  <c r="M17" i="5"/>
  <c r="L12" i="20" s="1"/>
  <c r="N17" i="5"/>
  <c r="O17" i="5"/>
  <c r="P17" i="5"/>
  <c r="Q17" i="5"/>
  <c r="R17" i="5"/>
  <c r="S17" i="5"/>
  <c r="R12" i="20" s="1"/>
  <c r="T17" i="5"/>
  <c r="U17" i="5"/>
  <c r="T12" i="20" s="1"/>
  <c r="V17" i="5"/>
  <c r="W17" i="5"/>
  <c r="X17" i="5"/>
  <c r="Y17" i="5"/>
  <c r="Z17" i="5"/>
  <c r="AA17" i="5"/>
  <c r="Z12" i="20" s="1"/>
  <c r="AB17" i="5"/>
  <c r="AC17" i="5"/>
  <c r="AB12" i="20" s="1"/>
  <c r="AD17" i="5"/>
  <c r="AE17" i="5"/>
  <c r="AF17" i="5"/>
  <c r="AE12" i="20" s="1"/>
  <c r="AG17" i="5"/>
  <c r="AF12" i="20" s="1"/>
  <c r="AH17" i="5"/>
  <c r="AI17" i="5"/>
  <c r="AH12" i="20" s="1"/>
  <c r="AJ17" i="5"/>
  <c r="AI12" i="20" s="1"/>
  <c r="AK17" i="5"/>
  <c r="AJ12" i="20" s="1"/>
  <c r="AL17" i="5"/>
  <c r="AK12" i="20" s="1"/>
  <c r="AM17" i="5"/>
  <c r="AN17" i="5"/>
  <c r="AM12" i="20" s="1"/>
  <c r="AO17" i="5"/>
  <c r="AN12" i="20" s="1"/>
  <c r="AP17" i="5"/>
  <c r="AQ17" i="5"/>
  <c r="AP12" i="20" s="1"/>
  <c r="AR17" i="5"/>
  <c r="AQ12" i="20" s="1"/>
  <c r="AS17" i="5"/>
  <c r="AT17" i="5"/>
  <c r="AS12" i="20" s="1"/>
  <c r="AU17" i="5"/>
  <c r="AW17" i="5"/>
  <c r="AX17" i="5"/>
  <c r="AW12" i="20" s="1"/>
  <c r="AY17" i="5"/>
  <c r="AZ17" i="5"/>
  <c r="AY12" i="20" s="1"/>
  <c r="BA17" i="5"/>
  <c r="BB17" i="5"/>
  <c r="BA12" i="20" s="1"/>
  <c r="BC17" i="5"/>
  <c r="BD17" i="5"/>
  <c r="BC12" i="20" s="1"/>
  <c r="BE17" i="5"/>
  <c r="BF17" i="5"/>
  <c r="BE12" i="20" s="1"/>
  <c r="BG17" i="5"/>
  <c r="BH17" i="5"/>
  <c r="BI17" i="5"/>
  <c r="BJ17" i="5"/>
  <c r="BI12" i="20" s="1"/>
  <c r="BK17" i="5"/>
  <c r="BL17" i="5"/>
  <c r="BK12" i="20" s="1"/>
  <c r="BM17" i="5"/>
  <c r="C41" i="5"/>
  <c r="C42" i="5"/>
  <c r="C43" i="5"/>
  <c r="C44" i="5"/>
  <c r="C45" i="5"/>
  <c r="C46" i="5"/>
  <c r="C47" i="5"/>
  <c r="C48" i="5"/>
  <c r="C49" i="5"/>
  <c r="C50" i="5"/>
  <c r="C51" i="5"/>
  <c r="C52" i="5"/>
  <c r="C53" i="5"/>
  <c r="C54" i="5"/>
  <c r="C55" i="5"/>
  <c r="C56" i="5"/>
  <c r="C57" i="5"/>
  <c r="D41" i="5"/>
  <c r="D42" i="5"/>
  <c r="C37" i="20" s="1"/>
  <c r="D43" i="5"/>
  <c r="D44" i="5"/>
  <c r="D45" i="5"/>
  <c r="D46" i="5"/>
  <c r="D47" i="5"/>
  <c r="D48" i="5"/>
  <c r="D49" i="5"/>
  <c r="D50" i="5"/>
  <c r="C45" i="20" s="1"/>
  <c r="D51" i="5"/>
  <c r="D52" i="5"/>
  <c r="D53" i="5"/>
  <c r="D54" i="5"/>
  <c r="D55" i="5"/>
  <c r="D56" i="5"/>
  <c r="C51" i="20" s="1"/>
  <c r="D57" i="5"/>
  <c r="E41" i="5"/>
  <c r="D36" i="20" s="1"/>
  <c r="E42" i="5"/>
  <c r="E43" i="5"/>
  <c r="D38" i="20" s="1"/>
  <c r="E44" i="5"/>
  <c r="E45" i="5"/>
  <c r="E46" i="5"/>
  <c r="E47" i="5"/>
  <c r="D42" i="20" s="1"/>
  <c r="E48" i="5"/>
  <c r="E49" i="5"/>
  <c r="E50" i="5"/>
  <c r="E51" i="5"/>
  <c r="E52" i="5"/>
  <c r="E53" i="5"/>
  <c r="E54" i="5"/>
  <c r="E55" i="5"/>
  <c r="D50" i="20" s="1"/>
  <c r="E56" i="5"/>
  <c r="E57" i="5"/>
  <c r="F41" i="5"/>
  <c r="F42" i="5"/>
  <c r="E37" i="20" s="1"/>
  <c r="F43" i="5"/>
  <c r="F44" i="5"/>
  <c r="F45" i="5"/>
  <c r="F46" i="5"/>
  <c r="F47" i="5"/>
  <c r="F48" i="5"/>
  <c r="F49" i="5"/>
  <c r="F50" i="5"/>
  <c r="F51" i="5"/>
  <c r="F52" i="5"/>
  <c r="F53" i="5"/>
  <c r="F54" i="5"/>
  <c r="F55" i="5"/>
  <c r="F56" i="5"/>
  <c r="F57" i="5"/>
  <c r="G41" i="5"/>
  <c r="F36" i="20" s="1"/>
  <c r="G42" i="5"/>
  <c r="G43" i="5"/>
  <c r="G44" i="5"/>
  <c r="G45" i="5"/>
  <c r="G46" i="5"/>
  <c r="G47" i="5"/>
  <c r="G48" i="5"/>
  <c r="G49" i="5"/>
  <c r="F44" i="20" s="1"/>
  <c r="G50" i="5"/>
  <c r="G51" i="5"/>
  <c r="G52" i="5"/>
  <c r="G53" i="5"/>
  <c r="G54" i="5"/>
  <c r="G55" i="5"/>
  <c r="G56" i="5"/>
  <c r="G57" i="5"/>
  <c r="F52" i="20" s="1"/>
  <c r="H41" i="5"/>
  <c r="H42" i="5"/>
  <c r="H43" i="5"/>
  <c r="H44" i="5"/>
  <c r="H45" i="5"/>
  <c r="H46" i="5"/>
  <c r="G41" i="20" s="1"/>
  <c r="H47" i="5"/>
  <c r="H48" i="5"/>
  <c r="H49" i="5"/>
  <c r="H50" i="5"/>
  <c r="H51" i="5"/>
  <c r="H52" i="5"/>
  <c r="G47" i="20" s="1"/>
  <c r="H53" i="5"/>
  <c r="H54" i="5"/>
  <c r="G49" i="20" s="1"/>
  <c r="H55" i="5"/>
  <c r="H56" i="5"/>
  <c r="H57" i="5"/>
  <c r="I41" i="5"/>
  <c r="I42" i="5"/>
  <c r="I43" i="5"/>
  <c r="H38" i="20" s="1"/>
  <c r="I44" i="5"/>
  <c r="I45" i="5"/>
  <c r="H40" i="20" s="1"/>
  <c r="I46" i="5"/>
  <c r="I47" i="5"/>
  <c r="H42" i="20" s="1"/>
  <c r="I48" i="5"/>
  <c r="I49" i="5"/>
  <c r="I50" i="5"/>
  <c r="I51" i="5"/>
  <c r="H46" i="20" s="1"/>
  <c r="I52" i="5"/>
  <c r="I53" i="5"/>
  <c r="I54" i="5"/>
  <c r="I55" i="5"/>
  <c r="I56" i="5"/>
  <c r="I57" i="5"/>
  <c r="J41" i="5"/>
  <c r="J42" i="5"/>
  <c r="J43" i="5"/>
  <c r="J44" i="5"/>
  <c r="J45" i="5"/>
  <c r="J46" i="5"/>
  <c r="I41" i="20" s="1"/>
  <c r="J47" i="5"/>
  <c r="J48" i="5"/>
  <c r="J49" i="5"/>
  <c r="J50" i="5"/>
  <c r="J51" i="5"/>
  <c r="J52" i="5"/>
  <c r="J53" i="5"/>
  <c r="J54" i="5"/>
  <c r="I49" i="20" s="1"/>
  <c r="J55" i="5"/>
  <c r="J56" i="5"/>
  <c r="J57" i="5"/>
  <c r="K41" i="5"/>
  <c r="K42" i="5"/>
  <c r="K43" i="5"/>
  <c r="K44" i="5"/>
  <c r="K45" i="5"/>
  <c r="J40" i="20" s="1"/>
  <c r="K46" i="5"/>
  <c r="K47" i="5"/>
  <c r="K48" i="5"/>
  <c r="K49" i="5"/>
  <c r="K50" i="5"/>
  <c r="K51" i="5"/>
  <c r="K52" i="5"/>
  <c r="K53" i="5"/>
  <c r="J48" i="20" s="1"/>
  <c r="K54" i="5"/>
  <c r="K55" i="5"/>
  <c r="K56" i="5"/>
  <c r="K57" i="5"/>
  <c r="J52" i="20" s="1"/>
  <c r="L41" i="5"/>
  <c r="L42" i="5"/>
  <c r="K37" i="20" s="1"/>
  <c r="L43" i="5"/>
  <c r="L44" i="5"/>
  <c r="K39" i="20" s="1"/>
  <c r="L45" i="5"/>
  <c r="L46" i="5"/>
  <c r="L47" i="5"/>
  <c r="L48" i="5"/>
  <c r="L49" i="5"/>
  <c r="L50" i="5"/>
  <c r="K45" i="20" s="1"/>
  <c r="L51" i="5"/>
  <c r="L52" i="5"/>
  <c r="L53" i="5"/>
  <c r="L54" i="5"/>
  <c r="L55" i="5"/>
  <c r="L56" i="5"/>
  <c r="K51" i="20" s="1"/>
  <c r="L57" i="5"/>
  <c r="M41" i="5"/>
  <c r="L36" i="20" s="1"/>
  <c r="M42" i="5"/>
  <c r="M43" i="5"/>
  <c r="L38" i="20" s="1"/>
  <c r="M44" i="5"/>
  <c r="M45" i="5"/>
  <c r="M46" i="5"/>
  <c r="M47" i="5"/>
  <c r="L42" i="20" s="1"/>
  <c r="M48" i="5"/>
  <c r="M49" i="5"/>
  <c r="M50" i="5"/>
  <c r="M51" i="5"/>
  <c r="M52" i="5"/>
  <c r="M53" i="5"/>
  <c r="M54" i="5"/>
  <c r="M55" i="5"/>
  <c r="L50" i="20" s="1"/>
  <c r="M56" i="5"/>
  <c r="M57" i="5"/>
  <c r="N41" i="5"/>
  <c r="N42" i="5"/>
  <c r="M37" i="20" s="1"/>
  <c r="N43" i="5"/>
  <c r="N44" i="5"/>
  <c r="N45" i="5"/>
  <c r="N46" i="5"/>
  <c r="N47" i="5"/>
  <c r="N48" i="5"/>
  <c r="N49" i="5"/>
  <c r="N50" i="5"/>
  <c r="N51" i="5"/>
  <c r="N52" i="5"/>
  <c r="N53" i="5"/>
  <c r="N54" i="5"/>
  <c r="N55" i="5"/>
  <c r="N56" i="5"/>
  <c r="N57" i="5"/>
  <c r="O41" i="5"/>
  <c r="N36" i="20" s="1"/>
  <c r="O42" i="5"/>
  <c r="O43" i="5"/>
  <c r="O44" i="5"/>
  <c r="O45" i="5"/>
  <c r="O46" i="5"/>
  <c r="O47" i="5"/>
  <c r="O48" i="5"/>
  <c r="O49" i="5"/>
  <c r="N44" i="20" s="1"/>
  <c r="O50" i="5"/>
  <c r="O51" i="5"/>
  <c r="O52" i="5"/>
  <c r="O53" i="5"/>
  <c r="O54" i="5"/>
  <c r="O55" i="5"/>
  <c r="O56" i="5"/>
  <c r="O57" i="5"/>
  <c r="N52" i="20" s="1"/>
  <c r="P41" i="5"/>
  <c r="P42" i="5"/>
  <c r="P43" i="5"/>
  <c r="P44" i="5"/>
  <c r="P45" i="5"/>
  <c r="P46" i="5"/>
  <c r="O41" i="20" s="1"/>
  <c r="P47" i="5"/>
  <c r="P48" i="5"/>
  <c r="P49" i="5"/>
  <c r="P50" i="5"/>
  <c r="P51" i="5"/>
  <c r="P52" i="5"/>
  <c r="O47" i="20" s="1"/>
  <c r="P53" i="5"/>
  <c r="P54" i="5"/>
  <c r="O49" i="20" s="1"/>
  <c r="P55" i="5"/>
  <c r="P56" i="5"/>
  <c r="P57" i="5"/>
  <c r="Q41" i="5"/>
  <c r="Q42" i="5"/>
  <c r="Q43" i="5"/>
  <c r="P38" i="20" s="1"/>
  <c r="Q44" i="5"/>
  <c r="Q45" i="5"/>
  <c r="Q46" i="5"/>
  <c r="Q47" i="5"/>
  <c r="P42" i="20" s="1"/>
  <c r="Q48" i="5"/>
  <c r="Q49" i="5"/>
  <c r="Q50" i="5"/>
  <c r="Q51" i="5"/>
  <c r="P46" i="20" s="1"/>
  <c r="Q52" i="5"/>
  <c r="Q53" i="5"/>
  <c r="Q54" i="5"/>
  <c r="Q55" i="5"/>
  <c r="Q56" i="5"/>
  <c r="Q57" i="5"/>
  <c r="R41" i="5"/>
  <c r="R42" i="5"/>
  <c r="R43" i="5"/>
  <c r="R44" i="5"/>
  <c r="Q39" i="20" s="1"/>
  <c r="R45" i="5"/>
  <c r="Q40" i="20" s="1"/>
  <c r="R46" i="5"/>
  <c r="Q41" i="20" s="1"/>
  <c r="R47" i="5"/>
  <c r="R48" i="5"/>
  <c r="R49" i="5"/>
  <c r="Q44" i="20" s="1"/>
  <c r="R50" i="5"/>
  <c r="R51" i="5"/>
  <c r="R52" i="5"/>
  <c r="R53" i="5"/>
  <c r="Q48" i="20" s="1"/>
  <c r="R54" i="5"/>
  <c r="R55" i="5"/>
  <c r="R56" i="5"/>
  <c r="R57" i="5"/>
  <c r="Q52" i="20" s="1"/>
  <c r="S41" i="5"/>
  <c r="S42" i="5"/>
  <c r="S43" i="5"/>
  <c r="R38" i="20" s="1"/>
  <c r="S44" i="5"/>
  <c r="S45" i="5"/>
  <c r="R40" i="20" s="1"/>
  <c r="S46" i="5"/>
  <c r="S47" i="5"/>
  <c r="S48" i="5"/>
  <c r="S49" i="5"/>
  <c r="R44" i="20" s="1"/>
  <c r="S50" i="5"/>
  <c r="S51" i="5"/>
  <c r="R46" i="20" s="1"/>
  <c r="S52" i="5"/>
  <c r="S53" i="5"/>
  <c r="S54" i="5"/>
  <c r="S55" i="5"/>
  <c r="S56" i="5"/>
  <c r="S57" i="5"/>
  <c r="R52" i="20" s="1"/>
  <c r="T41" i="5"/>
  <c r="T42" i="5"/>
  <c r="S37" i="20" s="1"/>
  <c r="T43" i="5"/>
  <c r="T44" i="5"/>
  <c r="S39" i="20" s="1"/>
  <c r="T45" i="5"/>
  <c r="T46" i="5"/>
  <c r="T47" i="5"/>
  <c r="T48" i="5"/>
  <c r="T49" i="5"/>
  <c r="T50" i="5"/>
  <c r="S45" i="20" s="1"/>
  <c r="T51" i="5"/>
  <c r="T52" i="5"/>
  <c r="T53" i="5"/>
  <c r="T54" i="5"/>
  <c r="T55" i="5"/>
  <c r="T56" i="5"/>
  <c r="S51" i="20" s="1"/>
  <c r="T57" i="5"/>
  <c r="U41" i="5"/>
  <c r="T36" i="20" s="1"/>
  <c r="U42" i="5"/>
  <c r="U43" i="5"/>
  <c r="U44" i="5"/>
  <c r="U45" i="5"/>
  <c r="U46" i="5"/>
  <c r="U47" i="5"/>
  <c r="T42" i="20" s="1"/>
  <c r="U48" i="5"/>
  <c r="U49" i="5"/>
  <c r="U50" i="5"/>
  <c r="U51" i="5"/>
  <c r="U52" i="5"/>
  <c r="U53" i="5"/>
  <c r="U54" i="5"/>
  <c r="U55" i="5"/>
  <c r="T50" i="20" s="1"/>
  <c r="U56" i="5"/>
  <c r="U57" i="5"/>
  <c r="T52" i="20" s="1"/>
  <c r="V41" i="5"/>
  <c r="V42" i="5"/>
  <c r="U37" i="20" s="1"/>
  <c r="V43" i="5"/>
  <c r="V44" i="5"/>
  <c r="V45" i="5"/>
  <c r="V46" i="5"/>
  <c r="V47" i="5"/>
  <c r="V48" i="5"/>
  <c r="V49" i="5"/>
  <c r="V50" i="5"/>
  <c r="V51" i="5"/>
  <c r="V52" i="5"/>
  <c r="V53" i="5"/>
  <c r="V54" i="5"/>
  <c r="V55" i="5"/>
  <c r="V56" i="5"/>
  <c r="V57" i="5"/>
  <c r="W41" i="5"/>
  <c r="V36" i="20" s="1"/>
  <c r="W42" i="5"/>
  <c r="W43" i="5"/>
  <c r="W44" i="5"/>
  <c r="W45" i="5"/>
  <c r="W46" i="5"/>
  <c r="W47" i="5"/>
  <c r="W48" i="5"/>
  <c r="W49" i="5"/>
  <c r="W50" i="5"/>
  <c r="W51" i="5"/>
  <c r="W52" i="5"/>
  <c r="W53" i="5"/>
  <c r="V48" i="20" s="1"/>
  <c r="W54" i="5"/>
  <c r="W55" i="5"/>
  <c r="V50" i="20" s="1"/>
  <c r="W56" i="5"/>
  <c r="W57" i="5"/>
  <c r="X41" i="5"/>
  <c r="X42" i="5"/>
  <c r="X43" i="5"/>
  <c r="X44" i="5"/>
  <c r="X45" i="5"/>
  <c r="X46" i="5"/>
  <c r="W41" i="20" s="1"/>
  <c r="X47" i="5"/>
  <c r="X48" i="5"/>
  <c r="X49" i="5"/>
  <c r="X50" i="5"/>
  <c r="X51" i="5"/>
  <c r="X52" i="5"/>
  <c r="W47" i="20" s="1"/>
  <c r="X53" i="5"/>
  <c r="X54" i="5"/>
  <c r="W49" i="20" s="1"/>
  <c r="X55" i="5"/>
  <c r="X56" i="5"/>
  <c r="X57" i="5"/>
  <c r="Y41" i="5"/>
  <c r="Y42" i="5"/>
  <c r="Y43" i="5"/>
  <c r="X38" i="20" s="1"/>
  <c r="Y44" i="5"/>
  <c r="Y45" i="5"/>
  <c r="Y46" i="5"/>
  <c r="Y47" i="5"/>
  <c r="Y48" i="5"/>
  <c r="Y49" i="5"/>
  <c r="Y50" i="5"/>
  <c r="Y51" i="5"/>
  <c r="X46" i="20" s="1"/>
  <c r="Y52" i="5"/>
  <c r="Y53" i="5"/>
  <c r="Y54" i="5"/>
  <c r="Y55" i="5"/>
  <c r="Y56" i="5"/>
  <c r="Y57" i="5"/>
  <c r="Z41" i="5"/>
  <c r="Z42" i="5"/>
  <c r="Z43" i="5"/>
  <c r="Z44" i="5"/>
  <c r="Z45" i="5"/>
  <c r="Z46" i="5"/>
  <c r="Y41" i="20" s="1"/>
  <c r="Z47" i="5"/>
  <c r="Z48" i="5"/>
  <c r="Z49" i="5"/>
  <c r="Z50" i="5"/>
  <c r="Y45" i="20" s="1"/>
  <c r="Z51" i="5"/>
  <c r="Z52" i="5"/>
  <c r="Z53" i="5"/>
  <c r="Z54" i="5"/>
  <c r="Z55" i="5"/>
  <c r="Z56" i="5"/>
  <c r="Z57" i="5"/>
  <c r="AA41" i="5"/>
  <c r="AA42" i="5"/>
  <c r="AA43" i="5"/>
  <c r="Z38" i="20" s="1"/>
  <c r="AA44" i="5"/>
  <c r="AA45" i="5"/>
  <c r="Z40" i="20" s="1"/>
  <c r="AA46" i="5"/>
  <c r="AA47" i="5"/>
  <c r="AA48" i="5"/>
  <c r="AA49" i="5"/>
  <c r="Z44" i="20" s="1"/>
  <c r="AA50" i="5"/>
  <c r="AA51" i="5"/>
  <c r="Z46" i="20" s="1"/>
  <c r="AA52" i="5"/>
  <c r="AA53" i="5"/>
  <c r="AA54" i="5"/>
  <c r="AA55" i="5"/>
  <c r="AA56" i="5"/>
  <c r="AA57" i="5"/>
  <c r="Z52" i="20" s="1"/>
  <c r="AB41" i="5"/>
  <c r="AB42" i="5"/>
  <c r="AB43" i="5"/>
  <c r="AB44" i="5"/>
  <c r="AA39" i="20" s="1"/>
  <c r="AB45" i="5"/>
  <c r="AB46" i="5"/>
  <c r="AA41" i="20" s="1"/>
  <c r="AB47" i="5"/>
  <c r="AB48" i="5"/>
  <c r="AB49" i="5"/>
  <c r="AB50" i="5"/>
  <c r="AB51" i="5"/>
  <c r="AB52" i="5"/>
  <c r="AB53" i="5"/>
  <c r="AB54" i="5"/>
  <c r="AA49" i="20" s="1"/>
  <c r="AB55" i="5"/>
  <c r="AB56" i="5"/>
  <c r="AA51" i="20" s="1"/>
  <c r="AB57" i="5"/>
  <c r="AC41" i="5"/>
  <c r="AB36" i="20" s="1"/>
  <c r="AC42" i="5"/>
  <c r="AC43" i="5"/>
  <c r="AC44" i="5"/>
  <c r="AC45" i="5"/>
  <c r="AC46" i="5"/>
  <c r="AC47" i="5"/>
  <c r="AB42" i="20" s="1"/>
  <c r="AC48" i="5"/>
  <c r="AC49" i="5"/>
  <c r="AC50" i="5"/>
  <c r="AC51" i="5"/>
  <c r="AC52" i="5"/>
  <c r="AB47" i="20" s="1"/>
  <c r="AC53" i="5"/>
  <c r="AC54" i="5"/>
  <c r="AC55" i="5"/>
  <c r="AB50" i="20" s="1"/>
  <c r="AC56" i="5"/>
  <c r="AC57" i="5"/>
  <c r="AB52" i="20" s="1"/>
  <c r="AD41" i="5"/>
  <c r="AD42" i="5"/>
  <c r="AC37" i="20" s="1"/>
  <c r="AD43" i="5"/>
  <c r="AC38" i="20" s="1"/>
  <c r="AD44" i="5"/>
  <c r="AD45" i="5"/>
  <c r="AD46" i="5"/>
  <c r="AD47" i="5"/>
  <c r="AC42" i="20" s="1"/>
  <c r="AD48" i="5"/>
  <c r="AD49" i="5"/>
  <c r="AD50" i="5"/>
  <c r="AC45" i="20" s="1"/>
  <c r="AD51" i="5"/>
  <c r="AC46" i="20" s="1"/>
  <c r="AD52" i="5"/>
  <c r="AD53" i="5"/>
  <c r="AD54" i="5"/>
  <c r="AC49" i="20" s="1"/>
  <c r="AD55" i="5"/>
  <c r="AC50" i="20" s="1"/>
  <c r="AD56" i="5"/>
  <c r="AC51" i="20" s="1"/>
  <c r="AD57" i="5"/>
  <c r="AE41" i="5"/>
  <c r="AD36" i="20" s="1"/>
  <c r="AE42" i="5"/>
  <c r="AE43" i="5"/>
  <c r="AE44" i="5"/>
  <c r="AE45" i="5"/>
  <c r="AE46" i="5"/>
  <c r="AE47" i="5"/>
  <c r="AD42" i="20" s="1"/>
  <c r="AE48" i="5"/>
  <c r="AE49" i="5"/>
  <c r="AE50" i="5"/>
  <c r="AE51" i="5"/>
  <c r="AE52" i="5"/>
  <c r="AE53" i="5"/>
  <c r="AD48" i="20" s="1"/>
  <c r="AE54" i="5"/>
  <c r="AE55" i="5"/>
  <c r="AD50" i="20" s="1"/>
  <c r="AE56" i="5"/>
  <c r="AE57" i="5"/>
  <c r="AF41" i="5"/>
  <c r="AF42" i="5"/>
  <c r="AE37" i="20" s="1"/>
  <c r="AF43" i="5"/>
  <c r="AF44" i="5"/>
  <c r="AE39" i="20" s="1"/>
  <c r="AF45" i="5"/>
  <c r="AF46" i="5"/>
  <c r="AE41" i="20" s="1"/>
  <c r="AF47" i="5"/>
  <c r="AF48" i="5"/>
  <c r="AF49" i="5"/>
  <c r="AE44" i="20" s="1"/>
  <c r="AF50" i="5"/>
  <c r="AE45" i="20" s="1"/>
  <c r="AF51" i="5"/>
  <c r="AF52" i="5"/>
  <c r="AE47" i="20" s="1"/>
  <c r="AF53" i="5"/>
  <c r="AE48" i="20" s="1"/>
  <c r="AF54" i="5"/>
  <c r="AE49" i="20" s="1"/>
  <c r="AF55" i="5"/>
  <c r="AF56" i="5"/>
  <c r="AE51" i="20" s="1"/>
  <c r="AF57" i="5"/>
  <c r="AE52" i="20" s="1"/>
  <c r="AG41" i="5"/>
  <c r="AG42" i="5"/>
  <c r="AG43" i="5"/>
  <c r="AF38" i="20" s="1"/>
  <c r="AG44" i="5"/>
  <c r="AF39" i="20" s="1"/>
  <c r="AG45" i="5"/>
  <c r="AF40" i="20" s="1"/>
  <c r="AG46" i="5"/>
  <c r="AG47" i="5"/>
  <c r="AF42" i="20" s="1"/>
  <c r="AG48" i="5"/>
  <c r="AF43" i="20" s="1"/>
  <c r="AG49" i="5"/>
  <c r="AG50" i="5"/>
  <c r="AG51" i="5"/>
  <c r="AF46" i="20" s="1"/>
  <c r="AG52" i="5"/>
  <c r="AF47" i="20" s="1"/>
  <c r="AG53" i="5"/>
  <c r="AF48" i="20" s="1"/>
  <c r="AG54" i="5"/>
  <c r="AG55" i="5"/>
  <c r="AF50" i="20" s="1"/>
  <c r="AG56" i="5"/>
  <c r="AF51" i="20" s="1"/>
  <c r="AG57" i="5"/>
  <c r="AH41" i="5"/>
  <c r="AH42" i="5"/>
  <c r="AG37" i="20" s="1"/>
  <c r="AH43" i="5"/>
  <c r="AG38" i="20" s="1"/>
  <c r="AH44" i="5"/>
  <c r="AG39" i="20" s="1"/>
  <c r="AH45" i="5"/>
  <c r="AH46" i="5"/>
  <c r="AG41" i="20" s="1"/>
  <c r="AH47" i="5"/>
  <c r="AG42" i="20" s="1"/>
  <c r="AH48" i="5"/>
  <c r="AG43" i="20" s="1"/>
  <c r="AH49" i="5"/>
  <c r="AH50" i="5"/>
  <c r="AG45" i="20" s="1"/>
  <c r="AH51" i="5"/>
  <c r="AG46" i="20" s="1"/>
  <c r="AH52" i="5"/>
  <c r="AG47" i="20" s="1"/>
  <c r="AH53" i="5"/>
  <c r="AH54" i="5"/>
  <c r="AH55" i="5"/>
  <c r="AG50" i="20" s="1"/>
  <c r="AH56" i="5"/>
  <c r="AH57" i="5"/>
  <c r="AI41" i="5"/>
  <c r="AI42" i="5"/>
  <c r="AH37" i="20" s="1"/>
  <c r="AI43" i="5"/>
  <c r="AI44" i="5"/>
  <c r="AH39" i="20" s="1"/>
  <c r="AI45" i="5"/>
  <c r="AI46" i="5"/>
  <c r="AH41" i="20" s="1"/>
  <c r="AI47" i="5"/>
  <c r="AI48" i="5"/>
  <c r="AI49" i="5"/>
  <c r="AH44" i="20" s="1"/>
  <c r="AI50" i="5"/>
  <c r="AH45" i="20" s="1"/>
  <c r="AI51" i="5"/>
  <c r="AI52" i="5"/>
  <c r="AI53" i="5"/>
  <c r="AH48" i="20" s="1"/>
  <c r="AI54" i="5"/>
  <c r="AH49" i="20" s="1"/>
  <c r="AI55" i="5"/>
  <c r="AI56" i="5"/>
  <c r="AI57" i="5"/>
  <c r="AH52" i="20" s="1"/>
  <c r="AJ41" i="5"/>
  <c r="AJ42" i="5"/>
  <c r="AI37" i="20" s="1"/>
  <c r="AJ43" i="5"/>
  <c r="AI38" i="20" s="1"/>
  <c r="AJ44" i="5"/>
  <c r="AJ45" i="5"/>
  <c r="AJ46" i="5"/>
  <c r="AJ47" i="5"/>
  <c r="AJ48" i="5"/>
  <c r="AJ49" i="5"/>
  <c r="AI44" i="20" s="1"/>
  <c r="AJ50" i="5"/>
  <c r="AI45" i="20" s="1"/>
  <c r="AJ51" i="5"/>
  <c r="AJ52" i="5"/>
  <c r="AJ53" i="5"/>
  <c r="AI48" i="20" s="1"/>
  <c r="AJ54" i="5"/>
  <c r="AJ55" i="5"/>
  <c r="AJ56" i="5"/>
  <c r="AJ57" i="5"/>
  <c r="AI52" i="20" s="1"/>
  <c r="AK41" i="5"/>
  <c r="AJ36" i="20" s="1"/>
  <c r="AK42" i="5"/>
  <c r="AJ37" i="20" s="1"/>
  <c r="AK43" i="5"/>
  <c r="AJ38" i="20" s="1"/>
  <c r="AK44" i="5"/>
  <c r="AJ39" i="20" s="1"/>
  <c r="AK45" i="5"/>
  <c r="AK46" i="5"/>
  <c r="AK47" i="5"/>
  <c r="AJ42" i="20" s="1"/>
  <c r="AK48" i="5"/>
  <c r="AJ43" i="20" s="1"/>
  <c r="AK49" i="5"/>
  <c r="AJ44" i="20" s="1"/>
  <c r="AK50" i="5"/>
  <c r="AK51" i="5"/>
  <c r="AJ46" i="20" s="1"/>
  <c r="AK52" i="5"/>
  <c r="AJ47" i="20" s="1"/>
  <c r="AK53" i="5"/>
  <c r="AK54" i="5"/>
  <c r="AK55" i="5"/>
  <c r="AJ50" i="20" s="1"/>
  <c r="AK56" i="5"/>
  <c r="AJ51" i="20" s="1"/>
  <c r="AK57" i="5"/>
  <c r="AJ52" i="20" s="1"/>
  <c r="AL41" i="5"/>
  <c r="AK36" i="20" s="1"/>
  <c r="AL42" i="5"/>
  <c r="AL43" i="5"/>
  <c r="AK38" i="20" s="1"/>
  <c r="AL44" i="5"/>
  <c r="AL45" i="5"/>
  <c r="AL46" i="5"/>
  <c r="AL47" i="5"/>
  <c r="AK42" i="20" s="1"/>
  <c r="AL48" i="5"/>
  <c r="AK43" i="20" s="1"/>
  <c r="AL49" i="5"/>
  <c r="AL50" i="5"/>
  <c r="AK45" i="20" s="1"/>
  <c r="AL51" i="5"/>
  <c r="AK46" i="20" s="1"/>
  <c r="AL52" i="5"/>
  <c r="AL53" i="5"/>
  <c r="AL54" i="5"/>
  <c r="AK49" i="20" s="1"/>
  <c r="AL55" i="5"/>
  <c r="AK50" i="20" s="1"/>
  <c r="AL56" i="5"/>
  <c r="AK51" i="20" s="1"/>
  <c r="AL57" i="5"/>
  <c r="AM41" i="5"/>
  <c r="AM42" i="5"/>
  <c r="AL37" i="20" s="1"/>
  <c r="AM43" i="5"/>
  <c r="AM44" i="5"/>
  <c r="AM45" i="5"/>
  <c r="AL40" i="20" s="1"/>
  <c r="AM46" i="5"/>
  <c r="AL41" i="20" s="1"/>
  <c r="AM47" i="5"/>
  <c r="AL42" i="20" s="1"/>
  <c r="AM48" i="5"/>
  <c r="AM49" i="5"/>
  <c r="AM50" i="5"/>
  <c r="AL45" i="20" s="1"/>
  <c r="AM51" i="5"/>
  <c r="AM52" i="5"/>
  <c r="AM53" i="5"/>
  <c r="AM54" i="5"/>
  <c r="AL49" i="20" s="1"/>
  <c r="AM55" i="5"/>
  <c r="AL50" i="20" s="1"/>
  <c r="AM56" i="5"/>
  <c r="AM57" i="5"/>
  <c r="AN41" i="5"/>
  <c r="AN42" i="5"/>
  <c r="AM37" i="20" s="1"/>
  <c r="AN43" i="5"/>
  <c r="AM38" i="20" s="1"/>
  <c r="AN44" i="5"/>
  <c r="AM39" i="20" s="1"/>
  <c r="AN45" i="5"/>
  <c r="AN46" i="5"/>
  <c r="AM41" i="20" s="1"/>
  <c r="AN47" i="5"/>
  <c r="AN48" i="5"/>
  <c r="AM43" i="20" s="1"/>
  <c r="AN49" i="5"/>
  <c r="AM44" i="20" s="1"/>
  <c r="AN50" i="5"/>
  <c r="AN51" i="5"/>
  <c r="AN52" i="5"/>
  <c r="AM47" i="20" s="1"/>
  <c r="AN53" i="5"/>
  <c r="AM48" i="20" s="1"/>
  <c r="AN54" i="5"/>
  <c r="AN55" i="5"/>
  <c r="AN56" i="5"/>
  <c r="AM51" i="20" s="1"/>
  <c r="AN57" i="5"/>
  <c r="AM52" i="20" s="1"/>
  <c r="AO41" i="5"/>
  <c r="AN36" i="20" s="1"/>
  <c r="AO42" i="5"/>
  <c r="AN37" i="20" s="1"/>
  <c r="AO43" i="5"/>
  <c r="AN38" i="20" s="1"/>
  <c r="AO44" i="5"/>
  <c r="AN39" i="20" s="1"/>
  <c r="AO45" i="5"/>
  <c r="AN40" i="20" s="1"/>
  <c r="AO46" i="5"/>
  <c r="AO47" i="5"/>
  <c r="AN42" i="20" s="1"/>
  <c r="AO48" i="5"/>
  <c r="AN43" i="20" s="1"/>
  <c r="AO49" i="5"/>
  <c r="AN44" i="20" s="1"/>
  <c r="AO50" i="5"/>
  <c r="AO51" i="5"/>
  <c r="AN46" i="20" s="1"/>
  <c r="AO52" i="5"/>
  <c r="AN47" i="20" s="1"/>
  <c r="AO53" i="5"/>
  <c r="AN48" i="20" s="1"/>
  <c r="AO54" i="5"/>
  <c r="AO55" i="5"/>
  <c r="AO56" i="5"/>
  <c r="AN51" i="20" s="1"/>
  <c r="AO57" i="5"/>
  <c r="AP41" i="5"/>
  <c r="AO36" i="20" s="1"/>
  <c r="AP42" i="5"/>
  <c r="AP43" i="5"/>
  <c r="AO38" i="20" s="1"/>
  <c r="AP44" i="5"/>
  <c r="AO39" i="20" s="1"/>
  <c r="AP45" i="5"/>
  <c r="AP46" i="5"/>
  <c r="AO41" i="20" s="1"/>
  <c r="AP47" i="5"/>
  <c r="AO42" i="20" s="1"/>
  <c r="AP48" i="5"/>
  <c r="AP49" i="5"/>
  <c r="AP50" i="5"/>
  <c r="AO45" i="20" s="1"/>
  <c r="AP51" i="5"/>
  <c r="AO46" i="20" s="1"/>
  <c r="AP52" i="5"/>
  <c r="AO47" i="20" s="1"/>
  <c r="AP53" i="5"/>
  <c r="AP54" i="5"/>
  <c r="AO49" i="20" s="1"/>
  <c r="AP55" i="5"/>
  <c r="AO50" i="20" s="1"/>
  <c r="AP56" i="5"/>
  <c r="AP57" i="5"/>
  <c r="AQ41" i="5"/>
  <c r="AP36" i="20" s="1"/>
  <c r="AQ42" i="5"/>
  <c r="AP37" i="20" s="1"/>
  <c r="AQ43" i="5"/>
  <c r="AP38" i="20" s="1"/>
  <c r="AQ44" i="5"/>
  <c r="AQ45" i="5"/>
  <c r="AQ46" i="5"/>
  <c r="AP41" i="20" s="1"/>
  <c r="AQ47" i="5"/>
  <c r="AP42" i="20" s="1"/>
  <c r="AQ48" i="5"/>
  <c r="AQ49" i="5"/>
  <c r="AQ50" i="5"/>
  <c r="AP45" i="20" s="1"/>
  <c r="AQ51" i="5"/>
  <c r="AP46" i="20" s="1"/>
  <c r="AQ52" i="5"/>
  <c r="AQ53" i="5"/>
  <c r="AQ54" i="5"/>
  <c r="AP49" i="20" s="1"/>
  <c r="AQ55" i="5"/>
  <c r="AQ56" i="5"/>
  <c r="AQ57" i="5"/>
  <c r="AP52" i="20" s="1"/>
  <c r="AR41" i="5"/>
  <c r="AR42" i="5"/>
  <c r="AQ37" i="20" s="1"/>
  <c r="AR43" i="5"/>
  <c r="AQ38" i="20" s="1"/>
  <c r="AR44" i="5"/>
  <c r="AQ39" i="20" s="1"/>
  <c r="AR45" i="5"/>
  <c r="AR46" i="5"/>
  <c r="AR47" i="5"/>
  <c r="AR48" i="5"/>
  <c r="AQ43" i="20" s="1"/>
  <c r="AR49" i="5"/>
  <c r="AQ44" i="20" s="1"/>
  <c r="AR50" i="5"/>
  <c r="AQ45" i="20" s="1"/>
  <c r="AR51" i="5"/>
  <c r="AR52" i="5"/>
  <c r="AQ47" i="20" s="1"/>
  <c r="AR53" i="5"/>
  <c r="AQ48" i="20" s="1"/>
  <c r="AR54" i="5"/>
  <c r="AR55" i="5"/>
  <c r="AR56" i="5"/>
  <c r="AQ51" i="20" s="1"/>
  <c r="AR57" i="5"/>
  <c r="AQ52" i="20" s="1"/>
  <c r="AS41" i="5"/>
  <c r="AR36" i="20" s="1"/>
  <c r="AS42" i="5"/>
  <c r="AR37" i="20" s="1"/>
  <c r="AS43" i="5"/>
  <c r="AR38" i="20" s="1"/>
  <c r="AS44" i="5"/>
  <c r="AR39" i="20" s="1"/>
  <c r="AS45" i="5"/>
  <c r="AS46" i="5"/>
  <c r="AS47" i="5"/>
  <c r="AR42" i="20" s="1"/>
  <c r="AS48" i="5"/>
  <c r="AR43" i="20" s="1"/>
  <c r="AS49" i="5"/>
  <c r="AR44" i="20" s="1"/>
  <c r="AS50" i="5"/>
  <c r="AS51" i="5"/>
  <c r="AS52" i="5"/>
  <c r="AR47" i="20" s="1"/>
  <c r="AS53" i="5"/>
  <c r="AS54" i="5"/>
  <c r="AS55" i="5"/>
  <c r="AR50" i="20" s="1"/>
  <c r="AS56" i="5"/>
  <c r="AR51" i="20" s="1"/>
  <c r="AS57" i="5"/>
  <c r="AR52" i="20" s="1"/>
  <c r="AT41" i="5"/>
  <c r="AS36" i="20" s="1"/>
  <c r="AT42" i="5"/>
  <c r="AS37" i="20" s="1"/>
  <c r="AT43" i="5"/>
  <c r="AS38" i="20" s="1"/>
  <c r="AT44" i="5"/>
  <c r="AT45" i="5"/>
  <c r="AT46" i="5"/>
  <c r="AS41" i="20" s="1"/>
  <c r="AT47" i="5"/>
  <c r="AS42" i="20" s="1"/>
  <c r="AT48" i="5"/>
  <c r="AS43" i="20" s="1"/>
  <c r="AT49" i="5"/>
  <c r="AT50" i="5"/>
  <c r="AS45" i="20" s="1"/>
  <c r="AT51" i="5"/>
  <c r="AS46" i="20" s="1"/>
  <c r="AT52" i="5"/>
  <c r="AT53" i="5"/>
  <c r="AT54" i="5"/>
  <c r="AS49" i="20" s="1"/>
  <c r="AT55" i="5"/>
  <c r="AS50" i="20" s="1"/>
  <c r="AT56" i="5"/>
  <c r="AS51" i="20" s="1"/>
  <c r="AT57" i="5"/>
  <c r="AU41" i="5"/>
  <c r="AT36" i="20" s="1"/>
  <c r="AU42" i="5"/>
  <c r="AT37" i="20" s="1"/>
  <c r="AU43" i="5"/>
  <c r="AT38" i="20" s="1"/>
  <c r="AU44" i="5"/>
  <c r="AU45" i="5"/>
  <c r="AT40" i="20" s="1"/>
  <c r="AU46" i="5"/>
  <c r="AT41" i="20" s="1"/>
  <c r="AU47" i="5"/>
  <c r="AT42" i="20" s="1"/>
  <c r="AU48" i="5"/>
  <c r="AU49" i="5"/>
  <c r="AT44" i="20" s="1"/>
  <c r="AU50" i="5"/>
  <c r="AT45" i="20" s="1"/>
  <c r="AU51" i="5"/>
  <c r="AU52" i="5"/>
  <c r="AU53" i="5"/>
  <c r="AT48" i="20" s="1"/>
  <c r="AU54" i="5"/>
  <c r="AT49" i="20" s="1"/>
  <c r="AU55" i="5"/>
  <c r="AT50" i="20" s="1"/>
  <c r="AU56" i="5"/>
  <c r="AU57" i="5"/>
  <c r="AT52" i="20" s="1"/>
  <c r="AW41" i="5"/>
  <c r="AW42" i="5"/>
  <c r="AV37" i="20" s="1"/>
  <c r="AW43" i="5"/>
  <c r="AV38" i="20" s="1"/>
  <c r="AW44" i="5"/>
  <c r="AV39" i="20" s="1"/>
  <c r="AW45" i="5"/>
  <c r="AV40" i="20" s="1"/>
  <c r="AW46" i="5"/>
  <c r="AV41" i="20" s="1"/>
  <c r="AW47" i="5"/>
  <c r="AW48" i="5"/>
  <c r="AV43" i="20" s="1"/>
  <c r="AW49" i="5"/>
  <c r="AV44" i="20" s="1"/>
  <c r="AW50" i="5"/>
  <c r="AW51" i="5"/>
  <c r="AW52" i="5"/>
  <c r="AV47" i="20" s="1"/>
  <c r="AW53" i="5"/>
  <c r="AV48" i="20" s="1"/>
  <c r="AW54" i="5"/>
  <c r="AV49" i="20" s="1"/>
  <c r="AW55" i="5"/>
  <c r="AW56" i="5"/>
  <c r="AV51" i="20" s="1"/>
  <c r="AW57" i="5"/>
  <c r="AV52" i="20" s="1"/>
  <c r="AX41" i="5"/>
  <c r="AW36" i="20" s="1"/>
  <c r="AX42" i="5"/>
  <c r="AW37" i="20" s="1"/>
  <c r="AX43" i="5"/>
  <c r="AX44" i="5"/>
  <c r="AW39" i="20" s="1"/>
  <c r="AX45" i="5"/>
  <c r="AW40" i="20" s="1"/>
  <c r="AX46" i="5"/>
  <c r="AX47" i="5"/>
  <c r="AW42" i="20" s="1"/>
  <c r="AX48" i="5"/>
  <c r="AW43" i="20" s="1"/>
  <c r="AX49" i="5"/>
  <c r="AX50" i="5"/>
  <c r="AX51" i="5"/>
  <c r="AW46" i="20" s="1"/>
  <c r="AX52" i="5"/>
  <c r="AX53" i="5"/>
  <c r="AW48" i="20" s="1"/>
  <c r="AX54" i="5"/>
  <c r="AX55" i="5"/>
  <c r="AX56" i="5"/>
  <c r="AW51" i="20" s="1"/>
  <c r="AX57" i="5"/>
  <c r="AY41" i="5"/>
  <c r="AX36" i="20" s="1"/>
  <c r="AY42" i="5"/>
  <c r="AX37" i="20" s="1"/>
  <c r="AY43" i="5"/>
  <c r="AX38" i="20" s="1"/>
  <c r="AY44" i="5"/>
  <c r="AX39" i="20" s="1"/>
  <c r="AY45" i="5"/>
  <c r="AY46" i="5"/>
  <c r="AY47" i="5"/>
  <c r="AX42" i="20" s="1"/>
  <c r="AY48" i="5"/>
  <c r="AY49" i="5"/>
  <c r="AY50" i="5"/>
  <c r="AX45" i="20" s="1"/>
  <c r="AY51" i="5"/>
  <c r="AX46" i="20" s="1"/>
  <c r="AY52" i="5"/>
  <c r="AX47" i="20" s="1"/>
  <c r="AY53" i="5"/>
  <c r="AY54" i="5"/>
  <c r="AY55" i="5"/>
  <c r="AX50" i="20" s="1"/>
  <c r="AY56" i="5"/>
  <c r="AY57" i="5"/>
  <c r="AZ41" i="5"/>
  <c r="AY36" i="20" s="1"/>
  <c r="AZ42" i="5"/>
  <c r="AY37" i="20" s="1"/>
  <c r="AZ43" i="5"/>
  <c r="AY38" i="20" s="1"/>
  <c r="AZ44" i="5"/>
  <c r="AZ45" i="5"/>
  <c r="AY40" i="20" s="1"/>
  <c r="AZ46" i="5"/>
  <c r="AY41" i="20" s="1"/>
  <c r="AZ47" i="5"/>
  <c r="AZ48" i="5"/>
  <c r="AZ49" i="5"/>
  <c r="AY44" i="20" s="1"/>
  <c r="AZ50" i="5"/>
  <c r="AY45" i="20" s="1"/>
  <c r="AZ51" i="5"/>
  <c r="AY46" i="20" s="1"/>
  <c r="AZ52" i="5"/>
  <c r="AZ53" i="5"/>
  <c r="AY48" i="20" s="1"/>
  <c r="AZ54" i="5"/>
  <c r="AY49" i="20" s="1"/>
  <c r="AZ55" i="5"/>
  <c r="AZ56" i="5"/>
  <c r="AZ57" i="5"/>
  <c r="AY52" i="20" s="1"/>
  <c r="BA41" i="5"/>
  <c r="BA42" i="5"/>
  <c r="AZ37" i="20" s="1"/>
  <c r="BA43" i="5"/>
  <c r="BA44" i="5"/>
  <c r="AZ39" i="20" s="1"/>
  <c r="BA45" i="5"/>
  <c r="AZ40" i="20" s="1"/>
  <c r="BA46" i="5"/>
  <c r="AZ41" i="20" s="1"/>
  <c r="BA47" i="5"/>
  <c r="BA48" i="5"/>
  <c r="AZ43" i="20" s="1"/>
  <c r="BA49" i="5"/>
  <c r="AZ44" i="20" s="1"/>
  <c r="BA50" i="5"/>
  <c r="AZ45" i="20" s="1"/>
  <c r="BA51" i="5"/>
  <c r="BA52" i="5"/>
  <c r="AZ47" i="20" s="1"/>
  <c r="BA53" i="5"/>
  <c r="AZ48" i="20" s="1"/>
  <c r="BA54" i="5"/>
  <c r="BA55" i="5"/>
  <c r="BA56" i="5"/>
  <c r="AZ51" i="20" s="1"/>
  <c r="BA57" i="5"/>
  <c r="AZ52" i="20" s="1"/>
  <c r="BB41" i="5"/>
  <c r="BA36" i="20" s="1"/>
  <c r="BB42" i="5"/>
  <c r="BB43" i="5"/>
  <c r="BA38" i="20" s="1"/>
  <c r="BB44" i="5"/>
  <c r="BA39" i="20" s="1"/>
  <c r="BB45" i="5"/>
  <c r="BB46" i="5"/>
  <c r="BB47" i="5"/>
  <c r="BB48" i="5"/>
  <c r="BA43" i="20" s="1"/>
  <c r="BB49" i="5"/>
  <c r="BA44" i="20" s="1"/>
  <c r="BB50" i="5"/>
  <c r="BB51" i="5"/>
  <c r="BA46" i="20" s="1"/>
  <c r="BB52" i="5"/>
  <c r="BA47" i="20" s="1"/>
  <c r="BB53" i="5"/>
  <c r="BB54" i="5"/>
  <c r="BB55" i="5"/>
  <c r="BB56" i="5"/>
  <c r="BA51" i="20" s="1"/>
  <c r="BB57" i="5"/>
  <c r="BA52" i="20" s="1"/>
  <c r="BC41" i="5"/>
  <c r="BB36" i="20" s="1"/>
  <c r="BC42" i="5"/>
  <c r="BB37" i="20" s="1"/>
  <c r="BC43" i="5"/>
  <c r="BB38" i="20" s="1"/>
  <c r="BC44" i="5"/>
  <c r="BB39" i="20" s="1"/>
  <c r="BC45" i="5"/>
  <c r="BC46" i="5"/>
  <c r="BB41" i="20" s="1"/>
  <c r="BC47" i="5"/>
  <c r="BB42" i="20" s="1"/>
  <c r="BC48" i="5"/>
  <c r="BB43" i="20" s="1"/>
  <c r="BC49" i="5"/>
  <c r="BC50" i="5"/>
  <c r="BC51" i="5"/>
  <c r="BB46" i="20" s="1"/>
  <c r="BC52" i="5"/>
  <c r="BC53" i="5"/>
  <c r="BC54" i="5"/>
  <c r="BB49" i="20" s="1"/>
  <c r="BC55" i="5"/>
  <c r="BB50" i="20" s="1"/>
  <c r="BC56" i="5"/>
  <c r="BB51" i="20" s="1"/>
  <c r="BC57" i="5"/>
  <c r="BD41" i="5"/>
  <c r="BC36" i="20" s="1"/>
  <c r="BD42" i="5"/>
  <c r="BC37" i="20" s="1"/>
  <c r="BD43" i="5"/>
  <c r="BD44" i="5"/>
  <c r="BD45" i="5"/>
  <c r="BC40" i="20" s="1"/>
  <c r="BD46" i="5"/>
  <c r="BC41" i="20" s="1"/>
  <c r="BD47" i="5"/>
  <c r="BC42" i="20" s="1"/>
  <c r="BD48" i="5"/>
  <c r="BD49" i="5"/>
  <c r="BC44" i="20" s="1"/>
  <c r="BD50" i="5"/>
  <c r="BC45" i="20" s="1"/>
  <c r="BD51" i="5"/>
  <c r="BD52" i="5"/>
  <c r="BD53" i="5"/>
  <c r="BD54" i="5"/>
  <c r="BC49" i="20" s="1"/>
  <c r="BD55" i="5"/>
  <c r="BC50" i="20" s="1"/>
  <c r="BD56" i="5"/>
  <c r="BD57" i="5"/>
  <c r="BC52" i="20" s="1"/>
  <c r="BE41" i="5"/>
  <c r="BE42" i="5"/>
  <c r="BD37" i="20" s="1"/>
  <c r="BE43" i="5"/>
  <c r="BD38" i="20" s="1"/>
  <c r="BE44" i="5"/>
  <c r="BD39" i="20" s="1"/>
  <c r="BE45" i="5"/>
  <c r="BD40" i="20" s="1"/>
  <c r="BE46" i="5"/>
  <c r="BD41" i="20" s="1"/>
  <c r="BE47" i="5"/>
  <c r="BE48" i="5"/>
  <c r="BD43" i="20" s="1"/>
  <c r="BE49" i="5"/>
  <c r="BD44" i="20" s="1"/>
  <c r="BE50" i="5"/>
  <c r="BE51" i="5"/>
  <c r="BE52" i="5"/>
  <c r="BE53" i="5"/>
  <c r="BD48" i="20" s="1"/>
  <c r="BE54" i="5"/>
  <c r="BD49" i="20" s="1"/>
  <c r="BE55" i="5"/>
  <c r="BE56" i="5"/>
  <c r="BD51" i="20" s="1"/>
  <c r="BE57" i="5"/>
  <c r="BD52" i="20" s="1"/>
  <c r="BF41" i="5"/>
  <c r="BE36" i="20" s="1"/>
  <c r="BF42" i="5"/>
  <c r="BE37" i="20" s="1"/>
  <c r="BF43" i="5"/>
  <c r="BE38" i="20" s="1"/>
  <c r="BF44" i="5"/>
  <c r="BE39" i="20" s="1"/>
  <c r="BF45" i="5"/>
  <c r="BE40" i="20" s="1"/>
  <c r="BF46" i="5"/>
  <c r="BF47" i="5"/>
  <c r="BE42" i="20" s="1"/>
  <c r="BF48" i="5"/>
  <c r="BE43" i="20" s="1"/>
  <c r="BF49" i="5"/>
  <c r="BF50" i="5"/>
  <c r="BF51" i="5"/>
  <c r="BE46" i="20" s="1"/>
  <c r="BF52" i="5"/>
  <c r="BF53" i="5"/>
  <c r="BE48" i="20" s="1"/>
  <c r="BF54" i="5"/>
  <c r="BF55" i="5"/>
  <c r="BE50" i="20" s="1"/>
  <c r="BF56" i="5"/>
  <c r="BE51" i="20" s="1"/>
  <c r="BF57" i="5"/>
  <c r="BG41" i="5"/>
  <c r="BF36" i="20" s="1"/>
  <c r="BG42" i="5"/>
  <c r="BF37" i="20" s="1"/>
  <c r="BG43" i="5"/>
  <c r="BF38" i="20" s="1"/>
  <c r="BG44" i="5"/>
  <c r="BG45" i="5"/>
  <c r="BG46" i="5"/>
  <c r="BG47" i="5"/>
  <c r="BF42" i="20" s="1"/>
  <c r="BG48" i="5"/>
  <c r="BG49" i="5"/>
  <c r="BG50" i="5"/>
  <c r="BF45" i="20" s="1"/>
  <c r="BG51" i="5"/>
  <c r="BF46" i="20" s="1"/>
  <c r="BG52" i="5"/>
  <c r="BF47" i="20" s="1"/>
  <c r="BG53" i="5"/>
  <c r="BG54" i="5"/>
  <c r="BF49" i="20" s="1"/>
  <c r="BG55" i="5"/>
  <c r="BF50" i="20" s="1"/>
  <c r="BG56" i="5"/>
  <c r="BG57" i="5"/>
  <c r="BH41" i="5"/>
  <c r="BG36" i="20" s="1"/>
  <c r="BH42" i="5"/>
  <c r="BG37" i="20" s="1"/>
  <c r="BH43" i="5"/>
  <c r="BG38" i="20" s="1"/>
  <c r="BH44" i="5"/>
  <c r="BH45" i="5"/>
  <c r="BH46" i="5"/>
  <c r="BG41" i="20" s="1"/>
  <c r="BH47" i="5"/>
  <c r="BH48" i="5"/>
  <c r="BH49" i="5"/>
  <c r="BG44" i="20" s="1"/>
  <c r="BH50" i="5"/>
  <c r="BG45" i="20" s="1"/>
  <c r="BH51" i="5"/>
  <c r="BG46" i="20" s="1"/>
  <c r="BH52" i="5"/>
  <c r="BH53" i="5"/>
  <c r="BG48" i="20" s="1"/>
  <c r="BH54" i="5"/>
  <c r="BG49" i="20" s="1"/>
  <c r="BH55" i="5"/>
  <c r="BH56" i="5"/>
  <c r="BH57" i="5"/>
  <c r="BG52" i="20" s="1"/>
  <c r="BI41" i="5"/>
  <c r="BI42" i="5"/>
  <c r="BH37" i="20" s="1"/>
  <c r="BI43" i="5"/>
  <c r="BI44" i="5"/>
  <c r="BH39" i="20" s="1"/>
  <c r="BI45" i="5"/>
  <c r="BH40" i="20" s="1"/>
  <c r="BI46" i="5"/>
  <c r="BH41" i="20" s="1"/>
  <c r="BI47" i="5"/>
  <c r="BI48" i="5"/>
  <c r="BI49" i="5"/>
  <c r="BH44" i="20" s="1"/>
  <c r="BI50" i="5"/>
  <c r="BH45" i="20" s="1"/>
  <c r="BI51" i="5"/>
  <c r="BI52" i="5"/>
  <c r="BH47" i="20" s="1"/>
  <c r="BI53" i="5"/>
  <c r="BH48" i="20" s="1"/>
  <c r="BI54" i="5"/>
  <c r="BI55" i="5"/>
  <c r="BI56" i="5"/>
  <c r="BI57" i="5"/>
  <c r="BH52" i="20" s="1"/>
  <c r="BJ41" i="5"/>
  <c r="BI36" i="20" s="1"/>
  <c r="BJ42" i="5"/>
  <c r="BJ43" i="5"/>
  <c r="BI38" i="20" s="1"/>
  <c r="BJ44" i="5"/>
  <c r="BI39" i="20" s="1"/>
  <c r="BJ45" i="5"/>
  <c r="BI40" i="20" s="1"/>
  <c r="BJ46" i="5"/>
  <c r="BJ47" i="5"/>
  <c r="BI42" i="20" s="1"/>
  <c r="BJ48" i="5"/>
  <c r="BI43" i="20" s="1"/>
  <c r="BJ49" i="5"/>
  <c r="BI44" i="20" s="1"/>
  <c r="BJ50" i="5"/>
  <c r="BJ51" i="5"/>
  <c r="BJ52" i="5"/>
  <c r="BI47" i="20" s="1"/>
  <c r="BJ53" i="5"/>
  <c r="BI48" i="20" s="1"/>
  <c r="BJ54" i="5"/>
  <c r="BJ55" i="5"/>
  <c r="BI50" i="20" s="1"/>
  <c r="BJ56" i="5"/>
  <c r="BI51" i="20" s="1"/>
  <c r="BJ57" i="5"/>
  <c r="BI52" i="20" s="1"/>
  <c r="BK41" i="5"/>
  <c r="BJ36" i="20" s="1"/>
  <c r="BK42" i="5"/>
  <c r="BJ37" i="20" s="1"/>
  <c r="BK43" i="5"/>
  <c r="BJ38" i="20" s="1"/>
  <c r="BK44" i="5"/>
  <c r="BK45" i="5"/>
  <c r="BK46" i="5"/>
  <c r="BJ41" i="20" s="1"/>
  <c r="BK47" i="5"/>
  <c r="BJ42" i="20" s="1"/>
  <c r="BK48" i="5"/>
  <c r="BJ43" i="20" s="1"/>
  <c r="BK49" i="5"/>
  <c r="BK50" i="5"/>
  <c r="BJ45" i="20" s="1"/>
  <c r="BK51" i="5"/>
  <c r="BJ46" i="20" s="1"/>
  <c r="BK52" i="5"/>
  <c r="BK53" i="5"/>
  <c r="BK54" i="5"/>
  <c r="BK55" i="5"/>
  <c r="BJ50" i="20" s="1"/>
  <c r="BK56" i="5"/>
  <c r="BK57" i="5"/>
  <c r="BL41" i="5"/>
  <c r="BL42" i="5"/>
  <c r="BK37" i="20" s="1"/>
  <c r="BL43" i="5"/>
  <c r="BL44" i="5"/>
  <c r="BL45" i="5"/>
  <c r="BK40" i="20" s="1"/>
  <c r="BL46" i="5"/>
  <c r="BK41" i="20" s="1"/>
  <c r="BL47" i="5"/>
  <c r="BK42" i="20" s="1"/>
  <c r="BL48" i="5"/>
  <c r="BL49" i="5"/>
  <c r="BK44" i="20" s="1"/>
  <c r="BL50" i="5"/>
  <c r="BK45" i="20" s="1"/>
  <c r="BL51" i="5"/>
  <c r="BL52" i="5"/>
  <c r="BL53" i="5"/>
  <c r="BK48" i="20" s="1"/>
  <c r="BL54" i="5"/>
  <c r="BK49" i="20" s="1"/>
  <c r="BL55" i="5"/>
  <c r="BK50" i="20" s="1"/>
  <c r="BL56" i="5"/>
  <c r="BL57" i="5"/>
  <c r="BK52" i="20" s="1"/>
  <c r="BM41" i="5"/>
  <c r="BM42" i="5"/>
  <c r="BL37" i="20" s="1"/>
  <c r="BM43" i="5"/>
  <c r="BL38" i="20" s="1"/>
  <c r="BM44" i="5"/>
  <c r="BL39" i="20" s="1"/>
  <c r="BM45" i="5"/>
  <c r="BL40" i="20" s="1"/>
  <c r="BM46" i="5"/>
  <c r="BL41" i="20" s="1"/>
  <c r="BM47" i="5"/>
  <c r="BM48" i="5"/>
  <c r="BL43" i="20" s="1"/>
  <c r="BM49" i="5"/>
  <c r="BL44" i="20" s="1"/>
  <c r="BM50" i="5"/>
  <c r="BM51" i="5"/>
  <c r="BM52" i="5"/>
  <c r="BM53" i="5"/>
  <c r="BL48" i="20" s="1"/>
  <c r="BM54" i="5"/>
  <c r="BL49" i="20" s="1"/>
  <c r="BM55" i="5"/>
  <c r="BM56" i="5"/>
  <c r="BL51" i="20" s="1"/>
  <c r="BM57" i="5"/>
  <c r="BL52" i="20" s="1"/>
  <c r="C58" i="5"/>
  <c r="D58" i="5"/>
  <c r="E58" i="5"/>
  <c r="D53" i="20" s="1"/>
  <c r="F58" i="5"/>
  <c r="E53" i="20" s="1"/>
  <c r="G58" i="5"/>
  <c r="F53" i="20" s="1"/>
  <c r="H58" i="5"/>
  <c r="I58" i="5"/>
  <c r="H53" i="20" s="1"/>
  <c r="J58" i="5"/>
  <c r="I53" i="20" s="1"/>
  <c r="K58" i="5"/>
  <c r="L58" i="5"/>
  <c r="M58" i="5"/>
  <c r="N58" i="5"/>
  <c r="M53" i="20" s="1"/>
  <c r="O58" i="5"/>
  <c r="N53" i="20" s="1"/>
  <c r="P58" i="5"/>
  <c r="Q58" i="5"/>
  <c r="R58" i="5"/>
  <c r="Q53" i="20" s="1"/>
  <c r="S58" i="5"/>
  <c r="T58" i="5"/>
  <c r="U58" i="5"/>
  <c r="T53" i="20" s="1"/>
  <c r="V58" i="5"/>
  <c r="U53" i="20" s="1"/>
  <c r="W58" i="5"/>
  <c r="V53" i="20" s="1"/>
  <c r="X58" i="5"/>
  <c r="Y58" i="5"/>
  <c r="X53" i="20" s="1"/>
  <c r="Z58" i="5"/>
  <c r="Y53" i="20" s="1"/>
  <c r="AA58" i="5"/>
  <c r="AB58" i="5"/>
  <c r="AC58" i="5"/>
  <c r="AD58" i="5"/>
  <c r="AC53" i="20" s="1"/>
  <c r="AE58" i="5"/>
  <c r="AF58" i="5"/>
  <c r="AG58" i="5"/>
  <c r="AH58" i="5"/>
  <c r="AG53" i="20" s="1"/>
  <c r="AI58" i="5"/>
  <c r="AJ58" i="5"/>
  <c r="AK58" i="5"/>
  <c r="AJ53" i="20" s="1"/>
  <c r="AL58" i="5"/>
  <c r="AK53" i="20" s="1"/>
  <c r="AM58" i="5"/>
  <c r="AL53" i="20" s="1"/>
  <c r="AN58" i="5"/>
  <c r="AO58" i="5"/>
  <c r="AN53" i="20" s="1"/>
  <c r="AP58" i="5"/>
  <c r="AO53" i="20" s="1"/>
  <c r="AQ58" i="5"/>
  <c r="AR58" i="5"/>
  <c r="AS58" i="5"/>
  <c r="AT58" i="5"/>
  <c r="AS53" i="20" s="1"/>
  <c r="AU58" i="5"/>
  <c r="AT53" i="20" s="1"/>
  <c r="AW58" i="5"/>
  <c r="AX58" i="5"/>
  <c r="AW53" i="20" s="1"/>
  <c r="AY58" i="5"/>
  <c r="AX53" i="20" s="1"/>
  <c r="AZ58" i="5"/>
  <c r="BA58" i="5"/>
  <c r="BB58" i="5"/>
  <c r="BC58" i="5"/>
  <c r="BB53" i="20" s="1"/>
  <c r="BD58" i="5"/>
  <c r="BC53" i="20" s="1"/>
  <c r="BE58" i="5"/>
  <c r="BF58" i="5"/>
  <c r="BG58" i="5"/>
  <c r="BF53" i="20" s="1"/>
  <c r="BH58" i="5"/>
  <c r="BI58" i="5"/>
  <c r="BJ58" i="5"/>
  <c r="BI53" i="20" s="1"/>
  <c r="BK58" i="5"/>
  <c r="BJ53" i="20" s="1"/>
  <c r="BL58" i="5"/>
  <c r="BK53" i="20" s="1"/>
  <c r="BM58" i="5"/>
  <c r="S14" i="25"/>
  <c r="U14" i="25"/>
  <c r="T14" i="25"/>
  <c r="R14" i="25"/>
  <c r="Q14" i="25"/>
  <c r="P14" i="25"/>
  <c r="O14" i="25"/>
  <c r="O13" i="25"/>
  <c r="N14" i="25"/>
  <c r="M14" i="25"/>
  <c r="M13" i="25"/>
  <c r="L14" i="25"/>
  <c r="K14" i="25"/>
  <c r="J14" i="25"/>
  <c r="J10" i="25"/>
  <c r="I14" i="25"/>
  <c r="H14" i="25"/>
  <c r="G14" i="25"/>
  <c r="BB19" i="5"/>
  <c r="BC19" i="5"/>
  <c r="BA19" i="5"/>
  <c r="AZ14" i="20" s="1"/>
  <c r="AX19" i="5"/>
  <c r="AW14" i="20" s="1"/>
  <c r="AY19" i="5"/>
  <c r="AX14" i="20" s="1"/>
  <c r="AW19" i="5"/>
  <c r="C20" i="5"/>
  <c r="D20" i="5"/>
  <c r="E20" i="5"/>
  <c r="F20" i="5"/>
  <c r="G20" i="5"/>
  <c r="H20" i="5"/>
  <c r="G15" i="20" s="1"/>
  <c r="I20" i="5"/>
  <c r="J20" i="5"/>
  <c r="K20" i="5"/>
  <c r="L20" i="5"/>
  <c r="M20" i="5"/>
  <c r="N20" i="5"/>
  <c r="O15" i="20"/>
  <c r="P15" i="20"/>
  <c r="S20" i="5"/>
  <c r="T20" i="5"/>
  <c r="H10" i="25" s="1"/>
  <c r="U20" i="5"/>
  <c r="V20" i="5"/>
  <c r="W20" i="5"/>
  <c r="X20" i="5"/>
  <c r="W15" i="20" s="1"/>
  <c r="Y20" i="5"/>
  <c r="X15" i="20" s="1"/>
  <c r="Z20" i="5"/>
  <c r="AA20" i="5"/>
  <c r="AB20" i="5"/>
  <c r="AC20" i="5"/>
  <c r="AD20" i="5"/>
  <c r="AE20" i="5"/>
  <c r="AF20" i="5"/>
  <c r="AE15" i="20" s="1"/>
  <c r="AG20" i="5"/>
  <c r="AF15" i="20" s="1"/>
  <c r="AH20" i="5"/>
  <c r="AG15" i="20" s="1"/>
  <c r="AI20" i="5"/>
  <c r="AJ20" i="5"/>
  <c r="AK20" i="5"/>
  <c r="AL20" i="5"/>
  <c r="AK15" i="20" s="1"/>
  <c r="AM20" i="5"/>
  <c r="AL15" i="20" s="1"/>
  <c r="AN20" i="5"/>
  <c r="AM15" i="20" s="1"/>
  <c r="AO20" i="5"/>
  <c r="AN15" i="20" s="1"/>
  <c r="AP20" i="5"/>
  <c r="AO15" i="20" s="1"/>
  <c r="AQ20" i="5"/>
  <c r="AR20" i="5"/>
  <c r="AS20" i="5"/>
  <c r="AT20" i="5"/>
  <c r="AS15" i="20" s="1"/>
  <c r="AU20" i="5"/>
  <c r="AT15" i="20" s="1"/>
  <c r="AV20" i="5"/>
  <c r="L10" i="25" s="1"/>
  <c r="AW20" i="5"/>
  <c r="AV15" i="20" s="1"/>
  <c r="AX20" i="5"/>
  <c r="AY20" i="5"/>
  <c r="AX15" i="20" s="1"/>
  <c r="AZ20" i="5"/>
  <c r="BA20" i="5"/>
  <c r="AZ15" i="20" s="1"/>
  <c r="BB20" i="5"/>
  <c r="BA15" i="20" s="1"/>
  <c r="BC20" i="5"/>
  <c r="BD20" i="5"/>
  <c r="BE20" i="5"/>
  <c r="BF20" i="5"/>
  <c r="I9" i="16"/>
  <c r="I10" i="16"/>
  <c r="AI9" i="16"/>
  <c r="AI10" i="16"/>
  <c r="AS9" i="16"/>
  <c r="AS10" i="16"/>
  <c r="AV9" i="16"/>
  <c r="AV10" i="16"/>
  <c r="BF9" i="16"/>
  <c r="BF10" i="16"/>
  <c r="AW9" i="16"/>
  <c r="AX9" i="16"/>
  <c r="AY9" i="16"/>
  <c r="BA9" i="16"/>
  <c r="BB9" i="16"/>
  <c r="BC9" i="16"/>
  <c r="BD9" i="16"/>
  <c r="BE9" i="16"/>
  <c r="AW10" i="16"/>
  <c r="AX10" i="16"/>
  <c r="AY10" i="16"/>
  <c r="BA10" i="16"/>
  <c r="BB10" i="16"/>
  <c r="BC10" i="16"/>
  <c r="BD10" i="16"/>
  <c r="BE10" i="16"/>
  <c r="C89" i="5"/>
  <c r="D89" i="5"/>
  <c r="E89" i="5"/>
  <c r="D84" i="20" s="1"/>
  <c r="F89" i="5"/>
  <c r="G89" i="5"/>
  <c r="H89" i="5"/>
  <c r="I89" i="5"/>
  <c r="H84" i="20" s="1"/>
  <c r="J89" i="5"/>
  <c r="K89" i="5"/>
  <c r="J84" i="20" s="1"/>
  <c r="L89" i="5"/>
  <c r="M89" i="5"/>
  <c r="L84" i="20" s="1"/>
  <c r="N89" i="5"/>
  <c r="O89" i="5"/>
  <c r="P89" i="5"/>
  <c r="Q89" i="5"/>
  <c r="P84" i="20" s="1"/>
  <c r="R89" i="5"/>
  <c r="S89" i="5"/>
  <c r="R84" i="20" s="1"/>
  <c r="T89" i="5"/>
  <c r="U89" i="5"/>
  <c r="V89" i="5"/>
  <c r="W89" i="5"/>
  <c r="X89" i="5"/>
  <c r="Y89" i="5"/>
  <c r="X84" i="20" s="1"/>
  <c r="Z89" i="5"/>
  <c r="AA89" i="5"/>
  <c r="Z84" i="20" s="1"/>
  <c r="AB89" i="5"/>
  <c r="AC89" i="5"/>
  <c r="AB84" i="20" s="1"/>
  <c r="AD89" i="5"/>
  <c r="AE89" i="5"/>
  <c r="AF89" i="5"/>
  <c r="AG89" i="5"/>
  <c r="AH89" i="5"/>
  <c r="AI89" i="5"/>
  <c r="AH84" i="20" s="1"/>
  <c r="AJ89" i="5"/>
  <c r="AK89" i="5"/>
  <c r="AJ84" i="20" s="1"/>
  <c r="AL89" i="5"/>
  <c r="AM89" i="5"/>
  <c r="AN89" i="5"/>
  <c r="AO89" i="5"/>
  <c r="AP89" i="5"/>
  <c r="AQ89" i="5"/>
  <c r="AP84" i="20" s="1"/>
  <c r="AR89" i="5"/>
  <c r="AS89" i="5"/>
  <c r="AR84" i="20" s="1"/>
  <c r="AT89" i="5"/>
  <c r="AU89" i="5"/>
  <c r="AV89" i="5"/>
  <c r="AW89" i="5"/>
  <c r="AY89" i="5"/>
  <c r="AX84" i="20" s="1"/>
  <c r="AZ89" i="5"/>
  <c r="BA89" i="5"/>
  <c r="AZ84" i="20" s="1"/>
  <c r="BB89" i="5"/>
  <c r="BC89" i="5"/>
  <c r="BD89" i="5"/>
  <c r="BE89" i="5"/>
  <c r="BF89" i="5"/>
  <c r="BG89" i="5"/>
  <c r="BF84" i="20" s="1"/>
  <c r="BH89" i="5"/>
  <c r="BI89" i="5"/>
  <c r="BH84" i="20" s="1"/>
  <c r="BJ89" i="5"/>
  <c r="BK89" i="5"/>
  <c r="BL89" i="5"/>
  <c r="BM89" i="5"/>
  <c r="BM93" i="5"/>
  <c r="BM94" i="5"/>
  <c r="BL89" i="20" s="1"/>
  <c r="BM95" i="5"/>
  <c r="BM96" i="5"/>
  <c r="BL91" i="20" s="1"/>
  <c r="D98" i="5"/>
  <c r="D99" i="5"/>
  <c r="D100" i="5"/>
  <c r="D101" i="5"/>
  <c r="C96" i="20" s="1"/>
  <c r="E98" i="5"/>
  <c r="E99" i="5"/>
  <c r="E100" i="5"/>
  <c r="E101" i="5"/>
  <c r="D96" i="20" s="1"/>
  <c r="F98" i="5"/>
  <c r="F99" i="5"/>
  <c r="F100" i="5"/>
  <c r="F101" i="5"/>
  <c r="G98" i="5"/>
  <c r="G99" i="5"/>
  <c r="F94" i="20" s="1"/>
  <c r="G100" i="5"/>
  <c r="G101" i="5"/>
  <c r="F96" i="20" s="1"/>
  <c r="H98" i="5"/>
  <c r="H99" i="5"/>
  <c r="H100" i="5"/>
  <c r="H101" i="5"/>
  <c r="G96" i="20" s="1"/>
  <c r="I98" i="5"/>
  <c r="I99" i="5"/>
  <c r="I100" i="5"/>
  <c r="I101" i="5"/>
  <c r="H96" i="20" s="1"/>
  <c r="J98" i="5"/>
  <c r="J99" i="5"/>
  <c r="J100" i="5"/>
  <c r="J101" i="5"/>
  <c r="K98" i="5"/>
  <c r="K99" i="5"/>
  <c r="J94" i="20" s="1"/>
  <c r="K100" i="5"/>
  <c r="K101" i="5"/>
  <c r="L98" i="5"/>
  <c r="L99" i="5"/>
  <c r="L100" i="5"/>
  <c r="L101" i="5"/>
  <c r="K96" i="20" s="1"/>
  <c r="M98" i="5"/>
  <c r="M99" i="5"/>
  <c r="M100" i="5"/>
  <c r="M101" i="5"/>
  <c r="L96" i="20" s="1"/>
  <c r="N98" i="5"/>
  <c r="N99" i="5"/>
  <c r="N100" i="5"/>
  <c r="N101" i="5"/>
  <c r="M96" i="20" s="1"/>
  <c r="O98" i="5"/>
  <c r="O99" i="5"/>
  <c r="N94" i="20" s="1"/>
  <c r="O100" i="5"/>
  <c r="O101" i="5"/>
  <c r="P98" i="5"/>
  <c r="P99" i="5"/>
  <c r="P100" i="5"/>
  <c r="P101" i="5"/>
  <c r="O96" i="20" s="1"/>
  <c r="Q98" i="5"/>
  <c r="Q99" i="5"/>
  <c r="P94" i="20" s="1"/>
  <c r="Q100" i="5"/>
  <c r="Q101" i="5"/>
  <c r="R98" i="5"/>
  <c r="R99" i="5"/>
  <c r="R100" i="5"/>
  <c r="R101" i="5"/>
  <c r="S98" i="5"/>
  <c r="S99" i="5"/>
  <c r="R94" i="20" s="1"/>
  <c r="S100" i="5"/>
  <c r="S101" i="5"/>
  <c r="T98" i="5"/>
  <c r="T99" i="5"/>
  <c r="T100" i="5"/>
  <c r="T101" i="5"/>
  <c r="T97" i="5" s="1"/>
  <c r="U98" i="5"/>
  <c r="U99" i="5"/>
  <c r="U100" i="5"/>
  <c r="T95" i="20" s="1"/>
  <c r="U101" i="5"/>
  <c r="V98" i="5"/>
  <c r="V99" i="5"/>
  <c r="V100" i="5"/>
  <c r="U95" i="20" s="1"/>
  <c r="V101" i="5"/>
  <c r="W98" i="5"/>
  <c r="V93" i="20" s="1"/>
  <c r="W99" i="5"/>
  <c r="W100" i="5"/>
  <c r="V95" i="20" s="1"/>
  <c r="W101" i="5"/>
  <c r="X98" i="5"/>
  <c r="X99" i="5"/>
  <c r="X100" i="5"/>
  <c r="W95" i="20" s="1"/>
  <c r="X101" i="5"/>
  <c r="W96" i="20" s="1"/>
  <c r="Y98" i="5"/>
  <c r="Y99" i="5"/>
  <c r="Y100" i="5"/>
  <c r="X95" i="20" s="1"/>
  <c r="Y101" i="5"/>
  <c r="Z98" i="5"/>
  <c r="Z99" i="5"/>
  <c r="Z100" i="5"/>
  <c r="Z101" i="5"/>
  <c r="AA98" i="5"/>
  <c r="AA99" i="5"/>
  <c r="AA100" i="5"/>
  <c r="AA101" i="5"/>
  <c r="AB98" i="5"/>
  <c r="AB99" i="5"/>
  <c r="AB100" i="5"/>
  <c r="AA95" i="20" s="1"/>
  <c r="AB101" i="5"/>
  <c r="AC98" i="5"/>
  <c r="AC99" i="5"/>
  <c r="AC100" i="5"/>
  <c r="AC101" i="5"/>
  <c r="AD98" i="5"/>
  <c r="AD99" i="5"/>
  <c r="AD100" i="5"/>
  <c r="AD101" i="5"/>
  <c r="AE98" i="5"/>
  <c r="AD93" i="20" s="1"/>
  <c r="AE99" i="5"/>
  <c r="AE100" i="5"/>
  <c r="AD95" i="20" s="1"/>
  <c r="AE101" i="5"/>
  <c r="AF98" i="5"/>
  <c r="AF99" i="5"/>
  <c r="AF100" i="5"/>
  <c r="AF101" i="5"/>
  <c r="AE96" i="20" s="1"/>
  <c r="AG98" i="5"/>
  <c r="AF93" i="20" s="1"/>
  <c r="AG99" i="5"/>
  <c r="AG100" i="5"/>
  <c r="AF95" i="20" s="1"/>
  <c r="AG101" i="5"/>
  <c r="AH98" i="5"/>
  <c r="AH99" i="5"/>
  <c r="AH100" i="5"/>
  <c r="AG95" i="20" s="1"/>
  <c r="AH101" i="5"/>
  <c r="AG96" i="20" s="1"/>
  <c r="AI98" i="5"/>
  <c r="AH93" i="20" s="1"/>
  <c r="AI99" i="5"/>
  <c r="AI100" i="5"/>
  <c r="AH95" i="20" s="1"/>
  <c r="AI101" i="5"/>
  <c r="AJ98" i="5"/>
  <c r="AJ99" i="5"/>
  <c r="AJ100" i="5"/>
  <c r="AJ101" i="5"/>
  <c r="AK98" i="5"/>
  <c r="AJ93" i="20" s="1"/>
  <c r="AK99" i="5"/>
  <c r="AK100" i="5"/>
  <c r="AJ95" i="20" s="1"/>
  <c r="AK101" i="5"/>
  <c r="AL98" i="5"/>
  <c r="AL99" i="5"/>
  <c r="AL100" i="5"/>
  <c r="AK95" i="20" s="1"/>
  <c r="AL101" i="5"/>
  <c r="AM98" i="5"/>
  <c r="AL93" i="20" s="1"/>
  <c r="AM99" i="5"/>
  <c r="AM100" i="5"/>
  <c r="AL95" i="20" s="1"/>
  <c r="AM101" i="5"/>
  <c r="AN98" i="5"/>
  <c r="AN99" i="5"/>
  <c r="AN100" i="5"/>
  <c r="AN101" i="5"/>
  <c r="AM96" i="20" s="1"/>
  <c r="AO98" i="5"/>
  <c r="AN93" i="20" s="1"/>
  <c r="AO99" i="5"/>
  <c r="AO100" i="5"/>
  <c r="AN95" i="20" s="1"/>
  <c r="AO101" i="5"/>
  <c r="AP98" i="5"/>
  <c r="AP99" i="5"/>
  <c r="AP100" i="5"/>
  <c r="AO95" i="20" s="1"/>
  <c r="AP101" i="5"/>
  <c r="AO96" i="20" s="1"/>
  <c r="AQ98" i="5"/>
  <c r="AQ99" i="5"/>
  <c r="AQ100" i="5"/>
  <c r="AP95" i="20" s="1"/>
  <c r="AQ101" i="5"/>
  <c r="AR98" i="5"/>
  <c r="AR99" i="5"/>
  <c r="AR100" i="5"/>
  <c r="AR101" i="5"/>
  <c r="AQ96" i="20" s="1"/>
  <c r="AS98" i="5"/>
  <c r="AS99" i="5"/>
  <c r="AS100" i="5"/>
  <c r="AR95" i="20" s="1"/>
  <c r="AS101" i="5"/>
  <c r="AT98" i="5"/>
  <c r="AT99" i="5"/>
  <c r="AT100" i="5"/>
  <c r="AT101" i="5"/>
  <c r="AU98" i="5"/>
  <c r="AT93" i="20" s="1"/>
  <c r="AU99" i="5"/>
  <c r="AU100" i="5"/>
  <c r="AT95" i="20" s="1"/>
  <c r="AU101" i="5"/>
  <c r="AV98" i="5"/>
  <c r="AV99" i="5"/>
  <c r="AV100" i="5"/>
  <c r="AU95" i="20" s="1"/>
  <c r="AV101" i="5"/>
  <c r="AU96" i="20" s="1"/>
  <c r="AW98" i="5"/>
  <c r="AV93" i="20" s="1"/>
  <c r="AW99" i="5"/>
  <c r="AW100" i="5"/>
  <c r="AV95" i="20" s="1"/>
  <c r="AW101" i="5"/>
  <c r="AX98" i="5"/>
  <c r="AX99" i="5"/>
  <c r="AX100" i="5"/>
  <c r="AW95" i="20" s="1"/>
  <c r="AX101" i="5"/>
  <c r="AY98" i="5"/>
  <c r="AY99" i="5"/>
  <c r="AY100" i="5"/>
  <c r="AX95" i="20" s="1"/>
  <c r="AY101" i="5"/>
  <c r="AZ98" i="5"/>
  <c r="AZ99" i="5"/>
  <c r="AZ100" i="5"/>
  <c r="AZ101" i="5"/>
  <c r="AY96" i="20" s="1"/>
  <c r="BA98" i="5"/>
  <c r="BA99" i="5"/>
  <c r="BA100" i="5"/>
  <c r="AZ95" i="20" s="1"/>
  <c r="BA101" i="5"/>
  <c r="BB98" i="5"/>
  <c r="BB99" i="5"/>
  <c r="BB100" i="5"/>
  <c r="BB101" i="5"/>
  <c r="BC98" i="5"/>
  <c r="BB93" i="20" s="1"/>
  <c r="BC99" i="5"/>
  <c r="BC100" i="5"/>
  <c r="BC101" i="5"/>
  <c r="BD98" i="5"/>
  <c r="BD99" i="5"/>
  <c r="BD100" i="5"/>
  <c r="BD101" i="5"/>
  <c r="BC96" i="20" s="1"/>
  <c r="BE98" i="5"/>
  <c r="BD93" i="20" s="1"/>
  <c r="BE99" i="5"/>
  <c r="BE100" i="5"/>
  <c r="BD95" i="20" s="1"/>
  <c r="BE101" i="5"/>
  <c r="BF98" i="5"/>
  <c r="BF99" i="5"/>
  <c r="BF100" i="5"/>
  <c r="BE95" i="20" s="1"/>
  <c r="BF101" i="5"/>
  <c r="BG98" i="5"/>
  <c r="BF93" i="20" s="1"/>
  <c r="BG99" i="5"/>
  <c r="BG100" i="5"/>
  <c r="BF95" i="20" s="1"/>
  <c r="BG101" i="5"/>
  <c r="BH98" i="5"/>
  <c r="BH99" i="5"/>
  <c r="BH100" i="5"/>
  <c r="BG95" i="20" s="1"/>
  <c r="BH101" i="5"/>
  <c r="BG96" i="20" s="1"/>
  <c r="BI98" i="5"/>
  <c r="BI99" i="5"/>
  <c r="BI100" i="5"/>
  <c r="BH95" i="20" s="1"/>
  <c r="BI101" i="5"/>
  <c r="BJ98" i="5"/>
  <c r="BJ99" i="5"/>
  <c r="BJ100" i="5"/>
  <c r="BJ101" i="5"/>
  <c r="BI96" i="20" s="1"/>
  <c r="BK98" i="5"/>
  <c r="BK99" i="5"/>
  <c r="BK100" i="5"/>
  <c r="BJ95" i="20" s="1"/>
  <c r="BK101" i="5"/>
  <c r="BL98" i="5"/>
  <c r="BL99" i="5"/>
  <c r="BL100" i="5"/>
  <c r="BL101" i="5"/>
  <c r="BK96" i="20" s="1"/>
  <c r="BM98" i="5"/>
  <c r="BL93" i="20" s="1"/>
  <c r="BM99" i="5"/>
  <c r="BM100" i="5"/>
  <c r="BL95" i="20" s="1"/>
  <c r="BM101" i="5"/>
  <c r="C98" i="5"/>
  <c r="C99" i="5"/>
  <c r="C100" i="5"/>
  <c r="C101" i="5"/>
  <c r="C93" i="5"/>
  <c r="B88" i="20" s="1"/>
  <c r="C94" i="5"/>
  <c r="C95" i="5"/>
  <c r="B90" i="20" s="1"/>
  <c r="C96" i="5"/>
  <c r="D93" i="5"/>
  <c r="D94" i="5"/>
  <c r="D95" i="5"/>
  <c r="C90" i="20" s="1"/>
  <c r="D96" i="5"/>
  <c r="E93" i="5"/>
  <c r="D88" i="20" s="1"/>
  <c r="E94" i="5"/>
  <c r="E95" i="5"/>
  <c r="D90" i="20" s="1"/>
  <c r="E96" i="5"/>
  <c r="F93" i="5"/>
  <c r="F94" i="5"/>
  <c r="F95" i="5"/>
  <c r="E90" i="20" s="1"/>
  <c r="F96" i="5"/>
  <c r="G93" i="5"/>
  <c r="F88" i="20" s="1"/>
  <c r="G94" i="5"/>
  <c r="G95" i="5"/>
  <c r="F90" i="20" s="1"/>
  <c r="G96" i="5"/>
  <c r="H93" i="5"/>
  <c r="H94" i="5"/>
  <c r="H95" i="5"/>
  <c r="H96" i="5"/>
  <c r="I93" i="5"/>
  <c r="H88" i="20" s="1"/>
  <c r="I94" i="5"/>
  <c r="I95" i="5"/>
  <c r="H90" i="20" s="1"/>
  <c r="I96" i="5"/>
  <c r="J93" i="5"/>
  <c r="J94" i="5"/>
  <c r="J95" i="5"/>
  <c r="J96" i="5"/>
  <c r="K93" i="5"/>
  <c r="K94" i="5"/>
  <c r="K95" i="5"/>
  <c r="K96" i="5"/>
  <c r="L93" i="5"/>
  <c r="L94" i="5"/>
  <c r="L95" i="5"/>
  <c r="K90" i="20" s="1"/>
  <c r="L96" i="5"/>
  <c r="M93" i="5"/>
  <c r="L88" i="20" s="1"/>
  <c r="M94" i="5"/>
  <c r="M95" i="5"/>
  <c r="L90" i="20" s="1"/>
  <c r="M96" i="5"/>
  <c r="N93" i="5"/>
  <c r="N94" i="5"/>
  <c r="N95" i="5"/>
  <c r="M90" i="20" s="1"/>
  <c r="N96" i="5"/>
  <c r="O93" i="5"/>
  <c r="O94" i="5"/>
  <c r="O95" i="5"/>
  <c r="N90" i="20" s="1"/>
  <c r="O96" i="5"/>
  <c r="P93" i="5"/>
  <c r="P94" i="5"/>
  <c r="P95" i="5"/>
  <c r="P96" i="5"/>
  <c r="Q93" i="5"/>
  <c r="P88" i="20" s="1"/>
  <c r="Q94" i="5"/>
  <c r="Q95" i="5"/>
  <c r="Q96" i="5"/>
  <c r="R93" i="5"/>
  <c r="R94" i="5"/>
  <c r="R95" i="5"/>
  <c r="R96" i="5"/>
  <c r="S93" i="5"/>
  <c r="R88" i="20" s="1"/>
  <c r="S94" i="5"/>
  <c r="S95" i="5"/>
  <c r="R90" i="20" s="1"/>
  <c r="S96" i="5"/>
  <c r="T93" i="5"/>
  <c r="T94" i="5"/>
  <c r="T95" i="5"/>
  <c r="T96" i="5"/>
  <c r="U93" i="5"/>
  <c r="T88" i="20" s="1"/>
  <c r="U94" i="5"/>
  <c r="U95" i="5"/>
  <c r="T90" i="20" s="1"/>
  <c r="U96" i="5"/>
  <c r="V93" i="5"/>
  <c r="V94" i="5"/>
  <c r="V95" i="5"/>
  <c r="U90" i="20" s="1"/>
  <c r="V96" i="5"/>
  <c r="W93" i="5"/>
  <c r="W94" i="5"/>
  <c r="W95" i="5"/>
  <c r="V90" i="20" s="1"/>
  <c r="W96" i="5"/>
  <c r="X93" i="5"/>
  <c r="X94" i="5"/>
  <c r="X95" i="5"/>
  <c r="W90" i="20" s="1"/>
  <c r="X96" i="5"/>
  <c r="Y93" i="5"/>
  <c r="Y94" i="5"/>
  <c r="Y95" i="5"/>
  <c r="X90" i="20" s="1"/>
  <c r="Y96" i="5"/>
  <c r="Z93" i="5"/>
  <c r="Z94" i="5"/>
  <c r="Z95" i="5"/>
  <c r="Z96" i="5"/>
  <c r="AA93" i="5"/>
  <c r="Z88" i="20" s="1"/>
  <c r="AA94" i="5"/>
  <c r="AA95" i="5"/>
  <c r="AA96" i="5"/>
  <c r="AB93" i="5"/>
  <c r="AB94" i="5"/>
  <c r="AB95" i="5"/>
  <c r="AB96" i="5"/>
  <c r="AC93" i="5"/>
  <c r="AB88" i="20" s="1"/>
  <c r="AC94" i="5"/>
  <c r="AC95" i="5"/>
  <c r="AB90" i="20" s="1"/>
  <c r="AC96" i="5"/>
  <c r="AD93" i="5"/>
  <c r="AD94" i="5"/>
  <c r="AD95" i="5"/>
  <c r="AD96" i="5"/>
  <c r="AE93" i="5"/>
  <c r="AE94" i="5"/>
  <c r="AE95" i="5"/>
  <c r="AD90" i="20" s="1"/>
  <c r="AE96" i="5"/>
  <c r="AF93" i="5"/>
  <c r="AF94" i="5"/>
  <c r="AF95" i="5"/>
  <c r="AE90" i="20" s="1"/>
  <c r="AF96" i="5"/>
  <c r="AG93" i="5"/>
  <c r="AF88" i="20" s="1"/>
  <c r="AG94" i="5"/>
  <c r="AG95" i="5"/>
  <c r="AF90" i="20" s="1"/>
  <c r="AG96" i="5"/>
  <c r="AH93" i="5"/>
  <c r="AH94" i="5"/>
  <c r="AH95" i="5"/>
  <c r="AH96" i="5"/>
  <c r="AI93" i="5"/>
  <c r="AH88" i="20" s="1"/>
  <c r="AI94" i="5"/>
  <c r="AI95" i="5"/>
  <c r="AH90" i="20" s="1"/>
  <c r="AI96" i="5"/>
  <c r="AJ93" i="5"/>
  <c r="AJ94" i="5"/>
  <c r="AJ95" i="5"/>
  <c r="AJ96" i="5"/>
  <c r="AI91" i="20" s="1"/>
  <c r="AK93" i="5"/>
  <c r="AK94" i="5"/>
  <c r="AK95" i="5"/>
  <c r="AK96" i="5"/>
  <c r="AL93" i="5"/>
  <c r="AL94" i="5"/>
  <c r="AL95" i="5"/>
  <c r="AL96" i="5"/>
  <c r="AK91" i="20" s="1"/>
  <c r="AM93" i="5"/>
  <c r="AL88" i="20" s="1"/>
  <c r="AM94" i="5"/>
  <c r="AM95" i="5"/>
  <c r="AL90" i="20" s="1"/>
  <c r="AM96" i="5"/>
  <c r="AN93" i="5"/>
  <c r="AN94" i="5"/>
  <c r="AN95" i="5"/>
  <c r="AM90" i="20" s="1"/>
  <c r="AN96" i="5"/>
  <c r="AO93" i="5"/>
  <c r="AN88" i="20" s="1"/>
  <c r="AO94" i="5"/>
  <c r="AO95" i="5"/>
  <c r="AN90" i="20" s="1"/>
  <c r="AO96" i="5"/>
  <c r="AP93" i="5"/>
  <c r="AP94" i="5"/>
  <c r="AP95" i="5"/>
  <c r="AO90" i="20" s="1"/>
  <c r="AP96" i="5"/>
  <c r="AQ93" i="5"/>
  <c r="AP88" i="20" s="1"/>
  <c r="AQ94" i="5"/>
  <c r="AQ95" i="5"/>
  <c r="AP90" i="20" s="1"/>
  <c r="AQ96" i="5"/>
  <c r="AR93" i="5"/>
  <c r="AR94" i="5"/>
  <c r="AR95" i="5"/>
  <c r="AR96" i="5"/>
  <c r="AQ91" i="20" s="1"/>
  <c r="AS93" i="5"/>
  <c r="AS94" i="5"/>
  <c r="AS95" i="5"/>
  <c r="AR90" i="20" s="1"/>
  <c r="AS96" i="5"/>
  <c r="AT93" i="5"/>
  <c r="AT94" i="5"/>
  <c r="AT95" i="5"/>
  <c r="AT96" i="5"/>
  <c r="AS91" i="20" s="1"/>
  <c r="AU93" i="5"/>
  <c r="AT88" i="20" s="1"/>
  <c r="AU94" i="5"/>
  <c r="AU95" i="5"/>
  <c r="AT90" i="20" s="1"/>
  <c r="AU96" i="5"/>
  <c r="AV93" i="5"/>
  <c r="AV94" i="5"/>
  <c r="AV95" i="5"/>
  <c r="AU90" i="20" s="1"/>
  <c r="AV96" i="5"/>
  <c r="AU91" i="20" s="1"/>
  <c r="AW93" i="5"/>
  <c r="AV88" i="20" s="1"/>
  <c r="AW94" i="5"/>
  <c r="AW95" i="5"/>
  <c r="AV90" i="20" s="1"/>
  <c r="AW96" i="5"/>
  <c r="AX93" i="5"/>
  <c r="AX94" i="5"/>
  <c r="AX95" i="5"/>
  <c r="AX96" i="5"/>
  <c r="AY93" i="5"/>
  <c r="AX88" i="20" s="1"/>
  <c r="AY94" i="5"/>
  <c r="AY95" i="5"/>
  <c r="AX90" i="20" s="1"/>
  <c r="AY96" i="5"/>
  <c r="AZ93" i="5"/>
  <c r="AZ94" i="5"/>
  <c r="AZ95" i="5"/>
  <c r="AY90" i="20" s="1"/>
  <c r="AZ96" i="5"/>
  <c r="AY91" i="20" s="1"/>
  <c r="BA93" i="5"/>
  <c r="AZ88" i="20" s="1"/>
  <c r="BA94" i="5"/>
  <c r="BA95" i="5"/>
  <c r="AZ90" i="20" s="1"/>
  <c r="BA96" i="5"/>
  <c r="BB93" i="5"/>
  <c r="BB94" i="5"/>
  <c r="BB95" i="5"/>
  <c r="BB96" i="5"/>
  <c r="BC93" i="5"/>
  <c r="BB88" i="20" s="1"/>
  <c r="BC94" i="5"/>
  <c r="BC95" i="5"/>
  <c r="BB90" i="20" s="1"/>
  <c r="BC96" i="5"/>
  <c r="BD93" i="5"/>
  <c r="BD94" i="5"/>
  <c r="BD95" i="5"/>
  <c r="BC90" i="20" s="1"/>
  <c r="BD96" i="5"/>
  <c r="BC91" i="20" s="1"/>
  <c r="BE93" i="5"/>
  <c r="BD88" i="20" s="1"/>
  <c r="BE94" i="5"/>
  <c r="BE95" i="5"/>
  <c r="BE96" i="5"/>
  <c r="BF93" i="5"/>
  <c r="BF94" i="5"/>
  <c r="BF95" i="5"/>
  <c r="BF96" i="5"/>
  <c r="BG93" i="5"/>
  <c r="BF88" i="20" s="1"/>
  <c r="BG94" i="5"/>
  <c r="BG95" i="5"/>
  <c r="BF90" i="20" s="1"/>
  <c r="BG96" i="5"/>
  <c r="BH93" i="5"/>
  <c r="BH94" i="5"/>
  <c r="BH95" i="5"/>
  <c r="BH96" i="5"/>
  <c r="BG91" i="20" s="1"/>
  <c r="BI93" i="5"/>
  <c r="BH88" i="20" s="1"/>
  <c r="BI94" i="5"/>
  <c r="BI95" i="5"/>
  <c r="BH90" i="20" s="1"/>
  <c r="BI96" i="5"/>
  <c r="BJ93" i="5"/>
  <c r="BJ94" i="5"/>
  <c r="BJ95" i="5"/>
  <c r="BI90" i="20" s="1"/>
  <c r="BJ96" i="5"/>
  <c r="BK93" i="5"/>
  <c r="BJ88" i="20" s="1"/>
  <c r="BK94" i="5"/>
  <c r="BK95" i="5"/>
  <c r="BJ90" i="20" s="1"/>
  <c r="BK96" i="5"/>
  <c r="BL93" i="5"/>
  <c r="BK88" i="20" s="1"/>
  <c r="BL94" i="5"/>
  <c r="BL95" i="5"/>
  <c r="BK90" i="20" s="1"/>
  <c r="BL96" i="5"/>
  <c r="BK91" i="20" s="1"/>
  <c r="BN26" i="5"/>
  <c r="BM21" i="20" s="1"/>
  <c r="C14" i="5"/>
  <c r="D14" i="5"/>
  <c r="E14" i="5"/>
  <c r="D9" i="20" s="1"/>
  <c r="F14" i="5"/>
  <c r="G14" i="5"/>
  <c r="H14" i="5"/>
  <c r="I14" i="5"/>
  <c r="H9" i="20" s="1"/>
  <c r="J14" i="5"/>
  <c r="K14" i="5"/>
  <c r="J9" i="20" s="1"/>
  <c r="L14" i="5"/>
  <c r="M14" i="5"/>
  <c r="L9" i="20" s="1"/>
  <c r="N14" i="5"/>
  <c r="O14" i="5"/>
  <c r="P14" i="5"/>
  <c r="Q14" i="5"/>
  <c r="P9" i="20" s="1"/>
  <c r="R14" i="5"/>
  <c r="S14" i="5"/>
  <c r="R9" i="20" s="1"/>
  <c r="T14" i="5"/>
  <c r="U14" i="5"/>
  <c r="T9" i="20" s="1"/>
  <c r="V14" i="5"/>
  <c r="W14" i="5"/>
  <c r="X14" i="5"/>
  <c r="W9" i="20" s="1"/>
  <c r="Y14" i="5"/>
  <c r="X9" i="20" s="1"/>
  <c r="Z14" i="5"/>
  <c r="AA14" i="5"/>
  <c r="Z9" i="20" s="1"/>
  <c r="AB14" i="5"/>
  <c r="AC14" i="5"/>
  <c r="AB9" i="20" s="1"/>
  <c r="AD14" i="5"/>
  <c r="AE14" i="5"/>
  <c r="AF14" i="5"/>
  <c r="AE9" i="20" s="1"/>
  <c r="AG14" i="5"/>
  <c r="AF9" i="20" s="1"/>
  <c r="AH14" i="5"/>
  <c r="AG9" i="20" s="1"/>
  <c r="AI14" i="5"/>
  <c r="AH9" i="20" s="1"/>
  <c r="AJ14" i="5"/>
  <c r="AK14" i="5"/>
  <c r="AJ9" i="20" s="1"/>
  <c r="AL14" i="5"/>
  <c r="AK9" i="20" s="1"/>
  <c r="AM14" i="5"/>
  <c r="AL9" i="20" s="1"/>
  <c r="AN14" i="5"/>
  <c r="AM9" i="20" s="1"/>
  <c r="AO14" i="5"/>
  <c r="AN9" i="20" s="1"/>
  <c r="AP14" i="5"/>
  <c r="AO9" i="20" s="1"/>
  <c r="AQ14" i="5"/>
  <c r="AP9" i="20" s="1"/>
  <c r="AR14" i="5"/>
  <c r="AQ9" i="20" s="1"/>
  <c r="AS14" i="5"/>
  <c r="AR9" i="20" s="1"/>
  <c r="AT14" i="5"/>
  <c r="AS9" i="20" s="1"/>
  <c r="AU14" i="5"/>
  <c r="AT9" i="20" s="1"/>
  <c r="AV14" i="5"/>
  <c r="AW14" i="5"/>
  <c r="AV9" i="20" s="1"/>
  <c r="AX14" i="5"/>
  <c r="AW9" i="20" s="1"/>
  <c r="AY14" i="5"/>
  <c r="AX9" i="20" s="1"/>
  <c r="AZ14" i="5"/>
  <c r="BA14" i="5"/>
  <c r="AZ9" i="20" s="1"/>
  <c r="BB14" i="5"/>
  <c r="BA9" i="20" s="1"/>
  <c r="BC14" i="5"/>
  <c r="BB9" i="20" s="1"/>
  <c r="BD14" i="5"/>
  <c r="BC9" i="20" s="1"/>
  <c r="BE14" i="5"/>
  <c r="BD9" i="20" s="1"/>
  <c r="BF14" i="5"/>
  <c r="BE9" i="20" s="1"/>
  <c r="BG14" i="5"/>
  <c r="BF9" i="20" s="1"/>
  <c r="BH14" i="5"/>
  <c r="BG9" i="20" s="1"/>
  <c r="BI14" i="5"/>
  <c r="BH9" i="20" s="1"/>
  <c r="BJ14" i="5"/>
  <c r="BI9" i="20" s="1"/>
  <c r="BK14" i="5"/>
  <c r="BJ9" i="20" s="1"/>
  <c r="BL14" i="5"/>
  <c r="BK9" i="20" s="1"/>
  <c r="BM14" i="5"/>
  <c r="BL9" i="20" s="1"/>
  <c r="C13" i="5"/>
  <c r="D13" i="5"/>
  <c r="C8" i="20" s="1"/>
  <c r="E13" i="5"/>
  <c r="F13" i="5"/>
  <c r="E8" i="20" s="1"/>
  <c r="G13" i="5"/>
  <c r="H13" i="5"/>
  <c r="I13" i="5"/>
  <c r="J13" i="5"/>
  <c r="I8" i="20" s="1"/>
  <c r="K13" i="5"/>
  <c r="L13" i="5"/>
  <c r="M13" i="5"/>
  <c r="N13" i="5"/>
  <c r="M8" i="20" s="1"/>
  <c r="O13" i="5"/>
  <c r="P13" i="5"/>
  <c r="Q13" i="5"/>
  <c r="P8" i="20" s="1"/>
  <c r="R13" i="5"/>
  <c r="Q8" i="20" s="1"/>
  <c r="S13" i="5"/>
  <c r="T13" i="5"/>
  <c r="S8" i="20" s="1"/>
  <c r="U13" i="5"/>
  <c r="V13" i="5"/>
  <c r="U8" i="20" s="1"/>
  <c r="W13" i="5"/>
  <c r="X13" i="5"/>
  <c r="Y13" i="5"/>
  <c r="X8" i="20" s="1"/>
  <c r="Z13" i="5"/>
  <c r="Y8" i="20" s="1"/>
  <c r="AA13" i="5"/>
  <c r="AB13" i="5"/>
  <c r="AA8" i="20" s="1"/>
  <c r="AC13" i="5"/>
  <c r="AD13" i="5"/>
  <c r="AC8" i="20" s="1"/>
  <c r="AE13" i="5"/>
  <c r="AF13" i="5"/>
  <c r="AE8" i="20" s="1"/>
  <c r="AG13" i="5"/>
  <c r="AF8" i="20" s="1"/>
  <c r="AH13" i="5"/>
  <c r="AG8" i="20" s="1"/>
  <c r="AI13" i="5"/>
  <c r="AJ13" i="5"/>
  <c r="AI8" i="20" s="1"/>
  <c r="AK13" i="5"/>
  <c r="AL13" i="5"/>
  <c r="AK8" i="20" s="1"/>
  <c r="AM13" i="5"/>
  <c r="AL8" i="20" s="1"/>
  <c r="AN13" i="5"/>
  <c r="AM8" i="20" s="1"/>
  <c r="AO13" i="5"/>
  <c r="AN8" i="20" s="1"/>
  <c r="AP13" i="5"/>
  <c r="AO8" i="20" s="1"/>
  <c r="AQ13" i="5"/>
  <c r="AR13" i="5"/>
  <c r="AQ8" i="20" s="1"/>
  <c r="AS13" i="5"/>
  <c r="AT13" i="5"/>
  <c r="AS8" i="20" s="1"/>
  <c r="AU13" i="5"/>
  <c r="AT8" i="20" s="1"/>
  <c r="AV13" i="5"/>
  <c r="AU8" i="20" s="1"/>
  <c r="AW13" i="5"/>
  <c r="AV8" i="20" s="1"/>
  <c r="AX13" i="5"/>
  <c r="AW8" i="20" s="1"/>
  <c r="AY13" i="5"/>
  <c r="AX8" i="20" s="1"/>
  <c r="AZ13" i="5"/>
  <c r="AY8" i="20" s="1"/>
  <c r="BA13" i="5"/>
  <c r="BB13" i="5"/>
  <c r="BA8" i="20" s="1"/>
  <c r="BC13" i="5"/>
  <c r="BB8" i="20" s="1"/>
  <c r="BD13" i="5"/>
  <c r="BC8" i="20" s="1"/>
  <c r="BE13" i="5"/>
  <c r="BD8" i="20" s="1"/>
  <c r="BF13" i="5"/>
  <c r="BE8" i="20" s="1"/>
  <c r="BG13" i="5"/>
  <c r="BF8" i="20" s="1"/>
  <c r="BH13" i="5"/>
  <c r="BG8" i="20" s="1"/>
  <c r="BI13" i="5"/>
  <c r="BH8" i="20" s="1"/>
  <c r="BJ13" i="5"/>
  <c r="BI8" i="20" s="1"/>
  <c r="BK13" i="5"/>
  <c r="BL13" i="5"/>
  <c r="BK8" i="20" s="1"/>
  <c r="BM13" i="5"/>
  <c r="BL8" i="20" s="1"/>
  <c r="C12" i="5"/>
  <c r="B7" i="20" s="1"/>
  <c r="D12" i="5"/>
  <c r="E12" i="5"/>
  <c r="D7" i="20" s="1"/>
  <c r="F12" i="5"/>
  <c r="G12" i="5"/>
  <c r="F7" i="20" s="1"/>
  <c r="H12" i="5"/>
  <c r="I12" i="5"/>
  <c r="J12" i="5"/>
  <c r="I7" i="20" s="1"/>
  <c r="K12" i="5"/>
  <c r="J7" i="20" s="1"/>
  <c r="L12" i="5"/>
  <c r="M12" i="5"/>
  <c r="L7" i="20" s="1"/>
  <c r="N12" i="5"/>
  <c r="O12" i="5"/>
  <c r="N7" i="20" s="1"/>
  <c r="P12" i="5"/>
  <c r="Q12" i="5"/>
  <c r="R12" i="5"/>
  <c r="S12" i="5"/>
  <c r="R7" i="20" s="1"/>
  <c r="T12" i="5"/>
  <c r="U12" i="5"/>
  <c r="T7" i="20" s="1"/>
  <c r="V12" i="5"/>
  <c r="W12" i="5"/>
  <c r="V7" i="20" s="1"/>
  <c r="X12" i="5"/>
  <c r="Y12" i="5"/>
  <c r="Z12" i="5"/>
  <c r="AA12" i="5"/>
  <c r="Z7" i="20" s="1"/>
  <c r="AB12" i="5"/>
  <c r="AC12" i="5"/>
  <c r="AD12" i="5"/>
  <c r="AE12" i="5"/>
  <c r="AD7" i="20" s="1"/>
  <c r="AF12" i="5"/>
  <c r="AE7" i="20" s="1"/>
  <c r="AG12" i="5"/>
  <c r="AF7" i="20" s="1"/>
  <c r="AH12" i="5"/>
  <c r="AG7" i="20" s="1"/>
  <c r="AI12" i="5"/>
  <c r="AH7" i="20" s="1"/>
  <c r="AJ12" i="5"/>
  <c r="AI7" i="20" s="1"/>
  <c r="AK12" i="5"/>
  <c r="AJ7" i="20" s="1"/>
  <c r="AL12" i="5"/>
  <c r="AM12" i="5"/>
  <c r="AL7" i="20" s="1"/>
  <c r="AN12" i="5"/>
  <c r="AM7" i="20" s="1"/>
  <c r="AO12" i="5"/>
  <c r="AN7" i="20" s="1"/>
  <c r="AP12" i="5"/>
  <c r="AO7" i="20" s="1"/>
  <c r="AQ12" i="5"/>
  <c r="AP7" i="20" s="1"/>
  <c r="AR12" i="5"/>
  <c r="AQ7" i="20" s="1"/>
  <c r="AS12" i="5"/>
  <c r="AR7" i="20" s="1"/>
  <c r="AT12" i="5"/>
  <c r="AU12" i="5"/>
  <c r="AT7" i="20" s="1"/>
  <c r="AV12" i="5"/>
  <c r="AU7" i="20" s="1"/>
  <c r="AW12" i="5"/>
  <c r="AV7" i="20" s="1"/>
  <c r="AX12" i="5"/>
  <c r="AW7" i="20" s="1"/>
  <c r="AY12" i="5"/>
  <c r="AX7" i="20" s="1"/>
  <c r="AZ12" i="5"/>
  <c r="BA12" i="5"/>
  <c r="AZ7" i="20" s="1"/>
  <c r="BB12" i="5"/>
  <c r="BA7" i="20" s="1"/>
  <c r="BC12" i="5"/>
  <c r="BB7" i="20" s="1"/>
  <c r="BD12" i="5"/>
  <c r="BC7" i="20" s="1"/>
  <c r="BE12" i="5"/>
  <c r="BD7" i="20" s="1"/>
  <c r="BF12" i="5"/>
  <c r="BE7" i="20" s="1"/>
  <c r="BG12" i="5"/>
  <c r="BF7" i="20" s="1"/>
  <c r="BH12" i="5"/>
  <c r="BI12" i="5"/>
  <c r="BH7" i="20" s="1"/>
  <c r="BJ12" i="5"/>
  <c r="BK12" i="5"/>
  <c r="BJ7" i="20" s="1"/>
  <c r="BL12" i="5"/>
  <c r="BK7" i="20" s="1"/>
  <c r="BM12" i="5"/>
  <c r="BL7" i="20" s="1"/>
  <c r="C11" i="5"/>
  <c r="D11" i="5"/>
  <c r="E11" i="5"/>
  <c r="F11" i="5"/>
  <c r="E6" i="20" s="1"/>
  <c r="G11" i="5"/>
  <c r="H11" i="5"/>
  <c r="I11" i="5"/>
  <c r="J11" i="5"/>
  <c r="K11" i="5"/>
  <c r="L11" i="5"/>
  <c r="M11" i="5"/>
  <c r="N11" i="5"/>
  <c r="M6" i="20" s="1"/>
  <c r="O11" i="5"/>
  <c r="P11" i="5"/>
  <c r="Q11" i="5"/>
  <c r="R11" i="5"/>
  <c r="S11" i="5"/>
  <c r="R6" i="20" s="1"/>
  <c r="T11" i="5"/>
  <c r="U11" i="5"/>
  <c r="V11" i="5"/>
  <c r="U6" i="20" s="1"/>
  <c r="W11" i="5"/>
  <c r="X11" i="5"/>
  <c r="Y11" i="5"/>
  <c r="Z11" i="5"/>
  <c r="AA11" i="5"/>
  <c r="Z6" i="20" s="1"/>
  <c r="AB11" i="5"/>
  <c r="AA6" i="20" s="1"/>
  <c r="AC11" i="5"/>
  <c r="AD11" i="5"/>
  <c r="AC6" i="20" s="1"/>
  <c r="AE11" i="5"/>
  <c r="AF11" i="5"/>
  <c r="AE6" i="20" s="1"/>
  <c r="AG11" i="5"/>
  <c r="AH11" i="5"/>
  <c r="AG6" i="20" s="1"/>
  <c r="AI11" i="5"/>
  <c r="AH6" i="20" s="1"/>
  <c r="AJ11" i="5"/>
  <c r="AI6" i="20" s="1"/>
  <c r="AK11" i="5"/>
  <c r="AL11" i="5"/>
  <c r="AK6" i="20" s="1"/>
  <c r="AM11" i="5"/>
  <c r="AN11" i="5"/>
  <c r="AM6" i="20" s="1"/>
  <c r="AO11" i="5"/>
  <c r="AN6" i="20" s="1"/>
  <c r="AP11" i="5"/>
  <c r="AO6" i="20" s="1"/>
  <c r="AQ11" i="5"/>
  <c r="AP6" i="20" s="1"/>
  <c r="AR11" i="5"/>
  <c r="AQ6" i="20" s="1"/>
  <c r="AS11" i="5"/>
  <c r="AR6" i="20" s="1"/>
  <c r="AT11" i="5"/>
  <c r="AS6" i="20" s="1"/>
  <c r="AU11" i="5"/>
  <c r="AT6" i="20" s="1"/>
  <c r="AV11" i="5"/>
  <c r="AU6" i="20" s="1"/>
  <c r="AW11" i="5"/>
  <c r="AX11" i="5"/>
  <c r="AW6" i="20" s="1"/>
  <c r="AY11" i="5"/>
  <c r="AZ11" i="5"/>
  <c r="AY6" i="20" s="1"/>
  <c r="BA11" i="5"/>
  <c r="AZ6" i="20" s="1"/>
  <c r="BB11" i="5"/>
  <c r="BA6" i="20" s="1"/>
  <c r="BC11" i="5"/>
  <c r="BB6" i="20" s="1"/>
  <c r="BD11" i="5"/>
  <c r="BC6" i="20" s="1"/>
  <c r="BE11" i="5"/>
  <c r="BD6" i="20" s="1"/>
  <c r="BF11" i="5"/>
  <c r="BE6" i="20" s="1"/>
  <c r="BG11" i="5"/>
  <c r="BF6" i="20" s="1"/>
  <c r="BH11" i="5"/>
  <c r="BG6" i="20" s="1"/>
  <c r="BI11" i="5"/>
  <c r="BJ11" i="5"/>
  <c r="BI6" i="20" s="1"/>
  <c r="BK11" i="5"/>
  <c r="BJ6" i="20" s="1"/>
  <c r="BL11" i="5"/>
  <c r="BK6" i="20" s="1"/>
  <c r="BM11" i="5"/>
  <c r="BL6" i="20" s="1"/>
  <c r="C10" i="5"/>
  <c r="D10" i="5"/>
  <c r="C5" i="20" s="1"/>
  <c r="E10" i="5"/>
  <c r="D5" i="20" s="1"/>
  <c r="F10" i="5"/>
  <c r="G10" i="5"/>
  <c r="F5" i="20" s="1"/>
  <c r="H10" i="5"/>
  <c r="I10" i="5"/>
  <c r="H5" i="20" s="1"/>
  <c r="J10" i="5"/>
  <c r="K10" i="5"/>
  <c r="L10" i="5"/>
  <c r="M10" i="5"/>
  <c r="L5" i="20" s="1"/>
  <c r="N10" i="5"/>
  <c r="O10" i="5"/>
  <c r="N5" i="20" s="1"/>
  <c r="P10" i="5"/>
  <c r="Q10" i="5"/>
  <c r="P5" i="20" s="1"/>
  <c r="R10" i="5"/>
  <c r="S10" i="5"/>
  <c r="T10" i="5"/>
  <c r="U10" i="5"/>
  <c r="T5" i="20" s="1"/>
  <c r="V10" i="5"/>
  <c r="W10" i="5"/>
  <c r="V5" i="20" s="1"/>
  <c r="X10" i="5"/>
  <c r="Y10" i="5"/>
  <c r="X5" i="20" s="1"/>
  <c r="Z10" i="5"/>
  <c r="AA10" i="5"/>
  <c r="AB10" i="5"/>
  <c r="AA5" i="20" s="1"/>
  <c r="AC10" i="5"/>
  <c r="AB5" i="20" s="1"/>
  <c r="AD10" i="5"/>
  <c r="AE10" i="5"/>
  <c r="AD5" i="20" s="1"/>
  <c r="AF10" i="5"/>
  <c r="AE5" i="20" s="1"/>
  <c r="AG10" i="5"/>
  <c r="AF5" i="20" s="1"/>
  <c r="AH10" i="5"/>
  <c r="AG5" i="20" s="1"/>
  <c r="AI10" i="5"/>
  <c r="AH5" i="20" s="1"/>
  <c r="AJ10" i="5"/>
  <c r="AI5" i="20" s="1"/>
  <c r="AK10" i="5"/>
  <c r="AJ5" i="20" s="1"/>
  <c r="AL10" i="5"/>
  <c r="AK5" i="20" s="1"/>
  <c r="AM10" i="5"/>
  <c r="AL5" i="20" s="1"/>
  <c r="AN10" i="5"/>
  <c r="AM5" i="20" s="1"/>
  <c r="AO10" i="5"/>
  <c r="AN5" i="20" s="1"/>
  <c r="AP10" i="5"/>
  <c r="AO5" i="20" s="1"/>
  <c r="AQ10" i="5"/>
  <c r="AP5" i="20" s="1"/>
  <c r="AR10" i="5"/>
  <c r="AQ5" i="20" s="1"/>
  <c r="AS10" i="5"/>
  <c r="AR5" i="20" s="1"/>
  <c r="AT10" i="5"/>
  <c r="AS5" i="20" s="1"/>
  <c r="AU10" i="5"/>
  <c r="AT5" i="20" s="1"/>
  <c r="AV10" i="5"/>
  <c r="AU5" i="20" s="1"/>
  <c r="AW10" i="5"/>
  <c r="AV5" i="20" s="1"/>
  <c r="AX10" i="5"/>
  <c r="AW5" i="20" s="1"/>
  <c r="AY10" i="5"/>
  <c r="AX5" i="20" s="1"/>
  <c r="AZ10" i="5"/>
  <c r="AY5" i="20" s="1"/>
  <c r="BA10" i="5"/>
  <c r="AZ5" i="20" s="1"/>
  <c r="BB10" i="5"/>
  <c r="BA5" i="20" s="1"/>
  <c r="BC10" i="5"/>
  <c r="BB5" i="20" s="1"/>
  <c r="BD10" i="5"/>
  <c r="BC5" i="20" s="1"/>
  <c r="BE10" i="5"/>
  <c r="BD5" i="20" s="1"/>
  <c r="BF10" i="5"/>
  <c r="BE5" i="20" s="1"/>
  <c r="BG10" i="5"/>
  <c r="BF5" i="20" s="1"/>
  <c r="BH10" i="5"/>
  <c r="BG5" i="20" s="1"/>
  <c r="BI10" i="5"/>
  <c r="BH5" i="20" s="1"/>
  <c r="BJ10" i="5"/>
  <c r="BI5" i="20" s="1"/>
  <c r="BK10" i="5"/>
  <c r="BJ5" i="20" s="1"/>
  <c r="BL10" i="5"/>
  <c r="BM10" i="5"/>
  <c r="BL5" i="20" s="1"/>
  <c r="C9" i="5"/>
  <c r="D9" i="5"/>
  <c r="E9" i="5"/>
  <c r="F9" i="5"/>
  <c r="E4" i="20" s="1"/>
  <c r="G9" i="5"/>
  <c r="H9" i="5"/>
  <c r="G4" i="20" s="1"/>
  <c r="I9" i="5"/>
  <c r="J9" i="5"/>
  <c r="I4" i="20" s="1"/>
  <c r="K9" i="5"/>
  <c r="L9" i="5"/>
  <c r="M9" i="5"/>
  <c r="N9" i="5"/>
  <c r="M4" i="20" s="1"/>
  <c r="O9" i="5"/>
  <c r="P9" i="5"/>
  <c r="Q9" i="5"/>
  <c r="R9" i="5"/>
  <c r="Q4" i="20" s="1"/>
  <c r="S9" i="5"/>
  <c r="T9" i="5"/>
  <c r="U9" i="5"/>
  <c r="T4" i="20" s="1"/>
  <c r="V9" i="5"/>
  <c r="U4" i="20" s="1"/>
  <c r="W9" i="5"/>
  <c r="X9" i="5"/>
  <c r="W4" i="20" s="1"/>
  <c r="Y9" i="5"/>
  <c r="Z9" i="5"/>
  <c r="Y4" i="20" s="1"/>
  <c r="AA9" i="5"/>
  <c r="AB9" i="5"/>
  <c r="AC9" i="5"/>
  <c r="AB4" i="20" s="1"/>
  <c r="AD9" i="5"/>
  <c r="AC4" i="20" s="1"/>
  <c r="AE9" i="5"/>
  <c r="AF9" i="5"/>
  <c r="AE4" i="20" s="1"/>
  <c r="AG9" i="5"/>
  <c r="AF4" i="20" s="1"/>
  <c r="AH9" i="5"/>
  <c r="AG4" i="20" s="1"/>
  <c r="AI9" i="5"/>
  <c r="AJ9" i="5"/>
  <c r="AI4" i="20" s="1"/>
  <c r="AK9" i="5"/>
  <c r="AJ4" i="20" s="1"/>
  <c r="AL9" i="5"/>
  <c r="AK4" i="20" s="1"/>
  <c r="AM9" i="5"/>
  <c r="AN9" i="5"/>
  <c r="AM4" i="20" s="1"/>
  <c r="AO9" i="5"/>
  <c r="AN4" i="20" s="1"/>
  <c r="AP9" i="5"/>
  <c r="AO4" i="20" s="1"/>
  <c r="AQ9" i="5"/>
  <c r="AP4" i="20" s="1"/>
  <c r="AR9" i="5"/>
  <c r="AQ4" i="20" s="1"/>
  <c r="AS9" i="5"/>
  <c r="AR4" i="20" s="1"/>
  <c r="AT9" i="5"/>
  <c r="AS4" i="20" s="1"/>
  <c r="AU9" i="5"/>
  <c r="AT4" i="20" s="1"/>
  <c r="AV9" i="5"/>
  <c r="AU4" i="20" s="1"/>
  <c r="AW9" i="5"/>
  <c r="AV4" i="20" s="1"/>
  <c r="AX9" i="5"/>
  <c r="AW4" i="20" s="1"/>
  <c r="AY9" i="5"/>
  <c r="AZ9" i="5"/>
  <c r="AY4" i="20" s="1"/>
  <c r="BA9" i="5"/>
  <c r="AZ4" i="20" s="1"/>
  <c r="BB9" i="5"/>
  <c r="BA4" i="20" s="1"/>
  <c r="BC9" i="5"/>
  <c r="BD9" i="5"/>
  <c r="BC4" i="20" s="1"/>
  <c r="BE9" i="5"/>
  <c r="BD4" i="20" s="1"/>
  <c r="BF9" i="5"/>
  <c r="BE4" i="20" s="1"/>
  <c r="BG9" i="5"/>
  <c r="BF4" i="20" s="1"/>
  <c r="BH9" i="5"/>
  <c r="BG4" i="20" s="1"/>
  <c r="BI9" i="5"/>
  <c r="BH4" i="20" s="1"/>
  <c r="BJ9" i="5"/>
  <c r="BI4" i="20" s="1"/>
  <c r="BK9" i="5"/>
  <c r="BL9" i="5"/>
  <c r="BK4" i="20" s="1"/>
  <c r="BM9" i="5"/>
  <c r="BL4" i="20" s="1"/>
  <c r="AV16" i="16"/>
  <c r="AV17" i="16"/>
  <c r="AS16" i="16"/>
  <c r="AS17" i="16"/>
  <c r="I16" i="16"/>
  <c r="I17" i="16"/>
  <c r="AW17" i="16"/>
  <c r="AX17" i="16"/>
  <c r="AY17" i="16"/>
  <c r="BA17" i="16"/>
  <c r="BB17" i="16"/>
  <c r="BC17" i="16"/>
  <c r="BD17" i="16"/>
  <c r="BE17" i="16"/>
  <c r="AW16" i="16"/>
  <c r="AX16" i="16"/>
  <c r="AY16" i="16"/>
  <c r="BA16" i="16"/>
  <c r="BB16" i="16"/>
  <c r="BC16" i="16"/>
  <c r="BD16" i="16"/>
  <c r="BE16" i="16"/>
  <c r="E32" i="6"/>
  <c r="AH4" i="20"/>
  <c r="AL4" i="20"/>
  <c r="AX4" i="20"/>
  <c r="BB4" i="20"/>
  <c r="BJ4" i="20"/>
  <c r="BO9" i="5"/>
  <c r="BN4" i="20" s="1"/>
  <c r="BK5" i="20"/>
  <c r="BO10" i="5"/>
  <c r="BN5" i="20" s="1"/>
  <c r="AF6" i="20"/>
  <c r="AJ6" i="20"/>
  <c r="AL6" i="20"/>
  <c r="AV6" i="20"/>
  <c r="AX6" i="20"/>
  <c r="BH6" i="20"/>
  <c r="BO11" i="5"/>
  <c r="BN6" i="20" s="1"/>
  <c r="AK7" i="20"/>
  <c r="AS7" i="20"/>
  <c r="AY7" i="20"/>
  <c r="BG7" i="20"/>
  <c r="BI7" i="20"/>
  <c r="BO12" i="5"/>
  <c r="BN7" i="20" s="1"/>
  <c r="AH8" i="20"/>
  <c r="AJ8" i="20"/>
  <c r="AP8" i="20"/>
  <c r="AR8" i="20"/>
  <c r="AZ8" i="20"/>
  <c r="BJ8" i="20"/>
  <c r="BO13" i="5"/>
  <c r="BN8" i="20" s="1"/>
  <c r="AI9" i="20"/>
  <c r="AU9" i="20"/>
  <c r="AY9" i="20"/>
  <c r="BO14" i="5"/>
  <c r="BN9" i="20"/>
  <c r="BO15" i="5"/>
  <c r="BN10" i="20" s="1"/>
  <c r="AE11" i="20"/>
  <c r="AH11" i="20"/>
  <c r="AI11" i="20"/>
  <c r="AJ11" i="20"/>
  <c r="AM11" i="20"/>
  <c r="AR11" i="20"/>
  <c r="AU11" i="20"/>
  <c r="AV11" i="20"/>
  <c r="AW11" i="20"/>
  <c r="AZ11" i="20"/>
  <c r="BD11" i="20"/>
  <c r="BL11" i="20"/>
  <c r="BO16" i="5"/>
  <c r="BN11" i="20" s="1"/>
  <c r="AG12" i="20"/>
  <c r="AL12" i="20"/>
  <c r="AO12" i="20"/>
  <c r="AR12" i="20"/>
  <c r="AT12" i="20"/>
  <c r="AU12" i="20"/>
  <c r="AV12" i="20"/>
  <c r="AX12" i="20"/>
  <c r="AZ12" i="20"/>
  <c r="BB12" i="20"/>
  <c r="BD12" i="20"/>
  <c r="BF12" i="20"/>
  <c r="BG12" i="20"/>
  <c r="BH12" i="20"/>
  <c r="BJ12" i="20"/>
  <c r="BL12" i="20"/>
  <c r="BO17" i="5"/>
  <c r="BN12" i="20"/>
  <c r="BO18" i="5"/>
  <c r="BN13" i="20" s="1"/>
  <c r="BA14" i="20"/>
  <c r="BB14" i="20"/>
  <c r="BJ14" i="20"/>
  <c r="BO19" i="5"/>
  <c r="BN14" i="20" s="1"/>
  <c r="AH15" i="20"/>
  <c r="AI15" i="20"/>
  <c r="AJ15" i="20"/>
  <c r="AP15" i="20"/>
  <c r="AQ15" i="20"/>
  <c r="AR15" i="20"/>
  <c r="AY15" i="20"/>
  <c r="BB15" i="20"/>
  <c r="BG15" i="20"/>
  <c r="BH15" i="20"/>
  <c r="BI15" i="20"/>
  <c r="BJ15" i="20"/>
  <c r="BL15" i="20"/>
  <c r="BO20" i="5"/>
  <c r="BN15" i="20" s="1"/>
  <c r="AF16" i="20"/>
  <c r="AG16" i="20"/>
  <c r="AH16" i="20"/>
  <c r="AJ16" i="20"/>
  <c r="AK16" i="20"/>
  <c r="AN16" i="20"/>
  <c r="AO16" i="20"/>
  <c r="AP16" i="20"/>
  <c r="AR16" i="20"/>
  <c r="AS16" i="20"/>
  <c r="AU16" i="20"/>
  <c r="AV16" i="20"/>
  <c r="AW16" i="20"/>
  <c r="AX16" i="20"/>
  <c r="AY16" i="20"/>
  <c r="AZ16" i="20"/>
  <c r="BA16" i="20"/>
  <c r="BB16" i="20"/>
  <c r="BD16" i="20"/>
  <c r="BF16" i="20"/>
  <c r="BG16" i="20"/>
  <c r="BH16" i="20"/>
  <c r="BI16" i="20"/>
  <c r="BJ16" i="20"/>
  <c r="BK16" i="20"/>
  <c r="BO21" i="5"/>
  <c r="BN16" i="20" s="1"/>
  <c r="AF17" i="20"/>
  <c r="AG17" i="20"/>
  <c r="AH17" i="20"/>
  <c r="AI17" i="20"/>
  <c r="AJ17" i="20"/>
  <c r="AL17" i="20"/>
  <c r="AN17" i="20"/>
  <c r="AO17" i="20"/>
  <c r="AP17" i="20"/>
  <c r="AR17" i="20"/>
  <c r="AS17" i="20"/>
  <c r="AT17" i="20"/>
  <c r="AW17" i="20"/>
  <c r="AY17" i="20"/>
  <c r="AZ17" i="20"/>
  <c r="BA17" i="20"/>
  <c r="BB17" i="20"/>
  <c r="BC17" i="20"/>
  <c r="BD17" i="20"/>
  <c r="BE17" i="20"/>
  <c r="BF17" i="20"/>
  <c r="BH17" i="20"/>
  <c r="BI17" i="20"/>
  <c r="BJ17" i="20"/>
  <c r="BK17" i="20"/>
  <c r="BL17" i="20"/>
  <c r="BO22" i="5"/>
  <c r="BN17" i="20" s="1"/>
  <c r="AV18" i="20"/>
  <c r="AW18" i="20"/>
  <c r="AX18" i="20"/>
  <c r="AZ18" i="20"/>
  <c r="BA18" i="20"/>
  <c r="BB18" i="20"/>
  <c r="BC18" i="20"/>
  <c r="BF18" i="20"/>
  <c r="BH18" i="20"/>
  <c r="BI18" i="20"/>
  <c r="BJ18" i="20"/>
  <c r="BO23" i="5"/>
  <c r="BN18" i="20" s="1"/>
  <c r="AE19" i="20"/>
  <c r="AF19" i="20"/>
  <c r="AG19" i="20"/>
  <c r="AH19" i="20"/>
  <c r="AI19" i="20"/>
  <c r="AJ19" i="20"/>
  <c r="AK19" i="20"/>
  <c r="AL19" i="20"/>
  <c r="AM19" i="20"/>
  <c r="AN19" i="20"/>
  <c r="AO19" i="20"/>
  <c r="AP19" i="20"/>
  <c r="AQ19" i="20"/>
  <c r="AR19" i="20"/>
  <c r="AS19" i="20"/>
  <c r="AT19" i="20"/>
  <c r="AU19" i="20"/>
  <c r="AV19" i="20"/>
  <c r="AW19" i="20"/>
  <c r="AX19" i="20"/>
  <c r="AY19" i="20"/>
  <c r="AZ19" i="20"/>
  <c r="BA19" i="20"/>
  <c r="BB19" i="20"/>
  <c r="BC19" i="20"/>
  <c r="BD19" i="20"/>
  <c r="BE19" i="20"/>
  <c r="BF19" i="20"/>
  <c r="BG19" i="20"/>
  <c r="BH19" i="20"/>
  <c r="BI19" i="20"/>
  <c r="BJ19" i="20"/>
  <c r="BK19" i="20"/>
  <c r="BL19" i="20"/>
  <c r="BN24" i="5"/>
  <c r="V14" i="25" s="1"/>
  <c r="BO24" i="5"/>
  <c r="BN19" i="20" s="1"/>
  <c r="AE20" i="20"/>
  <c r="AF20" i="20"/>
  <c r="AH20" i="20"/>
  <c r="AI20" i="20"/>
  <c r="AL20" i="20"/>
  <c r="AM20" i="20"/>
  <c r="AP20" i="20"/>
  <c r="AQ20" i="20"/>
  <c r="AR20" i="20"/>
  <c r="AS20" i="20"/>
  <c r="AT20" i="20"/>
  <c r="AV20" i="20"/>
  <c r="AX20" i="20"/>
  <c r="AY20" i="20"/>
  <c r="AZ20" i="20"/>
  <c r="BA20" i="20"/>
  <c r="BC20" i="20"/>
  <c r="BD20" i="20"/>
  <c r="BE20" i="20"/>
  <c r="BF20" i="20"/>
  <c r="BG20" i="20"/>
  <c r="BH20" i="20"/>
  <c r="BI20" i="20"/>
  <c r="BJ20" i="20"/>
  <c r="BK20" i="20"/>
  <c r="BL20" i="20"/>
  <c r="BO25" i="5"/>
  <c r="BN20" i="20" s="1"/>
  <c r="AE21" i="20"/>
  <c r="AF21" i="20"/>
  <c r="AG21" i="20"/>
  <c r="AH21" i="20"/>
  <c r="AJ21" i="20"/>
  <c r="AL21" i="20"/>
  <c r="AM21" i="20"/>
  <c r="AN21" i="20"/>
  <c r="AO21" i="20"/>
  <c r="AP21" i="20"/>
  <c r="AQ21" i="20"/>
  <c r="AR21" i="20"/>
  <c r="AS21" i="20"/>
  <c r="AU21" i="20"/>
  <c r="AV21" i="20"/>
  <c r="AW21" i="20"/>
  <c r="AX21" i="20"/>
  <c r="AY21" i="20"/>
  <c r="AZ21" i="20"/>
  <c r="BA21" i="20"/>
  <c r="BD21" i="20"/>
  <c r="BE21" i="20"/>
  <c r="BF21" i="20"/>
  <c r="BG21" i="20"/>
  <c r="BH21" i="20"/>
  <c r="BI21" i="20"/>
  <c r="BJ21" i="20"/>
  <c r="BL21" i="20"/>
  <c r="BO26" i="5"/>
  <c r="BN21" i="20" s="1"/>
  <c r="AF22" i="20"/>
  <c r="AG22" i="20"/>
  <c r="AJ22" i="20"/>
  <c r="AK22" i="20"/>
  <c r="AL22" i="20"/>
  <c r="AN22" i="20"/>
  <c r="AO22" i="20"/>
  <c r="AQ22" i="20"/>
  <c r="AR22" i="20"/>
  <c r="AS22" i="20"/>
  <c r="AT22" i="20"/>
  <c r="AU22" i="20"/>
  <c r="AX22" i="20"/>
  <c r="AY22" i="20"/>
  <c r="AZ22" i="20"/>
  <c r="BD22" i="20"/>
  <c r="BF22" i="20"/>
  <c r="BG22" i="20"/>
  <c r="BH22" i="20"/>
  <c r="BI22" i="20"/>
  <c r="BJ22" i="20"/>
  <c r="BK22" i="20"/>
  <c r="BL22" i="20"/>
  <c r="BO27" i="5"/>
  <c r="BN22" i="20" s="1"/>
  <c r="AE23" i="20"/>
  <c r="AF23" i="20"/>
  <c r="AG23" i="20"/>
  <c r="AH23" i="20"/>
  <c r="AI23" i="20"/>
  <c r="AJ23" i="20"/>
  <c r="AK23" i="20"/>
  <c r="AL23" i="20"/>
  <c r="AM23" i="20"/>
  <c r="AN23" i="20"/>
  <c r="AO23" i="20"/>
  <c r="AP23" i="20"/>
  <c r="AQ23" i="20"/>
  <c r="AR23" i="20"/>
  <c r="AS23" i="20"/>
  <c r="AT23" i="20"/>
  <c r="AU23" i="20"/>
  <c r="AV23" i="20"/>
  <c r="AW23" i="20"/>
  <c r="AX23" i="20"/>
  <c r="AY23" i="20"/>
  <c r="AZ23" i="20"/>
  <c r="BA23" i="20"/>
  <c r="BB23" i="20"/>
  <c r="BC23" i="20"/>
  <c r="BD23" i="20"/>
  <c r="BE23" i="20"/>
  <c r="BH23" i="20"/>
  <c r="BI23" i="20"/>
  <c r="BL23" i="20"/>
  <c r="BO28" i="5"/>
  <c r="BN23" i="20" s="1"/>
  <c r="AE24" i="20"/>
  <c r="AG24" i="20"/>
  <c r="AH24" i="20"/>
  <c r="AI24" i="20"/>
  <c r="AK24" i="20"/>
  <c r="AL24" i="20"/>
  <c r="AM24" i="20"/>
  <c r="AO24" i="20"/>
  <c r="AP24" i="20"/>
  <c r="AQ24" i="20"/>
  <c r="AS24" i="20"/>
  <c r="AT24" i="20"/>
  <c r="AU24" i="20"/>
  <c r="AW24" i="20"/>
  <c r="AX24" i="20"/>
  <c r="AY24" i="20"/>
  <c r="BB24" i="20"/>
  <c r="BC24" i="20"/>
  <c r="BE24" i="20"/>
  <c r="BF24" i="20"/>
  <c r="BG24" i="20"/>
  <c r="BH24" i="20"/>
  <c r="BI24" i="20"/>
  <c r="BJ24" i="20"/>
  <c r="BK24" i="20"/>
  <c r="BL24" i="20"/>
  <c r="BO29" i="5"/>
  <c r="BN24" i="20" s="1"/>
  <c r="AF25" i="20"/>
  <c r="AG25" i="20"/>
  <c r="AH25" i="20"/>
  <c r="AI25" i="20"/>
  <c r="AJ25" i="20"/>
  <c r="AK25" i="20"/>
  <c r="AL25" i="20"/>
  <c r="AN25" i="20"/>
  <c r="AO25" i="20"/>
  <c r="AP25" i="20"/>
  <c r="AR25" i="20"/>
  <c r="AT25" i="20"/>
  <c r="AU25" i="20"/>
  <c r="AV25" i="20"/>
  <c r="AX25" i="20"/>
  <c r="AY25" i="20"/>
  <c r="AZ25" i="20"/>
  <c r="BA25" i="20"/>
  <c r="BB25" i="20"/>
  <c r="BD25" i="20"/>
  <c r="BE25" i="20"/>
  <c r="BF25" i="20"/>
  <c r="BG25" i="20"/>
  <c r="BH25" i="20"/>
  <c r="BI25" i="20"/>
  <c r="BJ25" i="20"/>
  <c r="BK25" i="20"/>
  <c r="BL25" i="20"/>
  <c r="BO30" i="5"/>
  <c r="BN25" i="20" s="1"/>
  <c r="AE26" i="20"/>
  <c r="AF26" i="20"/>
  <c r="AG26" i="20"/>
  <c r="AH26" i="20"/>
  <c r="AI26" i="20"/>
  <c r="AJ26" i="20"/>
  <c r="AK26" i="20"/>
  <c r="AM26" i="20"/>
  <c r="AN26" i="20"/>
  <c r="AO26" i="20"/>
  <c r="AP26" i="20"/>
  <c r="AQ26" i="20"/>
  <c r="AR26" i="20"/>
  <c r="AT26" i="20"/>
  <c r="AU26" i="20"/>
  <c r="AV26" i="20"/>
  <c r="AW26" i="20"/>
  <c r="AX26" i="20"/>
  <c r="AY26" i="20"/>
  <c r="AZ26" i="20"/>
  <c r="BB26" i="20"/>
  <c r="BC26" i="20"/>
  <c r="BD26" i="20"/>
  <c r="BF26" i="20"/>
  <c r="BG26" i="20"/>
  <c r="BH26" i="20"/>
  <c r="BJ26" i="20"/>
  <c r="BK26" i="20"/>
  <c r="BL26" i="20"/>
  <c r="BO31" i="5"/>
  <c r="BN26" i="20" s="1"/>
  <c r="AF27" i="20"/>
  <c r="AG27" i="20"/>
  <c r="AH27" i="20"/>
  <c r="AI27" i="20"/>
  <c r="AJ27" i="20"/>
  <c r="AK27" i="20"/>
  <c r="AL27" i="20"/>
  <c r="AN27" i="20"/>
  <c r="AO27" i="20"/>
  <c r="AP27" i="20"/>
  <c r="AR27" i="20"/>
  <c r="AS27" i="20"/>
  <c r="AT27" i="20"/>
  <c r="AV27" i="20"/>
  <c r="AW27" i="20"/>
  <c r="AY27" i="20"/>
  <c r="AZ27" i="20"/>
  <c r="BA27" i="20"/>
  <c r="BB27" i="20"/>
  <c r="BC27" i="20"/>
  <c r="BD27" i="20"/>
  <c r="BE27" i="20"/>
  <c r="BF27" i="20"/>
  <c r="BG27" i="20"/>
  <c r="BH27" i="20"/>
  <c r="BI27" i="20"/>
  <c r="BJ27" i="20"/>
  <c r="BK27" i="20"/>
  <c r="BL27" i="20"/>
  <c r="BO32" i="5"/>
  <c r="BN27" i="20" s="1"/>
  <c r="AE28" i="20"/>
  <c r="AF28" i="20"/>
  <c r="AG28" i="20"/>
  <c r="AH28" i="20"/>
  <c r="AI28" i="20"/>
  <c r="AJ28" i="20"/>
  <c r="AK28" i="20"/>
  <c r="AL28" i="20"/>
  <c r="AM28" i="20"/>
  <c r="AN28" i="20"/>
  <c r="AO28" i="20"/>
  <c r="AP28" i="20"/>
  <c r="AR28" i="20"/>
  <c r="AS28" i="20"/>
  <c r="AT28" i="20"/>
  <c r="AV28" i="20"/>
  <c r="AX28" i="20"/>
  <c r="BA28" i="20"/>
  <c r="BC28" i="20"/>
  <c r="BD28" i="20"/>
  <c r="BE28" i="20"/>
  <c r="BF28" i="20"/>
  <c r="BI28" i="20"/>
  <c r="BJ28" i="20"/>
  <c r="BL28" i="20"/>
  <c r="BO33" i="5"/>
  <c r="BN28" i="20" s="1"/>
  <c r="AE29" i="20"/>
  <c r="AG29" i="20"/>
  <c r="AH29" i="20"/>
  <c r="AL29" i="20"/>
  <c r="AM29" i="20"/>
  <c r="AO29" i="20"/>
  <c r="AP29" i="20"/>
  <c r="AQ29" i="20"/>
  <c r="AS29" i="20"/>
  <c r="AT29" i="20"/>
  <c r="AU29" i="20"/>
  <c r="AV29" i="20"/>
  <c r="AW29" i="20"/>
  <c r="AX29" i="20"/>
  <c r="AY29" i="20"/>
  <c r="BA29" i="20"/>
  <c r="BB29" i="20"/>
  <c r="BD29" i="20"/>
  <c r="BE29" i="20"/>
  <c r="BF29" i="20"/>
  <c r="BG29" i="20"/>
  <c r="BI29" i="20"/>
  <c r="BK29" i="20"/>
  <c r="BO34" i="5"/>
  <c r="BN29" i="20" s="1"/>
  <c r="AE30" i="20"/>
  <c r="AF30" i="20"/>
  <c r="AG30" i="20"/>
  <c r="AI30" i="20"/>
  <c r="AJ30" i="20"/>
  <c r="AK30" i="20"/>
  <c r="AM30" i="20"/>
  <c r="AN30" i="20"/>
  <c r="AO30" i="20"/>
  <c r="AQ30" i="20"/>
  <c r="AR30" i="20"/>
  <c r="AT30" i="20"/>
  <c r="AU30" i="20"/>
  <c r="AW30" i="20"/>
  <c r="AX30" i="20"/>
  <c r="AY30" i="20"/>
  <c r="AZ30" i="20"/>
  <c r="BB30" i="20"/>
  <c r="BC30" i="20"/>
  <c r="BD30" i="20"/>
  <c r="BE30" i="20"/>
  <c r="BF30" i="20"/>
  <c r="BH30" i="20"/>
  <c r="BJ30" i="20"/>
  <c r="BK30" i="20"/>
  <c r="BL30" i="20"/>
  <c r="BO35" i="5"/>
  <c r="BN30" i="20" s="1"/>
  <c r="AE31" i="20"/>
  <c r="AF31" i="20"/>
  <c r="AH31" i="20"/>
  <c r="AI31" i="20"/>
  <c r="AJ31" i="20"/>
  <c r="AL31" i="20"/>
  <c r="AM31" i="20"/>
  <c r="AN31" i="20"/>
  <c r="AP31" i="20"/>
  <c r="AQ31" i="20"/>
  <c r="AR31" i="20"/>
  <c r="AS31" i="20"/>
  <c r="AT31" i="20"/>
  <c r="AU31" i="20"/>
  <c r="AV31" i="20"/>
  <c r="AW31" i="20"/>
  <c r="AX31" i="20"/>
  <c r="AY31" i="20"/>
  <c r="AZ31" i="20"/>
  <c r="BB31" i="20"/>
  <c r="BD31" i="20"/>
  <c r="BG31" i="20"/>
  <c r="BH31" i="20"/>
  <c r="BI31" i="20"/>
  <c r="BJ31" i="20"/>
  <c r="BL31" i="20"/>
  <c r="BO36" i="5"/>
  <c r="BN31" i="20" s="1"/>
  <c r="AE32" i="20"/>
  <c r="AG32" i="20"/>
  <c r="AH32" i="20"/>
  <c r="AI32" i="20"/>
  <c r="AK32" i="20"/>
  <c r="AL32" i="20"/>
  <c r="AM32" i="20"/>
  <c r="AO32" i="20"/>
  <c r="AP32" i="20"/>
  <c r="AQ32" i="20"/>
  <c r="AS32" i="20"/>
  <c r="AU32" i="20"/>
  <c r="AV32" i="20"/>
  <c r="AW32" i="20"/>
  <c r="AX32" i="20"/>
  <c r="AY32" i="20"/>
  <c r="BA32" i="20"/>
  <c r="BB32" i="20"/>
  <c r="BC32" i="20"/>
  <c r="BD32" i="20"/>
  <c r="BE32" i="20"/>
  <c r="BG32" i="20"/>
  <c r="BI32" i="20"/>
  <c r="BJ32" i="20"/>
  <c r="BK32" i="20"/>
  <c r="BO37" i="5"/>
  <c r="BN32" i="20" s="1"/>
  <c r="AE33" i="20"/>
  <c r="AF33" i="20"/>
  <c r="AH33" i="20"/>
  <c r="AI33" i="20"/>
  <c r="AJ33" i="20"/>
  <c r="AK33" i="20"/>
  <c r="AL33" i="20"/>
  <c r="AN33" i="20"/>
  <c r="AP33" i="20"/>
  <c r="AQ33" i="20"/>
  <c r="AR33" i="20"/>
  <c r="AU33" i="20"/>
  <c r="AV33" i="20"/>
  <c r="AW33" i="20"/>
  <c r="AX33" i="20"/>
  <c r="AZ33" i="20"/>
  <c r="BA33" i="20"/>
  <c r="BD33" i="20"/>
  <c r="BE33" i="20"/>
  <c r="BF33" i="20"/>
  <c r="BG33" i="20"/>
  <c r="BH33" i="20"/>
  <c r="BI33" i="20"/>
  <c r="BJ33" i="20"/>
  <c r="BK33" i="20"/>
  <c r="BL33" i="20"/>
  <c r="BO38" i="5"/>
  <c r="BN33" i="20" s="1"/>
  <c r="AE34" i="20"/>
  <c r="AF34" i="20"/>
  <c r="AG34" i="20"/>
  <c r="AH34" i="20"/>
  <c r="AI34" i="20"/>
  <c r="AJ34" i="20"/>
  <c r="AK34" i="20"/>
  <c r="AM34" i="20"/>
  <c r="AN34" i="20"/>
  <c r="AO34" i="20"/>
  <c r="AP34" i="20"/>
  <c r="AQ34" i="20"/>
  <c r="AR34" i="20"/>
  <c r="AS34" i="20"/>
  <c r="AU34" i="20"/>
  <c r="AW34" i="20"/>
  <c r="AX34" i="20"/>
  <c r="AY34" i="20"/>
  <c r="AZ34" i="20"/>
  <c r="BA34" i="20"/>
  <c r="BB34" i="20"/>
  <c r="BC34" i="20"/>
  <c r="BD34" i="20"/>
  <c r="BE34" i="20"/>
  <c r="BF34" i="20"/>
  <c r="BI34" i="20"/>
  <c r="BK34" i="20"/>
  <c r="BO39" i="5"/>
  <c r="BN34" i="20" s="1"/>
  <c r="BO40" i="5"/>
  <c r="BN35" i="20" s="1"/>
  <c r="AF36" i="20"/>
  <c r="AG36" i="20"/>
  <c r="AH36" i="20"/>
  <c r="AL36" i="20"/>
  <c r="BK36" i="20"/>
  <c r="BO41" i="5"/>
  <c r="BN36" i="20" s="1"/>
  <c r="AF37" i="20"/>
  <c r="AK37" i="20"/>
  <c r="AO37" i="20"/>
  <c r="AU37" i="20"/>
  <c r="BA37" i="20"/>
  <c r="BI37" i="20"/>
  <c r="BO42" i="5"/>
  <c r="BN37" i="20" s="1"/>
  <c r="AE38" i="20"/>
  <c r="AH38" i="20"/>
  <c r="AL38" i="20"/>
  <c r="AU38" i="20"/>
  <c r="AW38" i="20"/>
  <c r="AZ38" i="20"/>
  <c r="BC38" i="20"/>
  <c r="BH38" i="20"/>
  <c r="BK38" i="20"/>
  <c r="BO43" i="5"/>
  <c r="BN38" i="20" s="1"/>
  <c r="AI39" i="20"/>
  <c r="AK39" i="20"/>
  <c r="AL39" i="20"/>
  <c r="AP39" i="20"/>
  <c r="AS39" i="20"/>
  <c r="AT39" i="20"/>
  <c r="AU39" i="20"/>
  <c r="AY39" i="20"/>
  <c r="BC39" i="20"/>
  <c r="BF39" i="20"/>
  <c r="BG39" i="20"/>
  <c r="BJ39" i="20"/>
  <c r="BK39" i="20"/>
  <c r="BO44" i="5"/>
  <c r="BN39" i="20" s="1"/>
  <c r="AE40" i="20"/>
  <c r="AG40" i="20"/>
  <c r="AH40" i="20"/>
  <c r="AI40" i="20"/>
  <c r="AJ40" i="20"/>
  <c r="AK40" i="20"/>
  <c r="AM40" i="20"/>
  <c r="AO40" i="20"/>
  <c r="AP40" i="20"/>
  <c r="AQ40" i="20"/>
  <c r="AR40" i="20"/>
  <c r="AS40" i="20"/>
  <c r="AU40" i="20"/>
  <c r="AX40" i="20"/>
  <c r="BA40" i="20"/>
  <c r="BB40" i="20"/>
  <c r="BF40" i="20"/>
  <c r="BG40" i="20"/>
  <c r="BJ40" i="20"/>
  <c r="BO45" i="5"/>
  <c r="BN40" i="20" s="1"/>
  <c r="AF41" i="20"/>
  <c r="AI41" i="20"/>
  <c r="AJ41" i="20"/>
  <c r="AK41" i="20"/>
  <c r="AN41" i="20"/>
  <c r="AQ41" i="20"/>
  <c r="AR41" i="20"/>
  <c r="AU41" i="20"/>
  <c r="AW41" i="20"/>
  <c r="AX41" i="20"/>
  <c r="BA41" i="20"/>
  <c r="BE41" i="20"/>
  <c r="BF41" i="20"/>
  <c r="BI41" i="20"/>
  <c r="BO46" i="5"/>
  <c r="BN41" i="20" s="1"/>
  <c r="AE42" i="20"/>
  <c r="AH42" i="20"/>
  <c r="AI42" i="20"/>
  <c r="AM42" i="20"/>
  <c r="AQ42" i="20"/>
  <c r="AV42" i="20"/>
  <c r="AY42" i="20"/>
  <c r="AZ42" i="20"/>
  <c r="BA42" i="20"/>
  <c r="BD42" i="20"/>
  <c r="BG42" i="20"/>
  <c r="BH42" i="20"/>
  <c r="BL42" i="20"/>
  <c r="BO47" i="5"/>
  <c r="BN42" i="20" s="1"/>
  <c r="AE43" i="20"/>
  <c r="AH43" i="20"/>
  <c r="AI43" i="20"/>
  <c r="AL43" i="20"/>
  <c r="AO43" i="20"/>
  <c r="AP43" i="20"/>
  <c r="AT43" i="20"/>
  <c r="AU43" i="20"/>
  <c r="AX43" i="20"/>
  <c r="AY43" i="20"/>
  <c r="BC43" i="20"/>
  <c r="BF43" i="20"/>
  <c r="BG43" i="20"/>
  <c r="BH43" i="20"/>
  <c r="BK43" i="20"/>
  <c r="BO48" i="5"/>
  <c r="BN43" i="20" s="1"/>
  <c r="AF44" i="20"/>
  <c r="AG44" i="20"/>
  <c r="AK44" i="20"/>
  <c r="AL44" i="20"/>
  <c r="AO44" i="20"/>
  <c r="AP44" i="20"/>
  <c r="AS44" i="20"/>
  <c r="AU44" i="20"/>
  <c r="AW44" i="20"/>
  <c r="AX44" i="20"/>
  <c r="BB44" i="20"/>
  <c r="BE44" i="20"/>
  <c r="BF44" i="20"/>
  <c r="BJ44" i="20"/>
  <c r="BO49" i="5"/>
  <c r="BN44" i="20" s="1"/>
  <c r="AF45" i="20"/>
  <c r="AJ45" i="20"/>
  <c r="AM45" i="20"/>
  <c r="AN45" i="20"/>
  <c r="AR45" i="20"/>
  <c r="AU45" i="20"/>
  <c r="AV45" i="20"/>
  <c r="AW45" i="20"/>
  <c r="BA45" i="20"/>
  <c r="BB45" i="20"/>
  <c r="BD45" i="20"/>
  <c r="BE45" i="20"/>
  <c r="BI45" i="20"/>
  <c r="BL45" i="20"/>
  <c r="BO50" i="5"/>
  <c r="BN45" i="20" s="1"/>
  <c r="AE46" i="20"/>
  <c r="AH46" i="20"/>
  <c r="AI46" i="20"/>
  <c r="AL46" i="20"/>
  <c r="AM46" i="20"/>
  <c r="AQ46" i="20"/>
  <c r="AR46" i="20"/>
  <c r="AT46" i="20"/>
  <c r="AU46" i="20"/>
  <c r="AV46" i="20"/>
  <c r="AZ46" i="20"/>
  <c r="BC46" i="20"/>
  <c r="BD46" i="20"/>
  <c r="BH46" i="20"/>
  <c r="BI46" i="20"/>
  <c r="BK46" i="20"/>
  <c r="BL46" i="20"/>
  <c r="BO51" i="5"/>
  <c r="BN46" i="20" s="1"/>
  <c r="AH47" i="20"/>
  <c r="AI47" i="20"/>
  <c r="AK47" i="20"/>
  <c r="AL47" i="20"/>
  <c r="AP47" i="20"/>
  <c r="AS47" i="20"/>
  <c r="AT47" i="20"/>
  <c r="AU47" i="20"/>
  <c r="AW47" i="20"/>
  <c r="AY47" i="20"/>
  <c r="BB47" i="20"/>
  <c r="BC47" i="20"/>
  <c r="BD47" i="20"/>
  <c r="BE47" i="20"/>
  <c r="BG47" i="20"/>
  <c r="BJ47" i="20"/>
  <c r="BK47" i="20"/>
  <c r="BL47" i="20"/>
  <c r="BO52" i="5"/>
  <c r="BN47" i="20" s="1"/>
  <c r="AG48" i="20"/>
  <c r="AJ48" i="20"/>
  <c r="AK48" i="20"/>
  <c r="AL48" i="20"/>
  <c r="AO48" i="20"/>
  <c r="AP48" i="20"/>
  <c r="AR48" i="20"/>
  <c r="AS48" i="20"/>
  <c r="AX48" i="20"/>
  <c r="BA48" i="20"/>
  <c r="BB48" i="20"/>
  <c r="BC48" i="20"/>
  <c r="BF48" i="20"/>
  <c r="BJ48" i="20"/>
  <c r="BO53" i="5"/>
  <c r="BN48" i="20" s="1"/>
  <c r="AF49" i="20"/>
  <c r="AG49" i="20"/>
  <c r="AI49" i="20"/>
  <c r="AJ49" i="20"/>
  <c r="AM49" i="20"/>
  <c r="AN49" i="20"/>
  <c r="AQ49" i="20"/>
  <c r="AR49" i="20"/>
  <c r="AU49" i="20"/>
  <c r="AW49" i="20"/>
  <c r="AX49" i="20"/>
  <c r="AZ49" i="20"/>
  <c r="BA49" i="20"/>
  <c r="BE49" i="20"/>
  <c r="BH49" i="20"/>
  <c r="BI49" i="20"/>
  <c r="BJ49" i="20"/>
  <c r="BO54" i="5"/>
  <c r="BN49" i="20" s="1"/>
  <c r="AE50" i="20"/>
  <c r="AH50" i="20"/>
  <c r="AI50" i="20"/>
  <c r="AM50" i="20"/>
  <c r="AN50" i="20"/>
  <c r="AP50" i="20"/>
  <c r="AQ50" i="20"/>
  <c r="AU50" i="20"/>
  <c r="AV50" i="20"/>
  <c r="AW50" i="20"/>
  <c r="AY50" i="20"/>
  <c r="AZ50" i="20"/>
  <c r="BA50" i="20"/>
  <c r="BD50" i="20"/>
  <c r="BG50" i="20"/>
  <c r="BH50" i="20"/>
  <c r="BL50" i="20"/>
  <c r="BO55" i="5"/>
  <c r="BN50" i="20" s="1"/>
  <c r="AG51" i="20"/>
  <c r="AH51" i="20"/>
  <c r="AI51" i="20"/>
  <c r="AL51" i="20"/>
  <c r="AO51" i="20"/>
  <c r="AP51" i="20"/>
  <c r="AT51" i="20"/>
  <c r="AU51" i="20"/>
  <c r="AX51" i="20"/>
  <c r="AY51" i="20"/>
  <c r="BC51" i="20"/>
  <c r="BF51" i="20"/>
  <c r="BG51" i="20"/>
  <c r="BH51" i="20"/>
  <c r="BJ51" i="20"/>
  <c r="BK51" i="20"/>
  <c r="BO56" i="5"/>
  <c r="BN51" i="20" s="1"/>
  <c r="AF52" i="20"/>
  <c r="AG52" i="20"/>
  <c r="AK52" i="20"/>
  <c r="AL52" i="20"/>
  <c r="AN52" i="20"/>
  <c r="AO52" i="20"/>
  <c r="AS52" i="20"/>
  <c r="AU52" i="20"/>
  <c r="AW52" i="20"/>
  <c r="AX52" i="20"/>
  <c r="BB52" i="20"/>
  <c r="BE52" i="20"/>
  <c r="BF52" i="20"/>
  <c r="BJ52" i="20"/>
  <c r="BO57" i="5"/>
  <c r="BN52" i="20" s="1"/>
  <c r="AE53" i="20"/>
  <c r="AF53" i="20"/>
  <c r="AH53" i="20"/>
  <c r="AI53" i="20"/>
  <c r="AM53" i="20"/>
  <c r="AP53" i="20"/>
  <c r="AQ53" i="20"/>
  <c r="AR53" i="20"/>
  <c r="AU53" i="20"/>
  <c r="AV53" i="20"/>
  <c r="AY53" i="20"/>
  <c r="AZ53" i="20"/>
  <c r="BA53" i="20"/>
  <c r="BD53" i="20"/>
  <c r="BE53" i="20"/>
  <c r="BG53" i="20"/>
  <c r="BH53" i="20"/>
  <c r="BL53" i="20"/>
  <c r="BO58" i="5"/>
  <c r="BN53" i="20" s="1"/>
  <c r="BO59" i="5"/>
  <c r="BN54" i="20" s="1"/>
  <c r="BO60" i="5"/>
  <c r="BN55" i="20" s="1"/>
  <c r="AE56" i="20"/>
  <c r="AF56" i="20"/>
  <c r="AG56" i="20"/>
  <c r="AI56" i="20"/>
  <c r="AJ56" i="20"/>
  <c r="AK56" i="20"/>
  <c r="AL56" i="20"/>
  <c r="AN56" i="20"/>
  <c r="AO56" i="20"/>
  <c r="AQ56" i="20"/>
  <c r="AR56" i="20"/>
  <c r="AS56" i="20"/>
  <c r="AZ56" i="20"/>
  <c r="BA56" i="20"/>
  <c r="BB56" i="20"/>
  <c r="BC56" i="20"/>
  <c r="BE56" i="20"/>
  <c r="BF56" i="20"/>
  <c r="BH56" i="20"/>
  <c r="BI56" i="20"/>
  <c r="BJ56" i="20"/>
  <c r="BK56" i="20"/>
  <c r="BO61" i="5"/>
  <c r="BN56" i="20" s="1"/>
  <c r="AE57" i="20"/>
  <c r="AF57" i="20"/>
  <c r="AG57" i="20"/>
  <c r="AI57" i="20"/>
  <c r="AJ57" i="20"/>
  <c r="AL57" i="20"/>
  <c r="AM57" i="20"/>
  <c r="AN57" i="20"/>
  <c r="AO57" i="20"/>
  <c r="AQ57" i="20"/>
  <c r="AR57" i="20"/>
  <c r="AZ57" i="20"/>
  <c r="BA57" i="20"/>
  <c r="BC57" i="20"/>
  <c r="BD57" i="20"/>
  <c r="BE57" i="20"/>
  <c r="BF57" i="20"/>
  <c r="BH57" i="20"/>
  <c r="BI57" i="20"/>
  <c r="BK57" i="20"/>
  <c r="BL57" i="20"/>
  <c r="BO62" i="5"/>
  <c r="BN57" i="20" s="1"/>
  <c r="AE58" i="20"/>
  <c r="AG58" i="20"/>
  <c r="AH58" i="20"/>
  <c r="AI58" i="20"/>
  <c r="AJ58" i="20"/>
  <c r="AL58" i="20"/>
  <c r="AM58" i="20"/>
  <c r="AO58" i="20"/>
  <c r="AP58" i="20"/>
  <c r="AQ58" i="20"/>
  <c r="AR58" i="20"/>
  <c r="AZ58" i="20"/>
  <c r="BA58" i="20"/>
  <c r="BC58" i="20"/>
  <c r="BD58" i="20"/>
  <c r="BF58" i="20"/>
  <c r="BG58" i="20"/>
  <c r="BH58" i="20"/>
  <c r="BI58" i="20"/>
  <c r="BK58" i="20"/>
  <c r="BL58" i="20"/>
  <c r="BO63" i="5"/>
  <c r="BN58" i="20" s="1"/>
  <c r="AE59" i="20"/>
  <c r="AG59" i="20"/>
  <c r="AH59" i="20"/>
  <c r="AJ59" i="20"/>
  <c r="AK59" i="20"/>
  <c r="AL59" i="20"/>
  <c r="AM59" i="20"/>
  <c r="AO59" i="20"/>
  <c r="AP59" i="20"/>
  <c r="AR59" i="20"/>
  <c r="AS59" i="20"/>
  <c r="BA59" i="20"/>
  <c r="BB59" i="20"/>
  <c r="BC59" i="20"/>
  <c r="BD59" i="20"/>
  <c r="BF59" i="20"/>
  <c r="BG59" i="20"/>
  <c r="BI59" i="20"/>
  <c r="BJ59" i="20"/>
  <c r="BK59" i="20"/>
  <c r="BL59" i="20"/>
  <c r="BO64" i="5"/>
  <c r="BN59" i="20" s="1"/>
  <c r="AE60" i="20"/>
  <c r="AF60" i="20"/>
  <c r="AG60" i="20"/>
  <c r="AH60" i="20"/>
  <c r="AJ60" i="20"/>
  <c r="AK60" i="20"/>
  <c r="AM60" i="20"/>
  <c r="AN60" i="20"/>
  <c r="AO60" i="20"/>
  <c r="AP60" i="20"/>
  <c r="AR60" i="20"/>
  <c r="AS60" i="20"/>
  <c r="BA60" i="20"/>
  <c r="BB60" i="20"/>
  <c r="BC60" i="20"/>
  <c r="BD60" i="20"/>
  <c r="BE60" i="20"/>
  <c r="BF60" i="20"/>
  <c r="BG60" i="20"/>
  <c r="BI60" i="20"/>
  <c r="BJ60" i="20"/>
  <c r="BK60" i="20"/>
  <c r="BL60" i="20"/>
  <c r="BO65" i="5"/>
  <c r="BN60" i="20" s="1"/>
  <c r="AE61" i="20"/>
  <c r="AF61" i="20"/>
  <c r="AH61" i="20"/>
  <c r="AI61" i="20"/>
  <c r="AJ61" i="20"/>
  <c r="AK61" i="20"/>
  <c r="AL61" i="20"/>
  <c r="AM61" i="20"/>
  <c r="AN61" i="20"/>
  <c r="AP61" i="20"/>
  <c r="AQ61" i="20"/>
  <c r="AR61" i="20"/>
  <c r="AS61" i="20"/>
  <c r="AZ61" i="20"/>
  <c r="BA61" i="20"/>
  <c r="BB61" i="20"/>
  <c r="BD61" i="20"/>
  <c r="BE61" i="20"/>
  <c r="BG61" i="20"/>
  <c r="BH61" i="20"/>
  <c r="BI61" i="20"/>
  <c r="BJ61" i="20"/>
  <c r="BL61" i="20"/>
  <c r="BO66" i="5"/>
  <c r="BN61" i="20" s="1"/>
  <c r="AE62" i="20"/>
  <c r="AF62" i="20"/>
  <c r="AH62" i="20"/>
  <c r="AI62" i="20"/>
  <c r="AK62" i="20"/>
  <c r="AL62" i="20"/>
  <c r="AM62" i="20"/>
  <c r="AN62" i="20"/>
  <c r="AP62" i="20"/>
  <c r="AQ62" i="20"/>
  <c r="AS62" i="20"/>
  <c r="AZ62" i="20"/>
  <c r="BA62" i="20"/>
  <c r="BB62" i="20"/>
  <c r="BC62" i="20"/>
  <c r="BD62" i="20"/>
  <c r="BE62" i="20"/>
  <c r="BG62" i="20"/>
  <c r="BH62" i="20"/>
  <c r="BJ62" i="20"/>
  <c r="BK62" i="20"/>
  <c r="BL62" i="20"/>
  <c r="BO67" i="5"/>
  <c r="BN62" i="20" s="1"/>
  <c r="AF63" i="20"/>
  <c r="AG63" i="20"/>
  <c r="AH63" i="20"/>
  <c r="AI63" i="20"/>
  <c r="AK63" i="20"/>
  <c r="AL63" i="20"/>
  <c r="AN63" i="20"/>
  <c r="AO63" i="20"/>
  <c r="AP63" i="20"/>
  <c r="AQ63" i="20"/>
  <c r="AS63" i="20"/>
  <c r="AZ63" i="20"/>
  <c r="BB63" i="20"/>
  <c r="BC63" i="20"/>
  <c r="BE63" i="20"/>
  <c r="BF63" i="20"/>
  <c r="BG63" i="20"/>
  <c r="BH63" i="20"/>
  <c r="BJ63" i="20"/>
  <c r="BK63" i="20"/>
  <c r="BO68" i="5"/>
  <c r="BN63" i="20" s="1"/>
  <c r="AF64" i="20"/>
  <c r="AG64" i="20"/>
  <c r="AI64" i="20"/>
  <c r="AJ64" i="20"/>
  <c r="AK64" i="20"/>
  <c r="AL64" i="20"/>
  <c r="AN64" i="20"/>
  <c r="AO64" i="20"/>
  <c r="AQ64" i="20"/>
  <c r="AR64" i="20"/>
  <c r="AS64" i="20"/>
  <c r="AZ64" i="20"/>
  <c r="BA64" i="20"/>
  <c r="BB64" i="20"/>
  <c r="BC64" i="20"/>
  <c r="BE64" i="20"/>
  <c r="BF64" i="20"/>
  <c r="BG64" i="20"/>
  <c r="BH64" i="20"/>
  <c r="BI64" i="20"/>
  <c r="BJ64" i="20"/>
  <c r="BK64" i="20"/>
  <c r="BO69" i="5"/>
  <c r="BN64" i="20" s="1"/>
  <c r="AE65" i="20"/>
  <c r="AF65" i="20"/>
  <c r="AG65" i="20"/>
  <c r="AI65" i="20"/>
  <c r="AJ65" i="20"/>
  <c r="AL65" i="20"/>
  <c r="AM65" i="20"/>
  <c r="AN65" i="20"/>
  <c r="AP65" i="20"/>
  <c r="AQ65" i="20"/>
  <c r="AR65" i="20"/>
  <c r="AZ65" i="20"/>
  <c r="BA65" i="20"/>
  <c r="BC65" i="20"/>
  <c r="BD65" i="20"/>
  <c r="BE65" i="20"/>
  <c r="BF65" i="20"/>
  <c r="BH65" i="20"/>
  <c r="BI65" i="20"/>
  <c r="BK65" i="20"/>
  <c r="BL65" i="20"/>
  <c r="BO70" i="5"/>
  <c r="BN65" i="20" s="1"/>
  <c r="AE66" i="20"/>
  <c r="AF66" i="20"/>
  <c r="AG66" i="20"/>
  <c r="AH66" i="20"/>
  <c r="AI66" i="20"/>
  <c r="AJ66" i="20"/>
  <c r="AK66" i="20"/>
  <c r="AL66" i="20"/>
  <c r="AM66" i="20"/>
  <c r="AN66" i="20"/>
  <c r="AO66" i="20"/>
  <c r="AP66" i="20"/>
  <c r="AQ66" i="20"/>
  <c r="AR66" i="20"/>
  <c r="AS66" i="20"/>
  <c r="AZ66" i="20"/>
  <c r="BA66" i="20"/>
  <c r="BC66" i="20"/>
  <c r="BD66" i="20"/>
  <c r="BF66" i="20"/>
  <c r="BG66" i="20"/>
  <c r="BH66" i="20"/>
  <c r="BI66" i="20"/>
  <c r="BL66" i="20"/>
  <c r="BO71" i="5"/>
  <c r="BN66" i="20" s="1"/>
  <c r="AE67" i="20"/>
  <c r="AG67" i="20"/>
  <c r="AH67" i="20"/>
  <c r="AI67" i="20"/>
  <c r="AJ67" i="20"/>
  <c r="AK67" i="20"/>
  <c r="AL67" i="20"/>
  <c r="AM67" i="20"/>
  <c r="AO67" i="20"/>
  <c r="AP67" i="20"/>
  <c r="AQ67" i="20"/>
  <c r="AR67" i="20"/>
  <c r="AS67" i="20"/>
  <c r="BA67" i="20"/>
  <c r="BB67" i="20"/>
  <c r="BC67" i="20"/>
  <c r="BD67" i="20"/>
  <c r="BE67" i="20"/>
  <c r="BF67" i="20"/>
  <c r="BG67" i="20"/>
  <c r="BI67" i="20"/>
  <c r="BJ67" i="20"/>
  <c r="BK67" i="20"/>
  <c r="BL67" i="20"/>
  <c r="BO72" i="5"/>
  <c r="BN67" i="20" s="1"/>
  <c r="AE68" i="20"/>
  <c r="AF68" i="20"/>
  <c r="AG68" i="20"/>
  <c r="AH68" i="20"/>
  <c r="AJ68" i="20"/>
  <c r="AK68" i="20"/>
  <c r="AL68" i="20"/>
  <c r="AM68" i="20"/>
  <c r="AN68" i="20"/>
  <c r="AO68" i="20"/>
  <c r="AP68" i="20"/>
  <c r="AR68" i="20"/>
  <c r="AS68" i="20"/>
  <c r="BA68" i="20"/>
  <c r="BB68" i="20"/>
  <c r="BD68" i="20"/>
  <c r="BE68" i="20"/>
  <c r="BF68" i="20"/>
  <c r="BG68" i="20"/>
  <c r="BI68" i="20"/>
  <c r="BJ68" i="20"/>
  <c r="BL68" i="20"/>
  <c r="BO73" i="5"/>
  <c r="BN68" i="20" s="1"/>
  <c r="BO74" i="5"/>
  <c r="BN69" i="20" s="1"/>
  <c r="AE70" i="20"/>
  <c r="AF70" i="20"/>
  <c r="AH70" i="20"/>
  <c r="AI70" i="20"/>
  <c r="AL70" i="20"/>
  <c r="AM70" i="20"/>
  <c r="AN70" i="20"/>
  <c r="AP70" i="20"/>
  <c r="AQ70" i="20"/>
  <c r="AR70" i="20"/>
  <c r="AU70" i="20"/>
  <c r="AV70" i="20"/>
  <c r="AX70" i="20"/>
  <c r="AY70" i="20"/>
  <c r="AZ70" i="20"/>
  <c r="BA70" i="20"/>
  <c r="BD70" i="20"/>
  <c r="BE70" i="20"/>
  <c r="BG70" i="20"/>
  <c r="BH70" i="20"/>
  <c r="BI70" i="20"/>
  <c r="BJ70" i="20"/>
  <c r="BK70" i="20"/>
  <c r="BL70" i="20"/>
  <c r="BO75" i="5"/>
  <c r="BN70" i="20" s="1"/>
  <c r="AE71" i="20"/>
  <c r="AF71" i="20"/>
  <c r="AH71" i="20"/>
  <c r="AI71" i="20"/>
  <c r="AJ71" i="20"/>
  <c r="AL71" i="20"/>
  <c r="AM71" i="20"/>
  <c r="AN71" i="20"/>
  <c r="AP71" i="20"/>
  <c r="AQ71" i="20"/>
  <c r="AR71" i="20"/>
  <c r="AT71" i="20"/>
  <c r="AU71" i="20"/>
  <c r="AV71" i="20"/>
  <c r="AW71" i="20"/>
  <c r="AY71" i="20"/>
  <c r="AZ71" i="20"/>
  <c r="BA71" i="20"/>
  <c r="BC71" i="20"/>
  <c r="BD71" i="20"/>
  <c r="BE71" i="20"/>
  <c r="BG71" i="20"/>
  <c r="BH71" i="20"/>
  <c r="BI71" i="20"/>
  <c r="BK71" i="20"/>
  <c r="BL71" i="20"/>
  <c r="BO76" i="5"/>
  <c r="BN71" i="20" s="1"/>
  <c r="AE72" i="20"/>
  <c r="AF72" i="20"/>
  <c r="AG72" i="20"/>
  <c r="AI72" i="20"/>
  <c r="AJ72" i="20"/>
  <c r="AK72" i="20"/>
  <c r="AL72" i="20"/>
  <c r="AM72" i="20"/>
  <c r="AN72" i="20"/>
  <c r="AO72" i="20"/>
  <c r="AR72" i="20"/>
  <c r="AS72" i="20"/>
  <c r="AT72" i="20"/>
  <c r="AU72" i="20"/>
  <c r="AV72" i="20"/>
  <c r="AW72" i="20"/>
  <c r="BA72" i="20"/>
  <c r="BB72" i="20"/>
  <c r="BD72" i="20"/>
  <c r="BE72" i="20"/>
  <c r="BF72" i="20"/>
  <c r="BI72" i="20"/>
  <c r="BJ72" i="20"/>
  <c r="BK72" i="20"/>
  <c r="BL72" i="20"/>
  <c r="BO77" i="5"/>
  <c r="BN72" i="20" s="1"/>
  <c r="AE73" i="20"/>
  <c r="AF73" i="20"/>
  <c r="AG73" i="20"/>
  <c r="AI73" i="20"/>
  <c r="AJ73" i="20"/>
  <c r="AK73" i="20"/>
  <c r="AM73" i="20"/>
  <c r="AN73" i="20"/>
  <c r="AO73" i="20"/>
  <c r="AQ73" i="20"/>
  <c r="AR73" i="20"/>
  <c r="AS73" i="20"/>
  <c r="AT73" i="20"/>
  <c r="AU73" i="20"/>
  <c r="AV73" i="20"/>
  <c r="AW73" i="20"/>
  <c r="AX73" i="20"/>
  <c r="AZ73" i="20"/>
  <c r="BA73" i="20"/>
  <c r="BB73" i="20"/>
  <c r="BC73" i="20"/>
  <c r="BE73" i="20"/>
  <c r="BF73" i="20"/>
  <c r="BH73" i="20"/>
  <c r="BI73" i="20"/>
  <c r="BJ73" i="20"/>
  <c r="BK73" i="20"/>
  <c r="BL73" i="20"/>
  <c r="BO78" i="5"/>
  <c r="BN73" i="20" s="1"/>
  <c r="AG74" i="20"/>
  <c r="AH74" i="20"/>
  <c r="AJ74" i="20"/>
  <c r="AK74" i="20"/>
  <c r="AL74" i="20"/>
  <c r="AO74" i="20"/>
  <c r="AP74" i="20"/>
  <c r="AR74" i="20"/>
  <c r="AS74" i="20"/>
  <c r="AT74" i="20"/>
  <c r="AU74" i="20"/>
  <c r="AX74" i="20"/>
  <c r="AY74" i="20"/>
  <c r="AZ74" i="20"/>
  <c r="BA74" i="20"/>
  <c r="BC74" i="20"/>
  <c r="BF74" i="20"/>
  <c r="BG74" i="20"/>
  <c r="BH74" i="20"/>
  <c r="BI74" i="20"/>
  <c r="BJ74" i="20"/>
  <c r="BK74" i="20"/>
  <c r="BO79" i="5"/>
  <c r="BN74" i="20" s="1"/>
  <c r="AF75" i="20"/>
  <c r="AG75" i="20"/>
  <c r="AH75" i="20"/>
  <c r="AJ75" i="20"/>
  <c r="AK75" i="20"/>
  <c r="AL75" i="20"/>
  <c r="AN75" i="20"/>
  <c r="AO75" i="20"/>
  <c r="AP75" i="20"/>
  <c r="AR75" i="20"/>
  <c r="AS75" i="20"/>
  <c r="AT75" i="20"/>
  <c r="AU75" i="20"/>
  <c r="AW75" i="20"/>
  <c r="AX75" i="20"/>
  <c r="AY75" i="20"/>
  <c r="BA75" i="20"/>
  <c r="BB75" i="20"/>
  <c r="BC75" i="20"/>
  <c r="BF75" i="20"/>
  <c r="BG75" i="20"/>
  <c r="BI75" i="20"/>
  <c r="BJ75" i="20"/>
  <c r="BK75" i="20"/>
  <c r="BO80" i="5"/>
  <c r="BN75" i="20" s="1"/>
  <c r="BO81" i="5"/>
  <c r="BN76" i="20" s="1"/>
  <c r="AE77" i="20"/>
  <c r="AG77" i="20"/>
  <c r="AH77" i="20"/>
  <c r="AI77" i="20"/>
  <c r="AJ77" i="20"/>
  <c r="AL77" i="20"/>
  <c r="AM77" i="20"/>
  <c r="AO77" i="20"/>
  <c r="AP77" i="20"/>
  <c r="AQ77" i="20"/>
  <c r="AR77" i="20"/>
  <c r="AT77" i="20"/>
  <c r="AU77" i="20"/>
  <c r="AV77" i="20"/>
  <c r="AW77" i="20"/>
  <c r="AX77" i="20"/>
  <c r="AZ77" i="20"/>
  <c r="BA77" i="20"/>
  <c r="BC77" i="20"/>
  <c r="BD77" i="20"/>
  <c r="BF77" i="20"/>
  <c r="BH77" i="20"/>
  <c r="BI77" i="20"/>
  <c r="BJ77" i="20"/>
  <c r="BK77" i="20"/>
  <c r="BL77" i="20"/>
  <c r="BO82" i="5"/>
  <c r="BN77" i="20" s="1"/>
  <c r="AE78" i="20"/>
  <c r="AG78" i="20"/>
  <c r="AH78" i="20"/>
  <c r="AI78" i="20"/>
  <c r="AJ78" i="20"/>
  <c r="AK78" i="20"/>
  <c r="AL78" i="20"/>
  <c r="AM78" i="20"/>
  <c r="AO78" i="20"/>
  <c r="AP78" i="20"/>
  <c r="AQ78" i="20"/>
  <c r="AR78" i="20"/>
  <c r="AS78" i="20"/>
  <c r="AT78" i="20"/>
  <c r="AU78" i="20"/>
  <c r="AV78" i="20"/>
  <c r="AX78" i="20"/>
  <c r="AY78" i="20"/>
  <c r="AZ78" i="20"/>
  <c r="BA78" i="20"/>
  <c r="BB78" i="20"/>
  <c r="BC78" i="20"/>
  <c r="BD78" i="20"/>
  <c r="BF78" i="20"/>
  <c r="BG78" i="20"/>
  <c r="BH78" i="20"/>
  <c r="BI78" i="20"/>
  <c r="BJ78" i="20"/>
  <c r="BK78" i="20"/>
  <c r="BL78" i="20"/>
  <c r="BO83" i="5"/>
  <c r="BN78" i="20" s="1"/>
  <c r="AE79" i="20"/>
  <c r="AF79" i="20"/>
  <c r="AG79" i="20"/>
  <c r="AH79" i="20"/>
  <c r="AK79" i="20"/>
  <c r="AM79" i="20"/>
  <c r="AN79" i="20"/>
  <c r="AO79" i="20"/>
  <c r="AP79" i="20"/>
  <c r="AS79" i="20"/>
  <c r="AT79" i="20"/>
  <c r="AU79" i="20"/>
  <c r="AV79" i="20"/>
  <c r="AW79" i="20"/>
  <c r="AX79" i="20"/>
  <c r="AY79" i="20"/>
  <c r="BB79" i="20"/>
  <c r="BC79" i="20"/>
  <c r="BD79" i="20"/>
  <c r="BE79" i="20"/>
  <c r="BF79" i="20"/>
  <c r="BG79" i="20"/>
  <c r="BJ79" i="20"/>
  <c r="BK79" i="20"/>
  <c r="BL79" i="20"/>
  <c r="BO84" i="5"/>
  <c r="BN79" i="20" s="1"/>
  <c r="AE80" i="20"/>
  <c r="AF80" i="20"/>
  <c r="AH80" i="20"/>
  <c r="AI80" i="20"/>
  <c r="AJ80" i="20"/>
  <c r="AK80" i="20"/>
  <c r="AM80" i="20"/>
  <c r="AN80" i="20"/>
  <c r="AP80" i="20"/>
  <c r="AQ80" i="20"/>
  <c r="AR80" i="20"/>
  <c r="AS80" i="20"/>
  <c r="AU80" i="20"/>
  <c r="AV80" i="20"/>
  <c r="AW80" i="20"/>
  <c r="AY80" i="20"/>
  <c r="AZ80" i="20"/>
  <c r="BA80" i="20"/>
  <c r="BB80" i="20"/>
  <c r="BD80" i="20"/>
  <c r="BE80" i="20"/>
  <c r="BG80" i="20"/>
  <c r="BH80" i="20"/>
  <c r="BI80" i="20"/>
  <c r="BJ80" i="20"/>
  <c r="BL80" i="20"/>
  <c r="BO85" i="5"/>
  <c r="BN80" i="20" s="1"/>
  <c r="AE81" i="20"/>
  <c r="AF81" i="20"/>
  <c r="AH81" i="20"/>
  <c r="AI81" i="20"/>
  <c r="AK81" i="20"/>
  <c r="AM81" i="20"/>
  <c r="AN81" i="20"/>
  <c r="AO81" i="20"/>
  <c r="AP81" i="20"/>
  <c r="AQ81" i="20"/>
  <c r="AS81" i="20"/>
  <c r="AU81" i="20"/>
  <c r="AV81" i="20"/>
  <c r="AW81" i="20"/>
  <c r="AX81" i="20"/>
  <c r="AY81" i="20"/>
  <c r="AZ81" i="20"/>
  <c r="BB81" i="20"/>
  <c r="BD81" i="20"/>
  <c r="BE81" i="20"/>
  <c r="BF81" i="20"/>
  <c r="BG81" i="20"/>
  <c r="BH81" i="20"/>
  <c r="BJ81" i="20"/>
  <c r="BL81" i="20"/>
  <c r="BO86" i="5"/>
  <c r="BN81" i="20" s="1"/>
  <c r="AF82" i="20"/>
  <c r="AI82" i="20"/>
  <c r="AN82" i="20"/>
  <c r="AQ82" i="20"/>
  <c r="AZ82" i="20"/>
  <c r="BH82" i="20"/>
  <c r="BO87" i="5"/>
  <c r="BN82" i="20" s="1"/>
  <c r="AE83" i="20"/>
  <c r="AF83" i="20"/>
  <c r="AG83" i="20"/>
  <c r="AI83" i="20"/>
  <c r="AJ83" i="20"/>
  <c r="AK83" i="20"/>
  <c r="AL83" i="20"/>
  <c r="AM83" i="20"/>
  <c r="AO83" i="20"/>
  <c r="AQ83" i="20"/>
  <c r="AR83" i="20"/>
  <c r="AT83" i="20"/>
  <c r="AU83" i="20"/>
  <c r="AV83" i="20"/>
  <c r="AX83" i="20"/>
  <c r="AY83" i="20"/>
  <c r="AZ83" i="20"/>
  <c r="BA83" i="20"/>
  <c r="BC83" i="20"/>
  <c r="BD83" i="20"/>
  <c r="BF83" i="20"/>
  <c r="BH83" i="20"/>
  <c r="BI83" i="20"/>
  <c r="BK83" i="20"/>
  <c r="BL83" i="20"/>
  <c r="BO88" i="5"/>
  <c r="BN83" i="20"/>
  <c r="AE84" i="20"/>
  <c r="AF84" i="20"/>
  <c r="AG84" i="20"/>
  <c r="AI84" i="20"/>
  <c r="AK84" i="20"/>
  <c r="AL84" i="20"/>
  <c r="AM84" i="20"/>
  <c r="AN84" i="20"/>
  <c r="AO84" i="20"/>
  <c r="AQ84" i="20"/>
  <c r="AS84" i="20"/>
  <c r="AT84" i="20"/>
  <c r="AU84" i="20"/>
  <c r="AV84" i="20"/>
  <c r="AW84" i="20"/>
  <c r="AY84" i="20"/>
  <c r="BA84" i="20"/>
  <c r="BB84" i="20"/>
  <c r="BC84" i="20"/>
  <c r="BD84" i="20"/>
  <c r="BE84" i="20"/>
  <c r="BG84" i="20"/>
  <c r="BI84" i="20"/>
  <c r="BJ84" i="20"/>
  <c r="BK84" i="20"/>
  <c r="BL84" i="20"/>
  <c r="BO89" i="5"/>
  <c r="BN84" i="20" s="1"/>
  <c r="AE85" i="20"/>
  <c r="AF85" i="20"/>
  <c r="AG85" i="20"/>
  <c r="AI85" i="20"/>
  <c r="AJ85" i="20"/>
  <c r="AK85" i="20"/>
  <c r="AL85" i="20"/>
  <c r="AM85" i="20"/>
  <c r="AN85" i="20"/>
  <c r="AO85" i="20"/>
  <c r="AQ85" i="20"/>
  <c r="AR85" i="20"/>
  <c r="AS85" i="20"/>
  <c r="AT85" i="20"/>
  <c r="AU85" i="20"/>
  <c r="AV85" i="20"/>
  <c r="AW85" i="20"/>
  <c r="AX85" i="20"/>
  <c r="AZ85" i="20"/>
  <c r="BA85" i="20"/>
  <c r="BB85" i="20"/>
  <c r="BC85" i="20"/>
  <c r="BD85" i="20"/>
  <c r="BE85" i="20"/>
  <c r="BF85" i="20"/>
  <c r="BH85" i="20"/>
  <c r="BI85" i="20"/>
  <c r="BJ85" i="20"/>
  <c r="BK85" i="20"/>
  <c r="BL85" i="20"/>
  <c r="BO90" i="5"/>
  <c r="BN85" i="20" s="1"/>
  <c r="AF86" i="20"/>
  <c r="AG86" i="20"/>
  <c r="AH86" i="20"/>
  <c r="AI86" i="20"/>
  <c r="AK86" i="20"/>
  <c r="AN86" i="20"/>
  <c r="AO86" i="20"/>
  <c r="AP86" i="20"/>
  <c r="AQ86" i="20"/>
  <c r="AR86" i="20"/>
  <c r="AS86" i="20"/>
  <c r="AU86" i="20"/>
  <c r="AW86" i="20"/>
  <c r="AX86" i="20"/>
  <c r="AY86" i="20"/>
  <c r="AZ86" i="20"/>
  <c r="BA86" i="20"/>
  <c r="BB86" i="20"/>
  <c r="BE86" i="20"/>
  <c r="BF86" i="20"/>
  <c r="BG86" i="20"/>
  <c r="BH86" i="20"/>
  <c r="BI86" i="20"/>
  <c r="BJ86" i="20"/>
  <c r="BO91" i="5"/>
  <c r="BN86" i="20" s="1"/>
  <c r="BO92" i="5"/>
  <c r="BN87" i="20" s="1"/>
  <c r="AE88" i="20"/>
  <c r="AG88" i="20"/>
  <c r="AI88" i="20"/>
  <c r="AJ88" i="20"/>
  <c r="AK88" i="20"/>
  <c r="AM88" i="20"/>
  <c r="AO88" i="20"/>
  <c r="AQ88" i="20"/>
  <c r="AR88" i="20"/>
  <c r="AS88" i="20"/>
  <c r="AU88" i="20"/>
  <c r="AW88" i="20"/>
  <c r="AY88" i="20"/>
  <c r="BA88" i="20"/>
  <c r="BC88" i="20"/>
  <c r="BE88" i="20"/>
  <c r="BG88" i="20"/>
  <c r="BI88" i="20"/>
  <c r="BL88" i="20"/>
  <c r="BO93" i="5"/>
  <c r="BN88" i="20" s="1"/>
  <c r="AE89" i="20"/>
  <c r="AF89" i="20"/>
  <c r="AG89" i="20"/>
  <c r="AH89" i="20"/>
  <c r="AI89" i="20"/>
  <c r="AJ89" i="20"/>
  <c r="AK89" i="20"/>
  <c r="AL89" i="20"/>
  <c r="AM89" i="20"/>
  <c r="AN89" i="20"/>
  <c r="AO89" i="20"/>
  <c r="AP89" i="20"/>
  <c r="AQ89" i="20"/>
  <c r="AR89" i="20"/>
  <c r="AS89" i="20"/>
  <c r="AT89" i="20"/>
  <c r="AU89" i="20"/>
  <c r="AV89" i="20"/>
  <c r="AW89" i="20"/>
  <c r="AX89" i="20"/>
  <c r="AY89" i="20"/>
  <c r="AZ89" i="20"/>
  <c r="BA89" i="20"/>
  <c r="BB89" i="20"/>
  <c r="BC89" i="20"/>
  <c r="BD89" i="20"/>
  <c r="BE89" i="20"/>
  <c r="BF89" i="20"/>
  <c r="BG89" i="20"/>
  <c r="BH89" i="20"/>
  <c r="BI89" i="20"/>
  <c r="BJ89" i="20"/>
  <c r="BK89" i="20"/>
  <c r="BO94" i="5"/>
  <c r="BN89" i="20" s="1"/>
  <c r="AG90" i="20"/>
  <c r="AI90" i="20"/>
  <c r="AJ90" i="20"/>
  <c r="AK90" i="20"/>
  <c r="AQ90" i="20"/>
  <c r="AS90" i="20"/>
  <c r="AW90" i="20"/>
  <c r="BA90" i="20"/>
  <c r="BD90" i="20"/>
  <c r="BE90" i="20"/>
  <c r="BG90" i="20"/>
  <c r="BL90" i="20"/>
  <c r="BO95" i="5"/>
  <c r="BN90" i="20" s="1"/>
  <c r="AE91" i="20"/>
  <c r="AF91" i="20"/>
  <c r="AG91" i="20"/>
  <c r="AH91" i="20"/>
  <c r="AJ91" i="20"/>
  <c r="AL91" i="20"/>
  <c r="AM91" i="20"/>
  <c r="AN91" i="20"/>
  <c r="AO91" i="20"/>
  <c r="AP91" i="20"/>
  <c r="AR91" i="20"/>
  <c r="AT91" i="20"/>
  <c r="AV91" i="20"/>
  <c r="AW91" i="20"/>
  <c r="AX91" i="20"/>
  <c r="AZ91" i="20"/>
  <c r="BA91" i="20"/>
  <c r="BB91" i="20"/>
  <c r="BD91" i="20"/>
  <c r="BE91" i="20"/>
  <c r="BF91" i="20"/>
  <c r="BH91" i="20"/>
  <c r="BI91" i="20"/>
  <c r="BJ91" i="20"/>
  <c r="BO96" i="5"/>
  <c r="BN91" i="20" s="1"/>
  <c r="BO97" i="5"/>
  <c r="BN92" i="20" s="1"/>
  <c r="AE93" i="20"/>
  <c r="AG93" i="20"/>
  <c r="AI93" i="20"/>
  <c r="AK93" i="20"/>
  <c r="AM93" i="20"/>
  <c r="AO93" i="20"/>
  <c r="AP93" i="20"/>
  <c r="AQ93" i="20"/>
  <c r="AR93" i="20"/>
  <c r="AS93" i="20"/>
  <c r="AU93" i="20"/>
  <c r="AW93" i="20"/>
  <c r="AX93" i="20"/>
  <c r="AY93" i="20"/>
  <c r="AZ93" i="20"/>
  <c r="BA93" i="20"/>
  <c r="BC93" i="20"/>
  <c r="BE93" i="20"/>
  <c r="BG93" i="20"/>
  <c r="BH93" i="20"/>
  <c r="BI93" i="20"/>
  <c r="BJ93" i="20"/>
  <c r="BK93" i="20"/>
  <c r="BO98" i="5"/>
  <c r="BN93" i="20" s="1"/>
  <c r="AE94" i="20"/>
  <c r="AF94" i="20"/>
  <c r="AG94" i="20"/>
  <c r="AH94" i="20"/>
  <c r="AI94" i="20"/>
  <c r="AJ94" i="20"/>
  <c r="AK94" i="20"/>
  <c r="AL94" i="20"/>
  <c r="AM94" i="20"/>
  <c r="AN94" i="20"/>
  <c r="AO94" i="20"/>
  <c r="AP94" i="20"/>
  <c r="AQ94" i="20"/>
  <c r="AR94" i="20"/>
  <c r="AS94" i="20"/>
  <c r="AT94" i="20"/>
  <c r="AU94" i="20"/>
  <c r="AV94" i="20"/>
  <c r="AW94" i="20"/>
  <c r="AX94" i="20"/>
  <c r="AY94" i="20"/>
  <c r="AZ94" i="20"/>
  <c r="BA94" i="20"/>
  <c r="BB94" i="20"/>
  <c r="BC94" i="20"/>
  <c r="BD94" i="20"/>
  <c r="BE94" i="20"/>
  <c r="BF94" i="20"/>
  <c r="BG94" i="20"/>
  <c r="BH94" i="20"/>
  <c r="BI94" i="20"/>
  <c r="BJ94" i="20"/>
  <c r="BK94" i="20"/>
  <c r="BL94" i="20"/>
  <c r="BO99" i="5"/>
  <c r="BN94" i="20" s="1"/>
  <c r="AE95" i="20"/>
  <c r="AI95" i="20"/>
  <c r="AM95" i="20"/>
  <c r="AQ95" i="20"/>
  <c r="AS95" i="20"/>
  <c r="AY95" i="20"/>
  <c r="BA95" i="20"/>
  <c r="BB95" i="20"/>
  <c r="BC95" i="20"/>
  <c r="BI95" i="20"/>
  <c r="BK95" i="20"/>
  <c r="BO100" i="5"/>
  <c r="BN95" i="20" s="1"/>
  <c r="AF96" i="20"/>
  <c r="AH96" i="20"/>
  <c r="AI96" i="20"/>
  <c r="AJ96" i="20"/>
  <c r="AK96" i="20"/>
  <c r="AL96" i="20"/>
  <c r="AN96" i="20"/>
  <c r="AP96" i="20"/>
  <c r="AR96" i="20"/>
  <c r="AS96" i="20"/>
  <c r="AT96" i="20"/>
  <c r="AV96" i="20"/>
  <c r="AW96" i="20"/>
  <c r="AX96" i="20"/>
  <c r="AZ96" i="20"/>
  <c r="BA96" i="20"/>
  <c r="BB96" i="20"/>
  <c r="BD96" i="20"/>
  <c r="BE96" i="20"/>
  <c r="BF96" i="20"/>
  <c r="BH96" i="20"/>
  <c r="BJ96" i="20"/>
  <c r="BL96" i="20"/>
  <c r="BO101" i="5"/>
  <c r="BN96" i="20" s="1"/>
  <c r="C4" i="20"/>
  <c r="D4" i="20"/>
  <c r="F4" i="20"/>
  <c r="H4" i="20"/>
  <c r="J4" i="20"/>
  <c r="K4" i="20"/>
  <c r="L4" i="20"/>
  <c r="N4" i="20"/>
  <c r="O4" i="20"/>
  <c r="P4" i="20"/>
  <c r="R4" i="20"/>
  <c r="S4" i="20"/>
  <c r="V4" i="20"/>
  <c r="X4" i="20"/>
  <c r="Z4" i="20"/>
  <c r="AA4" i="20"/>
  <c r="AD4" i="20"/>
  <c r="E5" i="20"/>
  <c r="G5" i="20"/>
  <c r="I5" i="20"/>
  <c r="J5" i="20"/>
  <c r="K5" i="20"/>
  <c r="M5" i="20"/>
  <c r="O5" i="20"/>
  <c r="Q5" i="20"/>
  <c r="R5" i="20"/>
  <c r="S5" i="20"/>
  <c r="U5" i="20"/>
  <c r="W5" i="20"/>
  <c r="Y5" i="20"/>
  <c r="Z5" i="20"/>
  <c r="AC5" i="20"/>
  <c r="C6" i="20"/>
  <c r="D6" i="20"/>
  <c r="F6" i="20"/>
  <c r="G6" i="20"/>
  <c r="H6" i="20"/>
  <c r="I6" i="20"/>
  <c r="J6" i="20"/>
  <c r="K6" i="20"/>
  <c r="L6" i="20"/>
  <c r="N6" i="20"/>
  <c r="O6" i="20"/>
  <c r="P6" i="20"/>
  <c r="Q6" i="20"/>
  <c r="S6" i="20"/>
  <c r="T6" i="20"/>
  <c r="V6" i="20"/>
  <c r="W6" i="20"/>
  <c r="X6" i="20"/>
  <c r="Y6" i="20"/>
  <c r="AB6" i="20"/>
  <c r="AD6" i="20"/>
  <c r="C7" i="20"/>
  <c r="E7" i="20"/>
  <c r="G7" i="20"/>
  <c r="H7" i="20"/>
  <c r="K7" i="20"/>
  <c r="M7" i="20"/>
  <c r="O7" i="20"/>
  <c r="P7" i="20"/>
  <c r="Q7" i="20"/>
  <c r="S7" i="20"/>
  <c r="U7" i="20"/>
  <c r="W7" i="20"/>
  <c r="X7" i="20"/>
  <c r="Y7" i="20"/>
  <c r="AA7" i="20"/>
  <c r="AB7" i="20"/>
  <c r="AC7" i="20"/>
  <c r="D8" i="20"/>
  <c r="F8" i="20"/>
  <c r="G8" i="20"/>
  <c r="H8" i="20"/>
  <c r="J8" i="20"/>
  <c r="K8" i="20"/>
  <c r="L8" i="20"/>
  <c r="N8" i="20"/>
  <c r="O8" i="20"/>
  <c r="R8" i="20"/>
  <c r="T8" i="20"/>
  <c r="V8" i="20"/>
  <c r="W8" i="20"/>
  <c r="Z8" i="20"/>
  <c r="AB8" i="20"/>
  <c r="AD8" i="20"/>
  <c r="C9" i="20"/>
  <c r="E9" i="20"/>
  <c r="F9" i="20"/>
  <c r="G9" i="20"/>
  <c r="I9" i="20"/>
  <c r="K9" i="20"/>
  <c r="M9" i="20"/>
  <c r="N9" i="20"/>
  <c r="O9" i="20"/>
  <c r="Q9" i="20"/>
  <c r="S9" i="20"/>
  <c r="U9" i="20"/>
  <c r="V9" i="20"/>
  <c r="Y9" i="20"/>
  <c r="AA9" i="20"/>
  <c r="AC9" i="20"/>
  <c r="AD9" i="20"/>
  <c r="C11" i="20"/>
  <c r="D11" i="20"/>
  <c r="E11" i="20"/>
  <c r="F11" i="20"/>
  <c r="G11" i="20"/>
  <c r="H11" i="20"/>
  <c r="I11" i="20"/>
  <c r="K11" i="20"/>
  <c r="L11" i="20"/>
  <c r="M11" i="20"/>
  <c r="O11" i="20"/>
  <c r="P11" i="20"/>
  <c r="Q11" i="20"/>
  <c r="S11" i="20"/>
  <c r="T11" i="20"/>
  <c r="U11" i="20"/>
  <c r="W11" i="20"/>
  <c r="X11" i="20"/>
  <c r="Y11" i="20"/>
  <c r="AA11" i="20"/>
  <c r="AB11" i="20"/>
  <c r="AC11" i="20"/>
  <c r="AD11" i="20"/>
  <c r="C12" i="20"/>
  <c r="E12" i="20"/>
  <c r="F12" i="20"/>
  <c r="G12" i="20"/>
  <c r="H12" i="20"/>
  <c r="I12" i="20"/>
  <c r="K12" i="20"/>
  <c r="M12" i="20"/>
  <c r="N12" i="20"/>
  <c r="O12" i="20"/>
  <c r="P12" i="20"/>
  <c r="Q12" i="20"/>
  <c r="S12" i="20"/>
  <c r="U12" i="20"/>
  <c r="V12" i="20"/>
  <c r="W12" i="20"/>
  <c r="X12" i="20"/>
  <c r="Y12" i="20"/>
  <c r="AA12" i="20"/>
  <c r="AC12" i="20"/>
  <c r="AD12" i="20"/>
  <c r="C15" i="20"/>
  <c r="D15" i="20"/>
  <c r="E15" i="20"/>
  <c r="F15" i="20"/>
  <c r="I15" i="20"/>
  <c r="J15" i="20"/>
  <c r="K15" i="20"/>
  <c r="L15" i="20"/>
  <c r="M15" i="20"/>
  <c r="N15" i="20"/>
  <c r="Q15" i="20"/>
  <c r="R15" i="20"/>
  <c r="S15" i="20"/>
  <c r="T15" i="20"/>
  <c r="U15" i="20"/>
  <c r="V15" i="20"/>
  <c r="Y15" i="20"/>
  <c r="Z15" i="20"/>
  <c r="AA15" i="20"/>
  <c r="AB15" i="20"/>
  <c r="AC15" i="20"/>
  <c r="AD15" i="20"/>
  <c r="C16" i="20"/>
  <c r="D16" i="20"/>
  <c r="E16" i="20"/>
  <c r="F16" i="20"/>
  <c r="G16" i="20"/>
  <c r="H16" i="20"/>
  <c r="I16" i="20"/>
  <c r="J16" i="20"/>
  <c r="K16" i="20"/>
  <c r="L16" i="20"/>
  <c r="M16" i="20"/>
  <c r="N16" i="20"/>
  <c r="O16" i="20"/>
  <c r="P16" i="20"/>
  <c r="Q16" i="20"/>
  <c r="R16" i="20"/>
  <c r="S16" i="20"/>
  <c r="T16" i="20"/>
  <c r="U16" i="20"/>
  <c r="V16" i="20"/>
  <c r="W16" i="20"/>
  <c r="X16" i="20"/>
  <c r="Y16" i="20"/>
  <c r="Z16" i="20"/>
  <c r="AA16" i="20"/>
  <c r="AB16" i="20"/>
  <c r="AC16" i="20"/>
  <c r="C17" i="20"/>
  <c r="D17" i="20"/>
  <c r="E17" i="20"/>
  <c r="F17" i="20"/>
  <c r="G17" i="20"/>
  <c r="H17" i="20"/>
  <c r="I17" i="20"/>
  <c r="J17" i="20"/>
  <c r="K17" i="20"/>
  <c r="L17" i="20"/>
  <c r="M17" i="20"/>
  <c r="N17" i="20"/>
  <c r="O17" i="20"/>
  <c r="P17" i="20"/>
  <c r="Q17" i="20"/>
  <c r="R17" i="20"/>
  <c r="S17" i="20"/>
  <c r="T17" i="20"/>
  <c r="U17" i="20"/>
  <c r="V17" i="20"/>
  <c r="W17" i="20"/>
  <c r="X17" i="20"/>
  <c r="Y17" i="20"/>
  <c r="Z17" i="20"/>
  <c r="AA17" i="20"/>
  <c r="AB17" i="20"/>
  <c r="AC17" i="20"/>
  <c r="AD17" i="20"/>
  <c r="C19" i="20"/>
  <c r="D19" i="20"/>
  <c r="E19" i="20"/>
  <c r="F19" i="20"/>
  <c r="G19" i="20"/>
  <c r="H19" i="20"/>
  <c r="I19" i="20"/>
  <c r="J19" i="20"/>
  <c r="K19" i="20"/>
  <c r="L19" i="20"/>
  <c r="M19" i="20"/>
  <c r="N19" i="20"/>
  <c r="O19" i="20"/>
  <c r="P19" i="20"/>
  <c r="Q19" i="20"/>
  <c r="R19" i="20"/>
  <c r="S19" i="20"/>
  <c r="T19" i="20"/>
  <c r="U19" i="20"/>
  <c r="V19" i="20"/>
  <c r="W19" i="20"/>
  <c r="X19" i="20"/>
  <c r="Y19" i="20"/>
  <c r="Z19" i="20"/>
  <c r="AA19" i="20"/>
  <c r="AB19" i="20"/>
  <c r="AC19" i="20"/>
  <c r="AD19" i="20"/>
  <c r="C20" i="20"/>
  <c r="D20" i="20"/>
  <c r="E20" i="20"/>
  <c r="F20" i="20"/>
  <c r="G20" i="20"/>
  <c r="H20" i="20"/>
  <c r="I20" i="20"/>
  <c r="J20" i="20"/>
  <c r="K20" i="20"/>
  <c r="L20" i="20"/>
  <c r="M20" i="20"/>
  <c r="N20" i="20"/>
  <c r="O20" i="20"/>
  <c r="P20" i="20"/>
  <c r="Q20" i="20"/>
  <c r="R20" i="20"/>
  <c r="S20" i="20"/>
  <c r="T20" i="20"/>
  <c r="U20" i="20"/>
  <c r="V20" i="20"/>
  <c r="W20" i="20"/>
  <c r="X20" i="20"/>
  <c r="Y20" i="20"/>
  <c r="Z20" i="20"/>
  <c r="AA20" i="20"/>
  <c r="AB20" i="20"/>
  <c r="AC20" i="20"/>
  <c r="AD20" i="20"/>
  <c r="C21" i="20"/>
  <c r="D21" i="20"/>
  <c r="E21" i="20"/>
  <c r="F21" i="20"/>
  <c r="G21" i="20"/>
  <c r="H21" i="20"/>
  <c r="I21" i="20"/>
  <c r="J21" i="20"/>
  <c r="K21" i="20"/>
  <c r="L21" i="20"/>
  <c r="M21" i="20"/>
  <c r="N21" i="20"/>
  <c r="O21" i="20"/>
  <c r="P21" i="20"/>
  <c r="Q21" i="20"/>
  <c r="R21" i="20"/>
  <c r="S21" i="20"/>
  <c r="T21" i="20"/>
  <c r="U21" i="20"/>
  <c r="V21" i="20"/>
  <c r="W21" i="20"/>
  <c r="X21" i="20"/>
  <c r="Y21" i="20"/>
  <c r="Z21" i="20"/>
  <c r="AA21" i="20"/>
  <c r="AB21" i="20"/>
  <c r="AC21" i="20"/>
  <c r="AD21" i="20"/>
  <c r="C22" i="20"/>
  <c r="D22" i="20"/>
  <c r="E22" i="20"/>
  <c r="F22" i="20"/>
  <c r="G22" i="20"/>
  <c r="H22" i="20"/>
  <c r="I22" i="20"/>
  <c r="J22" i="20"/>
  <c r="K22" i="20"/>
  <c r="L22" i="20"/>
  <c r="M22" i="20"/>
  <c r="N22" i="20"/>
  <c r="O22" i="20"/>
  <c r="P22" i="20"/>
  <c r="Q22" i="20"/>
  <c r="R22" i="20"/>
  <c r="S22" i="20"/>
  <c r="T22" i="20"/>
  <c r="U22" i="20"/>
  <c r="V22" i="20"/>
  <c r="W22" i="20"/>
  <c r="X22" i="20"/>
  <c r="Y22" i="20"/>
  <c r="Z22" i="20"/>
  <c r="AA22" i="20"/>
  <c r="AB22" i="20"/>
  <c r="AC22" i="20"/>
  <c r="AD22" i="20"/>
  <c r="C23" i="20"/>
  <c r="D23" i="20"/>
  <c r="E23" i="20"/>
  <c r="F23" i="20"/>
  <c r="G23" i="20"/>
  <c r="H23" i="20"/>
  <c r="I23" i="20"/>
  <c r="J23" i="20"/>
  <c r="K23" i="20"/>
  <c r="L23" i="20"/>
  <c r="M23" i="20"/>
  <c r="N23" i="20"/>
  <c r="O23" i="20"/>
  <c r="P23" i="20"/>
  <c r="Q23" i="20"/>
  <c r="R23" i="20"/>
  <c r="S23" i="20"/>
  <c r="T23" i="20"/>
  <c r="U23" i="20"/>
  <c r="V23" i="20"/>
  <c r="W23" i="20"/>
  <c r="X23" i="20"/>
  <c r="Y23" i="20"/>
  <c r="Z23" i="20"/>
  <c r="AA23" i="20"/>
  <c r="AB23" i="20"/>
  <c r="AC23" i="20"/>
  <c r="AD23" i="20"/>
  <c r="C24" i="20"/>
  <c r="D24" i="20"/>
  <c r="E24" i="20"/>
  <c r="F24" i="20"/>
  <c r="G24" i="20"/>
  <c r="H24" i="20"/>
  <c r="I24" i="20"/>
  <c r="J24" i="20"/>
  <c r="K24" i="20"/>
  <c r="L24" i="20"/>
  <c r="M24" i="20"/>
  <c r="N24" i="20"/>
  <c r="O24" i="20"/>
  <c r="P24" i="20"/>
  <c r="Q24" i="20"/>
  <c r="R24" i="20"/>
  <c r="S24" i="20"/>
  <c r="T24" i="20"/>
  <c r="U24" i="20"/>
  <c r="V24" i="20"/>
  <c r="W24" i="20"/>
  <c r="X24" i="20"/>
  <c r="Y24" i="20"/>
  <c r="Z24" i="20"/>
  <c r="AA24" i="20"/>
  <c r="AB24" i="20"/>
  <c r="AC24" i="20"/>
  <c r="AD24" i="20"/>
  <c r="C25" i="20"/>
  <c r="D25" i="20"/>
  <c r="E25" i="20"/>
  <c r="F25" i="20"/>
  <c r="G25" i="20"/>
  <c r="H25" i="20"/>
  <c r="I25" i="20"/>
  <c r="J25" i="20"/>
  <c r="K25" i="20"/>
  <c r="L25" i="20"/>
  <c r="M25" i="20"/>
  <c r="N25" i="20"/>
  <c r="O25" i="20"/>
  <c r="P25" i="20"/>
  <c r="Q25" i="20"/>
  <c r="R25" i="20"/>
  <c r="S25" i="20"/>
  <c r="T25" i="20"/>
  <c r="U25" i="20"/>
  <c r="V25" i="20"/>
  <c r="W25" i="20"/>
  <c r="X25" i="20"/>
  <c r="Y25" i="20"/>
  <c r="Z25" i="20"/>
  <c r="AA25" i="20"/>
  <c r="AB25" i="20"/>
  <c r="AC25" i="20"/>
  <c r="AD25" i="20"/>
  <c r="C26" i="20"/>
  <c r="D26" i="20"/>
  <c r="E26" i="20"/>
  <c r="F26" i="20"/>
  <c r="G26" i="20"/>
  <c r="H26" i="20"/>
  <c r="I26" i="20"/>
  <c r="J26" i="20"/>
  <c r="K26" i="20"/>
  <c r="L26" i="20"/>
  <c r="M26" i="20"/>
  <c r="N26" i="20"/>
  <c r="O26" i="20"/>
  <c r="P26" i="20"/>
  <c r="Q26" i="20"/>
  <c r="R26" i="20"/>
  <c r="S26" i="20"/>
  <c r="T26" i="20"/>
  <c r="U26" i="20"/>
  <c r="V26" i="20"/>
  <c r="W26" i="20"/>
  <c r="X26" i="20"/>
  <c r="Y26" i="20"/>
  <c r="Z26" i="20"/>
  <c r="AA26" i="20"/>
  <c r="AB26" i="20"/>
  <c r="AC26" i="20"/>
  <c r="AD26" i="20"/>
  <c r="C27" i="20"/>
  <c r="D27" i="20"/>
  <c r="E27" i="20"/>
  <c r="F27" i="20"/>
  <c r="G27" i="20"/>
  <c r="H27" i="20"/>
  <c r="I27" i="20"/>
  <c r="J27" i="20"/>
  <c r="K27" i="20"/>
  <c r="L27" i="20"/>
  <c r="M27" i="20"/>
  <c r="N27" i="20"/>
  <c r="O27" i="20"/>
  <c r="P27" i="20"/>
  <c r="Q27" i="20"/>
  <c r="R27" i="20"/>
  <c r="S27" i="20"/>
  <c r="T27" i="20"/>
  <c r="U27" i="20"/>
  <c r="V27" i="20"/>
  <c r="W27" i="20"/>
  <c r="X27" i="20"/>
  <c r="Y27" i="20"/>
  <c r="Z27" i="20"/>
  <c r="AA27" i="20"/>
  <c r="AB27" i="20"/>
  <c r="AC27" i="20"/>
  <c r="AD27" i="20"/>
  <c r="C28" i="20"/>
  <c r="D28" i="20"/>
  <c r="E28" i="20"/>
  <c r="F28" i="20"/>
  <c r="G28" i="20"/>
  <c r="H28" i="20"/>
  <c r="I28" i="20"/>
  <c r="J28" i="20"/>
  <c r="K28" i="20"/>
  <c r="L28" i="20"/>
  <c r="M28" i="20"/>
  <c r="N28" i="20"/>
  <c r="O28" i="20"/>
  <c r="P28" i="20"/>
  <c r="Q28" i="20"/>
  <c r="R28" i="20"/>
  <c r="S28" i="20"/>
  <c r="T28" i="20"/>
  <c r="U28" i="20"/>
  <c r="V28" i="20"/>
  <c r="W28" i="20"/>
  <c r="X28" i="20"/>
  <c r="Y28" i="20"/>
  <c r="Z28" i="20"/>
  <c r="AA28" i="20"/>
  <c r="AB28" i="20"/>
  <c r="AC28" i="20"/>
  <c r="AD28" i="20"/>
  <c r="C29" i="20"/>
  <c r="D29" i="20"/>
  <c r="E29" i="20"/>
  <c r="F29" i="20"/>
  <c r="G29" i="20"/>
  <c r="H29" i="20"/>
  <c r="I29" i="20"/>
  <c r="J29" i="20"/>
  <c r="K29" i="20"/>
  <c r="L29" i="20"/>
  <c r="M29" i="20"/>
  <c r="N29" i="20"/>
  <c r="O29" i="20"/>
  <c r="P29" i="20"/>
  <c r="Q29" i="20"/>
  <c r="R29" i="20"/>
  <c r="S29" i="20"/>
  <c r="T29" i="20"/>
  <c r="U29" i="20"/>
  <c r="V29" i="20"/>
  <c r="W29" i="20"/>
  <c r="X29" i="20"/>
  <c r="Y29" i="20"/>
  <c r="Z29" i="20"/>
  <c r="AA29" i="20"/>
  <c r="AB29" i="20"/>
  <c r="AC29" i="20"/>
  <c r="AD29" i="20"/>
  <c r="C30" i="20"/>
  <c r="D30" i="20"/>
  <c r="E30" i="20"/>
  <c r="F30" i="20"/>
  <c r="G30" i="20"/>
  <c r="H30" i="20"/>
  <c r="I30" i="20"/>
  <c r="J30" i="20"/>
  <c r="K30" i="20"/>
  <c r="L30" i="20"/>
  <c r="M30" i="20"/>
  <c r="N30" i="20"/>
  <c r="O30" i="20"/>
  <c r="P30" i="20"/>
  <c r="Q30" i="20"/>
  <c r="R30" i="20"/>
  <c r="S30" i="20"/>
  <c r="T30" i="20"/>
  <c r="U30" i="20"/>
  <c r="V30" i="20"/>
  <c r="W30" i="20"/>
  <c r="X30" i="20"/>
  <c r="Y30" i="20"/>
  <c r="Z30" i="20"/>
  <c r="AA30" i="20"/>
  <c r="AB30" i="20"/>
  <c r="AC30" i="20"/>
  <c r="AD30" i="20"/>
  <c r="C31" i="20"/>
  <c r="D31" i="20"/>
  <c r="E31" i="20"/>
  <c r="F31" i="20"/>
  <c r="G31" i="20"/>
  <c r="H31" i="20"/>
  <c r="I31" i="20"/>
  <c r="J31" i="20"/>
  <c r="K31" i="20"/>
  <c r="L31" i="20"/>
  <c r="M31" i="20"/>
  <c r="N31" i="20"/>
  <c r="O31" i="20"/>
  <c r="P31" i="20"/>
  <c r="Q31" i="20"/>
  <c r="R31" i="20"/>
  <c r="S31" i="20"/>
  <c r="T31" i="20"/>
  <c r="U31" i="20"/>
  <c r="V31" i="20"/>
  <c r="W31" i="20"/>
  <c r="X31" i="20"/>
  <c r="Y31" i="20"/>
  <c r="Z31" i="20"/>
  <c r="AA31" i="20"/>
  <c r="AB31" i="20"/>
  <c r="AC31" i="20"/>
  <c r="AD31" i="20"/>
  <c r="C32" i="20"/>
  <c r="D32" i="20"/>
  <c r="E32" i="20"/>
  <c r="F32" i="20"/>
  <c r="G32" i="20"/>
  <c r="H32" i="20"/>
  <c r="I32" i="20"/>
  <c r="J32" i="20"/>
  <c r="K32" i="20"/>
  <c r="L32" i="20"/>
  <c r="M32" i="20"/>
  <c r="N32" i="20"/>
  <c r="O32" i="20"/>
  <c r="P32" i="20"/>
  <c r="Q32" i="20"/>
  <c r="R32" i="20"/>
  <c r="S32" i="20"/>
  <c r="T32" i="20"/>
  <c r="U32" i="20"/>
  <c r="V32" i="20"/>
  <c r="W32" i="20"/>
  <c r="X32" i="20"/>
  <c r="Y32" i="20"/>
  <c r="Z32" i="20"/>
  <c r="AA32" i="20"/>
  <c r="AB32" i="20"/>
  <c r="AC32" i="20"/>
  <c r="AD32" i="20"/>
  <c r="C33" i="20"/>
  <c r="D33" i="20"/>
  <c r="E33" i="20"/>
  <c r="F33" i="20"/>
  <c r="G33" i="20"/>
  <c r="H33" i="20"/>
  <c r="I33" i="20"/>
  <c r="J33" i="20"/>
  <c r="K33" i="20"/>
  <c r="L33" i="20"/>
  <c r="M33" i="20"/>
  <c r="N33" i="20"/>
  <c r="O33" i="20"/>
  <c r="P33" i="20"/>
  <c r="Q33" i="20"/>
  <c r="R33" i="20"/>
  <c r="S33" i="20"/>
  <c r="T33" i="20"/>
  <c r="U33" i="20"/>
  <c r="V33" i="20"/>
  <c r="W33" i="20"/>
  <c r="X33" i="20"/>
  <c r="Y33" i="20"/>
  <c r="Z33" i="20"/>
  <c r="AA33" i="20"/>
  <c r="AB33" i="20"/>
  <c r="AC33" i="20"/>
  <c r="AD33" i="20"/>
  <c r="C34" i="20"/>
  <c r="D34" i="20"/>
  <c r="E34" i="20"/>
  <c r="F34" i="20"/>
  <c r="G34" i="20"/>
  <c r="H34" i="20"/>
  <c r="I34" i="20"/>
  <c r="J34" i="20"/>
  <c r="K34" i="20"/>
  <c r="L34" i="20"/>
  <c r="M34" i="20"/>
  <c r="N34" i="20"/>
  <c r="O34" i="20"/>
  <c r="P34" i="20"/>
  <c r="Q34" i="20"/>
  <c r="R34" i="20"/>
  <c r="S34" i="20"/>
  <c r="T34" i="20"/>
  <c r="U34" i="20"/>
  <c r="V34" i="20"/>
  <c r="W34" i="20"/>
  <c r="X34" i="20"/>
  <c r="Y34" i="20"/>
  <c r="Z34" i="20"/>
  <c r="AA34" i="20"/>
  <c r="AB34" i="20"/>
  <c r="AC34" i="20"/>
  <c r="AD34" i="20"/>
  <c r="C36" i="20"/>
  <c r="E36" i="20"/>
  <c r="G36" i="20"/>
  <c r="H36" i="20"/>
  <c r="I36" i="20"/>
  <c r="J36" i="20"/>
  <c r="K36" i="20"/>
  <c r="M36" i="20"/>
  <c r="O36" i="20"/>
  <c r="P36" i="20"/>
  <c r="R36" i="20"/>
  <c r="S36" i="20"/>
  <c r="U36" i="20"/>
  <c r="W36" i="20"/>
  <c r="X36" i="20"/>
  <c r="Y36" i="20"/>
  <c r="Z36" i="20"/>
  <c r="AA36" i="20"/>
  <c r="AC36" i="20"/>
  <c r="D37" i="20"/>
  <c r="F37" i="20"/>
  <c r="G37" i="20"/>
  <c r="H37" i="20"/>
  <c r="I37" i="20"/>
  <c r="J37" i="20"/>
  <c r="L37" i="20"/>
  <c r="N37" i="20"/>
  <c r="O37" i="20"/>
  <c r="P37" i="20"/>
  <c r="Q37" i="20"/>
  <c r="R37" i="20"/>
  <c r="T37" i="20"/>
  <c r="V37" i="20"/>
  <c r="W37" i="20"/>
  <c r="X37" i="20"/>
  <c r="Y37" i="20"/>
  <c r="Z37" i="20"/>
  <c r="AB37" i="20"/>
  <c r="AD37" i="20"/>
  <c r="C38" i="20"/>
  <c r="E38" i="20"/>
  <c r="F38" i="20"/>
  <c r="G38" i="20"/>
  <c r="I38" i="20"/>
  <c r="J38" i="20"/>
  <c r="K38" i="20"/>
  <c r="M38" i="20"/>
  <c r="N38" i="20"/>
  <c r="O38" i="20"/>
  <c r="Q38" i="20"/>
  <c r="S38" i="20"/>
  <c r="T38" i="20"/>
  <c r="U38" i="20"/>
  <c r="V38" i="20"/>
  <c r="W38" i="20"/>
  <c r="Y38" i="20"/>
  <c r="AA38" i="20"/>
  <c r="AB38" i="20"/>
  <c r="AD38" i="20"/>
  <c r="C39" i="20"/>
  <c r="D39" i="20"/>
  <c r="E39" i="20"/>
  <c r="F39" i="20"/>
  <c r="G39" i="20"/>
  <c r="H39" i="20"/>
  <c r="I39" i="20"/>
  <c r="J39" i="20"/>
  <c r="L39" i="20"/>
  <c r="M39" i="20"/>
  <c r="N39" i="20"/>
  <c r="O39" i="20"/>
  <c r="P39" i="20"/>
  <c r="R39" i="20"/>
  <c r="T39" i="20"/>
  <c r="U39" i="20"/>
  <c r="V39" i="20"/>
  <c r="W39" i="20"/>
  <c r="X39" i="20"/>
  <c r="Y39" i="20"/>
  <c r="Z39" i="20"/>
  <c r="AC39" i="20"/>
  <c r="AD39" i="20"/>
  <c r="C40" i="20"/>
  <c r="D40" i="20"/>
  <c r="E40" i="20"/>
  <c r="F40" i="20"/>
  <c r="G40" i="20"/>
  <c r="I40" i="20"/>
  <c r="K40" i="20"/>
  <c r="L40" i="20"/>
  <c r="M40" i="20"/>
  <c r="N40" i="20"/>
  <c r="O40" i="20"/>
  <c r="P40" i="20"/>
  <c r="S40" i="20"/>
  <c r="T40" i="20"/>
  <c r="U40" i="20"/>
  <c r="V40" i="20"/>
  <c r="W40" i="20"/>
  <c r="X40" i="20"/>
  <c r="Y40" i="20"/>
  <c r="AA40" i="20"/>
  <c r="AB40" i="20"/>
  <c r="AC40" i="20"/>
  <c r="AD40" i="20"/>
  <c r="C41" i="20"/>
  <c r="D41" i="20"/>
  <c r="E41" i="20"/>
  <c r="F41" i="20"/>
  <c r="H41" i="20"/>
  <c r="J41" i="20"/>
  <c r="K41" i="20"/>
  <c r="L41" i="20"/>
  <c r="M41" i="20"/>
  <c r="N41" i="20"/>
  <c r="P41" i="20"/>
  <c r="R41" i="20"/>
  <c r="S41" i="20"/>
  <c r="T41" i="20"/>
  <c r="U41" i="20"/>
  <c r="V41" i="20"/>
  <c r="X41" i="20"/>
  <c r="Z41" i="20"/>
  <c r="AB41" i="20"/>
  <c r="AC41" i="20"/>
  <c r="AD41" i="20"/>
  <c r="C42" i="20"/>
  <c r="E42" i="20"/>
  <c r="F42" i="20"/>
  <c r="G42" i="20"/>
  <c r="I42" i="20"/>
  <c r="J42" i="20"/>
  <c r="K42" i="20"/>
  <c r="M42" i="20"/>
  <c r="N42" i="20"/>
  <c r="O42" i="20"/>
  <c r="Q42" i="20"/>
  <c r="R42" i="20"/>
  <c r="S42" i="20"/>
  <c r="U42" i="20"/>
  <c r="V42" i="20"/>
  <c r="W42" i="20"/>
  <c r="X42" i="20"/>
  <c r="Y42" i="20"/>
  <c r="Z42" i="20"/>
  <c r="AA42" i="20"/>
  <c r="C43" i="20"/>
  <c r="D43" i="20"/>
  <c r="E43" i="20"/>
  <c r="F43" i="20"/>
  <c r="G43" i="20"/>
  <c r="H43" i="20"/>
  <c r="I43" i="20"/>
  <c r="J43" i="20"/>
  <c r="K43" i="20"/>
  <c r="L43" i="20"/>
  <c r="M43" i="20"/>
  <c r="N43" i="20"/>
  <c r="O43" i="20"/>
  <c r="P43" i="20"/>
  <c r="Q43" i="20"/>
  <c r="R43" i="20"/>
  <c r="S43" i="20"/>
  <c r="T43" i="20"/>
  <c r="U43" i="20"/>
  <c r="V43" i="20"/>
  <c r="W43" i="20"/>
  <c r="X43" i="20"/>
  <c r="Y43" i="20"/>
  <c r="Z43" i="20"/>
  <c r="AA43" i="20"/>
  <c r="AC43" i="20"/>
  <c r="AD43" i="20"/>
  <c r="C44" i="20"/>
  <c r="D44" i="20"/>
  <c r="E44" i="20"/>
  <c r="G44" i="20"/>
  <c r="H44" i="20"/>
  <c r="I44" i="20"/>
  <c r="J44" i="20"/>
  <c r="K44" i="20"/>
  <c r="L44" i="20"/>
  <c r="M44" i="20"/>
  <c r="O44" i="20"/>
  <c r="P44" i="20"/>
  <c r="S44" i="20"/>
  <c r="T44" i="20"/>
  <c r="U44" i="20"/>
  <c r="V44" i="20"/>
  <c r="W44" i="20"/>
  <c r="X44" i="20"/>
  <c r="Y44" i="20"/>
  <c r="AA44" i="20"/>
  <c r="AB44" i="20"/>
  <c r="AC44" i="20"/>
  <c r="AD44" i="20"/>
  <c r="D45" i="20"/>
  <c r="E45" i="20"/>
  <c r="F45" i="20"/>
  <c r="G45" i="20"/>
  <c r="H45" i="20"/>
  <c r="I45" i="20"/>
  <c r="J45" i="20"/>
  <c r="L45" i="20"/>
  <c r="M45" i="20"/>
  <c r="N45" i="20"/>
  <c r="O45" i="20"/>
  <c r="P45" i="20"/>
  <c r="Q45" i="20"/>
  <c r="R45" i="20"/>
  <c r="T45" i="20"/>
  <c r="U45" i="20"/>
  <c r="V45" i="20"/>
  <c r="W45" i="20"/>
  <c r="X45" i="20"/>
  <c r="Z45" i="20"/>
  <c r="AB45" i="20"/>
  <c r="AD45" i="20"/>
  <c r="C46" i="20"/>
  <c r="D46" i="20"/>
  <c r="E46" i="20"/>
  <c r="F46" i="20"/>
  <c r="G46" i="20"/>
  <c r="I46" i="20"/>
  <c r="J46" i="20"/>
  <c r="K46" i="20"/>
  <c r="L46" i="20"/>
  <c r="M46" i="20"/>
  <c r="N46" i="20"/>
  <c r="O46" i="20"/>
  <c r="Q46" i="20"/>
  <c r="S46" i="20"/>
  <c r="T46" i="20"/>
  <c r="U46" i="20"/>
  <c r="V46" i="20"/>
  <c r="W46" i="20"/>
  <c r="Y46" i="20"/>
  <c r="AA46" i="20"/>
  <c r="AB46" i="20"/>
  <c r="AD46" i="20"/>
  <c r="C47" i="20"/>
  <c r="D47" i="20"/>
  <c r="E47" i="20"/>
  <c r="F47" i="20"/>
  <c r="H47" i="20"/>
  <c r="I47" i="20"/>
  <c r="J47" i="20"/>
  <c r="K47" i="20"/>
  <c r="L47" i="20"/>
  <c r="M47" i="20"/>
  <c r="N47" i="20"/>
  <c r="P47" i="20"/>
  <c r="Q47" i="20"/>
  <c r="R47" i="20"/>
  <c r="S47" i="20"/>
  <c r="T47" i="20"/>
  <c r="U47" i="20"/>
  <c r="V47" i="20"/>
  <c r="X47" i="20"/>
  <c r="Y47" i="20"/>
  <c r="Z47" i="20"/>
  <c r="AA47" i="20"/>
  <c r="AC47" i="20"/>
  <c r="AD47" i="20"/>
  <c r="C48" i="20"/>
  <c r="D48" i="20"/>
  <c r="E48" i="20"/>
  <c r="F48" i="20"/>
  <c r="G48" i="20"/>
  <c r="H48" i="20"/>
  <c r="I48" i="20"/>
  <c r="K48" i="20"/>
  <c r="L48" i="20"/>
  <c r="M48" i="20"/>
  <c r="N48" i="20"/>
  <c r="O48" i="20"/>
  <c r="P48" i="20"/>
  <c r="R48" i="20"/>
  <c r="S48" i="20"/>
  <c r="T48" i="20"/>
  <c r="U48" i="20"/>
  <c r="W48" i="20"/>
  <c r="X48" i="20"/>
  <c r="Y48" i="20"/>
  <c r="Z48" i="20"/>
  <c r="AA48" i="20"/>
  <c r="AB48" i="20"/>
  <c r="AC48" i="20"/>
  <c r="C49" i="20"/>
  <c r="D49" i="20"/>
  <c r="E49" i="20"/>
  <c r="F49" i="20"/>
  <c r="H49" i="20"/>
  <c r="J49" i="20"/>
  <c r="K49" i="20"/>
  <c r="L49" i="20"/>
  <c r="M49" i="20"/>
  <c r="N49" i="20"/>
  <c r="P49" i="20"/>
  <c r="Q49" i="20"/>
  <c r="R49" i="20"/>
  <c r="S49" i="20"/>
  <c r="T49" i="20"/>
  <c r="U49" i="20"/>
  <c r="V49" i="20"/>
  <c r="X49" i="20"/>
  <c r="Y49" i="20"/>
  <c r="Z49" i="20"/>
  <c r="AB49" i="20"/>
  <c r="AD49" i="20"/>
  <c r="C50" i="20"/>
  <c r="E50" i="20"/>
  <c r="F50" i="20"/>
  <c r="G50" i="20"/>
  <c r="H50" i="20"/>
  <c r="I50" i="20"/>
  <c r="J50" i="20"/>
  <c r="K50" i="20"/>
  <c r="M50" i="20"/>
  <c r="N50" i="20"/>
  <c r="O50" i="20"/>
  <c r="P50" i="20"/>
  <c r="Q50" i="20"/>
  <c r="R50" i="20"/>
  <c r="S50" i="20"/>
  <c r="U50" i="20"/>
  <c r="W50" i="20"/>
  <c r="X50" i="20"/>
  <c r="Y50" i="20"/>
  <c r="Z50" i="20"/>
  <c r="AA50" i="20"/>
  <c r="D51" i="20"/>
  <c r="E51" i="20"/>
  <c r="F51" i="20"/>
  <c r="G51" i="20"/>
  <c r="H51" i="20"/>
  <c r="I51" i="20"/>
  <c r="J51" i="20"/>
  <c r="L51" i="20"/>
  <c r="M51" i="20"/>
  <c r="N51" i="20"/>
  <c r="O51" i="20"/>
  <c r="P51" i="20"/>
  <c r="Q51" i="20"/>
  <c r="R51" i="20"/>
  <c r="T51" i="20"/>
  <c r="U51" i="20"/>
  <c r="V51" i="20"/>
  <c r="W51" i="20"/>
  <c r="X51" i="20"/>
  <c r="Y51" i="20"/>
  <c r="Z51" i="20"/>
  <c r="AD51" i="20"/>
  <c r="C52" i="20"/>
  <c r="D52" i="20"/>
  <c r="E52" i="20"/>
  <c r="G52" i="20"/>
  <c r="H52" i="20"/>
  <c r="I52" i="20"/>
  <c r="K52" i="20"/>
  <c r="L52" i="20"/>
  <c r="M52" i="20"/>
  <c r="O52" i="20"/>
  <c r="P52" i="20"/>
  <c r="S52" i="20"/>
  <c r="U52" i="20"/>
  <c r="V52" i="20"/>
  <c r="W52" i="20"/>
  <c r="X52" i="20"/>
  <c r="Y52" i="20"/>
  <c r="AA52" i="20"/>
  <c r="AC52" i="20"/>
  <c r="AD52" i="20"/>
  <c r="C53" i="20"/>
  <c r="G53" i="20"/>
  <c r="J53" i="20"/>
  <c r="K53" i="20"/>
  <c r="L53" i="20"/>
  <c r="O53" i="20"/>
  <c r="P53" i="20"/>
  <c r="R53" i="20"/>
  <c r="S53" i="20"/>
  <c r="W53" i="20"/>
  <c r="Z53" i="20"/>
  <c r="AA53" i="20"/>
  <c r="AB53" i="20"/>
  <c r="AD53" i="20"/>
  <c r="C56" i="20"/>
  <c r="R56" i="20"/>
  <c r="T56" i="20"/>
  <c r="U56" i="20"/>
  <c r="V56" i="20"/>
  <c r="W56" i="20"/>
  <c r="X56" i="20"/>
  <c r="Y56" i="20"/>
  <c r="Z56" i="20"/>
  <c r="AA56" i="20"/>
  <c r="AB56" i="20"/>
  <c r="AC56" i="20"/>
  <c r="AD56" i="20"/>
  <c r="C57" i="20"/>
  <c r="R57" i="20"/>
  <c r="T57" i="20"/>
  <c r="U57" i="20"/>
  <c r="V57" i="20"/>
  <c r="W57" i="20"/>
  <c r="X57" i="20"/>
  <c r="Y57" i="20"/>
  <c r="Z57" i="20"/>
  <c r="AA57" i="20"/>
  <c r="AB57" i="20"/>
  <c r="AC57" i="20"/>
  <c r="AD57" i="20"/>
  <c r="C58" i="20"/>
  <c r="R58" i="20"/>
  <c r="T58" i="20"/>
  <c r="U58" i="20"/>
  <c r="V58" i="20"/>
  <c r="W58" i="20"/>
  <c r="X58" i="20"/>
  <c r="Y58" i="20"/>
  <c r="Z58" i="20"/>
  <c r="AA58" i="20"/>
  <c r="AB58" i="20"/>
  <c r="AC58" i="20"/>
  <c r="AD58" i="20"/>
  <c r="C59" i="20"/>
  <c r="R59" i="20"/>
  <c r="T59" i="20"/>
  <c r="U59" i="20"/>
  <c r="V59" i="20"/>
  <c r="W59" i="20"/>
  <c r="X59" i="20"/>
  <c r="Y59" i="20"/>
  <c r="Z59" i="20"/>
  <c r="AA59" i="20"/>
  <c r="AB59" i="20"/>
  <c r="AC59" i="20"/>
  <c r="AD59" i="20"/>
  <c r="R60" i="20"/>
  <c r="T60" i="20"/>
  <c r="U60" i="20"/>
  <c r="V60" i="20"/>
  <c r="W60" i="20"/>
  <c r="X60" i="20"/>
  <c r="Y60" i="20"/>
  <c r="Z60" i="20"/>
  <c r="AA60" i="20"/>
  <c r="AB60" i="20"/>
  <c r="AC60" i="20"/>
  <c r="AD60" i="20"/>
  <c r="C61" i="20"/>
  <c r="R61" i="20"/>
  <c r="T61" i="20"/>
  <c r="U61" i="20"/>
  <c r="V61" i="20"/>
  <c r="W61" i="20"/>
  <c r="X61" i="20"/>
  <c r="Y61" i="20"/>
  <c r="Z61" i="20"/>
  <c r="AA61" i="20"/>
  <c r="AB61" i="20"/>
  <c r="AC61" i="20"/>
  <c r="AD61" i="20"/>
  <c r="C62" i="20"/>
  <c r="R62" i="20"/>
  <c r="T62" i="20"/>
  <c r="U62" i="20"/>
  <c r="V62" i="20"/>
  <c r="W62" i="20"/>
  <c r="X62" i="20"/>
  <c r="Y62" i="20"/>
  <c r="Z62" i="20"/>
  <c r="AA62" i="20"/>
  <c r="AB62" i="20"/>
  <c r="AC62" i="20"/>
  <c r="AD62" i="20"/>
  <c r="C63" i="20"/>
  <c r="R63" i="20"/>
  <c r="T63" i="20"/>
  <c r="U63" i="20"/>
  <c r="V63" i="20"/>
  <c r="W63" i="20"/>
  <c r="X63" i="20"/>
  <c r="Y63" i="20"/>
  <c r="Z63" i="20"/>
  <c r="AA63" i="20"/>
  <c r="AB63" i="20"/>
  <c r="AC63" i="20"/>
  <c r="AD63" i="20"/>
  <c r="C64" i="20"/>
  <c r="R64" i="20"/>
  <c r="T64" i="20"/>
  <c r="U64" i="20"/>
  <c r="V64" i="20"/>
  <c r="W64" i="20"/>
  <c r="X64" i="20"/>
  <c r="Y64" i="20"/>
  <c r="Z64" i="20"/>
  <c r="AA64" i="20"/>
  <c r="AB64" i="20"/>
  <c r="AC64" i="20"/>
  <c r="AD64" i="20"/>
  <c r="C65" i="20"/>
  <c r="R65" i="20"/>
  <c r="T65" i="20"/>
  <c r="U65" i="20"/>
  <c r="V65" i="20"/>
  <c r="W65" i="20"/>
  <c r="X65" i="20"/>
  <c r="Y65" i="20"/>
  <c r="Z65" i="20"/>
  <c r="AA65" i="20"/>
  <c r="AB65" i="20"/>
  <c r="AC65" i="20"/>
  <c r="AD65" i="20"/>
  <c r="C66" i="20"/>
  <c r="R66" i="20"/>
  <c r="T66" i="20"/>
  <c r="U66" i="20"/>
  <c r="V66" i="20"/>
  <c r="W66" i="20"/>
  <c r="X66" i="20"/>
  <c r="Y66" i="20"/>
  <c r="Z66" i="20"/>
  <c r="AA66" i="20"/>
  <c r="AB66" i="20"/>
  <c r="AC66" i="20"/>
  <c r="AD66" i="20"/>
  <c r="C67" i="20"/>
  <c r="R67" i="20"/>
  <c r="T67" i="20"/>
  <c r="U67" i="20"/>
  <c r="V67" i="20"/>
  <c r="W67" i="20"/>
  <c r="X67" i="20"/>
  <c r="Y67" i="20"/>
  <c r="Z67" i="20"/>
  <c r="AA67" i="20"/>
  <c r="AB67" i="20"/>
  <c r="AC67" i="20"/>
  <c r="AD67" i="20"/>
  <c r="R68" i="20"/>
  <c r="T68" i="20"/>
  <c r="U68" i="20"/>
  <c r="V68" i="20"/>
  <c r="W68" i="20"/>
  <c r="X68" i="20"/>
  <c r="Y68" i="20"/>
  <c r="Z68" i="20"/>
  <c r="AB68" i="20"/>
  <c r="AC68" i="20"/>
  <c r="AD68" i="20"/>
  <c r="C70" i="20"/>
  <c r="D70" i="20"/>
  <c r="F70" i="20"/>
  <c r="G70" i="20"/>
  <c r="H70" i="20"/>
  <c r="I70" i="20"/>
  <c r="J70" i="20"/>
  <c r="K70" i="20"/>
  <c r="L70" i="20"/>
  <c r="N70" i="20"/>
  <c r="O70" i="20"/>
  <c r="P70" i="20"/>
  <c r="R70" i="20"/>
  <c r="S70" i="20"/>
  <c r="T70" i="20"/>
  <c r="V70" i="20"/>
  <c r="W70" i="20"/>
  <c r="X70" i="20"/>
  <c r="Z70" i="20"/>
  <c r="AA70" i="20"/>
  <c r="AB70" i="20"/>
  <c r="AD70" i="20"/>
  <c r="C71" i="20"/>
  <c r="D71" i="20"/>
  <c r="F71" i="20"/>
  <c r="G71" i="20"/>
  <c r="H71" i="20"/>
  <c r="J71" i="20"/>
  <c r="K71" i="20"/>
  <c r="L71" i="20"/>
  <c r="M71" i="20"/>
  <c r="N71" i="20"/>
  <c r="O71" i="20"/>
  <c r="P71" i="20"/>
  <c r="R71" i="20"/>
  <c r="S71" i="20"/>
  <c r="T71" i="20"/>
  <c r="U71" i="20"/>
  <c r="V71" i="20"/>
  <c r="W71" i="20"/>
  <c r="X71" i="20"/>
  <c r="Z71" i="20"/>
  <c r="AA71" i="20"/>
  <c r="AB71" i="20"/>
  <c r="AD71" i="20"/>
  <c r="C72" i="20"/>
  <c r="D72" i="20"/>
  <c r="E72" i="20"/>
  <c r="G72" i="20"/>
  <c r="H72" i="20"/>
  <c r="I72" i="20"/>
  <c r="J72" i="20"/>
  <c r="K72" i="20"/>
  <c r="L72" i="20"/>
  <c r="M72" i="20"/>
  <c r="O72" i="20"/>
  <c r="P72" i="20"/>
  <c r="Q72" i="20"/>
  <c r="R72" i="20"/>
  <c r="S72" i="20"/>
  <c r="T72" i="20"/>
  <c r="U72" i="20"/>
  <c r="W72" i="20"/>
  <c r="X72" i="20"/>
  <c r="Y72" i="20"/>
  <c r="Z72" i="20"/>
  <c r="AA72" i="20"/>
  <c r="AB72" i="20"/>
  <c r="AC72" i="20"/>
  <c r="C73" i="20"/>
  <c r="D73" i="20"/>
  <c r="E73" i="20"/>
  <c r="F73" i="20"/>
  <c r="G73" i="20"/>
  <c r="H73" i="20"/>
  <c r="I73" i="20"/>
  <c r="K73" i="20"/>
  <c r="L73" i="20"/>
  <c r="M73" i="20"/>
  <c r="N73" i="20"/>
  <c r="O73" i="20"/>
  <c r="P73" i="20"/>
  <c r="Q73" i="20"/>
  <c r="S73" i="20"/>
  <c r="T73" i="20"/>
  <c r="U73" i="20"/>
  <c r="V73" i="20"/>
  <c r="W73" i="20"/>
  <c r="X73" i="20"/>
  <c r="Y73" i="20"/>
  <c r="AA73" i="20"/>
  <c r="AB73" i="20"/>
  <c r="AC73" i="20"/>
  <c r="AD73" i="20"/>
  <c r="C74" i="20"/>
  <c r="D74" i="20"/>
  <c r="E74" i="20"/>
  <c r="F74" i="20"/>
  <c r="H74" i="20"/>
  <c r="I74" i="20"/>
  <c r="J74" i="20"/>
  <c r="K74" i="20"/>
  <c r="L74" i="20"/>
  <c r="M74" i="20"/>
  <c r="N74" i="20"/>
  <c r="P74" i="20"/>
  <c r="Q74" i="20"/>
  <c r="R74" i="20"/>
  <c r="S74" i="20"/>
  <c r="T74" i="20"/>
  <c r="U74" i="20"/>
  <c r="V74" i="20"/>
  <c r="X74" i="20"/>
  <c r="Y74" i="20"/>
  <c r="Z74" i="20"/>
  <c r="AA74" i="20"/>
  <c r="AB74" i="20"/>
  <c r="AC74" i="20"/>
  <c r="AD74" i="20"/>
  <c r="D75" i="20"/>
  <c r="E75" i="20"/>
  <c r="F75" i="20"/>
  <c r="H75" i="20"/>
  <c r="I75" i="20"/>
  <c r="J75" i="20"/>
  <c r="L75" i="20"/>
  <c r="M75" i="20"/>
  <c r="N75" i="20"/>
  <c r="P75" i="20"/>
  <c r="Q75" i="20"/>
  <c r="R75" i="20"/>
  <c r="T75" i="20"/>
  <c r="U75" i="20"/>
  <c r="V75" i="20"/>
  <c r="W75" i="20"/>
  <c r="X75" i="20"/>
  <c r="Y75" i="20"/>
  <c r="Z75" i="20"/>
  <c r="AB75" i="20"/>
  <c r="AC75" i="20"/>
  <c r="AD75" i="20"/>
  <c r="C77" i="20"/>
  <c r="D77" i="20"/>
  <c r="F77" i="20"/>
  <c r="G77" i="20"/>
  <c r="I77" i="20"/>
  <c r="J77" i="20"/>
  <c r="K77" i="20"/>
  <c r="L77" i="20"/>
  <c r="N77" i="20"/>
  <c r="O77" i="20"/>
  <c r="Q77" i="20"/>
  <c r="R77" i="20"/>
  <c r="S77" i="20"/>
  <c r="T77" i="20"/>
  <c r="V77" i="20"/>
  <c r="W77" i="20"/>
  <c r="X77" i="20"/>
  <c r="Y77" i="20"/>
  <c r="Z77" i="20"/>
  <c r="AA77" i="20"/>
  <c r="AB77" i="20"/>
  <c r="AD77" i="20"/>
  <c r="C78" i="20"/>
  <c r="D78" i="20"/>
  <c r="E78" i="20"/>
  <c r="F78" i="20"/>
  <c r="G78" i="20"/>
  <c r="I78" i="20"/>
  <c r="J78" i="20"/>
  <c r="K78" i="20"/>
  <c r="L78" i="20"/>
  <c r="M78" i="20"/>
  <c r="N78" i="20"/>
  <c r="O78" i="20"/>
  <c r="R78" i="20"/>
  <c r="S78" i="20"/>
  <c r="T78" i="20"/>
  <c r="U78" i="20"/>
  <c r="V78" i="20"/>
  <c r="W78" i="20"/>
  <c r="Z78" i="20"/>
  <c r="AA78" i="20"/>
  <c r="AB78" i="20"/>
  <c r="AC78" i="20"/>
  <c r="AD78" i="20"/>
  <c r="C79" i="20"/>
  <c r="D79" i="20"/>
  <c r="E79" i="20"/>
  <c r="G79" i="20"/>
  <c r="H79" i="20"/>
  <c r="I79" i="20"/>
  <c r="J79" i="20"/>
  <c r="L79" i="20"/>
  <c r="M79" i="20"/>
  <c r="O79" i="20"/>
  <c r="P79" i="20"/>
  <c r="Q79" i="20"/>
  <c r="R79" i="20"/>
  <c r="T79" i="20"/>
  <c r="U79" i="20"/>
  <c r="W79" i="20"/>
  <c r="X79" i="20"/>
  <c r="Y79" i="20"/>
  <c r="Z79" i="20"/>
  <c r="AB79" i="20"/>
  <c r="AC79" i="20"/>
  <c r="C80" i="20"/>
  <c r="D80" i="20"/>
  <c r="E80" i="20"/>
  <c r="F80" i="20"/>
  <c r="G80" i="20"/>
  <c r="H80" i="20"/>
  <c r="J80" i="20"/>
  <c r="K80" i="20"/>
  <c r="L80" i="20"/>
  <c r="M80" i="20"/>
  <c r="N80" i="20"/>
  <c r="O80" i="20"/>
  <c r="P80" i="20"/>
  <c r="R80" i="20"/>
  <c r="S80" i="20"/>
  <c r="T80" i="20"/>
  <c r="U80" i="20"/>
  <c r="V80" i="20"/>
  <c r="W80" i="20"/>
  <c r="X80" i="20"/>
  <c r="Z80" i="20"/>
  <c r="AA80" i="20"/>
  <c r="AB80" i="20"/>
  <c r="AC80" i="20"/>
  <c r="AD80" i="20"/>
  <c r="C81" i="20"/>
  <c r="D81" i="20"/>
  <c r="E81" i="20"/>
  <c r="F81" i="20"/>
  <c r="G81" i="20"/>
  <c r="H81" i="20"/>
  <c r="J81" i="20"/>
  <c r="K81" i="20"/>
  <c r="L81" i="20"/>
  <c r="M81" i="20"/>
  <c r="N81" i="20"/>
  <c r="O81" i="20"/>
  <c r="P81" i="20"/>
  <c r="R81" i="20"/>
  <c r="S81" i="20"/>
  <c r="T81" i="20"/>
  <c r="U81" i="20"/>
  <c r="V81" i="20"/>
  <c r="W81" i="20"/>
  <c r="X81" i="20"/>
  <c r="Z81" i="20"/>
  <c r="AA81" i="20"/>
  <c r="AB81" i="20"/>
  <c r="AC81" i="20"/>
  <c r="AD81" i="20"/>
  <c r="S82" i="20"/>
  <c r="U82" i="20"/>
  <c r="AA82" i="20"/>
  <c r="C83" i="20"/>
  <c r="E83" i="20"/>
  <c r="F83" i="20"/>
  <c r="G83" i="20"/>
  <c r="H83" i="20"/>
  <c r="I83" i="20"/>
  <c r="K83" i="20"/>
  <c r="M83" i="20"/>
  <c r="N83" i="20"/>
  <c r="O83" i="20"/>
  <c r="P83" i="20"/>
  <c r="Q83" i="20"/>
  <c r="S83" i="20"/>
  <c r="V83" i="20"/>
  <c r="W83" i="20"/>
  <c r="X83" i="20"/>
  <c r="Y83" i="20"/>
  <c r="AA83" i="20"/>
  <c r="AD83" i="20"/>
  <c r="C84" i="20"/>
  <c r="E84" i="20"/>
  <c r="F84" i="20"/>
  <c r="G84" i="20"/>
  <c r="I84" i="20"/>
  <c r="K84" i="20"/>
  <c r="M84" i="20"/>
  <c r="N84" i="20"/>
  <c r="O84" i="20"/>
  <c r="Q84" i="20"/>
  <c r="S84" i="20"/>
  <c r="T84" i="20"/>
  <c r="U84" i="20"/>
  <c r="V84" i="20"/>
  <c r="W84" i="20"/>
  <c r="Y84" i="20"/>
  <c r="AA84" i="20"/>
  <c r="AC84" i="20"/>
  <c r="AD84" i="20"/>
  <c r="C85" i="20"/>
  <c r="D85" i="20"/>
  <c r="E85" i="20"/>
  <c r="F85" i="20"/>
  <c r="H85" i="20"/>
  <c r="I85" i="20"/>
  <c r="J85" i="20"/>
  <c r="K85" i="20"/>
  <c r="L85" i="20"/>
  <c r="M85" i="20"/>
  <c r="N85" i="20"/>
  <c r="P85" i="20"/>
  <c r="Q85" i="20"/>
  <c r="R85" i="20"/>
  <c r="S85" i="20"/>
  <c r="T85" i="20"/>
  <c r="U85" i="20"/>
  <c r="V85" i="20"/>
  <c r="W85" i="20"/>
  <c r="X85" i="20"/>
  <c r="Y85" i="20"/>
  <c r="Z85" i="20"/>
  <c r="AA85" i="20"/>
  <c r="AB85" i="20"/>
  <c r="AC85" i="20"/>
  <c r="AD85" i="20"/>
  <c r="C86" i="20"/>
  <c r="E86" i="20"/>
  <c r="F86" i="20"/>
  <c r="G86" i="20"/>
  <c r="H86" i="20"/>
  <c r="I86" i="20"/>
  <c r="J86" i="20"/>
  <c r="K86" i="20"/>
  <c r="M86" i="20"/>
  <c r="N86" i="20"/>
  <c r="P86" i="20"/>
  <c r="Q86" i="20"/>
  <c r="R86" i="20"/>
  <c r="S86" i="20"/>
  <c r="U86" i="20"/>
  <c r="V86" i="20"/>
  <c r="X86" i="20"/>
  <c r="Y86" i="20"/>
  <c r="Z86" i="20"/>
  <c r="AA86" i="20"/>
  <c r="AC86" i="20"/>
  <c r="AD86" i="20"/>
  <c r="C88" i="20"/>
  <c r="E88" i="20"/>
  <c r="G88" i="20"/>
  <c r="I88" i="20"/>
  <c r="J88" i="20"/>
  <c r="K88" i="20"/>
  <c r="M88" i="20"/>
  <c r="N88" i="20"/>
  <c r="O88" i="20"/>
  <c r="Q88" i="20"/>
  <c r="S88" i="20"/>
  <c r="U88" i="20"/>
  <c r="V88" i="20"/>
  <c r="W88" i="20"/>
  <c r="X88" i="20"/>
  <c r="Y88" i="20"/>
  <c r="AA88" i="20"/>
  <c r="AC88" i="20"/>
  <c r="AD88" i="20"/>
  <c r="C89" i="20"/>
  <c r="D89" i="20"/>
  <c r="E89" i="20"/>
  <c r="F89" i="20"/>
  <c r="G89" i="20"/>
  <c r="H89" i="20"/>
  <c r="I89" i="20"/>
  <c r="J89" i="20"/>
  <c r="K89" i="20"/>
  <c r="L89" i="20"/>
  <c r="M89" i="20"/>
  <c r="N89" i="20"/>
  <c r="O89" i="20"/>
  <c r="P89" i="20"/>
  <c r="Q89" i="20"/>
  <c r="R89" i="20"/>
  <c r="S89" i="20"/>
  <c r="T89" i="20"/>
  <c r="U89" i="20"/>
  <c r="V89" i="20"/>
  <c r="W89" i="20"/>
  <c r="X89" i="20"/>
  <c r="Y89" i="20"/>
  <c r="Z89" i="20"/>
  <c r="AA89" i="20"/>
  <c r="AB89" i="20"/>
  <c r="AC89" i="20"/>
  <c r="AD89" i="20"/>
  <c r="G90" i="20"/>
  <c r="I90" i="20"/>
  <c r="J90" i="20"/>
  <c r="O90" i="20"/>
  <c r="P90" i="20"/>
  <c r="Q90" i="20"/>
  <c r="S90" i="20"/>
  <c r="Y90" i="20"/>
  <c r="Z90" i="20"/>
  <c r="AA90" i="20"/>
  <c r="AC90" i="20"/>
  <c r="C91" i="20"/>
  <c r="D91" i="20"/>
  <c r="E91" i="20"/>
  <c r="F91" i="20"/>
  <c r="G91" i="20"/>
  <c r="H91" i="20"/>
  <c r="I91" i="20"/>
  <c r="J91" i="20"/>
  <c r="K91" i="20"/>
  <c r="L91" i="20"/>
  <c r="M91" i="20"/>
  <c r="N91" i="20"/>
  <c r="O91" i="20"/>
  <c r="P91" i="20"/>
  <c r="Q91" i="20"/>
  <c r="R91" i="20"/>
  <c r="S91" i="20"/>
  <c r="T91" i="20"/>
  <c r="U91" i="20"/>
  <c r="V91" i="20"/>
  <c r="W91" i="20"/>
  <c r="X91" i="20"/>
  <c r="Y91" i="20"/>
  <c r="Z91" i="20"/>
  <c r="AA91" i="20"/>
  <c r="AB91" i="20"/>
  <c r="AC91" i="20"/>
  <c r="AD91" i="20"/>
  <c r="S92" i="20"/>
  <c r="C93" i="20"/>
  <c r="D93" i="20"/>
  <c r="E93" i="20"/>
  <c r="F93" i="20"/>
  <c r="G93" i="20"/>
  <c r="H93" i="20"/>
  <c r="I93" i="20"/>
  <c r="J93" i="20"/>
  <c r="K93" i="20"/>
  <c r="L93" i="20"/>
  <c r="M93" i="20"/>
  <c r="N93" i="20"/>
  <c r="O93" i="20"/>
  <c r="P93" i="20"/>
  <c r="Q93" i="20"/>
  <c r="R93" i="20"/>
  <c r="S93" i="20"/>
  <c r="T93" i="20"/>
  <c r="U93" i="20"/>
  <c r="W93" i="20"/>
  <c r="X93" i="20"/>
  <c r="Y93" i="20"/>
  <c r="Z93" i="20"/>
  <c r="AA93" i="20"/>
  <c r="AB93" i="20"/>
  <c r="AC93" i="20"/>
  <c r="C94" i="20"/>
  <c r="D94" i="20"/>
  <c r="E94" i="20"/>
  <c r="G94" i="20"/>
  <c r="H94" i="20"/>
  <c r="I94" i="20"/>
  <c r="K94" i="20"/>
  <c r="L94" i="20"/>
  <c r="M94" i="20"/>
  <c r="O94" i="20"/>
  <c r="Q94" i="20"/>
  <c r="S94" i="20"/>
  <c r="T94" i="20"/>
  <c r="U94" i="20"/>
  <c r="V94" i="20"/>
  <c r="W94" i="20"/>
  <c r="X94" i="20"/>
  <c r="Y94" i="20"/>
  <c r="Z94" i="20"/>
  <c r="AA94" i="20"/>
  <c r="AB94" i="20"/>
  <c r="AC94" i="20"/>
  <c r="AD94" i="20"/>
  <c r="C95" i="20"/>
  <c r="D95" i="20"/>
  <c r="E95" i="20"/>
  <c r="F95" i="20"/>
  <c r="G95" i="20"/>
  <c r="H95" i="20"/>
  <c r="I95" i="20"/>
  <c r="J95" i="20"/>
  <c r="K95" i="20"/>
  <c r="L95" i="20"/>
  <c r="M95" i="20"/>
  <c r="N95" i="20"/>
  <c r="O95" i="20"/>
  <c r="P95" i="20"/>
  <c r="Q95" i="20"/>
  <c r="R95" i="20"/>
  <c r="S95" i="20"/>
  <c r="Y95" i="20"/>
  <c r="Z95" i="20"/>
  <c r="AB95" i="20"/>
  <c r="AC95" i="20"/>
  <c r="E96" i="20"/>
  <c r="I96" i="20"/>
  <c r="J96" i="20"/>
  <c r="N96" i="20"/>
  <c r="P96" i="20"/>
  <c r="Q96" i="20"/>
  <c r="R96" i="20"/>
  <c r="S96" i="20"/>
  <c r="T96" i="20"/>
  <c r="U96" i="20"/>
  <c r="V96" i="20"/>
  <c r="X96" i="20"/>
  <c r="Y96" i="20"/>
  <c r="Z96" i="20"/>
  <c r="AA96" i="20"/>
  <c r="AB96" i="20"/>
  <c r="AC96" i="20"/>
  <c r="AD96" i="20"/>
  <c r="B5" i="20"/>
  <c r="B6" i="20"/>
  <c r="B8" i="20"/>
  <c r="B9" i="20"/>
  <c r="B11" i="20"/>
  <c r="B12" i="20"/>
  <c r="B15" i="20"/>
  <c r="B16" i="20"/>
  <c r="B17" i="20"/>
  <c r="B19" i="20"/>
  <c r="B20" i="20"/>
  <c r="B21" i="20"/>
  <c r="B22" i="20"/>
  <c r="B23" i="20"/>
  <c r="B24" i="20"/>
  <c r="B25" i="20"/>
  <c r="B26" i="20"/>
  <c r="B27" i="20"/>
  <c r="B28" i="20"/>
  <c r="B29" i="20"/>
  <c r="B30" i="20"/>
  <c r="B31" i="20"/>
  <c r="B32" i="20"/>
  <c r="B33" i="20"/>
  <c r="B34" i="20"/>
  <c r="B36" i="20"/>
  <c r="B37" i="20"/>
  <c r="B38" i="20"/>
  <c r="B39" i="20"/>
  <c r="B40" i="20"/>
  <c r="B41" i="20"/>
  <c r="B42" i="20"/>
  <c r="B43" i="20"/>
  <c r="B44" i="20"/>
  <c r="B45" i="20"/>
  <c r="B46" i="20"/>
  <c r="B47" i="20"/>
  <c r="B48" i="20"/>
  <c r="B49" i="20"/>
  <c r="B50" i="20"/>
  <c r="B51" i="20"/>
  <c r="B52" i="20"/>
  <c r="B53" i="20"/>
  <c r="B56" i="20"/>
  <c r="B57" i="20"/>
  <c r="B58" i="20"/>
  <c r="B59" i="20"/>
  <c r="B60" i="20"/>
  <c r="B61" i="20"/>
  <c r="B62" i="20"/>
  <c r="B63" i="20"/>
  <c r="B64" i="20"/>
  <c r="B65" i="20"/>
  <c r="B66" i="20"/>
  <c r="B67" i="20"/>
  <c r="B68" i="20"/>
  <c r="B70" i="20"/>
  <c r="B71" i="20"/>
  <c r="B72" i="20"/>
  <c r="B73" i="20"/>
  <c r="B74" i="20"/>
  <c r="B75" i="20"/>
  <c r="B77" i="20"/>
  <c r="B78" i="20"/>
  <c r="B79" i="20"/>
  <c r="B80" i="20"/>
  <c r="B81" i="20"/>
  <c r="B83" i="20"/>
  <c r="B84" i="20"/>
  <c r="B86" i="20"/>
  <c r="B89" i="20"/>
  <c r="B91" i="20"/>
  <c r="B93" i="20"/>
  <c r="B94" i="20"/>
  <c r="B95" i="20"/>
  <c r="B96" i="20"/>
  <c r="B4" i="20"/>
  <c r="S68" i="20"/>
  <c r="Q68" i="20"/>
  <c r="P68" i="20"/>
  <c r="O68" i="20"/>
  <c r="N68" i="20"/>
  <c r="M68" i="20"/>
  <c r="L68" i="20"/>
  <c r="K68" i="20"/>
  <c r="J68" i="20"/>
  <c r="I68" i="20"/>
  <c r="H68" i="20"/>
  <c r="G68" i="20"/>
  <c r="F68" i="20"/>
  <c r="E68" i="20"/>
  <c r="D68" i="20"/>
  <c r="S67" i="20"/>
  <c r="Q67" i="20"/>
  <c r="P67" i="20"/>
  <c r="O67" i="20"/>
  <c r="N67" i="20"/>
  <c r="M67" i="20"/>
  <c r="L67" i="20"/>
  <c r="K67" i="20"/>
  <c r="J67" i="20"/>
  <c r="I67" i="20"/>
  <c r="H67" i="20"/>
  <c r="G67" i="20"/>
  <c r="F67" i="20"/>
  <c r="E67" i="20"/>
  <c r="D67" i="20"/>
  <c r="S66" i="20"/>
  <c r="Q66" i="20"/>
  <c r="O66" i="20"/>
  <c r="N66" i="20"/>
  <c r="M66" i="20"/>
  <c r="L66" i="20"/>
  <c r="K66" i="20"/>
  <c r="J66" i="20"/>
  <c r="I66" i="20"/>
  <c r="H66" i="20"/>
  <c r="G66" i="20"/>
  <c r="F66" i="20"/>
  <c r="E66" i="20"/>
  <c r="D66" i="20"/>
  <c r="S65" i="20"/>
  <c r="Q65" i="20"/>
  <c r="P65" i="20"/>
  <c r="O65" i="20"/>
  <c r="N65" i="20"/>
  <c r="M65" i="20"/>
  <c r="L65" i="20"/>
  <c r="K65" i="20"/>
  <c r="J65" i="20"/>
  <c r="I65" i="20"/>
  <c r="H65" i="20"/>
  <c r="G65" i="20"/>
  <c r="F65" i="20"/>
  <c r="E65" i="20"/>
  <c r="D65" i="20"/>
  <c r="S64" i="20"/>
  <c r="Q64" i="20"/>
  <c r="P64" i="20"/>
  <c r="O64" i="20"/>
  <c r="N64" i="20"/>
  <c r="M64" i="20"/>
  <c r="L64" i="20"/>
  <c r="K64" i="20"/>
  <c r="J64" i="20"/>
  <c r="I64" i="20"/>
  <c r="H64" i="20"/>
  <c r="G64" i="20"/>
  <c r="F64" i="20"/>
  <c r="E64" i="20"/>
  <c r="D64" i="20"/>
  <c r="S63" i="20"/>
  <c r="Q63" i="20"/>
  <c r="P63" i="20"/>
  <c r="O63" i="20"/>
  <c r="N63" i="20"/>
  <c r="M63" i="20"/>
  <c r="L63" i="20"/>
  <c r="K63" i="20"/>
  <c r="J63" i="20"/>
  <c r="I63" i="20"/>
  <c r="H63" i="20"/>
  <c r="G63" i="20"/>
  <c r="F63" i="20"/>
  <c r="E63" i="20"/>
  <c r="D63" i="20"/>
  <c r="S62" i="20"/>
  <c r="Q62" i="20"/>
  <c r="P62" i="20"/>
  <c r="O62" i="20"/>
  <c r="N62" i="20"/>
  <c r="M62" i="20"/>
  <c r="L62" i="20"/>
  <c r="K62" i="20"/>
  <c r="J62" i="20"/>
  <c r="I62" i="20"/>
  <c r="H62" i="20"/>
  <c r="G62" i="20"/>
  <c r="F62" i="20"/>
  <c r="E62" i="20"/>
  <c r="D62" i="20"/>
  <c r="S61" i="20"/>
  <c r="Q61" i="20"/>
  <c r="P61" i="20"/>
  <c r="O61" i="20"/>
  <c r="N61" i="20"/>
  <c r="M61" i="20"/>
  <c r="L61" i="20"/>
  <c r="K61" i="20"/>
  <c r="J61" i="20"/>
  <c r="I61" i="20"/>
  <c r="H61" i="20"/>
  <c r="G61" i="20"/>
  <c r="F61" i="20"/>
  <c r="E61" i="20"/>
  <c r="D61" i="20"/>
  <c r="S60" i="20"/>
  <c r="Q60" i="20"/>
  <c r="P60" i="20"/>
  <c r="O60" i="20"/>
  <c r="N60" i="20"/>
  <c r="M60" i="20"/>
  <c r="L60" i="20"/>
  <c r="K60" i="20"/>
  <c r="J60" i="20"/>
  <c r="I60" i="20"/>
  <c r="H60" i="20"/>
  <c r="G60" i="20"/>
  <c r="F60" i="20"/>
  <c r="E60" i="20"/>
  <c r="D60" i="20"/>
  <c r="S59" i="20"/>
  <c r="Q59" i="20"/>
  <c r="P59" i="20"/>
  <c r="O59" i="20"/>
  <c r="N59" i="20"/>
  <c r="M59" i="20"/>
  <c r="L59" i="20"/>
  <c r="K59" i="20"/>
  <c r="J59" i="20"/>
  <c r="I59" i="20"/>
  <c r="H59" i="20"/>
  <c r="G59" i="20"/>
  <c r="F59" i="20"/>
  <c r="E59" i="20"/>
  <c r="D59" i="20"/>
  <c r="S58" i="20"/>
  <c r="Q58" i="20"/>
  <c r="O58" i="20"/>
  <c r="N58" i="20"/>
  <c r="M58" i="20"/>
  <c r="L58" i="20"/>
  <c r="K58" i="20"/>
  <c r="J58" i="20"/>
  <c r="I58" i="20"/>
  <c r="H58" i="20"/>
  <c r="G58" i="20"/>
  <c r="F58" i="20"/>
  <c r="E58" i="20"/>
  <c r="D58" i="20"/>
  <c r="S57" i="20"/>
  <c r="Q57" i="20"/>
  <c r="P57" i="20"/>
  <c r="O57" i="20"/>
  <c r="N57" i="20"/>
  <c r="M57" i="20"/>
  <c r="L57" i="20"/>
  <c r="K57" i="20"/>
  <c r="J57" i="20"/>
  <c r="I57" i="20"/>
  <c r="H57" i="20"/>
  <c r="G57" i="20"/>
  <c r="F57" i="20"/>
  <c r="E57" i="20"/>
  <c r="D57" i="20"/>
  <c r="S56" i="20"/>
  <c r="Q56" i="20"/>
  <c r="P56" i="20"/>
  <c r="O56" i="20"/>
  <c r="N56" i="20"/>
  <c r="M56" i="20"/>
  <c r="L56" i="20"/>
  <c r="K56" i="20"/>
  <c r="J56" i="20"/>
  <c r="I56" i="20"/>
  <c r="H56" i="20"/>
  <c r="G56" i="20"/>
  <c r="F56" i="20"/>
  <c r="E56" i="20"/>
  <c r="D56" i="20"/>
  <c r="N55" i="20"/>
  <c r="AY68" i="20"/>
  <c r="AX68" i="20"/>
  <c r="AW68" i="20"/>
  <c r="AV68" i="20"/>
  <c r="AU68" i="20"/>
  <c r="AY67" i="20"/>
  <c r="AX67" i="20"/>
  <c r="AW67" i="20"/>
  <c r="AV67" i="20"/>
  <c r="AU67" i="20"/>
  <c r="AT67" i="20"/>
  <c r="AY66" i="20"/>
  <c r="AX66" i="20"/>
  <c r="AW66" i="20"/>
  <c r="AV66" i="20"/>
  <c r="AU66" i="20"/>
  <c r="AT66" i="20"/>
  <c r="AY65" i="20"/>
  <c r="AX65" i="20"/>
  <c r="AW65" i="20"/>
  <c r="AV65" i="20"/>
  <c r="AU65" i="20"/>
  <c r="AT65" i="20"/>
  <c r="AY64" i="20"/>
  <c r="AX64" i="20"/>
  <c r="AW64" i="20"/>
  <c r="AV64" i="20"/>
  <c r="AU64" i="20"/>
  <c r="AY63" i="20"/>
  <c r="AX63" i="20"/>
  <c r="AW63" i="20"/>
  <c r="AV63" i="20"/>
  <c r="AU63" i="20"/>
  <c r="AT63" i="20"/>
  <c r="AY62" i="20"/>
  <c r="AX62" i="20"/>
  <c r="AW62" i="20"/>
  <c r="AV62" i="20"/>
  <c r="AU62" i="20"/>
  <c r="AT62" i="20"/>
  <c r="AY61" i="20"/>
  <c r="AX61" i="20"/>
  <c r="AW61" i="20"/>
  <c r="AV61" i="20"/>
  <c r="AU61" i="20"/>
  <c r="AY60" i="20"/>
  <c r="AX60" i="20"/>
  <c r="AW60" i="20"/>
  <c r="AV60" i="20"/>
  <c r="AU60" i="20"/>
  <c r="AY59" i="20"/>
  <c r="AX59" i="20"/>
  <c r="AV59" i="20"/>
  <c r="AU59" i="20"/>
  <c r="AT59" i="20"/>
  <c r="AY58" i="20"/>
  <c r="AX58" i="20"/>
  <c r="AW58" i="20"/>
  <c r="AV58" i="20"/>
  <c r="AU58" i="20"/>
  <c r="AT58" i="20"/>
  <c r="AY57" i="20"/>
  <c r="AX57" i="20"/>
  <c r="AW57" i="20"/>
  <c r="AV57" i="20"/>
  <c r="AU57" i="20"/>
  <c r="AT57" i="20"/>
  <c r="AY56" i="20"/>
  <c r="AX56" i="20"/>
  <c r="AW56" i="20"/>
  <c r="AV56" i="20"/>
  <c r="AU56" i="20"/>
  <c r="E29" i="49" l="1"/>
  <c r="D29" i="49"/>
  <c r="D52" i="49" s="1"/>
  <c r="D49" i="49"/>
  <c r="D66" i="49"/>
  <c r="D22" i="50" s="1"/>
  <c r="D116" i="50" s="1"/>
  <c r="D35" i="40" s="1"/>
  <c r="M35" i="40" s="1"/>
  <c r="D82" i="46"/>
  <c r="D59" i="49"/>
  <c r="D32" i="46" s="1"/>
  <c r="BJ83" i="20"/>
  <c r="P10" i="25"/>
  <c r="BD15" i="20"/>
  <c r="G10" i="25"/>
  <c r="H15" i="20"/>
  <c r="AD87" i="5"/>
  <c r="AC82" i="20" s="1"/>
  <c r="AC83" i="20"/>
  <c r="O10" i="25"/>
  <c r="BC15" i="20"/>
  <c r="BN46" i="5"/>
  <c r="BM41" i="20" s="1"/>
  <c r="U83" i="20"/>
  <c r="BB83" i="20"/>
  <c r="AS83" i="20"/>
  <c r="BN52" i="5"/>
  <c r="BM47" i="20" s="1"/>
  <c r="BF87" i="5"/>
  <c r="BE82" i="20" s="1"/>
  <c r="BE83" i="20"/>
  <c r="AW82" i="20"/>
  <c r="AW83" i="20"/>
  <c r="BH87" i="5"/>
  <c r="BG82" i="20" s="1"/>
  <c r="AZ87" i="5"/>
  <c r="AY82" i="20" s="1"/>
  <c r="AQ87" i="5"/>
  <c r="AP82" i="20" s="1"/>
  <c r="AP83" i="20"/>
  <c r="AI87" i="5"/>
  <c r="AH82" i="20" s="1"/>
  <c r="AH83" i="20"/>
  <c r="AA87" i="5"/>
  <c r="Z82" i="20" s="1"/>
  <c r="S87" i="5"/>
  <c r="R82" i="20" s="1"/>
  <c r="BJ87" i="5"/>
  <c r="BI82" i="20" s="1"/>
  <c r="BB87" i="5"/>
  <c r="BA82" i="20" s="1"/>
  <c r="AS87" i="5"/>
  <c r="AR82" i="20" s="1"/>
  <c r="AK87" i="5"/>
  <c r="AJ82" i="20" s="1"/>
  <c r="BG83" i="20"/>
  <c r="AN83" i="20"/>
  <c r="R83" i="20"/>
  <c r="BD18" i="20"/>
  <c r="T13" i="25"/>
  <c r="BK18" i="20"/>
  <c r="BN21" i="5"/>
  <c r="BM16" i="20" s="1"/>
  <c r="BN22" i="5"/>
  <c r="BM17" i="20" s="1"/>
  <c r="AC87" i="5"/>
  <c r="AB82" i="20" s="1"/>
  <c r="U87" i="5"/>
  <c r="T82" i="20" s="1"/>
  <c r="AB83" i="20"/>
  <c r="T83" i="20"/>
  <c r="BN37" i="5"/>
  <c r="BM32" i="20" s="1"/>
  <c r="BK15" i="20"/>
  <c r="T10" i="25"/>
  <c r="BM87" i="5"/>
  <c r="BL82" i="20" s="1"/>
  <c r="BE87" i="5"/>
  <c r="BD82" i="20" s="1"/>
  <c r="AW87" i="5"/>
  <c r="AV82" i="20" s="1"/>
  <c r="AN87" i="5"/>
  <c r="AM82" i="20" s="1"/>
  <c r="AF87" i="5"/>
  <c r="AE82" i="20" s="1"/>
  <c r="X87" i="5"/>
  <c r="W82" i="20" s="1"/>
  <c r="BG87" i="5"/>
  <c r="BF82" i="20" s="1"/>
  <c r="AY87" i="5"/>
  <c r="AX82" i="20" s="1"/>
  <c r="AP87" i="5"/>
  <c r="AO82" i="20" s="1"/>
  <c r="AH87" i="5"/>
  <c r="AG82" i="20" s="1"/>
  <c r="Z87" i="5"/>
  <c r="Y82" i="20" s="1"/>
  <c r="BL87" i="5"/>
  <c r="BK82" i="20" s="1"/>
  <c r="BD87" i="5"/>
  <c r="BC82" i="20" s="1"/>
  <c r="AU87" i="5"/>
  <c r="AT82" i="20" s="1"/>
  <c r="AM87" i="5"/>
  <c r="AL82" i="20" s="1"/>
  <c r="AE87" i="5"/>
  <c r="AD82" i="20" s="1"/>
  <c r="W87" i="5"/>
  <c r="V82" i="20" s="1"/>
  <c r="T18" i="16"/>
  <c r="I11" i="16"/>
  <c r="R10" i="25"/>
  <c r="D61" i="49"/>
  <c r="D70" i="49"/>
  <c r="D87" i="46" s="1"/>
  <c r="AS11" i="16"/>
  <c r="BN90" i="5"/>
  <c r="BM85" i="20" s="1"/>
  <c r="AI18" i="16"/>
  <c r="H32" i="6"/>
  <c r="AU15" i="20"/>
  <c r="AZ92" i="5"/>
  <c r="AY87" i="20" s="1"/>
  <c r="Q10" i="25"/>
  <c r="BE15" i="20"/>
  <c r="M10" i="25"/>
  <c r="AW15" i="20"/>
  <c r="F18" i="16"/>
  <c r="E17" i="94"/>
  <c r="AV17" i="20"/>
  <c r="U9" i="25"/>
  <c r="BL14" i="20"/>
  <c r="AU60" i="5"/>
  <c r="AT55" i="20" s="1"/>
  <c r="AT56" i="20"/>
  <c r="D17" i="94"/>
  <c r="D16" i="94"/>
  <c r="AS18" i="16"/>
  <c r="D12" i="94"/>
  <c r="AJ92" i="5"/>
  <c r="AI87" i="20" s="1"/>
  <c r="D11" i="94"/>
  <c r="T92" i="5"/>
  <c r="S87" i="20" s="1"/>
  <c r="N92" i="5"/>
  <c r="M87" i="20" s="1"/>
  <c r="D92" i="5"/>
  <c r="C87" i="20" s="1"/>
  <c r="E12" i="94"/>
  <c r="E16" i="94"/>
  <c r="AZ18" i="16"/>
  <c r="E64" i="49"/>
  <c r="E57" i="46" s="1"/>
  <c r="E49" i="49"/>
  <c r="E20" i="6"/>
  <c r="E35" i="6" s="1"/>
  <c r="AO74" i="5"/>
  <c r="AN69" i="20" s="1"/>
  <c r="AE74" i="5"/>
  <c r="AD69" i="20" s="1"/>
  <c r="E11" i="94"/>
  <c r="E13" i="94" s="1"/>
  <c r="BN82" i="5"/>
  <c r="BM77" i="20" s="1"/>
  <c r="BN31" i="5"/>
  <c r="BM26" i="20" s="1"/>
  <c r="E63" i="49"/>
  <c r="E52" i="46" s="1"/>
  <c r="E61" i="49"/>
  <c r="D68" i="49"/>
  <c r="D24" i="50" s="1"/>
  <c r="D107" i="50" s="1"/>
  <c r="D138" i="50" s="1"/>
  <c r="D76" i="46" s="1"/>
  <c r="D57" i="49"/>
  <c r="L40" i="5"/>
  <c r="K35" i="20" s="1"/>
  <c r="BN91" i="5"/>
  <c r="BM86" i="20" s="1"/>
  <c r="BH60" i="5"/>
  <c r="BG55" i="20" s="1"/>
  <c r="W60" i="5"/>
  <c r="V55" i="20" s="1"/>
  <c r="I74" i="5"/>
  <c r="H69" i="20" s="1"/>
  <c r="BL60" i="5"/>
  <c r="BK55" i="20" s="1"/>
  <c r="AA60" i="5"/>
  <c r="Z55" i="20" s="1"/>
  <c r="AZ97" i="5"/>
  <c r="AY92" i="20" s="1"/>
  <c r="AM60" i="5"/>
  <c r="AL55" i="20" s="1"/>
  <c r="AK60" i="5"/>
  <c r="AJ55" i="20" s="1"/>
  <c r="AG60" i="5"/>
  <c r="AF55" i="20" s="1"/>
  <c r="AE60" i="5"/>
  <c r="AD55" i="20" s="1"/>
  <c r="I81" i="5"/>
  <c r="H76" i="20" s="1"/>
  <c r="BD60" i="5"/>
  <c r="BC55" i="20" s="1"/>
  <c r="G60" i="5"/>
  <c r="F55" i="20" s="1"/>
  <c r="E60" i="5"/>
  <c r="D55" i="20" s="1"/>
  <c r="BN71" i="5"/>
  <c r="BM66" i="20" s="1"/>
  <c r="BN67" i="5"/>
  <c r="BM62" i="20" s="1"/>
  <c r="BN63" i="5"/>
  <c r="BM58" i="20" s="1"/>
  <c r="S13" i="25"/>
  <c r="BN33" i="5"/>
  <c r="BM28" i="20" s="1"/>
  <c r="BN29" i="5"/>
  <c r="BM24" i="20" s="1"/>
  <c r="BN25" i="5"/>
  <c r="BM20" i="20" s="1"/>
  <c r="BN38" i="5"/>
  <c r="BM33" i="20" s="1"/>
  <c r="BN34" i="5"/>
  <c r="BM29" i="20" s="1"/>
  <c r="BN30" i="5"/>
  <c r="BM25" i="20" s="1"/>
  <c r="BN39" i="5"/>
  <c r="BM34" i="20" s="1"/>
  <c r="BN35" i="5"/>
  <c r="BM30" i="20" s="1"/>
  <c r="BN27" i="5"/>
  <c r="BM22" i="20" s="1"/>
  <c r="AQ11" i="16"/>
  <c r="K18" i="16"/>
  <c r="AB92" i="5"/>
  <c r="AA87" i="20" s="1"/>
  <c r="Z92" i="5"/>
  <c r="Y87" i="20" s="1"/>
  <c r="Y92" i="5"/>
  <c r="X87" i="20" s="1"/>
  <c r="X92" i="5"/>
  <c r="W87" i="20" s="1"/>
  <c r="L92" i="5"/>
  <c r="K87" i="20" s="1"/>
  <c r="J92" i="5"/>
  <c r="I87" i="20" s="1"/>
  <c r="I92" i="5"/>
  <c r="H87" i="20" s="1"/>
  <c r="AJ97" i="5"/>
  <c r="AI92" i="20" s="1"/>
  <c r="BC18" i="5"/>
  <c r="BB13" i="20" s="1"/>
  <c r="AP76" i="20"/>
  <c r="BJ60" i="5"/>
  <c r="BI55" i="20" s="1"/>
  <c r="BF60" i="5"/>
  <c r="BE55" i="20" s="1"/>
  <c r="AZ60" i="5"/>
  <c r="AY55" i="20" s="1"/>
  <c r="AC60" i="5"/>
  <c r="AB55" i="20" s="1"/>
  <c r="Y60" i="5"/>
  <c r="X55" i="20" s="1"/>
  <c r="S60" i="5"/>
  <c r="R55" i="20" s="1"/>
  <c r="AQ18" i="16"/>
  <c r="E60" i="49"/>
  <c r="E37" i="46" s="1"/>
  <c r="E57" i="49"/>
  <c r="E22" i="46" s="1"/>
  <c r="E55" i="49"/>
  <c r="E12" i="46" s="1"/>
  <c r="AR97" i="5"/>
  <c r="AQ92" i="20" s="1"/>
  <c r="AP97" i="5"/>
  <c r="AO92" i="20" s="1"/>
  <c r="AO97" i="5"/>
  <c r="AN92" i="20" s="1"/>
  <c r="D97" i="5"/>
  <c r="C92" i="20" s="1"/>
  <c r="D40" i="5"/>
  <c r="C35" i="20" s="1"/>
  <c r="BD74" i="5"/>
  <c r="BC69" i="20" s="1"/>
  <c r="AS74" i="5"/>
  <c r="AR69" i="20" s="1"/>
  <c r="AG74" i="5"/>
  <c r="AF69" i="20" s="1"/>
  <c r="BB60" i="5"/>
  <c r="BA55" i="20" s="1"/>
  <c r="AW55" i="20"/>
  <c r="AP55" i="20"/>
  <c r="BN68" i="5"/>
  <c r="BM63" i="20" s="1"/>
  <c r="U60" i="5"/>
  <c r="T55" i="20" s="1"/>
  <c r="Q60" i="5"/>
  <c r="P55" i="20" s="1"/>
  <c r="K60" i="5"/>
  <c r="J55" i="20" s="1"/>
  <c r="M11" i="16"/>
  <c r="AH11" i="16"/>
  <c r="L97" i="5"/>
  <c r="K92" i="20" s="1"/>
  <c r="J97" i="5"/>
  <c r="I92" i="20" s="1"/>
  <c r="AI81" i="5"/>
  <c r="AH76" i="20" s="1"/>
  <c r="AG81" i="5"/>
  <c r="AF76" i="20" s="1"/>
  <c r="M81" i="5"/>
  <c r="L76" i="20" s="1"/>
  <c r="BN86" i="5"/>
  <c r="BM81" i="20" s="1"/>
  <c r="BL74" i="5"/>
  <c r="BK69" i="20" s="1"/>
  <c r="W74" i="5"/>
  <c r="V69" i="20" s="1"/>
  <c r="M74" i="5"/>
  <c r="L69" i="20" s="1"/>
  <c r="AS60" i="5"/>
  <c r="AR55" i="20" s="1"/>
  <c r="AO60" i="5"/>
  <c r="AN55" i="20" s="1"/>
  <c r="BN72" i="5"/>
  <c r="BM67" i="20" s="1"/>
  <c r="AI60" i="5"/>
  <c r="AH55" i="20" s="1"/>
  <c r="M60" i="5"/>
  <c r="L55" i="20" s="1"/>
  <c r="I60" i="5"/>
  <c r="H55" i="20" s="1"/>
  <c r="C60" i="5"/>
  <c r="B55" i="20" s="1"/>
  <c r="AU18" i="16"/>
  <c r="D67" i="49"/>
  <c r="D62" i="49"/>
  <c r="BH92" i="5"/>
  <c r="BG87" i="20" s="1"/>
  <c r="BF92" i="5"/>
  <c r="BE87" i="20" s="1"/>
  <c r="BE92" i="5"/>
  <c r="BD87" i="20" s="1"/>
  <c r="BD92" i="5"/>
  <c r="BC87" i="20" s="1"/>
  <c r="AT92" i="5"/>
  <c r="AS87" i="20" s="1"/>
  <c r="BH97" i="5"/>
  <c r="BG92" i="20" s="1"/>
  <c r="BF97" i="5"/>
  <c r="BE92" i="20" s="1"/>
  <c r="BE97" i="5"/>
  <c r="BD92" i="20" s="1"/>
  <c r="BD97" i="5"/>
  <c r="BC92" i="20" s="1"/>
  <c r="AR92" i="5"/>
  <c r="AQ87" i="20" s="1"/>
  <c r="AP92" i="5"/>
  <c r="AO87" i="20" s="1"/>
  <c r="AO92" i="5"/>
  <c r="AN87" i="20" s="1"/>
  <c r="AB97" i="5"/>
  <c r="AA92" i="20" s="1"/>
  <c r="T40" i="5"/>
  <c r="S35" i="20" s="1"/>
  <c r="AB40" i="5"/>
  <c r="AA35" i="20" s="1"/>
  <c r="D11" i="16"/>
  <c r="BL92" i="5"/>
  <c r="BK87" i="20" s="1"/>
  <c r="BB92" i="5"/>
  <c r="BA87" i="20" s="1"/>
  <c r="AH92" i="5"/>
  <c r="AG87" i="20" s="1"/>
  <c r="AG92" i="5"/>
  <c r="AF87" i="20" s="1"/>
  <c r="AF92" i="5"/>
  <c r="AE87" i="20" s="1"/>
  <c r="V92" i="5"/>
  <c r="U87" i="20" s="1"/>
  <c r="BM97" i="5"/>
  <c r="BL92" i="20" s="1"/>
  <c r="BL97" i="5"/>
  <c r="BK92" i="20" s="1"/>
  <c r="BB97" i="5"/>
  <c r="BA92" i="20" s="1"/>
  <c r="AH97" i="5"/>
  <c r="AG92" i="20" s="1"/>
  <c r="AG97" i="5"/>
  <c r="AF92" i="20" s="1"/>
  <c r="AF97" i="5"/>
  <c r="AE92" i="20" s="1"/>
  <c r="V97" i="5"/>
  <c r="U92" i="20" s="1"/>
  <c r="BN89" i="5"/>
  <c r="BM84" i="20" s="1"/>
  <c r="BN64" i="5"/>
  <c r="BM59" i="20" s="1"/>
  <c r="AV11" i="16"/>
  <c r="X40" i="5"/>
  <c r="W35" i="20" s="1"/>
  <c r="BF81" i="5"/>
  <c r="BE76" i="20" s="1"/>
  <c r="BD81" i="5"/>
  <c r="BC76" i="20" s="1"/>
  <c r="AZ81" i="5"/>
  <c r="AY76" i="20" s="1"/>
  <c r="AU81" i="5"/>
  <c r="AT76" i="20" s="1"/>
  <c r="AN81" i="5"/>
  <c r="AM76" i="20" s="1"/>
  <c r="T81" i="5"/>
  <c r="S76" i="20" s="1"/>
  <c r="P81" i="5"/>
  <c r="O76" i="20" s="1"/>
  <c r="C81" i="5"/>
  <c r="B76" i="20" s="1"/>
  <c r="BB74" i="5"/>
  <c r="BA69" i="20" s="1"/>
  <c r="U74" i="5"/>
  <c r="T69" i="20" s="1"/>
  <c r="BM60" i="5"/>
  <c r="BL55" i="20" s="1"/>
  <c r="BE60" i="5"/>
  <c r="BD55" i="20" s="1"/>
  <c r="AW60" i="5"/>
  <c r="AV55" i="20" s="1"/>
  <c r="AN60" i="5"/>
  <c r="AM55" i="20" s="1"/>
  <c r="AF60" i="5"/>
  <c r="AE55" i="20" s="1"/>
  <c r="X60" i="5"/>
  <c r="W55" i="20" s="1"/>
  <c r="P60" i="5"/>
  <c r="O55" i="20" s="1"/>
  <c r="H60" i="5"/>
  <c r="G55" i="20" s="1"/>
  <c r="G18" i="16"/>
  <c r="S18" i="16"/>
  <c r="E68" i="49"/>
  <c r="E77" i="46" s="1"/>
  <c r="E66" i="49"/>
  <c r="E67" i="46" s="1"/>
  <c r="D58" i="49"/>
  <c r="AT97" i="5"/>
  <c r="AS92" i="20" s="1"/>
  <c r="Z97" i="5"/>
  <c r="Y92" i="20" s="1"/>
  <c r="X97" i="5"/>
  <c r="W92" i="20" s="1"/>
  <c r="N97" i="5"/>
  <c r="M92" i="20" s="1"/>
  <c r="BN56" i="5"/>
  <c r="BM51" i="20" s="1"/>
  <c r="BN48" i="5"/>
  <c r="BM43" i="20" s="1"/>
  <c r="BN44" i="5"/>
  <c r="BM39" i="20" s="1"/>
  <c r="BN50" i="5"/>
  <c r="BM45" i="20" s="1"/>
  <c r="BN42" i="5"/>
  <c r="BM37" i="20" s="1"/>
  <c r="P40" i="5"/>
  <c r="O35" i="20" s="1"/>
  <c r="N87" i="5"/>
  <c r="M82" i="20" s="1"/>
  <c r="J87" i="5"/>
  <c r="I82" i="20" s="1"/>
  <c r="F87" i="5"/>
  <c r="E82" i="20" s="1"/>
  <c r="AE81" i="5"/>
  <c r="AD76" i="20" s="1"/>
  <c r="AA81" i="5"/>
  <c r="Z76" i="20" s="1"/>
  <c r="W81" i="5"/>
  <c r="V76" i="20" s="1"/>
  <c r="AK74" i="5"/>
  <c r="AJ69" i="20" s="1"/>
  <c r="E74" i="5"/>
  <c r="D69" i="20" s="1"/>
  <c r="H20" i="6"/>
  <c r="J11" i="6" s="1"/>
  <c r="H41" i="6" s="1"/>
  <c r="E41" i="6" s="1"/>
  <c r="E99" i="46" s="1"/>
  <c r="I18" i="16"/>
  <c r="AV18" i="16"/>
  <c r="AX92" i="5"/>
  <c r="AW87" i="20" s="1"/>
  <c r="AW92" i="5"/>
  <c r="AV87" i="20" s="1"/>
  <c r="AV92" i="5"/>
  <c r="AU87" i="20" s="1"/>
  <c r="AL92" i="5"/>
  <c r="AK87" i="20" s="1"/>
  <c r="R92" i="5"/>
  <c r="Q87" i="20" s="1"/>
  <c r="Q92" i="5"/>
  <c r="P87" i="20" s="1"/>
  <c r="P92" i="5"/>
  <c r="O87" i="20" s="1"/>
  <c r="F92" i="5"/>
  <c r="E87" i="20" s="1"/>
  <c r="AX97" i="5"/>
  <c r="AW92" i="20" s="1"/>
  <c r="AW97" i="5"/>
  <c r="AV92" i="20" s="1"/>
  <c r="AV97" i="5"/>
  <c r="AU92" i="20" s="1"/>
  <c r="AL97" i="5"/>
  <c r="AK92" i="20" s="1"/>
  <c r="R97" i="5"/>
  <c r="Q92" i="20" s="1"/>
  <c r="P97" i="5"/>
  <c r="O92" i="20" s="1"/>
  <c r="F97" i="5"/>
  <c r="E92" i="20" s="1"/>
  <c r="H40" i="5"/>
  <c r="G35" i="20" s="1"/>
  <c r="E81" i="5"/>
  <c r="D76" i="20" s="1"/>
  <c r="AM74" i="5"/>
  <c r="AL69" i="20" s="1"/>
  <c r="G74" i="5"/>
  <c r="F69" i="20" s="1"/>
  <c r="AV87" i="5"/>
  <c r="AU82" i="20" s="1"/>
  <c r="BN73" i="5"/>
  <c r="BM68" i="20" s="1"/>
  <c r="BN69" i="5"/>
  <c r="BM64" i="20" s="1"/>
  <c r="BN65" i="5"/>
  <c r="BM60" i="20" s="1"/>
  <c r="BN36" i="5"/>
  <c r="BM31" i="20" s="1"/>
  <c r="BN28" i="5"/>
  <c r="BM23" i="20" s="1"/>
  <c r="T11" i="16"/>
  <c r="D14" i="59"/>
  <c r="D41" i="40" s="1"/>
  <c r="M41" i="40" s="1"/>
  <c r="C40" i="24"/>
  <c r="C7" i="24"/>
  <c r="C5" i="24"/>
  <c r="BE40" i="5"/>
  <c r="BD35" i="20" s="1"/>
  <c r="BD36" i="20"/>
  <c r="AR40" i="5"/>
  <c r="AQ35" i="20" s="1"/>
  <c r="AN40" i="5"/>
  <c r="AM35" i="20" s="1"/>
  <c r="AF40" i="5"/>
  <c r="AE35" i="20" s="1"/>
  <c r="BN51" i="5"/>
  <c r="BM46" i="20" s="1"/>
  <c r="AB51" i="20"/>
  <c r="AB43" i="20"/>
  <c r="AB39" i="20"/>
  <c r="BN54" i="5"/>
  <c r="BM49" i="20" s="1"/>
  <c r="BN93" i="5"/>
  <c r="BM88" i="20" s="1"/>
  <c r="BN95" i="5"/>
  <c r="BM90" i="20" s="1"/>
  <c r="BN100" i="5"/>
  <c r="BM95" i="20" s="1"/>
  <c r="BN101" i="5"/>
  <c r="BM96" i="20" s="1"/>
  <c r="BM40" i="5"/>
  <c r="BL35" i="20" s="1"/>
  <c r="BL36" i="20"/>
  <c r="BI40" i="5"/>
  <c r="BH35" i="20" s="1"/>
  <c r="BH36" i="20"/>
  <c r="AW40" i="5"/>
  <c r="AV35" i="20" s="1"/>
  <c r="AV36" i="20"/>
  <c r="AA45" i="20"/>
  <c r="AA37" i="20"/>
  <c r="BA40" i="5"/>
  <c r="AZ35" i="20" s="1"/>
  <c r="AZ36" i="20"/>
  <c r="AJ40" i="5"/>
  <c r="AI35" i="20" s="1"/>
  <c r="BN55" i="5"/>
  <c r="BM50" i="20" s="1"/>
  <c r="BN47" i="5"/>
  <c r="BM42" i="20" s="1"/>
  <c r="BN43" i="5"/>
  <c r="BM38" i="20" s="1"/>
  <c r="R40" i="5"/>
  <c r="Q35" i="20" s="1"/>
  <c r="BN57" i="5"/>
  <c r="BM52" i="20" s="1"/>
  <c r="BN53" i="5"/>
  <c r="BM48" i="20" s="1"/>
  <c r="BN49" i="5"/>
  <c r="BM44" i="20" s="1"/>
  <c r="BN45" i="5"/>
  <c r="BM40" i="20" s="1"/>
  <c r="G40" i="5"/>
  <c r="F35" i="20" s="1"/>
  <c r="BN41" i="5"/>
  <c r="BM36" i="20" s="1"/>
  <c r="BC72" i="20"/>
  <c r="BN77" i="5"/>
  <c r="BM72" i="20" s="1"/>
  <c r="Q36" i="20"/>
  <c r="AQ36" i="20"/>
  <c r="AM36" i="20"/>
  <c r="AI36" i="20"/>
  <c r="AE36" i="20"/>
  <c r="BN9" i="5"/>
  <c r="BM4" i="20" s="1"/>
  <c r="BN13" i="5"/>
  <c r="BM8" i="20" s="1"/>
  <c r="C97" i="5"/>
  <c r="B92" i="20" s="1"/>
  <c r="BN99" i="5"/>
  <c r="BM94" i="20" s="1"/>
  <c r="W40" i="5"/>
  <c r="V35" i="20" s="1"/>
  <c r="N40" i="5"/>
  <c r="M35" i="20" s="1"/>
  <c r="BN17" i="5"/>
  <c r="BM12" i="20" s="1"/>
  <c r="P87" i="5"/>
  <c r="O82" i="20" s="1"/>
  <c r="BN88" i="5"/>
  <c r="BM83" i="20" s="1"/>
  <c r="AK81" i="5"/>
  <c r="BN85" i="5"/>
  <c r="BM80" i="20" s="1"/>
  <c r="BN83" i="5"/>
  <c r="BM78" i="20" s="1"/>
  <c r="BN84" i="5"/>
  <c r="BM79" i="20" s="1"/>
  <c r="F81" i="5"/>
  <c r="E76" i="20" s="1"/>
  <c r="E70" i="49"/>
  <c r="E87" i="46" s="1"/>
  <c r="E52" i="49"/>
  <c r="BN96" i="5"/>
  <c r="BM91" i="20" s="1"/>
  <c r="BN98" i="5"/>
  <c r="BM93" i="20" s="1"/>
  <c r="Z40" i="5"/>
  <c r="Y35" i="20" s="1"/>
  <c r="O40" i="5"/>
  <c r="N35" i="20" s="1"/>
  <c r="F40" i="5"/>
  <c r="E35" i="20" s="1"/>
  <c r="BA74" i="5"/>
  <c r="AZ69" i="20" s="1"/>
  <c r="BN79" i="5"/>
  <c r="BM74" i="20" s="1"/>
  <c r="BN75" i="5"/>
  <c r="BM70" i="20" s="1"/>
  <c r="T74" i="5"/>
  <c r="S69" i="20" s="1"/>
  <c r="BN78" i="5"/>
  <c r="BM73" i="20" s="1"/>
  <c r="R74" i="5"/>
  <c r="Q69" i="20" s="1"/>
  <c r="BN80" i="5"/>
  <c r="BM75" i="20" s="1"/>
  <c r="BN76" i="5"/>
  <c r="BM71" i="20" s="1"/>
  <c r="BN70" i="5"/>
  <c r="BM65" i="20" s="1"/>
  <c r="BN66" i="5"/>
  <c r="BM61" i="20" s="1"/>
  <c r="BN62" i="5"/>
  <c r="BM57" i="20" s="1"/>
  <c r="AV60" i="5"/>
  <c r="AU55" i="20" s="1"/>
  <c r="BN61" i="5"/>
  <c r="BM56" i="20" s="1"/>
  <c r="AU27" i="20"/>
  <c r="BN32" i="5"/>
  <c r="BM27" i="20" s="1"/>
  <c r="BM19" i="20"/>
  <c r="BN10" i="5"/>
  <c r="BM5" i="20" s="1"/>
  <c r="BN14" i="5"/>
  <c r="BM9" i="20" s="1"/>
  <c r="BJ92" i="5"/>
  <c r="BI87" i="20" s="1"/>
  <c r="AN92" i="5"/>
  <c r="AM87" i="20" s="1"/>
  <c r="AD92" i="5"/>
  <c r="AC87" i="20" s="1"/>
  <c r="H92" i="5"/>
  <c r="G87" i="20" s="1"/>
  <c r="BJ97" i="5"/>
  <c r="BI92" i="20" s="1"/>
  <c r="AN97" i="5"/>
  <c r="AM92" i="20" s="1"/>
  <c r="AD97" i="5"/>
  <c r="AC92" i="20" s="1"/>
  <c r="H97" i="5"/>
  <c r="G92" i="20" s="1"/>
  <c r="I10" i="25"/>
  <c r="AW18" i="5"/>
  <c r="AV13" i="20" s="1"/>
  <c r="AV14" i="20"/>
  <c r="V40" i="5"/>
  <c r="U35" i="20" s="1"/>
  <c r="J40" i="5"/>
  <c r="I35" i="20" s="1"/>
  <c r="AZ11" i="16"/>
  <c r="AU11" i="16"/>
  <c r="BK92" i="5"/>
  <c r="BJ87" i="20" s="1"/>
  <c r="BC92" i="5"/>
  <c r="BB87" i="20" s="1"/>
  <c r="AU92" i="5"/>
  <c r="AT87" i="20" s="1"/>
  <c r="AM92" i="5"/>
  <c r="AL87" i="20" s="1"/>
  <c r="AE92" i="5"/>
  <c r="AD87" i="20" s="1"/>
  <c r="W92" i="5"/>
  <c r="V87" i="20" s="1"/>
  <c r="O92" i="5"/>
  <c r="N87" i="20" s="1"/>
  <c r="G92" i="5"/>
  <c r="F87" i="20" s="1"/>
  <c r="BK97" i="5"/>
  <c r="BJ92" i="20" s="1"/>
  <c r="BC97" i="5"/>
  <c r="BB92" i="20" s="1"/>
  <c r="AU97" i="5"/>
  <c r="AT92" i="20" s="1"/>
  <c r="AM97" i="5"/>
  <c r="AL92" i="20" s="1"/>
  <c r="AE97" i="5"/>
  <c r="AD92" i="20" s="1"/>
  <c r="S10" i="25"/>
  <c r="BL40" i="5"/>
  <c r="BK35" i="20" s="1"/>
  <c r="BH40" i="5"/>
  <c r="BG35" i="20" s="1"/>
  <c r="BD40" i="5"/>
  <c r="BC35" i="20" s="1"/>
  <c r="AZ40" i="5"/>
  <c r="AY35" i="20" s="1"/>
  <c r="AX40" i="5"/>
  <c r="AW35" i="20" s="1"/>
  <c r="AU40" i="5"/>
  <c r="AT35" i="20" s="1"/>
  <c r="AQ40" i="5"/>
  <c r="AP35" i="20" s="1"/>
  <c r="AM40" i="5"/>
  <c r="AL35" i="20" s="1"/>
  <c r="AI40" i="5"/>
  <c r="AH35" i="20" s="1"/>
  <c r="AE40" i="5"/>
  <c r="AD35" i="20" s="1"/>
  <c r="AC40" i="5"/>
  <c r="AB35" i="20" s="1"/>
  <c r="Y40" i="5"/>
  <c r="X35" i="20" s="1"/>
  <c r="Q40" i="5"/>
  <c r="P35" i="20" s="1"/>
  <c r="I40" i="5"/>
  <c r="H35" i="20" s="1"/>
  <c r="Q87" i="5"/>
  <c r="P82" i="20" s="1"/>
  <c r="BL81" i="5"/>
  <c r="AJ81" i="5"/>
  <c r="AI76" i="20" s="1"/>
  <c r="N81" i="5"/>
  <c r="M76" i="20" s="1"/>
  <c r="L81" i="5"/>
  <c r="K76" i="20" s="1"/>
  <c r="BJ74" i="5"/>
  <c r="BH74" i="5"/>
  <c r="BG69" i="20" s="1"/>
  <c r="BF74" i="5"/>
  <c r="BE69" i="20" s="1"/>
  <c r="BG60" i="5"/>
  <c r="BF55" i="20" s="1"/>
  <c r="AX55" i="20"/>
  <c r="AP60" i="5"/>
  <c r="AO55" i="20" s="1"/>
  <c r="AH60" i="5"/>
  <c r="AG55" i="20" s="1"/>
  <c r="Z60" i="5"/>
  <c r="Y55" i="20" s="1"/>
  <c r="R60" i="5"/>
  <c r="Q55" i="20" s="1"/>
  <c r="J60" i="5"/>
  <c r="I55" i="20" s="1"/>
  <c r="AV40" i="5"/>
  <c r="AU35" i="20" s="1"/>
  <c r="AV81" i="5"/>
  <c r="AU76" i="20" s="1"/>
  <c r="AP11" i="16"/>
  <c r="AL11" i="16"/>
  <c r="AG11" i="16"/>
  <c r="AC11" i="16"/>
  <c r="Y11" i="16"/>
  <c r="U11" i="16"/>
  <c r="AO11" i="16"/>
  <c r="AK11" i="16"/>
  <c r="AF11" i="16"/>
  <c r="AB11" i="16"/>
  <c r="X11" i="16"/>
  <c r="AN11" i="16"/>
  <c r="AE11" i="16"/>
  <c r="W11" i="16"/>
  <c r="AM11" i="16"/>
  <c r="AD11" i="16"/>
  <c r="V11" i="16"/>
  <c r="AJ11" i="16"/>
  <c r="AA11" i="16"/>
  <c r="AN18" i="16"/>
  <c r="AJ18" i="16"/>
  <c r="AF18" i="16"/>
  <c r="AB18" i="16"/>
  <c r="X18" i="16"/>
  <c r="AP18" i="16"/>
  <c r="AH18" i="16"/>
  <c r="Z18" i="16"/>
  <c r="AM18" i="16"/>
  <c r="AE18" i="16"/>
  <c r="W18" i="16"/>
  <c r="AL18" i="16"/>
  <c r="AD18" i="16"/>
  <c r="V18" i="16"/>
  <c r="P32" i="3"/>
  <c r="M32" i="3"/>
  <c r="BN12" i="5"/>
  <c r="BM7" i="20" s="1"/>
  <c r="BI92" i="5"/>
  <c r="BH87" i="20" s="1"/>
  <c r="BA92" i="5"/>
  <c r="AZ87" i="20" s="1"/>
  <c r="AS92" i="5"/>
  <c r="AR87" i="20" s="1"/>
  <c r="AK92" i="5"/>
  <c r="AJ87" i="20" s="1"/>
  <c r="AC92" i="5"/>
  <c r="AB87" i="20" s="1"/>
  <c r="U92" i="5"/>
  <c r="T87" i="20" s="1"/>
  <c r="M92" i="5"/>
  <c r="L87" i="20" s="1"/>
  <c r="E92" i="5"/>
  <c r="D87" i="20" s="1"/>
  <c r="BI97" i="5"/>
  <c r="BH92" i="20" s="1"/>
  <c r="BA97" i="5"/>
  <c r="AZ92" i="20" s="1"/>
  <c r="AS97" i="5"/>
  <c r="AR92" i="20" s="1"/>
  <c r="AK97" i="5"/>
  <c r="AJ92" i="20" s="1"/>
  <c r="AI11" i="16"/>
  <c r="N10" i="25"/>
  <c r="K10" i="25"/>
  <c r="BN20" i="5"/>
  <c r="AX18" i="5"/>
  <c r="AW13" i="20" s="1"/>
  <c r="BN58" i="5"/>
  <c r="BM53" i="20" s="1"/>
  <c r="BK40" i="5"/>
  <c r="BJ35" i="20" s="1"/>
  <c r="AA40" i="5"/>
  <c r="Z35" i="20" s="1"/>
  <c r="S40" i="5"/>
  <c r="R35" i="20" s="1"/>
  <c r="K40" i="5"/>
  <c r="J35" i="20" s="1"/>
  <c r="C40" i="5"/>
  <c r="B35" i="20" s="1"/>
  <c r="BN16" i="5"/>
  <c r="BM11" i="20" s="1"/>
  <c r="R87" i="5"/>
  <c r="Q82" i="20" s="1"/>
  <c r="AE59" i="5"/>
  <c r="AD54" i="20" s="1"/>
  <c r="W59" i="5"/>
  <c r="V54" i="20" s="1"/>
  <c r="U81" i="5"/>
  <c r="T76" i="20" s="1"/>
  <c r="S81" i="5"/>
  <c r="O81" i="5"/>
  <c r="D81" i="5"/>
  <c r="C76" i="20" s="1"/>
  <c r="BK74" i="5"/>
  <c r="BI74" i="5"/>
  <c r="BH69" i="20" s="1"/>
  <c r="BG74" i="5"/>
  <c r="AU74" i="5"/>
  <c r="AT69" i="20" s="1"/>
  <c r="AC74" i="5"/>
  <c r="AB69" i="20" s="1"/>
  <c r="AA74" i="5"/>
  <c r="Z69" i="20" s="1"/>
  <c r="Y74" i="5"/>
  <c r="X69" i="20" s="1"/>
  <c r="O74" i="5"/>
  <c r="N69" i="20" s="1"/>
  <c r="BI60" i="5"/>
  <c r="BH55" i="20" s="1"/>
  <c r="BA60" i="5"/>
  <c r="AZ55" i="20" s="1"/>
  <c r="AR60" i="5"/>
  <c r="AQ55" i="20" s="1"/>
  <c r="AJ60" i="5"/>
  <c r="AI55" i="20" s="1"/>
  <c r="AB60" i="5"/>
  <c r="AA55" i="20" s="1"/>
  <c r="T60" i="5"/>
  <c r="S55" i="20" s="1"/>
  <c r="L60" i="5"/>
  <c r="K55" i="20" s="1"/>
  <c r="D60" i="5"/>
  <c r="C55" i="20" s="1"/>
  <c r="N11" i="16"/>
  <c r="J11" i="16"/>
  <c r="E11" i="16"/>
  <c r="L11" i="16"/>
  <c r="C11" i="16"/>
  <c r="H11" i="16"/>
  <c r="G11" i="16"/>
  <c r="BN11" i="5"/>
  <c r="BM6" i="20" s="1"/>
  <c r="BG92" i="5"/>
  <c r="BF87" i="20" s="1"/>
  <c r="AY92" i="5"/>
  <c r="AX87" i="20" s="1"/>
  <c r="AQ92" i="5"/>
  <c r="AP87" i="20" s="1"/>
  <c r="AI92" i="5"/>
  <c r="AH87" i="20" s="1"/>
  <c r="AA92" i="5"/>
  <c r="Z87" i="20" s="1"/>
  <c r="S92" i="5"/>
  <c r="R87" i="20" s="1"/>
  <c r="K92" i="5"/>
  <c r="J87" i="20" s="1"/>
  <c r="C92" i="5"/>
  <c r="B87" i="20" s="1"/>
  <c r="BG97" i="5"/>
  <c r="BF92" i="20" s="1"/>
  <c r="AY97" i="5"/>
  <c r="AX92" i="20" s="1"/>
  <c r="AQ97" i="5"/>
  <c r="AP92" i="20" s="1"/>
  <c r="AI97" i="5"/>
  <c r="AH92" i="20" s="1"/>
  <c r="BA18" i="5"/>
  <c r="AZ13" i="20" s="1"/>
  <c r="BJ40" i="5"/>
  <c r="BI35" i="20" s="1"/>
  <c r="BF40" i="5"/>
  <c r="BE35" i="20" s="1"/>
  <c r="BB40" i="5"/>
  <c r="BA35" i="20" s="1"/>
  <c r="AS40" i="5"/>
  <c r="AR35" i="20" s="1"/>
  <c r="AO40" i="5"/>
  <c r="AN35" i="20" s="1"/>
  <c r="AK40" i="5"/>
  <c r="AJ35" i="20" s="1"/>
  <c r="AG40" i="5"/>
  <c r="AF35" i="20" s="1"/>
  <c r="U40" i="5"/>
  <c r="T35" i="20" s="1"/>
  <c r="M40" i="5"/>
  <c r="L35" i="20" s="1"/>
  <c r="E40" i="5"/>
  <c r="D35" i="20" s="1"/>
  <c r="O87" i="5"/>
  <c r="N82" i="20" s="1"/>
  <c r="K87" i="5"/>
  <c r="J82" i="20" s="1"/>
  <c r="G87" i="5"/>
  <c r="F82" i="20" s="1"/>
  <c r="C87" i="5"/>
  <c r="B82" i="20" s="1"/>
  <c r="AH81" i="5"/>
  <c r="AG76" i="20" s="1"/>
  <c r="AF81" i="5"/>
  <c r="AE76" i="20" s="1"/>
  <c r="AD81" i="5"/>
  <c r="AC76" i="20" s="1"/>
  <c r="Z81" i="5"/>
  <c r="Y76" i="20" s="1"/>
  <c r="V81" i="5"/>
  <c r="U76" i="20" s="1"/>
  <c r="G81" i="5"/>
  <c r="AW69" i="20"/>
  <c r="AD74" i="5"/>
  <c r="Q74" i="5"/>
  <c r="P69" i="20" s="1"/>
  <c r="BK60" i="5"/>
  <c r="BC60" i="5"/>
  <c r="BB55" i="20" s="1"/>
  <c r="AT60" i="5"/>
  <c r="AS55" i="20" s="1"/>
  <c r="AL60" i="5"/>
  <c r="AK55" i="20" s="1"/>
  <c r="AD60" i="5"/>
  <c r="AC55" i="20" s="1"/>
  <c r="V60" i="5"/>
  <c r="U55" i="20" s="1"/>
  <c r="N60" i="5"/>
  <c r="M55" i="20" s="1"/>
  <c r="F60" i="5"/>
  <c r="E55" i="20" s="1"/>
  <c r="Z11" i="16"/>
  <c r="AA18" i="16"/>
  <c r="AL74" i="5"/>
  <c r="AK69" i="20" s="1"/>
  <c r="AI74" i="5"/>
  <c r="AB74" i="5"/>
  <c r="AA69" i="20" s="1"/>
  <c r="Z74" i="5"/>
  <c r="Y69" i="20" s="1"/>
  <c r="F74" i="5"/>
  <c r="C74" i="5"/>
  <c r="BI18" i="5"/>
  <c r="BH13" i="20" s="1"/>
  <c r="S11" i="16"/>
  <c r="AO18" i="16"/>
  <c r="L87" i="5"/>
  <c r="K82" i="20" s="1"/>
  <c r="H87" i="5"/>
  <c r="G82" i="20" s="1"/>
  <c r="D87" i="5"/>
  <c r="C82" i="20" s="1"/>
  <c r="BM81" i="5"/>
  <c r="BL76" i="20" s="1"/>
  <c r="BJ81" i="5"/>
  <c r="BI76" i="20" s="1"/>
  <c r="BH81" i="5"/>
  <c r="BB81" i="5"/>
  <c r="AS81" i="5"/>
  <c r="AP81" i="5"/>
  <c r="AO76" i="20" s="1"/>
  <c r="AL81" i="5"/>
  <c r="AK76" i="20" s="1"/>
  <c r="AC81" i="5"/>
  <c r="Y81" i="5"/>
  <c r="R81" i="5"/>
  <c r="Q76" i="20" s="1"/>
  <c r="K81" i="5"/>
  <c r="J76" i="20" s="1"/>
  <c r="H81" i="5"/>
  <c r="G76" i="20" s="1"/>
  <c r="AT74" i="5"/>
  <c r="AJ74" i="5"/>
  <c r="AH74" i="5"/>
  <c r="N74" i="5"/>
  <c r="K74" i="5"/>
  <c r="J69" i="20" s="1"/>
  <c r="D74" i="5"/>
  <c r="C69" i="20" s="1"/>
  <c r="BK18" i="5"/>
  <c r="BJ13" i="20" s="1"/>
  <c r="N18" i="16"/>
  <c r="J18" i="16"/>
  <c r="E18" i="16"/>
  <c r="M18" i="16"/>
  <c r="H18" i="16"/>
  <c r="D18" i="16"/>
  <c r="E62" i="49"/>
  <c r="E47" i="46" s="1"/>
  <c r="D63" i="49"/>
  <c r="BG40" i="5"/>
  <c r="BF35" i="20" s="1"/>
  <c r="BC40" i="5"/>
  <c r="BB35" i="20" s="1"/>
  <c r="AY40" i="5"/>
  <c r="AX35" i="20" s="1"/>
  <c r="AT40" i="5"/>
  <c r="AS35" i="20" s="1"/>
  <c r="AP40" i="5"/>
  <c r="AO35" i="20" s="1"/>
  <c r="AL40" i="5"/>
  <c r="AK35" i="20" s="1"/>
  <c r="AH40" i="5"/>
  <c r="AG35" i="20" s="1"/>
  <c r="AD40" i="5"/>
  <c r="AC35" i="20" s="1"/>
  <c r="M87" i="5"/>
  <c r="L82" i="20" s="1"/>
  <c r="I87" i="5"/>
  <c r="H82" i="20" s="1"/>
  <c r="E87" i="5"/>
  <c r="BG81" i="5"/>
  <c r="BF76" i="20" s="1"/>
  <c r="BA81" i="5"/>
  <c r="AZ76" i="20" s="1"/>
  <c r="AW81" i="5"/>
  <c r="AV76" i="20" s="1"/>
  <c r="AR81" i="5"/>
  <c r="AQ76" i="20" s="1"/>
  <c r="AO81" i="5"/>
  <c r="J81" i="5"/>
  <c r="I76" i="20" s="1"/>
  <c r="BC74" i="5"/>
  <c r="AZ74" i="5"/>
  <c r="AY69" i="20" s="1"/>
  <c r="AR74" i="5"/>
  <c r="AQ69" i="20" s="1"/>
  <c r="AP74" i="5"/>
  <c r="AO69" i="20" s="1"/>
  <c r="V74" i="5"/>
  <c r="U69" i="20" s="1"/>
  <c r="S74" i="5"/>
  <c r="R69" i="20" s="1"/>
  <c r="L74" i="5"/>
  <c r="K69" i="20" s="1"/>
  <c r="J74" i="5"/>
  <c r="C18" i="16"/>
  <c r="L18" i="16"/>
  <c r="E67" i="49"/>
  <c r="E72" i="46" s="1"/>
  <c r="D65" i="49"/>
  <c r="D64" i="49"/>
  <c r="AV74" i="5"/>
  <c r="AU69" i="20" s="1"/>
  <c r="AT18" i="16"/>
  <c r="BK81" i="5"/>
  <c r="BJ76" i="20" s="1"/>
  <c r="BI81" i="5"/>
  <c r="BH76" i="20" s="1"/>
  <c r="BE81" i="5"/>
  <c r="BD76" i="20" s="1"/>
  <c r="BC81" i="5"/>
  <c r="BB76" i="20" s="1"/>
  <c r="AX76" i="20"/>
  <c r="AT81" i="5"/>
  <c r="AS76" i="20" s="1"/>
  <c r="AM81" i="5"/>
  <c r="AB81" i="5"/>
  <c r="AA76" i="20" s="1"/>
  <c r="X81" i="5"/>
  <c r="W76" i="20" s="1"/>
  <c r="Q81" i="5"/>
  <c r="BM74" i="5"/>
  <c r="BE74" i="5"/>
  <c r="BD69" i="20" s="1"/>
  <c r="AW74" i="5"/>
  <c r="AV69" i="20" s="1"/>
  <c r="AN74" i="5"/>
  <c r="AM69" i="20" s="1"/>
  <c r="AF74" i="5"/>
  <c r="X74" i="5"/>
  <c r="W69" i="20" s="1"/>
  <c r="P74" i="5"/>
  <c r="O69" i="20" s="1"/>
  <c r="H74" i="5"/>
  <c r="F11" i="16"/>
  <c r="K11" i="16"/>
  <c r="AT11" i="16"/>
  <c r="U18" i="16"/>
  <c r="Y18" i="16"/>
  <c r="AC18" i="16"/>
  <c r="AG18" i="16"/>
  <c r="AK18" i="16"/>
  <c r="E59" i="49"/>
  <c r="E32" i="46" s="1"/>
  <c r="E65" i="49"/>
  <c r="E62" i="46" s="1"/>
  <c r="E58" i="49"/>
  <c r="E27" i="46" s="1"/>
  <c r="D60" i="49"/>
  <c r="D55" i="49"/>
  <c r="D12" i="46" s="1"/>
  <c r="M27" i="3"/>
  <c r="M40" i="3"/>
  <c r="M49" i="3"/>
  <c r="M45" i="3"/>
  <c r="P15" i="3"/>
  <c r="AA97" i="5"/>
  <c r="Z92" i="20" s="1"/>
  <c r="W97" i="5"/>
  <c r="V92" i="20" s="1"/>
  <c r="S97" i="5"/>
  <c r="R92" i="20" s="1"/>
  <c r="O97" i="5"/>
  <c r="N92" i="20" s="1"/>
  <c r="K97" i="5"/>
  <c r="J92" i="20" s="1"/>
  <c r="G97" i="5"/>
  <c r="F92" i="20" s="1"/>
  <c r="BM92" i="5"/>
  <c r="BL87" i="20" s="1"/>
  <c r="AP59" i="5"/>
  <c r="BN94" i="5"/>
  <c r="BM89" i="20" s="1"/>
  <c r="AC97" i="5"/>
  <c r="AB92" i="20" s="1"/>
  <c r="Y97" i="5"/>
  <c r="X92" i="20" s="1"/>
  <c r="U97" i="5"/>
  <c r="T92" i="20" s="1"/>
  <c r="Q97" i="5"/>
  <c r="P92" i="20" s="1"/>
  <c r="M97" i="5"/>
  <c r="L92" i="20" s="1"/>
  <c r="I97" i="5"/>
  <c r="H92" i="20" s="1"/>
  <c r="E97" i="5"/>
  <c r="AN59" i="5"/>
  <c r="T59" i="5"/>
  <c r="AY18" i="5"/>
  <c r="AX13" i="20" s="1"/>
  <c r="BB18" i="5"/>
  <c r="BA13" i="20" s="1"/>
  <c r="M9" i="25"/>
  <c r="AR11" i="16"/>
  <c r="AR18" i="16"/>
  <c r="E110" i="50"/>
  <c r="D139" i="50"/>
  <c r="D81" i="46" s="1"/>
  <c r="D33" i="40"/>
  <c r="M33" i="40" s="1"/>
  <c r="D119" i="50"/>
  <c r="J17" i="6" l="1"/>
  <c r="H47" i="6" s="1"/>
  <c r="E47" i="6" s="1"/>
  <c r="E129" i="46" s="1"/>
  <c r="J14" i="6"/>
  <c r="H44" i="6" s="1"/>
  <c r="E44" i="6" s="1"/>
  <c r="E114" i="46" s="1"/>
  <c r="J16" i="6"/>
  <c r="H46" i="6" s="1"/>
  <c r="E46" i="6" s="1"/>
  <c r="E124" i="46" s="1"/>
  <c r="J12" i="6"/>
  <c r="H42" i="6" s="1"/>
  <c r="E42" i="6" s="1"/>
  <c r="E104" i="46" s="1"/>
  <c r="J13" i="6"/>
  <c r="H43" i="6" s="1"/>
  <c r="E43" i="6" s="1"/>
  <c r="E109" i="46" s="1"/>
  <c r="J18" i="6"/>
  <c r="H48" i="6" s="1"/>
  <c r="E48" i="6" s="1"/>
  <c r="E134" i="46" s="1"/>
  <c r="D122" i="50"/>
  <c r="E122" i="50" s="1"/>
  <c r="E37" i="40" s="1"/>
  <c r="B54" i="24" s="1"/>
  <c r="E42" i="46"/>
  <c r="D42" i="46"/>
  <c r="D15" i="50"/>
  <c r="D84" i="50" s="1"/>
  <c r="E84" i="50" s="1"/>
  <c r="E129" i="50" s="1"/>
  <c r="E31" i="46" s="1"/>
  <c r="E116" i="50"/>
  <c r="E35" i="40" s="1"/>
  <c r="B52" i="24" s="1"/>
  <c r="D67" i="46"/>
  <c r="E107" i="50"/>
  <c r="E32" i="40" s="1"/>
  <c r="B48" i="24" s="1"/>
  <c r="D15" i="59"/>
  <c r="E41" i="40" s="1"/>
  <c r="D22" i="46"/>
  <c r="D26" i="50"/>
  <c r="D113" i="50" s="1"/>
  <c r="D34" i="40" s="1"/>
  <c r="M34" i="40" s="1"/>
  <c r="L78" i="3" s="1"/>
  <c r="D17" i="59"/>
  <c r="D42" i="40" s="1"/>
  <c r="M42" i="40" s="1"/>
  <c r="D32" i="40"/>
  <c r="M32" i="40" s="1"/>
  <c r="L83" i="3" s="1"/>
  <c r="V59" i="5"/>
  <c r="D17" i="50"/>
  <c r="D90" i="50" s="1"/>
  <c r="E19" i="47"/>
  <c r="D59" i="5"/>
  <c r="C54" i="20" s="1"/>
  <c r="BD59" i="5"/>
  <c r="BC54" i="20" s="1"/>
  <c r="D77" i="46"/>
  <c r="D78" i="46" s="1"/>
  <c r="D79" i="46" s="1"/>
  <c r="P59" i="5"/>
  <c r="E26" i="94"/>
  <c r="E18" i="94"/>
  <c r="E21" i="94" s="1"/>
  <c r="E27" i="94"/>
  <c r="E36" i="47" s="1"/>
  <c r="BI59" i="5"/>
  <c r="BI15" i="5" s="1"/>
  <c r="BH10" i="20" s="1"/>
  <c r="BN81" i="5"/>
  <c r="BM76" i="20" s="1"/>
  <c r="AG59" i="5"/>
  <c r="AF54" i="20" s="1"/>
  <c r="D13" i="94"/>
  <c r="D26" i="94"/>
  <c r="D18" i="94"/>
  <c r="E71" i="49"/>
  <c r="E93" i="46" s="1"/>
  <c r="AB59" i="5"/>
  <c r="R59" i="5"/>
  <c r="D27" i="94"/>
  <c r="D53" i="50"/>
  <c r="D56" i="50"/>
  <c r="D19" i="40" s="1"/>
  <c r="M19" i="40" s="1"/>
  <c r="D11" i="50"/>
  <c r="D23" i="50"/>
  <c r="D72" i="46"/>
  <c r="D18" i="50"/>
  <c r="D91" i="50" s="1"/>
  <c r="E20" i="47"/>
  <c r="E21" i="47" s="1"/>
  <c r="D47" i="46"/>
  <c r="L77" i="3"/>
  <c r="AZ59" i="5"/>
  <c r="J15" i="6"/>
  <c r="H45" i="6" s="1"/>
  <c r="E45" i="6" s="1"/>
  <c r="E119" i="46" s="1"/>
  <c r="J19" i="6"/>
  <c r="H49" i="6" s="1"/>
  <c r="E49" i="6" s="1"/>
  <c r="D14" i="50"/>
  <c r="D27" i="46"/>
  <c r="E15" i="47"/>
  <c r="BF59" i="5"/>
  <c r="BE54" i="20" s="1"/>
  <c r="BN74" i="5"/>
  <c r="BM69" i="20" s="1"/>
  <c r="H35" i="6"/>
  <c r="BM59" i="5"/>
  <c r="BL54" i="20" s="1"/>
  <c r="BL69" i="20"/>
  <c r="J59" i="5"/>
  <c r="I54" i="20" s="1"/>
  <c r="I69" i="20"/>
  <c r="BN87" i="5"/>
  <c r="BM82" i="20" s="1"/>
  <c r="X59" i="5"/>
  <c r="W54" i="20" s="1"/>
  <c r="AW59" i="5"/>
  <c r="AW15" i="5" s="1"/>
  <c r="BN40" i="5"/>
  <c r="BM35" i="20" s="1"/>
  <c r="H59" i="5"/>
  <c r="G54" i="20" s="1"/>
  <c r="G69" i="20"/>
  <c r="Q59" i="5"/>
  <c r="P54" i="20" s="1"/>
  <c r="P76" i="20"/>
  <c r="D20" i="50"/>
  <c r="D31" i="50" s="1"/>
  <c r="D57" i="46"/>
  <c r="E12" i="47"/>
  <c r="E11" i="47" s="1"/>
  <c r="E13" i="47" s="1"/>
  <c r="AO59" i="5"/>
  <c r="AN54" i="20" s="1"/>
  <c r="AN76" i="20"/>
  <c r="D19" i="50"/>
  <c r="D52" i="46"/>
  <c r="E16" i="47"/>
  <c r="N59" i="5"/>
  <c r="M54" i="20" s="1"/>
  <c r="M69" i="20"/>
  <c r="AT59" i="5"/>
  <c r="AS54" i="20" s="1"/>
  <c r="AS69" i="20"/>
  <c r="Y59" i="5"/>
  <c r="X54" i="20" s="1"/>
  <c r="X76" i="20"/>
  <c r="AS59" i="5"/>
  <c r="AR54" i="20" s="1"/>
  <c r="AR76" i="20"/>
  <c r="BK59" i="5"/>
  <c r="BJ69" i="20"/>
  <c r="AK59" i="5"/>
  <c r="AJ54" i="20" s="1"/>
  <c r="AJ76" i="20"/>
  <c r="U59" i="5"/>
  <c r="T54" i="20" s="1"/>
  <c r="D16" i="50"/>
  <c r="D87" i="50" s="1"/>
  <c r="D37" i="46"/>
  <c r="AM59" i="5"/>
  <c r="AL54" i="20" s="1"/>
  <c r="AL76" i="20"/>
  <c r="AP54" i="20"/>
  <c r="AP69" i="20"/>
  <c r="BH59" i="5"/>
  <c r="BG54" i="20" s="1"/>
  <c r="BG76" i="20"/>
  <c r="AD59" i="5"/>
  <c r="AC54" i="20" s="1"/>
  <c r="AC69" i="20"/>
  <c r="S59" i="5"/>
  <c r="R54" i="20" s="1"/>
  <c r="R76" i="20"/>
  <c r="D21" i="50"/>
  <c r="D62" i="46"/>
  <c r="E59" i="5"/>
  <c r="D54" i="20" s="1"/>
  <c r="D82" i="20"/>
  <c r="AH59" i="5"/>
  <c r="AG54" i="20" s="1"/>
  <c r="AG69" i="20"/>
  <c r="AC59" i="5"/>
  <c r="AB54" i="20" s="1"/>
  <c r="AB76" i="20"/>
  <c r="AW76" i="20"/>
  <c r="BN60" i="5"/>
  <c r="BM55" i="20" s="1"/>
  <c r="BJ55" i="20"/>
  <c r="G59" i="5"/>
  <c r="F54" i="20" s="1"/>
  <c r="F76" i="20"/>
  <c r="V10" i="25"/>
  <c r="BM15" i="20"/>
  <c r="I59" i="5"/>
  <c r="H54" i="20" s="1"/>
  <c r="AY59" i="5"/>
  <c r="AX54" i="20" s="1"/>
  <c r="AX69" i="20"/>
  <c r="AF59" i="5"/>
  <c r="AE54" i="20" s="1"/>
  <c r="AE69" i="20"/>
  <c r="F59" i="5"/>
  <c r="E54" i="20" s="1"/>
  <c r="E69" i="20"/>
  <c r="AY54" i="20"/>
  <c r="AV59" i="5"/>
  <c r="AU54" i="20" s="1"/>
  <c r="L59" i="5"/>
  <c r="BA59" i="5"/>
  <c r="BA15" i="5" s="1"/>
  <c r="Z59" i="5"/>
  <c r="D71" i="49"/>
  <c r="D93" i="46" s="1"/>
  <c r="BE59" i="5"/>
  <c r="AL59" i="5"/>
  <c r="AK54" i="20" s="1"/>
  <c r="K59" i="5"/>
  <c r="J54" i="20" s="1"/>
  <c r="BC59" i="5"/>
  <c r="BB69" i="20"/>
  <c r="AJ59" i="5"/>
  <c r="AI54" i="20" s="1"/>
  <c r="AI69" i="20"/>
  <c r="BB59" i="5"/>
  <c r="BA76" i="20"/>
  <c r="C59" i="5"/>
  <c r="B54" i="20" s="1"/>
  <c r="B69" i="20"/>
  <c r="AI59" i="5"/>
  <c r="AH54" i="20" s="1"/>
  <c r="AH69" i="20"/>
  <c r="BG59" i="5"/>
  <c r="BF54" i="20" s="1"/>
  <c r="BF69" i="20"/>
  <c r="O59" i="5"/>
  <c r="N54" i="20" s="1"/>
  <c r="N76" i="20"/>
  <c r="AA59" i="5"/>
  <c r="Z54" i="20" s="1"/>
  <c r="BJ59" i="5"/>
  <c r="BI54" i="20" s="1"/>
  <c r="BI69" i="20"/>
  <c r="AU59" i="5"/>
  <c r="BK76" i="20"/>
  <c r="BL59" i="5"/>
  <c r="BK54" i="20" s="1"/>
  <c r="M59" i="5"/>
  <c r="L54" i="20" s="1"/>
  <c r="H11" i="34"/>
  <c r="H99" i="46"/>
  <c r="E25" i="47"/>
  <c r="E119" i="50"/>
  <c r="E36" i="40" s="1"/>
  <c r="B53" i="24" s="1"/>
  <c r="D36" i="40"/>
  <c r="M36" i="40" s="1"/>
  <c r="E139" i="50"/>
  <c r="E33" i="40"/>
  <c r="B49" i="24" s="1"/>
  <c r="K54" i="20"/>
  <c r="S54" i="20"/>
  <c r="AA54" i="20"/>
  <c r="AQ54" i="20"/>
  <c r="AZ54" i="20"/>
  <c r="D92" i="20"/>
  <c r="BN97" i="5"/>
  <c r="BM92" i="20" s="1"/>
  <c r="Q54" i="20"/>
  <c r="Y54" i="20"/>
  <c r="AO54" i="20"/>
  <c r="E81" i="46"/>
  <c r="D83" i="46"/>
  <c r="D84" i="46" s="1"/>
  <c r="O54" i="20"/>
  <c r="AM54" i="20"/>
  <c r="BD54" i="20"/>
  <c r="U54" i="20"/>
  <c r="BM87" i="20"/>
  <c r="E29" i="47" l="1"/>
  <c r="H129" i="46"/>
  <c r="H22" i="34"/>
  <c r="H124" i="46"/>
  <c r="H114" i="46"/>
  <c r="H26" i="34"/>
  <c r="E167" i="3" s="1"/>
  <c r="H18" i="34"/>
  <c r="H54" i="40" s="1"/>
  <c r="N54" i="40" s="1"/>
  <c r="H109" i="46"/>
  <c r="E24" i="47"/>
  <c r="E26" i="47" s="1"/>
  <c r="E49" i="3"/>
  <c r="H39" i="34"/>
  <c r="H49" i="40" s="1"/>
  <c r="N49" i="40" s="1"/>
  <c r="D136" i="50"/>
  <c r="D66" i="46" s="1"/>
  <c r="D68" i="46" s="1"/>
  <c r="D69" i="46" s="1"/>
  <c r="H21" i="34"/>
  <c r="H108" i="46" s="1"/>
  <c r="D37" i="40"/>
  <c r="M37" i="40" s="1"/>
  <c r="H104" i="46"/>
  <c r="H35" i="34"/>
  <c r="H123" i="46" s="1"/>
  <c r="H134" i="46"/>
  <c r="E138" i="50"/>
  <c r="E76" i="46" s="1"/>
  <c r="BF19" i="5" s="1"/>
  <c r="D18" i="59"/>
  <c r="E42" i="40" s="1"/>
  <c r="E25" i="40"/>
  <c r="B40" i="24" s="1"/>
  <c r="D41" i="50"/>
  <c r="E41" i="50" s="1"/>
  <c r="E14" i="40" s="1"/>
  <c r="B29" i="24" s="1"/>
  <c r="B56" i="24"/>
  <c r="D25" i="40"/>
  <c r="M25" i="40" s="1"/>
  <c r="L80" i="3" s="1"/>
  <c r="D129" i="50"/>
  <c r="D31" i="46" s="1"/>
  <c r="D33" i="46" s="1"/>
  <c r="D34" i="46" s="1"/>
  <c r="D140" i="50"/>
  <c r="D86" i="46" s="1"/>
  <c r="D88" i="46" s="1"/>
  <c r="D89" i="46" s="1"/>
  <c r="AY15" i="5"/>
  <c r="AX10" i="20" s="1"/>
  <c r="AV54" i="20"/>
  <c r="E113" i="50"/>
  <c r="E34" i="40" s="1"/>
  <c r="B50" i="24" s="1"/>
  <c r="E56" i="50"/>
  <c r="E19" i="40" s="1"/>
  <c r="B35" i="24" s="1"/>
  <c r="H119" i="46"/>
  <c r="H34" i="34"/>
  <c r="E34" i="34" s="1"/>
  <c r="BH54" i="20"/>
  <c r="D131" i="50"/>
  <c r="E90" i="50"/>
  <c r="E131" i="50" s="1"/>
  <c r="E17" i="47"/>
  <c r="F15" i="47" s="1"/>
  <c r="H50" i="6"/>
  <c r="H141" i="46" s="1"/>
  <c r="E28" i="47"/>
  <c r="E30" i="47" s="1"/>
  <c r="D127" i="50"/>
  <c r="D21" i="46" s="1"/>
  <c r="D23" i="46" s="1"/>
  <c r="D24" i="46" s="1"/>
  <c r="E27" i="3"/>
  <c r="D28" i="94"/>
  <c r="E28" i="94"/>
  <c r="E35" i="47"/>
  <c r="D27" i="50"/>
  <c r="D21" i="94"/>
  <c r="D18" i="40"/>
  <c r="M18" i="40" s="1"/>
  <c r="L73" i="3" s="1"/>
  <c r="E53" i="50"/>
  <c r="E18" i="40" s="1"/>
  <c r="B34" i="24" s="1"/>
  <c r="F20" i="47"/>
  <c r="F19" i="47"/>
  <c r="E91" i="50"/>
  <c r="D132" i="50"/>
  <c r="D46" i="46" s="1"/>
  <c r="D48" i="46" s="1"/>
  <c r="D49" i="46" s="1"/>
  <c r="D92" i="50"/>
  <c r="D27" i="40" s="1"/>
  <c r="M27" i="40" s="1"/>
  <c r="L82" i="3" s="1"/>
  <c r="D101" i="50"/>
  <c r="D104" i="50"/>
  <c r="L79" i="3"/>
  <c r="D69" i="50"/>
  <c r="E69" i="50" s="1"/>
  <c r="D59" i="50"/>
  <c r="D79" i="50"/>
  <c r="E79" i="50" s="1"/>
  <c r="D74" i="50"/>
  <c r="E74" i="50" s="1"/>
  <c r="D64" i="50"/>
  <c r="E64" i="50" s="1"/>
  <c r="E162" i="3"/>
  <c r="H15" i="34"/>
  <c r="H14" i="34"/>
  <c r="D30" i="50"/>
  <c r="D134" i="50"/>
  <c r="D56" i="46" s="1"/>
  <c r="D58" i="46" s="1"/>
  <c r="D59" i="46" s="1"/>
  <c r="E31" i="50"/>
  <c r="E134" i="50" s="1"/>
  <c r="E56" i="46" s="1"/>
  <c r="E18" i="3"/>
  <c r="D13" i="40"/>
  <c r="M13" i="40" s="1"/>
  <c r="AT54" i="20"/>
  <c r="AW54" i="20"/>
  <c r="AX15" i="5"/>
  <c r="AW10" i="20" s="1"/>
  <c r="BA54" i="20"/>
  <c r="BB15" i="5"/>
  <c r="BA10" i="20" s="1"/>
  <c r="BB54" i="20"/>
  <c r="BC15" i="5"/>
  <c r="BB10" i="20" s="1"/>
  <c r="D98" i="50"/>
  <c r="D95" i="50"/>
  <c r="D26" i="40"/>
  <c r="M26" i="40" s="1"/>
  <c r="L81" i="3" s="1"/>
  <c r="E87" i="50"/>
  <c r="D130" i="50"/>
  <c r="D36" i="46" s="1"/>
  <c r="D38" i="46" s="1"/>
  <c r="D39" i="46" s="1"/>
  <c r="F12" i="47"/>
  <c r="F11" i="47"/>
  <c r="BJ54" i="20"/>
  <c r="BK15" i="5"/>
  <c r="BJ10" i="20" s="1"/>
  <c r="BN59" i="5"/>
  <c r="BM54" i="20" s="1"/>
  <c r="D44" i="50"/>
  <c r="E44" i="50" s="1"/>
  <c r="E15" i="40" s="1"/>
  <c r="B31" i="24" s="1"/>
  <c r="D65" i="50"/>
  <c r="E32" i="3"/>
  <c r="D60" i="50"/>
  <c r="D75" i="50"/>
  <c r="D70" i="50"/>
  <c r="D80" i="50"/>
  <c r="E50" i="6"/>
  <c r="E141" i="46" s="1"/>
  <c r="H98" i="46"/>
  <c r="H100" i="46" s="1"/>
  <c r="H101" i="46" s="1"/>
  <c r="H128" i="46"/>
  <c r="H130" i="46" s="1"/>
  <c r="H131" i="46" s="1"/>
  <c r="E22" i="34"/>
  <c r="E128" i="46" s="1"/>
  <c r="AZ10" i="20"/>
  <c r="AV10" i="20"/>
  <c r="BG19" i="5"/>
  <c r="E83" i="46"/>
  <c r="E84" i="46" s="1"/>
  <c r="E136" i="50"/>
  <c r="AQ19" i="5"/>
  <c r="AP19" i="5"/>
  <c r="AO19" i="5"/>
  <c r="AN19" i="5"/>
  <c r="AM19" i="5"/>
  <c r="AL19" i="5"/>
  <c r="AK19" i="5"/>
  <c r="AJ19" i="5"/>
  <c r="AH19" i="5"/>
  <c r="AG19" i="5"/>
  <c r="AF19" i="5"/>
  <c r="AE19" i="5"/>
  <c r="AD19" i="5"/>
  <c r="AC19" i="5"/>
  <c r="AB19" i="5"/>
  <c r="AA19" i="5"/>
  <c r="Z19" i="5"/>
  <c r="Y19" i="5"/>
  <c r="X19" i="5"/>
  <c r="W19" i="5"/>
  <c r="V19" i="5"/>
  <c r="U19" i="5"/>
  <c r="I9" i="25" s="1"/>
  <c r="E33" i="46"/>
  <c r="E34" i="46" s="1"/>
  <c r="E78" i="46" l="1"/>
  <c r="E79" i="46" s="1"/>
  <c r="H125" i="46"/>
  <c r="H126" i="46" s="1"/>
  <c r="E35" i="34"/>
  <c r="E123" i="46" s="1"/>
  <c r="AT23" i="5" s="1"/>
  <c r="H29" i="34"/>
  <c r="H47" i="40" s="1"/>
  <c r="N47" i="40" s="1"/>
  <c r="H113" i="46"/>
  <c r="H115" i="46" s="1"/>
  <c r="H116" i="46" s="1"/>
  <c r="H30" i="34"/>
  <c r="E30" i="34" s="1"/>
  <c r="E55" i="40" s="1"/>
  <c r="B65" i="24" s="1"/>
  <c r="E18" i="34"/>
  <c r="E54" i="40" s="1"/>
  <c r="B63" i="24" s="1"/>
  <c r="H110" i="46"/>
  <c r="H111" i="46" s="1"/>
  <c r="H103" i="46"/>
  <c r="H105" i="46" s="1"/>
  <c r="H106" i="46" s="1"/>
  <c r="E66" i="46"/>
  <c r="E68" i="46" s="1"/>
  <c r="E69" i="46" s="1"/>
  <c r="H133" i="46"/>
  <c r="H135" i="46" s="1"/>
  <c r="H136" i="46" s="1"/>
  <c r="E39" i="34"/>
  <c r="E49" i="40" s="1"/>
  <c r="B3" i="24" s="1"/>
  <c r="E21" i="34"/>
  <c r="E108" i="46" s="1"/>
  <c r="H23" i="34"/>
  <c r="E182" i="3" s="1"/>
  <c r="D41" i="46"/>
  <c r="D43" i="46" s="1"/>
  <c r="D44" i="46" s="1"/>
  <c r="E41" i="46"/>
  <c r="E43" i="46" s="1"/>
  <c r="E44" i="46" s="1"/>
  <c r="B55" i="24"/>
  <c r="D14" i="40"/>
  <c r="M14" i="40" s="1"/>
  <c r="E140" i="50"/>
  <c r="E86" i="46" s="1"/>
  <c r="BH19" i="5" s="1"/>
  <c r="M8" i="25"/>
  <c r="F16" i="47"/>
  <c r="H36" i="34"/>
  <c r="H118" i="46"/>
  <c r="H120" i="46" s="1"/>
  <c r="H121" i="46" s="1"/>
  <c r="E30" i="3"/>
  <c r="E127" i="50"/>
  <c r="E21" i="46" s="1"/>
  <c r="I19" i="5" s="1"/>
  <c r="E165" i="3"/>
  <c r="E170" i="3" s="1"/>
  <c r="E175" i="3" s="1"/>
  <c r="E180" i="3" s="1"/>
  <c r="E104" i="50"/>
  <c r="E31" i="40" s="1"/>
  <c r="B47" i="24" s="1"/>
  <c r="D31" i="40"/>
  <c r="M31" i="40" s="1"/>
  <c r="E132" i="50"/>
  <c r="E46" i="46" s="1"/>
  <c r="E92" i="50"/>
  <c r="E27" i="40" s="1"/>
  <c r="B43" i="24" s="1"/>
  <c r="D30" i="40"/>
  <c r="M30" i="40" s="1"/>
  <c r="E101" i="50"/>
  <c r="D137" i="50"/>
  <c r="D71" i="46" s="1"/>
  <c r="E45" i="3"/>
  <c r="E59" i="50"/>
  <c r="D128" i="50"/>
  <c r="D26" i="46" s="1"/>
  <c r="D28" i="46" s="1"/>
  <c r="D29" i="46" s="1"/>
  <c r="H53" i="40"/>
  <c r="N53" i="40" s="1"/>
  <c r="E15" i="34"/>
  <c r="E53" i="40" s="1"/>
  <c r="B64" i="24" s="1"/>
  <c r="H45" i="40"/>
  <c r="N45" i="40" s="1"/>
  <c r="E14" i="34"/>
  <c r="E11" i="34" s="1"/>
  <c r="E38" i="50"/>
  <c r="E13" i="40" s="1"/>
  <c r="B28" i="24" s="1"/>
  <c r="D15" i="40"/>
  <c r="M15" i="40" s="1"/>
  <c r="E80" i="50"/>
  <c r="E81" i="50" s="1"/>
  <c r="E24" i="40" s="1"/>
  <c r="B39" i="24" s="1"/>
  <c r="D81" i="50"/>
  <c r="D24" i="40" s="1"/>
  <c r="M24" i="40" s="1"/>
  <c r="E70" i="50"/>
  <c r="E71" i="50" s="1"/>
  <c r="E22" i="40" s="1"/>
  <c r="B37" i="24" s="1"/>
  <c r="D71" i="50"/>
  <c r="D22" i="40" s="1"/>
  <c r="M22" i="40" s="1"/>
  <c r="E65" i="50"/>
  <c r="E66" i="50" s="1"/>
  <c r="D66" i="50"/>
  <c r="D21" i="40" s="1"/>
  <c r="M21" i="40" s="1"/>
  <c r="E130" i="50"/>
  <c r="E36" i="46" s="1"/>
  <c r="E26" i="40"/>
  <c r="B41" i="24" s="1"/>
  <c r="E58" i="46"/>
  <c r="E59" i="46" s="1"/>
  <c r="AZ19" i="5"/>
  <c r="AU19" i="5"/>
  <c r="E98" i="50"/>
  <c r="E29" i="40" s="1"/>
  <c r="B45" i="24" s="1"/>
  <c r="D29" i="40"/>
  <c r="M29" i="40" s="1"/>
  <c r="E75" i="50"/>
  <c r="E76" i="50" s="1"/>
  <c r="E23" i="40" s="1"/>
  <c r="B38" i="24" s="1"/>
  <c r="D76" i="50"/>
  <c r="D23" i="40" s="1"/>
  <c r="M23" i="40" s="1"/>
  <c r="D61" i="50"/>
  <c r="D20" i="40" s="1"/>
  <c r="M20" i="40" s="1"/>
  <c r="E60" i="50"/>
  <c r="D133" i="50"/>
  <c r="D51" i="46" s="1"/>
  <c r="D53" i="46" s="1"/>
  <c r="D54" i="46" s="1"/>
  <c r="D28" i="40"/>
  <c r="M28" i="40" s="1"/>
  <c r="E40" i="3"/>
  <c r="E95" i="50"/>
  <c r="D135" i="50"/>
  <c r="D61" i="46" s="1"/>
  <c r="D63" i="46" s="1"/>
  <c r="D64" i="46" s="1"/>
  <c r="E30" i="50"/>
  <c r="D32" i="50"/>
  <c r="D11" i="40" s="1"/>
  <c r="M11" i="40" s="1"/>
  <c r="F24" i="47"/>
  <c r="F25" i="47"/>
  <c r="F29" i="47"/>
  <c r="F28" i="47"/>
  <c r="AV23" i="5"/>
  <c r="E130" i="46"/>
  <c r="E131" i="46" s="1"/>
  <c r="E118" i="46"/>
  <c r="E36" i="34"/>
  <c r="E48" i="40" s="1"/>
  <c r="B9" i="24" s="1"/>
  <c r="AR23" i="5"/>
  <c r="T14" i="20"/>
  <c r="V14" i="20"/>
  <c r="X14" i="20"/>
  <c r="Z14" i="20"/>
  <c r="AB14" i="20"/>
  <c r="AD14" i="20"/>
  <c r="AF14" i="20"/>
  <c r="AI14" i="20"/>
  <c r="AK14" i="20"/>
  <c r="AM14" i="20"/>
  <c r="AO14" i="20"/>
  <c r="Q9" i="25"/>
  <c r="BE14" i="20"/>
  <c r="U14" i="20"/>
  <c r="W14" i="20"/>
  <c r="Y14" i="20"/>
  <c r="AA14" i="20"/>
  <c r="AC14" i="20"/>
  <c r="AE14" i="20"/>
  <c r="AG14" i="20"/>
  <c r="AJ14" i="20"/>
  <c r="AL14" i="20"/>
  <c r="AN14" i="20"/>
  <c r="AP14" i="20"/>
  <c r="R9" i="25"/>
  <c r="BG18" i="5"/>
  <c r="BF14" i="20"/>
  <c r="E125" i="46" l="1"/>
  <c r="E126" i="46" s="1"/>
  <c r="E29" i="34"/>
  <c r="E103" i="46"/>
  <c r="E105" i="46" s="1"/>
  <c r="E106" i="46" s="1"/>
  <c r="H55" i="40"/>
  <c r="N55" i="40" s="1"/>
  <c r="E133" i="46"/>
  <c r="AZ23" i="5" s="1"/>
  <c r="AY18" i="20" s="1"/>
  <c r="E23" i="34"/>
  <c r="E56" i="40" s="1"/>
  <c r="BJ19" i="5"/>
  <c r="BJ18" i="5" s="1"/>
  <c r="H43" i="34"/>
  <c r="H140" i="46" s="1"/>
  <c r="H142" i="46" s="1"/>
  <c r="H143" i="46" s="1"/>
  <c r="L56" i="3" s="1"/>
  <c r="E32" i="50"/>
  <c r="E11" i="40" s="1"/>
  <c r="AS19" i="5"/>
  <c r="J9" i="25" s="1"/>
  <c r="P173" i="3"/>
  <c r="E88" i="46"/>
  <c r="E89" i="46" s="1"/>
  <c r="E23" i="46"/>
  <c r="E24" i="46" s="1"/>
  <c r="H48" i="40"/>
  <c r="N48" i="40" s="1"/>
  <c r="E47" i="40"/>
  <c r="B6" i="24" s="1"/>
  <c r="E26" i="34"/>
  <c r="E113" i="46" s="1"/>
  <c r="Y23" i="5" s="1"/>
  <c r="E45" i="40"/>
  <c r="B4" i="24" s="1"/>
  <c r="L76" i="3"/>
  <c r="L74" i="3"/>
  <c r="D73" i="46"/>
  <c r="D74" i="46" s="1"/>
  <c r="E71" i="46"/>
  <c r="AR19" i="5"/>
  <c r="E48" i="46"/>
  <c r="E49" i="46" s="1"/>
  <c r="AT19" i="5"/>
  <c r="AS14" i="20" s="1"/>
  <c r="E30" i="40"/>
  <c r="B46" i="24" s="1"/>
  <c r="E137" i="50"/>
  <c r="L75" i="3"/>
  <c r="AS18" i="20"/>
  <c r="E21" i="40"/>
  <c r="B36" i="24" s="1"/>
  <c r="E38" i="3"/>
  <c r="E61" i="50"/>
  <c r="E20" i="40" s="1"/>
  <c r="B42" i="24" s="1"/>
  <c r="E128" i="50"/>
  <c r="E26" i="46" s="1"/>
  <c r="E19" i="3"/>
  <c r="N9" i="25"/>
  <c r="AT14" i="20"/>
  <c r="E38" i="46"/>
  <c r="E39" i="46" s="1"/>
  <c r="AI19" i="5"/>
  <c r="AZ18" i="5"/>
  <c r="AY14" i="20"/>
  <c r="E47" i="50"/>
  <c r="E16" i="40" s="1"/>
  <c r="B32" i="24" s="1"/>
  <c r="D16" i="40"/>
  <c r="M16" i="40" s="1"/>
  <c r="E43" i="3"/>
  <c r="E135" i="50"/>
  <c r="E61" i="46" s="1"/>
  <c r="E28" i="40"/>
  <c r="B44" i="24" s="1"/>
  <c r="E133" i="50"/>
  <c r="E51" i="46" s="1"/>
  <c r="BF18" i="5"/>
  <c r="BE13" i="20" s="1"/>
  <c r="T23" i="5"/>
  <c r="E110" i="46"/>
  <c r="E111" i="46" s="1"/>
  <c r="AS23" i="5"/>
  <c r="E120" i="46"/>
  <c r="E121" i="46" s="1"/>
  <c r="L13" i="25"/>
  <c r="AU18" i="20"/>
  <c r="K13" i="25"/>
  <c r="AQ18" i="20"/>
  <c r="BF13" i="20"/>
  <c r="BG15" i="5"/>
  <c r="I18" i="5"/>
  <c r="G9" i="25"/>
  <c r="H14" i="20"/>
  <c r="BH18" i="5"/>
  <c r="BG14" i="20"/>
  <c r="S9" i="25"/>
  <c r="I23" i="5" l="1"/>
  <c r="G13" i="25" s="1"/>
  <c r="E46" i="40"/>
  <c r="H46" i="40" s="1"/>
  <c r="N46" i="40" s="1"/>
  <c r="N50" i="40" s="1"/>
  <c r="AU23" i="5"/>
  <c r="N13" i="25" s="1"/>
  <c r="E135" i="46"/>
  <c r="E136" i="46" s="1"/>
  <c r="BI14" i="20"/>
  <c r="BM23" i="5"/>
  <c r="BL18" i="20" s="1"/>
  <c r="AR14" i="20"/>
  <c r="AS18" i="5"/>
  <c r="AS15" i="5" s="1"/>
  <c r="J8" i="25" s="1"/>
  <c r="E24" i="3"/>
  <c r="D35" i="50" s="1"/>
  <c r="AL23" i="5"/>
  <c r="AK18" i="20" s="1"/>
  <c r="AM23" i="5"/>
  <c r="AL18" i="20" s="1"/>
  <c r="AH23" i="5"/>
  <c r="AG18" i="20" s="1"/>
  <c r="Z23" i="5"/>
  <c r="Y18" i="20" s="1"/>
  <c r="AE23" i="5"/>
  <c r="AD18" i="20" s="1"/>
  <c r="AQ23" i="5"/>
  <c r="AP18" i="20" s="1"/>
  <c r="AK23" i="5"/>
  <c r="AJ18" i="20" s="1"/>
  <c r="AB23" i="5"/>
  <c r="AA18" i="20" s="1"/>
  <c r="AC23" i="5"/>
  <c r="AB18" i="20" s="1"/>
  <c r="AO23" i="5"/>
  <c r="AN18" i="20" s="1"/>
  <c r="U23" i="5"/>
  <c r="U18" i="5" s="1"/>
  <c r="U15" i="5" s="1"/>
  <c r="T10" i="20" s="1"/>
  <c r="AP23" i="5"/>
  <c r="AO18" i="20" s="1"/>
  <c r="AI23" i="5"/>
  <c r="AH18" i="20" s="1"/>
  <c r="AF23" i="5"/>
  <c r="AE18" i="20" s="1"/>
  <c r="W23" i="5"/>
  <c r="V18" i="20" s="1"/>
  <c r="X23" i="5"/>
  <c r="W18" i="20" s="1"/>
  <c r="AJ23" i="5"/>
  <c r="AI18" i="20" s="1"/>
  <c r="AA23" i="5"/>
  <c r="Z18" i="20" s="1"/>
  <c r="BF15" i="5"/>
  <c r="Q8" i="25" s="1"/>
  <c r="AD23" i="5"/>
  <c r="AC18" i="20" s="1"/>
  <c r="AG23" i="5"/>
  <c r="AF18" i="20" s="1"/>
  <c r="E115" i="46"/>
  <c r="E116" i="46" s="1"/>
  <c r="AN23" i="5"/>
  <c r="AM18" i="20" s="1"/>
  <c r="V23" i="5"/>
  <c r="U18" i="20" s="1"/>
  <c r="E50" i="40"/>
  <c r="E43" i="34"/>
  <c r="E140" i="46" s="1"/>
  <c r="E142" i="46" s="1"/>
  <c r="E143" i="46" s="1"/>
  <c r="L59" i="3" s="1"/>
  <c r="M59" i="3" s="1"/>
  <c r="E98" i="46"/>
  <c r="AT18" i="5"/>
  <c r="AS13" i="20" s="1"/>
  <c r="AF18" i="5"/>
  <c r="AM18" i="5"/>
  <c r="AB18" i="5"/>
  <c r="AP18" i="5"/>
  <c r="BE19" i="5"/>
  <c r="E73" i="46"/>
  <c r="E74" i="46" s="1"/>
  <c r="X18" i="5"/>
  <c r="AL18" i="5"/>
  <c r="AE18" i="5"/>
  <c r="AO18" i="5"/>
  <c r="AH18" i="5"/>
  <c r="AA18" i="5"/>
  <c r="AK18" i="5"/>
  <c r="AD18" i="5"/>
  <c r="W18" i="5"/>
  <c r="AG18" i="5"/>
  <c r="Z18" i="5"/>
  <c r="AN18" i="5"/>
  <c r="AC18" i="5"/>
  <c r="V18" i="5"/>
  <c r="AJ18" i="5"/>
  <c r="X18" i="20"/>
  <c r="Y18" i="5"/>
  <c r="AQ18" i="5"/>
  <c r="AQ14" i="20"/>
  <c r="K9" i="25"/>
  <c r="AR18" i="5"/>
  <c r="AU18" i="5"/>
  <c r="AU15" i="5" s="1"/>
  <c r="E28" i="46"/>
  <c r="E29" i="46" s="1"/>
  <c r="T19" i="5"/>
  <c r="H18" i="20"/>
  <c r="AT18" i="20"/>
  <c r="E63" i="46"/>
  <c r="E64" i="46" s="1"/>
  <c r="BD19" i="5"/>
  <c r="B30" i="24"/>
  <c r="AY13" i="20"/>
  <c r="AZ15" i="5"/>
  <c r="AY10" i="20" s="1"/>
  <c r="AV19" i="5"/>
  <c r="E53" i="46"/>
  <c r="E54" i="46" s="1"/>
  <c r="AH14" i="20"/>
  <c r="AI18" i="5"/>
  <c r="BE18" i="20"/>
  <c r="Q13" i="25"/>
  <c r="AR18" i="20"/>
  <c r="J13" i="25"/>
  <c r="H13" i="25"/>
  <c r="S18" i="20"/>
  <c r="P56" i="3"/>
  <c r="M56" i="3"/>
  <c r="BG13" i="20"/>
  <c r="BH15" i="5"/>
  <c r="BI13" i="20"/>
  <c r="BJ15" i="5"/>
  <c r="BI10" i="20" s="1"/>
  <c r="R8" i="25"/>
  <c r="BF10" i="20"/>
  <c r="H13" i="20"/>
  <c r="I15" i="5"/>
  <c r="H50" i="40" l="1"/>
  <c r="B7" i="24"/>
  <c r="AR13" i="20"/>
  <c r="BM18" i="5"/>
  <c r="BM15" i="5" s="1"/>
  <c r="U13" i="25"/>
  <c r="AR10" i="20"/>
  <c r="D12" i="40"/>
  <c r="M12" i="40" s="1"/>
  <c r="D125" i="50"/>
  <c r="D11" i="46" s="1"/>
  <c r="D13" i="46" s="1"/>
  <c r="D14" i="46" s="1"/>
  <c r="E35" i="50"/>
  <c r="E12" i="40" s="1"/>
  <c r="L18" i="3"/>
  <c r="M18" i="3" s="1"/>
  <c r="T18" i="20"/>
  <c r="I13" i="25"/>
  <c r="T13" i="20"/>
  <c r="AT15" i="5"/>
  <c r="AS10" i="20" s="1"/>
  <c r="BE10" i="20"/>
  <c r="AT13" i="20"/>
  <c r="J23" i="5"/>
  <c r="I18" i="20" s="1"/>
  <c r="H23" i="5"/>
  <c r="G18" i="20" s="1"/>
  <c r="G23" i="5"/>
  <c r="F18" i="20" s="1"/>
  <c r="S23" i="5"/>
  <c r="R18" i="20" s="1"/>
  <c r="N23" i="5"/>
  <c r="M18" i="20" s="1"/>
  <c r="M23" i="5"/>
  <c r="L18" i="20" s="1"/>
  <c r="L23" i="5"/>
  <c r="K18" i="20" s="1"/>
  <c r="E23" i="5"/>
  <c r="D18" i="20" s="1"/>
  <c r="D23" i="5"/>
  <c r="C18" i="20" s="1"/>
  <c r="C23" i="5"/>
  <c r="E13" i="25" s="1"/>
  <c r="E100" i="46"/>
  <c r="E101" i="46" s="1"/>
  <c r="Q18" i="20"/>
  <c r="P18" i="20"/>
  <c r="O18" i="20"/>
  <c r="N18" i="20"/>
  <c r="K23" i="5"/>
  <c r="J18" i="20" s="1"/>
  <c r="F23" i="5"/>
  <c r="E18" i="20" s="1"/>
  <c r="AP13" i="20"/>
  <c r="AQ15" i="5"/>
  <c r="AP10" i="20" s="1"/>
  <c r="AI13" i="20"/>
  <c r="AJ15" i="5"/>
  <c r="AI10" i="20" s="1"/>
  <c r="AB13" i="20"/>
  <c r="AC15" i="5"/>
  <c r="AB10" i="20" s="1"/>
  <c r="Y13" i="20"/>
  <c r="Z15" i="5"/>
  <c r="Y10" i="20" s="1"/>
  <c r="V13" i="20"/>
  <c r="W15" i="5"/>
  <c r="V10" i="20" s="1"/>
  <c r="AJ13" i="20"/>
  <c r="AK15" i="5"/>
  <c r="AJ10" i="20" s="1"/>
  <c r="AG13" i="20"/>
  <c r="AH15" i="5"/>
  <c r="AG10" i="20" s="1"/>
  <c r="AD13" i="20"/>
  <c r="AE15" i="5"/>
  <c r="AD10" i="20" s="1"/>
  <c r="W13" i="20"/>
  <c r="X15" i="5"/>
  <c r="W10" i="20" s="1"/>
  <c r="AO13" i="20"/>
  <c r="AP15" i="5"/>
  <c r="AO10" i="20" s="1"/>
  <c r="AL13" i="20"/>
  <c r="AM15" i="5"/>
  <c r="AL10" i="20" s="1"/>
  <c r="AQ13" i="20"/>
  <c r="AR15" i="5"/>
  <c r="AQ10" i="20" s="1"/>
  <c r="X13" i="20"/>
  <c r="Y15" i="5"/>
  <c r="X10" i="20" s="1"/>
  <c r="U13" i="20"/>
  <c r="V15" i="5"/>
  <c r="U10" i="20" s="1"/>
  <c r="AM13" i="20"/>
  <c r="AN15" i="5"/>
  <c r="AM10" i="20" s="1"/>
  <c r="AF13" i="20"/>
  <c r="AG15" i="5"/>
  <c r="AF10" i="20" s="1"/>
  <c r="AC13" i="20"/>
  <c r="AD15" i="5"/>
  <c r="AC10" i="20" s="1"/>
  <c r="Z13" i="20"/>
  <c r="AA15" i="5"/>
  <c r="Z10" i="20" s="1"/>
  <c r="AN13" i="20"/>
  <c r="AO15" i="5"/>
  <c r="AN10" i="20" s="1"/>
  <c r="AK13" i="20"/>
  <c r="AL15" i="5"/>
  <c r="AK10" i="20" s="1"/>
  <c r="AA13" i="20"/>
  <c r="AB15" i="5"/>
  <c r="AA10" i="20" s="1"/>
  <c r="AE13" i="20"/>
  <c r="AF15" i="5"/>
  <c r="AE10" i="20" s="1"/>
  <c r="BE18" i="5"/>
  <c r="BD14" i="20"/>
  <c r="P9" i="25"/>
  <c r="T18" i="5"/>
  <c r="H9" i="25"/>
  <c r="S14" i="20"/>
  <c r="L34" i="3"/>
  <c r="M34" i="3" s="1"/>
  <c r="L33" i="3"/>
  <c r="M33" i="3" s="1"/>
  <c r="N8" i="25"/>
  <c r="AT10" i="20"/>
  <c r="AU14" i="20"/>
  <c r="AV18" i="5"/>
  <c r="L9" i="25"/>
  <c r="AI15" i="5"/>
  <c r="AH13" i="20"/>
  <c r="BD18" i="5"/>
  <c r="O9" i="25"/>
  <c r="BC14" i="20"/>
  <c r="L41" i="3"/>
  <c r="M41" i="3" s="1"/>
  <c r="L42" i="3"/>
  <c r="M42" i="3" s="1"/>
  <c r="BG10" i="20"/>
  <c r="S8" i="25"/>
  <c r="G8" i="25"/>
  <c r="H10" i="20"/>
  <c r="BL13" i="20" l="1"/>
  <c r="D38" i="40"/>
  <c r="E25" i="3"/>
  <c r="E125" i="50"/>
  <c r="E141" i="50" s="1"/>
  <c r="P18" i="3"/>
  <c r="B18" i="20"/>
  <c r="BN23" i="5"/>
  <c r="K8" i="25"/>
  <c r="BD13" i="20"/>
  <c r="BE15" i="5"/>
  <c r="M38" i="40"/>
  <c r="L71" i="3"/>
  <c r="B27" i="24"/>
  <c r="E38" i="40"/>
  <c r="AH10" i="20"/>
  <c r="I8" i="25"/>
  <c r="S13" i="20"/>
  <c r="T15" i="5"/>
  <c r="BC13" i="20"/>
  <c r="BD15" i="5"/>
  <c r="AV15" i="5"/>
  <c r="AU13" i="20"/>
  <c r="U8" i="25"/>
  <c r="BL10" i="20"/>
  <c r="E11" i="46" l="1"/>
  <c r="E92" i="46" s="1"/>
  <c r="E94" i="46" s="1"/>
  <c r="E95" i="46" s="1"/>
  <c r="L58" i="3" s="1"/>
  <c r="M58" i="3" s="1"/>
  <c r="V13" i="25"/>
  <c r="BM18" i="20"/>
  <c r="BD10" i="20"/>
  <c r="P8" i="25"/>
  <c r="S10" i="20"/>
  <c r="H8" i="25"/>
  <c r="L8" i="25"/>
  <c r="AU10" i="20"/>
  <c r="O8" i="25"/>
  <c r="BC10" i="20"/>
  <c r="S19" i="5"/>
  <c r="F9" i="25"/>
  <c r="K19" i="5"/>
  <c r="F19" i="5"/>
  <c r="E19" i="5"/>
  <c r="D19" i="5"/>
  <c r="C19" i="5"/>
  <c r="E9" i="25" s="1"/>
  <c r="L19" i="5" l="1"/>
  <c r="L18" i="5" s="1"/>
  <c r="M19" i="5"/>
  <c r="N19" i="5"/>
  <c r="N18" i="5" s="1"/>
  <c r="G19" i="5"/>
  <c r="G18" i="5" s="1"/>
  <c r="H19" i="5"/>
  <c r="H18" i="5" s="1"/>
  <c r="J19" i="5"/>
  <c r="J18" i="5" s="1"/>
  <c r="E13" i="46"/>
  <c r="E14" i="46" s="1"/>
  <c r="L20" i="3" s="1"/>
  <c r="M20" i="3" s="1"/>
  <c r="D18" i="5"/>
  <c r="C14" i="20"/>
  <c r="F18" i="5"/>
  <c r="E14" i="20"/>
  <c r="K18" i="5"/>
  <c r="J14" i="20"/>
  <c r="M18" i="5"/>
  <c r="L14" i="20"/>
  <c r="O18" i="5"/>
  <c r="N14" i="20"/>
  <c r="Q18" i="5"/>
  <c r="P14" i="20"/>
  <c r="S18" i="5"/>
  <c r="R14" i="20"/>
  <c r="C18" i="5"/>
  <c r="BN19" i="5"/>
  <c r="B14" i="20"/>
  <c r="E18" i="5"/>
  <c r="D14" i="20"/>
  <c r="P18" i="5"/>
  <c r="O14" i="20"/>
  <c r="R18" i="5"/>
  <c r="Q14" i="20"/>
  <c r="K14" i="20" l="1"/>
  <c r="F14" i="20"/>
  <c r="I14" i="20"/>
  <c r="M14" i="20"/>
  <c r="G14" i="20"/>
  <c r="L19" i="3"/>
  <c r="M19" i="3" s="1"/>
  <c r="Q13" i="20"/>
  <c r="R15" i="5"/>
  <c r="Q10" i="20" s="1"/>
  <c r="O13" i="20"/>
  <c r="P15" i="5"/>
  <c r="O10" i="20" s="1"/>
  <c r="M13" i="20"/>
  <c r="N15" i="5"/>
  <c r="M10" i="20" s="1"/>
  <c r="K13" i="20"/>
  <c r="L15" i="5"/>
  <c r="K10" i="20" s="1"/>
  <c r="I13" i="20"/>
  <c r="J15" i="5"/>
  <c r="I10" i="20" s="1"/>
  <c r="F13" i="20"/>
  <c r="G15" i="5"/>
  <c r="F10" i="20" s="1"/>
  <c r="D13" i="20"/>
  <c r="E15" i="5"/>
  <c r="D10" i="20" s="1"/>
  <c r="V9" i="25"/>
  <c r="BM14" i="20"/>
  <c r="BN18" i="5"/>
  <c r="B13" i="20"/>
  <c r="C15" i="5"/>
  <c r="E8" i="25" s="1"/>
  <c r="R13" i="20"/>
  <c r="S15" i="5"/>
  <c r="R10" i="20" s="1"/>
  <c r="P13" i="20"/>
  <c r="Q15" i="5"/>
  <c r="P10" i="20" s="1"/>
  <c r="N13" i="20"/>
  <c r="O15" i="5"/>
  <c r="L13" i="20"/>
  <c r="M15" i="5"/>
  <c r="L10" i="20" s="1"/>
  <c r="J13" i="20"/>
  <c r="K15" i="5"/>
  <c r="J10" i="20" s="1"/>
  <c r="G13" i="20"/>
  <c r="H15" i="5"/>
  <c r="G10" i="20" s="1"/>
  <c r="E13" i="20"/>
  <c r="F15" i="5"/>
  <c r="E10" i="20" s="1"/>
  <c r="C13" i="20"/>
  <c r="D15" i="5"/>
  <c r="C10" i="20" s="1"/>
  <c r="N10" i="20" l="1"/>
  <c r="F8" i="25"/>
  <c r="B10" i="20"/>
  <c r="BM13" i="20"/>
  <c r="BN15" i="5"/>
  <c r="V8" i="25" l="1"/>
  <c r="BM10" i="20"/>
  <c r="M60" i="40"/>
  <c r="N60" i="40"/>
  <c r="E197" i="3"/>
  <c r="C59" i="24"/>
  <c r="D126" i="50" l="1"/>
  <c r="D16" i="46" s="1"/>
  <c r="D18" i="46" s="1"/>
  <c r="D19" i="46" s="1"/>
  <c r="D141" i="50"/>
  <c r="D92" i="46" s="1"/>
  <c r="BL19" i="5" l="1"/>
  <c r="D94" i="46"/>
  <c r="D95" i="46" s="1"/>
  <c r="L55" i="3" s="1"/>
  <c r="L13" i="3"/>
  <c r="E126" i="50"/>
  <c r="E16" i="46" s="1"/>
  <c r="E18" i="46" s="1"/>
  <c r="E19" i="46" s="1"/>
  <c r="M55" i="3" l="1"/>
  <c r="P55" i="3"/>
  <c r="M13" i="3"/>
  <c r="P13" i="3"/>
  <c r="BK14" i="20"/>
  <c r="T9" i="25"/>
  <c r="BL18" i="5"/>
  <c r="E63" i="3" l="1"/>
  <c r="E65" i="3" s="1"/>
  <c r="L65" i="3" s="1"/>
  <c r="M65" i="3" s="1"/>
  <c r="BK13" i="20"/>
  <c r="BL15" i="5"/>
  <c r="BK10" i="20" l="1"/>
  <c r="T8" i="25"/>
  <c r="L57" i="3"/>
  <c r="P57" i="3" s="1"/>
  <c r="L10" i="3" s="1"/>
  <c r="M10" i="3" s="1"/>
  <c r="M57" i="3"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<sst xmlns="http://schemas.openxmlformats.org/spreadsheetml/2006/main" count="2782" uniqueCount="999">
  <si>
    <t>Changelog</t>
  </si>
  <si>
    <t>Version #</t>
  </si>
  <si>
    <t>Date</t>
  </si>
  <si>
    <t>Author</t>
  </si>
  <si>
    <t>Organisation</t>
  </si>
  <si>
    <t>Document</t>
  </si>
  <si>
    <t>Changes</t>
  </si>
  <si>
    <t>Version</t>
  </si>
  <si>
    <t>Created this document</t>
  </si>
  <si>
    <t>Result</t>
  </si>
  <si>
    <t>Results</t>
  </si>
  <si>
    <t>Manual input</t>
  </si>
  <si>
    <t>Main calculations</t>
  </si>
  <si>
    <t>Reference to manual input or data input</t>
  </si>
  <si>
    <t>Additional calculations</t>
  </si>
  <si>
    <t>Sources</t>
  </si>
  <si>
    <t>Output to csv</t>
  </si>
  <si>
    <t>Comments</t>
  </si>
  <si>
    <t>Introduction</t>
  </si>
  <si>
    <t>The Energytransition model</t>
  </si>
  <si>
    <t>This analysis</t>
  </si>
  <si>
    <t>Contents</t>
  </si>
  <si>
    <t>Description</t>
  </si>
  <si>
    <t>Assumptions</t>
  </si>
  <si>
    <t>Modeling assumptions</t>
  </si>
  <si>
    <t>Country specific assumptions</t>
  </si>
  <si>
    <t>Assumption</t>
  </si>
  <si>
    <t>Source</t>
  </si>
  <si>
    <t>Dashboard</t>
  </si>
  <si>
    <t>Sector</t>
  </si>
  <si>
    <t>Value</t>
  </si>
  <si>
    <t>Unit</t>
  </si>
  <si>
    <t>Checks</t>
  </si>
  <si>
    <t>Check</t>
  </si>
  <si>
    <t>Legend</t>
  </si>
  <si>
    <t>Cells</t>
  </si>
  <si>
    <t>Intermediate (calculation)</t>
  </si>
  <si>
    <t>Notes</t>
  </si>
  <si>
    <t>Type</t>
  </si>
  <si>
    <t>Fuel type</t>
  </si>
  <si>
    <t>Coal</t>
  </si>
  <si>
    <t>Natural gas</t>
  </si>
  <si>
    <t>Oil</t>
  </si>
  <si>
    <t>Biogas</t>
  </si>
  <si>
    <t>Biofuels</t>
  </si>
  <si>
    <t>Status</t>
  </si>
  <si>
    <t>General</t>
  </si>
  <si>
    <t>Agriculture</t>
  </si>
  <si>
    <t>Industry</t>
  </si>
  <si>
    <t>PRODUCT</t>
  </si>
  <si>
    <t>FLOW</t>
  </si>
  <si>
    <t>Production</t>
  </si>
  <si>
    <t>Imports</t>
  </si>
  <si>
    <t>Exports</t>
  </si>
  <si>
    <t>International marine bunkers</t>
  </si>
  <si>
    <t>International aviation bunkers</t>
  </si>
  <si>
    <t>Stock changes</t>
  </si>
  <si>
    <t>Total primary energy supply</t>
  </si>
  <si>
    <t>Transfers</t>
  </si>
  <si>
    <t>Statistical differences</t>
  </si>
  <si>
    <t>Transformation processes</t>
  </si>
  <si>
    <t>Main activity producer electricity plants</t>
  </si>
  <si>
    <t>Autoproducer electricity plants</t>
  </si>
  <si>
    <t>Main activity producer CHP plants</t>
  </si>
  <si>
    <t>Autoproducer CHP plants</t>
  </si>
  <si>
    <t>Main activity producer heat plants</t>
  </si>
  <si>
    <t>Autoproducer heat plants</t>
  </si>
  <si>
    <t>Heat pumps</t>
  </si>
  <si>
    <t>Electric boilers</t>
  </si>
  <si>
    <t>Chemical heat for electricity production</t>
  </si>
  <si>
    <t>Blast furnaces</t>
  </si>
  <si>
    <t>Gas works</t>
  </si>
  <si>
    <t>Coke ovens</t>
  </si>
  <si>
    <t>Patent fuel plants</t>
  </si>
  <si>
    <t>BKB plants</t>
  </si>
  <si>
    <t>Oil refineries</t>
  </si>
  <si>
    <t>Petrochemical plants</t>
  </si>
  <si>
    <t>Coal liquefaction plants</t>
  </si>
  <si>
    <t>Gas-to-liquids (GTL) plants</t>
  </si>
  <si>
    <t>For blended natural gas</t>
  </si>
  <si>
    <t>Charcoal production plants</t>
  </si>
  <si>
    <t>Non-specified (transformation)</t>
  </si>
  <si>
    <t>Energy industry own use</t>
  </si>
  <si>
    <t>Coal mines</t>
  </si>
  <si>
    <t>Oil and gas extraction</t>
  </si>
  <si>
    <t>Gasification plants for biogases</t>
  </si>
  <si>
    <t>Liquefaction (LNG) / regasification plants</t>
  </si>
  <si>
    <t>Own use in electricity, CHP and heat plants</t>
  </si>
  <si>
    <t>Pumped storage plants</t>
  </si>
  <si>
    <t>Nuclear industry</t>
  </si>
  <si>
    <t>Non-specified (energy)</t>
  </si>
  <si>
    <t>Losses</t>
  </si>
  <si>
    <t>Total final consumption</t>
  </si>
  <si>
    <t>Iron and steel</t>
  </si>
  <si>
    <t>Chemical and petrochemical</t>
  </si>
  <si>
    <t>Non-ferrous metals</t>
  </si>
  <si>
    <t>Non-metallic minerals</t>
  </si>
  <si>
    <t>Transport equipment</t>
  </si>
  <si>
    <t>Machinery</t>
  </si>
  <si>
    <t>Mining and quarrying</t>
  </si>
  <si>
    <t>Food and tobacco</t>
  </si>
  <si>
    <t>Paper, pulp and print</t>
  </si>
  <si>
    <t>Wood and wood products</t>
  </si>
  <si>
    <t>Construction</t>
  </si>
  <si>
    <t>Textile and leather</t>
  </si>
  <si>
    <t>Non-specified (industry)</t>
  </si>
  <si>
    <t>Transport</t>
  </si>
  <si>
    <t>Domestic aviation</t>
  </si>
  <si>
    <t>Road</t>
  </si>
  <si>
    <t>Rail</t>
  </si>
  <si>
    <t>Pipeline transport</t>
  </si>
  <si>
    <t>Domestic navigation</t>
  </si>
  <si>
    <t>Non-specified (transport)</t>
  </si>
  <si>
    <t>Other</t>
  </si>
  <si>
    <t>Residential</t>
  </si>
  <si>
    <t>Commercial and public services</t>
  </si>
  <si>
    <t>Agriculture/forestry</t>
  </si>
  <si>
    <t>Fishing</t>
  </si>
  <si>
    <t>Non-specified (other)</t>
  </si>
  <si>
    <t>Non-energy use</t>
  </si>
  <si>
    <t>Non-energy use industry/transformation/energy</t>
  </si>
  <si>
    <t xml:space="preserve">   Memo: Feedstock use in petrochemical industry</t>
  </si>
  <si>
    <t>Non-energy use in transport</t>
  </si>
  <si>
    <t>Non-energy use in other</t>
  </si>
  <si>
    <t>Electricity output (GWh)</t>
  </si>
  <si>
    <t>Electricity output (GWh)-main activity producer electricity plants</t>
  </si>
  <si>
    <t>Electricity output (GWh)-autoproducer electricity plants</t>
  </si>
  <si>
    <t>Electricity output (GWh)-main activity producer CHP plants</t>
  </si>
  <si>
    <t>Electricity output (GWh)-autoproducer CHP plants</t>
  </si>
  <si>
    <t>Heat output</t>
  </si>
  <si>
    <t>Heat output-main activity producer CHP plants</t>
  </si>
  <si>
    <t>Heat output-autoproducer CHP plants</t>
  </si>
  <si>
    <t>Heat output-main activity producer heat plants</t>
  </si>
  <si>
    <t>Heat output-autoproducer heat plants</t>
  </si>
  <si>
    <t>Hard coal (if no detail)</t>
  </si>
  <si>
    <t>Brown coal (if no detail)</t>
  </si>
  <si>
    <t>Anthracite</t>
  </si>
  <si>
    <t>Coking coal</t>
  </si>
  <si>
    <t>Other bituminous coal</t>
  </si>
  <si>
    <t>Sub-bituminous coal</t>
  </si>
  <si>
    <t>Lignite</t>
  </si>
  <si>
    <t>Patent fuel</t>
  </si>
  <si>
    <t>Coke oven coke</t>
  </si>
  <si>
    <t>Gas coke</t>
  </si>
  <si>
    <t>Coal tar</t>
  </si>
  <si>
    <t>BKB/peat briquettes</t>
  </si>
  <si>
    <t>Gas works gas</t>
  </si>
  <si>
    <t>Coke oven gas</t>
  </si>
  <si>
    <t>Blast furnace gas</t>
  </si>
  <si>
    <t>Other recovered gases</t>
  </si>
  <si>
    <t>Peat</t>
  </si>
  <si>
    <t>Natural Gas</t>
  </si>
  <si>
    <t>Crude/NGL/feedstocks (if no detail)</t>
  </si>
  <si>
    <t>Crude oil</t>
  </si>
  <si>
    <t>Natural gas liquids</t>
  </si>
  <si>
    <t>Refinery feedstocks</t>
  </si>
  <si>
    <t>Additives/blending components</t>
  </si>
  <si>
    <t>Other hydrocarbons</t>
  </si>
  <si>
    <t>Refinery gas</t>
  </si>
  <si>
    <t>Ethane</t>
  </si>
  <si>
    <t>Liquefied petroleum gases (LPG)</t>
  </si>
  <si>
    <t>Motor gasoline</t>
  </si>
  <si>
    <t>Aviation gasoline</t>
  </si>
  <si>
    <t>Gasoline type jet fuel</t>
  </si>
  <si>
    <t>Kerosene type jet fuel</t>
  </si>
  <si>
    <t>Other Kerosene</t>
  </si>
  <si>
    <t>Gas/diesel oil</t>
  </si>
  <si>
    <t>Fuel oil</t>
  </si>
  <si>
    <t>Naphtha</t>
  </si>
  <si>
    <t>White spirit &amp; SBP</t>
  </si>
  <si>
    <t>Lubricants</t>
  </si>
  <si>
    <t>Bitumen</t>
  </si>
  <si>
    <t>Paraffin waxes</t>
  </si>
  <si>
    <t>Petroleum coke</t>
  </si>
  <si>
    <t>Non-specified oil products</t>
  </si>
  <si>
    <t>Industrial waste</t>
  </si>
  <si>
    <t>Municipal waste (renewable)</t>
  </si>
  <si>
    <t>Municipal waste (non-renewable)</t>
  </si>
  <si>
    <t>Primary solid biofuels</t>
  </si>
  <si>
    <t>Biogases</t>
  </si>
  <si>
    <t>Biogasoline</t>
  </si>
  <si>
    <t>Biodiesels</t>
  </si>
  <si>
    <t>Other liquid biofuels</t>
  </si>
  <si>
    <t>Non-specified primary biofuels and waste</t>
  </si>
  <si>
    <t>Charcoal</t>
  </si>
  <si>
    <t>Elec/heat output from non-specified manufactured gases</t>
  </si>
  <si>
    <t>Heat output from non-specified combustible fuels</t>
  </si>
  <si>
    <t>Nuclear</t>
  </si>
  <si>
    <t>Hydro</t>
  </si>
  <si>
    <t>Geothermal</t>
  </si>
  <si>
    <t>Solar photovoltaics</t>
  </si>
  <si>
    <t>Solar thermal</t>
  </si>
  <si>
    <t>Tide, wave and ocean</t>
  </si>
  <si>
    <t>Wind</t>
  </si>
  <si>
    <t>Other sources</t>
  </si>
  <si>
    <t>Electricity</t>
  </si>
  <si>
    <t>Heat</t>
  </si>
  <si>
    <t>Total</t>
  </si>
  <si>
    <t>Memo: Renewables</t>
  </si>
  <si>
    <t>Fuel(s)</t>
  </si>
  <si>
    <t>Heat efficiency</t>
  </si>
  <si>
    <t>Wood pellets</t>
  </si>
  <si>
    <t>Netherlands</t>
  </si>
  <si>
    <t>Corrected energy balance allocation factors</t>
  </si>
  <si>
    <t>demand</t>
  </si>
  <si>
    <t>Research data</t>
  </si>
  <si>
    <t>Overview</t>
  </si>
  <si>
    <t>CEB allocation</t>
  </si>
  <si>
    <t>Delta energy balance</t>
  </si>
  <si>
    <t>Fuel</t>
  </si>
  <si>
    <t>Inputs/outputs</t>
  </si>
  <si>
    <t>A description of the modeling and country-specific assumptions for this analysis</t>
  </si>
  <si>
    <t>On the dashboard, the country-specific assumptions can be changed manually. It also shows the most important checks</t>
  </si>
  <si>
    <t>Filled out all assumptions</t>
  </si>
  <si>
    <t>Total electricity production matches the indicated electricity production</t>
  </si>
  <si>
    <t>TPES</t>
  </si>
  <si>
    <t>Conversion CHP main activity</t>
  </si>
  <si>
    <t>Transformation other</t>
  </si>
  <si>
    <t>Commercial &amp; public services</t>
  </si>
  <si>
    <t>Fuels</t>
  </si>
  <si>
    <t>IEA carriers</t>
  </si>
  <si>
    <t>Biogenic waste</t>
  </si>
  <si>
    <t>Non biogenic waste</t>
  </si>
  <si>
    <t>Constants</t>
  </si>
  <si>
    <t>Results overview by fuel</t>
  </si>
  <si>
    <t>Results overview by converter</t>
  </si>
  <si>
    <t>All fuels</t>
  </si>
  <si>
    <t>kWh to MJ conversion (MJ/kWh)</t>
  </si>
  <si>
    <t>Calculation</t>
  </si>
  <si>
    <t>Cover sheet</t>
  </si>
  <si>
    <t>Analysis inputs</t>
  </si>
  <si>
    <t>Analysis calculations</t>
  </si>
  <si>
    <t>Analysis ouputs</t>
  </si>
  <si>
    <t>Dataflow</t>
  </si>
  <si>
    <t>Natural gas (result)</t>
  </si>
  <si>
    <t>Natural gas (IEA)</t>
  </si>
  <si>
    <t>Biogas (result)</t>
  </si>
  <si>
    <t>Biogas (IEA)</t>
  </si>
  <si>
    <t>Wood pellets (result)</t>
  </si>
  <si>
    <t>Wood pellets (IEA)</t>
  </si>
  <si>
    <t>All fuels (result)</t>
  </si>
  <si>
    <t>All fuels (IEA)</t>
  </si>
  <si>
    <t>Comment</t>
  </si>
  <si>
    <t>Coal (result)</t>
  </si>
  <si>
    <t>Coal (IEA)</t>
  </si>
  <si>
    <t>Oil (result)</t>
  </si>
  <si>
    <t>Oil (IEA)</t>
  </si>
  <si>
    <t>Lignite (result)</t>
  </si>
  <si>
    <t>Lignite (IEA)</t>
  </si>
  <si>
    <t>Biogenic waste (result)</t>
  </si>
  <si>
    <t>Biogenic waste (IEA)</t>
  </si>
  <si>
    <t>Steps to perform the analysis</t>
  </si>
  <si>
    <t>A documentation of the changes to this analysis</t>
  </si>
  <si>
    <t>5. Keep in mind the checks on the Dashboard. If a check fails, try to understand what goes wrong and adjust your assumptions as long as you feel it is still realistic</t>
  </si>
  <si>
    <t>The base year for this analysis</t>
  </si>
  <si>
    <t>year</t>
  </si>
  <si>
    <t>Proposed source</t>
  </si>
  <si>
    <t>On this page, a description of the assumptions for this analysis is given. There are two types of assumptions, Modeling assumptions and Country specific assumptions. The modeling assumptions form the structure or framework to be able to do this analysis. They are the same for every country. The country specific assumptions must be entered by the researcher on the Dashboard page and are used to correctly adjust the calculations to the specific country. The fuels table gives an overview of how the ETM fuel carriers correspond with the IEA fuel carriers.</t>
  </si>
  <si>
    <t>All units</t>
  </si>
  <si>
    <t>Unit type</t>
  </si>
  <si>
    <t>Co-fueling shares</t>
  </si>
  <si>
    <t>Introductory</t>
  </si>
  <si>
    <t>Sheet</t>
  </si>
  <si>
    <t>Information about this document and a legend to sheet and cell formatting</t>
  </si>
  <si>
    <t>Production share of total unit production (%)</t>
  </si>
  <si>
    <t>hours/yr</t>
  </si>
  <si>
    <t>Full load hours (hrs/yr)</t>
  </si>
  <si>
    <t>Results by fuel</t>
  </si>
  <si>
    <t>Results by machine</t>
  </si>
  <si>
    <t>All critical checks correct</t>
  </si>
  <si>
    <t>full_load_hours</t>
  </si>
  <si>
    <t>Country</t>
  </si>
  <si>
    <t>Filled out all full load hours</t>
  </si>
  <si>
    <t>If a check is red or orange, please follow these instructions</t>
  </si>
  <si>
    <t>Technical specs</t>
  </si>
  <si>
    <t>8. If you encounter other problems please contact Quintel Intelligence (info@quintel.com)</t>
  </si>
  <si>
    <t>Coal heater</t>
  </si>
  <si>
    <t>Lignite heater</t>
  </si>
  <si>
    <t>Gas heater</t>
  </si>
  <si>
    <t>Oil heater</t>
  </si>
  <si>
    <t>waste heater</t>
  </si>
  <si>
    <t>Gas</t>
  </si>
  <si>
    <t>Waste mix</t>
  </si>
  <si>
    <t>Wood pellets heater</t>
  </si>
  <si>
    <t>Environment heat</t>
  </si>
  <si>
    <t>Main activity heat plants</t>
  </si>
  <si>
    <t>Biogas (green gas)</t>
  </si>
  <si>
    <t>On this page the fuel mixes are used to determine the shares of fuels into co-fueling heat units</t>
  </si>
  <si>
    <t>Waste heater</t>
  </si>
  <si>
    <t>Non-biogenic waste</t>
  </si>
  <si>
    <t>All types</t>
  </si>
  <si>
    <t>Difference</t>
  </si>
  <si>
    <t>Difference (%)</t>
  </si>
  <si>
    <t>Geothermal (result)</t>
  </si>
  <si>
    <t>Geothermal (IEA)</t>
  </si>
  <si>
    <t>CHP analysis extra heat</t>
  </si>
  <si>
    <t>Link to CHP analysis</t>
  </si>
  <si>
    <t>Installed heat capacity (MW)</t>
  </si>
  <si>
    <t>Conversion heat main activity</t>
  </si>
  <si>
    <t>Conversion heat autoprod</t>
  </si>
  <si>
    <t>Power plants full load hours</t>
  </si>
  <si>
    <t>Heat plants</t>
  </si>
  <si>
    <t>Power plants</t>
  </si>
  <si>
    <t>Ultra supercritical oxyfuel ccs</t>
  </si>
  <si>
    <t>Supercritical</t>
  </si>
  <si>
    <t>Ultra supercritical ccs</t>
  </si>
  <si>
    <t>Ultra supercritical</t>
  </si>
  <si>
    <t>Combined cycle ccs</t>
  </si>
  <si>
    <t>Combined cycle</t>
  </si>
  <si>
    <t>Hydro mountain</t>
  </si>
  <si>
    <t>Wind turbine coastal</t>
  </si>
  <si>
    <t>Wind turbine offshore</t>
  </si>
  <si>
    <t>Wind turbine inland</t>
  </si>
  <si>
    <t>Hydro river</t>
  </si>
  <si>
    <t>Engine</t>
  </si>
  <si>
    <t>Diesel</t>
  </si>
  <si>
    <t>Nuclear 2nd gen</t>
  </si>
  <si>
    <t>Nuclear 3rd gen</t>
  </si>
  <si>
    <t>Turbine</t>
  </si>
  <si>
    <t>Uranium</t>
  </si>
  <si>
    <t>Heat and power plants technical specifications</t>
  </si>
  <si>
    <t>Main activity power plants</t>
  </si>
  <si>
    <t>Autoproducer power plants</t>
  </si>
  <si>
    <t>Solar PV</t>
  </si>
  <si>
    <t>key</t>
  </si>
  <si>
    <t>energy_power_ultra_supercritical_oxyfuel_ccs_lignite</t>
  </si>
  <si>
    <t>energy_power_supercritical_coal</t>
  </si>
  <si>
    <t>energy_power_ultra_supercritical_ccs_coal</t>
  </si>
  <si>
    <t>energy_power_ultra_supercritical_lignite</t>
  </si>
  <si>
    <t>energy_power_combined_cycle_ccs_coal</t>
  </si>
  <si>
    <t>energy_power_combined_cycle_coal</t>
  </si>
  <si>
    <t>energy_power_hydro_mountain</t>
  </si>
  <si>
    <t>energy_power_wind_turbine_coastal</t>
  </si>
  <si>
    <t>energy_power_wind_turbine_offshore</t>
  </si>
  <si>
    <t>energy_power_wind_turbine_inland</t>
  </si>
  <si>
    <t>energy_power_hydro_river</t>
  </si>
  <si>
    <t>energy_power_ultra_supercritical_crude_oil</t>
  </si>
  <si>
    <t>energy_power_engine_diesel</t>
  </si>
  <si>
    <t>energy_power_nuclear_gen2_uranium_oxide</t>
  </si>
  <si>
    <t>energy_power_nuclear_gen3_uranium_oxide</t>
  </si>
  <si>
    <t>energy_power_combined_cycle_ccs_network_gas</t>
  </si>
  <si>
    <t>energy_power_combined_cycle_network_gas</t>
  </si>
  <si>
    <t>energy_power_turbine_network_gas</t>
  </si>
  <si>
    <t>energy_power_ultra_supercritical_network_gas</t>
  </si>
  <si>
    <t>energy_power_supercritical_waste_mix</t>
  </si>
  <si>
    <t>Coal Supercritical</t>
  </si>
  <si>
    <t>Coal Ultra supercritical</t>
  </si>
  <si>
    <t>Coal Ultra supercritical ccs</t>
  </si>
  <si>
    <t>Coal Combined cycle</t>
  </si>
  <si>
    <t>Coal Combined cycle ccs</t>
  </si>
  <si>
    <t>Lignite Ultra supercritical</t>
  </si>
  <si>
    <t>Lignite Ultra supercritical oxyfuel ccs</t>
  </si>
  <si>
    <t>Gas Turbine</t>
  </si>
  <si>
    <t>Gas Combined cycle</t>
  </si>
  <si>
    <t>Gas Combined cycle ccs</t>
  </si>
  <si>
    <t>Gas Ultra supercritical</t>
  </si>
  <si>
    <t>Oil Ultra supercritical</t>
  </si>
  <si>
    <t>Diesel Engine</t>
  </si>
  <si>
    <t>Waste Supercritical</t>
  </si>
  <si>
    <t>Production shares</t>
  </si>
  <si>
    <t>Production of gas power plants add up to 100%</t>
  </si>
  <si>
    <t>Production of lignite power plants add up to 100%</t>
  </si>
  <si>
    <t>Production of nuclear power plants add up to 100%</t>
  </si>
  <si>
    <t>Production of hydro power plants add up to 100%</t>
  </si>
  <si>
    <t>Production of wind turbines add up to 100%</t>
  </si>
  <si>
    <t>Year data</t>
  </si>
  <si>
    <t>Joined Power plant analysis</t>
  </si>
  <si>
    <t>Ultra supercritical co-firing</t>
  </si>
  <si>
    <t>Coal/Wood pellets</t>
  </si>
  <si>
    <t>Coal/Wood pellets Ultra supercritical co-firing</t>
  </si>
  <si>
    <t>Sunlight</t>
  </si>
  <si>
    <t>Installed electrical capacity (MW)</t>
  </si>
  <si>
    <t>energy_power_solar_pv_solar_radiation</t>
  </si>
  <si>
    <t>energy_power_geothermal</t>
  </si>
  <si>
    <t>(Sub)fuel allocation heat plants</t>
  </si>
  <si>
    <t>(Sub)fuel allocation power plants</t>
  </si>
  <si>
    <t>Main activity producer electricity</t>
  </si>
  <si>
    <t>Autoproducer electricity</t>
  </si>
  <si>
    <t>Other sources will be added to natural gas (for now)</t>
  </si>
  <si>
    <t>Biofuels are added to wood pellets (for now)</t>
  </si>
  <si>
    <t>Includes 'Other sources'</t>
  </si>
  <si>
    <t>Includes 'Biofuels'</t>
  </si>
  <si>
    <t>Main activity electricity plants</t>
  </si>
  <si>
    <t>Co-firing plant</t>
  </si>
  <si>
    <t>Gas plants</t>
  </si>
  <si>
    <t>Waste plant</t>
  </si>
  <si>
    <t>Coal supercritical</t>
  </si>
  <si>
    <t>Lignite Ultra supercritical ccs</t>
  </si>
  <si>
    <t>Diesel engine</t>
  </si>
  <si>
    <t>Nuclear 2nd gen.</t>
  </si>
  <si>
    <t>Nuclear 3rd gen.</t>
  </si>
  <si>
    <t>Diesel (result)</t>
  </si>
  <si>
    <t>Diesel (IEA)</t>
  </si>
  <si>
    <t>Nuclear (result)</t>
  </si>
  <si>
    <t>Nuclear (IEA)</t>
  </si>
  <si>
    <t>Wind (result)</t>
  </si>
  <si>
    <t>Wind (IEA)</t>
  </si>
  <si>
    <t>Hydro (result)</t>
  </si>
  <si>
    <t>Hydro (IEA)</t>
  </si>
  <si>
    <t>Solar PV (result)</t>
  </si>
  <si>
    <t>Solar PV (IEA)</t>
  </si>
  <si>
    <t>Non biogenic waste (result)</t>
  </si>
  <si>
    <t>Non biogenic waste (IEA)</t>
  </si>
  <si>
    <t>Created results</t>
  </si>
  <si>
    <t>On this page, data from the IEA energy balance is aggregated to more functional carriers and sectors.</t>
  </si>
  <si>
    <t>industry_chp_turbine_gas_power_fuelmix</t>
  </si>
  <si>
    <t>industry_chp_engine_gas_power_fuelmix</t>
  </si>
  <si>
    <t>industry_chp_combined_cycle_gas_power_fuelmix</t>
  </si>
  <si>
    <t>industry_chp_ultra_supercritical_coal</t>
  </si>
  <si>
    <t>energy_chp_combined_cycle_network_gas</t>
  </si>
  <si>
    <t>energy_chp_ultra_supercritical_lignite</t>
  </si>
  <si>
    <t>energy_chp_supercritical_waste_mix</t>
  </si>
  <si>
    <t>Fuel aggregation HP</t>
  </si>
  <si>
    <t>Fuel aggregation PP</t>
  </si>
  <si>
    <t>A short introduction to this analysis and the Energytransition model (ETM)</t>
  </si>
  <si>
    <t>Input data for this analysis. The corrected extensive energy balance that was created by the CHP analysis</t>
  </si>
  <si>
    <t>An overview of heat and power plant inputs and outputs by plant type</t>
  </si>
  <si>
    <t>An aggregation of energy balance fuel carriers for heat plants</t>
  </si>
  <si>
    <t>An aggregation of energy balance fuel carriers for power plants</t>
  </si>
  <si>
    <t>Calculation of the fuel shares in co-fueling heat and power plants</t>
  </si>
  <si>
    <t>Calculation of the inputs and outputs of heat plants</t>
  </si>
  <si>
    <t>Calculation of the inputs and outputs of power plants</t>
  </si>
  <si>
    <t>Calculation of allocation vectors to split fuels into subfuels for the heat and power plants</t>
  </si>
  <si>
    <t xml:space="preserve">In this analysis, statistical and technical research data are used to create a dataset that can be used as input to the Energytransition Model (ETM) by Quintel. In short, the energytransition model (ETM) is a calculation engine with a front-end interface that is free to be used by private, commercial and public users. The engine exists of a collection of 'converters' that are linked together to approach the structure of an energy system at the country level. It includes for example import, export, electricity and heat production, final demand sectors and useful demand applications. Every converter has technical and economical specifications that were determined from scientific and technical literature. The model's initial configuration is mostly based on 2010 statistical data. Useful demand of energy applications is gathered from other sources. By moving sliders in a front end dashboard, representing energy use, energy production or socio-economical parameters, the calculation engine determines the results from these actions in a future scenario and communicates them to the user.
</t>
  </si>
  <si>
    <t>A visualization of the dataflow in this analysis. The background colours are similar to the sheet colours in this analysis. The arrow colours have no meaning.</t>
  </si>
  <si>
    <t>A visualization of the data flow of the heat and power plant analysis</t>
  </si>
  <si>
    <t>Solar CSP</t>
  </si>
  <si>
    <t>On this page, two allocation vectors are created to divide differences between the original and corrected energy balance from a carrier to a subcarrier level.</t>
  </si>
  <si>
    <t>In the IEA energy balance, the input to production equals the electricity output.</t>
  </si>
  <si>
    <t>Replicated here to correct the energy balance using IEA convention</t>
  </si>
  <si>
    <t>energy_power_solar_csp_solar_radiation</t>
  </si>
  <si>
    <t>Total fuel input to heat plants matches the indicated fuel input (±5%)</t>
  </si>
  <si>
    <t>Total fuel input to power plants matches the indicated fuel input (±5%)</t>
  </si>
  <si>
    <t>CHP analysis</t>
  </si>
  <si>
    <t>The ETM uses fixed specifications (efficiencies) for a variety of heat and power plants. This analysis tries to match these plant types to the energy statistics</t>
  </si>
  <si>
    <t xml:space="preserve">The CHP heat production deficit. This heat must be produced by main activity heat plants. </t>
  </si>
  <si>
    <t>Should be estimated by an expert, based on national data</t>
  </si>
  <si>
    <t>The full load hours of main activity power plants</t>
  </si>
  <si>
    <t>The full load hours of main activity heat plants</t>
  </si>
  <si>
    <t>ETM carriers</t>
  </si>
  <si>
    <t>The fuel input to power plants is calculated using their efficiencies and power production.</t>
  </si>
  <si>
    <t>The fuel input to heat plants is calculated using their efficiencies and heat production.</t>
  </si>
  <si>
    <t>The production by autoproducer electricity plants is added to the production of main activity power plants (except for autoproduced Solar pv)</t>
  </si>
  <si>
    <t>The production by autoproducerheat plants is added to the production of main activity heat plants</t>
  </si>
  <si>
    <t>Electricity prodution by biofuels is realised by wood pellets instead</t>
  </si>
  <si>
    <t>Electricity production by 'Other fuels' is realised by natural gas instead</t>
  </si>
  <si>
    <t>Nonbiogenic waste</t>
  </si>
  <si>
    <t xml:space="preserve">The resulting fuel inputs for power and heat plants per fuel are divided over subfuels in the same ratio as the input according to original statistics </t>
  </si>
  <si>
    <t>A deficit in sold heat production in the CHP analysis is communicated to this analysis. This heat is produced by main activity heat plants instead.</t>
  </si>
  <si>
    <t>(for heat plants)</t>
  </si>
  <si>
    <t>Diesel (only power plants)</t>
  </si>
  <si>
    <t>Solar pv</t>
  </si>
  <si>
    <t>Conversion electricity main activity</t>
  </si>
  <si>
    <t>Conversion electricity autoproducer</t>
  </si>
  <si>
    <t>An index with description of all the sheets in this analysis</t>
  </si>
  <si>
    <t>Conversion CHP autoproducer</t>
  </si>
  <si>
    <t>Added solar csp, created Delta energy balance, completed Dashboard</t>
  </si>
  <si>
    <t>Result of this analysis. The second version of the full corrected energy balance</t>
  </si>
  <si>
    <t>These are both state-of-the-art heat and power plants and less efficient 'conventional' ones. The specs are the result of a source analysis</t>
  </si>
  <si>
    <t>The creation of this corrected energy balance allows Quintel to check how close the analysis results stay to the statistics and to use the corrected energy balance directly for initializing the ETM.</t>
  </si>
  <si>
    <t>For the ETM, producing the correct amount of electricity is more important than exactly reproducing transformation losses or heat production. The reason is that electricity production is also the most accurately measured for statistics.</t>
  </si>
  <si>
    <t>The ETM only has main activity power plants, i.e. plants that are owned by energy companies, rather than autoproducing third parties.</t>
  </si>
  <si>
    <t>The ETM at present has no power plant that can burn biofuels</t>
  </si>
  <si>
    <t>For the ETM, producing the correct amount of heat is the more important than exactly reproducing the fuel inputs to these conversions.</t>
  </si>
  <si>
    <t>The ETM only uses main activity (owned by energy companies) heat plants for producing sold heat.</t>
  </si>
  <si>
    <t>This data should be acquired from the CHP analysis for the same year and country.</t>
  </si>
  <si>
    <t>The production shares of the different power plant technologies within their respective fuel category (e.g. which percentage of power production by gas takes place in combined cycle plants?)</t>
  </si>
  <si>
    <t>Should be estimated by an expert, based on national data and plant's position in merit order</t>
  </si>
  <si>
    <t>Coal Ultra supercritical CCS</t>
  </si>
  <si>
    <t>Coal Combined cycle CCS</t>
  </si>
  <si>
    <t>Gas Combined cycle CCS</t>
  </si>
  <si>
    <t>Large scale solar PV</t>
  </si>
  <si>
    <t>Large scale solar CSP</t>
  </si>
  <si>
    <t>On this page, the inputs and outputs of the power plants in the main activity sector are determined, based on the assumptions on the Dashboard and after subtracting fuels in co-fueling plants.</t>
  </si>
  <si>
    <t>Applied comments AW</t>
  </si>
  <si>
    <t>Lignite Ultra supercritical oxyfuel CCS</t>
  </si>
  <si>
    <t>All heat reported here is sold heat</t>
  </si>
  <si>
    <t>The IEA statistics only report sold heat</t>
  </si>
  <si>
    <t>Total (sold) heat production matches the indicated heat production</t>
  </si>
  <si>
    <t>Biogas (or sometimes green gas)</t>
  </si>
  <si>
    <t>Actually, these plants can only use greengas</t>
  </si>
  <si>
    <t>While the IEA reports the carrier "biogas", the ETM heat and power plants can only burn greengas injected into the gas network.</t>
  </si>
  <si>
    <t>Biogas (greengas)</t>
  </si>
  <si>
    <t>Output data from this analysis. The demands of all heat, power and CHP unitsin a format that can be easily saved as a .csv file</t>
  </si>
  <si>
    <t>Output data from this analysis. The corrected energy balance v2 in a format that can be easily saved as a .csv file, which is the ouput format of this analysis for the ETM</t>
  </si>
  <si>
    <t>Solar CSP is estimated as a share of the "solar photovoltaicts" carrier in the IEA energy balance</t>
  </si>
  <si>
    <t>Sold heat production deficit from CHP analysis</t>
  </si>
  <si>
    <t>On this page, the difference between the corrected energy balance v1 and v2 are shown. Values are in TeraJoule</t>
  </si>
  <si>
    <t>In the corrected energy balance v2, the fuel use for conversions in heat and power plants are updated to reflect the fuel use in the ETM. Darker blue cells are changed directly by this analysis, while lighter blue cells are changed sums. Red cells are no longer accurate due to the analyses. Values are in TeraJoule.</t>
  </si>
  <si>
    <t>All heat plants</t>
  </si>
  <si>
    <t>Fuel aggregation heat plants</t>
  </si>
  <si>
    <t>Fuel aggregation power plants</t>
  </si>
  <si>
    <t>All power plants</t>
  </si>
  <si>
    <t>Main activity &amp; autoproducing plants combined</t>
  </si>
  <si>
    <t>On this page, data from the IEA energy balance is aggregated to more functional carriers and sectors. Heat production only refers to sold heat production.</t>
  </si>
  <si>
    <t>On this page, the inputs and outputs of the heaters in the main activity sector are determined, based on the assumptions on the Dashboard and after subtracting fuels in co-fueling plants. Heat production only refers to sold heat.</t>
  </si>
  <si>
    <t>Blast furnaces_own_use</t>
  </si>
  <si>
    <t>Gas works_transformation</t>
  </si>
  <si>
    <t>Coke ovens_transformation</t>
  </si>
  <si>
    <t>Patent fuel plants_transformation</t>
  </si>
  <si>
    <t>BKB plants_transformation</t>
  </si>
  <si>
    <t>Oil refineries_transformation</t>
  </si>
  <si>
    <t>Coal liquefaction plants_transformation</t>
  </si>
  <si>
    <t>Gas-to-liquids (GTL) plants_transformation</t>
  </si>
  <si>
    <t>Gas works_own_use</t>
  </si>
  <si>
    <t>Coke ovens_own_use</t>
  </si>
  <si>
    <t>Patent fuel plants_own_use</t>
  </si>
  <si>
    <t>BKB plants_own_use</t>
  </si>
  <si>
    <t>Oil refineries_own_use</t>
  </si>
  <si>
    <t>Coal liquefaction plants_own_use</t>
  </si>
  <si>
    <t>Gas-to-liquids (GTL) plants_own_use</t>
  </si>
  <si>
    <t>Blast furnaces_transformation</t>
  </si>
  <si>
    <t>FLOW (TJ)</t>
  </si>
  <si>
    <t>TJ</t>
  </si>
  <si>
    <t>Added green gas analysis</t>
  </si>
  <si>
    <t>Power and heat plant analysis data flow</t>
  </si>
  <si>
    <t>Production table step1</t>
  </si>
  <si>
    <t>Input data for this analysis. The demands and full load hours of CHPs, created by the CHP analysis</t>
  </si>
  <si>
    <t>Corrected energy balance step2</t>
  </si>
  <si>
    <t>On this page, the differences between the corrected energy balance step1 and 2 are shown.</t>
  </si>
  <si>
    <t>buildings_solar_pv_solar_radiation</t>
  </si>
  <si>
    <t>households_solar_pv_solar_radiation</t>
  </si>
  <si>
    <t>IEA net electricty and heat generation in autoproducers</t>
  </si>
  <si>
    <t>TIME</t>
  </si>
  <si>
    <t>Total net production</t>
  </si>
  <si>
    <t>Total energy industry</t>
  </si>
  <si>
    <t>Non-specified energy industry</t>
  </si>
  <si>
    <t>Total industry</t>
  </si>
  <si>
    <t>Paper, pulp, and printing</t>
  </si>
  <si>
    <t>Non-specified industry</t>
  </si>
  <si>
    <t>Total transport</t>
  </si>
  <si>
    <t>Non-specified transport</t>
  </si>
  <si>
    <t>Commercial and public service</t>
  </si>
  <si>
    <t>Non-specified - other</t>
  </si>
  <si>
    <t>COUNTRY</t>
  </si>
  <si>
    <t>PLANT</t>
  </si>
  <si>
    <t>Electricity (GWh)</t>
  </si>
  <si>
    <t>Total autoproducer plants</t>
  </si>
  <si>
    <t>Heat (TJ)</t>
  </si>
  <si>
    <t>Autoproducer Solar PV plants are analysed in the PV solar sheet</t>
  </si>
  <si>
    <t>This electricity is analysed in the PV solar sheet</t>
  </si>
  <si>
    <t>PV solar</t>
  </si>
  <si>
    <t>Autoproducer PV solar calculation</t>
  </si>
  <si>
    <t>Energy (TJ)</t>
  </si>
  <si>
    <t>Net-gross conversion</t>
  </si>
  <si>
    <t>Households solar PV</t>
  </si>
  <si>
    <t>Services solar PV</t>
  </si>
  <si>
    <t>On this sheet, the electricity production by solar PV panels in the Residential and Commercial and public services sectors are calculated. Also, the amount of solar radiation is calculated since this is used by the ETM to initiate the solar PV converters.</t>
  </si>
  <si>
    <t>Added solar PV in Residential and C&amp;P services sectors</t>
  </si>
  <si>
    <t>Input data for this analysis. The technical specifications of the power and heat units</t>
  </si>
  <si>
    <t>On this sheet, the electricity production by solar PV panels in the Residential and Commercial and public services sectors are calculated</t>
  </si>
  <si>
    <t>csv_corrected_energy_balance_2</t>
  </si>
  <si>
    <t>csv_ce_production_table_2</t>
  </si>
  <si>
    <t>Fuel share in main activity heat plants (%)</t>
  </si>
  <si>
    <t>All autoproducer</t>
  </si>
  <si>
    <t>Electricity production solar PV</t>
  </si>
  <si>
    <t>Net electricity production solar PV</t>
  </si>
  <si>
    <t>Gross electricity production solar PV</t>
  </si>
  <si>
    <t>Solar energy input solar PV</t>
  </si>
  <si>
    <t>Improved lay-out</t>
  </si>
  <si>
    <t>kWh_MJ_conversion</t>
  </si>
  <si>
    <t>This analysis uses the 'corrected energy balance step1', which was an output of the CHP plant analysis.</t>
  </si>
  <si>
    <t>This analysis output the 'corrected energy balance step2'. In this energy balance, the fuel input for conversions in heat and power plants are corrected to reflect the fuel use in the ETM.</t>
  </si>
  <si>
    <t>Name</t>
  </si>
  <si>
    <t>Key</t>
  </si>
  <si>
    <t>country</t>
  </si>
  <si>
    <t>base_year</t>
  </si>
  <si>
    <t>pp_share_coal_us</t>
  </si>
  <si>
    <t>pp_share_coal_us_ccs</t>
  </si>
  <si>
    <t>pp_share_coal_cc</t>
  </si>
  <si>
    <t>pp_share_coal_cc_ccs</t>
  </si>
  <si>
    <t>pp_share_gas_turbine</t>
  </si>
  <si>
    <t>pp_share_gas_cc</t>
  </si>
  <si>
    <t>pp_share_gas_cc_ccs</t>
  </si>
  <si>
    <t>pp_share_nuclear_2</t>
  </si>
  <si>
    <t>pp_share_nuclear_3</t>
  </si>
  <si>
    <t>pp_share_hydro_river</t>
  </si>
  <si>
    <t>pp_share_hydro_mountain</t>
  </si>
  <si>
    <t>pp_share_wind_coastal</t>
  </si>
  <si>
    <t>pp_share_wind_offshore</t>
  </si>
  <si>
    <t>pp_share_wind_inland</t>
  </si>
  <si>
    <t>pp_flh_coal_supercritical</t>
  </si>
  <si>
    <t>pp_flh_coal_us</t>
  </si>
  <si>
    <t>pp_flh_coal_us_ccs</t>
  </si>
  <si>
    <t>pp_flh_coal_us_co</t>
  </si>
  <si>
    <t>pp_flh_coal_cc</t>
  </si>
  <si>
    <t>pp_flh_coal_cc_ccs</t>
  </si>
  <si>
    <t>pp_share_lignite_us</t>
  </si>
  <si>
    <t>pp_share_lignite_us_ccs</t>
  </si>
  <si>
    <t>pp_flh_lignite_us</t>
  </si>
  <si>
    <t>pp_flh_lignite_us_ccs</t>
  </si>
  <si>
    <t>pp_flh_gas_turbine</t>
  </si>
  <si>
    <t>pp_flh_gas_cc</t>
  </si>
  <si>
    <t>pp_flh_gas_cc_ccs</t>
  </si>
  <si>
    <t>pp_flh_gas_us</t>
  </si>
  <si>
    <t>pp_share_gas_us</t>
  </si>
  <si>
    <t>pp_flh_oil_us</t>
  </si>
  <si>
    <t>pp_flh_diesel</t>
  </si>
  <si>
    <t>pp_flh_waste</t>
  </si>
  <si>
    <t>pp_flh_nuclear_2</t>
  </si>
  <si>
    <t>pp_flh_nuclear_3</t>
  </si>
  <si>
    <t>pp_flh_hydro_river</t>
  </si>
  <si>
    <t>pp_flh_hydro_mountain</t>
  </si>
  <si>
    <t>pp_flh_geothermal</t>
  </si>
  <si>
    <t>pp_flh_solar_pv</t>
  </si>
  <si>
    <t>pp_flh_residential_solar_pv</t>
  </si>
  <si>
    <t>pp_flh_caps_solar_pv</t>
  </si>
  <si>
    <t>pp_flh_solar_csp</t>
  </si>
  <si>
    <t>pp_flh_wind_coastal</t>
  </si>
  <si>
    <t>pp_flh_wind_offshore</t>
  </si>
  <si>
    <t>pp_flh_wind_inland</t>
  </si>
  <si>
    <t>4. Fill in the (country-specific) assumptions on the Dashboard using reliable sources and expert knowledge. Please document your sources.</t>
  </si>
  <si>
    <t>We assume that all autoproduced electricity in the Residential sector is from solar PV</t>
  </si>
  <si>
    <t>We assume that the remaining autoproduction of electricity from solar PV takes place in the C&amp;P services sector</t>
  </si>
  <si>
    <t>Automatically import/export analysis data</t>
  </si>
  <si>
    <t>Remove energy_distribution_waste_child_share (WT)</t>
  </si>
  <si>
    <t>Renamed energy balance</t>
  </si>
  <si>
    <t>Corrected energy balance step 2</t>
  </si>
  <si>
    <t>Corrected energy balance step 1</t>
  </si>
  <si>
    <t>Heat and power plants specifications</t>
  </si>
  <si>
    <t>Fuel aggregation</t>
  </si>
  <si>
    <t xml:space="preserve">This is a test sheet. Do not delete without asking RD. </t>
  </si>
  <si>
    <t>IEA carrier</t>
  </si>
  <si>
    <t>Total number IEA carriers</t>
  </si>
  <si>
    <t>Total ETM carrier use</t>
  </si>
  <si>
    <t>ETM carrier</t>
  </si>
  <si>
    <t>check</t>
  </si>
  <si>
    <t>Heat plants full load hours</t>
  </si>
  <si>
    <t>Add full load hours of heat plants to Technical specs, show them on Dashboard and Result by machine, export them using the central_producers csv</t>
  </si>
  <si>
    <t>Changed PJ to TJ</t>
  </si>
  <si>
    <t>Total electricity production (TJ)</t>
  </si>
  <si>
    <t>Total fuel input (TJ)</t>
  </si>
  <si>
    <t>Total heat production (TJ)</t>
  </si>
  <si>
    <t>Production share of total unit production (TJ)</t>
  </si>
  <si>
    <t>energy_chp_ultra_supercritical_cofiring_coal</t>
  </si>
  <si>
    <t>energy_chp_ultra_supercritical_coal</t>
  </si>
  <si>
    <t>energy_power_ultra_supercritical_coal</t>
  </si>
  <si>
    <t>energy_power_ultra_supercritical_cofiring_coal</t>
  </si>
  <si>
    <t>This plant has a fixed 50/50 ratio for coal and wood pellets. The statiscal amount of wood pellets is used and the same amount of coal is used</t>
  </si>
  <si>
    <t>Removed _rdr suffix from new power plants</t>
  </si>
  <si>
    <t>Fixed solar pv production (PJ/TJ)</t>
  </si>
  <si>
    <t>Added check for import production table' to dashboard</t>
  </si>
  <si>
    <t>Critical Check</t>
  </si>
  <si>
    <t>Added installed capacity and fuel consumption feedback to dashbord. Improved 'all assumptions filled' check</t>
  </si>
  <si>
    <t>September 10, 2013</t>
  </si>
  <si>
    <t>converter key</t>
  </si>
  <si>
    <t>ETM attribute</t>
  </si>
  <si>
    <t>output.electricity</t>
  </si>
  <si>
    <t>output.steam_hot_water</t>
  </si>
  <si>
    <t>Electric efficiency</t>
  </si>
  <si>
    <t>Added automatic import of sold_heat_deficit from PP_HP analysis</t>
  </si>
  <si>
    <t>removed stored data from tech specs sheet</t>
  </si>
  <si>
    <t>-</t>
  </si>
  <si>
    <t>MW</t>
  </si>
  <si>
    <t>Total installed capacity, per carrier</t>
  </si>
  <si>
    <t>Coal, including co-firing</t>
  </si>
  <si>
    <t>All power producers have positive energy demands</t>
  </si>
  <si>
    <t>Improving Dashboard. Now also displaying coal use in co-firing units</t>
  </si>
  <si>
    <t>Fuel input into lignite-firing plants</t>
  </si>
  <si>
    <t>Fuel input into gas-firing plants</t>
  </si>
  <si>
    <t>Fuel input into nuclear plants</t>
  </si>
  <si>
    <t>All wood pellets are used in co-firing coal plant</t>
  </si>
  <si>
    <t>Total coal use (including co-firing coal plants)</t>
  </si>
  <si>
    <t>Fuel input into coal-firing plants (incl. co-fired wood pellets)</t>
  </si>
  <si>
    <r>
      <t xml:space="preserve">Electricity Production by </t>
    </r>
    <r>
      <rPr>
        <b/>
        <sz val="12"/>
        <color theme="1"/>
        <rFont val="Calibri"/>
        <family val="2"/>
        <scheme val="minor"/>
      </rPr>
      <t>lignite</t>
    </r>
    <r>
      <rPr>
        <sz val="12"/>
        <color theme="1"/>
        <rFont val="Calibri"/>
        <family val="2"/>
        <scheme val="minor"/>
      </rPr>
      <t xml:space="preserve"> plants</t>
    </r>
  </si>
  <si>
    <r>
      <t xml:space="preserve">Electricity Production by </t>
    </r>
    <r>
      <rPr>
        <b/>
        <sz val="12"/>
        <color theme="1"/>
        <rFont val="Calibri"/>
        <family val="2"/>
        <scheme val="minor"/>
      </rPr>
      <t>nuclear</t>
    </r>
    <r>
      <rPr>
        <sz val="12"/>
        <color theme="1"/>
        <rFont val="Calibri"/>
        <family val="2"/>
        <scheme val="minor"/>
      </rPr>
      <t xml:space="preserve"> plants</t>
    </r>
  </si>
  <si>
    <r>
      <t xml:space="preserve">Electricity Production by </t>
    </r>
    <r>
      <rPr>
        <b/>
        <sz val="12"/>
        <color theme="1"/>
        <rFont val="Calibri"/>
        <family val="2"/>
        <scheme val="minor"/>
      </rPr>
      <t>hydro</t>
    </r>
    <r>
      <rPr>
        <sz val="12"/>
        <color theme="1"/>
        <rFont val="Calibri"/>
        <family val="2"/>
        <scheme val="minor"/>
      </rPr>
      <t xml:space="preserve"> power plants</t>
    </r>
  </si>
  <si>
    <r>
      <t xml:space="preserve">Electricity Production by </t>
    </r>
    <r>
      <rPr>
        <b/>
        <sz val="12"/>
        <color theme="1"/>
        <rFont val="Calibri"/>
        <family val="2"/>
        <scheme val="minor"/>
      </rPr>
      <t>wind</t>
    </r>
    <r>
      <rPr>
        <sz val="12"/>
        <color theme="1"/>
        <rFont val="Calibri"/>
        <family val="2"/>
        <scheme val="minor"/>
      </rPr>
      <t xml:space="preserve"> turbines</t>
    </r>
  </si>
  <si>
    <t xml:space="preserve">All full load hours of heat plants are globally fixed. </t>
  </si>
  <si>
    <r>
      <t xml:space="preserve">Electricity Production by </t>
    </r>
    <r>
      <rPr>
        <b/>
        <sz val="12"/>
        <color theme="1"/>
        <rFont val="Calibri"/>
        <family val="2"/>
        <scheme val="minor"/>
      </rPr>
      <t>gas</t>
    </r>
    <r>
      <rPr>
        <sz val="12"/>
        <color theme="1"/>
        <rFont val="Calibri"/>
        <family val="2"/>
        <scheme val="minor"/>
      </rPr>
      <t xml:space="preserve"> plants (network gas)</t>
    </r>
  </si>
  <si>
    <t>Share</t>
  </si>
  <si>
    <r>
      <t xml:space="preserve">Electricity Production by </t>
    </r>
    <r>
      <rPr>
        <b/>
        <sz val="12"/>
        <color theme="1"/>
        <rFont val="Calibri"/>
        <family val="2"/>
        <scheme val="minor"/>
      </rPr>
      <t>coal</t>
    </r>
    <r>
      <rPr>
        <sz val="12"/>
        <color theme="1"/>
        <rFont val="Calibri"/>
        <family val="2"/>
        <scheme val="minor"/>
      </rPr>
      <t xml:space="preserve"> plants (incl. co-fired wood pellets), which is generated by:</t>
    </r>
  </si>
  <si>
    <t xml:space="preserve">The overview table below provides feedback on the installed power plant capacity per carrier. You can directly influnce these figures by changing the full load hours of the respective plants. </t>
  </si>
  <si>
    <t>All shares are non-negative numbers</t>
  </si>
  <si>
    <t>Fuel input into nuclear plants matches the fuel input indicated by IEA (±5%)</t>
  </si>
  <si>
    <t>Coal input into coal plants matches the fuel input indicated by IEA (±1%)</t>
  </si>
  <si>
    <t>Gas input into gas plants matches the fuel input indicated by IEA (±1%)</t>
  </si>
  <si>
    <t>1. On the 'Dashboard' worksheet use the macro button to import the relevant data (the data for the light green worksheets an some values for the 'Dashboard' sheet)</t>
  </si>
  <si>
    <t>2. Look over all the assumptions and checks on the Assumptions page and the Dashboard. Consult the documentation for additional information.</t>
  </si>
  <si>
    <t>0. The macros in this document only work if you opened it using the 'analysis_manager.xlsm' and if you enabled macros.</t>
  </si>
  <si>
    <t>7. The corrected energy balance v1, country specific assumptions and related sources are the only places where input is needed and possible. All other cells should not be altered</t>
  </si>
  <si>
    <t>Fixing +- sign on sheet Main activity power plants, cell D45</t>
  </si>
  <si>
    <t xml:space="preserve">On this page, the inputs and outputs of power and heat plants are given by fuel. The results are checked against (modified) IEA data where possible. Inconsistencies larger than 5% are formatted in orange. In case of dividing by zero, a cell will display 'infinite'. This is typically due to IEA reporting zero demand in a sector, while the Research Analysis does allocate energy demand. </t>
  </si>
  <si>
    <t>Solar PV, large scale, main activity</t>
  </si>
  <si>
    <t>Solar PV in household sector</t>
  </si>
  <si>
    <t>Solar PV in services sector</t>
  </si>
  <si>
    <t>Concentrated solar power, main activity</t>
  </si>
  <si>
    <t>Concentrated solar power</t>
  </si>
  <si>
    <r>
      <rPr>
        <b/>
        <sz val="12"/>
        <rFont val="Calibri"/>
        <family val="2"/>
        <scheme val="minor"/>
      </rPr>
      <t>This analysis is tailored to be useful for the Quintel Energytransitionmodel (ETM) and fit the available model structure while remaining as close as possible to the available data.</t>
    </r>
    <r>
      <rPr>
        <sz val="12"/>
        <rFont val="Calibri"/>
        <family val="2"/>
        <scheme val="minor"/>
      </rPr>
      <t xml:space="preserve">
</t>
    </r>
    <r>
      <rPr>
        <b/>
        <sz val="12"/>
        <rFont val="Calibri"/>
        <family val="2"/>
        <scheme val="minor"/>
      </rPr>
      <t xml:space="preserve">The goal of this analysis is to determine the fuel inputs and the heat and power production from main activity power and heat plants. </t>
    </r>
    <r>
      <rPr>
        <sz val="12"/>
        <rFont val="Calibri"/>
        <family val="2"/>
        <scheme val="minor"/>
      </rPr>
      <t xml:space="preserve">It also determines the </t>
    </r>
    <r>
      <rPr>
        <b/>
        <sz val="12"/>
        <rFont val="Calibri"/>
        <family val="2"/>
        <scheme val="minor"/>
      </rPr>
      <t>solar PV production in the Residences</t>
    </r>
    <r>
      <rPr>
        <sz val="12"/>
        <rFont val="Calibri"/>
        <family val="2"/>
        <scheme val="minor"/>
      </rPr>
      <t xml:space="preserve"> and Commercial and Public Services sectors, though no input is required for the latter. 
The analysis uses an energy balance that has been 'corrected' by the CHP analysis from the previous analysis step and technical specifications for heat and power plants in the ETM. Also, the input of a limited range of assumptions by the user are needed on the dashboard. This analysis creates a further corrected energy balance (step2) with changes to the fuel use under the conversions part of the energy balance in order to reflect the fuel use of ETM power and heat plants. This corrected energy balance is used by all subsequent analysis steps, as well as the ETM itself to allocate energy flows.
Note that this analysis is primarily about energy. Installed capacities per plant type are an extra result of this analysis (see the 'Results by machine' sheet). For this the user can assume typical FLH per plant type, which the model will use to determine installed capacities. </t>
    </r>
  </si>
  <si>
    <r>
      <t xml:space="preserve">6. You can look at the </t>
    </r>
    <r>
      <rPr>
        <b/>
        <sz val="12"/>
        <rFont val="Calibri"/>
        <family val="2"/>
        <scheme val="minor"/>
      </rPr>
      <t>'Results by fuel'</t>
    </r>
    <r>
      <rPr>
        <sz val="12"/>
        <rFont val="Calibri"/>
        <family val="2"/>
        <scheme val="minor"/>
      </rPr>
      <t xml:space="preserve"> and the </t>
    </r>
    <r>
      <rPr>
        <b/>
        <sz val="12"/>
        <rFont val="Calibri"/>
        <family val="2"/>
        <scheme val="minor"/>
      </rPr>
      <t>'Results by machine'</t>
    </r>
    <r>
      <rPr>
        <sz val="12"/>
        <rFont val="Calibri"/>
        <family val="2"/>
        <scheme val="minor"/>
      </rPr>
      <t xml:space="preserve"> sheets for a more</t>
    </r>
    <r>
      <rPr>
        <b/>
        <sz val="12"/>
        <rFont val="Calibri"/>
        <family val="2"/>
        <scheme val="minor"/>
      </rPr>
      <t xml:space="preserve"> extensive view of the results</t>
    </r>
    <r>
      <rPr>
        <sz val="12"/>
        <rFont val="Calibri"/>
        <family val="2"/>
        <scheme val="minor"/>
      </rPr>
      <t xml:space="preserve"> of this analysis</t>
    </r>
  </si>
  <si>
    <t>pp_share_gas_engine</t>
  </si>
  <si>
    <t>Gas Engine</t>
  </si>
  <si>
    <t>energy_power_engine_network_gas</t>
  </si>
  <si>
    <t>pp_flh_gas_engine</t>
  </si>
  <si>
    <t>Fixed reference on 'Results by fuel' sheet (see https://github.com/quintel/etdataset/issues/466)</t>
  </si>
  <si>
    <t>Improved robustness of the 'coal/wood pellets ultra supercritical co-firing' share calculation. The share is set to 0% by an IF statement if the coal input is zero to avoid #DIV/0 errors.</t>
  </si>
  <si>
    <t>Completes the share to 100%</t>
  </si>
  <si>
    <t>Globally fixed assumption</t>
  </si>
  <si>
    <t>Review by RD</t>
  </si>
  <si>
    <t>Added buttons on Dashboard</t>
  </si>
  <si>
    <t xml:space="preserve">Improved Dashboard. Clear checks that are not relying on cell formatting options. Moving the dashboard feedback for fuel inputs and installed capacities to a more useful place. </t>
  </si>
  <si>
    <t>Changed the position of Co-firing coal plant in dashboard (full load hours section)</t>
  </si>
  <si>
    <t>Added check for negative machine demands to dashboard (cell K75)</t>
  </si>
  <si>
    <t>Improved checks on Results by fuel sheet</t>
  </si>
  <si>
    <t>Added solar_PV in households and services to 'results by machine' sheet</t>
  </si>
  <si>
    <t>In the table below the energy balance from the CHP analysis is imported and will be used in the analysis.</t>
  </si>
  <si>
    <t>In the table below the IEA 'net electricity and heat generation in autoproducers' is imported and will be used in the analysis.</t>
  </si>
  <si>
    <t>Solar thermal (result)</t>
  </si>
  <si>
    <t>Solar thermal (IEA)</t>
  </si>
  <si>
    <t>Obtain electricity production by CSP from the energy balance rather then (incorrectly) determining it as share from solar PV (see https://github.com/quintel/etdataset/issues/495)</t>
  </si>
  <si>
    <t>Hydrogen turbine</t>
  </si>
  <si>
    <t>Dedicated solar pv for hydrogen</t>
  </si>
  <si>
    <t>Dedicated offshore wind for hydrogen</t>
  </si>
  <si>
    <t>P2G plant for dedicated solar pv</t>
  </si>
  <si>
    <t>P2G plant for dedicated offshore wind</t>
  </si>
  <si>
    <t>energy_hydrogen_electrolysis_solar_electricity</t>
  </si>
  <si>
    <t>energy_hydrogen_electrolysis_wind_electricity</t>
  </si>
  <si>
    <t>energy_hydrogen_wind_turbine_offshore</t>
  </si>
  <si>
    <t>energy_hydrogen_solar_pv_solar_radiation</t>
  </si>
  <si>
    <t>On this page, the inputs and outputs to the heat and power plants are given by unit type</t>
  </si>
  <si>
    <t>Dedicated offshore wind</t>
  </si>
  <si>
    <t>Dedicated solar pv</t>
  </si>
  <si>
    <t>Share of solar pv production curtailed</t>
  </si>
  <si>
    <t>Share of solar pv production delivered to P2G plant</t>
  </si>
  <si>
    <t>%</t>
  </si>
  <si>
    <t>share</t>
  </si>
  <si>
    <t>energy_hydrogen_solar_pv_solar_radiation_parent_share</t>
  </si>
  <si>
    <t>energy_hydrogen_curtailed_electricity</t>
  </si>
  <si>
    <t>energy_power_turbine_hydrogen</t>
  </si>
  <si>
    <t>pp_flh_hydrogen_turbine</t>
  </si>
  <si>
    <t>pp_demand_hydrogen_turbine</t>
  </si>
  <si>
    <t>pp_demand_hydrogen_offshore_wind</t>
  </si>
  <si>
    <t>pp_demand_hydrogen_offshore_wind_p2g</t>
  </si>
  <si>
    <t>pp_flh_hydrogen_offshore_wind</t>
  </si>
  <si>
    <t>pp_flh_hydrogen_offshore_wind_p2g</t>
  </si>
  <si>
    <t>pp_demand_hydrogen_solar_pv</t>
  </si>
  <si>
    <t>pp_demand_hydrogen_solar_pv_p2g</t>
  </si>
  <si>
    <t>pp_flh_hydrogen_solar_pv</t>
  </si>
  <si>
    <t>pp_flh_hydrogen_solar_pv_p2g</t>
  </si>
  <si>
    <t>pp_share_solar_pv_p2g</t>
  </si>
  <si>
    <t>pp_share_solar_pv_curtailed</t>
  </si>
  <si>
    <t>Hydrogen production full load hours and demands</t>
  </si>
  <si>
    <t>SMR</t>
  </si>
  <si>
    <t>SMR hydrogen production</t>
  </si>
  <si>
    <t>SMR + CCS hydrogen production</t>
  </si>
  <si>
    <t>Biomass gasification</t>
  </si>
  <si>
    <t>Biomass gasification hydrogen production</t>
  </si>
  <si>
    <t>Biomass gasification + CCS hydrogen production</t>
  </si>
  <si>
    <t>pp_demand_hydrogen_smr</t>
  </si>
  <si>
    <t>pp_demand_hydrogen_smr_ccs</t>
  </si>
  <si>
    <t>pp_flh_hydrogen_smr</t>
  </si>
  <si>
    <t>pp_flh_hydrogen_smr_ccs</t>
  </si>
  <si>
    <t>pp_demand_hydrogen_biomass_gasification</t>
  </si>
  <si>
    <t>pp_demand_hydrogen_biomass_gasification_ccs</t>
  </si>
  <si>
    <t>pp_flh_hydrogen_biomass_gasification</t>
  </si>
  <si>
    <t>pp_flh_hydrogen_biomass_gasification_ccs</t>
  </si>
  <si>
    <t>energy_hydrogen_steam_methane_reformer</t>
  </si>
  <si>
    <t>energy_hydrogen_steam_methane_reformer_ccs</t>
  </si>
  <si>
    <t>energy_hydrogen_biomass_gasification_ccs</t>
  </si>
  <si>
    <t>energy_hydrogen_biomass_gasification</t>
  </si>
  <si>
    <t>Electric heatpump</t>
  </si>
  <si>
    <t>Hydrogen heater</t>
  </si>
  <si>
    <t>Hydrogen</t>
  </si>
  <si>
    <t>Coal heater (industry)</t>
  </si>
  <si>
    <t>Oil heater (industry)</t>
  </si>
  <si>
    <t>Industry heat demand</t>
  </si>
  <si>
    <t>Industry heat production</t>
  </si>
  <si>
    <t>Deficit</t>
  </si>
  <si>
    <t>Remaining deficit</t>
  </si>
  <si>
    <t>Residential heat network heat plants</t>
  </si>
  <si>
    <t>Industrial heat network heat plants</t>
  </si>
  <si>
    <t>Heater industry</t>
  </si>
  <si>
    <t>Heater heat network</t>
  </si>
  <si>
    <t>Split residential heat network/industrial</t>
  </si>
  <si>
    <t>Industry coal burner</t>
  </si>
  <si>
    <t>Residential heat network coal burner</t>
  </si>
  <si>
    <t>pp_share_coal_heater</t>
  </si>
  <si>
    <t>Residential heat network oil burner</t>
  </si>
  <si>
    <t>Industry oil burner</t>
  </si>
  <si>
    <t>pp_share_oil_heater</t>
  </si>
  <si>
    <t>energy_chp_local_engine_network_gas</t>
  </si>
  <si>
    <t>energy_chp_local_engine_biogas</t>
  </si>
  <si>
    <t>energy_chp_local_wood_pellets</t>
  </si>
  <si>
    <t>Industry CHPs</t>
  </si>
  <si>
    <t>Fuel mix</t>
  </si>
  <si>
    <t>Combined cycle fuel mix</t>
  </si>
  <si>
    <t>Engine fuel mix</t>
  </si>
  <si>
    <t>Turbine fuel mix</t>
  </si>
  <si>
    <t>CHP wood pellets</t>
  </si>
  <si>
    <t>Ultra supercritical coal</t>
  </si>
  <si>
    <t>Residential heat network combined cycle CHP network gas</t>
  </si>
  <si>
    <t>Industry CHP combined cycle fuel mix</t>
  </si>
  <si>
    <t>pp_share_gas_chp_cc</t>
  </si>
  <si>
    <t>energy_heat_burner_wood_pellets</t>
  </si>
  <si>
    <t>energy_heat_burner_coal</t>
  </si>
  <si>
    <t>industry_heat_burner_lignite</t>
  </si>
  <si>
    <t>energy_heat_burner_crude_oil</t>
  </si>
  <si>
    <t>energy_heat_burner_network_gas</t>
  </si>
  <si>
    <t>energy_heat_burner_waste_mix</t>
  </si>
  <si>
    <t>energy_heat_burner_hydrogen</t>
  </si>
  <si>
    <t>energy_heat_heatpump_water_water_electricity</t>
  </si>
  <si>
    <t>industry_chp_wood_pellets</t>
  </si>
  <si>
    <t>Energy CHPs</t>
  </si>
  <si>
    <t>Electric heat pump</t>
  </si>
  <si>
    <t>industry_heat_burner_coal</t>
  </si>
  <si>
    <t>industry_heat_burner_crude_oil</t>
  </si>
  <si>
    <t>Combined cycle CHPs</t>
  </si>
  <si>
    <t>Energy CHP CC network_gas</t>
  </si>
  <si>
    <t>Industry CHP CC fuelmix</t>
  </si>
  <si>
    <t>FLHs energy_chp_combined_cycle_network_gas according to CHP analysis</t>
  </si>
  <si>
    <t>Allocation heat production residential/industry</t>
  </si>
  <si>
    <t>Allocation coal burner</t>
  </si>
  <si>
    <t>Allocation oil burner</t>
  </si>
  <si>
    <t>Allocation Combined Cycle CHP</t>
  </si>
  <si>
    <t>New FLHs energy_chp_combined_cycle_network_gas after reallocation</t>
  </si>
  <si>
    <t>FLHs industry_chp_combined_cycle_gas_power_fuelmix according to CHP analysis</t>
  </si>
  <si>
    <t>New FLHs industry_chp_combined_cycle_gas_power_fuelmix after reallocation</t>
  </si>
  <si>
    <t>Combined cycle network gas</t>
  </si>
  <si>
    <t>Note that this share may affect the FLHs of the two combined cycle CHPs as chosen in the CHP analysis in order to keep the total installed CHP capacity equal to the CHP analysis</t>
  </si>
  <si>
    <t>Installed capacity energy_chp_combined_cycle_network_gas after reallocation</t>
  </si>
  <si>
    <t>Installed capacity industry_chp_combined_cycle_gas_power_fuelmix after reallocation</t>
  </si>
  <si>
    <t>Installed heat capacity energy_chp_combined_cycle_network_gas according to CHP analysis</t>
  </si>
  <si>
    <t>Installed heat capacity industry_chp_combined_cycle_gas_power_fuelmix according to CHP analysis</t>
  </si>
  <si>
    <t>Added new heaters in 'residential' heat network (households, buildings and agriculture) and industry. Added shares to the dashboard that allow to transfer energy from coal and oil burners and combined cycle gas CHP from energy/residential heat network to industry heat network. This allows for a better match between heat demand and heat production in the industry and other sectors.
Note: For the CC CHP, this means that results from the CHP analysis may get altered. The user may decide to shift production from the energy CHP to the industry CHP or the other way around. This analysis ensures that total demand and total installed capacity stay the same. To achieve this, the FLHs of the industry CHP are recalculated and displayed in the dashboard.</t>
  </si>
  <si>
    <t>Remaining deficit is close to 0 or as close as possible.</t>
  </si>
  <si>
    <t>Total installed capacity is equal to CHP analysis</t>
  </si>
  <si>
    <t>Try to minimize the industrial heat deficit by changing the splits below (shifting heat production from the residential heat network to the industrial heat network; or, in case of surplus, the other way around)</t>
  </si>
  <si>
    <t>input.bio_oil</t>
  </si>
  <si>
    <t>input.crude_oil</t>
  </si>
  <si>
    <t>input.network_gas</t>
  </si>
  <si>
    <t>Energy industry &amp; Industry</t>
  </si>
  <si>
    <t>Gas CHPs</t>
  </si>
  <si>
    <t>Sum of demands of industry gas CHPs (industry_chp_turbine_gas_power_fuelmix, industry_chp_engine_gas_power_fuelmix, industry_chp_combined_cycle_gas_power_fuelmix)</t>
  </si>
  <si>
    <t>Fuel mix and aggregation</t>
  </si>
  <si>
    <t>On this page, data from the IEA energy balance and autoproducers table are aggregated to more functional carriers and sectors. Since we need these aggregations to determine the shares of crude oil and bio-oil in the fuel mix, only the oily fuels are taken into account here. Subsequently, the fuel mixes are used to determine the shares of fuels into co-fueling CHP units.</t>
  </si>
  <si>
    <t>Electricity production (TJ)</t>
  </si>
  <si>
    <t>Main activity CHPs</t>
  </si>
  <si>
    <t>All oily fuels</t>
  </si>
  <si>
    <t>Autoproducer CHPs</t>
  </si>
  <si>
    <t>All CHPs</t>
  </si>
  <si>
    <t>Can not be used currently</t>
  </si>
  <si>
    <t>energy_mixer_for_gas_power_fuel_efficiency</t>
  </si>
  <si>
    <t>Demand (TJ)</t>
  </si>
  <si>
    <t>Fuel demand share of total demand (%)</t>
  </si>
  <si>
    <t>Fuel demand share of total demand (TJ)</t>
  </si>
  <si>
    <t>central_producers</t>
  </si>
  <si>
    <t>energy_heat_solar_thermal</t>
  </si>
  <si>
    <t>hp_flh_solar_thermal</t>
  </si>
  <si>
    <t>autoproducer prod.</t>
  </si>
  <si>
    <t>Input data to this analysis "Net electricity and heat production by  autoproducer table"</t>
  </si>
  <si>
    <t>An overview of inputs and outputs of the heat and power plants by fuel. This sheet also checks against statistics.</t>
  </si>
  <si>
    <t>Uses Eurostat (or other open access) energy balance?</t>
  </si>
  <si>
    <t>boolean</t>
  </si>
  <si>
    <t>open_access_energy_balance</t>
  </si>
  <si>
    <t>April 20, 2021</t>
  </si>
  <si>
    <t>Add dashboard item indicating whether the energy balanced used is open access (e.g. sourced from Eurostat) or not (e.g. sourced from IEA). If the former is the case, the energy balance is exported with an ".open_access" suffix in the file name (corrected_energy_balance_step_2.open_access.csv). The ETSource 'rake import' task will then know not to encrypt open access energy balances.</t>
  </si>
  <si>
    <t>This page lists the technical specifications of the powerplants imported from ETSource. These specifications are a result of a separate source analysis by Quintel Intelligence and remain fixed for all countries.</t>
  </si>
  <si>
    <t>This page lists the technical specifications of all the central heat and powerplants used in this analysis. The CHP specifications are imported from the previous analysis step (1_chp_analysis, see Production table step 1). The specifications of renewable power technologies are imported from ETSource (see technical_specs). The specifications of the other power and heat plants are set in the Dashboard.</t>
  </si>
  <si>
    <t>electricity_output_conversion</t>
  </si>
  <si>
    <t>heat_output_conversion</t>
  </si>
  <si>
    <t>May 21, 2021</t>
  </si>
  <si>
    <t>Add power plant and heat efficiencies to dashboard. Export them via the central producers table.</t>
  </si>
  <si>
    <t>Power plants efficiencies</t>
  </si>
  <si>
    <t>Heat plants efficiencies</t>
  </si>
  <si>
    <t>pp_eff_coal_us_co</t>
  </si>
  <si>
    <t>pp_eff_coal_supercritical</t>
  </si>
  <si>
    <t>pp_eff_coal_us</t>
  </si>
  <si>
    <t>pp_eff_coal_us_ccs</t>
  </si>
  <si>
    <t>pp_eff_coal_cc</t>
  </si>
  <si>
    <t>pp_eff_coal_cc_ccs</t>
  </si>
  <si>
    <t>pp_eff_lignite_us</t>
  </si>
  <si>
    <t>pp_eff_lignite_us_ccs</t>
  </si>
  <si>
    <t>pp_eff_gas_turbine</t>
  </si>
  <si>
    <t>pp_eff_gas_cc</t>
  </si>
  <si>
    <t>pp_eff_gas_cc_ccs</t>
  </si>
  <si>
    <t>pp_eff_gas_engine</t>
  </si>
  <si>
    <t>pp_eff_gas_us</t>
  </si>
  <si>
    <t>pp_eff_nuclear_2</t>
  </si>
  <si>
    <t>pp_eff_nuclear_3</t>
  </si>
  <si>
    <t>pp_eff_oil_us</t>
  </si>
  <si>
    <t>pp_eff_diesel</t>
  </si>
  <si>
    <t>pp_eff_waste</t>
  </si>
  <si>
    <t>hp_eff_heat_pump_electric</t>
  </si>
  <si>
    <t>hp_eff_coal</t>
  </si>
  <si>
    <t>hp_eff_gas</t>
  </si>
  <si>
    <t>hp_eff_oil</t>
  </si>
  <si>
    <t>hp_eff_waste</t>
  </si>
  <si>
    <t>hp_eff_wood_pellets</t>
  </si>
  <si>
    <t>hp_eff_hydrogen</t>
  </si>
  <si>
    <t>hp_eff_coal_industry</t>
  </si>
  <si>
    <t>hp_eff_oil_industry</t>
  </si>
  <si>
    <t>Lignite heater (industry)</t>
  </si>
  <si>
    <t>hp_eff_lignite_industry</t>
  </si>
  <si>
    <t>nl</t>
  </si>
  <si>
    <t>Mobile machinery</t>
  </si>
  <si>
    <t>Final consumption oil</t>
  </si>
  <si>
    <t>Final consumption diesel for mobile machinery</t>
  </si>
  <si>
    <r>
      <t>Residential - share of final consumption</t>
    </r>
    <r>
      <rPr>
        <b/>
        <sz val="12"/>
        <color theme="1"/>
        <rFont val="Calibri"/>
        <family val="2"/>
        <scheme val="minor"/>
      </rPr>
      <t xml:space="preserve"> oil </t>
    </r>
    <r>
      <rPr>
        <sz val="12"/>
        <color theme="1"/>
        <rFont val="Calibri"/>
        <family val="2"/>
        <scheme val="minor"/>
      </rPr>
      <t>used for mobile machinery</t>
    </r>
  </si>
  <si>
    <r>
      <t>Commercial &amp; public services - share of final consumption</t>
    </r>
    <r>
      <rPr>
        <b/>
        <sz val="12"/>
        <color theme="1"/>
        <rFont val="Calibri"/>
        <family val="2"/>
        <scheme val="minor"/>
      </rPr>
      <t xml:space="preserve"> oil </t>
    </r>
    <r>
      <rPr>
        <sz val="12"/>
        <color theme="1"/>
        <rFont val="Calibri"/>
        <family val="2"/>
        <scheme val="minor"/>
      </rPr>
      <t>used for mobile machinery</t>
    </r>
  </si>
  <si>
    <r>
      <t>Agriculture - share of final consumption</t>
    </r>
    <r>
      <rPr>
        <b/>
        <sz val="12"/>
        <color theme="1"/>
        <rFont val="Calibri"/>
        <family val="2"/>
        <scheme val="minor"/>
      </rPr>
      <t xml:space="preserve"> oil </t>
    </r>
    <r>
      <rPr>
        <sz val="12"/>
        <color theme="1"/>
        <rFont val="Calibri"/>
        <family val="2"/>
        <scheme val="minor"/>
      </rPr>
      <t>used for mobile machinery</t>
    </r>
  </si>
  <si>
    <r>
      <t>Other - share of final consumption</t>
    </r>
    <r>
      <rPr>
        <b/>
        <sz val="12"/>
        <color theme="1"/>
        <rFont val="Calibri"/>
        <family val="2"/>
        <scheme val="minor"/>
      </rPr>
      <t xml:space="preserve"> oil </t>
    </r>
    <r>
      <rPr>
        <sz val="12"/>
        <color theme="1"/>
        <rFont val="Calibri"/>
        <family val="2"/>
        <scheme val="minor"/>
      </rPr>
      <t>used for mobile machinery</t>
    </r>
  </si>
  <si>
    <t>Mobile machinery - oil demand for mobile machinery in different sectors</t>
  </si>
  <si>
    <t>mm_demand_diesel_households</t>
  </si>
  <si>
    <t>mm_demand_diesel_buildings</t>
  </si>
  <si>
    <t>mm_demand_diesel_agriculture</t>
  </si>
  <si>
    <t>mm_demand_diesel_other</t>
  </si>
  <si>
    <t>Industry - Construction</t>
  </si>
  <si>
    <t>Industry - other subsectors</t>
  </si>
  <si>
    <t>mm_demand_diesel_industry_other</t>
  </si>
  <si>
    <t>mm_demand_diesel_industry_construction</t>
  </si>
  <si>
    <t>All shares should be lower than 100%</t>
  </si>
  <si>
    <r>
      <t>Industry construction - share of final consumption</t>
    </r>
    <r>
      <rPr>
        <b/>
        <sz val="12"/>
        <color theme="1"/>
        <rFont val="Calibri"/>
        <family val="2"/>
        <scheme val="minor"/>
      </rPr>
      <t xml:space="preserve"> oil </t>
    </r>
    <r>
      <rPr>
        <sz val="12"/>
        <color theme="1"/>
        <rFont val="Calibri"/>
        <family val="2"/>
        <scheme val="minor"/>
      </rPr>
      <t>used for mobile machinery</t>
    </r>
  </si>
  <si>
    <r>
      <t>Industry other - share of final consumption</t>
    </r>
    <r>
      <rPr>
        <b/>
        <sz val="12"/>
        <color theme="1"/>
        <rFont val="Calibri"/>
        <family val="2"/>
        <scheme val="minor"/>
      </rPr>
      <t xml:space="preserve"> oil </t>
    </r>
    <r>
      <rPr>
        <sz val="12"/>
        <color theme="1"/>
        <rFont val="Calibri"/>
        <family val="2"/>
        <scheme val="minor"/>
      </rPr>
      <t>used for mobile machinery</t>
    </r>
  </si>
  <si>
    <t>Demand mobile machinery</t>
  </si>
  <si>
    <t xml:space="preserve">Oil demand for mobile machinery is reported on the EB in the different sectors where they are used and not in the transport sector. We want to correct for this and subtract the demands from the sectors and add it to road transport. This is done in the 'Mobile machinery'-tab.
Try to spread the total final demand for mobile machinery over the different sectors without exceeding their final demands in the EB. </t>
  </si>
  <si>
    <t>Corrected energy balance</t>
  </si>
  <si>
    <r>
      <t xml:space="preserve">On this page the country specific assumptions must be entered. Include the source of the data when applicable. This is the only manual input that is needed from data analysts. The checks on the right show immediately if there are any inconsistensies between the data and assumptions. A green check means that everything is OK. An orange check means that the result is not ideal, but these issues are not critical: the analysis can still be used. A red check means that there is a critical issue that must be addressed before the results can be used. If a check fails, please read behind the check what you can do to solve it.
For each fuel type, the </t>
    </r>
    <r>
      <rPr>
        <i/>
        <sz val="12"/>
        <rFont val="Calibri"/>
        <family val="2"/>
        <scheme val="minor"/>
      </rPr>
      <t>Production shares</t>
    </r>
    <r>
      <rPr>
        <sz val="12"/>
        <rFont val="Calibri"/>
        <family val="2"/>
        <scheme val="minor"/>
      </rPr>
      <t xml:space="preserve"> of the various power plant technologies allow you to 'fine-tune' the fuel use for power production, so electricity production matches the energy balance. The '</t>
    </r>
    <r>
      <rPr>
        <i/>
        <sz val="12"/>
        <rFont val="Calibri"/>
        <family val="2"/>
        <scheme val="minor"/>
      </rPr>
      <t>full load hours</t>
    </r>
    <r>
      <rPr>
        <sz val="12"/>
        <rFont val="Calibri"/>
        <family val="2"/>
        <scheme val="minor"/>
      </rPr>
      <t>' (FLH) for each plant type impact their installed capacities after production shares have been set. The installed capacities will in turn impact calculations in the ETM of power production costs and the security of power supply (Loss of Load probability). For each power and heat plant you can also indicate the efficiency to better match the energy flows in the energy balance.
Futhermore, it is possible to correct the energy balance for mobile machinery demand. More information on this can be found in that section.</t>
    </r>
  </si>
  <si>
    <t>EB step 1 - final consumption before correction mobile machinery</t>
  </si>
  <si>
    <t>EB step 2 - final consumption after correction mobile machinery</t>
  </si>
  <si>
    <t>Correction mobile machinery - share of oil demand which is mobile machinery demand</t>
  </si>
  <si>
    <t>Total demand mobile machinery</t>
  </si>
  <si>
    <t>Oil demand for mobile machinery is reported on the EB in the different sectors where they are used and not in the transport sector. We want to correct for this and subtract the demands from the sectors and add it to road transport. In the Dashboard you can fill out the fuel demands for mobile machines for the different sectors.</t>
  </si>
  <si>
    <t>Final consumption biofuels</t>
  </si>
  <si>
    <t>Final consumption biofuels for mobile machinery</t>
  </si>
  <si>
    <t>mm_demand_biofuels_industry_construction</t>
  </si>
  <si>
    <t>mm_demand_biofuels_industry_other</t>
  </si>
  <si>
    <t>mm_demand_biofuels_households</t>
  </si>
  <si>
    <t>mm_demand_biofuels_buildings</t>
  </si>
  <si>
    <t>mm_demand_biofuels_agriculture</t>
  </si>
  <si>
    <t>mm_demand_biofuels_other</t>
  </si>
  <si>
    <r>
      <t xml:space="preserve">Industry construction - share of final consumption </t>
    </r>
    <r>
      <rPr>
        <b/>
        <sz val="12"/>
        <color theme="1"/>
        <rFont val="Calibri"/>
        <family val="2"/>
        <scheme val="minor"/>
      </rPr>
      <t xml:space="preserve">biofuels </t>
    </r>
    <r>
      <rPr>
        <sz val="12"/>
        <color theme="1"/>
        <rFont val="Calibri"/>
        <family val="2"/>
        <scheme val="minor"/>
      </rPr>
      <t>used for mobile machinery</t>
    </r>
  </si>
  <si>
    <r>
      <t xml:space="preserve">Industry other - share of final consumption </t>
    </r>
    <r>
      <rPr>
        <b/>
        <sz val="12"/>
        <color theme="1"/>
        <rFont val="Calibri"/>
        <family val="2"/>
        <scheme val="minor"/>
      </rPr>
      <t>biofuels</t>
    </r>
    <r>
      <rPr>
        <sz val="12"/>
        <color theme="1"/>
        <rFont val="Calibri"/>
        <family val="2"/>
        <scheme val="minor"/>
      </rPr>
      <t xml:space="preserve"> used for mobile machinery</t>
    </r>
  </si>
  <si>
    <r>
      <t>Residential - share of final consumption</t>
    </r>
    <r>
      <rPr>
        <b/>
        <sz val="12"/>
        <color theme="1"/>
        <rFont val="Calibri"/>
        <family val="2"/>
        <scheme val="minor"/>
      </rPr>
      <t xml:space="preserve"> biofuels </t>
    </r>
    <r>
      <rPr>
        <sz val="12"/>
        <color theme="1"/>
        <rFont val="Calibri"/>
        <family val="2"/>
        <scheme val="minor"/>
      </rPr>
      <t>used for mobile machinery</t>
    </r>
  </si>
  <si>
    <r>
      <t xml:space="preserve">Commercial &amp; public services - share of final consumption </t>
    </r>
    <r>
      <rPr>
        <b/>
        <sz val="12"/>
        <color theme="1"/>
        <rFont val="Calibri"/>
        <family val="2"/>
        <scheme val="minor"/>
      </rPr>
      <t>biofuels</t>
    </r>
    <r>
      <rPr>
        <sz val="12"/>
        <color theme="1"/>
        <rFont val="Calibri"/>
        <family val="2"/>
        <scheme val="minor"/>
      </rPr>
      <t xml:space="preserve"> used for mobile machinery</t>
    </r>
  </si>
  <si>
    <r>
      <t xml:space="preserve">Agriculture - share of final consumption </t>
    </r>
    <r>
      <rPr>
        <b/>
        <sz val="12"/>
        <color theme="1"/>
        <rFont val="Calibri"/>
        <family val="2"/>
        <scheme val="minor"/>
      </rPr>
      <t>biofuels</t>
    </r>
    <r>
      <rPr>
        <sz val="12"/>
        <color theme="1"/>
        <rFont val="Calibri"/>
        <family val="2"/>
        <scheme val="minor"/>
      </rPr>
      <t xml:space="preserve"> used for mobile machinery</t>
    </r>
  </si>
  <si>
    <r>
      <t xml:space="preserve">Other - share of final consumption </t>
    </r>
    <r>
      <rPr>
        <b/>
        <sz val="12"/>
        <color theme="1"/>
        <rFont val="Calibri"/>
        <family val="2"/>
        <scheme val="minor"/>
      </rPr>
      <t xml:space="preserve">biofuels </t>
    </r>
    <r>
      <rPr>
        <sz val="12"/>
        <color theme="1"/>
        <rFont val="Calibri"/>
        <family val="2"/>
        <scheme val="minor"/>
      </rPr>
      <t>used for mobile machinery</t>
    </r>
  </si>
  <si>
    <t>Total demand diesel demand for mobile machinery [PJ]</t>
  </si>
  <si>
    <t>Total demand biofuels demand for mobile machinery [PJ]</t>
  </si>
  <si>
    <t>Total demand diesel &amp; biofuels demand for mobile machinery [PJ]</t>
  </si>
  <si>
    <t>steam_hot_water_output_conversion</t>
  </si>
  <si>
    <t>Energy balance check</t>
  </si>
  <si>
    <t>Total electricity output transformation processes on energy balance</t>
  </si>
  <si>
    <t>Total electricity output (GWh) on energy balance</t>
  </si>
  <si>
    <t>Electricity production not allocated on energy balance</t>
  </si>
  <si>
    <t>Electricity transformation output by other sources is not allocated to specific products for electricity output (GWh) by Eurostat. This is indicated specifically in their energy balance documentation. Therefore it is not allocated in this analysis either and ignored in the ETM dataset.</t>
  </si>
  <si>
    <t>Allocation gas burner</t>
  </si>
  <si>
    <t>Residential heat network gas burner</t>
  </si>
  <si>
    <t>Industry back-up burner</t>
  </si>
  <si>
    <t>pp_share_gas_heater</t>
  </si>
  <si>
    <t>September 7, 2021</t>
  </si>
  <si>
    <t>Add dashboard split industry/residential heat network for gas burner</t>
  </si>
  <si>
    <t>November 5, 2021</t>
  </si>
  <si>
    <t xml:space="preserve">Added Coal gas CC PP and CHP to analysis, because the new modelling approach introduced in the steel sector update allows coal gas to be used directly in a specific coal gas industry CHP/CC PP. </t>
  </si>
  <si>
    <t>Coal gas</t>
  </si>
  <si>
    <t>Coal gas Combined cycle</t>
  </si>
  <si>
    <t>industry_chp_coal_gas</t>
  </si>
  <si>
    <t>Coal gas (result)</t>
  </si>
  <si>
    <t>Coal gas (IEA)</t>
  </si>
  <si>
    <t>energy_power_combined_cycle_coal_gas</t>
  </si>
  <si>
    <t>pp_flh_coal_gas_cc</t>
  </si>
  <si>
    <t>September 30, 2022</t>
  </si>
  <si>
    <t>Removed Gas CC CHP from the 'Industry heat production' calculation on the dashboard. The Gas CC CHP distribution between residential and industry is set afterwards, which updates the production, and this means that the production should not already be included in the industry heat production.</t>
  </si>
  <si>
    <t>Mathijs Bijkerk</t>
  </si>
  <si>
    <t>agriculture_chp_engine_network_gas_dispatchable</t>
  </si>
  <si>
    <t>agriculture_chp_engine_biogas</t>
  </si>
  <si>
    <t>agriculture_chp_wood_pellets</t>
  </si>
  <si>
    <t>December 12, 2022</t>
  </si>
  <si>
    <t>Quintel</t>
  </si>
  <si>
    <t>Split agriculture sector from the CHPs of the residences and services sector. Agriculture sector now has its own heat demand and supply, similar to the industry sector. Added the new agricultural CHPs to the production table input and the central producers output.</t>
  </si>
  <si>
    <t>energy_chp_combined_cycle_ht_network_gas</t>
  </si>
  <si>
    <t>energy_heat_burner_ht_coal</t>
  </si>
  <si>
    <t>energy_heat_burner_ht_network_gas</t>
  </si>
  <si>
    <t>energy_heat_burner_ht_crude_oil</t>
  </si>
  <si>
    <t>energy_heat_burner_ht_waste_mix</t>
  </si>
  <si>
    <t>energy_heat_burner_ht_wood_pellets</t>
  </si>
  <si>
    <t>energy_heat_heatpump_water_water_ht_electricity</t>
  </si>
  <si>
    <t>energy_heat_burner_ht_hydrogen</t>
  </si>
  <si>
    <t>energy_chp_coal_gas</t>
  </si>
  <si>
    <t>May 23, 2025</t>
  </si>
  <si>
    <t>Updated technical specs to match updated nodes on ETSource.</t>
  </si>
  <si>
    <t>August 12, 2025</t>
  </si>
  <si>
    <t>Added energy own use of blast furnaces and cokes ovens to industry heat demand, as this demand is included in final consumption of steel sector.</t>
  </si>
  <si>
    <t>Installed heat capacity energy_chp_local_engine_network_gas according to CHP analysis</t>
  </si>
  <si>
    <t>Installed heat capacity industry_chp_engine_gas_power_fuelmix according to CHP analysis</t>
  </si>
  <si>
    <t>Installed capacity energy_chp_local_engine_network_gas after reallocation</t>
  </si>
  <si>
    <t>Installed capacity industry_chp_engine_gas_power_fuelmix after reallocation</t>
  </si>
  <si>
    <t>FLHs energy_chp_local_engine_network_gas according to CHP analysis</t>
  </si>
  <si>
    <t>FLHs industry_chp_engine_gas_power_fuelmix according to CHP analysis</t>
  </si>
  <si>
    <t>New FLHs energy_chp_local_engine_network_gas after reallocation</t>
  </si>
  <si>
    <t>New FLHs industry_chp_engine_gas_power_fuelmix after reallocation</t>
  </si>
  <si>
    <t>Allocation Engine CHP</t>
  </si>
  <si>
    <t>pp_share_gas_chp_engine</t>
  </si>
  <si>
    <t>Engine network gas</t>
  </si>
  <si>
    <t>Engine CHPs</t>
  </si>
  <si>
    <t>Energy CHP engine network_gas</t>
  </si>
  <si>
    <t>Industry CHP engine fuelmix</t>
  </si>
  <si>
    <t>Note that this share may affect the FLHs of the two engine CHPs as chosen in the CHP analysis in order to keep the total installed CHP capacity equal to the CHP analysis</t>
  </si>
  <si>
    <t>September 5, 2025</t>
  </si>
  <si>
    <t>Added re-allocation of energy sector gas engine CHP to industry gas engine CHP in order to shift heat production from district heating network to industry steam network. This was chosen over the alternative of adding a waste CHP to the industry steam network, because that would have required a lot of modelling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</si>
</sst>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_€_-;\-* #,##0.00\ _€_-;_-* &quot;-&quot;??\ _€_-;_-@_-"/>
    <numFmt numFmtId="165" formatCode="0.0"/>
    <numFmt numFmtId="166" formatCode="0.0%"/>
    <numFmt numFmtId="167" formatCode="0.000000"/>
    <numFmt numFmtId="168" formatCode="[$-409]mmmm\ d\,\ yyyy;@"/>
    <numFmt numFmtId="169" formatCode="0.00000000"/>
  </numFmts>
  <fonts count="42" x14ac:knownFonts="1">
    <font>
      <sz val="12"/>
      <color theme="1"/>
      <name val="Calibri"/>
      <family val="2"/>
      <scheme val="minor"/>
    </font>
    <font>
      <sz val="12"/>
      <color theme="1"/>
      <name val="Calibri"/>
      <family val="2"/>
      <scheme val="minor"/>
    </font>
    <font>
      <sz val="12"/>
      <color theme="1"/>
      <name val="Calibri"/>
      <family val="2"/>
      <scheme val="minor"/>
    </font>
    <font>
      <b/>
      <sz val="12"/>
      <color theme="1"/>
      <name val="Calibri"/>
      <family val="2"/>
      <scheme val="minor"/>
    </font>
    <font>
      <b/>
      <sz val="11"/>
      <color rgb="FF000000"/>
      <name val="Calibri"/>
      <family val="2"/>
      <scheme val="minor"/>
    </font>
    <font>
      <sz val="11"/>
      <color rgb="FF000000"/>
      <name val="Calibri"/>
      <family val="2"/>
      <scheme val="minor"/>
    </font>
    <font>
      <i/>
      <sz val="12"/>
      <color theme="1"/>
      <name val="Calibri"/>
      <family val="2"/>
      <scheme val="minor"/>
    </font>
    <font>
      <u/>
      <sz val="12"/>
      <color theme="10"/>
      <name val="Calibri"/>
      <family val="2"/>
      <scheme val="minor"/>
    </font>
    <font>
      <u/>
      <sz val="12"/>
      <color theme="11"/>
      <name val="Calibri"/>
      <family val="2"/>
      <scheme val="minor"/>
    </font>
    <font>
      <b/>
      <sz val="16"/>
      <color theme="3"/>
      <name val="Calibri"/>
      <family val="2"/>
      <scheme val="minor"/>
    </font>
    <font>
      <sz val="18"/>
      <color theme="1"/>
      <name val="Calibri"/>
      <family val="2"/>
      <scheme val="minor"/>
    </font>
    <font>
      <sz val="18"/>
      <color rgb="FF000000"/>
      <name val="Calibri"/>
      <family val="2"/>
      <scheme val="minor"/>
    </font>
    <font>
      <sz val="12"/>
      <name val="Calibri"/>
      <family val="2"/>
      <scheme val="minor"/>
    </font>
    <font>
      <b/>
      <sz val="12"/>
      <name val="Calibri"/>
      <family val="2"/>
      <scheme val="minor"/>
    </font>
    <font>
      <sz val="12"/>
      <color rgb="FF000000"/>
      <name val="Calibri"/>
      <family val="2"/>
      <scheme val="minor"/>
    </font>
    <font>
      <sz val="11"/>
      <color rgb="FF000000"/>
      <name val="Arial"/>
      <family val="2"/>
    </font>
    <font>
      <b/>
      <sz val="12"/>
      <color rgb="FF000000"/>
      <name val="Calibri"/>
      <family val="2"/>
      <scheme val="minor"/>
    </font>
    <font>
      <sz val="12"/>
      <color rgb="FFFF0000"/>
      <name val="Calibri"/>
      <family val="2"/>
      <scheme val="minor"/>
    </font>
    <font>
      <i/>
      <sz val="12"/>
      <color rgb="FF000000"/>
      <name val="Calibri"/>
      <family val="2"/>
      <scheme val="minor"/>
    </font>
    <font>
      <sz val="11"/>
      <color theme="1"/>
      <name val="Calibri"/>
      <family val="2"/>
      <scheme val="minor"/>
    </font>
    <font>
      <u/>
      <sz val="12"/>
      <color theme="1"/>
      <name val="Calibri"/>
      <family val="2"/>
      <scheme val="minor"/>
    </font>
    <font>
      <b/>
      <sz val="12"/>
      <color rgb="FFFF0000"/>
      <name val="Calibri"/>
      <family val="2"/>
      <scheme val="minor"/>
    </font>
    <font>
      <i/>
      <sz val="12"/>
      <name val="Calibri"/>
      <family val="2"/>
      <scheme val="minor"/>
    </font>
    <font>
      <u/>
      <sz val="12"/>
      <color rgb="FF000000"/>
      <name val="Calibri"/>
      <family val="2"/>
      <scheme val="minor"/>
    </font>
    <font>
      <sz val="24"/>
      <color theme="1"/>
      <name val="Calibri"/>
      <family val="2"/>
      <scheme val="minor"/>
    </font>
    <font>
      <b/>
      <sz val="16"/>
      <color theme="1"/>
      <name val="Calibri"/>
      <family val="2"/>
      <scheme val="minor"/>
    </font>
    <font>
      <sz val="16"/>
      <color theme="1"/>
      <name val="Calibri"/>
      <family val="2"/>
      <scheme val="minor"/>
    </font>
    <font>
      <sz val="8"/>
      <name val="Calibri"/>
      <family val="2"/>
      <scheme val="minor"/>
    </font>
    <font>
      <i/>
      <sz val="12"/>
      <color rgb="FFFF0000"/>
      <name val="Calibri"/>
      <family val="2"/>
      <scheme val="minor"/>
    </font>
    <font>
      <u/>
      <sz val="12"/>
      <color rgb="FFFF0000"/>
      <name val="Calibri"/>
      <family val="2"/>
      <scheme val="minor"/>
    </font>
    <font>
      <sz val="12"/>
      <color theme="9" tint="-0.249977111117893"/>
      <name val="Calibri"/>
      <family val="2"/>
      <scheme val="minor"/>
    </font>
    <font>
      <sz val="12"/>
      <color theme="0" tint="-0.34998626667073579"/>
      <name val="Calibri"/>
      <family val="2"/>
      <scheme val="minor"/>
    </font>
    <font>
      <i/>
      <sz val="12"/>
      <color theme="0" tint="-0.34998626667073579"/>
      <name val="Calibri"/>
      <family val="2"/>
      <scheme val="minor"/>
    </font>
    <font>
      <b/>
      <sz val="16"/>
      <name val="Calibri"/>
      <family val="2"/>
      <scheme val="minor"/>
    </font>
    <font>
      <u/>
      <sz val="12"/>
      <name val="Calibri"/>
      <family val="2"/>
      <scheme val="minor"/>
    </font>
    <font>
      <sz val="12"/>
      <color rgb="FFFF6600"/>
      <name val="Calibri"/>
      <family val="2"/>
      <scheme val="minor"/>
    </font>
    <font>
      <sz val="12"/>
      <color rgb="FF000000"/>
      <name val="Lucida Grande"/>
      <family val="2"/>
    </font>
    <font>
      <b/>
      <sz val="11"/>
      <color theme="1"/>
      <name val="Calibri"/>
      <family val="2"/>
      <scheme val="minor"/>
    </font>
    <font>
      <sz val="12"/>
      <color theme="0" tint="-0.499984740745262"/>
      <name val="Calibri"/>
      <family val="2"/>
      <scheme val="minor"/>
    </font>
    <font>
      <sz val="12"/>
      <color rgb="FF9C0006"/>
      <name val="Calibri"/>
      <family val="2"/>
      <charset val="238"/>
      <scheme val="minor"/>
    </font>
    <font>
      <b/>
      <i/>
      <sz val="12"/>
      <color theme="1"/>
      <name val="Calibri"/>
      <family val="2"/>
      <scheme val="minor"/>
    </font>
    <font>
      <i/>
      <u/>
      <sz val="12"/>
      <color rgb="FF000000"/>
      <name val="Calibri"/>
      <family val="2"/>
      <scheme val="minor"/>
    </font>
  </fonts>
  <fills count="18">
    <fill>
      <patternFill patternType="none"/>
    </fill>
    <fill>
      <patternFill patternType="gray125"/>
    </fill>
    <fill>
      <patternFill patternType="solid">
        <fgColor theme="0"/>
        <bgColor rgb="FF000000"/>
      </patternFill>
    </fill>
    <fill>
      <patternFill patternType="solid">
        <fgColor theme="0"/>
        <bgColor indexed="64"/>
      </patternFill>
    </fill>
    <fill>
      <patternFill patternType="solid">
        <fgColor theme="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6" tint="0.79998168889431442"/>
        <bgColor indexed="64"/>
      </patternFill>
    </fill>
    <fill>
      <patternFill patternType="solid">
        <fgColor rgb="FFFF0000"/>
        <bgColor indexed="64"/>
      </patternFill>
    </fill>
    <fill>
      <patternFill patternType="solid">
        <fgColor rgb="FFFFFFFF"/>
        <bgColor rgb="FF000000"/>
      </patternFill>
    </fill>
    <fill>
      <patternFill patternType="solid">
        <fgColor rgb="FFFFFF00"/>
        <bgColor indexed="64"/>
      </patternFill>
    </fill>
    <fill>
      <patternFill patternType="solid">
        <fgColor theme="9"/>
        <bgColor indexed="64"/>
      </patternFill>
    </fill>
    <fill>
      <patternFill patternType="solid">
        <fgColor rgb="FFFF6600"/>
        <bgColor indexed="64"/>
      </patternFill>
    </fill>
    <fill>
      <patternFill patternType="solid">
        <fgColor rgb="FFFFC7CE"/>
      </patternFill>
    </fill>
    <fill>
      <patternFill patternType="solid">
        <fgColor theme="0" tint="-0.14999847407452621"/>
        <bgColor indexed="64"/>
      </patternFill>
    </fill>
  </fills>
  <borders count="79">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medium">
        <color auto="1"/>
      </left>
      <right style="thin">
        <color auto="1"/>
      </right>
      <top/>
      <bottom style="thin">
        <color auto="1"/>
      </bottom>
      <diagonal/>
    </border>
    <border>
      <left style="medium">
        <color auto="1"/>
      </left>
      <right style="thin">
        <color auto="1"/>
      </right>
      <top/>
      <bottom style="medium">
        <color auto="1"/>
      </bottom>
      <diagonal/>
    </border>
    <border>
      <left/>
      <right style="medium">
        <color auto="1"/>
      </right>
      <top/>
      <bottom/>
      <diagonal/>
    </border>
    <border>
      <left/>
      <right/>
      <top/>
      <bottom style="medium">
        <color auto="1"/>
      </bottom>
      <diagonal/>
    </border>
    <border>
      <left/>
      <right style="medium">
        <color auto="1"/>
      </right>
      <top/>
      <bottom style="medium">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bottom style="medium">
        <color auto="1"/>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thin">
        <color auto="1"/>
      </bottom>
      <diagonal/>
    </border>
    <border>
      <left style="medium">
        <color auto="1"/>
      </left>
      <right/>
      <top/>
      <bottom style="medium">
        <color auto="1"/>
      </bottom>
      <diagonal/>
    </border>
    <border>
      <left/>
      <right style="thin">
        <color auto="1"/>
      </right>
      <top/>
      <bottom style="medium">
        <color auto="1"/>
      </bottom>
      <diagonal/>
    </border>
    <border>
      <left style="thin">
        <color auto="1"/>
      </left>
      <right/>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medium">
        <color auto="1"/>
      </left>
      <right/>
      <top style="thin">
        <color auto="1"/>
      </top>
      <bottom/>
      <diagonal/>
    </border>
    <border>
      <left/>
      <right style="medium">
        <color auto="1"/>
      </right>
      <top style="thin">
        <color auto="1"/>
      </top>
      <bottom/>
      <diagonal/>
    </border>
    <border>
      <left style="medium">
        <color auto="1"/>
      </left>
      <right/>
      <top/>
      <bottom style="double">
        <color auto="1"/>
      </bottom>
      <diagonal/>
    </border>
    <border>
      <left style="thin">
        <color auto="1"/>
      </left>
      <right style="medium">
        <color auto="1"/>
      </right>
      <top/>
      <bottom style="medium">
        <color auto="1"/>
      </bottom>
      <diagonal/>
    </border>
    <border>
      <left style="thin">
        <color auto="1"/>
      </left>
      <right style="medium">
        <color auto="1"/>
      </right>
      <top/>
      <bottom/>
      <diagonal/>
    </border>
    <border>
      <left/>
      <right style="thin">
        <color auto="1"/>
      </right>
      <top style="medium">
        <color auto="1"/>
      </top>
      <bottom style="thin">
        <color auto="1"/>
      </bottom>
      <diagonal/>
    </border>
    <border>
      <left style="thin">
        <color auto="1"/>
      </left>
      <right/>
      <top style="thin">
        <color auto="1"/>
      </top>
      <bottom style="double">
        <color auto="1"/>
      </bottom>
      <diagonal/>
    </border>
    <border>
      <left/>
      <right/>
      <top style="thin">
        <color auto="1"/>
      </top>
      <bottom style="double">
        <color auto="1"/>
      </bottom>
      <diagonal/>
    </border>
    <border>
      <left/>
      <right style="thin">
        <color auto="1"/>
      </right>
      <top style="thin">
        <color auto="1"/>
      </top>
      <bottom style="double">
        <color auto="1"/>
      </bottom>
      <diagonal/>
    </border>
    <border>
      <left style="thin">
        <color auto="1"/>
      </left>
      <right/>
      <top style="medium">
        <color auto="1"/>
      </top>
      <bottom/>
      <diagonal/>
    </border>
    <border>
      <left style="thin">
        <color auto="1"/>
      </left>
      <right style="medium">
        <color auto="1"/>
      </right>
      <top style="thin">
        <color auto="1"/>
      </top>
      <bottom style="thin">
        <color auto="1"/>
      </bottom>
      <diagonal/>
    </border>
    <border>
      <left/>
      <right style="medium">
        <color auto="1"/>
      </right>
      <top/>
      <bottom style="double">
        <color auto="1"/>
      </bottom>
      <diagonal/>
    </border>
    <border>
      <left/>
      <right style="thin">
        <color auto="1"/>
      </right>
      <top style="double">
        <color auto="1"/>
      </top>
      <bottom style="thin">
        <color auto="1"/>
      </bottom>
      <diagonal/>
    </border>
    <border>
      <left/>
      <right/>
      <top style="double">
        <color auto="1"/>
      </top>
      <bottom style="thin">
        <color auto="1"/>
      </bottom>
      <diagonal/>
    </border>
    <border>
      <left style="medium">
        <color auto="1"/>
      </left>
      <right/>
      <top/>
      <bottom style="dotted">
        <color auto="1"/>
      </bottom>
      <diagonal/>
    </border>
    <border>
      <left/>
      <right style="thin">
        <color auto="1"/>
      </right>
      <top/>
      <bottom style="dotted">
        <color auto="1"/>
      </bottom>
      <diagonal/>
    </border>
    <border>
      <left/>
      <right/>
      <top/>
      <bottom style="dotted">
        <color auto="1"/>
      </bottom>
      <diagonal/>
    </border>
    <border>
      <left style="thin">
        <color auto="1"/>
      </left>
      <right style="medium">
        <color auto="1"/>
      </right>
      <top style="medium">
        <color auto="1"/>
      </top>
      <bottom style="thin">
        <color auto="1"/>
      </bottom>
      <diagonal/>
    </border>
    <border>
      <left style="thin">
        <color auto="1"/>
      </left>
      <right/>
      <top style="double">
        <color auto="1"/>
      </top>
      <bottom style="medium">
        <color auto="1"/>
      </bottom>
      <diagonal/>
    </border>
    <border>
      <left/>
      <right/>
      <top style="double">
        <color auto="1"/>
      </top>
      <bottom/>
      <diagonal/>
    </border>
    <border>
      <left style="thin">
        <color auto="1"/>
      </left>
      <right/>
      <top style="double">
        <color auto="1"/>
      </top>
      <bottom/>
      <diagonal/>
    </border>
    <border>
      <left style="thin">
        <color theme="0"/>
      </left>
      <right style="thin">
        <color theme="0"/>
      </right>
      <top/>
      <bottom/>
      <diagonal/>
    </border>
    <border>
      <left style="thin">
        <color theme="0"/>
      </left>
      <right style="thin">
        <color theme="0"/>
      </right>
      <top/>
      <bottom style="thin">
        <color auto="1"/>
      </bottom>
      <diagonal/>
    </border>
    <border>
      <left style="thin">
        <color auto="1"/>
      </left>
      <right style="thin">
        <color auto="1"/>
      </right>
      <top style="thin">
        <color auto="1"/>
      </top>
      <bottom/>
      <diagonal/>
    </border>
    <border>
      <left style="thin">
        <color indexed="64"/>
      </left>
      <right style="medium">
        <color auto="1"/>
      </right>
      <top/>
      <bottom style="thin">
        <color auto="1"/>
      </bottom>
      <diagonal/>
    </border>
    <border>
      <left/>
      <right style="thin">
        <color indexed="64"/>
      </right>
      <top style="medium">
        <color auto="1"/>
      </top>
      <bottom/>
      <diagonal/>
    </border>
    <border>
      <left style="thin">
        <color auto="1"/>
      </left>
      <right style="thin">
        <color indexed="64"/>
      </right>
      <top style="thin">
        <color auto="1"/>
      </top>
      <bottom style="double">
        <color auto="1"/>
      </bottom>
      <diagonal/>
    </border>
    <border>
      <left style="thin">
        <color theme="0"/>
      </left>
      <right style="thin">
        <color theme="0"/>
      </right>
      <top style="thin">
        <color indexed="64"/>
      </top>
      <bottom/>
      <diagonal/>
    </border>
    <border>
      <left/>
      <right style="thin">
        <color auto="1"/>
      </right>
      <top style="thin">
        <color auto="1"/>
      </top>
      <bottom style="medium">
        <color indexed="64"/>
      </bottom>
      <diagonal/>
    </border>
    <border>
      <left/>
      <right/>
      <top style="thin">
        <color auto="1"/>
      </top>
      <bottom style="medium">
        <color indexed="64"/>
      </bottom>
      <diagonal/>
    </border>
    <border>
      <left style="thin">
        <color auto="1"/>
      </left>
      <right style="medium">
        <color auto="1"/>
      </right>
      <top style="thin">
        <color auto="1"/>
      </top>
      <bottom style="medium">
        <color indexed="64"/>
      </bottom>
      <diagonal/>
    </border>
    <border>
      <left style="thin">
        <color indexed="64"/>
      </left>
      <right/>
      <top style="medium">
        <color auto="1"/>
      </top>
      <bottom style="thin">
        <color auto="1"/>
      </bottom>
      <diagonal/>
    </border>
    <border>
      <left style="thin">
        <color indexed="64"/>
      </left>
      <right/>
      <top style="thin">
        <color auto="1"/>
      </top>
      <bottom style="medium">
        <color indexed="64"/>
      </bottom>
      <diagonal/>
    </border>
  </borders>
  <cellStyleXfs count="2630">
    <xf numFmtId="0" fontId="0" fillId="0" borderId="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9" fontId="2" fillId="0" borderId="0" applyFon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164" fontId="1" fillId="0" borderId="0" applyFon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39" fillId="16"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cellStyleXfs>
  <cellXfs count="625">
    <xf numFmtId="0" fontId="0" fillId="0" borderId="0" xfId="0"/>
    <xf numFmtId="0" fontId="3" fillId="3" borderId="0" xfId="0" applyFont="1" applyFill="1"/>
    <xf numFmtId="0" fontId="0" fillId="3" borderId="0" xfId="0" applyFill="1"/>
    <xf numFmtId="0" fontId="3" fillId="3" borderId="1" xfId="0" applyFont="1" applyFill="1" applyBorder="1"/>
    <xf numFmtId="0" fontId="0" fillId="3" borderId="2" xfId="0" applyFill="1" applyBorder="1"/>
    <xf numFmtId="0" fontId="0" fillId="3" borderId="3" xfId="0" applyFill="1" applyBorder="1"/>
    <xf numFmtId="0" fontId="4" fillId="2" borderId="4" xfId="0" applyFont="1" applyFill="1" applyBorder="1" applyAlignment="1">
      <alignment vertical="center"/>
    </xf>
    <xf numFmtId="0" fontId="0" fillId="3" borderId="0" xfId="0" applyFill="1" applyAlignment="1">
      <alignment horizontal="left"/>
    </xf>
    <xf numFmtId="0" fontId="0" fillId="3" borderId="5" xfId="0" applyFill="1" applyBorder="1"/>
    <xf numFmtId="0" fontId="4" fillId="2" borderId="6" xfId="0" applyFont="1" applyFill="1" applyBorder="1" applyAlignment="1">
      <alignment vertical="center"/>
    </xf>
    <xf numFmtId="0" fontId="0" fillId="3" borderId="7" xfId="0" applyFill="1" applyBorder="1"/>
    <xf numFmtId="0" fontId="0" fillId="3" borderId="8" xfId="0" applyFill="1" applyBorder="1"/>
    <xf numFmtId="0" fontId="3" fillId="3" borderId="2" xfId="0" applyFont="1" applyFill="1" applyBorder="1"/>
    <xf numFmtId="0" fontId="3" fillId="3" borderId="3" xfId="0" applyFont="1" applyFill="1" applyBorder="1"/>
    <xf numFmtId="0" fontId="0" fillId="3" borderId="4" xfId="0" applyFill="1" applyBorder="1"/>
    <xf numFmtId="0" fontId="0" fillId="3" borderId="6" xfId="0" applyFill="1" applyBorder="1"/>
    <xf numFmtId="0" fontId="6" fillId="3" borderId="0" xfId="0" applyFont="1" applyFill="1"/>
    <xf numFmtId="0" fontId="0" fillId="3" borderId="9" xfId="0" applyFill="1" applyBorder="1"/>
    <xf numFmtId="0" fontId="3" fillId="3" borderId="4" xfId="0" applyFont="1" applyFill="1" applyBorder="1"/>
    <xf numFmtId="0" fontId="3" fillId="3" borderId="5" xfId="0" applyFont="1" applyFill="1" applyBorder="1"/>
    <xf numFmtId="0" fontId="9" fillId="3" borderId="0" xfId="0" applyFont="1"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3" fillId="0" borderId="7" xfId="0" applyFont="1" applyBorder="1" applyAlignment="1">
      <alignment vertical="top" wrapText="1"/>
    </xf>
    <xf numFmtId="0" fontId="3" fillId="0" borderId="6" xfId="0" applyFont="1" applyBorder="1" applyAlignment="1">
      <alignment vertical="top" wrapText="1"/>
    </xf>
    <xf numFmtId="0" fontId="3" fillId="0" borderId="0" xfId="0" applyFont="1"/>
    <xf numFmtId="0" fontId="0" fillId="0" borderId="20" xfId="0" applyBorder="1"/>
    <xf numFmtId="0" fontId="0" fillId="0" borderId="18" xfId="0" applyBorder="1" applyAlignment="1">
      <alignment vertical="top" wrapText="1"/>
    </xf>
    <xf numFmtId="0" fontId="0" fillId="0" borderId="19" xfId="0" applyBorder="1" applyAlignment="1">
      <alignment vertical="top" wrapText="1"/>
    </xf>
    <xf numFmtId="0" fontId="0" fillId="0" borderId="12" xfId="0" applyBorder="1"/>
    <xf numFmtId="0" fontId="0" fillId="0" borderId="15" xfId="0" applyBorder="1"/>
    <xf numFmtId="0" fontId="0" fillId="0" borderId="14" xfId="0" applyBorder="1"/>
    <xf numFmtId="0" fontId="0" fillId="0" borderId="16" xfId="0" applyBorder="1"/>
    <xf numFmtId="0" fontId="0" fillId="0" borderId="17" xfId="0" applyBorder="1"/>
    <xf numFmtId="0" fontId="0" fillId="0" borderId="21" xfId="0" applyBorder="1"/>
    <xf numFmtId="0" fontId="0" fillId="0" borderId="22" xfId="0" applyBorder="1"/>
    <xf numFmtId="0" fontId="0" fillId="0" borderId="23" xfId="0" applyBorder="1"/>
    <xf numFmtId="0" fontId="0" fillId="0" borderId="11" xfId="0" applyBorder="1"/>
    <xf numFmtId="0" fontId="0" fillId="0" borderId="24" xfId="0" applyBorder="1"/>
    <xf numFmtId="0" fontId="0" fillId="0" borderId="25" xfId="0" applyBorder="1"/>
    <xf numFmtId="0" fontId="0" fillId="0" borderId="13" xfId="0" applyBorder="1"/>
    <xf numFmtId="0" fontId="0" fillId="0" borderId="7" xfId="0" applyBorder="1"/>
    <xf numFmtId="0" fontId="0" fillId="0" borderId="26" xfId="0" applyBorder="1"/>
    <xf numFmtId="0" fontId="13" fillId="3" borderId="1" xfId="0" applyFont="1" applyFill="1" applyBorder="1"/>
    <xf numFmtId="0" fontId="0" fillId="3" borderId="27" xfId="0" applyFill="1" applyBorder="1"/>
    <xf numFmtId="0" fontId="0" fillId="0" borderId="28" xfId="0" applyBorder="1"/>
    <xf numFmtId="0" fontId="0" fillId="0" borderId="8" xfId="0" applyBorder="1"/>
    <xf numFmtId="0" fontId="0" fillId="0" borderId="27" xfId="0" applyBorder="1"/>
    <xf numFmtId="0" fontId="0" fillId="0" borderId="5" xfId="0" applyBorder="1"/>
    <xf numFmtId="0" fontId="0" fillId="0" borderId="10" xfId="0" applyBorder="1"/>
    <xf numFmtId="0" fontId="0" fillId="0" borderId="29" xfId="0" applyBorder="1"/>
    <xf numFmtId="0" fontId="0" fillId="0" borderId="4" xfId="0" applyBorder="1"/>
    <xf numFmtId="0" fontId="0" fillId="0" borderId="6" xfId="0" applyBorder="1"/>
    <xf numFmtId="0" fontId="15" fillId="0" borderId="0" xfId="0" applyFont="1"/>
    <xf numFmtId="0" fontId="0" fillId="0" borderId="31" xfId="0" applyBorder="1" applyAlignment="1">
      <alignment vertical="top" wrapText="1"/>
    </xf>
    <xf numFmtId="0" fontId="0" fillId="0" borderId="30" xfId="0" applyBorder="1"/>
    <xf numFmtId="0" fontId="0" fillId="0" borderId="32" xfId="0" applyBorder="1"/>
    <xf numFmtId="0" fontId="3" fillId="3" borderId="0" xfId="0" applyFont="1" applyFill="1" applyAlignment="1">
      <alignment vertical="top" wrapText="1"/>
    </xf>
    <xf numFmtId="0" fontId="0" fillId="10" borderId="0" xfId="0" applyFill="1"/>
    <xf numFmtId="0" fontId="3" fillId="0" borderId="8" xfId="0" applyFont="1" applyBorder="1" applyAlignment="1">
      <alignment vertical="top" wrapText="1"/>
    </xf>
    <xf numFmtId="0" fontId="0" fillId="0" borderId="5" xfId="0" applyBorder="1" applyAlignment="1">
      <alignment vertical="top"/>
    </xf>
    <xf numFmtId="0" fontId="3" fillId="3" borderId="36" xfId="0" applyFont="1" applyFill="1" applyBorder="1"/>
    <xf numFmtId="0" fontId="3" fillId="3" borderId="37" xfId="0" applyFont="1" applyFill="1" applyBorder="1"/>
    <xf numFmtId="0" fontId="0" fillId="3" borderId="38" xfId="0" applyFill="1" applyBorder="1"/>
    <xf numFmtId="0" fontId="0" fillId="3" borderId="39" xfId="0" applyFill="1" applyBorder="1"/>
    <xf numFmtId="0" fontId="0" fillId="3" borderId="15" xfId="0" applyFill="1" applyBorder="1"/>
    <xf numFmtId="0" fontId="3" fillId="3" borderId="39" xfId="0" applyFont="1" applyFill="1" applyBorder="1"/>
    <xf numFmtId="0" fontId="3" fillId="3" borderId="15" xfId="0" applyFont="1" applyFill="1" applyBorder="1"/>
    <xf numFmtId="0" fontId="0" fillId="3" borderId="39" xfId="0" applyFill="1" applyBorder="1" applyAlignment="1">
      <alignment vertical="top"/>
    </xf>
    <xf numFmtId="0" fontId="0" fillId="3" borderId="40" xfId="0" applyFill="1" applyBorder="1"/>
    <xf numFmtId="0" fontId="0" fillId="3" borderId="26" xfId="0" applyFill="1" applyBorder="1"/>
    <xf numFmtId="0" fontId="0" fillId="3" borderId="41" xfId="0" applyFill="1" applyBorder="1"/>
    <xf numFmtId="0" fontId="0" fillId="3" borderId="16" xfId="0" applyFill="1" applyBorder="1"/>
    <xf numFmtId="0" fontId="0" fillId="3" borderId="17" xfId="0" applyFill="1" applyBorder="1"/>
    <xf numFmtId="0" fontId="3" fillId="3" borderId="8" xfId="0" applyFont="1" applyFill="1" applyBorder="1" applyAlignment="1">
      <alignment vertical="top" wrapText="1"/>
    </xf>
    <xf numFmtId="0" fontId="17" fillId="0" borderId="26" xfId="0" applyFont="1" applyBorder="1"/>
    <xf numFmtId="0" fontId="17" fillId="0" borderId="17" xfId="0" applyFont="1" applyBorder="1"/>
    <xf numFmtId="0" fontId="14" fillId="0" borderId="0" xfId="0" applyFont="1"/>
    <xf numFmtId="0" fontId="17" fillId="0" borderId="15" xfId="0" applyFont="1" applyBorder="1"/>
    <xf numFmtId="0" fontId="0" fillId="3" borderId="37" xfId="0" applyFill="1" applyBorder="1"/>
    <xf numFmtId="0" fontId="3" fillId="3" borderId="40" xfId="0" applyFont="1" applyFill="1" applyBorder="1"/>
    <xf numFmtId="0" fontId="0" fillId="3" borderId="40" xfId="0" applyFill="1" applyBorder="1" applyAlignment="1">
      <alignment vertical="top"/>
    </xf>
    <xf numFmtId="0" fontId="0" fillId="0" borderId="42" xfId="0" applyBorder="1"/>
    <xf numFmtId="0" fontId="3" fillId="3" borderId="15" xfId="0" applyFont="1" applyFill="1" applyBorder="1" applyAlignment="1">
      <alignment vertical="top" wrapText="1"/>
    </xf>
    <xf numFmtId="0" fontId="20" fillId="3" borderId="39" xfId="0" applyFont="1" applyFill="1" applyBorder="1"/>
    <xf numFmtId="0" fontId="17" fillId="3" borderId="39" xfId="0" applyFont="1" applyFill="1" applyBorder="1"/>
    <xf numFmtId="0" fontId="3" fillId="3" borderId="5" xfId="0" applyFont="1" applyFill="1" applyBorder="1" applyAlignment="1">
      <alignment vertical="top" wrapText="1"/>
    </xf>
    <xf numFmtId="0" fontId="3" fillId="3" borderId="40" xfId="0" applyFont="1" applyFill="1" applyBorder="1" applyAlignment="1">
      <alignment vertical="top" wrapText="1"/>
    </xf>
    <xf numFmtId="0" fontId="21" fillId="3" borderId="0" xfId="0" applyFont="1" applyFill="1"/>
    <xf numFmtId="0" fontId="0" fillId="0" borderId="35" xfId="0" applyBorder="1"/>
    <xf numFmtId="0" fontId="0" fillId="0" borderId="43" xfId="0" applyBorder="1"/>
    <xf numFmtId="0" fontId="19" fillId="0" borderId="7" xfId="0" applyFont="1" applyBorder="1" applyAlignment="1">
      <alignment vertical="top" wrapText="1"/>
    </xf>
    <xf numFmtId="0" fontId="20" fillId="3" borderId="39" xfId="0" applyFont="1" applyFill="1" applyBorder="1" applyAlignment="1">
      <alignment vertical="top" wrapText="1"/>
    </xf>
    <xf numFmtId="0" fontId="0" fillId="3" borderId="39" xfId="0" applyFill="1" applyBorder="1" applyAlignment="1">
      <alignment vertical="center"/>
    </xf>
    <xf numFmtId="0" fontId="10" fillId="3" borderId="39" xfId="0" applyFont="1" applyFill="1" applyBorder="1" applyAlignment="1">
      <alignment horizontal="center" vertical="center"/>
    </xf>
    <xf numFmtId="0" fontId="11" fillId="3" borderId="39" xfId="0" applyFont="1" applyFill="1" applyBorder="1" applyAlignment="1">
      <alignment horizontal="center" vertical="center"/>
    </xf>
    <xf numFmtId="0" fontId="19" fillId="3" borderId="0" xfId="0" applyFont="1" applyFill="1" applyAlignment="1">
      <alignment vertical="top" wrapText="1"/>
    </xf>
    <xf numFmtId="0" fontId="19" fillId="3" borderId="5" xfId="0" applyFont="1" applyFill="1" applyBorder="1" applyAlignment="1">
      <alignment vertical="top" wrapText="1"/>
    </xf>
    <xf numFmtId="0" fontId="3" fillId="3" borderId="15" xfId="0" applyFont="1" applyFill="1" applyBorder="1" applyAlignment="1">
      <alignment vertical="top"/>
    </xf>
    <xf numFmtId="0" fontId="0" fillId="3" borderId="5" xfId="0" applyFill="1" applyBorder="1" applyAlignment="1">
      <alignment vertical="top"/>
    </xf>
    <xf numFmtId="0" fontId="20" fillId="3" borderId="39" xfId="0" applyFont="1" applyFill="1" applyBorder="1" applyAlignment="1">
      <alignment vertical="top"/>
    </xf>
    <xf numFmtId="0" fontId="20" fillId="3" borderId="41" xfId="0" applyFont="1" applyFill="1" applyBorder="1"/>
    <xf numFmtId="0" fontId="0" fillId="3" borderId="8" xfId="0" applyFill="1" applyBorder="1" applyAlignment="1">
      <alignment vertical="top"/>
    </xf>
    <xf numFmtId="0" fontId="12" fillId="0" borderId="15" xfId="0" applyFont="1" applyBorder="1"/>
    <xf numFmtId="0" fontId="0" fillId="0" borderId="51" xfId="0" applyBorder="1"/>
    <xf numFmtId="0" fontId="0" fillId="0" borderId="18" xfId="0" applyBorder="1"/>
    <xf numFmtId="0" fontId="16" fillId="0" borderId="6" xfId="0" applyFont="1" applyBorder="1" applyAlignment="1">
      <alignment vertical="top" wrapText="1"/>
    </xf>
    <xf numFmtId="0" fontId="16" fillId="0" borderId="7" xfId="0" applyFont="1" applyBorder="1" applyAlignment="1">
      <alignment vertical="top" wrapText="1"/>
    </xf>
    <xf numFmtId="0" fontId="5" fillId="0" borderId="7" xfId="0" applyFont="1" applyBorder="1" applyAlignment="1">
      <alignment vertical="top" wrapText="1"/>
    </xf>
    <xf numFmtId="0" fontId="0" fillId="3" borderId="43" xfId="0" applyFill="1" applyBorder="1"/>
    <xf numFmtId="0" fontId="23" fillId="2" borderId="39" xfId="0" applyFont="1" applyFill="1" applyBorder="1"/>
    <xf numFmtId="0" fontId="17" fillId="0" borderId="0" xfId="0" applyFont="1"/>
    <xf numFmtId="0" fontId="0" fillId="9" borderId="0" xfId="0" applyFill="1"/>
    <xf numFmtId="0" fontId="0" fillId="0" borderId="54" xfId="0" applyBorder="1"/>
    <xf numFmtId="0" fontId="24" fillId="3" borderId="0" xfId="0" applyFont="1" applyFill="1" applyAlignment="1">
      <alignment vertical="center"/>
    </xf>
    <xf numFmtId="0" fontId="0" fillId="3" borderId="0" xfId="0" applyFill="1" applyAlignment="1">
      <alignment horizontal="left" vertical="center"/>
    </xf>
    <xf numFmtId="0" fontId="25" fillId="3" borderId="0" xfId="0" applyFont="1" applyFill="1" applyAlignment="1">
      <alignment horizontal="left" vertical="center"/>
    </xf>
    <xf numFmtId="0" fontId="26" fillId="3" borderId="0" xfId="0" applyFont="1" applyFill="1" applyAlignment="1">
      <alignment horizontal="left" vertical="center"/>
    </xf>
    <xf numFmtId="0" fontId="26" fillId="3" borderId="0" xfId="0" applyFont="1" applyFill="1"/>
    <xf numFmtId="0" fontId="9" fillId="3" borderId="0" xfId="0" applyFont="1" applyFill="1" applyAlignment="1">
      <alignment vertical="center"/>
    </xf>
    <xf numFmtId="0" fontId="0" fillId="13" borderId="0" xfId="0" applyFill="1"/>
    <xf numFmtId="0" fontId="3" fillId="3" borderId="1" xfId="0" applyFont="1" applyFill="1" applyBorder="1" applyAlignment="1">
      <alignment vertical="center"/>
    </xf>
    <xf numFmtId="0" fontId="24" fillId="3" borderId="2" xfId="0" applyFont="1" applyFill="1" applyBorder="1" applyAlignment="1">
      <alignment vertical="center"/>
    </xf>
    <xf numFmtId="0" fontId="24" fillId="3" borderId="3" xfId="0" applyFont="1" applyFill="1" applyBorder="1" applyAlignment="1">
      <alignment vertical="center"/>
    </xf>
    <xf numFmtId="0" fontId="14" fillId="0" borderId="5" xfId="0" applyFont="1" applyBorder="1"/>
    <xf numFmtId="0" fontId="21" fillId="3" borderId="39" xfId="0" applyFont="1" applyFill="1" applyBorder="1"/>
    <xf numFmtId="0" fontId="0" fillId="3" borderId="6" xfId="0" applyFill="1" applyBorder="1" applyAlignment="1">
      <alignment horizontal="left" vertical="top"/>
    </xf>
    <xf numFmtId="0" fontId="12" fillId="0" borderId="5" xfId="0" applyFont="1" applyBorder="1"/>
    <xf numFmtId="0" fontId="3" fillId="3" borderId="40" xfId="0" applyFont="1" applyFill="1" applyBorder="1" applyAlignment="1">
      <alignment vertical="top"/>
    </xf>
    <xf numFmtId="2" fontId="0" fillId="0" borderId="7" xfId="0" applyNumberFormat="1" applyBorder="1"/>
    <xf numFmtId="2" fontId="0" fillId="0" borderId="5" xfId="0" applyNumberFormat="1" applyBorder="1"/>
    <xf numFmtId="2" fontId="0" fillId="0" borderId="54" xfId="0" applyNumberFormat="1" applyBorder="1"/>
    <xf numFmtId="2" fontId="0" fillId="3" borderId="7" xfId="0" applyNumberFormat="1" applyFill="1" applyBorder="1" applyAlignment="1">
      <alignment horizontal="right"/>
    </xf>
    <xf numFmtId="2" fontId="6" fillId="3" borderId="7" xfId="0" applyNumberFormat="1" applyFont="1" applyFill="1" applyBorder="1" applyAlignment="1">
      <alignment horizontal="right"/>
    </xf>
    <xf numFmtId="2" fontId="0" fillId="3" borderId="8" xfId="0" applyNumberFormat="1" applyFill="1" applyBorder="1"/>
    <xf numFmtId="2" fontId="0" fillId="3" borderId="0" xfId="0" applyNumberFormat="1" applyFill="1" applyAlignment="1">
      <alignment horizontal="right"/>
    </xf>
    <xf numFmtId="2" fontId="6" fillId="3" borderId="0" xfId="0" applyNumberFormat="1" applyFont="1" applyFill="1" applyAlignment="1">
      <alignment horizontal="right"/>
    </xf>
    <xf numFmtId="2" fontId="0" fillId="3" borderId="5" xfId="0" applyNumberFormat="1" applyFill="1" applyBorder="1"/>
    <xf numFmtId="2" fontId="0" fillId="0" borderId="0" xfId="0" applyNumberFormat="1"/>
    <xf numFmtId="2" fontId="6" fillId="0" borderId="0" xfId="0" applyNumberFormat="1" applyFont="1"/>
    <xf numFmtId="0" fontId="0" fillId="3" borderId="55" xfId="0" applyFill="1" applyBorder="1"/>
    <xf numFmtId="2" fontId="0" fillId="0" borderId="53" xfId="0" applyNumberFormat="1" applyBorder="1"/>
    <xf numFmtId="2" fontId="0" fillId="0" borderId="16" xfId="0" applyNumberFormat="1" applyBorder="1"/>
    <xf numFmtId="0" fontId="0" fillId="0" borderId="39" xfId="0" applyBorder="1"/>
    <xf numFmtId="0" fontId="0" fillId="0" borderId="40" xfId="0" applyBorder="1"/>
    <xf numFmtId="9" fontId="6" fillId="0" borderId="16" xfId="731" applyFont="1" applyFill="1" applyBorder="1"/>
    <xf numFmtId="2" fontId="0" fillId="0" borderId="6" xfId="0" applyNumberFormat="1" applyBorder="1"/>
    <xf numFmtId="2" fontId="0" fillId="0" borderId="34" xfId="0" applyNumberFormat="1" applyBorder="1"/>
    <xf numFmtId="2" fontId="0" fillId="3" borderId="0" xfId="0" applyNumberFormat="1" applyFill="1"/>
    <xf numFmtId="0" fontId="3" fillId="3" borderId="7" xfId="0" applyFont="1" applyFill="1" applyBorder="1" applyAlignment="1">
      <alignment wrapText="1"/>
    </xf>
    <xf numFmtId="0" fontId="0" fillId="7" borderId="24" xfId="0" applyFill="1" applyBorder="1"/>
    <xf numFmtId="0" fontId="0" fillId="3" borderId="19" xfId="0" applyFill="1" applyBorder="1" applyAlignment="1">
      <alignment vertical="top" wrapText="1"/>
    </xf>
    <xf numFmtId="0" fontId="0" fillId="3" borderId="23" xfId="0" applyFill="1" applyBorder="1"/>
    <xf numFmtId="1" fontId="0" fillId="7" borderId="27" xfId="0" applyNumberFormat="1" applyFill="1" applyBorder="1"/>
    <xf numFmtId="1" fontId="0" fillId="6" borderId="0" xfId="0" applyNumberFormat="1" applyFill="1"/>
    <xf numFmtId="1" fontId="0" fillId="0" borderId="0" xfId="0" applyNumberFormat="1"/>
    <xf numFmtId="1" fontId="0" fillId="0" borderId="15" xfId="0" applyNumberFormat="1" applyBorder="1"/>
    <xf numFmtId="1" fontId="0" fillId="5" borderId="0" xfId="0" applyNumberFormat="1" applyFill="1"/>
    <xf numFmtId="1" fontId="0" fillId="5" borderId="27" xfId="0" applyNumberFormat="1" applyFill="1" applyBorder="1"/>
    <xf numFmtId="1" fontId="0" fillId="5" borderId="15" xfId="0" applyNumberFormat="1" applyFill="1" applyBorder="1"/>
    <xf numFmtId="1" fontId="0" fillId="7" borderId="24" xfId="0" applyNumberFormat="1" applyFill="1" applyBorder="1"/>
    <xf numFmtId="1" fontId="0" fillId="7" borderId="30" xfId="0" applyNumberFormat="1" applyFill="1" applyBorder="1"/>
    <xf numFmtId="1" fontId="0" fillId="5" borderId="25" xfId="0" applyNumberFormat="1" applyFill="1" applyBorder="1"/>
    <xf numFmtId="1" fontId="0" fillId="7" borderId="28" xfId="0" applyNumberFormat="1" applyFill="1" applyBorder="1"/>
    <xf numFmtId="1" fontId="0" fillId="5" borderId="26" xfId="0" applyNumberFormat="1" applyFill="1" applyBorder="1"/>
    <xf numFmtId="1" fontId="0" fillId="0" borderId="25" xfId="0" applyNumberFormat="1" applyBorder="1"/>
    <xf numFmtId="1" fontId="0" fillId="5" borderId="24" xfId="0" applyNumberFormat="1" applyFill="1" applyBorder="1"/>
    <xf numFmtId="1" fontId="0" fillId="5" borderId="17" xfId="0" applyNumberFormat="1" applyFill="1" applyBorder="1"/>
    <xf numFmtId="9" fontId="22" fillId="0" borderId="16" xfId="731" applyFont="1" applyFill="1" applyBorder="1"/>
    <xf numFmtId="1" fontId="0" fillId="3" borderId="0" xfId="0" applyNumberFormat="1" applyFill="1"/>
    <xf numFmtId="0" fontId="3" fillId="3" borderId="6" xfId="0" applyFont="1" applyFill="1" applyBorder="1" applyAlignment="1">
      <alignment wrapText="1"/>
    </xf>
    <xf numFmtId="167" fontId="0" fillId="3" borderId="0" xfId="0" applyNumberFormat="1" applyFill="1"/>
    <xf numFmtId="0" fontId="0" fillId="0" borderId="52" xfId="0" applyBorder="1"/>
    <xf numFmtId="0" fontId="3" fillId="0" borderId="28" xfId="0" applyFont="1" applyBorder="1"/>
    <xf numFmtId="0" fontId="12" fillId="0" borderId="0" xfId="0" applyFont="1"/>
    <xf numFmtId="0" fontId="12" fillId="0" borderId="7" xfId="0" applyFont="1" applyBorder="1"/>
    <xf numFmtId="9" fontId="12" fillId="0" borderId="0" xfId="0" applyNumberFormat="1" applyFont="1" applyAlignment="1">
      <alignment horizontal="right"/>
    </xf>
    <xf numFmtId="0" fontId="17" fillId="3" borderId="6" xfId="0" applyFont="1" applyFill="1" applyBorder="1"/>
    <xf numFmtId="0" fontId="17" fillId="3" borderId="0" xfId="0" applyFont="1" applyFill="1"/>
    <xf numFmtId="0" fontId="24" fillId="3" borderId="7" xfId="0" applyFont="1" applyFill="1" applyBorder="1" applyAlignment="1">
      <alignment vertical="center"/>
    </xf>
    <xf numFmtId="0" fontId="24" fillId="3" borderId="8" xfId="0" applyFont="1" applyFill="1" applyBorder="1" applyAlignment="1">
      <alignment vertical="center"/>
    </xf>
    <xf numFmtId="0" fontId="29" fillId="3" borderId="39" xfId="0" applyFont="1" applyFill="1" applyBorder="1"/>
    <xf numFmtId="0" fontId="17" fillId="3" borderId="40" xfId="0" applyFont="1" applyFill="1" applyBorder="1"/>
    <xf numFmtId="0" fontId="17" fillId="0" borderId="7" xfId="0" applyFont="1" applyBorder="1" applyAlignment="1">
      <alignment wrapText="1"/>
    </xf>
    <xf numFmtId="0" fontId="17" fillId="0" borderId="26" xfId="0" applyFont="1" applyBorder="1" applyAlignment="1">
      <alignment vertical="top"/>
    </xf>
    <xf numFmtId="0" fontId="17" fillId="0" borderId="7" xfId="0" applyFont="1" applyBorder="1"/>
    <xf numFmtId="0" fontId="17" fillId="3" borderId="41" xfId="0" applyFont="1" applyFill="1" applyBorder="1"/>
    <xf numFmtId="0" fontId="17" fillId="0" borderId="16" xfId="0" applyFont="1" applyBorder="1"/>
    <xf numFmtId="0" fontId="12" fillId="0" borderId="5" xfId="0" applyFont="1" applyBorder="1" applyAlignment="1">
      <alignment vertical="top"/>
    </xf>
    <xf numFmtId="0" fontId="0" fillId="0" borderId="54" xfId="0" applyBorder="1" applyAlignment="1">
      <alignment vertical="top"/>
    </xf>
    <xf numFmtId="0" fontId="0" fillId="0" borderId="53" xfId="0" applyBorder="1"/>
    <xf numFmtId="0" fontId="0" fillId="3" borderId="48" xfId="0" applyFill="1" applyBorder="1"/>
    <xf numFmtId="0" fontId="20" fillId="3" borderId="48" xfId="0" applyFont="1" applyFill="1" applyBorder="1"/>
    <xf numFmtId="0" fontId="0" fillId="0" borderId="58" xfId="0" applyBorder="1"/>
    <xf numFmtId="0" fontId="0" fillId="0" borderId="59" xfId="0" applyBorder="1"/>
    <xf numFmtId="2" fontId="0" fillId="0" borderId="59" xfId="0" applyNumberFormat="1" applyBorder="1"/>
    <xf numFmtId="0" fontId="0" fillId="0" borderId="41" xfId="0" applyBorder="1"/>
    <xf numFmtId="9" fontId="28" fillId="0" borderId="16" xfId="731" applyFont="1" applyFill="1" applyBorder="1"/>
    <xf numFmtId="0" fontId="6" fillId="0" borderId="16" xfId="0" applyFont="1" applyBorder="1"/>
    <xf numFmtId="9" fontId="6" fillId="0" borderId="43" xfId="731" applyFont="1" applyFill="1" applyBorder="1"/>
    <xf numFmtId="9" fontId="18" fillId="0" borderId="16" xfId="0" applyNumberFormat="1" applyFont="1" applyBorder="1"/>
    <xf numFmtId="9" fontId="22" fillId="0" borderId="1" xfId="731" applyFont="1" applyFill="1" applyBorder="1"/>
    <xf numFmtId="9" fontId="22" fillId="0" borderId="2" xfId="731" applyFont="1" applyFill="1" applyBorder="1"/>
    <xf numFmtId="0" fontId="14" fillId="0" borderId="54" xfId="0" applyFont="1" applyBorder="1"/>
    <xf numFmtId="10" fontId="6" fillId="0" borderId="0" xfId="731" applyNumberFormat="1" applyFont="1" applyFill="1" applyBorder="1"/>
    <xf numFmtId="0" fontId="14" fillId="0" borderId="53" xfId="0" applyFont="1" applyBorder="1"/>
    <xf numFmtId="0" fontId="14" fillId="0" borderId="16" xfId="0" applyFont="1" applyBorder="1"/>
    <xf numFmtId="0" fontId="20" fillId="3" borderId="60" xfId="0" applyFont="1" applyFill="1" applyBorder="1"/>
    <xf numFmtId="0" fontId="0" fillId="0" borderId="61" xfId="0" applyBorder="1" applyAlignment="1">
      <alignment vertical="top"/>
    </xf>
    <xf numFmtId="2" fontId="0" fillId="0" borderId="61" xfId="0" applyNumberFormat="1" applyBorder="1"/>
    <xf numFmtId="1" fontId="0" fillId="7" borderId="0" xfId="0" applyNumberFormat="1" applyFill="1"/>
    <xf numFmtId="0" fontId="0" fillId="6" borderId="7" xfId="0" applyFill="1" applyBorder="1"/>
    <xf numFmtId="1" fontId="0" fillId="6" borderId="7" xfId="0" applyNumberFormat="1" applyFill="1" applyBorder="1"/>
    <xf numFmtId="1" fontId="0" fillId="5" borderId="16" xfId="0" applyNumberFormat="1" applyFill="1" applyBorder="1"/>
    <xf numFmtId="1" fontId="0" fillId="5" borderId="32" xfId="0" applyNumberFormat="1" applyFill="1" applyBorder="1"/>
    <xf numFmtId="0" fontId="13" fillId="3" borderId="36" xfId="0" applyFont="1" applyFill="1" applyBorder="1"/>
    <xf numFmtId="0" fontId="12" fillId="3" borderId="38" xfId="0" applyFont="1" applyFill="1" applyBorder="1"/>
    <xf numFmtId="0" fontId="12" fillId="3" borderId="39" xfId="0" applyFont="1" applyFill="1" applyBorder="1"/>
    <xf numFmtId="0" fontId="12" fillId="3" borderId="15" xfId="0" applyFont="1" applyFill="1" applyBorder="1"/>
    <xf numFmtId="0" fontId="12" fillId="3" borderId="41" xfId="0" applyFont="1" applyFill="1" applyBorder="1"/>
    <xf numFmtId="0" fontId="12" fillId="0" borderId="17" xfId="0" applyFont="1" applyBorder="1"/>
    <xf numFmtId="0" fontId="0" fillId="0" borderId="1" xfId="0" applyBorder="1"/>
    <xf numFmtId="0" fontId="23" fillId="2" borderId="40" xfId="0" applyFont="1" applyFill="1" applyBorder="1"/>
    <xf numFmtId="0" fontId="30" fillId="0" borderId="0" xfId="0" applyFont="1"/>
    <xf numFmtId="0" fontId="12" fillId="0" borderId="26" xfId="0" applyFont="1" applyBorder="1"/>
    <xf numFmtId="0" fontId="31" fillId="0" borderId="7" xfId="0" applyFont="1" applyBorder="1"/>
    <xf numFmtId="0" fontId="31" fillId="0" borderId="0" xfId="0" applyFont="1"/>
    <xf numFmtId="9" fontId="32" fillId="0" borderId="2" xfId="731" applyFont="1" applyFill="1" applyBorder="1"/>
    <xf numFmtId="9" fontId="32" fillId="0" borderId="16" xfId="731" applyFont="1" applyFill="1" applyBorder="1"/>
    <xf numFmtId="0" fontId="31" fillId="3" borderId="37" xfId="0" applyFont="1" applyFill="1" applyBorder="1"/>
    <xf numFmtId="0" fontId="31" fillId="3" borderId="7" xfId="0" applyFont="1" applyFill="1" applyBorder="1"/>
    <xf numFmtId="0" fontId="31" fillId="3" borderId="26" xfId="0" applyFont="1" applyFill="1" applyBorder="1"/>
    <xf numFmtId="0" fontId="31" fillId="0" borderId="15" xfId="0" applyFont="1" applyBorder="1"/>
    <xf numFmtId="0" fontId="32" fillId="0" borderId="2" xfId="0" applyFont="1" applyBorder="1"/>
    <xf numFmtId="9" fontId="32" fillId="0" borderId="47" xfId="731" applyFont="1" applyFill="1" applyBorder="1"/>
    <xf numFmtId="0" fontId="32" fillId="0" borderId="16" xfId="0" applyFont="1" applyBorder="1"/>
    <xf numFmtId="0" fontId="31" fillId="0" borderId="16" xfId="0" applyFont="1" applyBorder="1"/>
    <xf numFmtId="0" fontId="31" fillId="0" borderId="17" xfId="0" applyFont="1" applyBorder="1"/>
    <xf numFmtId="0" fontId="31" fillId="3" borderId="38" xfId="0" applyFont="1" applyFill="1" applyBorder="1"/>
    <xf numFmtId="0" fontId="12" fillId="3" borderId="0" xfId="0" applyFont="1" applyFill="1"/>
    <xf numFmtId="0" fontId="12" fillId="3" borderId="37" xfId="0" applyFont="1" applyFill="1" applyBorder="1"/>
    <xf numFmtId="0" fontId="13" fillId="3" borderId="4" xfId="0" applyFont="1" applyFill="1" applyBorder="1"/>
    <xf numFmtId="0" fontId="12" fillId="0" borderId="6" xfId="0" applyFont="1" applyBorder="1" applyAlignment="1">
      <alignment horizontal="left" vertical="top" wrapText="1"/>
    </xf>
    <xf numFmtId="0" fontId="12" fillId="0" borderId="0" xfId="0" applyFont="1" applyAlignment="1">
      <alignment horizontal="left" vertical="top" wrapText="1"/>
    </xf>
    <xf numFmtId="0" fontId="12" fillId="3" borderId="4" xfId="0" applyFont="1" applyFill="1" applyBorder="1"/>
    <xf numFmtId="0" fontId="12" fillId="3" borderId="4" xfId="0" applyFont="1" applyFill="1" applyBorder="1" applyAlignment="1">
      <alignment horizontal="left" vertical="top" wrapText="1"/>
    </xf>
    <xf numFmtId="0" fontId="12" fillId="3" borderId="6" xfId="0" applyFont="1" applyFill="1" applyBorder="1" applyAlignment="1">
      <alignment horizontal="left" vertical="top"/>
    </xf>
    <xf numFmtId="1" fontId="12" fillId="7" borderId="24" xfId="0" applyNumberFormat="1" applyFont="1" applyFill="1" applyBorder="1"/>
    <xf numFmtId="1" fontId="0" fillId="5" borderId="30" xfId="0" applyNumberFormat="1" applyFill="1" applyBorder="1"/>
    <xf numFmtId="0" fontId="33" fillId="3" borderId="0" xfId="0" applyFont="1" applyFill="1"/>
    <xf numFmtId="0" fontId="12" fillId="3" borderId="2" xfId="0" applyFont="1" applyFill="1" applyBorder="1"/>
    <xf numFmtId="0" fontId="12" fillId="3" borderId="3" xfId="0" applyFont="1" applyFill="1" applyBorder="1"/>
    <xf numFmtId="166" fontId="0" fillId="0" borderId="53" xfId="0" applyNumberFormat="1" applyBorder="1"/>
    <xf numFmtId="0" fontId="13" fillId="3" borderId="37" xfId="0" applyFont="1" applyFill="1" applyBorder="1"/>
    <xf numFmtId="0" fontId="13" fillId="3" borderId="40" xfId="0" applyFont="1" applyFill="1" applyBorder="1"/>
    <xf numFmtId="0" fontId="13" fillId="0" borderId="7" xfId="0" applyFont="1" applyBorder="1"/>
    <xf numFmtId="0" fontId="13" fillId="0" borderId="26" xfId="0" applyFont="1" applyBorder="1"/>
    <xf numFmtId="0" fontId="13" fillId="3" borderId="0" xfId="0" applyFont="1" applyFill="1"/>
    <xf numFmtId="0" fontId="13" fillId="3" borderId="15" xfId="0" applyFont="1" applyFill="1" applyBorder="1"/>
    <xf numFmtId="0" fontId="34" fillId="3" borderId="39" xfId="0" applyFont="1" applyFill="1" applyBorder="1"/>
    <xf numFmtId="0" fontId="12" fillId="3" borderId="39" xfId="0" applyFont="1" applyFill="1" applyBorder="1" applyAlignment="1">
      <alignment vertical="top"/>
    </xf>
    <xf numFmtId="0" fontId="12" fillId="0" borderId="0" xfId="0" applyFont="1" applyAlignment="1">
      <alignment wrapText="1"/>
    </xf>
    <xf numFmtId="0" fontId="12" fillId="0" borderId="15" xfId="0" applyFont="1" applyBorder="1" applyAlignment="1">
      <alignment vertical="top"/>
    </xf>
    <xf numFmtId="0" fontId="12" fillId="0" borderId="15" xfId="0" applyFont="1" applyBorder="1" applyAlignment="1">
      <alignment vertical="top" wrapText="1"/>
    </xf>
    <xf numFmtId="0" fontId="12" fillId="0" borderId="0" xfId="0" applyFont="1" applyAlignment="1">
      <alignment vertical="top" wrapText="1"/>
    </xf>
    <xf numFmtId="0" fontId="34" fillId="3" borderId="46" xfId="0" applyFont="1" applyFill="1" applyBorder="1" applyAlignment="1">
      <alignment vertical="top"/>
    </xf>
    <xf numFmtId="0" fontId="12" fillId="3" borderId="2" xfId="0" applyFont="1" applyFill="1" applyBorder="1" applyAlignment="1">
      <alignment vertical="top" wrapText="1"/>
    </xf>
    <xf numFmtId="0" fontId="12" fillId="3" borderId="47" xfId="0" applyFont="1" applyFill="1" applyBorder="1" applyAlignment="1">
      <alignment vertical="top"/>
    </xf>
    <xf numFmtId="0" fontId="12" fillId="0" borderId="15" xfId="0" applyFont="1" applyBorder="1" applyAlignment="1">
      <alignment horizontal="left" vertical="top"/>
    </xf>
    <xf numFmtId="0" fontId="12" fillId="3" borderId="40" xfId="0" applyFont="1" applyFill="1" applyBorder="1"/>
    <xf numFmtId="0" fontId="12" fillId="0" borderId="16" xfId="0" applyFont="1" applyBorder="1"/>
    <xf numFmtId="0" fontId="13" fillId="3" borderId="26" xfId="0" applyFont="1" applyFill="1" applyBorder="1"/>
    <xf numFmtId="0" fontId="34" fillId="3" borderId="40" xfId="0" applyFont="1" applyFill="1" applyBorder="1"/>
    <xf numFmtId="0" fontId="0" fillId="0" borderId="0" xfId="0" applyAlignment="1">
      <alignment wrapText="1"/>
    </xf>
    <xf numFmtId="0" fontId="0" fillId="0" borderId="63" xfId="0" applyBorder="1"/>
    <xf numFmtId="0" fontId="13" fillId="0" borderId="1" xfId="0" applyFont="1" applyBorder="1"/>
    <xf numFmtId="0" fontId="12" fillId="0" borderId="15" xfId="0" applyFont="1" applyBorder="1" applyAlignment="1">
      <alignment horizontal="left" vertical="top" wrapText="1"/>
    </xf>
    <xf numFmtId="0" fontId="14" fillId="0" borderId="5" xfId="0" applyFont="1" applyBorder="1" applyAlignment="1">
      <alignment vertical="top"/>
    </xf>
    <xf numFmtId="0" fontId="35" fillId="0" borderId="0" xfId="0" applyFont="1"/>
    <xf numFmtId="1" fontId="12" fillId="0" borderId="0" xfId="0" applyNumberFormat="1" applyFont="1"/>
    <xf numFmtId="0" fontId="0" fillId="3" borderId="1" xfId="0" applyFill="1" applyBorder="1"/>
    <xf numFmtId="0" fontId="3" fillId="3" borderId="38" xfId="0" applyFont="1" applyFill="1" applyBorder="1"/>
    <xf numFmtId="10" fontId="3" fillId="0" borderId="53" xfId="731" applyNumberFormat="1" applyFont="1" applyFill="1" applyBorder="1"/>
    <xf numFmtId="2" fontId="3" fillId="0" borderId="7" xfId="0" applyNumberFormat="1" applyFont="1" applyBorder="1"/>
    <xf numFmtId="2" fontId="3" fillId="0" borderId="34" xfId="0" applyNumberFormat="1" applyFont="1" applyBorder="1"/>
    <xf numFmtId="0" fontId="3" fillId="0" borderId="53" xfId="0" applyFont="1" applyBorder="1"/>
    <xf numFmtId="0" fontId="37" fillId="0" borderId="8" xfId="0" applyFont="1" applyBorder="1" applyAlignment="1">
      <alignment vertical="top" wrapText="1"/>
    </xf>
    <xf numFmtId="9" fontId="6" fillId="0" borderId="5" xfId="731" applyFont="1" applyFill="1" applyBorder="1"/>
    <xf numFmtId="9" fontId="6" fillId="0" borderId="8" xfId="731" applyFont="1" applyFill="1" applyBorder="1"/>
    <xf numFmtId="166" fontId="3" fillId="0" borderId="5" xfId="731" applyNumberFormat="1" applyFont="1" applyFill="1" applyBorder="1"/>
    <xf numFmtId="166" fontId="3" fillId="0" borderId="54" xfId="0" applyNumberFormat="1" applyFont="1" applyBorder="1"/>
    <xf numFmtId="0" fontId="3" fillId="0" borderId="54" xfId="0" applyFont="1" applyBorder="1"/>
    <xf numFmtId="166" fontId="3" fillId="0" borderId="54" xfId="731" applyNumberFormat="1" applyFont="1" applyFill="1" applyBorder="1"/>
    <xf numFmtId="166" fontId="6" fillId="0" borderId="0" xfId="731" applyNumberFormat="1" applyFont="1" applyFill="1" applyBorder="1"/>
    <xf numFmtId="0" fontId="0" fillId="3" borderId="0" xfId="0" applyFill="1" applyAlignment="1">
      <alignment horizontal="left" vertical="top" wrapText="1"/>
    </xf>
    <xf numFmtId="0" fontId="12" fillId="0" borderId="6" xfId="0" applyFont="1" applyBorder="1" applyAlignment="1">
      <alignment vertical="top" wrapText="1"/>
    </xf>
    <xf numFmtId="168" fontId="0" fillId="3" borderId="0" xfId="0" applyNumberFormat="1" applyFill="1" applyAlignment="1">
      <alignment horizontal="left"/>
    </xf>
    <xf numFmtId="0" fontId="22" fillId="3" borderId="0" xfId="0" applyFont="1" applyFill="1"/>
    <xf numFmtId="0" fontId="6" fillId="0" borderId="0" xfId="0" applyFont="1"/>
    <xf numFmtId="165" fontId="0" fillId="0" borderId="0" xfId="0" applyNumberFormat="1"/>
    <xf numFmtId="0" fontId="3" fillId="3" borderId="1" xfId="0" applyFont="1" applyFill="1" applyBorder="1" applyAlignment="1">
      <alignment vertical="top"/>
    </xf>
    <xf numFmtId="2" fontId="0" fillId="3" borderId="0" xfId="0" applyNumberFormat="1" applyFill="1" applyAlignment="1">
      <alignment horizontal="left"/>
    </xf>
    <xf numFmtId="0" fontId="0" fillId="3" borderId="0" xfId="0" applyFill="1" applyAlignment="1">
      <alignment wrapText="1"/>
    </xf>
    <xf numFmtId="2" fontId="14" fillId="0" borderId="0" xfId="0" applyNumberFormat="1" applyFont="1"/>
    <xf numFmtId="49" fontId="38" fillId="3" borderId="6" xfId="0" applyNumberFormat="1" applyFont="1" applyFill="1" applyBorder="1" applyAlignment="1">
      <alignment vertical="top" wrapText="1"/>
    </xf>
    <xf numFmtId="0" fontId="3" fillId="3" borderId="7" xfId="0" applyFont="1" applyFill="1" applyBorder="1"/>
    <xf numFmtId="0" fontId="3" fillId="3" borderId="8" xfId="0" applyFont="1" applyFill="1" applyBorder="1"/>
    <xf numFmtId="0" fontId="0" fillId="11" borderId="0" xfId="0" applyFill="1"/>
    <xf numFmtId="0" fontId="0" fillId="3" borderId="0" xfId="0" applyFill="1" applyAlignment="1">
      <alignment horizontal="center"/>
    </xf>
    <xf numFmtId="168" fontId="0" fillId="0" borderId="4" xfId="0" applyNumberFormat="1" applyBorder="1" applyAlignment="1">
      <alignment horizontal="left" vertical="top"/>
    </xf>
    <xf numFmtId="168" fontId="14" fillId="0" borderId="4" xfId="0" applyNumberFormat="1" applyFont="1" applyBorder="1" applyAlignment="1">
      <alignment horizontal="left" vertical="top"/>
    </xf>
    <xf numFmtId="2" fontId="0" fillId="0" borderId="5" xfId="0" applyNumberFormat="1" applyBorder="1" applyAlignment="1">
      <alignment vertical="top"/>
    </xf>
    <xf numFmtId="0" fontId="12" fillId="3" borderId="0" xfId="0" applyFont="1" applyFill="1" applyAlignment="1">
      <alignment horizontal="right"/>
    </xf>
    <xf numFmtId="0" fontId="0" fillId="4" borderId="10" xfId="0" applyFill="1" applyBorder="1" applyAlignment="1">
      <alignment vertical="center"/>
    </xf>
    <xf numFmtId="0" fontId="0" fillId="13" borderId="10" xfId="0" applyFill="1" applyBorder="1" applyAlignment="1">
      <alignment vertical="center"/>
    </xf>
    <xf numFmtId="0" fontId="0" fillId="8" borderId="10" xfId="0" applyFill="1" applyBorder="1" applyAlignment="1">
      <alignment vertical="center"/>
    </xf>
    <xf numFmtId="0" fontId="12" fillId="5" borderId="10" xfId="0" applyFont="1" applyFill="1" applyBorder="1" applyAlignment="1">
      <alignment vertical="center"/>
    </xf>
    <xf numFmtId="0" fontId="12" fillId="7" borderId="10" xfId="0" applyFont="1" applyFill="1" applyBorder="1" applyAlignment="1">
      <alignment vertical="center"/>
    </xf>
    <xf numFmtId="0" fontId="12" fillId="6" borderId="10" xfId="0" applyFont="1" applyFill="1" applyBorder="1" applyAlignment="1">
      <alignment vertical="center"/>
    </xf>
    <xf numFmtId="0" fontId="12" fillId="9" borderId="10" xfId="0" applyFont="1" applyFill="1" applyBorder="1" applyAlignment="1">
      <alignment vertical="center"/>
    </xf>
    <xf numFmtId="3" fontId="0" fillId="0" borderId="0" xfId="0" applyNumberFormat="1"/>
    <xf numFmtId="3" fontId="3" fillId="0" borderId="0" xfId="0" applyNumberFormat="1" applyFont="1"/>
    <xf numFmtId="3" fontId="0" fillId="0" borderId="53" xfId="0" applyNumberFormat="1" applyBorder="1"/>
    <xf numFmtId="3" fontId="0" fillId="3" borderId="16" xfId="0" applyNumberFormat="1" applyFill="1" applyBorder="1"/>
    <xf numFmtId="3" fontId="0" fillId="3" borderId="0" xfId="0" applyNumberFormat="1" applyFill="1"/>
    <xf numFmtId="3" fontId="0" fillId="0" borderId="22" xfId="0" applyNumberFormat="1" applyBorder="1"/>
    <xf numFmtId="3" fontId="0" fillId="0" borderId="56" xfId="0" applyNumberFormat="1" applyBorder="1"/>
    <xf numFmtId="3" fontId="0" fillId="0" borderId="50" xfId="0" applyNumberFormat="1" applyBorder="1"/>
    <xf numFmtId="3" fontId="0" fillId="0" borderId="16" xfId="0" applyNumberFormat="1" applyBorder="1"/>
    <xf numFmtId="3" fontId="0" fillId="0" borderId="49" xfId="0" applyNumberFormat="1" applyBorder="1"/>
    <xf numFmtId="3" fontId="0" fillId="0" borderId="7" xfId="0" applyNumberFormat="1" applyBorder="1"/>
    <xf numFmtId="3" fontId="3" fillId="0" borderId="53" xfId="0" applyNumberFormat="1" applyFont="1" applyBorder="1"/>
    <xf numFmtId="3" fontId="3" fillId="0" borderId="4" xfId="0" applyNumberFormat="1" applyFont="1" applyBorder="1"/>
    <xf numFmtId="3" fontId="3" fillId="0" borderId="52" xfId="0" applyNumberFormat="1" applyFont="1" applyBorder="1"/>
    <xf numFmtId="3" fontId="3" fillId="0" borderId="34" xfId="0" applyNumberFormat="1" applyFont="1" applyBorder="1"/>
    <xf numFmtId="3" fontId="3" fillId="0" borderId="7" xfId="0" applyNumberFormat="1" applyFont="1" applyBorder="1"/>
    <xf numFmtId="3" fontId="3" fillId="0" borderId="59" xfId="0" applyNumberFormat="1" applyFont="1" applyBorder="1"/>
    <xf numFmtId="3" fontId="0" fillId="0" borderId="59" xfId="0" applyNumberFormat="1" applyBorder="1"/>
    <xf numFmtId="3" fontId="0" fillId="0" borderId="34" xfId="0" applyNumberFormat="1" applyBorder="1"/>
    <xf numFmtId="3" fontId="0" fillId="0" borderId="4" xfId="0" applyNumberFormat="1" applyBorder="1"/>
    <xf numFmtId="3" fontId="0" fillId="0" borderId="52" xfId="0" applyNumberFormat="1" applyBorder="1"/>
    <xf numFmtId="3" fontId="6" fillId="0" borderId="0" xfId="0" applyNumberFormat="1" applyFont="1" applyAlignment="1">
      <alignment horizontal="right"/>
    </xf>
    <xf numFmtId="3" fontId="6" fillId="0" borderId="52" xfId="0" applyNumberFormat="1" applyFont="1" applyBorder="1" applyAlignment="1">
      <alignment horizontal="right"/>
    </xf>
    <xf numFmtId="3" fontId="22" fillId="0" borderId="53" xfId="0" applyNumberFormat="1" applyFont="1" applyBorder="1" applyAlignment="1">
      <alignment horizontal="right"/>
    </xf>
    <xf numFmtId="3" fontId="0" fillId="3" borderId="7" xfId="0" applyNumberFormat="1" applyFill="1" applyBorder="1" applyAlignment="1">
      <alignment horizontal="right"/>
    </xf>
    <xf numFmtId="3" fontId="22" fillId="3" borderId="7" xfId="0" applyNumberFormat="1" applyFont="1" applyFill="1" applyBorder="1" applyAlignment="1">
      <alignment horizontal="right"/>
    </xf>
    <xf numFmtId="3" fontId="0" fillId="3" borderId="0" xfId="0" applyNumberFormat="1" applyFill="1" applyAlignment="1">
      <alignment horizontal="right"/>
    </xf>
    <xf numFmtId="3" fontId="22" fillId="3" borderId="0" xfId="0" applyNumberFormat="1" applyFont="1" applyFill="1" applyAlignment="1">
      <alignment horizontal="right"/>
    </xf>
    <xf numFmtId="3" fontId="22" fillId="0" borderId="0" xfId="0" applyNumberFormat="1" applyFont="1" applyAlignment="1">
      <alignment horizontal="right"/>
    </xf>
    <xf numFmtId="3" fontId="6" fillId="0" borderId="0" xfId="0" applyNumberFormat="1" applyFont="1"/>
    <xf numFmtId="3" fontId="0" fillId="0" borderId="0" xfId="0" applyNumberFormat="1" applyAlignment="1">
      <alignment horizontal="right"/>
    </xf>
    <xf numFmtId="3" fontId="6" fillId="0" borderId="53" xfId="0" applyNumberFormat="1" applyFont="1" applyBorder="1" applyAlignment="1">
      <alignment horizontal="right"/>
    </xf>
    <xf numFmtId="3" fontId="6" fillId="0" borderId="62" xfId="0" applyNumberFormat="1" applyFont="1" applyBorder="1" applyAlignment="1">
      <alignment horizontal="right"/>
    </xf>
    <xf numFmtId="3" fontId="22" fillId="0" borderId="62" xfId="0" applyNumberFormat="1" applyFont="1" applyBorder="1" applyAlignment="1">
      <alignment horizontal="right"/>
    </xf>
    <xf numFmtId="3" fontId="3" fillId="0" borderId="0" xfId="0" applyNumberFormat="1" applyFont="1" applyAlignment="1">
      <alignment horizontal="right"/>
    </xf>
    <xf numFmtId="3" fontId="3" fillId="0" borderId="52" xfId="0" applyNumberFormat="1" applyFont="1" applyBorder="1" applyAlignment="1">
      <alignment horizontal="right"/>
    </xf>
    <xf numFmtId="3" fontId="3" fillId="0" borderId="53" xfId="0" applyNumberFormat="1" applyFont="1" applyBorder="1" applyAlignment="1">
      <alignment horizontal="right"/>
    </xf>
    <xf numFmtId="3" fontId="6" fillId="3" borderId="7" xfId="0" applyNumberFormat="1" applyFont="1" applyFill="1" applyBorder="1" applyAlignment="1">
      <alignment horizontal="right"/>
    </xf>
    <xf numFmtId="3" fontId="6" fillId="3" borderId="0" xfId="0" applyNumberFormat="1" applyFont="1" applyFill="1" applyAlignment="1">
      <alignment horizontal="right"/>
    </xf>
    <xf numFmtId="3" fontId="17" fillId="0" borderId="0" xfId="0" applyNumberFormat="1" applyFont="1" applyAlignment="1">
      <alignment horizontal="right"/>
    </xf>
    <xf numFmtId="3" fontId="13" fillId="0" borderId="53" xfId="0" applyNumberFormat="1" applyFont="1" applyBorder="1" applyAlignment="1">
      <alignment horizontal="right"/>
    </xf>
    <xf numFmtId="1" fontId="0" fillId="0" borderId="53" xfId="0" applyNumberFormat="1" applyBorder="1"/>
    <xf numFmtId="1" fontId="0" fillId="3" borderId="16" xfId="0" applyNumberFormat="1" applyFill="1" applyBorder="1"/>
    <xf numFmtId="1" fontId="0" fillId="0" borderId="4" xfId="0" applyNumberFormat="1" applyBorder="1"/>
    <xf numFmtId="1" fontId="3" fillId="0" borderId="4" xfId="0" applyNumberFormat="1" applyFont="1" applyBorder="1"/>
    <xf numFmtId="2" fontId="14" fillId="0" borderId="5" xfId="0" applyNumberFormat="1" applyFont="1" applyBorder="1" applyAlignment="1">
      <alignment vertical="top"/>
    </xf>
    <xf numFmtId="0" fontId="12" fillId="3" borderId="7" xfId="0" applyFont="1" applyFill="1" applyBorder="1" applyAlignment="1">
      <alignment horizontal="left"/>
    </xf>
    <xf numFmtId="9" fontId="0" fillId="0" borderId="0" xfId="0" applyNumberFormat="1"/>
    <xf numFmtId="9" fontId="0" fillId="11" borderId="27" xfId="731" applyFont="1" applyFill="1" applyBorder="1" applyAlignment="1">
      <alignment horizontal="center"/>
    </xf>
    <xf numFmtId="0" fontId="0" fillId="11" borderId="27" xfId="0" applyFill="1" applyBorder="1" applyAlignment="1">
      <alignment horizontal="center"/>
    </xf>
    <xf numFmtId="0" fontId="0" fillId="14" borderId="27" xfId="0" applyFill="1" applyBorder="1" applyAlignment="1">
      <alignment horizontal="center"/>
    </xf>
    <xf numFmtId="1" fontId="0" fillId="0" borderId="0" xfId="0" applyNumberFormat="1" applyAlignment="1">
      <alignment horizontal="right"/>
    </xf>
    <xf numFmtId="0" fontId="20" fillId="3" borderId="46" xfId="0" applyFont="1" applyFill="1" applyBorder="1"/>
    <xf numFmtId="0" fontId="0" fillId="3" borderId="0" xfId="0" applyFill="1" applyAlignment="1">
      <alignment vertical="top" wrapText="1"/>
    </xf>
    <xf numFmtId="0" fontId="12" fillId="3" borderId="7" xfId="0" applyFont="1" applyFill="1" applyBorder="1"/>
    <xf numFmtId="166" fontId="12" fillId="3" borderId="0" xfId="0" applyNumberFormat="1" applyFont="1" applyFill="1"/>
    <xf numFmtId="0" fontId="12" fillId="3" borderId="7" xfId="0" applyFont="1" applyFill="1" applyBorder="1" applyAlignment="1">
      <alignment vertical="top" wrapText="1"/>
    </xf>
    <xf numFmtId="0" fontId="0" fillId="3" borderId="24" xfId="0" applyFill="1" applyBorder="1"/>
    <xf numFmtId="0" fontId="14" fillId="3" borderId="4" xfId="0" applyFont="1" applyFill="1" applyBorder="1"/>
    <xf numFmtId="1" fontId="12" fillId="3" borderId="27" xfId="0" applyNumberFormat="1" applyFont="1" applyFill="1" applyBorder="1"/>
    <xf numFmtId="0" fontId="12" fillId="3" borderId="6" xfId="0" applyFont="1" applyFill="1" applyBorder="1"/>
    <xf numFmtId="1" fontId="12" fillId="3" borderId="28" xfId="0" applyNumberFormat="1" applyFont="1" applyFill="1" applyBorder="1"/>
    <xf numFmtId="2" fontId="6" fillId="3" borderId="67" xfId="0" applyNumberFormat="1" applyFont="1" applyFill="1" applyBorder="1"/>
    <xf numFmtId="166" fontId="22" fillId="3" borderId="67" xfId="0" applyNumberFormat="1" applyFont="1" applyFill="1" applyBorder="1"/>
    <xf numFmtId="0" fontId="12" fillId="3" borderId="68" xfId="0" applyFont="1" applyFill="1" applyBorder="1"/>
    <xf numFmtId="0" fontId="0" fillId="3" borderId="67" xfId="0" applyFill="1" applyBorder="1"/>
    <xf numFmtId="0" fontId="0" fillId="3" borderId="68" xfId="0" applyFill="1" applyBorder="1"/>
    <xf numFmtId="0" fontId="14" fillId="12" borderId="27" xfId="0" applyFont="1" applyFill="1" applyBorder="1"/>
    <xf numFmtId="166" fontId="0" fillId="14" borderId="27" xfId="0" applyNumberFormat="1" applyFill="1" applyBorder="1" applyAlignment="1">
      <alignment horizontal="center"/>
    </xf>
    <xf numFmtId="10" fontId="3" fillId="15" borderId="53" xfId="731" applyNumberFormat="1" applyFont="1" applyFill="1" applyBorder="1"/>
    <xf numFmtId="0" fontId="12" fillId="3" borderId="44" xfId="2577" applyFont="1" applyFill="1" applyBorder="1"/>
    <xf numFmtId="0" fontId="3" fillId="3" borderId="7" xfId="0" applyFont="1" applyFill="1" applyBorder="1" applyAlignment="1">
      <alignment horizontal="left" vertical="top" wrapText="1"/>
    </xf>
    <xf numFmtId="0" fontId="3" fillId="3" borderId="8" xfId="0" applyFont="1" applyFill="1" applyBorder="1" applyAlignment="1">
      <alignment horizontal="left" vertical="top" wrapText="1"/>
    </xf>
    <xf numFmtId="0" fontId="3" fillId="3" borderId="6" xfId="0" applyFont="1" applyFill="1" applyBorder="1"/>
    <xf numFmtId="0" fontId="3" fillId="3" borderId="26" xfId="0" applyFont="1" applyFill="1" applyBorder="1"/>
    <xf numFmtId="0" fontId="16" fillId="3" borderId="4" xfId="0" applyFont="1" applyFill="1" applyBorder="1"/>
    <xf numFmtId="0" fontId="16" fillId="2" borderId="4" xfId="0" applyFont="1" applyFill="1" applyBorder="1"/>
    <xf numFmtId="0" fontId="0" fillId="3" borderId="66" xfId="0" applyFill="1" applyBorder="1"/>
    <xf numFmtId="2" fontId="12" fillId="3" borderId="0" xfId="0" applyNumberFormat="1" applyFont="1" applyFill="1"/>
    <xf numFmtId="2" fontId="22" fillId="3" borderId="67" xfId="0" applyNumberFormat="1" applyFont="1" applyFill="1" applyBorder="1"/>
    <xf numFmtId="164" fontId="12" fillId="3" borderId="0" xfId="2206" applyFont="1" applyFill="1" applyBorder="1"/>
    <xf numFmtId="164" fontId="22" fillId="3" borderId="67" xfId="2206" applyFont="1" applyFill="1" applyBorder="1"/>
    <xf numFmtId="0" fontId="12" fillId="3" borderId="67" xfId="0" applyFont="1" applyFill="1" applyBorder="1"/>
    <xf numFmtId="0" fontId="0" fillId="3" borderId="0" xfId="0" applyFill="1" applyAlignment="1">
      <alignment horizontal="left" indent="2"/>
    </xf>
    <xf numFmtId="166" fontId="12" fillId="3" borderId="16" xfId="731" applyNumberFormat="1" applyFont="1" applyFill="1" applyBorder="1"/>
    <xf numFmtId="166" fontId="12" fillId="3" borderId="44" xfId="0" applyNumberFormat="1" applyFont="1" applyFill="1" applyBorder="1"/>
    <xf numFmtId="166" fontId="12" fillId="3" borderId="9" xfId="0" applyNumberFormat="1" applyFont="1" applyFill="1" applyBorder="1"/>
    <xf numFmtId="166" fontId="12" fillId="3" borderId="45" xfId="0" applyNumberFormat="1" applyFont="1" applyFill="1" applyBorder="1"/>
    <xf numFmtId="166" fontId="12" fillId="3" borderId="37" xfId="0" applyNumberFormat="1" applyFont="1" applyFill="1" applyBorder="1"/>
    <xf numFmtId="3" fontId="12" fillId="3" borderId="0" xfId="2206" applyNumberFormat="1" applyFont="1" applyFill="1" applyBorder="1"/>
    <xf numFmtId="0" fontId="0" fillId="3" borderId="44" xfId="0" applyFill="1" applyBorder="1"/>
    <xf numFmtId="0" fontId="12" fillId="3" borderId="44" xfId="0" applyFont="1" applyFill="1" applyBorder="1"/>
    <xf numFmtId="0" fontId="12" fillId="3" borderId="9" xfId="0" applyFont="1" applyFill="1" applyBorder="1"/>
    <xf numFmtId="0" fontId="12" fillId="3" borderId="45" xfId="0" applyFont="1" applyFill="1" applyBorder="1"/>
    <xf numFmtId="0" fontId="0" fillId="3" borderId="45" xfId="0" applyFill="1" applyBorder="1"/>
    <xf numFmtId="3" fontId="0" fillId="3" borderId="37" xfId="0" applyNumberFormat="1" applyFill="1" applyBorder="1" applyAlignment="1">
      <alignment horizontal="right"/>
    </xf>
    <xf numFmtId="0" fontId="3" fillId="3" borderId="0" xfId="0" applyFont="1" applyFill="1" applyAlignment="1">
      <alignment horizontal="left"/>
    </xf>
    <xf numFmtId="0" fontId="0" fillId="3" borderId="3" xfId="0" applyFill="1" applyBorder="1" applyAlignment="1">
      <alignment horizontal="left"/>
    </xf>
    <xf numFmtId="0" fontId="0" fillId="3" borderId="5" xfId="0" applyFill="1" applyBorder="1" applyAlignment="1">
      <alignment horizontal="left"/>
    </xf>
    <xf numFmtId="0" fontId="0" fillId="3" borderId="8" xfId="0" applyFill="1" applyBorder="1" applyAlignment="1">
      <alignment horizontal="left"/>
    </xf>
    <xf numFmtId="0" fontId="0" fillId="3" borderId="38" xfId="0" applyFill="1" applyBorder="1" applyAlignment="1">
      <alignment horizontal="left"/>
    </xf>
    <xf numFmtId="0" fontId="0" fillId="3" borderId="15" xfId="0" applyFill="1" applyBorder="1" applyAlignment="1">
      <alignment horizontal="left"/>
    </xf>
    <xf numFmtId="0" fontId="3" fillId="3" borderId="26" xfId="0" applyFont="1" applyFill="1" applyBorder="1" applyAlignment="1">
      <alignment horizontal="left"/>
    </xf>
    <xf numFmtId="0" fontId="14" fillId="2" borderId="15" xfId="0" applyFont="1" applyFill="1" applyBorder="1" applyAlignment="1">
      <alignment horizontal="left"/>
    </xf>
    <xf numFmtId="0" fontId="12" fillId="3" borderId="15" xfId="0" applyFont="1" applyFill="1" applyBorder="1" applyAlignment="1">
      <alignment horizontal="left"/>
    </xf>
    <xf numFmtId="0" fontId="12" fillId="3" borderId="26" xfId="0" applyFont="1" applyFill="1" applyBorder="1" applyAlignment="1">
      <alignment horizontal="left"/>
    </xf>
    <xf numFmtId="0" fontId="0" fillId="3" borderId="26" xfId="0" applyFill="1" applyBorder="1" applyAlignment="1">
      <alignment horizontal="left"/>
    </xf>
    <xf numFmtId="0" fontId="0" fillId="3" borderId="47" xfId="0" applyFill="1" applyBorder="1" applyAlignment="1">
      <alignment horizontal="left"/>
    </xf>
    <xf numFmtId="0" fontId="0" fillId="3" borderId="7" xfId="0" applyFill="1" applyBorder="1" applyAlignment="1">
      <alignment vertical="top" wrapText="1"/>
    </xf>
    <xf numFmtId="0" fontId="6" fillId="3" borderId="7" xfId="0" applyFont="1" applyFill="1" applyBorder="1"/>
    <xf numFmtId="0" fontId="0" fillId="3" borderId="28" xfId="0" applyFill="1" applyBorder="1"/>
    <xf numFmtId="0" fontId="12" fillId="3" borderId="0" xfId="0" applyFont="1" applyFill="1" applyAlignment="1">
      <alignment horizontal="left" vertical="center"/>
    </xf>
    <xf numFmtId="0" fontId="12" fillId="3" borderId="2" xfId="0" applyFont="1" applyFill="1" applyBorder="1" applyAlignment="1">
      <alignment horizontal="left" vertical="center"/>
    </xf>
    <xf numFmtId="0" fontId="0" fillId="3" borderId="37" xfId="0" applyFill="1" applyBorder="1" applyAlignment="1">
      <alignment horizontal="left" vertical="center"/>
    </xf>
    <xf numFmtId="0" fontId="3" fillId="3" borderId="7" xfId="0" applyFont="1" applyFill="1" applyBorder="1" applyAlignment="1">
      <alignment horizontal="left" vertical="center"/>
    </xf>
    <xf numFmtId="0" fontId="3" fillId="3" borderId="0" xfId="0" applyFont="1" applyFill="1" applyAlignment="1">
      <alignment horizontal="left" vertical="center"/>
    </xf>
    <xf numFmtId="0" fontId="0" fillId="3" borderId="7" xfId="0" applyFill="1" applyBorder="1" applyAlignment="1">
      <alignment horizontal="left" vertical="center"/>
    </xf>
    <xf numFmtId="0" fontId="12" fillId="3" borderId="7" xfId="0" applyFont="1" applyFill="1" applyBorder="1" applyAlignment="1">
      <alignment horizontal="left" vertical="center"/>
    </xf>
    <xf numFmtId="0" fontId="0" fillId="3" borderId="16" xfId="0" applyFill="1" applyBorder="1" applyAlignment="1">
      <alignment horizontal="left" vertical="center"/>
    </xf>
    <xf numFmtId="0" fontId="0" fillId="3" borderId="4" xfId="0" applyFill="1" applyBorder="1" applyAlignment="1">
      <alignment horizontal="left" indent="1"/>
    </xf>
    <xf numFmtId="0" fontId="0" fillId="3" borderId="33" xfId="0" applyFill="1" applyBorder="1" applyAlignment="1">
      <alignment horizontal="left" indent="1"/>
    </xf>
    <xf numFmtId="0" fontId="0" fillId="3" borderId="65" xfId="0" applyFill="1" applyBorder="1" applyAlignment="1">
      <alignment horizontal="right"/>
    </xf>
    <xf numFmtId="3" fontId="0" fillId="3" borderId="34" xfId="0" applyNumberFormat="1" applyFill="1" applyBorder="1" applyAlignment="1">
      <alignment horizontal="right"/>
    </xf>
    <xf numFmtId="0" fontId="12" fillId="3" borderId="0" xfId="0" applyFont="1" applyFill="1" applyAlignment="1">
      <alignment horizontal="left"/>
    </xf>
    <xf numFmtId="0" fontId="3" fillId="3" borderId="15" xfId="0" applyFont="1" applyFill="1" applyBorder="1" applyAlignment="1">
      <alignment horizontal="left"/>
    </xf>
    <xf numFmtId="0" fontId="13" fillId="3" borderId="7" xfId="0" applyFont="1" applyFill="1" applyBorder="1" applyAlignment="1">
      <alignment horizontal="left"/>
    </xf>
    <xf numFmtId="0" fontId="0" fillId="3" borderId="7" xfId="0" applyFill="1" applyBorder="1" applyAlignment="1">
      <alignment horizontal="left"/>
    </xf>
    <xf numFmtId="0" fontId="0" fillId="0" borderId="10" xfId="0" applyBorder="1" applyAlignment="1">
      <alignment vertical="center" wrapText="1"/>
    </xf>
    <xf numFmtId="0" fontId="12" fillId="0" borderId="10" xfId="0" applyFont="1" applyBorder="1" applyAlignment="1">
      <alignment vertical="center" wrapText="1"/>
    </xf>
    <xf numFmtId="0" fontId="12" fillId="3" borderId="0" xfId="0" applyFont="1" applyFill="1" applyAlignment="1">
      <alignment vertical="top" wrapText="1"/>
    </xf>
    <xf numFmtId="0" fontId="13" fillId="3" borderId="69" xfId="0" applyFont="1" applyFill="1" applyBorder="1"/>
    <xf numFmtId="0" fontId="12" fillId="3" borderId="28" xfId="0" applyFont="1" applyFill="1" applyBorder="1" applyAlignment="1">
      <alignment vertical="top" wrapText="1"/>
    </xf>
    <xf numFmtId="0" fontId="3" fillId="3" borderId="6" xfId="0" applyFont="1" applyFill="1" applyBorder="1" applyAlignment="1">
      <alignment vertical="top" wrapText="1"/>
    </xf>
    <xf numFmtId="0" fontId="3" fillId="3" borderId="7" xfId="0" applyFont="1" applyFill="1" applyBorder="1" applyAlignment="1">
      <alignment vertical="top" wrapText="1"/>
    </xf>
    <xf numFmtId="0" fontId="19" fillId="3" borderId="7" xfId="0" applyFont="1" applyFill="1" applyBorder="1" applyAlignment="1">
      <alignment vertical="top" wrapText="1"/>
    </xf>
    <xf numFmtId="0" fontId="19" fillId="3" borderId="8" xfId="0" applyFont="1" applyFill="1" applyBorder="1" applyAlignment="1">
      <alignment vertical="top" wrapText="1"/>
    </xf>
    <xf numFmtId="0" fontId="3" fillId="3" borderId="26" xfId="0" applyFont="1" applyFill="1" applyBorder="1" applyAlignment="1">
      <alignment vertical="top"/>
    </xf>
    <xf numFmtId="2" fontId="18" fillId="3" borderId="0" xfId="0" applyNumberFormat="1" applyFont="1" applyFill="1" applyAlignment="1">
      <alignment horizontal="right"/>
    </xf>
    <xf numFmtId="9" fontId="0" fillId="3" borderId="4" xfId="731" applyFont="1" applyFill="1" applyBorder="1"/>
    <xf numFmtId="0" fontId="17" fillId="3" borderId="15" xfId="0" applyFont="1" applyFill="1" applyBorder="1"/>
    <xf numFmtId="0" fontId="0" fillId="3" borderId="54" xfId="0" applyFill="1" applyBorder="1"/>
    <xf numFmtId="2" fontId="6" fillId="3" borderId="53" xfId="0" applyNumberFormat="1" applyFont="1" applyFill="1" applyBorder="1" applyAlignment="1">
      <alignment horizontal="right"/>
    </xf>
    <xf numFmtId="2" fontId="0" fillId="3" borderId="53" xfId="0" applyNumberFormat="1" applyFill="1" applyBorder="1" applyAlignment="1">
      <alignment horizontal="right"/>
    </xf>
    <xf numFmtId="2" fontId="0" fillId="3" borderId="54" xfId="0" applyNumberFormat="1" applyFill="1" applyBorder="1"/>
    <xf numFmtId="3" fontId="6" fillId="3" borderId="53" xfId="0" applyNumberFormat="1" applyFont="1" applyFill="1" applyBorder="1" applyAlignment="1">
      <alignment horizontal="right"/>
    </xf>
    <xf numFmtId="3" fontId="6" fillId="3" borderId="62" xfId="0" applyNumberFormat="1" applyFont="1" applyFill="1" applyBorder="1" applyAlignment="1">
      <alignment horizontal="right"/>
    </xf>
    <xf numFmtId="2" fontId="6" fillId="3" borderId="62" xfId="0" applyNumberFormat="1" applyFont="1" applyFill="1" applyBorder="1" applyAlignment="1">
      <alignment horizontal="right"/>
    </xf>
    <xf numFmtId="2" fontId="0" fillId="3" borderId="61" xfId="0" applyNumberFormat="1" applyFill="1" applyBorder="1"/>
    <xf numFmtId="3" fontId="3" fillId="3" borderId="0" xfId="0" applyNumberFormat="1" applyFont="1" applyFill="1"/>
    <xf numFmtId="3" fontId="3" fillId="3" borderId="0" xfId="0" applyNumberFormat="1" applyFont="1" applyFill="1" applyAlignment="1">
      <alignment horizontal="right"/>
    </xf>
    <xf numFmtId="3" fontId="3" fillId="3" borderId="53" xfId="0" applyNumberFormat="1" applyFont="1" applyFill="1" applyBorder="1" applyAlignment="1">
      <alignment horizontal="right"/>
    </xf>
    <xf numFmtId="2" fontId="0" fillId="3" borderId="53" xfId="0" applyNumberFormat="1" applyFill="1" applyBorder="1"/>
    <xf numFmtId="0" fontId="3" fillId="3" borderId="7" xfId="0" applyFont="1" applyFill="1" applyBorder="1" applyAlignment="1">
      <alignment vertical="top"/>
    </xf>
    <xf numFmtId="0" fontId="3" fillId="3" borderId="8" xfId="0" applyFont="1" applyFill="1" applyBorder="1" applyAlignment="1">
      <alignment vertical="top"/>
    </xf>
    <xf numFmtId="2" fontId="0" fillId="3" borderId="4" xfId="0" applyNumberFormat="1" applyFill="1" applyBorder="1"/>
    <xf numFmtId="166" fontId="0" fillId="3" borderId="0" xfId="0" applyNumberFormat="1" applyFill="1"/>
    <xf numFmtId="3" fontId="0" fillId="3" borderId="4" xfId="0" applyNumberFormat="1" applyFill="1" applyBorder="1"/>
    <xf numFmtId="166" fontId="3" fillId="3" borderId="0" xfId="0" applyNumberFormat="1" applyFont="1" applyFill="1"/>
    <xf numFmtId="3" fontId="0" fillId="3" borderId="43" xfId="0" applyNumberFormat="1" applyFill="1" applyBorder="1"/>
    <xf numFmtId="0" fontId="3" fillId="3" borderId="16" xfId="0" applyFont="1" applyFill="1" applyBorder="1"/>
    <xf numFmtId="0" fontId="0" fillId="3" borderId="53" xfId="0" applyFill="1" applyBorder="1"/>
    <xf numFmtId="166" fontId="3" fillId="3" borderId="5" xfId="731" applyNumberFormat="1" applyFont="1" applyFill="1" applyBorder="1"/>
    <xf numFmtId="2" fontId="0" fillId="3" borderId="64" xfId="0" applyNumberFormat="1" applyFill="1" applyBorder="1"/>
    <xf numFmtId="166" fontId="0" fillId="3" borderId="16" xfId="0" applyNumberFormat="1" applyFill="1" applyBorder="1"/>
    <xf numFmtId="2" fontId="6" fillId="3" borderId="52" xfId="0" applyNumberFormat="1" applyFont="1" applyFill="1" applyBorder="1" applyAlignment="1">
      <alignment horizontal="right"/>
    </xf>
    <xf numFmtId="2" fontId="0" fillId="3" borderId="34" xfId="0" applyNumberFormat="1" applyFill="1" applyBorder="1" applyAlignment="1">
      <alignment horizontal="right"/>
    </xf>
    <xf numFmtId="3" fontId="18" fillId="3" borderId="0" xfId="0" applyNumberFormat="1" applyFont="1" applyFill="1" applyAlignment="1">
      <alignment horizontal="right"/>
    </xf>
    <xf numFmtId="3" fontId="6" fillId="3" borderId="34" xfId="0" applyNumberFormat="1" applyFont="1" applyFill="1" applyBorder="1" applyAlignment="1">
      <alignment horizontal="right"/>
    </xf>
    <xf numFmtId="3" fontId="16" fillId="3" borderId="0" xfId="0" applyNumberFormat="1" applyFont="1" applyFill="1" applyAlignment="1">
      <alignment horizontal="right"/>
    </xf>
    <xf numFmtId="2" fontId="6" fillId="3" borderId="34" xfId="0" applyNumberFormat="1" applyFont="1" applyFill="1" applyBorder="1" applyAlignment="1">
      <alignment horizontal="right"/>
    </xf>
    <xf numFmtId="0" fontId="0" fillId="3" borderId="33" xfId="0" applyFill="1" applyBorder="1"/>
    <xf numFmtId="0" fontId="0" fillId="3" borderId="34" xfId="0" applyFill="1" applyBorder="1"/>
    <xf numFmtId="0" fontId="0" fillId="3" borderId="57" xfId="0" applyFill="1" applyBorder="1"/>
    <xf numFmtId="0" fontId="0" fillId="3" borderId="35" xfId="0" applyFill="1" applyBorder="1" applyAlignment="1">
      <alignment vertical="top"/>
    </xf>
    <xf numFmtId="3" fontId="22" fillId="3" borderId="34" xfId="0" applyNumberFormat="1" applyFont="1" applyFill="1" applyBorder="1" applyAlignment="1">
      <alignment horizontal="right"/>
    </xf>
    <xf numFmtId="2" fontId="0" fillId="3" borderId="35" xfId="0" applyNumberFormat="1" applyFill="1" applyBorder="1"/>
    <xf numFmtId="1" fontId="0" fillId="3" borderId="6" xfId="0" applyNumberFormat="1" applyFill="1" applyBorder="1"/>
    <xf numFmtId="166" fontId="6" fillId="3" borderId="4" xfId="731" applyNumberFormat="1" applyFont="1" applyFill="1" applyBorder="1"/>
    <xf numFmtId="1" fontId="3" fillId="3" borderId="6" xfId="0" applyNumberFormat="1" applyFont="1" applyFill="1" applyBorder="1"/>
    <xf numFmtId="0" fontId="0" fillId="3" borderId="59" xfId="0" applyFill="1" applyBorder="1"/>
    <xf numFmtId="0" fontId="0" fillId="3" borderId="58" xfId="0" applyFill="1" applyBorder="1"/>
    <xf numFmtId="2" fontId="0" fillId="3" borderId="59" xfId="0" applyNumberFormat="1" applyFill="1" applyBorder="1"/>
    <xf numFmtId="2" fontId="0" fillId="3" borderId="58" xfId="0" applyNumberFormat="1" applyFill="1" applyBorder="1"/>
    <xf numFmtId="2" fontId="0" fillId="3" borderId="7" xfId="0" applyNumberFormat="1" applyFill="1" applyBorder="1"/>
    <xf numFmtId="2" fontId="0" fillId="3" borderId="34" xfId="0" applyNumberFormat="1" applyFill="1" applyBorder="1"/>
    <xf numFmtId="2" fontId="0" fillId="3" borderId="16" xfId="0" applyNumberFormat="1" applyFill="1" applyBorder="1"/>
    <xf numFmtId="2" fontId="0" fillId="3" borderId="42" xfId="0" applyNumberFormat="1" applyFill="1" applyBorder="1"/>
    <xf numFmtId="3" fontId="0" fillId="3" borderId="7" xfId="0" applyNumberFormat="1" applyFill="1" applyBorder="1"/>
    <xf numFmtId="0" fontId="0" fillId="3" borderId="35" xfId="0" applyFill="1" applyBorder="1"/>
    <xf numFmtId="3" fontId="3" fillId="3" borderId="34" xfId="0" applyNumberFormat="1" applyFont="1" applyFill="1" applyBorder="1"/>
    <xf numFmtId="0" fontId="0" fillId="3" borderId="42" xfId="0" applyFill="1" applyBorder="1"/>
    <xf numFmtId="3" fontId="3" fillId="3" borderId="4" xfId="0" applyNumberFormat="1" applyFont="1" applyFill="1" applyBorder="1"/>
    <xf numFmtId="0" fontId="14" fillId="3" borderId="0" xfId="0" applyFont="1" applyFill="1"/>
    <xf numFmtId="168" fontId="9" fillId="3" borderId="0" xfId="0" applyNumberFormat="1" applyFont="1" applyFill="1"/>
    <xf numFmtId="168" fontId="4" fillId="2" borderId="1" xfId="0" applyNumberFormat="1" applyFont="1" applyFill="1" applyBorder="1" applyAlignment="1">
      <alignment vertical="center"/>
    </xf>
    <xf numFmtId="168" fontId="4" fillId="2" borderId="4" xfId="0" applyNumberFormat="1" applyFont="1" applyFill="1" applyBorder="1" applyAlignment="1">
      <alignment vertical="center"/>
    </xf>
    <xf numFmtId="168" fontId="0" fillId="3" borderId="0" xfId="0" applyNumberFormat="1" applyFill="1"/>
    <xf numFmtId="169" fontId="0" fillId="0" borderId="0" xfId="0" applyNumberFormat="1"/>
    <xf numFmtId="0" fontId="40" fillId="3" borderId="0" xfId="0" applyFont="1" applyFill="1"/>
    <xf numFmtId="0" fontId="41" fillId="2" borderId="39" xfId="0" applyFont="1" applyFill="1" applyBorder="1"/>
    <xf numFmtId="9" fontId="0" fillId="3" borderId="0" xfId="731" applyFont="1" applyFill="1" applyBorder="1"/>
    <xf numFmtId="9" fontId="0" fillId="0" borderId="0" xfId="731" applyFont="1" applyFill="1" applyBorder="1"/>
    <xf numFmtId="9" fontId="12" fillId="0" borderId="0" xfId="731" applyFont="1" applyFill="1" applyBorder="1" applyAlignment="1">
      <alignment horizontal="right"/>
    </xf>
    <xf numFmtId="0" fontId="6" fillId="3" borderId="4" xfId="0" applyFont="1" applyFill="1" applyBorder="1"/>
    <xf numFmtId="0" fontId="6" fillId="3" borderId="4" xfId="0" applyFont="1" applyFill="1" applyBorder="1" applyAlignment="1">
      <alignment wrapText="1"/>
    </xf>
    <xf numFmtId="9" fontId="0" fillId="3" borderId="9" xfId="731" applyFont="1" applyFill="1" applyBorder="1"/>
    <xf numFmtId="1" fontId="0" fillId="17" borderId="0" xfId="0" applyNumberFormat="1" applyFill="1"/>
    <xf numFmtId="3" fontId="6" fillId="0" borderId="53" xfId="0" applyNumberFormat="1" applyFont="1" applyBorder="1"/>
    <xf numFmtId="0" fontId="0" fillId="0" borderId="42" xfId="0" applyBorder="1" applyAlignment="1">
      <alignment vertical="top"/>
    </xf>
    <xf numFmtId="3" fontId="0" fillId="0" borderId="16" xfId="0" applyNumberFormat="1" applyBorder="1" applyAlignment="1">
      <alignment horizontal="right"/>
    </xf>
    <xf numFmtId="0" fontId="3" fillId="3" borderId="39" xfId="0" applyFont="1" applyFill="1" applyBorder="1" applyAlignment="1">
      <alignment vertical="top" wrapText="1"/>
    </xf>
    <xf numFmtId="0" fontId="0" fillId="3" borderId="42" xfId="0" applyFill="1" applyBorder="1" applyAlignment="1">
      <alignment vertical="top"/>
    </xf>
    <xf numFmtId="3" fontId="3" fillId="3" borderId="16" xfId="0" applyNumberFormat="1" applyFont="1" applyFill="1" applyBorder="1" applyAlignment="1">
      <alignment horizontal="right"/>
    </xf>
    <xf numFmtId="0" fontId="0" fillId="3" borderId="50" xfId="0" applyFill="1" applyBorder="1"/>
    <xf numFmtId="0" fontId="3" fillId="3" borderId="50" xfId="0" applyFont="1" applyFill="1" applyBorder="1" applyAlignment="1">
      <alignment vertical="top"/>
    </xf>
    <xf numFmtId="0" fontId="0" fillId="3" borderId="70" xfId="0" applyFill="1" applyBorder="1"/>
    <xf numFmtId="0" fontId="0" fillId="3" borderId="49" xfId="0" applyFill="1" applyBorder="1"/>
    <xf numFmtId="3" fontId="3" fillId="3" borderId="0" xfId="0" applyNumberFormat="1" applyFont="1" applyFill="1" applyAlignment="1">
      <alignment vertical="top" wrapText="1"/>
    </xf>
    <xf numFmtId="0" fontId="0" fillId="3" borderId="71" xfId="0" applyFill="1" applyBorder="1"/>
    <xf numFmtId="0" fontId="3" fillId="0" borderId="28" xfId="0" applyFont="1" applyBorder="1" applyAlignment="1">
      <alignment vertical="top" wrapText="1"/>
    </xf>
    <xf numFmtId="0" fontId="3" fillId="0" borderId="26" xfId="0" applyFont="1" applyBorder="1" applyAlignment="1">
      <alignment vertical="top"/>
    </xf>
    <xf numFmtId="3" fontId="6" fillId="0" borderId="5" xfId="0" applyNumberFormat="1" applyFont="1" applyBorder="1" applyAlignment="1">
      <alignment horizontal="right"/>
    </xf>
    <xf numFmtId="3" fontId="6" fillId="0" borderId="72" xfId="0" applyNumberFormat="1" applyFont="1" applyBorder="1" applyAlignment="1">
      <alignment horizontal="right"/>
    </xf>
    <xf numFmtId="3" fontId="0" fillId="3" borderId="8" xfId="0" applyNumberFormat="1" applyFill="1" applyBorder="1" applyAlignment="1">
      <alignment horizontal="right"/>
    </xf>
    <xf numFmtId="3" fontId="0" fillId="3" borderId="5" xfId="0" applyNumberFormat="1" applyFill="1" applyBorder="1" applyAlignment="1">
      <alignment horizontal="right"/>
    </xf>
    <xf numFmtId="3" fontId="6" fillId="3" borderId="5" xfId="0" applyNumberFormat="1" applyFont="1" applyFill="1" applyBorder="1" applyAlignment="1">
      <alignment horizontal="right"/>
    </xf>
    <xf numFmtId="3" fontId="6" fillId="0" borderId="54" xfId="0" applyNumberFormat="1" applyFont="1" applyBorder="1" applyAlignment="1">
      <alignment horizontal="right"/>
    </xf>
    <xf numFmtId="3" fontId="0" fillId="0" borderId="42" xfId="0" applyNumberFormat="1" applyBorder="1" applyAlignment="1">
      <alignment horizontal="right"/>
    </xf>
    <xf numFmtId="3" fontId="3" fillId="3" borderId="5" xfId="0" applyNumberFormat="1" applyFont="1" applyFill="1" applyBorder="1" applyAlignment="1">
      <alignment vertical="top" wrapText="1"/>
    </xf>
    <xf numFmtId="3" fontId="3" fillId="0" borderId="5" xfId="0" applyNumberFormat="1" applyFont="1" applyBorder="1" applyAlignment="1">
      <alignment horizontal="right"/>
    </xf>
    <xf numFmtId="3" fontId="3" fillId="0" borderId="72" xfId="0" applyNumberFormat="1" applyFont="1" applyBorder="1" applyAlignment="1">
      <alignment horizontal="right"/>
    </xf>
    <xf numFmtId="3" fontId="3" fillId="3" borderId="42" xfId="0" applyNumberFormat="1" applyFont="1" applyFill="1" applyBorder="1" applyAlignment="1">
      <alignment horizontal="right"/>
    </xf>
    <xf numFmtId="166" fontId="0" fillId="3" borderId="71" xfId="0" applyNumberFormat="1" applyFill="1" applyBorder="1"/>
    <xf numFmtId="1" fontId="0" fillId="3" borderId="9" xfId="731" applyNumberFormat="1" applyFont="1" applyFill="1" applyBorder="1"/>
    <xf numFmtId="9" fontId="0" fillId="0" borderId="0" xfId="731" applyFont="1"/>
    <xf numFmtId="0" fontId="21" fillId="3" borderId="2" xfId="0" applyFont="1" applyFill="1" applyBorder="1"/>
    <xf numFmtId="0" fontId="0" fillId="3" borderId="2" xfId="0" applyFill="1" applyBorder="1" applyAlignment="1">
      <alignment horizontal="left" vertical="center"/>
    </xf>
    <xf numFmtId="0" fontId="0" fillId="3" borderId="73" xfId="0" applyFill="1" applyBorder="1"/>
    <xf numFmtId="9" fontId="0" fillId="3" borderId="44" xfId="731" applyFont="1" applyFill="1" applyBorder="1"/>
    <xf numFmtId="9" fontId="0" fillId="3" borderId="37" xfId="731" applyFont="1" applyFill="1" applyBorder="1"/>
    <xf numFmtId="9" fontId="12" fillId="3" borderId="44" xfId="731" applyFont="1" applyFill="1" applyBorder="1"/>
    <xf numFmtId="9" fontId="12" fillId="3" borderId="9" xfId="731" applyFont="1" applyFill="1" applyBorder="1"/>
    <xf numFmtId="9" fontId="12" fillId="3" borderId="45" xfId="731" applyFont="1" applyFill="1" applyBorder="1"/>
    <xf numFmtId="9" fontId="0" fillId="3" borderId="45" xfId="731" applyFont="1" applyFill="1" applyBorder="1"/>
    <xf numFmtId="9" fontId="0" fillId="0" borderId="0" xfId="731" applyFont="1" applyFill="1" applyBorder="1" applyAlignment="1">
      <alignment horizontal="right"/>
    </xf>
    <xf numFmtId="9" fontId="12" fillId="3" borderId="0" xfId="731" applyFont="1" applyFill="1" applyBorder="1"/>
    <xf numFmtId="0" fontId="0" fillId="3" borderId="42" xfId="0" applyFill="1" applyBorder="1" applyAlignment="1">
      <alignment horizontal="left"/>
    </xf>
    <xf numFmtId="0" fontId="14" fillId="0" borderId="18" xfId="0" applyFont="1" applyBorder="1" applyAlignment="1">
      <alignment vertical="top" wrapText="1"/>
    </xf>
    <xf numFmtId="0" fontId="18" fillId="12" borderId="0" xfId="0" applyFont="1" applyFill="1"/>
    <xf numFmtId="0" fontId="6" fillId="3" borderId="1" xfId="0" applyFont="1" applyFill="1" applyBorder="1" applyAlignment="1">
      <alignment wrapText="1"/>
    </xf>
    <xf numFmtId="0" fontId="20" fillId="3" borderId="46" xfId="0" applyFont="1" applyFill="1" applyBorder="1" applyAlignment="1">
      <alignment vertical="top"/>
    </xf>
    <xf numFmtId="0" fontId="3" fillId="3" borderId="36" xfId="0" applyFont="1" applyFill="1" applyBorder="1" applyAlignment="1">
      <alignment wrapText="1"/>
    </xf>
    <xf numFmtId="0" fontId="9" fillId="3" borderId="0" xfId="0" applyFont="1" applyFill="1" applyAlignment="1">
      <alignment wrapText="1"/>
    </xf>
    <xf numFmtId="0" fontId="3" fillId="3" borderId="1" xfId="0" applyFont="1" applyFill="1" applyBorder="1" applyAlignment="1">
      <alignment wrapText="1"/>
    </xf>
    <xf numFmtId="0" fontId="0" fillId="3" borderId="39" xfId="0" applyFill="1" applyBorder="1" applyAlignment="1">
      <alignment wrapText="1"/>
    </xf>
    <xf numFmtId="0" fontId="0" fillId="3" borderId="41" xfId="0" applyFill="1" applyBorder="1" applyAlignment="1">
      <alignment wrapText="1"/>
    </xf>
    <xf numFmtId="0" fontId="0" fillId="0" borderId="74" xfId="0" applyBorder="1"/>
    <xf numFmtId="0" fontId="0" fillId="0" borderId="75" xfId="0" applyBorder="1"/>
    <xf numFmtId="0" fontId="0" fillId="0" borderId="18" xfId="0" applyBorder="1" applyAlignment="1">
      <alignment vertical="top"/>
    </xf>
    <xf numFmtId="3" fontId="0" fillId="0" borderId="76" xfId="0" applyNumberFormat="1" applyBorder="1"/>
    <xf numFmtId="0" fontId="3" fillId="3" borderId="39" xfId="0" applyFont="1" applyFill="1" applyBorder="1" applyAlignment="1">
      <alignment wrapText="1"/>
    </xf>
    <xf numFmtId="0" fontId="0" fillId="0" borderId="50" xfId="0" applyBorder="1"/>
    <xf numFmtId="9" fontId="0" fillId="0" borderId="0" xfId="0" applyNumberFormat="1" applyAlignment="1">
      <alignment vertical="top"/>
    </xf>
    <xf numFmtId="0" fontId="0" fillId="0" borderId="77" xfId="0" applyBorder="1" applyAlignment="1">
      <alignment vertical="top"/>
    </xf>
    <xf numFmtId="0" fontId="0" fillId="0" borderId="78" xfId="0" applyBorder="1"/>
    <xf numFmtId="165" fontId="0" fillId="0" borderId="4" xfId="0" applyNumberFormat="1" applyBorder="1"/>
    <xf numFmtId="3" fontId="0" fillId="0" borderId="43" xfId="0" applyNumberFormat="1" applyBorder="1"/>
    <xf numFmtId="0" fontId="3" fillId="3" borderId="39" xfId="0" applyFont="1" applyFill="1" applyBorder="1" applyAlignment="1">
      <alignment horizontal="right" wrapText="1"/>
    </xf>
    <xf numFmtId="9" fontId="0" fillId="0" borderId="4" xfId="0" applyNumberFormat="1" applyBorder="1" applyAlignment="1">
      <alignment vertical="top"/>
    </xf>
    <xf numFmtId="9" fontId="0" fillId="0" borderId="1" xfId="0" applyNumberFormat="1" applyBorder="1" applyAlignment="1">
      <alignment vertical="top"/>
    </xf>
    <xf numFmtId="9" fontId="0" fillId="0" borderId="4" xfId="0" applyNumberFormat="1" applyBorder="1"/>
    <xf numFmtId="0" fontId="3" fillId="3" borderId="41" xfId="0" applyFont="1" applyFill="1" applyBorder="1" applyAlignment="1">
      <alignment horizontal="right" wrapText="1"/>
    </xf>
    <xf numFmtId="165" fontId="0" fillId="0" borderId="16" xfId="0" applyNumberFormat="1" applyBorder="1"/>
    <xf numFmtId="165" fontId="0" fillId="0" borderId="43" xfId="0" applyNumberFormat="1" applyBorder="1"/>
    <xf numFmtId="0" fontId="14" fillId="0" borderId="37" xfId="0" applyFont="1" applyBorder="1" applyAlignment="1">
      <alignment vertical="top" wrapText="1"/>
    </xf>
    <xf numFmtId="9" fontId="0" fillId="0" borderId="2" xfId="0" applyNumberFormat="1" applyBorder="1" applyAlignment="1">
      <alignment vertical="top"/>
    </xf>
    <xf numFmtId="0" fontId="14" fillId="0" borderId="71" xfId="0" applyFont="1" applyBorder="1" applyAlignment="1">
      <alignment vertical="top" wrapText="1"/>
    </xf>
    <xf numFmtId="10" fontId="3" fillId="0" borderId="0" xfId="731" applyNumberFormat="1" applyFont="1" applyFill="1" applyBorder="1"/>
    <xf numFmtId="9" fontId="0" fillId="0" borderId="0" xfId="731" applyFont="1" applyFill="1"/>
    <xf numFmtId="0" fontId="0" fillId="0" borderId="0" xfId="0" applyAlignment="1">
      <alignment horizontal="left" vertical="center"/>
    </xf>
    <xf numFmtId="0" fontId="0" fillId="0" borderId="67" xfId="0" applyBorder="1"/>
    <xf numFmtId="0" fontId="0" fillId="0" borderId="4" xfId="0" applyBorder="1" applyAlignment="1">
      <alignment horizontal="left" indent="1"/>
    </xf>
    <xf numFmtId="0" fontId="0" fillId="0" borderId="9" xfId="0" applyBorder="1"/>
    <xf numFmtId="9" fontId="12" fillId="0" borderId="0" xfId="731" applyFont="1"/>
    <xf numFmtId="0" fontId="0" fillId="0" borderId="0" xfId="0" applyAlignment="1">
      <alignment vertical="top" wrapText="1"/>
    </xf>
    <xf numFmtId="0" fontId="0" fillId="0" borderId="0" xfId="0" applyAlignment="1">
      <alignment vertical="top"/>
    </xf>
    <xf numFmtId="0" fontId="14" fillId="0" borderId="0" xfId="0" applyFont="1" applyAlignment="1">
      <alignment vertical="top" wrapText="1"/>
    </xf>
    <xf numFmtId="168" fontId="0" fillId="0" borderId="4" xfId="0" applyNumberFormat="1" applyBorder="1"/>
    <xf numFmtId="168" fontId="0" fillId="0" borderId="6" xfId="0" applyNumberFormat="1" applyBorder="1"/>
    <xf numFmtId="0" fontId="12" fillId="3" borderId="6" xfId="0" applyFont="1" applyFill="1" applyBorder="1" applyAlignment="1">
      <alignment horizontal="left" vertical="top" wrapText="1"/>
    </xf>
    <xf numFmtId="0" fontId="12" fillId="3" borderId="8" xfId="0" applyFont="1" applyFill="1" applyBorder="1" applyAlignment="1">
      <alignment horizontal="left" vertical="top" wrapText="1"/>
    </xf>
    <xf numFmtId="0" fontId="12" fillId="3" borderId="7" xfId="0" applyFont="1" applyFill="1" applyBorder="1" applyAlignment="1">
      <alignment horizontal="left" vertical="top" wrapText="1"/>
    </xf>
    <xf numFmtId="0" fontId="0" fillId="3" borderId="4" xfId="0" applyFill="1" applyBorder="1" applyAlignment="1">
      <alignment wrapText="1"/>
    </xf>
    <xf numFmtId="0" fontId="0" fillId="0" borderId="0" xfId="0"/>
    <xf numFmtId="0" fontId="0" fillId="0" borderId="4" xfId="0" applyBorder="1"/>
    <xf numFmtId="0" fontId="0" fillId="3" borderId="27" xfId="0" applyFill="1" applyBorder="1" applyAlignment="1">
      <alignment horizontal="left" wrapText="1"/>
    </xf>
    <xf numFmtId="0" fontId="0" fillId="3" borderId="6" xfId="0" applyFill="1" applyBorder="1" applyAlignment="1">
      <alignment horizontal="left" vertical="top" wrapText="1"/>
    </xf>
    <xf numFmtId="0" fontId="0" fillId="3" borderId="7" xfId="0" applyFill="1" applyBorder="1" applyAlignment="1">
      <alignment horizontal="left" vertical="top" wrapText="1"/>
    </xf>
    <xf numFmtId="0" fontId="0" fillId="3" borderId="8" xfId="0" applyFill="1" applyBorder="1" applyAlignment="1">
      <alignment horizontal="left" vertical="top" wrapText="1"/>
    </xf>
    <xf numFmtId="0" fontId="14" fillId="12" borderId="6" xfId="0" applyFont="1" applyFill="1" applyBorder="1" applyAlignment="1">
      <alignment horizontal="left" vertical="top" wrapText="1"/>
    </xf>
    <xf numFmtId="0" fontId="14" fillId="12" borderId="7" xfId="0" applyFont="1" applyFill="1" applyBorder="1" applyAlignment="1">
      <alignment horizontal="left" vertical="top" wrapText="1"/>
    </xf>
    <xf numFmtId="0" fontId="14" fillId="12" borderId="8" xfId="0" applyFont="1" applyFill="1" applyBorder="1" applyAlignment="1">
      <alignment horizontal="left" vertical="top" wrapText="1"/>
    </xf>
  </cellXfs>
  <cellStyles count="2630">
    <cellStyle name="Bad" xfId="2577" builtinId="27"/>
    <cellStyle name="Comma" xfId="220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3" builtinId="9" hidden="1"/>
    <cellStyle name="Followed Hyperlink" xfId="735" builtinId="9" hidden="1"/>
    <cellStyle name="Followed Hyperlink" xfId="737" builtinId="9" hidden="1"/>
    <cellStyle name="Followed Hyperlink" xfId="739" builtinId="9" hidden="1"/>
    <cellStyle name="Followed Hyperlink" xfId="741" builtinId="9" hidden="1"/>
    <cellStyle name="Followed Hyperlink" xfId="743" builtinId="9" hidden="1"/>
    <cellStyle name="Followed Hyperlink" xfId="745" builtinId="9" hidden="1"/>
    <cellStyle name="Followed Hyperlink" xfId="747" builtinId="9" hidden="1"/>
    <cellStyle name="Followed Hyperlink" xfId="749" builtinId="9" hidden="1"/>
    <cellStyle name="Followed Hyperlink" xfId="751" builtinId="9" hidden="1"/>
    <cellStyle name="Followed Hyperlink" xfId="753" builtinId="9" hidden="1"/>
    <cellStyle name="Followed Hyperlink" xfId="755" builtinId="9" hidden="1"/>
    <cellStyle name="Followed Hyperlink" xfId="757" builtinId="9" hidden="1"/>
    <cellStyle name="Followed Hyperlink" xfId="759" builtinId="9" hidden="1"/>
    <cellStyle name="Followed Hyperlink" xfId="761" builtinId="9" hidden="1"/>
    <cellStyle name="Followed Hyperlink" xfId="763" builtinId="9" hidden="1"/>
    <cellStyle name="Followed Hyperlink" xfId="765" builtinId="9" hidden="1"/>
    <cellStyle name="Followed Hyperlink" xfId="767" builtinId="9" hidden="1"/>
    <cellStyle name="Followed Hyperlink" xfId="769" builtinId="9" hidden="1"/>
    <cellStyle name="Followed Hyperlink" xfId="771" builtinId="9" hidden="1"/>
    <cellStyle name="Followed Hyperlink" xfId="773" builtinId="9" hidden="1"/>
    <cellStyle name="Followed Hyperlink" xfId="775" builtinId="9" hidden="1"/>
    <cellStyle name="Followed Hyperlink" xfId="777" builtinId="9" hidden="1"/>
    <cellStyle name="Followed Hyperlink" xfId="779" builtinId="9" hidden="1"/>
    <cellStyle name="Followed Hyperlink" xfId="781" builtinId="9" hidden="1"/>
    <cellStyle name="Followed Hyperlink" xfId="783" builtinId="9" hidden="1"/>
    <cellStyle name="Followed Hyperlink" xfId="785" builtinId="9" hidden="1"/>
    <cellStyle name="Followed Hyperlink" xfId="787" builtinId="9" hidden="1"/>
    <cellStyle name="Followed Hyperlink" xfId="789" builtinId="9" hidden="1"/>
    <cellStyle name="Followed Hyperlink" xfId="791" builtinId="9" hidden="1"/>
    <cellStyle name="Followed Hyperlink" xfId="793" builtinId="9" hidden="1"/>
    <cellStyle name="Followed Hyperlink" xfId="795" builtinId="9" hidden="1"/>
    <cellStyle name="Followed Hyperlink" xfId="797" builtinId="9" hidden="1"/>
    <cellStyle name="Followed Hyperlink" xfId="799" builtinId="9" hidden="1"/>
    <cellStyle name="Followed Hyperlink" xfId="801" builtinId="9" hidden="1"/>
    <cellStyle name="Followed Hyperlink" xfId="803" builtinId="9" hidden="1"/>
    <cellStyle name="Followed Hyperlink" xfId="805" builtinId="9" hidden="1"/>
    <cellStyle name="Followed Hyperlink" xfId="807" builtinId="9" hidden="1"/>
    <cellStyle name="Followed Hyperlink" xfId="809" builtinId="9" hidden="1"/>
    <cellStyle name="Followed Hyperlink" xfId="811" builtinId="9" hidden="1"/>
    <cellStyle name="Followed Hyperlink" xfId="813" builtinId="9" hidden="1"/>
    <cellStyle name="Followed Hyperlink" xfId="815" builtinId="9" hidden="1"/>
    <cellStyle name="Followed Hyperlink" xfId="817" builtinId="9" hidden="1"/>
    <cellStyle name="Followed Hyperlink" xfId="819" builtinId="9" hidden="1"/>
    <cellStyle name="Followed Hyperlink" xfId="821" builtinId="9" hidden="1"/>
    <cellStyle name="Followed Hyperlink" xfId="823" builtinId="9" hidden="1"/>
    <cellStyle name="Followed Hyperlink" xfId="825" builtinId="9" hidden="1"/>
    <cellStyle name="Followed Hyperlink" xfId="827" builtinId="9" hidden="1"/>
    <cellStyle name="Followed Hyperlink" xfId="829" builtinId="9" hidden="1"/>
    <cellStyle name="Followed Hyperlink" xfId="831" builtinId="9" hidden="1"/>
    <cellStyle name="Followed Hyperlink" xfId="833" builtinId="9" hidden="1"/>
    <cellStyle name="Followed Hyperlink" xfId="835" builtinId="9" hidden="1"/>
    <cellStyle name="Followed Hyperlink" xfId="837" builtinId="9" hidden="1"/>
    <cellStyle name="Followed Hyperlink" xfId="839" builtinId="9" hidden="1"/>
    <cellStyle name="Followed Hyperlink" xfId="841" builtinId="9" hidden="1"/>
    <cellStyle name="Followed Hyperlink" xfId="843" builtinId="9" hidden="1"/>
    <cellStyle name="Followed Hyperlink" xfId="845" builtinId="9" hidden="1"/>
    <cellStyle name="Followed Hyperlink" xfId="847" builtinId="9" hidden="1"/>
    <cellStyle name="Followed Hyperlink" xfId="849" builtinId="9" hidden="1"/>
    <cellStyle name="Followed Hyperlink" xfId="851" builtinId="9" hidden="1"/>
    <cellStyle name="Followed Hyperlink" xfId="853" builtinId="9" hidden="1"/>
    <cellStyle name="Followed Hyperlink" xfId="855" builtinId="9" hidden="1"/>
    <cellStyle name="Followed Hyperlink" xfId="857" builtinId="9" hidden="1"/>
    <cellStyle name="Followed Hyperlink" xfId="859" builtinId="9" hidden="1"/>
    <cellStyle name="Followed Hyperlink" xfId="861" builtinId="9" hidden="1"/>
    <cellStyle name="Followed Hyperlink" xfId="863" builtinId="9" hidden="1"/>
    <cellStyle name="Followed Hyperlink" xfId="865" builtinId="9" hidden="1"/>
    <cellStyle name="Followed Hyperlink" xfId="867" builtinId="9" hidden="1"/>
    <cellStyle name="Followed Hyperlink" xfId="869" builtinId="9" hidden="1"/>
    <cellStyle name="Followed Hyperlink" xfId="871" builtinId="9" hidden="1"/>
    <cellStyle name="Followed Hyperlink" xfId="873" builtinId="9" hidden="1"/>
    <cellStyle name="Followed Hyperlink" xfId="875" builtinId="9" hidden="1"/>
    <cellStyle name="Followed Hyperlink" xfId="877" builtinId="9" hidden="1"/>
    <cellStyle name="Followed Hyperlink" xfId="879" builtinId="9" hidden="1"/>
    <cellStyle name="Followed Hyperlink" xfId="881" builtinId="9" hidden="1"/>
    <cellStyle name="Followed Hyperlink" xfId="883" builtinId="9" hidden="1"/>
    <cellStyle name="Followed Hyperlink" xfId="885" builtinId="9" hidden="1"/>
    <cellStyle name="Followed Hyperlink" xfId="887" builtinId="9" hidden="1"/>
    <cellStyle name="Followed Hyperlink" xfId="889" builtinId="9" hidden="1"/>
    <cellStyle name="Followed Hyperlink" xfId="891" builtinId="9" hidden="1"/>
    <cellStyle name="Followed Hyperlink" xfId="893" builtinId="9" hidden="1"/>
    <cellStyle name="Followed Hyperlink" xfId="895" builtinId="9" hidden="1"/>
    <cellStyle name="Followed Hyperlink" xfId="897" builtinId="9" hidden="1"/>
    <cellStyle name="Followed Hyperlink" xfId="899" builtinId="9" hidden="1"/>
    <cellStyle name="Followed Hyperlink" xfId="901" builtinId="9" hidden="1"/>
    <cellStyle name="Followed Hyperlink" xfId="903" builtinId="9" hidden="1"/>
    <cellStyle name="Followed Hyperlink" xfId="905" builtinId="9" hidden="1"/>
    <cellStyle name="Followed Hyperlink" xfId="907" builtinId="9" hidden="1"/>
    <cellStyle name="Followed Hyperlink" xfId="909" builtinId="9" hidden="1"/>
    <cellStyle name="Followed Hyperlink" xfId="911" builtinId="9" hidden="1"/>
    <cellStyle name="Followed Hyperlink" xfId="913" builtinId="9" hidden="1"/>
    <cellStyle name="Followed Hyperlink" xfId="915" builtinId="9" hidden="1"/>
    <cellStyle name="Followed Hyperlink" xfId="917" builtinId="9" hidden="1"/>
    <cellStyle name="Followed Hyperlink" xfId="919" builtinId="9" hidden="1"/>
    <cellStyle name="Followed Hyperlink" xfId="921" builtinId="9" hidden="1"/>
    <cellStyle name="Followed Hyperlink" xfId="923" builtinId="9" hidden="1"/>
    <cellStyle name="Followed Hyperlink" xfId="925" builtinId="9" hidden="1"/>
    <cellStyle name="Followed Hyperlink" xfId="927" builtinId="9" hidden="1"/>
    <cellStyle name="Followed Hyperlink" xfId="929" builtinId="9" hidden="1"/>
    <cellStyle name="Followed Hyperlink" xfId="931" builtinId="9" hidden="1"/>
    <cellStyle name="Followed Hyperlink" xfId="933" builtinId="9" hidden="1"/>
    <cellStyle name="Followed Hyperlink" xfId="935" builtinId="9" hidden="1"/>
    <cellStyle name="Followed Hyperlink" xfId="937" builtinId="9" hidden="1"/>
    <cellStyle name="Followed Hyperlink" xfId="939" builtinId="9" hidden="1"/>
    <cellStyle name="Followed Hyperlink" xfId="941" builtinId="9" hidden="1"/>
    <cellStyle name="Followed Hyperlink" xfId="943" builtinId="9" hidden="1"/>
    <cellStyle name="Followed Hyperlink" xfId="945" builtinId="9" hidden="1"/>
    <cellStyle name="Followed Hyperlink" xfId="947" builtinId="9" hidden="1"/>
    <cellStyle name="Followed Hyperlink" xfId="949" builtinId="9" hidden="1"/>
    <cellStyle name="Followed Hyperlink" xfId="951" builtinId="9" hidden="1"/>
    <cellStyle name="Followed Hyperlink" xfId="953" builtinId="9" hidden="1"/>
    <cellStyle name="Followed Hyperlink" xfId="955" builtinId="9" hidden="1"/>
    <cellStyle name="Followed Hyperlink" xfId="957" builtinId="9" hidden="1"/>
    <cellStyle name="Followed Hyperlink" xfId="959" builtinId="9" hidden="1"/>
    <cellStyle name="Followed Hyperlink" xfId="961" builtinId="9" hidden="1"/>
    <cellStyle name="Followed Hyperlink" xfId="963" builtinId="9" hidden="1"/>
    <cellStyle name="Followed Hyperlink" xfId="965" builtinId="9" hidden="1"/>
    <cellStyle name="Followed Hyperlink" xfId="967" builtinId="9" hidden="1"/>
    <cellStyle name="Followed Hyperlink" xfId="969" builtinId="9" hidden="1"/>
    <cellStyle name="Followed Hyperlink" xfId="971" builtinId="9" hidden="1"/>
    <cellStyle name="Followed Hyperlink" xfId="973" builtinId="9" hidden="1"/>
    <cellStyle name="Followed Hyperlink" xfId="975" builtinId="9" hidden="1"/>
    <cellStyle name="Followed Hyperlink" xfId="977" builtinId="9" hidden="1"/>
    <cellStyle name="Followed Hyperlink" xfId="979" builtinId="9" hidden="1"/>
    <cellStyle name="Followed Hyperlink" xfId="981" builtinId="9" hidden="1"/>
    <cellStyle name="Followed Hyperlink" xfId="983" builtinId="9" hidden="1"/>
    <cellStyle name="Followed Hyperlink" xfId="985" builtinId="9" hidden="1"/>
    <cellStyle name="Followed Hyperlink" xfId="987" builtinId="9" hidden="1"/>
    <cellStyle name="Followed Hyperlink" xfId="989" builtinId="9" hidden="1"/>
    <cellStyle name="Followed Hyperlink" xfId="991" builtinId="9" hidden="1"/>
    <cellStyle name="Followed Hyperlink" xfId="993" builtinId="9" hidden="1"/>
    <cellStyle name="Followed Hyperlink" xfId="995" builtinId="9" hidden="1"/>
    <cellStyle name="Followed Hyperlink" xfId="997" builtinId="9" hidden="1"/>
    <cellStyle name="Followed Hyperlink" xfId="999" builtinId="9" hidden="1"/>
    <cellStyle name="Followed Hyperlink" xfId="1001" builtinId="9" hidden="1"/>
    <cellStyle name="Followed Hyperlink" xfId="1003" builtinId="9" hidden="1"/>
    <cellStyle name="Followed Hyperlink" xfId="1005" builtinId="9" hidden="1"/>
    <cellStyle name="Followed Hyperlink" xfId="1007" builtinId="9" hidden="1"/>
    <cellStyle name="Followed Hyperlink" xfId="1009" builtinId="9" hidden="1"/>
    <cellStyle name="Followed Hyperlink" xfId="1011" builtinId="9" hidden="1"/>
    <cellStyle name="Followed Hyperlink" xfId="1013" builtinId="9" hidden="1"/>
    <cellStyle name="Followed Hyperlink" xfId="1015" builtinId="9" hidden="1"/>
    <cellStyle name="Followed Hyperlink" xfId="1017" builtinId="9" hidden="1"/>
    <cellStyle name="Followed Hyperlink" xfId="1019" builtinId="9" hidden="1"/>
    <cellStyle name="Followed Hyperlink" xfId="1021" builtinId="9" hidden="1"/>
    <cellStyle name="Followed Hyperlink" xfId="1023" builtinId="9" hidden="1"/>
    <cellStyle name="Followed Hyperlink" xfId="1025" builtinId="9" hidden="1"/>
    <cellStyle name="Followed Hyperlink" xfId="1027" builtinId="9" hidden="1"/>
    <cellStyle name="Followed Hyperlink" xfId="1029" builtinId="9" hidden="1"/>
    <cellStyle name="Followed Hyperlink" xfId="1031" builtinId="9" hidden="1"/>
    <cellStyle name="Followed Hyperlink" xfId="1033" builtinId="9" hidden="1"/>
    <cellStyle name="Followed Hyperlink" xfId="1035" builtinId="9" hidden="1"/>
    <cellStyle name="Followed Hyperlink" xfId="1037" builtinId="9" hidden="1"/>
    <cellStyle name="Followed Hyperlink" xfId="1039" builtinId="9" hidden="1"/>
    <cellStyle name="Followed Hyperlink" xfId="1041" builtinId="9" hidden="1"/>
    <cellStyle name="Followed Hyperlink" xfId="1043" builtinId="9" hidden="1"/>
    <cellStyle name="Followed Hyperlink" xfId="1045" builtinId="9" hidden="1"/>
    <cellStyle name="Followed Hyperlink" xfId="1047" builtinId="9" hidden="1"/>
    <cellStyle name="Followed Hyperlink" xfId="1049" builtinId="9" hidden="1"/>
    <cellStyle name="Followed Hyperlink" xfId="1051" builtinId="9" hidden="1"/>
    <cellStyle name="Followed Hyperlink" xfId="1053" builtinId="9" hidden="1"/>
    <cellStyle name="Followed Hyperlink" xfId="1055" builtinId="9" hidden="1"/>
    <cellStyle name="Followed Hyperlink" xfId="1057" builtinId="9" hidden="1"/>
    <cellStyle name="Followed Hyperlink" xfId="1059" builtinId="9" hidden="1"/>
    <cellStyle name="Followed Hyperlink" xfId="1061" builtinId="9" hidden="1"/>
    <cellStyle name="Followed Hyperlink" xfId="1063" builtinId="9" hidden="1"/>
    <cellStyle name="Followed Hyperlink" xfId="1065" builtinId="9" hidden="1"/>
    <cellStyle name="Followed Hyperlink" xfId="1067" builtinId="9" hidden="1"/>
    <cellStyle name="Followed Hyperlink" xfId="1069" builtinId="9" hidden="1"/>
    <cellStyle name="Followed Hyperlink" xfId="1071" builtinId="9" hidden="1"/>
    <cellStyle name="Followed Hyperlink" xfId="1073" builtinId="9" hidden="1"/>
    <cellStyle name="Followed Hyperlink" xfId="1075" builtinId="9" hidden="1"/>
    <cellStyle name="Followed Hyperlink" xfId="1077" builtinId="9" hidden="1"/>
    <cellStyle name="Followed Hyperlink" xfId="1079" builtinId="9" hidden="1"/>
    <cellStyle name="Followed Hyperlink" xfId="1081" builtinId="9" hidden="1"/>
    <cellStyle name="Followed Hyperlink" xfId="1083" builtinId="9" hidden="1"/>
    <cellStyle name="Followed Hyperlink" xfId="1085" builtinId="9" hidden="1"/>
    <cellStyle name="Followed Hyperlink" xfId="1087" builtinId="9" hidden="1"/>
    <cellStyle name="Followed Hyperlink" xfId="1089" builtinId="9" hidden="1"/>
    <cellStyle name="Followed Hyperlink" xfId="1091" builtinId="9" hidden="1"/>
    <cellStyle name="Followed Hyperlink" xfId="1093" builtinId="9" hidden="1"/>
    <cellStyle name="Followed Hyperlink" xfId="1095" builtinId="9" hidden="1"/>
    <cellStyle name="Followed Hyperlink" xfId="1097" builtinId="9" hidden="1"/>
    <cellStyle name="Followed Hyperlink" xfId="1099" builtinId="9" hidden="1"/>
    <cellStyle name="Followed Hyperlink" xfId="1101" builtinId="9" hidden="1"/>
    <cellStyle name="Followed Hyperlink" xfId="1103" builtinId="9" hidden="1"/>
    <cellStyle name="Followed Hyperlink" xfId="1105" builtinId="9" hidden="1"/>
    <cellStyle name="Followed Hyperlink" xfId="1107" builtinId="9" hidden="1"/>
    <cellStyle name="Followed Hyperlink" xfId="1109" builtinId="9" hidden="1"/>
    <cellStyle name="Followed Hyperlink" xfId="1111" builtinId="9" hidden="1"/>
    <cellStyle name="Followed Hyperlink" xfId="1113" builtinId="9" hidden="1"/>
    <cellStyle name="Followed Hyperlink" xfId="1115" builtinId="9" hidden="1"/>
    <cellStyle name="Followed Hyperlink" xfId="1117" builtinId="9" hidden="1"/>
    <cellStyle name="Followed Hyperlink" xfId="1119" builtinId="9" hidden="1"/>
    <cellStyle name="Followed Hyperlink" xfId="1121" builtinId="9" hidden="1"/>
    <cellStyle name="Followed Hyperlink" xfId="1123" builtinId="9" hidden="1"/>
    <cellStyle name="Followed Hyperlink" xfId="1125" builtinId="9" hidden="1"/>
    <cellStyle name="Followed Hyperlink" xfId="1127" builtinId="9" hidden="1"/>
    <cellStyle name="Followed Hyperlink" xfId="1129" builtinId="9" hidden="1"/>
    <cellStyle name="Followed Hyperlink" xfId="1131" builtinId="9" hidden="1"/>
    <cellStyle name="Followed Hyperlink" xfId="1133" builtinId="9" hidden="1"/>
    <cellStyle name="Followed Hyperlink" xfId="1135" builtinId="9" hidden="1"/>
    <cellStyle name="Followed Hyperlink" xfId="1137" builtinId="9" hidden="1"/>
    <cellStyle name="Followed Hyperlink" xfId="1139" builtinId="9" hidden="1"/>
    <cellStyle name="Followed Hyperlink" xfId="1141" builtinId="9" hidden="1"/>
    <cellStyle name="Followed Hyperlink" xfId="1143" builtinId="9" hidden="1"/>
    <cellStyle name="Followed Hyperlink" xfId="1145" builtinId="9" hidden="1"/>
    <cellStyle name="Followed Hyperlink" xfId="1147" builtinId="9" hidden="1"/>
    <cellStyle name="Followed Hyperlink" xfId="1149" builtinId="9" hidden="1"/>
    <cellStyle name="Followed Hyperlink" xfId="1151" builtinId="9" hidden="1"/>
    <cellStyle name="Followed Hyperlink" xfId="1153" builtinId="9" hidden="1"/>
    <cellStyle name="Followed Hyperlink" xfId="1155" builtinId="9" hidden="1"/>
    <cellStyle name="Followed Hyperlink" xfId="1157" builtinId="9" hidden="1"/>
    <cellStyle name="Followed Hyperlink" xfId="1159" builtinId="9" hidden="1"/>
    <cellStyle name="Followed Hyperlink" xfId="1161" builtinId="9" hidden="1"/>
    <cellStyle name="Followed Hyperlink" xfId="1163" builtinId="9" hidden="1"/>
    <cellStyle name="Followed Hyperlink" xfId="1165" builtinId="9" hidden="1"/>
    <cellStyle name="Followed Hyperlink" xfId="1167" builtinId="9" hidden="1"/>
    <cellStyle name="Followed Hyperlink" xfId="1169" builtinId="9" hidden="1"/>
    <cellStyle name="Followed Hyperlink" xfId="1171" builtinId="9" hidden="1"/>
    <cellStyle name="Followed Hyperlink" xfId="1173" builtinId="9" hidden="1"/>
    <cellStyle name="Followed Hyperlink" xfId="1175" builtinId="9" hidden="1"/>
    <cellStyle name="Followed Hyperlink" xfId="1177" builtinId="9" hidden="1"/>
    <cellStyle name="Followed Hyperlink" xfId="1179" builtinId="9" hidden="1"/>
    <cellStyle name="Followed Hyperlink" xfId="1181" builtinId="9" hidden="1"/>
    <cellStyle name="Followed Hyperlink" xfId="1183" builtinId="9" hidden="1"/>
    <cellStyle name="Followed Hyperlink" xfId="1185" builtinId="9" hidden="1"/>
    <cellStyle name="Followed Hyperlink" xfId="1187" builtinId="9" hidden="1"/>
    <cellStyle name="Followed Hyperlink" xfId="1189" builtinId="9" hidden="1"/>
    <cellStyle name="Followed Hyperlink" xfId="1191" builtinId="9" hidden="1"/>
    <cellStyle name="Followed Hyperlink" xfId="1193" builtinId="9" hidden="1"/>
    <cellStyle name="Followed Hyperlink" xfId="1195" builtinId="9" hidden="1"/>
    <cellStyle name="Followed Hyperlink" xfId="1197" builtinId="9" hidden="1"/>
    <cellStyle name="Followed Hyperlink" xfId="1199" builtinId="9" hidden="1"/>
    <cellStyle name="Followed Hyperlink" xfId="1201" builtinId="9" hidden="1"/>
    <cellStyle name="Followed Hyperlink" xfId="1203" builtinId="9" hidden="1"/>
    <cellStyle name="Followed Hyperlink" xfId="1205" builtinId="9" hidden="1"/>
    <cellStyle name="Followed Hyperlink" xfId="1207" builtinId="9" hidden="1"/>
    <cellStyle name="Followed Hyperlink" xfId="1209" builtinId="9" hidden="1"/>
    <cellStyle name="Followed Hyperlink" xfId="1211" builtinId="9" hidden="1"/>
    <cellStyle name="Followed Hyperlink" xfId="1213" builtinId="9" hidden="1"/>
    <cellStyle name="Followed Hyperlink" xfId="1215" builtinId="9" hidden="1"/>
    <cellStyle name="Followed Hyperlink" xfId="1217" builtinId="9" hidden="1"/>
    <cellStyle name="Followed Hyperlink" xfId="1219" builtinId="9" hidden="1"/>
    <cellStyle name="Followed Hyperlink" xfId="1221" builtinId="9" hidden="1"/>
    <cellStyle name="Followed Hyperlink" xfId="1223" builtinId="9" hidden="1"/>
    <cellStyle name="Followed Hyperlink" xfId="1225" builtinId="9" hidden="1"/>
    <cellStyle name="Followed Hyperlink" xfId="1227" builtinId="9" hidden="1"/>
    <cellStyle name="Followed Hyperlink" xfId="1229" builtinId="9" hidden="1"/>
    <cellStyle name="Followed Hyperlink" xfId="1231" builtinId="9" hidden="1"/>
    <cellStyle name="Followed Hyperlink" xfId="1233" builtinId="9" hidden="1"/>
    <cellStyle name="Followed Hyperlink" xfId="1235" builtinId="9" hidden="1"/>
    <cellStyle name="Followed Hyperlink" xfId="1237" builtinId="9" hidden="1"/>
    <cellStyle name="Followed Hyperlink" xfId="1239" builtinId="9" hidden="1"/>
    <cellStyle name="Followed Hyperlink" xfId="1241" builtinId="9" hidden="1"/>
    <cellStyle name="Followed Hyperlink" xfId="1243" builtinId="9" hidden="1"/>
    <cellStyle name="Followed Hyperlink" xfId="1245" builtinId="9" hidden="1"/>
    <cellStyle name="Followed Hyperlink" xfId="1247" builtinId="9" hidden="1"/>
    <cellStyle name="Followed Hyperlink" xfId="1249" builtinId="9" hidden="1"/>
    <cellStyle name="Followed Hyperlink" xfId="1251" builtinId="9" hidden="1"/>
    <cellStyle name="Followed Hyperlink" xfId="1253" builtinId="9" hidden="1"/>
    <cellStyle name="Followed Hyperlink" xfId="1255" builtinId="9" hidden="1"/>
    <cellStyle name="Followed Hyperlink" xfId="1257" builtinId="9" hidden="1"/>
    <cellStyle name="Followed Hyperlink" xfId="1259" builtinId="9" hidden="1"/>
    <cellStyle name="Followed Hyperlink" xfId="1261" builtinId="9" hidden="1"/>
    <cellStyle name="Followed Hyperlink" xfId="1263" builtinId="9" hidden="1"/>
    <cellStyle name="Followed Hyperlink" xfId="1265" builtinId="9" hidden="1"/>
    <cellStyle name="Followed Hyperlink" xfId="1267" builtinId="9" hidden="1"/>
    <cellStyle name="Followed Hyperlink" xfId="1269" builtinId="9" hidden="1"/>
    <cellStyle name="Followed Hyperlink" xfId="1271" builtinId="9" hidden="1"/>
    <cellStyle name="Followed Hyperlink" xfId="1273" builtinId="9" hidden="1"/>
    <cellStyle name="Followed Hyperlink" xfId="1275" builtinId="9" hidden="1"/>
    <cellStyle name="Followed Hyperlink" xfId="1277" builtinId="9" hidden="1"/>
    <cellStyle name="Followed Hyperlink" xfId="1279" builtinId="9" hidden="1"/>
    <cellStyle name="Followed Hyperlink" xfId="1281" builtinId="9" hidden="1"/>
    <cellStyle name="Followed Hyperlink" xfId="1283" builtinId="9" hidden="1"/>
    <cellStyle name="Followed Hyperlink" xfId="1285" builtinId="9" hidden="1"/>
    <cellStyle name="Followed Hyperlink" xfId="1287" builtinId="9" hidden="1"/>
    <cellStyle name="Followed Hyperlink" xfId="1289" builtinId="9" hidden="1"/>
    <cellStyle name="Followed Hyperlink" xfId="1291" builtinId="9" hidden="1"/>
    <cellStyle name="Followed Hyperlink" xfId="1293" builtinId="9" hidden="1"/>
    <cellStyle name="Followed Hyperlink" xfId="1295" builtinId="9" hidden="1"/>
    <cellStyle name="Followed Hyperlink" xfId="1297" builtinId="9" hidden="1"/>
    <cellStyle name="Followed Hyperlink" xfId="1299" builtinId="9" hidden="1"/>
    <cellStyle name="Followed Hyperlink" xfId="1301" builtinId="9" hidden="1"/>
    <cellStyle name="Followed Hyperlink" xfId="1303" builtinId="9" hidden="1"/>
    <cellStyle name="Followed Hyperlink" xfId="1305" builtinId="9" hidden="1"/>
    <cellStyle name="Followed Hyperlink" xfId="1307" builtinId="9" hidden="1"/>
    <cellStyle name="Followed Hyperlink" xfId="1309" builtinId="9" hidden="1"/>
    <cellStyle name="Followed Hyperlink" xfId="1311" builtinId="9" hidden="1"/>
    <cellStyle name="Followed Hyperlink" xfId="1313" builtinId="9" hidden="1"/>
    <cellStyle name="Followed Hyperlink" xfId="1315" builtinId="9" hidden="1"/>
    <cellStyle name="Followed Hyperlink" xfId="1317" builtinId="9" hidden="1"/>
    <cellStyle name="Followed Hyperlink" xfId="1319" builtinId="9" hidden="1"/>
    <cellStyle name="Followed Hyperlink" xfId="1321" builtinId="9" hidden="1"/>
    <cellStyle name="Followed Hyperlink" xfId="1323" builtinId="9" hidden="1"/>
    <cellStyle name="Followed Hyperlink" xfId="1325" builtinId="9" hidden="1"/>
    <cellStyle name="Followed Hyperlink" xfId="1327" builtinId="9" hidden="1"/>
    <cellStyle name="Followed Hyperlink" xfId="1329" builtinId="9" hidden="1"/>
    <cellStyle name="Followed Hyperlink" xfId="1331" builtinId="9" hidden="1"/>
    <cellStyle name="Followed Hyperlink" xfId="1333" builtinId="9" hidden="1"/>
    <cellStyle name="Followed Hyperlink" xfId="1335" builtinId="9" hidden="1"/>
    <cellStyle name="Followed Hyperlink" xfId="1337" builtinId="9" hidden="1"/>
    <cellStyle name="Followed Hyperlink" xfId="1339" builtinId="9" hidden="1"/>
    <cellStyle name="Followed Hyperlink" xfId="1341" builtinId="9" hidden="1"/>
    <cellStyle name="Followed Hyperlink" xfId="1343" builtinId="9" hidden="1"/>
    <cellStyle name="Followed Hyperlink" xfId="1345" builtinId="9" hidden="1"/>
    <cellStyle name="Followed Hyperlink" xfId="1347" builtinId="9" hidden="1"/>
    <cellStyle name="Followed Hyperlink" xfId="1349" builtinId="9" hidden="1"/>
    <cellStyle name="Followed Hyperlink" xfId="1351" builtinId="9" hidden="1"/>
    <cellStyle name="Followed Hyperlink" xfId="1353" builtinId="9" hidden="1"/>
    <cellStyle name="Followed Hyperlink" xfId="1355" builtinId="9" hidden="1"/>
    <cellStyle name="Followed Hyperlink" xfId="1357" builtinId="9" hidden="1"/>
    <cellStyle name="Followed Hyperlink" xfId="1359" builtinId="9" hidden="1"/>
    <cellStyle name="Followed Hyperlink" xfId="1361" builtinId="9" hidden="1"/>
    <cellStyle name="Followed Hyperlink" xfId="1363" builtinId="9" hidden="1"/>
    <cellStyle name="Followed Hyperlink" xfId="1365" builtinId="9" hidden="1"/>
    <cellStyle name="Followed Hyperlink" xfId="1367" builtinId="9" hidden="1"/>
    <cellStyle name="Followed Hyperlink" xfId="1369" builtinId="9" hidden="1"/>
    <cellStyle name="Followed Hyperlink" xfId="1371" builtinId="9" hidden="1"/>
    <cellStyle name="Followed Hyperlink" xfId="1373" builtinId="9" hidden="1"/>
    <cellStyle name="Followed Hyperlink" xfId="1375" builtinId="9" hidden="1"/>
    <cellStyle name="Followed Hyperlink" xfId="1377" builtinId="9" hidden="1"/>
    <cellStyle name="Followed Hyperlink" xfId="1379" builtinId="9" hidden="1"/>
    <cellStyle name="Followed Hyperlink" xfId="1381" builtinId="9" hidden="1"/>
    <cellStyle name="Followed Hyperlink" xfId="1383" builtinId="9" hidden="1"/>
    <cellStyle name="Followed Hyperlink" xfId="1385" builtinId="9" hidden="1"/>
    <cellStyle name="Followed Hyperlink" xfId="1387" builtinId="9" hidden="1"/>
    <cellStyle name="Followed Hyperlink" xfId="1389" builtinId="9" hidden="1"/>
    <cellStyle name="Followed Hyperlink" xfId="1391" builtinId="9" hidden="1"/>
    <cellStyle name="Followed Hyperlink" xfId="1393" builtinId="9" hidden="1"/>
    <cellStyle name="Followed Hyperlink" xfId="1395" builtinId="9" hidden="1"/>
    <cellStyle name="Followed Hyperlink" xfId="1397" builtinId="9" hidden="1"/>
    <cellStyle name="Followed Hyperlink" xfId="1399" builtinId="9" hidden="1"/>
    <cellStyle name="Followed Hyperlink" xfId="1401" builtinId="9" hidden="1"/>
    <cellStyle name="Followed Hyperlink" xfId="1403" builtinId="9" hidden="1"/>
    <cellStyle name="Followed Hyperlink" xfId="1405" builtinId="9" hidden="1"/>
    <cellStyle name="Followed Hyperlink" xfId="1407" builtinId="9" hidden="1"/>
    <cellStyle name="Followed Hyperlink" xfId="1409" builtinId="9" hidden="1"/>
    <cellStyle name="Followed Hyperlink" xfId="1411" builtinId="9" hidden="1"/>
    <cellStyle name="Followed Hyperlink" xfId="1413" builtinId="9" hidden="1"/>
    <cellStyle name="Followed Hyperlink" xfId="1415" builtinId="9" hidden="1"/>
    <cellStyle name="Followed Hyperlink" xfId="1417" builtinId="9" hidden="1"/>
    <cellStyle name="Followed Hyperlink" xfId="1419" builtinId="9" hidden="1"/>
    <cellStyle name="Followed Hyperlink" xfId="1421" builtinId="9" hidden="1"/>
    <cellStyle name="Followed Hyperlink" xfId="1423" builtinId="9" hidden="1"/>
    <cellStyle name="Followed Hyperlink" xfId="1425" builtinId="9" hidden="1"/>
    <cellStyle name="Followed Hyperlink" xfId="1427" builtinId="9" hidden="1"/>
    <cellStyle name="Followed Hyperlink" xfId="1429" builtinId="9" hidden="1"/>
    <cellStyle name="Followed Hyperlink" xfId="1431" builtinId="9" hidden="1"/>
    <cellStyle name="Followed Hyperlink" xfId="1433" builtinId="9" hidden="1"/>
    <cellStyle name="Followed Hyperlink" xfId="1435" builtinId="9" hidden="1"/>
    <cellStyle name="Followed Hyperlink" xfId="1437" builtinId="9" hidden="1"/>
    <cellStyle name="Followed Hyperlink" xfId="1439" builtinId="9" hidden="1"/>
    <cellStyle name="Followed Hyperlink" xfId="1441" builtinId="9" hidden="1"/>
    <cellStyle name="Followed Hyperlink" xfId="1443" builtinId="9" hidden="1"/>
    <cellStyle name="Followed Hyperlink" xfId="1445" builtinId="9" hidden="1"/>
    <cellStyle name="Followed Hyperlink" xfId="1447" builtinId="9" hidden="1"/>
    <cellStyle name="Followed Hyperlink" xfId="1449" builtinId="9" hidden="1"/>
    <cellStyle name="Followed Hyperlink" xfId="1451" builtinId="9" hidden="1"/>
    <cellStyle name="Followed Hyperlink" xfId="1453" builtinId="9" hidden="1"/>
    <cellStyle name="Followed Hyperlink" xfId="1455" builtinId="9" hidden="1"/>
    <cellStyle name="Followed Hyperlink" xfId="1457" builtinId="9" hidden="1"/>
    <cellStyle name="Followed Hyperlink" xfId="1459" builtinId="9" hidden="1"/>
    <cellStyle name="Followed Hyperlink" xfId="1461" builtinId="9" hidden="1"/>
    <cellStyle name="Followed Hyperlink" xfId="1463" builtinId="9" hidden="1"/>
    <cellStyle name="Followed Hyperlink" xfId="1465" builtinId="9" hidden="1"/>
    <cellStyle name="Followed Hyperlink" xfId="1467" builtinId="9" hidden="1"/>
    <cellStyle name="Followed Hyperlink" xfId="1469" builtinId="9" hidden="1"/>
    <cellStyle name="Followed Hyperlink" xfId="1471" builtinId="9" hidden="1"/>
    <cellStyle name="Followed Hyperlink" xfId="1473" builtinId="9" hidden="1"/>
    <cellStyle name="Followed Hyperlink" xfId="1475" builtinId="9" hidden="1"/>
    <cellStyle name="Followed Hyperlink" xfId="1477" builtinId="9" hidden="1"/>
    <cellStyle name="Followed Hyperlink" xfId="1479" builtinId="9" hidden="1"/>
    <cellStyle name="Followed Hyperlink" xfId="1481" builtinId="9" hidden="1"/>
    <cellStyle name="Followed Hyperlink" xfId="1483" builtinId="9" hidden="1"/>
    <cellStyle name="Followed Hyperlink" xfId="1485" builtinId="9" hidden="1"/>
    <cellStyle name="Followed Hyperlink" xfId="1487" builtinId="9" hidden="1"/>
    <cellStyle name="Followed Hyperlink" xfId="1489" builtinId="9" hidden="1"/>
    <cellStyle name="Followed Hyperlink" xfId="1491" builtinId="9" hidden="1"/>
    <cellStyle name="Followed Hyperlink" xfId="1493" builtinId="9" hidden="1"/>
    <cellStyle name="Followed Hyperlink" xfId="1495" builtinId="9" hidden="1"/>
    <cellStyle name="Followed Hyperlink" xfId="1497" builtinId="9" hidden="1"/>
    <cellStyle name="Followed Hyperlink" xfId="1499" builtinId="9" hidden="1"/>
    <cellStyle name="Followed Hyperlink" xfId="1501" builtinId="9" hidden="1"/>
    <cellStyle name="Followed Hyperlink" xfId="1503" builtinId="9" hidden="1"/>
    <cellStyle name="Followed Hyperlink" xfId="1505" builtinId="9" hidden="1"/>
    <cellStyle name="Followed Hyperlink" xfId="1507" builtinId="9" hidden="1"/>
    <cellStyle name="Followed Hyperlink" xfId="1509" builtinId="9" hidden="1"/>
    <cellStyle name="Followed Hyperlink" xfId="1511" builtinId="9" hidden="1"/>
    <cellStyle name="Followed Hyperlink" xfId="1513" builtinId="9" hidden="1"/>
    <cellStyle name="Followed Hyperlink" xfId="1515" builtinId="9" hidden="1"/>
    <cellStyle name="Followed Hyperlink" xfId="1517" builtinId="9" hidden="1"/>
    <cellStyle name="Followed Hyperlink" xfId="1519" builtinId="9" hidden="1"/>
    <cellStyle name="Followed Hyperlink" xfId="1521" builtinId="9" hidden="1"/>
    <cellStyle name="Followed Hyperlink" xfId="1523" builtinId="9" hidden="1"/>
    <cellStyle name="Followed Hyperlink" xfId="1525" builtinId="9" hidden="1"/>
    <cellStyle name="Followed Hyperlink" xfId="1527" builtinId="9" hidden="1"/>
    <cellStyle name="Followed Hyperlink" xfId="1529" builtinId="9" hidden="1"/>
    <cellStyle name="Followed Hyperlink" xfId="1531" builtinId="9" hidden="1"/>
    <cellStyle name="Followed Hyperlink" xfId="1533" builtinId="9" hidden="1"/>
    <cellStyle name="Followed Hyperlink" xfId="1535" builtinId="9" hidden="1"/>
    <cellStyle name="Followed Hyperlink" xfId="1537" builtinId="9" hidden="1"/>
    <cellStyle name="Followed Hyperlink" xfId="1539" builtinId="9" hidden="1"/>
    <cellStyle name="Followed Hyperlink" xfId="1541" builtinId="9" hidden="1"/>
    <cellStyle name="Followed Hyperlink" xfId="1543" builtinId="9" hidden="1"/>
    <cellStyle name="Followed Hyperlink" xfId="1545" builtinId="9" hidden="1"/>
    <cellStyle name="Followed Hyperlink" xfId="1547" builtinId="9" hidden="1"/>
    <cellStyle name="Followed Hyperlink" xfId="1549" builtinId="9" hidden="1"/>
    <cellStyle name="Followed Hyperlink" xfId="1551" builtinId="9" hidden="1"/>
    <cellStyle name="Followed Hyperlink" xfId="1553" builtinId="9" hidden="1"/>
    <cellStyle name="Followed Hyperlink" xfId="1555" builtinId="9" hidden="1"/>
    <cellStyle name="Followed Hyperlink" xfId="1557" builtinId="9" hidden="1"/>
    <cellStyle name="Followed Hyperlink" xfId="1559" builtinId="9" hidden="1"/>
    <cellStyle name="Followed Hyperlink" xfId="1561" builtinId="9" hidden="1"/>
    <cellStyle name="Followed Hyperlink" xfId="1563" builtinId="9" hidden="1"/>
    <cellStyle name="Followed Hyperlink" xfId="1565" builtinId="9" hidden="1"/>
    <cellStyle name="Followed Hyperlink" xfId="1567" builtinId="9" hidden="1"/>
    <cellStyle name="Followed Hyperlink" xfId="1569" builtinId="9" hidden="1"/>
    <cellStyle name="Followed Hyperlink" xfId="1571" builtinId="9" hidden="1"/>
    <cellStyle name="Followed Hyperlink" xfId="1573" builtinId="9" hidden="1"/>
    <cellStyle name="Followed Hyperlink" xfId="1575" builtinId="9" hidden="1"/>
    <cellStyle name="Followed Hyperlink" xfId="1577" builtinId="9" hidden="1"/>
    <cellStyle name="Followed Hyperlink" xfId="1579" builtinId="9" hidden="1"/>
    <cellStyle name="Followed Hyperlink" xfId="1581" builtinId="9" hidden="1"/>
    <cellStyle name="Followed Hyperlink" xfId="1583" builtinId="9" hidden="1"/>
    <cellStyle name="Followed Hyperlink" xfId="1585" builtinId="9" hidden="1"/>
    <cellStyle name="Followed Hyperlink" xfId="1587" builtinId="9" hidden="1"/>
    <cellStyle name="Followed Hyperlink" xfId="1589" builtinId="9" hidden="1"/>
    <cellStyle name="Followed Hyperlink" xfId="1591" builtinId="9" hidden="1"/>
    <cellStyle name="Followed Hyperlink" xfId="1593" builtinId="9" hidden="1"/>
    <cellStyle name="Followed Hyperlink" xfId="1595" builtinId="9" hidden="1"/>
    <cellStyle name="Followed Hyperlink" xfId="1597" builtinId="9" hidden="1"/>
    <cellStyle name="Followed Hyperlink" xfId="1599" builtinId="9" hidden="1"/>
    <cellStyle name="Followed Hyperlink" xfId="1601" builtinId="9" hidden="1"/>
    <cellStyle name="Followed Hyperlink" xfId="1603" builtinId="9" hidden="1"/>
    <cellStyle name="Followed Hyperlink" xfId="1605" builtinId="9" hidden="1"/>
    <cellStyle name="Followed Hyperlink" xfId="1607" builtinId="9" hidden="1"/>
    <cellStyle name="Followed Hyperlink" xfId="1609" builtinId="9" hidden="1"/>
    <cellStyle name="Followed Hyperlink" xfId="1611" builtinId="9" hidden="1"/>
    <cellStyle name="Followed Hyperlink" xfId="1613" builtinId="9" hidden="1"/>
    <cellStyle name="Followed Hyperlink" xfId="1615" builtinId="9" hidden="1"/>
    <cellStyle name="Followed Hyperlink" xfId="1617" builtinId="9" hidden="1"/>
    <cellStyle name="Followed Hyperlink" xfId="1619" builtinId="9" hidden="1"/>
    <cellStyle name="Followed Hyperlink" xfId="1621" builtinId="9" hidden="1"/>
    <cellStyle name="Followed Hyperlink" xfId="1623" builtinId="9" hidden="1"/>
    <cellStyle name="Followed Hyperlink" xfId="1625" builtinId="9" hidden="1"/>
    <cellStyle name="Followed Hyperlink" xfId="1627" builtinId="9" hidden="1"/>
    <cellStyle name="Followed Hyperlink" xfId="1629" builtinId="9" hidden="1"/>
    <cellStyle name="Followed Hyperlink" xfId="1631" builtinId="9" hidden="1"/>
    <cellStyle name="Followed Hyperlink" xfId="1633" builtinId="9" hidden="1"/>
    <cellStyle name="Followed Hyperlink" xfId="1635" builtinId="9" hidden="1"/>
    <cellStyle name="Followed Hyperlink" xfId="1637" builtinId="9" hidden="1"/>
    <cellStyle name="Followed Hyperlink" xfId="1639" builtinId="9" hidden="1"/>
    <cellStyle name="Followed Hyperlink" xfId="1641" builtinId="9" hidden="1"/>
    <cellStyle name="Followed Hyperlink" xfId="1643" builtinId="9" hidden="1"/>
    <cellStyle name="Followed Hyperlink" xfId="1645" builtinId="9" hidden="1"/>
    <cellStyle name="Followed Hyperlink" xfId="1647" builtinId="9" hidden="1"/>
    <cellStyle name="Followed Hyperlink" xfId="1649" builtinId="9" hidden="1"/>
    <cellStyle name="Followed Hyperlink" xfId="1651" builtinId="9" hidden="1"/>
    <cellStyle name="Followed Hyperlink" xfId="1653" builtinId="9" hidden="1"/>
    <cellStyle name="Followed Hyperlink" xfId="1655" builtinId="9" hidden="1"/>
    <cellStyle name="Followed Hyperlink" xfId="1657" builtinId="9" hidden="1"/>
    <cellStyle name="Followed Hyperlink" xfId="1659" builtinId="9" hidden="1"/>
    <cellStyle name="Followed Hyperlink" xfId="1661" builtinId="9" hidden="1"/>
    <cellStyle name="Followed Hyperlink" xfId="1663" builtinId="9" hidden="1"/>
    <cellStyle name="Followed Hyperlink" xfId="1665" builtinId="9" hidden="1"/>
    <cellStyle name="Followed Hyperlink" xfId="1667" builtinId="9" hidden="1"/>
    <cellStyle name="Followed Hyperlink" xfId="1669" builtinId="9" hidden="1"/>
    <cellStyle name="Followed Hyperlink" xfId="1671" builtinId="9" hidden="1"/>
    <cellStyle name="Followed Hyperlink" xfId="1673" builtinId="9" hidden="1"/>
    <cellStyle name="Followed Hyperlink" xfId="1675" builtinId="9" hidden="1"/>
    <cellStyle name="Followed Hyperlink" xfId="1677" builtinId="9" hidden="1"/>
    <cellStyle name="Followed Hyperlink" xfId="1679" builtinId="9" hidden="1"/>
    <cellStyle name="Followed Hyperlink" xfId="1681" builtinId="9" hidden="1"/>
    <cellStyle name="Followed Hyperlink" xfId="1683" builtinId="9" hidden="1"/>
    <cellStyle name="Followed Hyperlink" xfId="1685" builtinId="9" hidden="1"/>
    <cellStyle name="Followed Hyperlink" xfId="1687" builtinId="9" hidden="1"/>
    <cellStyle name="Followed Hyperlink" xfId="1689" builtinId="9" hidden="1"/>
    <cellStyle name="Followed Hyperlink" xfId="1691" builtinId="9" hidden="1"/>
    <cellStyle name="Followed Hyperlink" xfId="1693" builtinId="9" hidden="1"/>
    <cellStyle name="Followed Hyperlink" xfId="1695" builtinId="9" hidden="1"/>
    <cellStyle name="Followed Hyperlink" xfId="1697" builtinId="9" hidden="1"/>
    <cellStyle name="Followed Hyperlink" xfId="1699" builtinId="9" hidden="1"/>
    <cellStyle name="Followed Hyperlink" xfId="1701" builtinId="9" hidden="1"/>
    <cellStyle name="Followed Hyperlink" xfId="1703" builtinId="9" hidden="1"/>
    <cellStyle name="Followed Hyperlink" xfId="1705" builtinId="9" hidden="1"/>
    <cellStyle name="Followed Hyperlink" xfId="1707" builtinId="9" hidden="1"/>
    <cellStyle name="Followed Hyperlink" xfId="1709" builtinId="9" hidden="1"/>
    <cellStyle name="Followed Hyperlink" xfId="1711" builtinId="9" hidden="1"/>
    <cellStyle name="Followed Hyperlink" xfId="1713" builtinId="9" hidden="1"/>
    <cellStyle name="Followed Hyperlink" xfId="1715" builtinId="9" hidden="1"/>
    <cellStyle name="Followed Hyperlink" xfId="1717" builtinId="9" hidden="1"/>
    <cellStyle name="Followed Hyperlink" xfId="1719" builtinId="9" hidden="1"/>
    <cellStyle name="Followed Hyperlink" xfId="1721" builtinId="9" hidden="1"/>
    <cellStyle name="Followed Hyperlink" xfId="1723" builtinId="9" hidden="1"/>
    <cellStyle name="Followed Hyperlink" xfId="1725" builtinId="9" hidden="1"/>
    <cellStyle name="Followed Hyperlink" xfId="1727" builtinId="9" hidden="1"/>
    <cellStyle name="Followed Hyperlink" xfId="1729" builtinId="9" hidden="1"/>
    <cellStyle name="Followed Hyperlink" xfId="1731" builtinId="9" hidden="1"/>
    <cellStyle name="Followed Hyperlink" xfId="1733" builtinId="9" hidden="1"/>
    <cellStyle name="Followed Hyperlink" xfId="1735" builtinId="9" hidden="1"/>
    <cellStyle name="Followed Hyperlink" xfId="1737" builtinId="9" hidden="1"/>
    <cellStyle name="Followed Hyperlink" xfId="1739" builtinId="9" hidden="1"/>
    <cellStyle name="Followed Hyperlink" xfId="1741" builtinId="9" hidden="1"/>
    <cellStyle name="Followed Hyperlink" xfId="1743" builtinId="9" hidden="1"/>
    <cellStyle name="Followed Hyperlink" xfId="1745" builtinId="9" hidden="1"/>
    <cellStyle name="Followed Hyperlink" xfId="1747" builtinId="9" hidden="1"/>
    <cellStyle name="Followed Hyperlink" xfId="1749" builtinId="9" hidden="1"/>
    <cellStyle name="Followed Hyperlink" xfId="1751" builtinId="9" hidden="1"/>
    <cellStyle name="Followed Hyperlink" xfId="1753" builtinId="9" hidden="1"/>
    <cellStyle name="Followed Hyperlink" xfId="1755" builtinId="9" hidden="1"/>
    <cellStyle name="Followed Hyperlink" xfId="1757" builtinId="9" hidden="1"/>
    <cellStyle name="Followed Hyperlink" xfId="1759" builtinId="9" hidden="1"/>
    <cellStyle name="Followed Hyperlink" xfId="1761" builtinId="9" hidden="1"/>
    <cellStyle name="Followed Hyperlink" xfId="1763" builtinId="9" hidden="1"/>
    <cellStyle name="Followed Hyperlink" xfId="1765" builtinId="9" hidden="1"/>
    <cellStyle name="Followed Hyperlink" xfId="1767" builtinId="9" hidden="1"/>
    <cellStyle name="Followed Hyperlink" xfId="1769" builtinId="9" hidden="1"/>
    <cellStyle name="Followed Hyperlink" xfId="1771" builtinId="9" hidden="1"/>
    <cellStyle name="Followed Hyperlink" xfId="1773" builtinId="9" hidden="1"/>
    <cellStyle name="Followed Hyperlink" xfId="1775" builtinId="9" hidden="1"/>
    <cellStyle name="Followed Hyperlink" xfId="1777" builtinId="9" hidden="1"/>
    <cellStyle name="Followed Hyperlink" xfId="1779" builtinId="9" hidden="1"/>
    <cellStyle name="Followed Hyperlink" xfId="1781" builtinId="9" hidden="1"/>
    <cellStyle name="Followed Hyperlink" xfId="1783" builtinId="9" hidden="1"/>
    <cellStyle name="Followed Hyperlink" xfId="1785" builtinId="9" hidden="1"/>
    <cellStyle name="Followed Hyperlink" xfId="1787" builtinId="9" hidden="1"/>
    <cellStyle name="Followed Hyperlink" xfId="1789" builtinId="9" hidden="1"/>
    <cellStyle name="Followed Hyperlink" xfId="1791" builtinId="9" hidden="1"/>
    <cellStyle name="Followed Hyperlink" xfId="1793" builtinId="9" hidden="1"/>
    <cellStyle name="Followed Hyperlink" xfId="1795" builtinId="9" hidden="1"/>
    <cellStyle name="Followed Hyperlink" xfId="1797" builtinId="9" hidden="1"/>
    <cellStyle name="Followed Hyperlink" xfId="1799" builtinId="9" hidden="1"/>
    <cellStyle name="Followed Hyperlink" xfId="1801" builtinId="9" hidden="1"/>
    <cellStyle name="Followed Hyperlink" xfId="1803" builtinId="9" hidden="1"/>
    <cellStyle name="Followed Hyperlink" xfId="1805" builtinId="9" hidden="1"/>
    <cellStyle name="Followed Hyperlink" xfId="1807" builtinId="9" hidden="1"/>
    <cellStyle name="Followed Hyperlink" xfId="1809" builtinId="9" hidden="1"/>
    <cellStyle name="Followed Hyperlink" xfId="1811" builtinId="9" hidden="1"/>
    <cellStyle name="Followed Hyperlink" xfId="1813" builtinId="9" hidden="1"/>
    <cellStyle name="Followed Hyperlink" xfId="1815" builtinId="9" hidden="1"/>
    <cellStyle name="Followed Hyperlink" xfId="1817" builtinId="9" hidden="1"/>
    <cellStyle name="Followed Hyperlink" xfId="1819" builtinId="9" hidden="1"/>
    <cellStyle name="Followed Hyperlink" xfId="1821" builtinId="9" hidden="1"/>
    <cellStyle name="Followed Hyperlink" xfId="1823" builtinId="9" hidden="1"/>
    <cellStyle name="Followed Hyperlink" xfId="1825" builtinId="9" hidden="1"/>
    <cellStyle name="Followed Hyperlink" xfId="1827" builtinId="9" hidden="1"/>
    <cellStyle name="Followed Hyperlink" xfId="1829" builtinId="9" hidden="1"/>
    <cellStyle name="Followed Hyperlink" xfId="1831" builtinId="9" hidden="1"/>
    <cellStyle name="Followed Hyperlink" xfId="1833" builtinId="9" hidden="1"/>
    <cellStyle name="Followed Hyperlink" xfId="1835" builtinId="9" hidden="1"/>
    <cellStyle name="Followed Hyperlink" xfId="1837" builtinId="9" hidden="1"/>
    <cellStyle name="Followed Hyperlink" xfId="1839" builtinId="9" hidden="1"/>
    <cellStyle name="Followed Hyperlink" xfId="1841" builtinId="9" hidden="1"/>
    <cellStyle name="Followed Hyperlink" xfId="1843" builtinId="9" hidden="1"/>
    <cellStyle name="Followed Hyperlink" xfId="1845" builtinId="9" hidden="1"/>
    <cellStyle name="Followed Hyperlink" xfId="1847" builtinId="9" hidden="1"/>
    <cellStyle name="Followed Hyperlink" xfId="1849" builtinId="9" hidden="1"/>
    <cellStyle name="Followed Hyperlink" xfId="1851" builtinId="9" hidden="1"/>
    <cellStyle name="Followed Hyperlink" xfId="1853" builtinId="9" hidden="1"/>
    <cellStyle name="Followed Hyperlink" xfId="1855" builtinId="9" hidden="1"/>
    <cellStyle name="Followed Hyperlink" xfId="1857" builtinId="9" hidden="1"/>
    <cellStyle name="Followed Hyperlink" xfId="1859" builtinId="9" hidden="1"/>
    <cellStyle name="Followed Hyperlink" xfId="1861" builtinId="9" hidden="1"/>
    <cellStyle name="Followed Hyperlink" xfId="1863" builtinId="9" hidden="1"/>
    <cellStyle name="Followed Hyperlink" xfId="1865" builtinId="9" hidden="1"/>
    <cellStyle name="Followed Hyperlink" xfId="1867" builtinId="9" hidden="1"/>
    <cellStyle name="Followed Hyperlink" xfId="1869" builtinId="9" hidden="1"/>
    <cellStyle name="Followed Hyperlink" xfId="1871" builtinId="9" hidden="1"/>
    <cellStyle name="Followed Hyperlink" xfId="1873" builtinId="9" hidden="1"/>
    <cellStyle name="Followed Hyperlink" xfId="1875" builtinId="9" hidden="1"/>
    <cellStyle name="Followed Hyperlink" xfId="1877" builtinId="9" hidden="1"/>
    <cellStyle name="Followed Hyperlink" xfId="1879" builtinId="9" hidden="1"/>
    <cellStyle name="Followed Hyperlink" xfId="1881" builtinId="9" hidden="1"/>
    <cellStyle name="Followed Hyperlink" xfId="1883" builtinId="9" hidden="1"/>
    <cellStyle name="Followed Hyperlink" xfId="1885" builtinId="9" hidden="1"/>
    <cellStyle name="Followed Hyperlink" xfId="1887" builtinId="9" hidden="1"/>
    <cellStyle name="Followed Hyperlink" xfId="1889" builtinId="9" hidden="1"/>
    <cellStyle name="Followed Hyperlink" xfId="1891" builtinId="9" hidden="1"/>
    <cellStyle name="Followed Hyperlink" xfId="1893" builtinId="9" hidden="1"/>
    <cellStyle name="Followed Hyperlink" xfId="1895" builtinId="9" hidden="1"/>
    <cellStyle name="Followed Hyperlink" xfId="1897" builtinId="9" hidden="1"/>
    <cellStyle name="Followed Hyperlink" xfId="1899" builtinId="9" hidden="1"/>
    <cellStyle name="Followed Hyperlink" xfId="1901" builtinId="9" hidden="1"/>
    <cellStyle name="Followed Hyperlink" xfId="1903" builtinId="9" hidden="1"/>
    <cellStyle name="Followed Hyperlink" xfId="1905" builtinId="9" hidden="1"/>
    <cellStyle name="Followed Hyperlink" xfId="1907" builtinId="9" hidden="1"/>
    <cellStyle name="Followed Hyperlink" xfId="1909" builtinId="9" hidden="1"/>
    <cellStyle name="Followed Hyperlink" xfId="1911" builtinId="9" hidden="1"/>
    <cellStyle name="Followed Hyperlink" xfId="1913" builtinId="9" hidden="1"/>
    <cellStyle name="Followed Hyperlink" xfId="1915" builtinId="9" hidden="1"/>
    <cellStyle name="Followed Hyperlink" xfId="1917" builtinId="9" hidden="1"/>
    <cellStyle name="Followed Hyperlink" xfId="1919" builtinId="9" hidden="1"/>
    <cellStyle name="Followed Hyperlink" xfId="1921" builtinId="9" hidden="1"/>
    <cellStyle name="Followed Hyperlink" xfId="1923" builtinId="9" hidden="1"/>
    <cellStyle name="Followed Hyperlink" xfId="1925" builtinId="9" hidden="1"/>
    <cellStyle name="Followed Hyperlink" xfId="1927" builtinId="9" hidden="1"/>
    <cellStyle name="Followed Hyperlink" xfId="1929" builtinId="9" hidden="1"/>
    <cellStyle name="Followed Hyperlink" xfId="1931" builtinId="9" hidden="1"/>
    <cellStyle name="Followed Hyperlink" xfId="1933" builtinId="9" hidden="1"/>
    <cellStyle name="Followed Hyperlink" xfId="1935" builtinId="9" hidden="1"/>
    <cellStyle name="Followed Hyperlink" xfId="1937" builtinId="9" hidden="1"/>
    <cellStyle name="Followed Hyperlink" xfId="1939" builtinId="9" hidden="1"/>
    <cellStyle name="Followed Hyperlink" xfId="1941" builtinId="9" hidden="1"/>
    <cellStyle name="Followed Hyperlink" xfId="1943" builtinId="9" hidden="1"/>
    <cellStyle name="Followed Hyperlink" xfId="1945" builtinId="9" hidden="1"/>
    <cellStyle name="Followed Hyperlink" xfId="1947" builtinId="9" hidden="1"/>
    <cellStyle name="Followed Hyperlink" xfId="1949" builtinId="9" hidden="1"/>
    <cellStyle name="Followed Hyperlink" xfId="1951" builtinId="9" hidden="1"/>
    <cellStyle name="Followed Hyperlink" xfId="1953" builtinId="9" hidden="1"/>
    <cellStyle name="Followed Hyperlink" xfId="1955" builtinId="9" hidden="1"/>
    <cellStyle name="Followed Hyperlink" xfId="1957" builtinId="9" hidden="1"/>
    <cellStyle name="Followed Hyperlink" xfId="1959" builtinId="9" hidden="1"/>
    <cellStyle name="Followed Hyperlink" xfId="1961" builtinId="9" hidden="1"/>
    <cellStyle name="Followed Hyperlink" xfId="1963" builtinId="9" hidden="1"/>
    <cellStyle name="Followed Hyperlink" xfId="1965" builtinId="9" hidden="1"/>
    <cellStyle name="Followed Hyperlink" xfId="1967" builtinId="9" hidden="1"/>
    <cellStyle name="Followed Hyperlink" xfId="1969" builtinId="9" hidden="1"/>
    <cellStyle name="Followed Hyperlink" xfId="1971" builtinId="9" hidden="1"/>
    <cellStyle name="Followed Hyperlink" xfId="1973" builtinId="9" hidden="1"/>
    <cellStyle name="Followed Hyperlink" xfId="1975" builtinId="9" hidden="1"/>
    <cellStyle name="Followed Hyperlink" xfId="1977" builtinId="9" hidden="1"/>
    <cellStyle name="Followed Hyperlink" xfId="1979" builtinId="9" hidden="1"/>
    <cellStyle name="Followed Hyperlink" xfId="1981" builtinId="9" hidden="1"/>
    <cellStyle name="Followed Hyperlink" xfId="1983" builtinId="9" hidden="1"/>
    <cellStyle name="Followed Hyperlink" xfId="1985" builtinId="9" hidden="1"/>
    <cellStyle name="Followed Hyperlink" xfId="1987" builtinId="9" hidden="1"/>
    <cellStyle name="Followed Hyperlink" xfId="1989" builtinId="9" hidden="1"/>
    <cellStyle name="Followed Hyperlink" xfId="1991" builtinId="9" hidden="1"/>
    <cellStyle name="Followed Hyperlink" xfId="1993" builtinId="9" hidden="1"/>
    <cellStyle name="Followed Hyperlink" xfId="1995" builtinId="9" hidden="1"/>
    <cellStyle name="Followed Hyperlink" xfId="1997" builtinId="9" hidden="1"/>
    <cellStyle name="Followed Hyperlink" xfId="1999" builtinId="9" hidden="1"/>
    <cellStyle name="Followed Hyperlink" xfId="2001" builtinId="9" hidden="1"/>
    <cellStyle name="Followed Hyperlink" xfId="2003" builtinId="9" hidden="1"/>
    <cellStyle name="Followed Hyperlink" xfId="2005" builtinId="9" hidden="1"/>
    <cellStyle name="Followed Hyperlink" xfId="2007" builtinId="9" hidden="1"/>
    <cellStyle name="Followed Hyperlink" xfId="2009" builtinId="9" hidden="1"/>
    <cellStyle name="Followed Hyperlink" xfId="2011" builtinId="9" hidden="1"/>
    <cellStyle name="Followed Hyperlink" xfId="2013" builtinId="9" hidden="1"/>
    <cellStyle name="Followed Hyperlink" xfId="2015" builtinId="9" hidden="1"/>
    <cellStyle name="Followed Hyperlink" xfId="2017" builtinId="9" hidden="1"/>
    <cellStyle name="Followed Hyperlink" xfId="2019" builtinId="9" hidden="1"/>
    <cellStyle name="Followed Hyperlink" xfId="2021" builtinId="9" hidden="1"/>
    <cellStyle name="Followed Hyperlink" xfId="2023" builtinId="9" hidden="1"/>
    <cellStyle name="Followed Hyperlink" xfId="2025" builtinId="9" hidden="1"/>
    <cellStyle name="Followed Hyperlink" xfId="2027" builtinId="9" hidden="1"/>
    <cellStyle name="Followed Hyperlink" xfId="2029" builtinId="9" hidden="1"/>
    <cellStyle name="Followed Hyperlink" xfId="2031" builtinId="9" hidden="1"/>
    <cellStyle name="Followed Hyperlink" xfId="2033" builtinId="9" hidden="1"/>
    <cellStyle name="Followed Hyperlink" xfId="2035" builtinId="9" hidden="1"/>
    <cellStyle name="Followed Hyperlink" xfId="2037" builtinId="9" hidden="1"/>
    <cellStyle name="Followed Hyperlink" xfId="2039" builtinId="9" hidden="1"/>
    <cellStyle name="Followed Hyperlink" xfId="2041" builtinId="9" hidden="1"/>
    <cellStyle name="Followed Hyperlink" xfId="2043" builtinId="9" hidden="1"/>
    <cellStyle name="Followed Hyperlink" xfId="2045" builtinId="9" hidden="1"/>
    <cellStyle name="Followed Hyperlink" xfId="2047" builtinId="9" hidden="1"/>
    <cellStyle name="Followed Hyperlink" xfId="2049" builtinId="9" hidden="1"/>
    <cellStyle name="Followed Hyperlink" xfId="2051" builtinId="9" hidden="1"/>
    <cellStyle name="Followed Hyperlink" xfId="2053" builtinId="9" hidden="1"/>
    <cellStyle name="Followed Hyperlink" xfId="2055" builtinId="9" hidden="1"/>
    <cellStyle name="Followed Hyperlink" xfId="2057" builtinId="9" hidden="1"/>
    <cellStyle name="Followed Hyperlink" xfId="2059" builtinId="9" hidden="1"/>
    <cellStyle name="Followed Hyperlink" xfId="2061" builtinId="9" hidden="1"/>
    <cellStyle name="Followed Hyperlink" xfId="2063" builtinId="9" hidden="1"/>
    <cellStyle name="Followed Hyperlink" xfId="2065" builtinId="9" hidden="1"/>
    <cellStyle name="Followed Hyperlink" xfId="2067" builtinId="9" hidden="1"/>
    <cellStyle name="Followed Hyperlink" xfId="2069" builtinId="9" hidden="1"/>
    <cellStyle name="Followed Hyperlink" xfId="2071" builtinId="9" hidden="1"/>
    <cellStyle name="Followed Hyperlink" xfId="2073" builtinId="9" hidden="1"/>
    <cellStyle name="Followed Hyperlink" xfId="2075" builtinId="9" hidden="1"/>
    <cellStyle name="Followed Hyperlink" xfId="2077" builtinId="9" hidden="1"/>
    <cellStyle name="Followed Hyperlink" xfId="2079" builtinId="9" hidden="1"/>
    <cellStyle name="Followed Hyperlink" xfId="2081" builtinId="9" hidden="1"/>
    <cellStyle name="Followed Hyperlink" xfId="2083" builtinId="9" hidden="1"/>
    <cellStyle name="Followed Hyperlink" xfId="2085" builtinId="9" hidden="1"/>
    <cellStyle name="Followed Hyperlink" xfId="2087" builtinId="9" hidden="1"/>
    <cellStyle name="Followed Hyperlink" xfId="2089" builtinId="9" hidden="1"/>
    <cellStyle name="Followed Hyperlink" xfId="2091" builtinId="9" hidden="1"/>
    <cellStyle name="Followed Hyperlink" xfId="2093" builtinId="9" hidden="1"/>
    <cellStyle name="Followed Hyperlink" xfId="2095" builtinId="9" hidden="1"/>
    <cellStyle name="Followed Hyperlink" xfId="2097" builtinId="9" hidden="1"/>
    <cellStyle name="Followed Hyperlink" xfId="2099" builtinId="9" hidden="1"/>
    <cellStyle name="Followed Hyperlink" xfId="2101" builtinId="9" hidden="1"/>
    <cellStyle name="Followed Hyperlink" xfId="2103" builtinId="9" hidden="1"/>
    <cellStyle name="Followed Hyperlink" xfId="2105" builtinId="9" hidden="1"/>
    <cellStyle name="Followed Hyperlink" xfId="2107" builtinId="9" hidden="1"/>
    <cellStyle name="Followed Hyperlink" xfId="2109" builtinId="9" hidden="1"/>
    <cellStyle name="Followed Hyperlink" xfId="2111" builtinId="9" hidden="1"/>
    <cellStyle name="Followed Hyperlink" xfId="2113" builtinId="9" hidden="1"/>
    <cellStyle name="Followed Hyperlink" xfId="2115" builtinId="9" hidden="1"/>
    <cellStyle name="Followed Hyperlink" xfId="2117" builtinId="9" hidden="1"/>
    <cellStyle name="Followed Hyperlink" xfId="2119" builtinId="9" hidden="1"/>
    <cellStyle name="Followed Hyperlink" xfId="2121" builtinId="9" hidden="1"/>
    <cellStyle name="Followed Hyperlink" xfId="2123" builtinId="9" hidden="1"/>
    <cellStyle name="Followed Hyperlink" xfId="2125" builtinId="9" hidden="1"/>
    <cellStyle name="Followed Hyperlink" xfId="2127" builtinId="9" hidden="1"/>
    <cellStyle name="Followed Hyperlink" xfId="2129" builtinId="9" hidden="1"/>
    <cellStyle name="Followed Hyperlink" xfId="2131" builtinId="9" hidden="1"/>
    <cellStyle name="Followed Hyperlink" xfId="2133" builtinId="9" hidden="1"/>
    <cellStyle name="Followed Hyperlink" xfId="2135" builtinId="9" hidden="1"/>
    <cellStyle name="Followed Hyperlink" xfId="2137" builtinId="9" hidden="1"/>
    <cellStyle name="Followed Hyperlink" xfId="2139" builtinId="9" hidden="1"/>
    <cellStyle name="Followed Hyperlink" xfId="2141" builtinId="9" hidden="1"/>
    <cellStyle name="Followed Hyperlink" xfId="2143" builtinId="9" hidden="1"/>
    <cellStyle name="Followed Hyperlink" xfId="2145" builtinId="9" hidden="1"/>
    <cellStyle name="Followed Hyperlink" xfId="2147" builtinId="9" hidden="1"/>
    <cellStyle name="Followed Hyperlink" xfId="2149" builtinId="9" hidden="1"/>
    <cellStyle name="Followed Hyperlink" xfId="2151" builtinId="9" hidden="1"/>
    <cellStyle name="Followed Hyperlink" xfId="2153" builtinId="9" hidden="1"/>
    <cellStyle name="Followed Hyperlink" xfId="2155" builtinId="9" hidden="1"/>
    <cellStyle name="Followed Hyperlink" xfId="2157" builtinId="9" hidden="1"/>
    <cellStyle name="Followed Hyperlink" xfId="2159" builtinId="9" hidden="1"/>
    <cellStyle name="Followed Hyperlink" xfId="2161" builtinId="9" hidden="1"/>
    <cellStyle name="Followed Hyperlink" xfId="2163" builtinId="9" hidden="1"/>
    <cellStyle name="Followed Hyperlink" xfId="2165" builtinId="9" hidden="1"/>
    <cellStyle name="Followed Hyperlink" xfId="2167" builtinId="9" hidden="1"/>
    <cellStyle name="Followed Hyperlink" xfId="2169" builtinId="9" hidden="1"/>
    <cellStyle name="Followed Hyperlink" xfId="2171" builtinId="9" hidden="1"/>
    <cellStyle name="Followed Hyperlink" xfId="2173" builtinId="9" hidden="1"/>
    <cellStyle name="Followed Hyperlink" xfId="2175" builtinId="9" hidden="1"/>
    <cellStyle name="Followed Hyperlink" xfId="2177" builtinId="9" hidden="1"/>
    <cellStyle name="Followed Hyperlink" xfId="2179" builtinId="9" hidden="1"/>
    <cellStyle name="Followed Hyperlink" xfId="2181" builtinId="9" hidden="1"/>
    <cellStyle name="Followed Hyperlink" xfId="2183" builtinId="9" hidden="1"/>
    <cellStyle name="Followed Hyperlink" xfId="2185" builtinId="9" hidden="1"/>
    <cellStyle name="Followed Hyperlink" xfId="2187" builtinId="9" hidden="1"/>
    <cellStyle name="Followed Hyperlink" xfId="2189" builtinId="9" hidden="1"/>
    <cellStyle name="Followed Hyperlink" xfId="2191" builtinId="9" hidden="1"/>
    <cellStyle name="Followed Hyperlink" xfId="2193" builtinId="9" hidden="1"/>
    <cellStyle name="Followed Hyperlink" xfId="2195" builtinId="9" hidden="1"/>
    <cellStyle name="Followed Hyperlink" xfId="2197" builtinId="9" hidden="1"/>
    <cellStyle name="Followed Hyperlink" xfId="2199" builtinId="9" hidden="1"/>
    <cellStyle name="Followed Hyperlink" xfId="2201" builtinId="9" hidden="1"/>
    <cellStyle name="Followed Hyperlink" xfId="2203" builtinId="9" hidden="1"/>
    <cellStyle name="Followed Hyperlink" xfId="2205" builtinId="9" hidden="1"/>
    <cellStyle name="Followed Hyperlink" xfId="2208" builtinId="9" hidden="1"/>
    <cellStyle name="Followed Hyperlink" xfId="2210" builtinId="9" hidden="1"/>
    <cellStyle name="Followed Hyperlink" xfId="2212" builtinId="9" hidden="1"/>
    <cellStyle name="Followed Hyperlink" xfId="2214" builtinId="9" hidden="1"/>
    <cellStyle name="Followed Hyperlink" xfId="2216" builtinId="9" hidden="1"/>
    <cellStyle name="Followed Hyperlink" xfId="2218" builtinId="9" hidden="1"/>
    <cellStyle name="Followed Hyperlink" xfId="2220" builtinId="9" hidden="1"/>
    <cellStyle name="Followed Hyperlink" xfId="2222" builtinId="9" hidden="1"/>
    <cellStyle name="Followed Hyperlink" xfId="2224" builtinId="9" hidden="1"/>
    <cellStyle name="Followed Hyperlink" xfId="2226" builtinId="9" hidden="1"/>
    <cellStyle name="Followed Hyperlink" xfId="2228" builtinId="9" hidden="1"/>
    <cellStyle name="Followed Hyperlink" xfId="2230" builtinId="9" hidden="1"/>
    <cellStyle name="Followed Hyperlink" xfId="2232" builtinId="9" hidden="1"/>
    <cellStyle name="Followed Hyperlink" xfId="2234" builtinId="9" hidden="1"/>
    <cellStyle name="Followed Hyperlink" xfId="2236" builtinId="9" hidden="1"/>
    <cellStyle name="Followed Hyperlink" xfId="2238" builtinId="9" hidden="1"/>
    <cellStyle name="Followed Hyperlink" xfId="2240" builtinId="9" hidden="1"/>
    <cellStyle name="Followed Hyperlink" xfId="2242" builtinId="9" hidden="1"/>
    <cellStyle name="Followed Hyperlink" xfId="2244" builtinId="9" hidden="1"/>
    <cellStyle name="Followed Hyperlink" xfId="2246" builtinId="9" hidden="1"/>
    <cellStyle name="Followed Hyperlink" xfId="2248" builtinId="9" hidden="1"/>
    <cellStyle name="Followed Hyperlink" xfId="2250" builtinId="9" hidden="1"/>
    <cellStyle name="Followed Hyperlink" xfId="2252" builtinId="9" hidden="1"/>
    <cellStyle name="Followed Hyperlink" xfId="2254" builtinId="9" hidden="1"/>
    <cellStyle name="Followed Hyperlink" xfId="2256" builtinId="9" hidden="1"/>
    <cellStyle name="Followed Hyperlink" xfId="2258" builtinId="9" hidden="1"/>
    <cellStyle name="Followed Hyperlink" xfId="2259" builtinId="9" hidden="1"/>
    <cellStyle name="Followed Hyperlink" xfId="2260" builtinId="9" hidden="1"/>
    <cellStyle name="Followed Hyperlink" xfId="2261" builtinId="9" hidden="1"/>
    <cellStyle name="Followed Hyperlink" xfId="2262" builtinId="9" hidden="1"/>
    <cellStyle name="Followed Hyperlink" xfId="2263" builtinId="9" hidden="1"/>
    <cellStyle name="Followed Hyperlink" xfId="2264" builtinId="9" hidden="1"/>
    <cellStyle name="Followed Hyperlink" xfId="2265" builtinId="9" hidden="1"/>
    <cellStyle name="Followed Hyperlink" xfId="2266" builtinId="9" hidden="1"/>
    <cellStyle name="Followed Hyperlink" xfId="2267" builtinId="9" hidden="1"/>
    <cellStyle name="Followed Hyperlink" xfId="2268" builtinId="9" hidden="1"/>
    <cellStyle name="Followed Hyperlink" xfId="2269" builtinId="9" hidden="1"/>
    <cellStyle name="Followed Hyperlink" xfId="2270" builtinId="9" hidden="1"/>
    <cellStyle name="Followed Hyperlink" xfId="2271" builtinId="9" hidden="1"/>
    <cellStyle name="Followed Hyperlink" xfId="2272" builtinId="9" hidden="1"/>
    <cellStyle name="Followed Hyperlink" xfId="2273" builtinId="9" hidden="1"/>
    <cellStyle name="Followed Hyperlink" xfId="2274" builtinId="9" hidden="1"/>
    <cellStyle name="Followed Hyperlink" xfId="2275" builtinId="9" hidden="1"/>
    <cellStyle name="Followed Hyperlink" xfId="2276" builtinId="9" hidden="1"/>
    <cellStyle name="Followed Hyperlink" xfId="2277" builtinId="9" hidden="1"/>
    <cellStyle name="Followed Hyperlink" xfId="2278" builtinId="9" hidden="1"/>
    <cellStyle name="Followed Hyperlink" xfId="2280" builtinId="9" hidden="1"/>
    <cellStyle name="Followed Hyperlink" xfId="2282" builtinId="9" hidden="1"/>
    <cellStyle name="Followed Hyperlink" xfId="2284" builtinId="9" hidden="1"/>
    <cellStyle name="Followed Hyperlink" xfId="2286" builtinId="9" hidden="1"/>
    <cellStyle name="Followed Hyperlink" xfId="2288" builtinId="9" hidden="1"/>
    <cellStyle name="Followed Hyperlink" xfId="2290" builtinId="9" hidden="1"/>
    <cellStyle name="Followed Hyperlink" xfId="2292" builtinId="9" hidden="1"/>
    <cellStyle name="Followed Hyperlink" xfId="2294" builtinId="9" hidden="1"/>
    <cellStyle name="Followed Hyperlink" xfId="2296" builtinId="9" hidden="1"/>
    <cellStyle name="Followed Hyperlink" xfId="2298" builtinId="9" hidden="1"/>
    <cellStyle name="Followed Hyperlink" xfId="2300" builtinId="9" hidden="1"/>
    <cellStyle name="Followed Hyperlink" xfId="2302" builtinId="9" hidden="1"/>
    <cellStyle name="Followed Hyperlink" xfId="2304" builtinId="9" hidden="1"/>
    <cellStyle name="Followed Hyperlink" xfId="2306" builtinId="9" hidden="1"/>
    <cellStyle name="Followed Hyperlink" xfId="2308" builtinId="9" hidden="1"/>
    <cellStyle name="Followed Hyperlink" xfId="2310" builtinId="9" hidden="1"/>
    <cellStyle name="Followed Hyperlink" xfId="2312" builtinId="9" hidden="1"/>
    <cellStyle name="Followed Hyperlink" xfId="2314" builtinId="9" hidden="1"/>
    <cellStyle name="Followed Hyperlink" xfId="2316" builtinId="9" hidden="1"/>
    <cellStyle name="Followed Hyperlink" xfId="2318" builtinId="9" hidden="1"/>
    <cellStyle name="Followed Hyperlink" xfId="2320" builtinId="9" hidden="1"/>
    <cellStyle name="Followed Hyperlink" xfId="2322" builtinId="9" hidden="1"/>
    <cellStyle name="Followed Hyperlink" xfId="2324" builtinId="9" hidden="1"/>
    <cellStyle name="Followed Hyperlink" xfId="2326" builtinId="9" hidden="1"/>
    <cellStyle name="Followed Hyperlink" xfId="2328" builtinId="9" hidden="1"/>
    <cellStyle name="Followed Hyperlink" xfId="2330" builtinId="9" hidden="1"/>
    <cellStyle name="Followed Hyperlink" xfId="2332" builtinId="9" hidden="1"/>
    <cellStyle name="Followed Hyperlink" xfId="2334" builtinId="9" hidden="1"/>
    <cellStyle name="Followed Hyperlink" xfId="2336" builtinId="9" hidden="1"/>
    <cellStyle name="Followed Hyperlink" xfId="2338" builtinId="9" hidden="1"/>
    <cellStyle name="Followed Hyperlink" xfId="2340" builtinId="9" hidden="1"/>
    <cellStyle name="Followed Hyperlink" xfId="2342" builtinId="9" hidden="1"/>
    <cellStyle name="Followed Hyperlink" xfId="2344" builtinId="9" hidden="1"/>
    <cellStyle name="Followed Hyperlink" xfId="2346" builtinId="9" hidden="1"/>
    <cellStyle name="Followed Hyperlink" xfId="2348" builtinId="9" hidden="1"/>
    <cellStyle name="Followed Hyperlink" xfId="2350" builtinId="9" hidden="1"/>
    <cellStyle name="Followed Hyperlink" xfId="2352" builtinId="9" hidden="1"/>
    <cellStyle name="Followed Hyperlink" xfId="2354" builtinId="9" hidden="1"/>
    <cellStyle name="Followed Hyperlink" xfId="2356" builtinId="9" hidden="1"/>
    <cellStyle name="Followed Hyperlink" xfId="2358" builtinId="9" hidden="1"/>
    <cellStyle name="Followed Hyperlink" xfId="2360" builtinId="9" hidden="1"/>
    <cellStyle name="Followed Hyperlink" xfId="2362" builtinId="9" hidden="1"/>
    <cellStyle name="Followed Hyperlink" xfId="2364" builtinId="9" hidden="1"/>
    <cellStyle name="Followed Hyperlink" xfId="2366" builtinId="9" hidden="1"/>
    <cellStyle name="Followed Hyperlink" xfId="2368" builtinId="9" hidden="1"/>
    <cellStyle name="Followed Hyperlink" xfId="2370" builtinId="9" hidden="1"/>
    <cellStyle name="Followed Hyperlink" xfId="2372" builtinId="9" hidden="1"/>
    <cellStyle name="Followed Hyperlink" xfId="2374" builtinId="9" hidden="1"/>
    <cellStyle name="Followed Hyperlink" xfId="2376" builtinId="9" hidden="1"/>
    <cellStyle name="Followed Hyperlink" xfId="2378" builtinId="9" hidden="1"/>
    <cellStyle name="Followed Hyperlink" xfId="2380" builtinId="9" hidden="1"/>
    <cellStyle name="Followed Hyperlink" xfId="2382" builtinId="9" hidden="1"/>
    <cellStyle name="Followed Hyperlink" xfId="2384" builtinId="9" hidden="1"/>
    <cellStyle name="Followed Hyperlink" xfId="2386" builtinId="9" hidden="1"/>
    <cellStyle name="Followed Hyperlink" xfId="2388" builtinId="9" hidden="1"/>
    <cellStyle name="Followed Hyperlink" xfId="2390" builtinId="9" hidden="1"/>
    <cellStyle name="Followed Hyperlink" xfId="2392" builtinId="9" hidden="1"/>
    <cellStyle name="Followed Hyperlink" xfId="2394" builtinId="9" hidden="1"/>
    <cellStyle name="Followed Hyperlink" xfId="2396" builtinId="9" hidden="1"/>
    <cellStyle name="Followed Hyperlink" xfId="2398" builtinId="9" hidden="1"/>
    <cellStyle name="Followed Hyperlink" xfId="2400" builtinId="9" hidden="1"/>
    <cellStyle name="Followed Hyperlink" xfId="2402" builtinId="9" hidden="1"/>
    <cellStyle name="Followed Hyperlink" xfId="2404" builtinId="9" hidden="1"/>
    <cellStyle name="Followed Hyperlink" xfId="2406" builtinId="9" hidden="1"/>
    <cellStyle name="Followed Hyperlink" xfId="2408" builtinId="9" hidden="1"/>
    <cellStyle name="Followed Hyperlink" xfId="2410" builtinId="9" hidden="1"/>
    <cellStyle name="Followed Hyperlink" xfId="2412" builtinId="9" hidden="1"/>
    <cellStyle name="Followed Hyperlink" xfId="2414" builtinId="9" hidden="1"/>
    <cellStyle name="Followed Hyperlink" xfId="2416" builtinId="9" hidden="1"/>
    <cellStyle name="Followed Hyperlink" xfId="2418" builtinId="9" hidden="1"/>
    <cellStyle name="Followed Hyperlink" xfId="2420" builtinId="9" hidden="1"/>
    <cellStyle name="Followed Hyperlink" xfId="2422" builtinId="9" hidden="1"/>
    <cellStyle name="Followed Hyperlink" xfId="2424" builtinId="9" hidden="1"/>
    <cellStyle name="Followed Hyperlink" xfId="2426" builtinId="9" hidden="1"/>
    <cellStyle name="Followed Hyperlink" xfId="2428" builtinId="9" hidden="1"/>
    <cellStyle name="Followed Hyperlink" xfId="2430" builtinId="9" hidden="1"/>
    <cellStyle name="Followed Hyperlink" xfId="2432" builtinId="9" hidden="1"/>
    <cellStyle name="Followed Hyperlink" xfId="2434" builtinId="9" hidden="1"/>
    <cellStyle name="Followed Hyperlink" xfId="2436" builtinId="9" hidden="1"/>
    <cellStyle name="Followed Hyperlink" xfId="2438" builtinId="9" hidden="1"/>
    <cellStyle name="Followed Hyperlink" xfId="2440" builtinId="9" hidden="1"/>
    <cellStyle name="Followed Hyperlink" xfId="2442" builtinId="9" hidden="1"/>
    <cellStyle name="Followed Hyperlink" xfId="2444" builtinId="9" hidden="1"/>
    <cellStyle name="Followed Hyperlink" xfId="2446" builtinId="9" hidden="1"/>
    <cellStyle name="Followed Hyperlink" xfId="2448" builtinId="9" hidden="1"/>
    <cellStyle name="Followed Hyperlink" xfId="2450" builtinId="9" hidden="1"/>
    <cellStyle name="Followed Hyperlink" xfId="2452" builtinId="9" hidden="1"/>
    <cellStyle name="Followed Hyperlink" xfId="2454" builtinId="9" hidden="1"/>
    <cellStyle name="Followed Hyperlink" xfId="2456" builtinId="9" hidden="1"/>
    <cellStyle name="Followed Hyperlink" xfId="2458" builtinId="9" hidden="1"/>
    <cellStyle name="Followed Hyperlink" xfId="2460" builtinId="9" hidden="1"/>
    <cellStyle name="Followed Hyperlink" xfId="2462" builtinId="9" hidden="1"/>
    <cellStyle name="Followed Hyperlink" xfId="2464" builtinId="9" hidden="1"/>
    <cellStyle name="Followed Hyperlink" xfId="2466" builtinId="9" hidden="1"/>
    <cellStyle name="Followed Hyperlink" xfId="2468" builtinId="9" hidden="1"/>
    <cellStyle name="Followed Hyperlink" xfId="2470" builtinId="9" hidden="1"/>
    <cellStyle name="Followed Hyperlink" xfId="2472" builtinId="9" hidden="1"/>
    <cellStyle name="Followed Hyperlink" xfId="2474" builtinId="9" hidden="1"/>
    <cellStyle name="Followed Hyperlink" xfId="2476" builtinId="9" hidden="1"/>
    <cellStyle name="Followed Hyperlink" xfId="2478" builtinId="9" hidden="1"/>
    <cellStyle name="Followed Hyperlink" xfId="2480" builtinId="9" hidden="1"/>
    <cellStyle name="Followed Hyperlink" xfId="2482" builtinId="9" hidden="1"/>
    <cellStyle name="Followed Hyperlink" xfId="2484" builtinId="9" hidden="1"/>
    <cellStyle name="Followed Hyperlink" xfId="2486" builtinId="9" hidden="1"/>
    <cellStyle name="Followed Hyperlink" xfId="2488" builtinId="9" hidden="1"/>
    <cellStyle name="Followed Hyperlink" xfId="2490" builtinId="9" hidden="1"/>
    <cellStyle name="Followed Hyperlink" xfId="2492" builtinId="9" hidden="1"/>
    <cellStyle name="Followed Hyperlink" xfId="2494" builtinId="9" hidden="1"/>
    <cellStyle name="Followed Hyperlink" xfId="2496" builtinId="9" hidden="1"/>
    <cellStyle name="Followed Hyperlink" xfId="2498" builtinId="9" hidden="1"/>
    <cellStyle name="Followed Hyperlink" xfId="2500" builtinId="9" hidden="1"/>
    <cellStyle name="Followed Hyperlink" xfId="2502" builtinId="9" hidden="1"/>
    <cellStyle name="Followed Hyperlink" xfId="2504" builtinId="9" hidden="1"/>
    <cellStyle name="Followed Hyperlink" xfId="2506" builtinId="9" hidden="1"/>
    <cellStyle name="Followed Hyperlink" xfId="2508" builtinId="9" hidden="1"/>
    <cellStyle name="Followed Hyperlink" xfId="2510" builtinId="9" hidden="1"/>
    <cellStyle name="Followed Hyperlink" xfId="2512" builtinId="9" hidden="1"/>
    <cellStyle name="Followed Hyperlink" xfId="2514" builtinId="9" hidden="1"/>
    <cellStyle name="Followed Hyperlink" xfId="2516" builtinId="9" hidden="1"/>
    <cellStyle name="Followed Hyperlink" xfId="2518" builtinId="9" hidden="1"/>
    <cellStyle name="Followed Hyperlink" xfId="2520" builtinId="9" hidden="1"/>
    <cellStyle name="Followed Hyperlink" xfId="2522" builtinId="9" hidden="1"/>
    <cellStyle name="Followed Hyperlink" xfId="2524" builtinId="9" hidden="1"/>
    <cellStyle name="Followed Hyperlink" xfId="2526" builtinId="9" hidden="1"/>
    <cellStyle name="Followed Hyperlink" xfId="2528" builtinId="9" hidden="1"/>
    <cellStyle name="Followed Hyperlink" xfId="2530" builtinId="9" hidden="1"/>
    <cellStyle name="Followed Hyperlink" xfId="2532" builtinId="9" hidden="1"/>
    <cellStyle name="Followed Hyperlink" xfId="2534" builtinId="9" hidden="1"/>
    <cellStyle name="Followed Hyperlink" xfId="2536" builtinId="9" hidden="1"/>
    <cellStyle name="Followed Hyperlink" xfId="2538" builtinId="9" hidden="1"/>
    <cellStyle name="Followed Hyperlink" xfId="2540" builtinId="9" hidden="1"/>
    <cellStyle name="Followed Hyperlink" xfId="2542" builtinId="9" hidden="1"/>
    <cellStyle name="Followed Hyperlink" xfId="2544" builtinId="9" hidden="1"/>
    <cellStyle name="Followed Hyperlink" xfId="2546" builtinId="9" hidden="1"/>
    <cellStyle name="Followed Hyperlink" xfId="2548" builtinId="9" hidden="1"/>
    <cellStyle name="Followed Hyperlink" xfId="2550" builtinId="9" hidden="1"/>
    <cellStyle name="Followed Hyperlink" xfId="2552" builtinId="9" hidden="1"/>
    <cellStyle name="Followed Hyperlink" xfId="2554" builtinId="9" hidden="1"/>
    <cellStyle name="Followed Hyperlink" xfId="2556" builtinId="9" hidden="1"/>
    <cellStyle name="Followed Hyperlink" xfId="2558" builtinId="9" hidden="1"/>
    <cellStyle name="Followed Hyperlink" xfId="2560" builtinId="9" hidden="1"/>
    <cellStyle name="Followed Hyperlink" xfId="2562" builtinId="9" hidden="1"/>
    <cellStyle name="Followed Hyperlink" xfId="2564" builtinId="9" hidden="1"/>
    <cellStyle name="Followed Hyperlink" xfId="2566" builtinId="9" hidden="1"/>
    <cellStyle name="Followed Hyperlink" xfId="2568" builtinId="9" hidden="1"/>
    <cellStyle name="Followed Hyperlink" xfId="2570" builtinId="9" hidden="1"/>
    <cellStyle name="Followed Hyperlink" xfId="2572" builtinId="9" hidden="1"/>
    <cellStyle name="Followed Hyperlink" xfId="2574" builtinId="9" hidden="1"/>
    <cellStyle name="Followed Hyperlink" xfId="2576" builtinId="9" hidden="1"/>
    <cellStyle name="Followed Hyperlink" xfId="2579" builtinId="9" hidden="1"/>
    <cellStyle name="Followed Hyperlink" xfId="2581" builtinId="9" hidden="1"/>
    <cellStyle name="Followed Hyperlink" xfId="2583" builtinId="9" hidden="1"/>
    <cellStyle name="Followed Hyperlink" xfId="2585" builtinId="9" hidden="1"/>
    <cellStyle name="Followed Hyperlink" xfId="2587" builtinId="9" hidden="1"/>
    <cellStyle name="Followed Hyperlink" xfId="2589" builtinId="9" hidden="1"/>
    <cellStyle name="Followed Hyperlink" xfId="2591" builtinId="9" hidden="1"/>
    <cellStyle name="Followed Hyperlink" xfId="2593" builtinId="9" hidden="1"/>
    <cellStyle name="Followed Hyperlink" xfId="2595" builtinId="9" hidden="1"/>
    <cellStyle name="Followed Hyperlink" xfId="2597" builtinId="9" hidden="1"/>
    <cellStyle name="Followed Hyperlink" xfId="2599" builtinId="9" hidden="1"/>
    <cellStyle name="Followed Hyperlink" xfId="2601" builtinId="9" hidden="1"/>
    <cellStyle name="Followed Hyperlink" xfId="2603" builtinId="9" hidden="1"/>
    <cellStyle name="Followed Hyperlink" xfId="2605" builtinId="9" hidden="1"/>
    <cellStyle name="Followed Hyperlink" xfId="2607" builtinId="9" hidden="1"/>
    <cellStyle name="Followed Hyperlink" xfId="2609" builtinId="9" hidden="1"/>
    <cellStyle name="Followed Hyperlink" xfId="2611" builtinId="9" hidden="1"/>
    <cellStyle name="Followed Hyperlink" xfId="2613" builtinId="9" hidden="1"/>
    <cellStyle name="Followed Hyperlink" xfId="2615" builtinId="9" hidden="1"/>
    <cellStyle name="Followed Hyperlink" xfId="2617" builtinId="9" hidden="1"/>
    <cellStyle name="Followed Hyperlink" xfId="2619" builtinId="9" hidden="1"/>
    <cellStyle name="Followed Hyperlink" xfId="2621" builtinId="9" hidden="1"/>
    <cellStyle name="Followed Hyperlink" xfId="2623" builtinId="9" hidden="1"/>
    <cellStyle name="Followed Hyperlink" xfId="2625" builtinId="9" hidden="1"/>
    <cellStyle name="Followed Hyperlink" xfId="2627" builtinId="9" hidden="1"/>
    <cellStyle name="Followed Hyperlink" xfId="2629"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2" builtinId="8" hidden="1"/>
    <cellStyle name="Hyperlink" xfId="734" builtinId="8" hidden="1"/>
    <cellStyle name="Hyperlink" xfId="736" builtinId="8" hidden="1"/>
    <cellStyle name="Hyperlink" xfId="738" builtinId="8" hidden="1"/>
    <cellStyle name="Hyperlink" xfId="740" builtinId="8" hidden="1"/>
    <cellStyle name="Hyperlink" xfId="742" builtinId="8" hidden="1"/>
    <cellStyle name="Hyperlink" xfId="744" builtinId="8" hidden="1"/>
    <cellStyle name="Hyperlink" xfId="746" builtinId="8" hidden="1"/>
    <cellStyle name="Hyperlink" xfId="748" builtinId="8" hidden="1"/>
    <cellStyle name="Hyperlink" xfId="750" builtinId="8" hidden="1"/>
    <cellStyle name="Hyperlink" xfId="752" builtinId="8" hidden="1"/>
    <cellStyle name="Hyperlink" xfId="754" builtinId="8" hidden="1"/>
    <cellStyle name="Hyperlink" xfId="756" builtinId="8" hidden="1"/>
    <cellStyle name="Hyperlink" xfId="758" builtinId="8" hidden="1"/>
    <cellStyle name="Hyperlink" xfId="760" builtinId="8" hidden="1"/>
    <cellStyle name="Hyperlink" xfId="762" builtinId="8" hidden="1"/>
    <cellStyle name="Hyperlink" xfId="764" builtinId="8" hidden="1"/>
    <cellStyle name="Hyperlink" xfId="766" builtinId="8" hidden="1"/>
    <cellStyle name="Hyperlink" xfId="768" builtinId="8" hidden="1"/>
    <cellStyle name="Hyperlink" xfId="770" builtinId="8" hidden="1"/>
    <cellStyle name="Hyperlink" xfId="772" builtinId="8" hidden="1"/>
    <cellStyle name="Hyperlink" xfId="774" builtinId="8" hidden="1"/>
    <cellStyle name="Hyperlink" xfId="776" builtinId="8" hidden="1"/>
    <cellStyle name="Hyperlink" xfId="778" builtinId="8" hidden="1"/>
    <cellStyle name="Hyperlink" xfId="780" builtinId="8" hidden="1"/>
    <cellStyle name="Hyperlink" xfId="782" builtinId="8" hidden="1"/>
    <cellStyle name="Hyperlink" xfId="784" builtinId="8" hidden="1"/>
    <cellStyle name="Hyperlink" xfId="786" builtinId="8" hidden="1"/>
    <cellStyle name="Hyperlink" xfId="788" builtinId="8" hidden="1"/>
    <cellStyle name="Hyperlink" xfId="790" builtinId="8" hidden="1"/>
    <cellStyle name="Hyperlink" xfId="792" builtinId="8" hidden="1"/>
    <cellStyle name="Hyperlink" xfId="794" builtinId="8" hidden="1"/>
    <cellStyle name="Hyperlink" xfId="796" builtinId="8" hidden="1"/>
    <cellStyle name="Hyperlink" xfId="798" builtinId="8" hidden="1"/>
    <cellStyle name="Hyperlink" xfId="800" builtinId="8" hidden="1"/>
    <cellStyle name="Hyperlink" xfId="802" builtinId="8" hidden="1"/>
    <cellStyle name="Hyperlink" xfId="804" builtinId="8" hidden="1"/>
    <cellStyle name="Hyperlink" xfId="806" builtinId="8" hidden="1"/>
    <cellStyle name="Hyperlink" xfId="808" builtinId="8" hidden="1"/>
    <cellStyle name="Hyperlink" xfId="810" builtinId="8" hidden="1"/>
    <cellStyle name="Hyperlink" xfId="812" builtinId="8" hidden="1"/>
    <cellStyle name="Hyperlink" xfId="814" builtinId="8" hidden="1"/>
    <cellStyle name="Hyperlink" xfId="816" builtinId="8" hidden="1"/>
    <cellStyle name="Hyperlink" xfId="818" builtinId="8" hidden="1"/>
    <cellStyle name="Hyperlink" xfId="820" builtinId="8" hidden="1"/>
    <cellStyle name="Hyperlink" xfId="822" builtinId="8" hidden="1"/>
    <cellStyle name="Hyperlink" xfId="824" builtinId="8" hidden="1"/>
    <cellStyle name="Hyperlink" xfId="826" builtinId="8" hidden="1"/>
    <cellStyle name="Hyperlink" xfId="828" builtinId="8" hidden="1"/>
    <cellStyle name="Hyperlink" xfId="830" builtinId="8" hidden="1"/>
    <cellStyle name="Hyperlink" xfId="832" builtinId="8" hidden="1"/>
    <cellStyle name="Hyperlink" xfId="834" builtinId="8" hidden="1"/>
    <cellStyle name="Hyperlink" xfId="836" builtinId="8" hidden="1"/>
    <cellStyle name="Hyperlink" xfId="838" builtinId="8" hidden="1"/>
    <cellStyle name="Hyperlink" xfId="840" builtinId="8" hidden="1"/>
    <cellStyle name="Hyperlink" xfId="842" builtinId="8" hidden="1"/>
    <cellStyle name="Hyperlink" xfId="844" builtinId="8" hidden="1"/>
    <cellStyle name="Hyperlink" xfId="846" builtinId="8" hidden="1"/>
    <cellStyle name="Hyperlink" xfId="848" builtinId="8" hidden="1"/>
    <cellStyle name="Hyperlink" xfId="850" builtinId="8" hidden="1"/>
    <cellStyle name="Hyperlink" xfId="852" builtinId="8" hidden="1"/>
    <cellStyle name="Hyperlink" xfId="854" builtinId="8" hidden="1"/>
    <cellStyle name="Hyperlink" xfId="856" builtinId="8" hidden="1"/>
    <cellStyle name="Hyperlink" xfId="858" builtinId="8" hidden="1"/>
    <cellStyle name="Hyperlink" xfId="860" builtinId="8" hidden="1"/>
    <cellStyle name="Hyperlink" xfId="862" builtinId="8" hidden="1"/>
    <cellStyle name="Hyperlink" xfId="864" builtinId="8" hidden="1"/>
    <cellStyle name="Hyperlink" xfId="866" builtinId="8" hidden="1"/>
    <cellStyle name="Hyperlink" xfId="868" builtinId="8" hidden="1"/>
    <cellStyle name="Hyperlink" xfId="870" builtinId="8" hidden="1"/>
    <cellStyle name="Hyperlink" xfId="872" builtinId="8" hidden="1"/>
    <cellStyle name="Hyperlink" xfId="874" builtinId="8" hidden="1"/>
    <cellStyle name="Hyperlink" xfId="876" builtinId="8" hidden="1"/>
    <cellStyle name="Hyperlink" xfId="878" builtinId="8" hidden="1"/>
    <cellStyle name="Hyperlink" xfId="880" builtinId="8" hidden="1"/>
    <cellStyle name="Hyperlink" xfId="882" builtinId="8" hidden="1"/>
    <cellStyle name="Hyperlink" xfId="884" builtinId="8" hidden="1"/>
    <cellStyle name="Hyperlink" xfId="886" builtinId="8" hidden="1"/>
    <cellStyle name="Hyperlink" xfId="888" builtinId="8" hidden="1"/>
    <cellStyle name="Hyperlink" xfId="890" builtinId="8" hidden="1"/>
    <cellStyle name="Hyperlink" xfId="892" builtinId="8" hidden="1"/>
    <cellStyle name="Hyperlink" xfId="894" builtinId="8" hidden="1"/>
    <cellStyle name="Hyperlink" xfId="896" builtinId="8" hidden="1"/>
    <cellStyle name="Hyperlink" xfId="898" builtinId="8" hidden="1"/>
    <cellStyle name="Hyperlink" xfId="900" builtinId="8" hidden="1"/>
    <cellStyle name="Hyperlink" xfId="902" builtinId="8" hidden="1"/>
    <cellStyle name="Hyperlink" xfId="904" builtinId="8" hidden="1"/>
    <cellStyle name="Hyperlink" xfId="906" builtinId="8" hidden="1"/>
    <cellStyle name="Hyperlink" xfId="908" builtinId="8" hidden="1"/>
    <cellStyle name="Hyperlink" xfId="910" builtinId="8" hidden="1"/>
    <cellStyle name="Hyperlink" xfId="912" builtinId="8" hidden="1"/>
    <cellStyle name="Hyperlink" xfId="914" builtinId="8" hidden="1"/>
    <cellStyle name="Hyperlink" xfId="916" builtinId="8" hidden="1"/>
    <cellStyle name="Hyperlink" xfId="918" builtinId="8" hidden="1"/>
    <cellStyle name="Hyperlink" xfId="920" builtinId="8" hidden="1"/>
    <cellStyle name="Hyperlink" xfId="922" builtinId="8" hidden="1"/>
    <cellStyle name="Hyperlink" xfId="924" builtinId="8" hidden="1"/>
    <cellStyle name="Hyperlink" xfId="926" builtinId="8" hidden="1"/>
    <cellStyle name="Hyperlink" xfId="928" builtinId="8" hidden="1"/>
    <cellStyle name="Hyperlink" xfId="930" builtinId="8" hidden="1"/>
    <cellStyle name="Hyperlink" xfId="932" builtinId="8" hidden="1"/>
    <cellStyle name="Hyperlink" xfId="934" builtinId="8" hidden="1"/>
    <cellStyle name="Hyperlink" xfId="936" builtinId="8" hidden="1"/>
    <cellStyle name="Hyperlink" xfId="938" builtinId="8" hidden="1"/>
    <cellStyle name="Hyperlink" xfId="940" builtinId="8" hidden="1"/>
    <cellStyle name="Hyperlink" xfId="942" builtinId="8" hidden="1"/>
    <cellStyle name="Hyperlink" xfId="944" builtinId="8" hidden="1"/>
    <cellStyle name="Hyperlink" xfId="946" builtinId="8" hidden="1"/>
    <cellStyle name="Hyperlink" xfId="948" builtinId="8" hidden="1"/>
    <cellStyle name="Hyperlink" xfId="950" builtinId="8" hidden="1"/>
    <cellStyle name="Hyperlink" xfId="952" builtinId="8" hidden="1"/>
    <cellStyle name="Hyperlink" xfId="954" builtinId="8" hidden="1"/>
    <cellStyle name="Hyperlink" xfId="956" builtinId="8" hidden="1"/>
    <cellStyle name="Hyperlink" xfId="958" builtinId="8" hidden="1"/>
    <cellStyle name="Hyperlink" xfId="960" builtinId="8" hidden="1"/>
    <cellStyle name="Hyperlink" xfId="962" builtinId="8" hidden="1"/>
    <cellStyle name="Hyperlink" xfId="964" builtinId="8" hidden="1"/>
    <cellStyle name="Hyperlink" xfId="966" builtinId="8" hidden="1"/>
    <cellStyle name="Hyperlink" xfId="968" builtinId="8" hidden="1"/>
    <cellStyle name="Hyperlink" xfId="970" builtinId="8" hidden="1"/>
    <cellStyle name="Hyperlink" xfId="972" builtinId="8" hidden="1"/>
    <cellStyle name="Hyperlink" xfId="974" builtinId="8" hidden="1"/>
    <cellStyle name="Hyperlink" xfId="976" builtinId="8" hidden="1"/>
    <cellStyle name="Hyperlink" xfId="978" builtinId="8" hidden="1"/>
    <cellStyle name="Hyperlink" xfId="980" builtinId="8" hidden="1"/>
    <cellStyle name="Hyperlink" xfId="982" builtinId="8" hidden="1"/>
    <cellStyle name="Hyperlink" xfId="984" builtinId="8" hidden="1"/>
    <cellStyle name="Hyperlink" xfId="986" builtinId="8" hidden="1"/>
    <cellStyle name="Hyperlink" xfId="988" builtinId="8" hidden="1"/>
    <cellStyle name="Hyperlink" xfId="990" builtinId="8" hidden="1"/>
    <cellStyle name="Hyperlink" xfId="992" builtinId="8" hidden="1"/>
    <cellStyle name="Hyperlink" xfId="994" builtinId="8" hidden="1"/>
    <cellStyle name="Hyperlink" xfId="996" builtinId="8" hidden="1"/>
    <cellStyle name="Hyperlink" xfId="998" builtinId="8" hidden="1"/>
    <cellStyle name="Hyperlink" xfId="1000" builtinId="8" hidden="1"/>
    <cellStyle name="Hyperlink" xfId="1002" builtinId="8" hidden="1"/>
    <cellStyle name="Hyperlink" xfId="1004" builtinId="8" hidden="1"/>
    <cellStyle name="Hyperlink" xfId="1006" builtinId="8" hidden="1"/>
    <cellStyle name="Hyperlink" xfId="1008" builtinId="8" hidden="1"/>
    <cellStyle name="Hyperlink" xfId="1010" builtinId="8" hidden="1"/>
    <cellStyle name="Hyperlink" xfId="1012" builtinId="8" hidden="1"/>
    <cellStyle name="Hyperlink" xfId="1014" builtinId="8" hidden="1"/>
    <cellStyle name="Hyperlink" xfId="1016" builtinId="8" hidden="1"/>
    <cellStyle name="Hyperlink" xfId="1018" builtinId="8" hidden="1"/>
    <cellStyle name="Hyperlink" xfId="1020" builtinId="8" hidden="1"/>
    <cellStyle name="Hyperlink" xfId="1022" builtinId="8" hidden="1"/>
    <cellStyle name="Hyperlink" xfId="1024" builtinId="8" hidden="1"/>
    <cellStyle name="Hyperlink" xfId="1026" builtinId="8" hidden="1"/>
    <cellStyle name="Hyperlink" xfId="1028" builtinId="8" hidden="1"/>
    <cellStyle name="Hyperlink" xfId="1030" builtinId="8" hidden="1"/>
    <cellStyle name="Hyperlink" xfId="1032" builtinId="8" hidden="1"/>
    <cellStyle name="Hyperlink" xfId="1034" builtinId="8" hidden="1"/>
    <cellStyle name="Hyperlink" xfId="1036" builtinId="8" hidden="1"/>
    <cellStyle name="Hyperlink" xfId="1038" builtinId="8" hidden="1"/>
    <cellStyle name="Hyperlink" xfId="1040" builtinId="8" hidden="1"/>
    <cellStyle name="Hyperlink" xfId="1042" builtinId="8" hidden="1"/>
    <cellStyle name="Hyperlink" xfId="1044" builtinId="8" hidden="1"/>
    <cellStyle name="Hyperlink" xfId="1046" builtinId="8" hidden="1"/>
    <cellStyle name="Hyperlink" xfId="1048" builtinId="8" hidden="1"/>
    <cellStyle name="Hyperlink" xfId="1050" builtinId="8" hidden="1"/>
    <cellStyle name="Hyperlink" xfId="1052" builtinId="8" hidden="1"/>
    <cellStyle name="Hyperlink" xfId="1054" builtinId="8" hidden="1"/>
    <cellStyle name="Hyperlink" xfId="1056" builtinId="8" hidden="1"/>
    <cellStyle name="Hyperlink" xfId="1058" builtinId="8" hidden="1"/>
    <cellStyle name="Hyperlink" xfId="1060" builtinId="8" hidden="1"/>
    <cellStyle name="Hyperlink" xfId="1062" builtinId="8" hidden="1"/>
    <cellStyle name="Hyperlink" xfId="1064" builtinId="8" hidden="1"/>
    <cellStyle name="Hyperlink" xfId="1066" builtinId="8" hidden="1"/>
    <cellStyle name="Hyperlink" xfId="1068" builtinId="8" hidden="1"/>
    <cellStyle name="Hyperlink" xfId="1070" builtinId="8" hidden="1"/>
    <cellStyle name="Hyperlink" xfId="1072" builtinId="8" hidden="1"/>
    <cellStyle name="Hyperlink" xfId="1074" builtinId="8" hidden="1"/>
    <cellStyle name="Hyperlink" xfId="1076" builtinId="8" hidden="1"/>
    <cellStyle name="Hyperlink" xfId="1078" builtinId="8" hidden="1"/>
    <cellStyle name="Hyperlink" xfId="1080" builtinId="8" hidden="1"/>
    <cellStyle name="Hyperlink" xfId="1082" builtinId="8" hidden="1"/>
    <cellStyle name="Hyperlink" xfId="1084" builtinId="8" hidden="1"/>
    <cellStyle name="Hyperlink" xfId="1086" builtinId="8" hidden="1"/>
    <cellStyle name="Hyperlink" xfId="1088" builtinId="8" hidden="1"/>
    <cellStyle name="Hyperlink" xfId="1090" builtinId="8" hidden="1"/>
    <cellStyle name="Hyperlink" xfId="1092" builtinId="8" hidden="1"/>
    <cellStyle name="Hyperlink" xfId="1094" builtinId="8" hidden="1"/>
    <cellStyle name="Hyperlink" xfId="1096" builtinId="8" hidden="1"/>
    <cellStyle name="Hyperlink" xfId="1098" builtinId="8" hidden="1"/>
    <cellStyle name="Hyperlink" xfId="1100" builtinId="8" hidden="1"/>
    <cellStyle name="Hyperlink" xfId="1102" builtinId="8" hidden="1"/>
    <cellStyle name="Hyperlink" xfId="1104" builtinId="8" hidden="1"/>
    <cellStyle name="Hyperlink" xfId="1106" builtinId="8" hidden="1"/>
    <cellStyle name="Hyperlink" xfId="1108" builtinId="8" hidden="1"/>
    <cellStyle name="Hyperlink" xfId="1110" builtinId="8" hidden="1"/>
    <cellStyle name="Hyperlink" xfId="1112" builtinId="8" hidden="1"/>
    <cellStyle name="Hyperlink" xfId="1114" builtinId="8" hidden="1"/>
    <cellStyle name="Hyperlink" xfId="1116" builtinId="8" hidden="1"/>
    <cellStyle name="Hyperlink" xfId="1118" builtinId="8" hidden="1"/>
    <cellStyle name="Hyperlink" xfId="1120" builtinId="8" hidden="1"/>
    <cellStyle name="Hyperlink" xfId="1122" builtinId="8" hidden="1"/>
    <cellStyle name="Hyperlink" xfId="1124" builtinId="8" hidden="1"/>
    <cellStyle name="Hyperlink" xfId="1126" builtinId="8" hidden="1"/>
    <cellStyle name="Hyperlink" xfId="1128" builtinId="8" hidden="1"/>
    <cellStyle name="Hyperlink" xfId="1130" builtinId="8" hidden="1"/>
    <cellStyle name="Hyperlink" xfId="1132" builtinId="8" hidden="1"/>
    <cellStyle name="Hyperlink" xfId="1134" builtinId="8" hidden="1"/>
    <cellStyle name="Hyperlink" xfId="1136" builtinId="8" hidden="1"/>
    <cellStyle name="Hyperlink" xfId="1138" builtinId="8" hidden="1"/>
    <cellStyle name="Hyperlink" xfId="1140" builtinId="8" hidden="1"/>
    <cellStyle name="Hyperlink" xfId="1142" builtinId="8" hidden="1"/>
    <cellStyle name="Hyperlink" xfId="1144" builtinId="8" hidden="1"/>
    <cellStyle name="Hyperlink" xfId="1146" builtinId="8" hidden="1"/>
    <cellStyle name="Hyperlink" xfId="1148" builtinId="8" hidden="1"/>
    <cellStyle name="Hyperlink" xfId="1150" builtinId="8" hidden="1"/>
    <cellStyle name="Hyperlink" xfId="1152" builtinId="8" hidden="1"/>
    <cellStyle name="Hyperlink" xfId="1154" builtinId="8" hidden="1"/>
    <cellStyle name="Hyperlink" xfId="1156" builtinId="8" hidden="1"/>
    <cellStyle name="Hyperlink" xfId="1158" builtinId="8" hidden="1"/>
    <cellStyle name="Hyperlink" xfId="1160" builtinId="8" hidden="1"/>
    <cellStyle name="Hyperlink" xfId="1162" builtinId="8" hidden="1"/>
    <cellStyle name="Hyperlink" xfId="1164" builtinId="8" hidden="1"/>
    <cellStyle name="Hyperlink" xfId="1166" builtinId="8" hidden="1"/>
    <cellStyle name="Hyperlink" xfId="1168" builtinId="8" hidden="1"/>
    <cellStyle name="Hyperlink" xfId="1170" builtinId="8" hidden="1"/>
    <cellStyle name="Hyperlink" xfId="1172" builtinId="8" hidden="1"/>
    <cellStyle name="Hyperlink" xfId="1174" builtinId="8" hidden="1"/>
    <cellStyle name="Hyperlink" xfId="1176" builtinId="8" hidden="1"/>
    <cellStyle name="Hyperlink" xfId="1178" builtinId="8" hidden="1"/>
    <cellStyle name="Hyperlink" xfId="1180" builtinId="8" hidden="1"/>
    <cellStyle name="Hyperlink" xfId="1182" builtinId="8" hidden="1"/>
    <cellStyle name="Hyperlink" xfId="1184" builtinId="8" hidden="1"/>
    <cellStyle name="Hyperlink" xfId="1186" builtinId="8" hidden="1"/>
    <cellStyle name="Hyperlink" xfId="1188" builtinId="8" hidden="1"/>
    <cellStyle name="Hyperlink" xfId="1190" builtinId="8" hidden="1"/>
    <cellStyle name="Hyperlink" xfId="1192" builtinId="8" hidden="1"/>
    <cellStyle name="Hyperlink" xfId="1194" builtinId="8" hidden="1"/>
    <cellStyle name="Hyperlink" xfId="1196" builtinId="8" hidden="1"/>
    <cellStyle name="Hyperlink" xfId="1198" builtinId="8" hidden="1"/>
    <cellStyle name="Hyperlink" xfId="1200" builtinId="8" hidden="1"/>
    <cellStyle name="Hyperlink" xfId="1202" builtinId="8" hidden="1"/>
    <cellStyle name="Hyperlink" xfId="1204" builtinId="8" hidden="1"/>
    <cellStyle name="Hyperlink" xfId="1206" builtinId="8" hidden="1"/>
    <cellStyle name="Hyperlink" xfId="1208" builtinId="8" hidden="1"/>
    <cellStyle name="Hyperlink" xfId="1210" builtinId="8" hidden="1"/>
    <cellStyle name="Hyperlink" xfId="1212" builtinId="8" hidden="1"/>
    <cellStyle name="Hyperlink" xfId="1214" builtinId="8" hidden="1"/>
    <cellStyle name="Hyperlink" xfId="1216" builtinId="8" hidden="1"/>
    <cellStyle name="Hyperlink" xfId="1218" builtinId="8" hidden="1"/>
    <cellStyle name="Hyperlink" xfId="1220" builtinId="8" hidden="1"/>
    <cellStyle name="Hyperlink" xfId="1222" builtinId="8" hidden="1"/>
    <cellStyle name="Hyperlink" xfId="1224" builtinId="8" hidden="1"/>
    <cellStyle name="Hyperlink" xfId="1226" builtinId="8" hidden="1"/>
    <cellStyle name="Hyperlink" xfId="1228" builtinId="8" hidden="1"/>
    <cellStyle name="Hyperlink" xfId="1230" builtinId="8" hidden="1"/>
    <cellStyle name="Hyperlink" xfId="1232" builtinId="8" hidden="1"/>
    <cellStyle name="Hyperlink" xfId="1234" builtinId="8" hidden="1"/>
    <cellStyle name="Hyperlink" xfId="1236" builtinId="8" hidden="1"/>
    <cellStyle name="Hyperlink" xfId="1238" builtinId="8" hidden="1"/>
    <cellStyle name="Hyperlink" xfId="1240" builtinId="8" hidden="1"/>
    <cellStyle name="Hyperlink" xfId="1242" builtinId="8" hidden="1"/>
    <cellStyle name="Hyperlink" xfId="1244" builtinId="8" hidden="1"/>
    <cellStyle name="Hyperlink" xfId="1246" builtinId="8" hidden="1"/>
    <cellStyle name="Hyperlink" xfId="1248" builtinId="8" hidden="1"/>
    <cellStyle name="Hyperlink" xfId="1250" builtinId="8" hidden="1"/>
    <cellStyle name="Hyperlink" xfId="1252" builtinId="8" hidden="1"/>
    <cellStyle name="Hyperlink" xfId="1254" builtinId="8" hidden="1"/>
    <cellStyle name="Hyperlink" xfId="1256" builtinId="8" hidden="1"/>
    <cellStyle name="Hyperlink" xfId="1258" builtinId="8" hidden="1"/>
    <cellStyle name="Hyperlink" xfId="1260" builtinId="8" hidden="1"/>
    <cellStyle name="Hyperlink" xfId="1262" builtinId="8" hidden="1"/>
    <cellStyle name="Hyperlink" xfId="1264" builtinId="8" hidden="1"/>
    <cellStyle name="Hyperlink" xfId="1266" builtinId="8" hidden="1"/>
    <cellStyle name="Hyperlink" xfId="1268" builtinId="8" hidden="1"/>
    <cellStyle name="Hyperlink" xfId="1270" builtinId="8" hidden="1"/>
    <cellStyle name="Hyperlink" xfId="1272" builtinId="8" hidden="1"/>
    <cellStyle name="Hyperlink" xfId="1274" builtinId="8" hidden="1"/>
    <cellStyle name="Hyperlink" xfId="1276" builtinId="8" hidden="1"/>
    <cellStyle name="Hyperlink" xfId="1278" builtinId="8" hidden="1"/>
    <cellStyle name="Hyperlink" xfId="1280" builtinId="8" hidden="1"/>
    <cellStyle name="Hyperlink" xfId="1282" builtinId="8" hidden="1"/>
    <cellStyle name="Hyperlink" xfId="1284" builtinId="8" hidden="1"/>
    <cellStyle name="Hyperlink" xfId="1286" builtinId="8" hidden="1"/>
    <cellStyle name="Hyperlink" xfId="1288" builtinId="8" hidden="1"/>
    <cellStyle name="Hyperlink" xfId="1290" builtinId="8" hidden="1"/>
    <cellStyle name="Hyperlink" xfId="1292" builtinId="8" hidden="1"/>
    <cellStyle name="Hyperlink" xfId="1294" builtinId="8" hidden="1"/>
    <cellStyle name="Hyperlink" xfId="1296" builtinId="8" hidden="1"/>
    <cellStyle name="Hyperlink" xfId="1298" builtinId="8" hidden="1"/>
    <cellStyle name="Hyperlink" xfId="1300" builtinId="8" hidden="1"/>
    <cellStyle name="Hyperlink" xfId="1302" builtinId="8" hidden="1"/>
    <cellStyle name="Hyperlink" xfId="1304" builtinId="8" hidden="1"/>
    <cellStyle name="Hyperlink" xfId="1306" builtinId="8" hidden="1"/>
    <cellStyle name="Hyperlink" xfId="1308" builtinId="8" hidden="1"/>
    <cellStyle name="Hyperlink" xfId="1310" builtinId="8" hidden="1"/>
    <cellStyle name="Hyperlink" xfId="1312" builtinId="8" hidden="1"/>
    <cellStyle name="Hyperlink" xfId="1314" builtinId="8" hidden="1"/>
    <cellStyle name="Hyperlink" xfId="1316" builtinId="8" hidden="1"/>
    <cellStyle name="Hyperlink" xfId="1318" builtinId="8" hidden="1"/>
    <cellStyle name="Hyperlink" xfId="1320" builtinId="8" hidden="1"/>
    <cellStyle name="Hyperlink" xfId="1322" builtinId="8" hidden="1"/>
    <cellStyle name="Hyperlink" xfId="1324" builtinId="8" hidden="1"/>
    <cellStyle name="Hyperlink" xfId="1326" builtinId="8" hidden="1"/>
    <cellStyle name="Hyperlink" xfId="1328" builtinId="8" hidden="1"/>
    <cellStyle name="Hyperlink" xfId="1330" builtinId="8" hidden="1"/>
    <cellStyle name="Hyperlink" xfId="1332" builtinId="8" hidden="1"/>
    <cellStyle name="Hyperlink" xfId="1334" builtinId="8" hidden="1"/>
    <cellStyle name="Hyperlink" xfId="1336" builtinId="8" hidden="1"/>
    <cellStyle name="Hyperlink" xfId="1338" builtinId="8" hidden="1"/>
    <cellStyle name="Hyperlink" xfId="1340" builtinId="8" hidden="1"/>
    <cellStyle name="Hyperlink" xfId="1342" builtinId="8" hidden="1"/>
    <cellStyle name="Hyperlink" xfId="1344" builtinId="8" hidden="1"/>
    <cellStyle name="Hyperlink" xfId="1346" builtinId="8" hidden="1"/>
    <cellStyle name="Hyperlink" xfId="1348" builtinId="8" hidden="1"/>
    <cellStyle name="Hyperlink" xfId="1350" builtinId="8" hidden="1"/>
    <cellStyle name="Hyperlink" xfId="1352" builtinId="8" hidden="1"/>
    <cellStyle name="Hyperlink" xfId="1354" builtinId="8" hidden="1"/>
    <cellStyle name="Hyperlink" xfId="1356" builtinId="8" hidden="1"/>
    <cellStyle name="Hyperlink" xfId="1358" builtinId="8" hidden="1"/>
    <cellStyle name="Hyperlink" xfId="1360" builtinId="8" hidden="1"/>
    <cellStyle name="Hyperlink" xfId="1362" builtinId="8" hidden="1"/>
    <cellStyle name="Hyperlink" xfId="1364" builtinId="8" hidden="1"/>
    <cellStyle name="Hyperlink" xfId="1366" builtinId="8" hidden="1"/>
    <cellStyle name="Hyperlink" xfId="1368" builtinId="8" hidden="1"/>
    <cellStyle name="Hyperlink" xfId="1370" builtinId="8" hidden="1"/>
    <cellStyle name="Hyperlink" xfId="1372" builtinId="8" hidden="1"/>
    <cellStyle name="Hyperlink" xfId="1374" builtinId="8" hidden="1"/>
    <cellStyle name="Hyperlink" xfId="1376" builtinId="8" hidden="1"/>
    <cellStyle name="Hyperlink" xfId="1378" builtinId="8" hidden="1"/>
    <cellStyle name="Hyperlink" xfId="1380" builtinId="8" hidden="1"/>
    <cellStyle name="Hyperlink" xfId="1382" builtinId="8" hidden="1"/>
    <cellStyle name="Hyperlink" xfId="1384" builtinId="8" hidden="1"/>
    <cellStyle name="Hyperlink" xfId="1386" builtinId="8" hidden="1"/>
    <cellStyle name="Hyperlink" xfId="1388" builtinId="8" hidden="1"/>
    <cellStyle name="Hyperlink" xfId="1390" builtinId="8" hidden="1"/>
    <cellStyle name="Hyperlink" xfId="1392" builtinId="8" hidden="1"/>
    <cellStyle name="Hyperlink" xfId="1394" builtinId="8" hidden="1"/>
    <cellStyle name="Hyperlink" xfId="1396" builtinId="8" hidden="1"/>
    <cellStyle name="Hyperlink" xfId="1398" builtinId="8" hidden="1"/>
    <cellStyle name="Hyperlink" xfId="1400" builtinId="8" hidden="1"/>
    <cellStyle name="Hyperlink" xfId="1402" builtinId="8" hidden="1"/>
    <cellStyle name="Hyperlink" xfId="1404" builtinId="8" hidden="1"/>
    <cellStyle name="Hyperlink" xfId="1406" builtinId="8" hidden="1"/>
    <cellStyle name="Hyperlink" xfId="1408" builtinId="8" hidden="1"/>
    <cellStyle name="Hyperlink" xfId="1410" builtinId="8" hidden="1"/>
    <cellStyle name="Hyperlink" xfId="1412" builtinId="8" hidden="1"/>
    <cellStyle name="Hyperlink" xfId="1414" builtinId="8" hidden="1"/>
    <cellStyle name="Hyperlink" xfId="1416" builtinId="8" hidden="1"/>
    <cellStyle name="Hyperlink" xfId="1418" builtinId="8" hidden="1"/>
    <cellStyle name="Hyperlink" xfId="1420" builtinId="8" hidden="1"/>
    <cellStyle name="Hyperlink" xfId="1422" builtinId="8" hidden="1"/>
    <cellStyle name="Hyperlink" xfId="1424" builtinId="8" hidden="1"/>
    <cellStyle name="Hyperlink" xfId="1426" builtinId="8" hidden="1"/>
    <cellStyle name="Hyperlink" xfId="1428" builtinId="8" hidden="1"/>
    <cellStyle name="Hyperlink" xfId="1430" builtinId="8" hidden="1"/>
    <cellStyle name="Hyperlink" xfId="1432" builtinId="8" hidden="1"/>
    <cellStyle name="Hyperlink" xfId="1434" builtinId="8" hidden="1"/>
    <cellStyle name="Hyperlink" xfId="1436" builtinId="8" hidden="1"/>
    <cellStyle name="Hyperlink" xfId="1438" builtinId="8" hidden="1"/>
    <cellStyle name="Hyperlink" xfId="1440" builtinId="8" hidden="1"/>
    <cellStyle name="Hyperlink" xfId="1442" builtinId="8" hidden="1"/>
    <cellStyle name="Hyperlink" xfId="1444" builtinId="8" hidden="1"/>
    <cellStyle name="Hyperlink" xfId="1446" builtinId="8" hidden="1"/>
    <cellStyle name="Hyperlink" xfId="1448" builtinId="8" hidden="1"/>
    <cellStyle name="Hyperlink" xfId="1450" builtinId="8" hidden="1"/>
    <cellStyle name="Hyperlink" xfId="1452" builtinId="8" hidden="1"/>
    <cellStyle name="Hyperlink" xfId="1454" builtinId="8" hidden="1"/>
    <cellStyle name="Hyperlink" xfId="1456" builtinId="8" hidden="1"/>
    <cellStyle name="Hyperlink" xfId="1458" builtinId="8" hidden="1"/>
    <cellStyle name="Hyperlink" xfId="1460" builtinId="8" hidden="1"/>
    <cellStyle name="Hyperlink" xfId="1462" builtinId="8" hidden="1"/>
    <cellStyle name="Hyperlink" xfId="1464" builtinId="8" hidden="1"/>
    <cellStyle name="Hyperlink" xfId="1466" builtinId="8" hidden="1"/>
    <cellStyle name="Hyperlink" xfId="1468" builtinId="8" hidden="1"/>
    <cellStyle name="Hyperlink" xfId="1470" builtinId="8" hidden="1"/>
    <cellStyle name="Hyperlink" xfId="1472" builtinId="8" hidden="1"/>
    <cellStyle name="Hyperlink" xfId="1474" builtinId="8" hidden="1"/>
    <cellStyle name="Hyperlink" xfId="1476" builtinId="8" hidden="1"/>
    <cellStyle name="Hyperlink" xfId="1478" builtinId="8" hidden="1"/>
    <cellStyle name="Hyperlink" xfId="1480" builtinId="8" hidden="1"/>
    <cellStyle name="Hyperlink" xfId="1482" builtinId="8" hidden="1"/>
    <cellStyle name="Hyperlink" xfId="1484" builtinId="8" hidden="1"/>
    <cellStyle name="Hyperlink" xfId="1486" builtinId="8" hidden="1"/>
    <cellStyle name="Hyperlink" xfId="1488" builtinId="8" hidden="1"/>
    <cellStyle name="Hyperlink" xfId="1490" builtinId="8" hidden="1"/>
    <cellStyle name="Hyperlink" xfId="1492" builtinId="8" hidden="1"/>
    <cellStyle name="Hyperlink" xfId="1494" builtinId="8" hidden="1"/>
    <cellStyle name="Hyperlink" xfId="1496" builtinId="8" hidden="1"/>
    <cellStyle name="Hyperlink" xfId="1498" builtinId="8" hidden="1"/>
    <cellStyle name="Hyperlink" xfId="1500" builtinId="8" hidden="1"/>
    <cellStyle name="Hyperlink" xfId="1502" builtinId="8" hidden="1"/>
    <cellStyle name="Hyperlink" xfId="1504" builtinId="8" hidden="1"/>
    <cellStyle name="Hyperlink" xfId="1506" builtinId="8" hidden="1"/>
    <cellStyle name="Hyperlink" xfId="1508" builtinId="8" hidden="1"/>
    <cellStyle name="Hyperlink" xfId="1510" builtinId="8" hidden="1"/>
    <cellStyle name="Hyperlink" xfId="1512" builtinId="8" hidden="1"/>
    <cellStyle name="Hyperlink" xfId="1514" builtinId="8" hidden="1"/>
    <cellStyle name="Hyperlink" xfId="1516" builtinId="8" hidden="1"/>
    <cellStyle name="Hyperlink" xfId="1518" builtinId="8" hidden="1"/>
    <cellStyle name="Hyperlink" xfId="1520" builtinId="8" hidden="1"/>
    <cellStyle name="Hyperlink" xfId="1522" builtinId="8" hidden="1"/>
    <cellStyle name="Hyperlink" xfId="1524" builtinId="8" hidden="1"/>
    <cellStyle name="Hyperlink" xfId="1526" builtinId="8" hidden="1"/>
    <cellStyle name="Hyperlink" xfId="1528" builtinId="8" hidden="1"/>
    <cellStyle name="Hyperlink" xfId="1530" builtinId="8" hidden="1"/>
    <cellStyle name="Hyperlink" xfId="1532" builtinId="8" hidden="1"/>
    <cellStyle name="Hyperlink" xfId="1534" builtinId="8" hidden="1"/>
    <cellStyle name="Hyperlink" xfId="1536" builtinId="8" hidden="1"/>
    <cellStyle name="Hyperlink" xfId="1538" builtinId="8" hidden="1"/>
    <cellStyle name="Hyperlink" xfId="1540" builtinId="8" hidden="1"/>
    <cellStyle name="Hyperlink" xfId="1542" builtinId="8" hidden="1"/>
    <cellStyle name="Hyperlink" xfId="1544" builtinId="8" hidden="1"/>
    <cellStyle name="Hyperlink" xfId="1546" builtinId="8" hidden="1"/>
    <cellStyle name="Hyperlink" xfId="1548" builtinId="8" hidden="1"/>
    <cellStyle name="Hyperlink" xfId="1550" builtinId="8" hidden="1"/>
    <cellStyle name="Hyperlink" xfId="1552" builtinId="8" hidden="1"/>
    <cellStyle name="Hyperlink" xfId="1554" builtinId="8" hidden="1"/>
    <cellStyle name="Hyperlink" xfId="1556" builtinId="8" hidden="1"/>
    <cellStyle name="Hyperlink" xfId="1558" builtinId="8" hidden="1"/>
    <cellStyle name="Hyperlink" xfId="1560" builtinId="8" hidden="1"/>
    <cellStyle name="Hyperlink" xfId="1562" builtinId="8" hidden="1"/>
    <cellStyle name="Hyperlink" xfId="1564" builtinId="8" hidden="1"/>
    <cellStyle name="Hyperlink" xfId="1566" builtinId="8" hidden="1"/>
    <cellStyle name="Hyperlink" xfId="1568" builtinId="8" hidden="1"/>
    <cellStyle name="Hyperlink" xfId="1570" builtinId="8" hidden="1"/>
    <cellStyle name="Hyperlink" xfId="1572" builtinId="8" hidden="1"/>
    <cellStyle name="Hyperlink" xfId="1574" builtinId="8" hidden="1"/>
    <cellStyle name="Hyperlink" xfId="1576" builtinId="8" hidden="1"/>
    <cellStyle name="Hyperlink" xfId="1578" builtinId="8" hidden="1"/>
    <cellStyle name="Hyperlink" xfId="1580" builtinId="8" hidden="1"/>
    <cellStyle name="Hyperlink" xfId="1582" builtinId="8" hidden="1"/>
    <cellStyle name="Hyperlink" xfId="1584" builtinId="8" hidden="1"/>
    <cellStyle name="Hyperlink" xfId="1586" builtinId="8" hidden="1"/>
    <cellStyle name="Hyperlink" xfId="1588" builtinId="8" hidden="1"/>
    <cellStyle name="Hyperlink" xfId="1590" builtinId="8" hidden="1"/>
    <cellStyle name="Hyperlink" xfId="1592" builtinId="8" hidden="1"/>
    <cellStyle name="Hyperlink" xfId="1594" builtinId="8" hidden="1"/>
    <cellStyle name="Hyperlink" xfId="1596" builtinId="8" hidden="1"/>
    <cellStyle name="Hyperlink" xfId="1598" builtinId="8" hidden="1"/>
    <cellStyle name="Hyperlink" xfId="1600" builtinId="8" hidden="1"/>
    <cellStyle name="Hyperlink" xfId="1602" builtinId="8" hidden="1"/>
    <cellStyle name="Hyperlink" xfId="1604" builtinId="8" hidden="1"/>
    <cellStyle name="Hyperlink" xfId="1606" builtinId="8" hidden="1"/>
    <cellStyle name="Hyperlink" xfId="1608" builtinId="8" hidden="1"/>
    <cellStyle name="Hyperlink" xfId="1610" builtinId="8" hidden="1"/>
    <cellStyle name="Hyperlink" xfId="1612" builtinId="8" hidden="1"/>
    <cellStyle name="Hyperlink" xfId="1614" builtinId="8" hidden="1"/>
    <cellStyle name="Hyperlink" xfId="1616" builtinId="8" hidden="1"/>
    <cellStyle name="Hyperlink" xfId="1618" builtinId="8" hidden="1"/>
    <cellStyle name="Hyperlink" xfId="1620" builtinId="8" hidden="1"/>
    <cellStyle name="Hyperlink" xfId="1622" builtinId="8" hidden="1"/>
    <cellStyle name="Hyperlink" xfId="1624" builtinId="8" hidden="1"/>
    <cellStyle name="Hyperlink" xfId="1626" builtinId="8" hidden="1"/>
    <cellStyle name="Hyperlink" xfId="1628" builtinId="8" hidden="1"/>
    <cellStyle name="Hyperlink" xfId="1630" builtinId="8" hidden="1"/>
    <cellStyle name="Hyperlink" xfId="1632" builtinId="8" hidden="1"/>
    <cellStyle name="Hyperlink" xfId="1634" builtinId="8" hidden="1"/>
    <cellStyle name="Hyperlink" xfId="1636" builtinId="8" hidden="1"/>
    <cellStyle name="Hyperlink" xfId="1638" builtinId="8" hidden="1"/>
    <cellStyle name="Hyperlink" xfId="1640" builtinId="8" hidden="1"/>
    <cellStyle name="Hyperlink" xfId="1642" builtinId="8" hidden="1"/>
    <cellStyle name="Hyperlink" xfId="1644" builtinId="8" hidden="1"/>
    <cellStyle name="Hyperlink" xfId="1646" builtinId="8" hidden="1"/>
    <cellStyle name="Hyperlink" xfId="1648" builtinId="8" hidden="1"/>
    <cellStyle name="Hyperlink" xfId="1650" builtinId="8" hidden="1"/>
    <cellStyle name="Hyperlink" xfId="1652" builtinId="8" hidden="1"/>
    <cellStyle name="Hyperlink" xfId="1654" builtinId="8" hidden="1"/>
    <cellStyle name="Hyperlink" xfId="1656" builtinId="8" hidden="1"/>
    <cellStyle name="Hyperlink" xfId="1658" builtinId="8" hidden="1"/>
    <cellStyle name="Hyperlink" xfId="1660" builtinId="8" hidden="1"/>
    <cellStyle name="Hyperlink" xfId="1662" builtinId="8" hidden="1"/>
    <cellStyle name="Hyperlink" xfId="1664" builtinId="8" hidden="1"/>
    <cellStyle name="Hyperlink" xfId="1666" builtinId="8" hidden="1"/>
    <cellStyle name="Hyperlink" xfId="1668" builtinId="8" hidden="1"/>
    <cellStyle name="Hyperlink" xfId="1670" builtinId="8" hidden="1"/>
    <cellStyle name="Hyperlink" xfId="1672" builtinId="8" hidden="1"/>
    <cellStyle name="Hyperlink" xfId="1674" builtinId="8" hidden="1"/>
    <cellStyle name="Hyperlink" xfId="1676" builtinId="8" hidden="1"/>
    <cellStyle name="Hyperlink" xfId="1678" builtinId="8" hidden="1"/>
    <cellStyle name="Hyperlink" xfId="1680" builtinId="8" hidden="1"/>
    <cellStyle name="Hyperlink" xfId="1682" builtinId="8" hidden="1"/>
    <cellStyle name="Hyperlink" xfId="1684" builtinId="8" hidden="1"/>
    <cellStyle name="Hyperlink" xfId="1686" builtinId="8" hidden="1"/>
    <cellStyle name="Hyperlink" xfId="1688" builtinId="8" hidden="1"/>
    <cellStyle name="Hyperlink" xfId="1690" builtinId="8" hidden="1"/>
    <cellStyle name="Hyperlink" xfId="1692" builtinId="8" hidden="1"/>
    <cellStyle name="Hyperlink" xfId="1694" builtinId="8" hidden="1"/>
    <cellStyle name="Hyperlink" xfId="1696" builtinId="8" hidden="1"/>
    <cellStyle name="Hyperlink" xfId="1698" builtinId="8" hidden="1"/>
    <cellStyle name="Hyperlink" xfId="1700" builtinId="8" hidden="1"/>
    <cellStyle name="Hyperlink" xfId="1702" builtinId="8" hidden="1"/>
    <cellStyle name="Hyperlink" xfId="1704" builtinId="8" hidden="1"/>
    <cellStyle name="Hyperlink" xfId="1706" builtinId="8" hidden="1"/>
    <cellStyle name="Hyperlink" xfId="1708" builtinId="8" hidden="1"/>
    <cellStyle name="Hyperlink" xfId="1710" builtinId="8" hidden="1"/>
    <cellStyle name="Hyperlink" xfId="1712" builtinId="8" hidden="1"/>
    <cellStyle name="Hyperlink" xfId="1714" builtinId="8" hidden="1"/>
    <cellStyle name="Hyperlink" xfId="1716" builtinId="8" hidden="1"/>
    <cellStyle name="Hyperlink" xfId="1718" builtinId="8" hidden="1"/>
    <cellStyle name="Hyperlink" xfId="1720" builtinId="8" hidden="1"/>
    <cellStyle name="Hyperlink" xfId="1722" builtinId="8" hidden="1"/>
    <cellStyle name="Hyperlink" xfId="1724" builtinId="8" hidden="1"/>
    <cellStyle name="Hyperlink" xfId="1726" builtinId="8" hidden="1"/>
    <cellStyle name="Hyperlink" xfId="1728" builtinId="8" hidden="1"/>
    <cellStyle name="Hyperlink" xfId="1730" builtinId="8" hidden="1"/>
    <cellStyle name="Hyperlink" xfId="1732" builtinId="8" hidden="1"/>
    <cellStyle name="Hyperlink" xfId="1734" builtinId="8" hidden="1"/>
    <cellStyle name="Hyperlink" xfId="1736" builtinId="8" hidden="1"/>
    <cellStyle name="Hyperlink" xfId="1738" builtinId="8" hidden="1"/>
    <cellStyle name="Hyperlink" xfId="1740" builtinId="8" hidden="1"/>
    <cellStyle name="Hyperlink" xfId="1742" builtinId="8" hidden="1"/>
    <cellStyle name="Hyperlink" xfId="1744" builtinId="8" hidden="1"/>
    <cellStyle name="Hyperlink" xfId="1746" builtinId="8" hidden="1"/>
    <cellStyle name="Hyperlink" xfId="1748" builtinId="8" hidden="1"/>
    <cellStyle name="Hyperlink" xfId="1750" builtinId="8" hidden="1"/>
    <cellStyle name="Hyperlink" xfId="1752" builtinId="8" hidden="1"/>
    <cellStyle name="Hyperlink" xfId="1754" builtinId="8" hidden="1"/>
    <cellStyle name="Hyperlink" xfId="1756" builtinId="8" hidden="1"/>
    <cellStyle name="Hyperlink" xfId="1758" builtinId="8" hidden="1"/>
    <cellStyle name="Hyperlink" xfId="1760" builtinId="8" hidden="1"/>
    <cellStyle name="Hyperlink" xfId="1762" builtinId="8" hidden="1"/>
    <cellStyle name="Hyperlink" xfId="1764" builtinId="8" hidden="1"/>
    <cellStyle name="Hyperlink" xfId="1766" builtinId="8" hidden="1"/>
    <cellStyle name="Hyperlink" xfId="1768" builtinId="8" hidden="1"/>
    <cellStyle name="Hyperlink" xfId="1770" builtinId="8" hidden="1"/>
    <cellStyle name="Hyperlink" xfId="1772" builtinId="8" hidden="1"/>
    <cellStyle name="Hyperlink" xfId="1774" builtinId="8" hidden="1"/>
    <cellStyle name="Hyperlink" xfId="1776" builtinId="8" hidden="1"/>
    <cellStyle name="Hyperlink" xfId="1778" builtinId="8" hidden="1"/>
    <cellStyle name="Hyperlink" xfId="1780" builtinId="8" hidden="1"/>
    <cellStyle name="Hyperlink" xfId="1782" builtinId="8" hidden="1"/>
    <cellStyle name="Hyperlink" xfId="1784" builtinId="8" hidden="1"/>
    <cellStyle name="Hyperlink" xfId="1786" builtinId="8" hidden="1"/>
    <cellStyle name="Hyperlink" xfId="1788" builtinId="8" hidden="1"/>
    <cellStyle name="Hyperlink" xfId="1790" builtinId="8" hidden="1"/>
    <cellStyle name="Hyperlink" xfId="1792" builtinId="8" hidden="1"/>
    <cellStyle name="Hyperlink" xfId="1794" builtinId="8" hidden="1"/>
    <cellStyle name="Hyperlink" xfId="1796" builtinId="8" hidden="1"/>
    <cellStyle name="Hyperlink" xfId="1798" builtinId="8" hidden="1"/>
    <cellStyle name="Hyperlink" xfId="1800" builtinId="8" hidden="1"/>
    <cellStyle name="Hyperlink" xfId="1802" builtinId="8" hidden="1"/>
    <cellStyle name="Hyperlink" xfId="1804" builtinId="8" hidden="1"/>
    <cellStyle name="Hyperlink" xfId="1806" builtinId="8" hidden="1"/>
    <cellStyle name="Hyperlink" xfId="1808" builtinId="8" hidden="1"/>
    <cellStyle name="Hyperlink" xfId="1810" builtinId="8" hidden="1"/>
    <cellStyle name="Hyperlink" xfId="1812" builtinId="8" hidden="1"/>
    <cellStyle name="Hyperlink" xfId="1814" builtinId="8" hidden="1"/>
    <cellStyle name="Hyperlink" xfId="1816" builtinId="8" hidden="1"/>
    <cellStyle name="Hyperlink" xfId="1818" builtinId="8" hidden="1"/>
    <cellStyle name="Hyperlink" xfId="1820" builtinId="8" hidden="1"/>
    <cellStyle name="Hyperlink" xfId="1822" builtinId="8" hidden="1"/>
    <cellStyle name="Hyperlink" xfId="1824" builtinId="8" hidden="1"/>
    <cellStyle name="Hyperlink" xfId="1826" builtinId="8" hidden="1"/>
    <cellStyle name="Hyperlink" xfId="1828" builtinId="8" hidden="1"/>
    <cellStyle name="Hyperlink" xfId="1830" builtinId="8" hidden="1"/>
    <cellStyle name="Hyperlink" xfId="1832" builtinId="8" hidden="1"/>
    <cellStyle name="Hyperlink" xfId="1834" builtinId="8" hidden="1"/>
    <cellStyle name="Hyperlink" xfId="1836" builtinId="8" hidden="1"/>
    <cellStyle name="Hyperlink" xfId="1838" builtinId="8" hidden="1"/>
    <cellStyle name="Hyperlink" xfId="1840" builtinId="8" hidden="1"/>
    <cellStyle name="Hyperlink" xfId="1842" builtinId="8" hidden="1"/>
    <cellStyle name="Hyperlink" xfId="1844" builtinId="8" hidden="1"/>
    <cellStyle name="Hyperlink" xfId="1846" builtinId="8" hidden="1"/>
    <cellStyle name="Hyperlink" xfId="1848" builtinId="8" hidden="1"/>
    <cellStyle name="Hyperlink" xfId="1850" builtinId="8" hidden="1"/>
    <cellStyle name="Hyperlink" xfId="1852" builtinId="8" hidden="1"/>
    <cellStyle name="Hyperlink" xfId="1854" builtinId="8" hidden="1"/>
    <cellStyle name="Hyperlink" xfId="1856" builtinId="8" hidden="1"/>
    <cellStyle name="Hyperlink" xfId="1858" builtinId="8" hidden="1"/>
    <cellStyle name="Hyperlink" xfId="1860" builtinId="8" hidden="1"/>
    <cellStyle name="Hyperlink" xfId="1862" builtinId="8" hidden="1"/>
    <cellStyle name="Hyperlink" xfId="1864" builtinId="8" hidden="1"/>
    <cellStyle name="Hyperlink" xfId="1866" builtinId="8" hidden="1"/>
    <cellStyle name="Hyperlink" xfId="1868" builtinId="8" hidden="1"/>
    <cellStyle name="Hyperlink" xfId="1870" builtinId="8" hidden="1"/>
    <cellStyle name="Hyperlink" xfId="1872" builtinId="8" hidden="1"/>
    <cellStyle name="Hyperlink" xfId="1874" builtinId="8" hidden="1"/>
    <cellStyle name="Hyperlink" xfId="1876" builtinId="8" hidden="1"/>
    <cellStyle name="Hyperlink" xfId="1878" builtinId="8" hidden="1"/>
    <cellStyle name="Hyperlink" xfId="1880" builtinId="8" hidden="1"/>
    <cellStyle name="Hyperlink" xfId="1882" builtinId="8" hidden="1"/>
    <cellStyle name="Hyperlink" xfId="1884" builtinId="8" hidden="1"/>
    <cellStyle name="Hyperlink" xfId="1886" builtinId="8" hidden="1"/>
    <cellStyle name="Hyperlink" xfId="1888" builtinId="8" hidden="1"/>
    <cellStyle name="Hyperlink" xfId="1890" builtinId="8" hidden="1"/>
    <cellStyle name="Hyperlink" xfId="1892" builtinId="8" hidden="1"/>
    <cellStyle name="Hyperlink" xfId="1894" builtinId="8" hidden="1"/>
    <cellStyle name="Hyperlink" xfId="1896" builtinId="8" hidden="1"/>
    <cellStyle name="Hyperlink" xfId="1898" builtinId="8" hidden="1"/>
    <cellStyle name="Hyperlink" xfId="1900" builtinId="8" hidden="1"/>
    <cellStyle name="Hyperlink" xfId="1902" builtinId="8" hidden="1"/>
    <cellStyle name="Hyperlink" xfId="1904" builtinId="8" hidden="1"/>
    <cellStyle name="Hyperlink" xfId="1906" builtinId="8" hidden="1"/>
    <cellStyle name="Hyperlink" xfId="1908" builtinId="8" hidden="1"/>
    <cellStyle name="Hyperlink" xfId="1910" builtinId="8" hidden="1"/>
    <cellStyle name="Hyperlink" xfId="1912" builtinId="8" hidden="1"/>
    <cellStyle name="Hyperlink" xfId="1914" builtinId="8" hidden="1"/>
    <cellStyle name="Hyperlink" xfId="1916" builtinId="8" hidden="1"/>
    <cellStyle name="Hyperlink" xfId="1918" builtinId="8" hidden="1"/>
    <cellStyle name="Hyperlink" xfId="1920" builtinId="8" hidden="1"/>
    <cellStyle name="Hyperlink" xfId="1922" builtinId="8" hidden="1"/>
    <cellStyle name="Hyperlink" xfId="1924" builtinId="8" hidden="1"/>
    <cellStyle name="Hyperlink" xfId="1926" builtinId="8" hidden="1"/>
    <cellStyle name="Hyperlink" xfId="1928" builtinId="8" hidden="1"/>
    <cellStyle name="Hyperlink" xfId="1930" builtinId="8" hidden="1"/>
    <cellStyle name="Hyperlink" xfId="1932" builtinId="8" hidden="1"/>
    <cellStyle name="Hyperlink" xfId="1934" builtinId="8" hidden="1"/>
    <cellStyle name="Hyperlink" xfId="1936" builtinId="8" hidden="1"/>
    <cellStyle name="Hyperlink" xfId="1938" builtinId="8" hidden="1"/>
    <cellStyle name="Hyperlink" xfId="1940" builtinId="8" hidden="1"/>
    <cellStyle name="Hyperlink" xfId="1942" builtinId="8" hidden="1"/>
    <cellStyle name="Hyperlink" xfId="1944" builtinId="8" hidden="1"/>
    <cellStyle name="Hyperlink" xfId="1946" builtinId="8" hidden="1"/>
    <cellStyle name="Hyperlink" xfId="1948" builtinId="8" hidden="1"/>
    <cellStyle name="Hyperlink" xfId="1950" builtinId="8" hidden="1"/>
    <cellStyle name="Hyperlink" xfId="1952" builtinId="8" hidden="1"/>
    <cellStyle name="Hyperlink" xfId="1954" builtinId="8" hidden="1"/>
    <cellStyle name="Hyperlink" xfId="1956" builtinId="8" hidden="1"/>
    <cellStyle name="Hyperlink" xfId="1958" builtinId="8" hidden="1"/>
    <cellStyle name="Hyperlink" xfId="1960" builtinId="8" hidden="1"/>
    <cellStyle name="Hyperlink" xfId="1962" builtinId="8" hidden="1"/>
    <cellStyle name="Hyperlink" xfId="1964" builtinId="8" hidden="1"/>
    <cellStyle name="Hyperlink" xfId="1966" builtinId="8" hidden="1"/>
    <cellStyle name="Hyperlink" xfId="1968" builtinId="8" hidden="1"/>
    <cellStyle name="Hyperlink" xfId="1970" builtinId="8" hidden="1"/>
    <cellStyle name="Hyperlink" xfId="1972" builtinId="8" hidden="1"/>
    <cellStyle name="Hyperlink" xfId="1974" builtinId="8" hidden="1"/>
    <cellStyle name="Hyperlink" xfId="1976" builtinId="8" hidden="1"/>
    <cellStyle name="Hyperlink" xfId="1978" builtinId="8" hidden="1"/>
    <cellStyle name="Hyperlink" xfId="1980" builtinId="8" hidden="1"/>
    <cellStyle name="Hyperlink" xfId="1982" builtinId="8" hidden="1"/>
    <cellStyle name="Hyperlink" xfId="1984" builtinId="8" hidden="1"/>
    <cellStyle name="Hyperlink" xfId="1986" builtinId="8" hidden="1"/>
    <cellStyle name="Hyperlink" xfId="1988" builtinId="8" hidden="1"/>
    <cellStyle name="Hyperlink" xfId="1990" builtinId="8" hidden="1"/>
    <cellStyle name="Hyperlink" xfId="1992" builtinId="8" hidden="1"/>
    <cellStyle name="Hyperlink" xfId="1994" builtinId="8" hidden="1"/>
    <cellStyle name="Hyperlink" xfId="1996" builtinId="8" hidden="1"/>
    <cellStyle name="Hyperlink" xfId="1998" builtinId="8" hidden="1"/>
    <cellStyle name="Hyperlink" xfId="2000" builtinId="8" hidden="1"/>
    <cellStyle name="Hyperlink" xfId="2002" builtinId="8" hidden="1"/>
    <cellStyle name="Hyperlink" xfId="2004" builtinId="8" hidden="1"/>
    <cellStyle name="Hyperlink" xfId="2006" builtinId="8" hidden="1"/>
    <cellStyle name="Hyperlink" xfId="2008" builtinId="8" hidden="1"/>
    <cellStyle name="Hyperlink" xfId="2010" builtinId="8" hidden="1"/>
    <cellStyle name="Hyperlink" xfId="2012" builtinId="8" hidden="1"/>
    <cellStyle name="Hyperlink" xfId="2014" builtinId="8" hidden="1"/>
    <cellStyle name="Hyperlink" xfId="2016" builtinId="8" hidden="1"/>
    <cellStyle name="Hyperlink" xfId="2018" builtinId="8" hidden="1"/>
    <cellStyle name="Hyperlink" xfId="2020" builtinId="8" hidden="1"/>
    <cellStyle name="Hyperlink" xfId="2022" builtinId="8" hidden="1"/>
    <cellStyle name="Hyperlink" xfId="2024" builtinId="8" hidden="1"/>
    <cellStyle name="Hyperlink" xfId="2026" builtinId="8" hidden="1"/>
    <cellStyle name="Hyperlink" xfId="2028" builtinId="8" hidden="1"/>
    <cellStyle name="Hyperlink" xfId="2030" builtinId="8" hidden="1"/>
    <cellStyle name="Hyperlink" xfId="2032" builtinId="8" hidden="1"/>
    <cellStyle name="Hyperlink" xfId="2034" builtinId="8" hidden="1"/>
    <cellStyle name="Hyperlink" xfId="2036" builtinId="8" hidden="1"/>
    <cellStyle name="Hyperlink" xfId="2038" builtinId="8" hidden="1"/>
    <cellStyle name="Hyperlink" xfId="2040" builtinId="8" hidden="1"/>
    <cellStyle name="Hyperlink" xfId="2042" builtinId="8" hidden="1"/>
    <cellStyle name="Hyperlink" xfId="2044" builtinId="8" hidden="1"/>
    <cellStyle name="Hyperlink" xfId="2046" builtinId="8" hidden="1"/>
    <cellStyle name="Hyperlink" xfId="2048" builtinId="8" hidden="1"/>
    <cellStyle name="Hyperlink" xfId="2050" builtinId="8" hidden="1"/>
    <cellStyle name="Hyperlink" xfId="2052" builtinId="8" hidden="1"/>
    <cellStyle name="Hyperlink" xfId="2054" builtinId="8" hidden="1"/>
    <cellStyle name="Hyperlink" xfId="2056" builtinId="8" hidden="1"/>
    <cellStyle name="Hyperlink" xfId="2058" builtinId="8" hidden="1"/>
    <cellStyle name="Hyperlink" xfId="2060" builtinId="8" hidden="1"/>
    <cellStyle name="Hyperlink" xfId="2062" builtinId="8" hidden="1"/>
    <cellStyle name="Hyperlink" xfId="2064" builtinId="8" hidden="1"/>
    <cellStyle name="Hyperlink" xfId="2066" builtinId="8" hidden="1"/>
    <cellStyle name="Hyperlink" xfId="2068" builtinId="8" hidden="1"/>
    <cellStyle name="Hyperlink" xfId="2070" builtinId="8" hidden="1"/>
    <cellStyle name="Hyperlink" xfId="2072" builtinId="8" hidden="1"/>
    <cellStyle name="Hyperlink" xfId="2074" builtinId="8" hidden="1"/>
    <cellStyle name="Hyperlink" xfId="2076" builtinId="8" hidden="1"/>
    <cellStyle name="Hyperlink" xfId="2078" builtinId="8" hidden="1"/>
    <cellStyle name="Hyperlink" xfId="2080" builtinId="8" hidden="1"/>
    <cellStyle name="Hyperlink" xfId="2082" builtinId="8" hidden="1"/>
    <cellStyle name="Hyperlink" xfId="2084" builtinId="8" hidden="1"/>
    <cellStyle name="Hyperlink" xfId="2086" builtinId="8" hidden="1"/>
    <cellStyle name="Hyperlink" xfId="2088" builtinId="8" hidden="1"/>
    <cellStyle name="Hyperlink" xfId="2090" builtinId="8" hidden="1"/>
    <cellStyle name="Hyperlink" xfId="2092" builtinId="8" hidden="1"/>
    <cellStyle name="Hyperlink" xfId="2094" builtinId="8" hidden="1"/>
    <cellStyle name="Hyperlink" xfId="2096" builtinId="8" hidden="1"/>
    <cellStyle name="Hyperlink" xfId="2098" builtinId="8" hidden="1"/>
    <cellStyle name="Hyperlink" xfId="2100" builtinId="8" hidden="1"/>
    <cellStyle name="Hyperlink" xfId="2102" builtinId="8" hidden="1"/>
    <cellStyle name="Hyperlink" xfId="2104" builtinId="8" hidden="1"/>
    <cellStyle name="Hyperlink" xfId="2106" builtinId="8" hidden="1"/>
    <cellStyle name="Hyperlink" xfId="2108" builtinId="8" hidden="1"/>
    <cellStyle name="Hyperlink" xfId="2110" builtinId="8" hidden="1"/>
    <cellStyle name="Hyperlink" xfId="2112" builtinId="8" hidden="1"/>
    <cellStyle name="Hyperlink" xfId="2114" builtinId="8" hidden="1"/>
    <cellStyle name="Hyperlink" xfId="2116" builtinId="8" hidden="1"/>
    <cellStyle name="Hyperlink" xfId="2118" builtinId="8" hidden="1"/>
    <cellStyle name="Hyperlink" xfId="2120" builtinId="8" hidden="1"/>
    <cellStyle name="Hyperlink" xfId="2122" builtinId="8" hidden="1"/>
    <cellStyle name="Hyperlink" xfId="2124" builtinId="8" hidden="1"/>
    <cellStyle name="Hyperlink" xfId="2126" builtinId="8" hidden="1"/>
    <cellStyle name="Hyperlink" xfId="2128" builtinId="8" hidden="1"/>
    <cellStyle name="Hyperlink" xfId="2130" builtinId="8" hidden="1"/>
    <cellStyle name="Hyperlink" xfId="2132" builtinId="8" hidden="1"/>
    <cellStyle name="Hyperlink" xfId="2134" builtinId="8" hidden="1"/>
    <cellStyle name="Hyperlink" xfId="2136" builtinId="8" hidden="1"/>
    <cellStyle name="Hyperlink" xfId="2138" builtinId="8" hidden="1"/>
    <cellStyle name="Hyperlink" xfId="2140" builtinId="8" hidden="1"/>
    <cellStyle name="Hyperlink" xfId="2142" builtinId="8" hidden="1"/>
    <cellStyle name="Hyperlink" xfId="2144" builtinId="8" hidden="1"/>
    <cellStyle name="Hyperlink" xfId="2146" builtinId="8" hidden="1"/>
    <cellStyle name="Hyperlink" xfId="2148" builtinId="8" hidden="1"/>
    <cellStyle name="Hyperlink" xfId="2150" builtinId="8" hidden="1"/>
    <cellStyle name="Hyperlink" xfId="2152" builtinId="8" hidden="1"/>
    <cellStyle name="Hyperlink" xfId="2154" builtinId="8" hidden="1"/>
    <cellStyle name="Hyperlink" xfId="2156" builtinId="8" hidden="1"/>
    <cellStyle name="Hyperlink" xfId="2158" builtinId="8" hidden="1"/>
    <cellStyle name="Hyperlink" xfId="2160" builtinId="8" hidden="1"/>
    <cellStyle name="Hyperlink" xfId="2162" builtinId="8" hidden="1"/>
    <cellStyle name="Hyperlink" xfId="2164" builtinId="8" hidden="1"/>
    <cellStyle name="Hyperlink" xfId="2166" builtinId="8" hidden="1"/>
    <cellStyle name="Hyperlink" xfId="2168" builtinId="8" hidden="1"/>
    <cellStyle name="Hyperlink" xfId="2170" builtinId="8" hidden="1"/>
    <cellStyle name="Hyperlink" xfId="2172" builtinId="8" hidden="1"/>
    <cellStyle name="Hyperlink" xfId="2174" builtinId="8" hidden="1"/>
    <cellStyle name="Hyperlink" xfId="2176" builtinId="8" hidden="1"/>
    <cellStyle name="Hyperlink" xfId="2178" builtinId="8" hidden="1"/>
    <cellStyle name="Hyperlink" xfId="2180" builtinId="8" hidden="1"/>
    <cellStyle name="Hyperlink" xfId="2182" builtinId="8" hidden="1"/>
    <cellStyle name="Hyperlink" xfId="2184" builtinId="8" hidden="1"/>
    <cellStyle name="Hyperlink" xfId="2186" builtinId="8" hidden="1"/>
    <cellStyle name="Hyperlink" xfId="2188" builtinId="8" hidden="1"/>
    <cellStyle name="Hyperlink" xfId="2190" builtinId="8" hidden="1"/>
    <cellStyle name="Hyperlink" xfId="2192" builtinId="8" hidden="1"/>
    <cellStyle name="Hyperlink" xfId="2194" builtinId="8" hidden="1"/>
    <cellStyle name="Hyperlink" xfId="2196" builtinId="8" hidden="1"/>
    <cellStyle name="Hyperlink" xfId="2198" builtinId="8" hidden="1"/>
    <cellStyle name="Hyperlink" xfId="2200" builtinId="8" hidden="1"/>
    <cellStyle name="Hyperlink" xfId="2202" builtinId="8" hidden="1"/>
    <cellStyle name="Hyperlink" xfId="2204" builtinId="8" hidden="1"/>
    <cellStyle name="Hyperlink" xfId="2207" builtinId="8" hidden="1"/>
    <cellStyle name="Hyperlink" xfId="2209" builtinId="8" hidden="1"/>
    <cellStyle name="Hyperlink" xfId="2211" builtinId="8" hidden="1"/>
    <cellStyle name="Hyperlink" xfId="2213" builtinId="8" hidden="1"/>
    <cellStyle name="Hyperlink" xfId="2215" builtinId="8" hidden="1"/>
    <cellStyle name="Hyperlink" xfId="2217" builtinId="8" hidden="1"/>
    <cellStyle name="Hyperlink" xfId="2219" builtinId="8" hidden="1"/>
    <cellStyle name="Hyperlink" xfId="2221" builtinId="8" hidden="1"/>
    <cellStyle name="Hyperlink" xfId="2223" builtinId="8" hidden="1"/>
    <cellStyle name="Hyperlink" xfId="2225" builtinId="8" hidden="1"/>
    <cellStyle name="Hyperlink" xfId="2227" builtinId="8" hidden="1"/>
    <cellStyle name="Hyperlink" xfId="2229" builtinId="8" hidden="1"/>
    <cellStyle name="Hyperlink" xfId="2231" builtinId="8" hidden="1"/>
    <cellStyle name="Hyperlink" xfId="2233" builtinId="8" hidden="1"/>
    <cellStyle name="Hyperlink" xfId="2235" builtinId="8" hidden="1"/>
    <cellStyle name="Hyperlink" xfId="2237" builtinId="8" hidden="1"/>
    <cellStyle name="Hyperlink" xfId="2239" builtinId="8" hidden="1"/>
    <cellStyle name="Hyperlink" xfId="2241" builtinId="8" hidden="1"/>
    <cellStyle name="Hyperlink" xfId="2243" builtinId="8" hidden="1"/>
    <cellStyle name="Hyperlink" xfId="2245" builtinId="8" hidden="1"/>
    <cellStyle name="Hyperlink" xfId="2247" builtinId="8" hidden="1"/>
    <cellStyle name="Hyperlink" xfId="2249" builtinId="8" hidden="1"/>
    <cellStyle name="Hyperlink" xfId="2251" builtinId="8" hidden="1"/>
    <cellStyle name="Hyperlink" xfId="2253" builtinId="8" hidden="1"/>
    <cellStyle name="Hyperlink" xfId="2255" builtinId="8" hidden="1"/>
    <cellStyle name="Hyperlink" xfId="2257" builtinId="8" hidden="1"/>
    <cellStyle name="Hyperlink" xfId="2279" builtinId="8" hidden="1"/>
    <cellStyle name="Hyperlink" xfId="2281" builtinId="8" hidden="1"/>
    <cellStyle name="Hyperlink" xfId="2283" builtinId="8" hidden="1"/>
    <cellStyle name="Hyperlink" xfId="2285" builtinId="8" hidden="1"/>
    <cellStyle name="Hyperlink" xfId="2287" builtinId="8" hidden="1"/>
    <cellStyle name="Hyperlink" xfId="2289" builtinId="8" hidden="1"/>
    <cellStyle name="Hyperlink" xfId="2291" builtinId="8" hidden="1"/>
    <cellStyle name="Hyperlink" xfId="2293" builtinId="8" hidden="1"/>
    <cellStyle name="Hyperlink" xfId="2295" builtinId="8" hidden="1"/>
    <cellStyle name="Hyperlink" xfId="2297" builtinId="8" hidden="1"/>
    <cellStyle name="Hyperlink" xfId="2299" builtinId="8" hidden="1"/>
    <cellStyle name="Hyperlink" xfId="2301" builtinId="8" hidden="1"/>
    <cellStyle name="Hyperlink" xfId="2303" builtinId="8" hidden="1"/>
    <cellStyle name="Hyperlink" xfId="2305" builtinId="8" hidden="1"/>
    <cellStyle name="Hyperlink" xfId="2307" builtinId="8" hidden="1"/>
    <cellStyle name="Hyperlink" xfId="2309" builtinId="8" hidden="1"/>
    <cellStyle name="Hyperlink" xfId="2311" builtinId="8" hidden="1"/>
    <cellStyle name="Hyperlink" xfId="2313" builtinId="8" hidden="1"/>
    <cellStyle name="Hyperlink" xfId="2315" builtinId="8" hidden="1"/>
    <cellStyle name="Hyperlink" xfId="2317" builtinId="8" hidden="1"/>
    <cellStyle name="Hyperlink" xfId="2319" builtinId="8" hidden="1"/>
    <cellStyle name="Hyperlink" xfId="2321" builtinId="8" hidden="1"/>
    <cellStyle name="Hyperlink" xfId="2323" builtinId="8" hidden="1"/>
    <cellStyle name="Hyperlink" xfId="2325" builtinId="8" hidden="1"/>
    <cellStyle name="Hyperlink" xfId="2327" builtinId="8" hidden="1"/>
    <cellStyle name="Hyperlink" xfId="2329" builtinId="8" hidden="1"/>
    <cellStyle name="Hyperlink" xfId="2331" builtinId="8" hidden="1"/>
    <cellStyle name="Hyperlink" xfId="2333" builtinId="8" hidden="1"/>
    <cellStyle name="Hyperlink" xfId="2335" builtinId="8" hidden="1"/>
    <cellStyle name="Hyperlink" xfId="2337" builtinId="8" hidden="1"/>
    <cellStyle name="Hyperlink" xfId="2339" builtinId="8" hidden="1"/>
    <cellStyle name="Hyperlink" xfId="2341" builtinId="8" hidden="1"/>
    <cellStyle name="Hyperlink" xfId="2343" builtinId="8" hidden="1"/>
    <cellStyle name="Hyperlink" xfId="2345" builtinId="8" hidden="1"/>
    <cellStyle name="Hyperlink" xfId="2347" builtinId="8" hidden="1"/>
    <cellStyle name="Hyperlink" xfId="2349" builtinId="8" hidden="1"/>
    <cellStyle name="Hyperlink" xfId="2351" builtinId="8" hidden="1"/>
    <cellStyle name="Hyperlink" xfId="2353" builtinId="8" hidden="1"/>
    <cellStyle name="Hyperlink" xfId="2355" builtinId="8" hidden="1"/>
    <cellStyle name="Hyperlink" xfId="2357" builtinId="8" hidden="1"/>
    <cellStyle name="Hyperlink" xfId="2359" builtinId="8" hidden="1"/>
    <cellStyle name="Hyperlink" xfId="2361" builtinId="8" hidden="1"/>
    <cellStyle name="Hyperlink" xfId="2363" builtinId="8" hidden="1"/>
    <cellStyle name="Hyperlink" xfId="2365" builtinId="8" hidden="1"/>
    <cellStyle name="Hyperlink" xfId="2367" builtinId="8" hidden="1"/>
    <cellStyle name="Hyperlink" xfId="2369" builtinId="8" hidden="1"/>
    <cellStyle name="Hyperlink" xfId="2371" builtinId="8" hidden="1"/>
    <cellStyle name="Hyperlink" xfId="2373" builtinId="8" hidden="1"/>
    <cellStyle name="Hyperlink" xfId="2375" builtinId="8" hidden="1"/>
    <cellStyle name="Hyperlink" xfId="2377" builtinId="8" hidden="1"/>
    <cellStyle name="Hyperlink" xfId="2379" builtinId="8" hidden="1"/>
    <cellStyle name="Hyperlink" xfId="2381" builtinId="8" hidden="1"/>
    <cellStyle name="Hyperlink" xfId="2383" builtinId="8" hidden="1"/>
    <cellStyle name="Hyperlink" xfId="2385" builtinId="8" hidden="1"/>
    <cellStyle name="Hyperlink" xfId="2387" builtinId="8" hidden="1"/>
    <cellStyle name="Hyperlink" xfId="2389" builtinId="8" hidden="1"/>
    <cellStyle name="Hyperlink" xfId="2391" builtinId="8" hidden="1"/>
    <cellStyle name="Hyperlink" xfId="2393" builtinId="8" hidden="1"/>
    <cellStyle name="Hyperlink" xfId="2395" builtinId="8" hidden="1"/>
    <cellStyle name="Hyperlink" xfId="2397" builtinId="8" hidden="1"/>
    <cellStyle name="Hyperlink" xfId="2399" builtinId="8" hidden="1"/>
    <cellStyle name="Hyperlink" xfId="2401" builtinId="8" hidden="1"/>
    <cellStyle name="Hyperlink" xfId="2403" builtinId="8" hidden="1"/>
    <cellStyle name="Hyperlink" xfId="2405" builtinId="8" hidden="1"/>
    <cellStyle name="Hyperlink" xfId="2407" builtinId="8" hidden="1"/>
    <cellStyle name="Hyperlink" xfId="2409" builtinId="8" hidden="1"/>
    <cellStyle name="Hyperlink" xfId="2411" builtinId="8" hidden="1"/>
    <cellStyle name="Hyperlink" xfId="2413" builtinId="8" hidden="1"/>
    <cellStyle name="Hyperlink" xfId="2415" builtinId="8" hidden="1"/>
    <cellStyle name="Hyperlink" xfId="2417" builtinId="8" hidden="1"/>
    <cellStyle name="Hyperlink" xfId="2419" builtinId="8" hidden="1"/>
    <cellStyle name="Hyperlink" xfId="2421" builtinId="8" hidden="1"/>
    <cellStyle name="Hyperlink" xfId="2423" builtinId="8" hidden="1"/>
    <cellStyle name="Hyperlink" xfId="2425" builtinId="8" hidden="1"/>
    <cellStyle name="Hyperlink" xfId="2427" builtinId="8" hidden="1"/>
    <cellStyle name="Hyperlink" xfId="2429" builtinId="8" hidden="1"/>
    <cellStyle name="Hyperlink" xfId="2431" builtinId="8" hidden="1"/>
    <cellStyle name="Hyperlink" xfId="2433" builtinId="8" hidden="1"/>
    <cellStyle name="Hyperlink" xfId="2435" builtinId="8" hidden="1"/>
    <cellStyle name="Hyperlink" xfId="2437" builtinId="8" hidden="1"/>
    <cellStyle name="Hyperlink" xfId="2439" builtinId="8" hidden="1"/>
    <cellStyle name="Hyperlink" xfId="2441" builtinId="8" hidden="1"/>
    <cellStyle name="Hyperlink" xfId="2443" builtinId="8" hidden="1"/>
    <cellStyle name="Hyperlink" xfId="2445" builtinId="8" hidden="1"/>
    <cellStyle name="Hyperlink" xfId="2447" builtinId="8" hidden="1"/>
    <cellStyle name="Hyperlink" xfId="2449" builtinId="8" hidden="1"/>
    <cellStyle name="Hyperlink" xfId="2451" builtinId="8" hidden="1"/>
    <cellStyle name="Hyperlink" xfId="2453" builtinId="8" hidden="1"/>
    <cellStyle name="Hyperlink" xfId="2455" builtinId="8" hidden="1"/>
    <cellStyle name="Hyperlink" xfId="2457" builtinId="8" hidden="1"/>
    <cellStyle name="Hyperlink" xfId="2459" builtinId="8" hidden="1"/>
    <cellStyle name="Hyperlink" xfId="2461" builtinId="8" hidden="1"/>
    <cellStyle name="Hyperlink" xfId="2463" builtinId="8" hidden="1"/>
    <cellStyle name="Hyperlink" xfId="2465" builtinId="8" hidden="1"/>
    <cellStyle name="Hyperlink" xfId="2467" builtinId="8" hidden="1"/>
    <cellStyle name="Hyperlink" xfId="2469" builtinId="8" hidden="1"/>
    <cellStyle name="Hyperlink" xfId="2471" builtinId="8" hidden="1"/>
    <cellStyle name="Hyperlink" xfId="2473" builtinId="8" hidden="1"/>
    <cellStyle name="Hyperlink" xfId="2475" builtinId="8" hidden="1"/>
    <cellStyle name="Hyperlink" xfId="2477" builtinId="8" hidden="1"/>
    <cellStyle name="Hyperlink" xfId="2479" builtinId="8" hidden="1"/>
    <cellStyle name="Hyperlink" xfId="2481" builtinId="8" hidden="1"/>
    <cellStyle name="Hyperlink" xfId="2483" builtinId="8" hidden="1"/>
    <cellStyle name="Hyperlink" xfId="2485" builtinId="8" hidden="1"/>
    <cellStyle name="Hyperlink" xfId="2487" builtinId="8" hidden="1"/>
    <cellStyle name="Hyperlink" xfId="2489" builtinId="8" hidden="1"/>
    <cellStyle name="Hyperlink" xfId="2491" builtinId="8" hidden="1"/>
    <cellStyle name="Hyperlink" xfId="2493" builtinId="8" hidden="1"/>
    <cellStyle name="Hyperlink" xfId="2495" builtinId="8" hidden="1"/>
    <cellStyle name="Hyperlink" xfId="2497" builtinId="8" hidden="1"/>
    <cellStyle name="Hyperlink" xfId="2499" builtinId="8" hidden="1"/>
    <cellStyle name="Hyperlink" xfId="2501" builtinId="8" hidden="1"/>
    <cellStyle name="Hyperlink" xfId="2503" builtinId="8" hidden="1"/>
    <cellStyle name="Hyperlink" xfId="2505" builtinId="8" hidden="1"/>
    <cellStyle name="Hyperlink" xfId="2507" builtinId="8" hidden="1"/>
    <cellStyle name="Hyperlink" xfId="2509" builtinId="8" hidden="1"/>
    <cellStyle name="Hyperlink" xfId="2511" builtinId="8" hidden="1"/>
    <cellStyle name="Hyperlink" xfId="2513" builtinId="8" hidden="1"/>
    <cellStyle name="Hyperlink" xfId="2515" builtinId="8" hidden="1"/>
    <cellStyle name="Hyperlink" xfId="2517" builtinId="8" hidden="1"/>
    <cellStyle name="Hyperlink" xfId="2519" builtinId="8" hidden="1"/>
    <cellStyle name="Hyperlink" xfId="2521" builtinId="8" hidden="1"/>
    <cellStyle name="Hyperlink" xfId="2523" builtinId="8" hidden="1"/>
    <cellStyle name="Hyperlink" xfId="2525" builtinId="8" hidden="1"/>
    <cellStyle name="Hyperlink" xfId="2527" builtinId="8" hidden="1"/>
    <cellStyle name="Hyperlink" xfId="2529" builtinId="8" hidden="1"/>
    <cellStyle name="Hyperlink" xfId="2531" builtinId="8" hidden="1"/>
    <cellStyle name="Hyperlink" xfId="2533" builtinId="8" hidden="1"/>
    <cellStyle name="Hyperlink" xfId="2535" builtinId="8" hidden="1"/>
    <cellStyle name="Hyperlink" xfId="2537" builtinId="8" hidden="1"/>
    <cellStyle name="Hyperlink" xfId="2539" builtinId="8" hidden="1"/>
    <cellStyle name="Hyperlink" xfId="2541" builtinId="8" hidden="1"/>
    <cellStyle name="Hyperlink" xfId="2543" builtinId="8" hidden="1"/>
    <cellStyle name="Hyperlink" xfId="2545" builtinId="8" hidden="1"/>
    <cellStyle name="Hyperlink" xfId="2547" builtinId="8" hidden="1"/>
    <cellStyle name="Hyperlink" xfId="2549" builtinId="8" hidden="1"/>
    <cellStyle name="Hyperlink" xfId="2551" builtinId="8" hidden="1"/>
    <cellStyle name="Hyperlink" xfId="2553" builtinId="8" hidden="1"/>
    <cellStyle name="Hyperlink" xfId="2555" builtinId="8" hidden="1"/>
    <cellStyle name="Hyperlink" xfId="2557" builtinId="8" hidden="1"/>
    <cellStyle name="Hyperlink" xfId="2559" builtinId="8" hidden="1"/>
    <cellStyle name="Hyperlink" xfId="2561" builtinId="8" hidden="1"/>
    <cellStyle name="Hyperlink" xfId="2563" builtinId="8" hidden="1"/>
    <cellStyle name="Hyperlink" xfId="2565" builtinId="8" hidden="1"/>
    <cellStyle name="Hyperlink" xfId="2567" builtinId="8" hidden="1"/>
    <cellStyle name="Hyperlink" xfId="2569" builtinId="8" hidden="1"/>
    <cellStyle name="Hyperlink" xfId="2571" builtinId="8" hidden="1"/>
    <cellStyle name="Hyperlink" xfId="2573" builtinId="8" hidden="1"/>
    <cellStyle name="Hyperlink" xfId="2575" builtinId="8" hidden="1"/>
    <cellStyle name="Hyperlink" xfId="2578" builtinId="8" hidden="1"/>
    <cellStyle name="Hyperlink" xfId="2580" builtinId="8" hidden="1"/>
    <cellStyle name="Hyperlink" xfId="2582" builtinId="8" hidden="1"/>
    <cellStyle name="Hyperlink" xfId="2584" builtinId="8" hidden="1"/>
    <cellStyle name="Hyperlink" xfId="2586" builtinId="8" hidden="1"/>
    <cellStyle name="Hyperlink" xfId="2588" builtinId="8" hidden="1"/>
    <cellStyle name="Hyperlink" xfId="2590" builtinId="8" hidden="1"/>
    <cellStyle name="Hyperlink" xfId="2592" builtinId="8" hidden="1"/>
    <cellStyle name="Hyperlink" xfId="2594" builtinId="8" hidden="1"/>
    <cellStyle name="Hyperlink" xfId="2596" builtinId="8" hidden="1"/>
    <cellStyle name="Hyperlink" xfId="2598" builtinId="8" hidden="1"/>
    <cellStyle name="Hyperlink" xfId="2600" builtinId="8" hidden="1"/>
    <cellStyle name="Hyperlink" xfId="2602" builtinId="8" hidden="1"/>
    <cellStyle name="Hyperlink" xfId="2604" builtinId="8" hidden="1"/>
    <cellStyle name="Hyperlink" xfId="2606" builtinId="8" hidden="1"/>
    <cellStyle name="Hyperlink" xfId="2608" builtinId="8" hidden="1"/>
    <cellStyle name="Hyperlink" xfId="2610" builtinId="8" hidden="1"/>
    <cellStyle name="Hyperlink" xfId="2612" builtinId="8" hidden="1"/>
    <cellStyle name="Hyperlink" xfId="2614" builtinId="8" hidden="1"/>
    <cellStyle name="Hyperlink" xfId="2616" builtinId="8" hidden="1"/>
    <cellStyle name="Hyperlink" xfId="2618" builtinId="8" hidden="1"/>
    <cellStyle name="Hyperlink" xfId="2620" builtinId="8" hidden="1"/>
    <cellStyle name="Hyperlink" xfId="2622" builtinId="8" hidden="1"/>
    <cellStyle name="Hyperlink" xfId="2624" builtinId="8" hidden="1"/>
    <cellStyle name="Hyperlink" xfId="2626" builtinId="8" hidden="1"/>
    <cellStyle name="Hyperlink" xfId="2628" builtinId="8" hidden="1"/>
    <cellStyle name="Normal" xfId="0" builtinId="0"/>
    <cellStyle name="Per cent" xfId="731" builtinId="5"/>
  </cellStyles>
  <dxfs count="56">
    <dxf>
      <font>
        <color rgb="FF006100"/>
      </font>
      <fill>
        <patternFill>
          <bgColor rgb="FFC6EFCE"/>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theme="1"/>
      </font>
      <fill>
        <patternFill patternType="solid">
          <fgColor indexed="64"/>
          <bgColor rgb="FFFF66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CCFFCC"/>
      </font>
      <fill>
        <patternFill patternType="solid">
          <fgColor indexed="64"/>
          <bgColor rgb="FFCCFFC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CCFFCC"/>
      </font>
      <fill>
        <patternFill>
          <bgColor rgb="FFC6EFCE"/>
        </patternFill>
      </fill>
    </dxf>
    <dxf>
      <font>
        <color rgb="FFCCFFCC"/>
      </font>
      <fill>
        <patternFill>
          <bgColor rgb="FFC6EFCE"/>
        </patternFill>
      </fill>
    </dxf>
    <dxf>
      <font>
        <color rgb="FF006100"/>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patternType="solid">
          <fgColor indexed="64"/>
          <bgColor rgb="FFCCFFCC"/>
        </patternFill>
      </fill>
    </dxf>
    <dxf>
      <font>
        <color rgb="FFCCFFCC"/>
      </font>
      <fill>
        <patternFill>
          <bgColor rgb="FFC6EFCE"/>
        </patternFill>
      </fill>
    </dxf>
    <dxf>
      <font>
        <color rgb="FFCCFFCC"/>
      </font>
      <fill>
        <patternFill patternType="solid">
          <fgColor indexed="64"/>
          <bgColor rgb="FFCCFFCC"/>
        </patternFill>
      </fill>
    </dxf>
    <dxf>
      <font>
        <color rgb="FFCCFFCC"/>
      </font>
      <fill>
        <patternFill>
          <bgColor rgb="FFC6EFCE"/>
        </patternFill>
      </fill>
    </dxf>
    <dxf>
      <font>
        <color rgb="FFCCFFCC"/>
      </font>
      <fill>
        <patternFill>
          <bgColor rgb="FFC6EFCE"/>
        </patternFill>
      </fill>
    </dxf>
    <dxf>
      <font>
        <color rgb="FFCCFFCC"/>
      </font>
      <fill>
        <patternFill patternType="solid">
          <fgColor indexed="64"/>
          <bgColor rgb="FFCCFFCC"/>
        </patternFill>
      </fill>
    </dxf>
    <dxf>
      <font>
        <color rgb="FFCCFFCC"/>
      </font>
      <fill>
        <patternFill patternType="solid">
          <fgColor indexed="64"/>
          <bgColor rgb="FFCCFFCC"/>
        </patternFill>
      </fill>
    </dxf>
    <dxf>
      <font>
        <color rgb="FFCCFFCC"/>
      </font>
      <fill>
        <patternFill patternType="solid">
          <fgColor indexed="64"/>
          <bgColor rgb="FFCCFFC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5.xml"/><Relationship Id="rId8" Type="http://schemas.openxmlformats.org/officeDocument/2006/relationships/worksheet" Target="worksheets/sheet8.xml"/><Relationship Id="rId3" Type="http://schemas.openxmlformats.org/officeDocument/2006/relationships/worksheet" Target="worksheets/sheet3.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twoCellAnchor>
    <xdr:from>
      <xdr:col>10</xdr:col>
      <xdr:colOff>0</xdr:colOff>
      <xdr:row>8</xdr:row>
      <xdr:rowOff>0</xdr:rowOff>
    </xdr:from>
    <xdr:to>
      <xdr:col>73</xdr:col>
      <xdr:colOff>0</xdr:colOff>
      <xdr:row>43</xdr:row>
      <xdr:rowOff>0</xdr:rowOff>
    </xdr:to>
    <xdr:sp macro="" textlink="">
      <xdr:nvSpPr>
        <xdr:cNvPr id="61" name="L-Shape 60">
          <a:extLst>
            <a:ext uri="{FF2B5EF4-FFF2-40B4-BE49-F238E27FC236}">
              <a16:creationId xmlns:a16="http://schemas.microsoft.com/office/drawing/2014/main" id="{00000000-0008-0000-0400-00003D000000}"/>
            </a:ext>
          </a:extLst>
        </xdr:cNvPr>
        <xdr:cNvSpPr/>
      </xdr:nvSpPr>
      <xdr:spPr>
        <a:xfrm>
          <a:off x="2565400" y="1905000"/>
          <a:ext cx="13601700" cy="6667500"/>
        </a:xfrm>
        <a:prstGeom prst="corner">
          <a:avLst>
            <a:gd name="adj1" fmla="val 12617"/>
            <a:gd name="adj2" fmla="val 33654"/>
          </a:avLst>
        </a:prstGeom>
        <a:solidFill>
          <a:srgbClr val="CDB236">
            <a:alpha val="51000"/>
          </a:srgbClr>
        </a:solidFill>
        <a:ln>
          <a:solidFill>
            <a:srgbClr val="B3A2C7"/>
          </a:solidFill>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t"/>
        <a:lstStyle/>
        <a:p>
          <a:pPr algn="l"/>
          <a:endParaRPr lang="en-US" sz="2000" u="sng"/>
        </a:p>
      </xdr:txBody>
    </xdr:sp>
    <xdr:clientData/>
  </xdr:twoCellAnchor>
  <xdr:twoCellAnchor>
    <xdr:from>
      <xdr:col>22</xdr:col>
      <xdr:colOff>0</xdr:colOff>
      <xdr:row>8</xdr:row>
      <xdr:rowOff>12700</xdr:rowOff>
    </xdr:from>
    <xdr:to>
      <xdr:col>53</xdr:col>
      <xdr:colOff>0</xdr:colOff>
      <xdr:row>37</xdr:row>
      <xdr:rowOff>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5156200" y="1917700"/>
          <a:ext cx="6692900" cy="5511800"/>
        </a:xfrm>
        <a:prstGeom prst="rect">
          <a:avLst/>
        </a:prstGeom>
        <a:solidFill>
          <a:schemeClr val="accent5">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Calculations</a:t>
          </a:r>
        </a:p>
      </xdr:txBody>
    </xdr:sp>
    <xdr:clientData/>
  </xdr:twoCellAnchor>
  <xdr:twoCellAnchor>
    <xdr:from>
      <xdr:col>37</xdr:col>
      <xdr:colOff>0</xdr:colOff>
      <xdr:row>16</xdr:row>
      <xdr:rowOff>0</xdr:rowOff>
    </xdr:from>
    <xdr:to>
      <xdr:col>45</xdr:col>
      <xdr:colOff>0</xdr:colOff>
      <xdr:row>31</xdr:row>
      <xdr:rowOff>0</xdr:rowOff>
    </xdr:to>
    <xdr:sp macro="" textlink="">
      <xdr:nvSpPr>
        <xdr:cNvPr id="4" name="Rectangle 3">
          <a:extLst>
            <a:ext uri="{FF2B5EF4-FFF2-40B4-BE49-F238E27FC236}">
              <a16:creationId xmlns:a16="http://schemas.microsoft.com/office/drawing/2014/main" id="{00000000-0008-0000-0400-000004000000}"/>
            </a:ext>
          </a:extLst>
        </xdr:cNvPr>
        <xdr:cNvSpPr/>
      </xdr:nvSpPr>
      <xdr:spPr>
        <a:xfrm>
          <a:off x="8394700" y="3429000"/>
          <a:ext cx="1727200" cy="2857500"/>
        </a:xfrm>
        <a:prstGeom prst="rect">
          <a:avLst/>
        </a:prstGeom>
        <a:solidFill>
          <a:schemeClr val="bg1">
            <a:alpha val="43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ctr"/>
          <a:r>
            <a:rPr lang="en-US" sz="1400">
              <a:solidFill>
                <a:schemeClr val="tx1"/>
              </a:solidFill>
            </a:rPr>
            <a:t>Calculation</a:t>
          </a:r>
          <a:r>
            <a:rPr lang="en-US" sz="1400" baseline="0">
              <a:solidFill>
                <a:schemeClr val="tx1"/>
              </a:solidFill>
            </a:rPr>
            <a:t> i</a:t>
          </a:r>
          <a:r>
            <a:rPr lang="en-US" sz="1400">
              <a:solidFill>
                <a:schemeClr val="tx1"/>
              </a:solidFill>
            </a:rPr>
            <a:t>nputs/outputs per plant type</a:t>
          </a:r>
        </a:p>
        <a:p>
          <a:pPr algn="ctr"/>
          <a:endParaRPr lang="en-US" sz="1400">
            <a:solidFill>
              <a:schemeClr val="tx1"/>
            </a:solidFill>
          </a:endParaRPr>
        </a:p>
      </xdr:txBody>
    </xdr:sp>
    <xdr:clientData/>
  </xdr:twoCellAnchor>
  <xdr:twoCellAnchor>
    <xdr:from>
      <xdr:col>74</xdr:col>
      <xdr:colOff>0</xdr:colOff>
      <xdr:row>8</xdr:row>
      <xdr:rowOff>0</xdr:rowOff>
    </xdr:from>
    <xdr:to>
      <xdr:col>82</xdr:col>
      <xdr:colOff>0</xdr:colOff>
      <xdr:row>37</xdr:row>
      <xdr:rowOff>0</xdr:rowOff>
    </xdr:to>
    <xdr:sp macro="" textlink="">
      <xdr:nvSpPr>
        <xdr:cNvPr id="5" name="Rectangle 4">
          <a:extLst>
            <a:ext uri="{FF2B5EF4-FFF2-40B4-BE49-F238E27FC236}">
              <a16:creationId xmlns:a16="http://schemas.microsoft.com/office/drawing/2014/main" id="{00000000-0008-0000-0400-000005000000}"/>
            </a:ext>
          </a:extLst>
        </xdr:cNvPr>
        <xdr:cNvSpPr/>
      </xdr:nvSpPr>
      <xdr:spPr>
        <a:xfrm>
          <a:off x="16167100" y="1905000"/>
          <a:ext cx="1727200" cy="5524500"/>
        </a:xfrm>
        <a:prstGeom prst="rect">
          <a:avLst/>
        </a:prstGeom>
        <a:solidFill>
          <a:srgbClr val="B3A2C7">
            <a:alpha val="51000"/>
          </a:srgb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1800" u="sng">
              <a:solidFill>
                <a:schemeClr val="bg1"/>
              </a:solidFill>
            </a:rPr>
            <a:t>Input Data for ETM</a:t>
          </a:r>
        </a:p>
      </xdr:txBody>
    </xdr:sp>
    <xdr:clientData/>
  </xdr:twoCellAnchor>
  <xdr:twoCellAnchor>
    <xdr:from>
      <xdr:col>55</xdr:col>
      <xdr:colOff>0</xdr:colOff>
      <xdr:row>8</xdr:row>
      <xdr:rowOff>0</xdr:rowOff>
    </xdr:from>
    <xdr:to>
      <xdr:col>73</xdr:col>
      <xdr:colOff>0</xdr:colOff>
      <xdr:row>37</xdr:row>
      <xdr:rowOff>0</xdr:rowOff>
    </xdr:to>
    <xdr:sp macro="" textlink="">
      <xdr:nvSpPr>
        <xdr:cNvPr id="6" name="Rectangle 5">
          <a:extLst>
            <a:ext uri="{FF2B5EF4-FFF2-40B4-BE49-F238E27FC236}">
              <a16:creationId xmlns:a16="http://schemas.microsoft.com/office/drawing/2014/main" id="{00000000-0008-0000-0400-000006000000}"/>
            </a:ext>
          </a:extLst>
        </xdr:cNvPr>
        <xdr:cNvSpPr/>
      </xdr:nvSpPr>
      <xdr:spPr>
        <a:xfrm>
          <a:off x="12280900" y="1905000"/>
          <a:ext cx="3886200" cy="55245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Results</a:t>
          </a:r>
        </a:p>
      </xdr:txBody>
    </xdr:sp>
    <xdr:clientData/>
  </xdr:twoCellAnchor>
  <xdr:twoCellAnchor>
    <xdr:from>
      <xdr:col>11</xdr:col>
      <xdr:colOff>0</xdr:colOff>
      <xdr:row>14</xdr:row>
      <xdr:rowOff>0</xdr:rowOff>
    </xdr:from>
    <xdr:to>
      <xdr:col>19</xdr:col>
      <xdr:colOff>0</xdr:colOff>
      <xdr:row>39</xdr:row>
      <xdr:rowOff>0</xdr:rowOff>
    </xdr:to>
    <xdr:sp macro="" textlink="">
      <xdr:nvSpPr>
        <xdr:cNvPr id="7" name="Rectangle 6">
          <a:extLst>
            <a:ext uri="{FF2B5EF4-FFF2-40B4-BE49-F238E27FC236}">
              <a16:creationId xmlns:a16="http://schemas.microsoft.com/office/drawing/2014/main" id="{00000000-0008-0000-0400-000007000000}"/>
            </a:ext>
          </a:extLst>
        </xdr:cNvPr>
        <xdr:cNvSpPr/>
      </xdr:nvSpPr>
      <xdr:spPr>
        <a:xfrm>
          <a:off x="2781300" y="3048000"/>
          <a:ext cx="1727200" cy="4762500"/>
        </a:xfrm>
        <a:prstGeom prst="rect">
          <a:avLst/>
        </a:prstGeom>
        <a:solidFill>
          <a:schemeClr val="bg2">
            <a:lumMod val="75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Assumptions</a:t>
          </a:r>
        </a:p>
      </xdr:txBody>
    </xdr:sp>
    <xdr:clientData/>
  </xdr:twoCellAnchor>
  <xdr:twoCellAnchor>
    <xdr:from>
      <xdr:col>1</xdr:col>
      <xdr:colOff>0</xdr:colOff>
      <xdr:row>28</xdr:row>
      <xdr:rowOff>0</xdr:rowOff>
    </xdr:from>
    <xdr:to>
      <xdr:col>9</xdr:col>
      <xdr:colOff>0</xdr:colOff>
      <xdr:row>43</xdr:row>
      <xdr:rowOff>0</xdr:rowOff>
    </xdr:to>
    <xdr:sp macro="" textlink="">
      <xdr:nvSpPr>
        <xdr:cNvPr id="8" name="Rectangle 7">
          <a:extLst>
            <a:ext uri="{FF2B5EF4-FFF2-40B4-BE49-F238E27FC236}">
              <a16:creationId xmlns:a16="http://schemas.microsoft.com/office/drawing/2014/main" id="{00000000-0008-0000-0400-000008000000}"/>
            </a:ext>
          </a:extLst>
        </xdr:cNvPr>
        <xdr:cNvSpPr/>
      </xdr:nvSpPr>
      <xdr:spPr>
        <a:xfrm>
          <a:off x="622300" y="5715000"/>
          <a:ext cx="1727200" cy="2857500"/>
        </a:xfrm>
        <a:prstGeom prst="rect">
          <a:avLst/>
        </a:prstGeom>
        <a:solidFill>
          <a:schemeClr val="accent3">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Sources</a:t>
          </a:r>
        </a:p>
      </xdr:txBody>
    </xdr:sp>
    <xdr:clientData/>
  </xdr:twoCellAnchor>
  <xdr:twoCellAnchor>
    <xdr:from>
      <xdr:col>1</xdr:col>
      <xdr:colOff>12700</xdr:colOff>
      <xdr:row>8</xdr:row>
      <xdr:rowOff>25400</xdr:rowOff>
    </xdr:from>
    <xdr:to>
      <xdr:col>9</xdr:col>
      <xdr:colOff>0</xdr:colOff>
      <xdr:row>27</xdr:row>
      <xdr:rowOff>0</xdr:rowOff>
    </xdr:to>
    <xdr:sp macro="" textlink="">
      <xdr:nvSpPr>
        <xdr:cNvPr id="9" name="Rectangle 8">
          <a:extLst>
            <a:ext uri="{FF2B5EF4-FFF2-40B4-BE49-F238E27FC236}">
              <a16:creationId xmlns:a16="http://schemas.microsoft.com/office/drawing/2014/main" id="{00000000-0008-0000-0400-000009000000}"/>
            </a:ext>
          </a:extLst>
        </xdr:cNvPr>
        <xdr:cNvSpPr/>
      </xdr:nvSpPr>
      <xdr:spPr>
        <a:xfrm>
          <a:off x="635000" y="1930400"/>
          <a:ext cx="1714500" cy="3594100"/>
        </a:xfrm>
        <a:prstGeom prst="rect">
          <a:avLst/>
        </a:prstGeom>
        <a:solidFill>
          <a:schemeClr val="accent3">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1600" u="sng"/>
            <a:t>Research data</a:t>
          </a:r>
        </a:p>
      </xdr:txBody>
    </xdr:sp>
    <xdr:clientData/>
  </xdr:twoCellAnchor>
  <xdr:twoCellAnchor>
    <xdr:from>
      <xdr:col>2</xdr:col>
      <xdr:colOff>0</xdr:colOff>
      <xdr:row>23</xdr:row>
      <xdr:rowOff>0</xdr:rowOff>
    </xdr:from>
    <xdr:to>
      <xdr:col>8</xdr:col>
      <xdr:colOff>0</xdr:colOff>
      <xdr:row>26</xdr:row>
      <xdr:rowOff>0</xdr:rowOff>
    </xdr:to>
    <xdr:sp macro="" textlink="">
      <xdr:nvSpPr>
        <xdr:cNvPr id="10" name="Rectangle 9">
          <a:extLst>
            <a:ext uri="{FF2B5EF4-FFF2-40B4-BE49-F238E27FC236}">
              <a16:creationId xmlns:a16="http://schemas.microsoft.com/office/drawing/2014/main" id="{00000000-0008-0000-0400-00000A000000}"/>
            </a:ext>
          </a:extLst>
        </xdr:cNvPr>
        <xdr:cNvSpPr/>
      </xdr:nvSpPr>
      <xdr:spPr>
        <a:xfrm>
          <a:off x="838200" y="4762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Corrected energy balance step 1</a:t>
          </a:r>
        </a:p>
      </xdr:txBody>
    </xdr:sp>
    <xdr:clientData/>
  </xdr:twoCellAnchor>
  <xdr:twoCellAnchor>
    <xdr:from>
      <xdr:col>65</xdr:col>
      <xdr:colOff>0</xdr:colOff>
      <xdr:row>17</xdr:row>
      <xdr:rowOff>0</xdr:rowOff>
    </xdr:from>
    <xdr:to>
      <xdr:col>72</xdr:col>
      <xdr:colOff>152400</xdr:colOff>
      <xdr:row>26</xdr:row>
      <xdr:rowOff>0</xdr:rowOff>
    </xdr:to>
    <xdr:sp macro="" textlink="">
      <xdr:nvSpPr>
        <xdr:cNvPr id="11" name="Rectangle 10">
          <a:extLst>
            <a:ext uri="{FF2B5EF4-FFF2-40B4-BE49-F238E27FC236}">
              <a16:creationId xmlns:a16="http://schemas.microsoft.com/office/drawing/2014/main" id="{00000000-0008-0000-0400-00000B000000}"/>
            </a:ext>
          </a:extLst>
        </xdr:cNvPr>
        <xdr:cNvSpPr/>
      </xdr:nvSpPr>
      <xdr:spPr>
        <a:xfrm>
          <a:off x="14439900" y="3619500"/>
          <a:ext cx="1663700" cy="17145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1800" u="sng">
              <a:solidFill>
                <a:srgbClr val="FFFFFF"/>
              </a:solidFill>
            </a:rPr>
            <a:t>Input Data for further analyses</a:t>
          </a:r>
        </a:p>
      </xdr:txBody>
    </xdr:sp>
    <xdr:clientData/>
  </xdr:twoCellAnchor>
  <xdr:twoCellAnchor>
    <xdr:from>
      <xdr:col>75</xdr:col>
      <xdr:colOff>0</xdr:colOff>
      <xdr:row>12</xdr:row>
      <xdr:rowOff>0</xdr:rowOff>
    </xdr:from>
    <xdr:to>
      <xdr:col>81</xdr:col>
      <xdr:colOff>0</xdr:colOff>
      <xdr:row>15</xdr:row>
      <xdr:rowOff>0</xdr:rowOff>
    </xdr:to>
    <xdr:sp macro="" textlink="">
      <xdr:nvSpPr>
        <xdr:cNvPr id="12" name="Rectangle 11">
          <a:extLst>
            <a:ext uri="{FF2B5EF4-FFF2-40B4-BE49-F238E27FC236}">
              <a16:creationId xmlns:a16="http://schemas.microsoft.com/office/drawing/2014/main" id="{00000000-0008-0000-0400-00000C000000}"/>
            </a:ext>
          </a:extLst>
        </xdr:cNvPr>
        <xdr:cNvSpPr/>
      </xdr:nvSpPr>
      <xdr:spPr>
        <a:xfrm>
          <a:off x="16598900" y="2667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 demands</a:t>
          </a:r>
        </a:p>
      </xdr:txBody>
    </xdr:sp>
    <xdr:clientData/>
  </xdr:twoCellAnchor>
  <xdr:twoCellAnchor>
    <xdr:from>
      <xdr:col>18</xdr:col>
      <xdr:colOff>0</xdr:colOff>
      <xdr:row>22</xdr:row>
      <xdr:rowOff>0</xdr:rowOff>
    </xdr:from>
    <xdr:to>
      <xdr:col>25</xdr:col>
      <xdr:colOff>0</xdr:colOff>
      <xdr:row>22</xdr:row>
      <xdr:rowOff>12700</xdr:rowOff>
    </xdr:to>
    <xdr:cxnSp macro="">
      <xdr:nvCxnSpPr>
        <xdr:cNvPr id="13" name="Straight Arrow Connector 136">
          <a:extLst>
            <a:ext uri="{FF2B5EF4-FFF2-40B4-BE49-F238E27FC236}">
              <a16:creationId xmlns:a16="http://schemas.microsoft.com/office/drawing/2014/main" id="{00000000-0008-0000-0400-00000D000000}"/>
            </a:ext>
          </a:extLst>
        </xdr:cNvPr>
        <xdr:cNvCxnSpPr>
          <a:stCxn id="19" idx="3"/>
          <a:endCxn id="48" idx="1"/>
        </xdr:cNvCxnSpPr>
      </xdr:nvCxnSpPr>
      <xdr:spPr>
        <a:xfrm>
          <a:off x="4292600" y="4572000"/>
          <a:ext cx="1511300" cy="12700"/>
        </a:xfrm>
        <a:prstGeom prst="bentConnector3">
          <a:avLst>
            <a:gd name="adj1" fmla="val 50000"/>
          </a:avLst>
        </a:prstGeom>
        <a:ln>
          <a:solidFill>
            <a:srgbClr val="008000"/>
          </a:solidFill>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0</xdr:colOff>
      <xdr:row>8</xdr:row>
      <xdr:rowOff>0</xdr:rowOff>
    </xdr:from>
    <xdr:to>
      <xdr:col>21</xdr:col>
      <xdr:colOff>0</xdr:colOff>
      <xdr:row>38</xdr:row>
      <xdr:rowOff>0</xdr:rowOff>
    </xdr:to>
    <xdr:cxnSp macro="">
      <xdr:nvCxnSpPr>
        <xdr:cNvPr id="14" name="Straight Connector 13">
          <a:extLst>
            <a:ext uri="{FF2B5EF4-FFF2-40B4-BE49-F238E27FC236}">
              <a16:creationId xmlns:a16="http://schemas.microsoft.com/office/drawing/2014/main" id="{00000000-0008-0000-0400-00000E000000}"/>
            </a:ext>
          </a:extLst>
        </xdr:cNvPr>
        <xdr:cNvCxnSpPr/>
      </xdr:nvCxnSpPr>
      <xdr:spPr>
        <a:xfrm>
          <a:off x="4724400" y="1905000"/>
          <a:ext cx="0" cy="57150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66</xdr:col>
      <xdr:colOff>0</xdr:colOff>
      <xdr:row>22</xdr:row>
      <xdr:rowOff>0</xdr:rowOff>
    </xdr:from>
    <xdr:to>
      <xdr:col>72</xdr:col>
      <xdr:colOff>0</xdr:colOff>
      <xdr:row>25</xdr:row>
      <xdr:rowOff>0</xdr:rowOff>
    </xdr:to>
    <xdr:sp macro="" textlink="">
      <xdr:nvSpPr>
        <xdr:cNvPr id="16" name="Rectangle 15">
          <a:extLst>
            <a:ext uri="{FF2B5EF4-FFF2-40B4-BE49-F238E27FC236}">
              <a16:creationId xmlns:a16="http://schemas.microsoft.com/office/drawing/2014/main" id="{00000000-0008-0000-0400-000010000000}"/>
            </a:ext>
          </a:extLst>
        </xdr:cNvPr>
        <xdr:cNvSpPr/>
      </xdr:nvSpPr>
      <xdr:spPr>
        <a:xfrm>
          <a:off x="14655800" y="4572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Corrected energy balance step 2</a:t>
          </a:r>
        </a:p>
      </xdr:txBody>
    </xdr:sp>
    <xdr:clientData/>
  </xdr:twoCellAnchor>
  <xdr:twoCellAnchor>
    <xdr:from>
      <xdr:col>46</xdr:col>
      <xdr:colOff>0</xdr:colOff>
      <xdr:row>10</xdr:row>
      <xdr:rowOff>0</xdr:rowOff>
    </xdr:from>
    <xdr:to>
      <xdr:col>52</xdr:col>
      <xdr:colOff>0</xdr:colOff>
      <xdr:row>13</xdr:row>
      <xdr:rowOff>0</xdr:rowOff>
    </xdr:to>
    <xdr:sp macro="" textlink="">
      <xdr:nvSpPr>
        <xdr:cNvPr id="17" name="Rectangle 16">
          <a:extLst>
            <a:ext uri="{FF2B5EF4-FFF2-40B4-BE49-F238E27FC236}">
              <a16:creationId xmlns:a16="http://schemas.microsoft.com/office/drawing/2014/main" id="{00000000-0008-0000-0400-000011000000}"/>
            </a:ext>
          </a:extLst>
        </xdr:cNvPr>
        <xdr:cNvSpPr/>
      </xdr:nvSpPr>
      <xdr:spPr>
        <a:xfrm>
          <a:off x="10121900" y="2286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Allocation factors for fixed balance</a:t>
          </a:r>
        </a:p>
      </xdr:txBody>
    </xdr:sp>
    <xdr:clientData/>
  </xdr:twoCellAnchor>
  <xdr:twoCellAnchor>
    <xdr:from>
      <xdr:col>8</xdr:col>
      <xdr:colOff>0</xdr:colOff>
      <xdr:row>11</xdr:row>
      <xdr:rowOff>95250</xdr:rowOff>
    </xdr:from>
    <xdr:to>
      <xdr:col>46</xdr:col>
      <xdr:colOff>0</xdr:colOff>
      <xdr:row>24</xdr:row>
      <xdr:rowOff>95250</xdr:rowOff>
    </xdr:to>
    <xdr:cxnSp macro="">
      <xdr:nvCxnSpPr>
        <xdr:cNvPr id="18" name="Elbow Connector 237">
          <a:extLst>
            <a:ext uri="{FF2B5EF4-FFF2-40B4-BE49-F238E27FC236}">
              <a16:creationId xmlns:a16="http://schemas.microsoft.com/office/drawing/2014/main" id="{00000000-0008-0000-0400-000012000000}"/>
            </a:ext>
          </a:extLst>
        </xdr:cNvPr>
        <xdr:cNvCxnSpPr>
          <a:stCxn id="10" idx="3"/>
          <a:endCxn id="17" idx="1"/>
        </xdr:cNvCxnSpPr>
      </xdr:nvCxnSpPr>
      <xdr:spPr>
        <a:xfrm flipV="1">
          <a:off x="2133600" y="2571750"/>
          <a:ext cx="8204200" cy="2476500"/>
        </a:xfrm>
        <a:prstGeom prst="bentConnector3">
          <a:avLst>
            <a:gd name="adj1" fmla="val 35294"/>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0</xdr:colOff>
      <xdr:row>20</xdr:row>
      <xdr:rowOff>0</xdr:rowOff>
    </xdr:from>
    <xdr:to>
      <xdr:col>18</xdr:col>
      <xdr:colOff>0</xdr:colOff>
      <xdr:row>24</xdr:row>
      <xdr:rowOff>0</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a:xfrm>
          <a:off x="2997200" y="41910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Sold heat deficit CHPs</a:t>
          </a:r>
        </a:p>
      </xdr:txBody>
    </xdr:sp>
    <xdr:clientData/>
  </xdr:twoCellAnchor>
  <xdr:twoCellAnchor>
    <xdr:from>
      <xdr:col>54</xdr:col>
      <xdr:colOff>0</xdr:colOff>
      <xdr:row>8</xdr:row>
      <xdr:rowOff>0</xdr:rowOff>
    </xdr:from>
    <xdr:to>
      <xdr:col>54</xdr:col>
      <xdr:colOff>0</xdr:colOff>
      <xdr:row>38</xdr:row>
      <xdr:rowOff>0</xdr:rowOff>
    </xdr:to>
    <xdr:cxnSp macro="">
      <xdr:nvCxnSpPr>
        <xdr:cNvPr id="20" name="Straight Connector 19">
          <a:extLst>
            <a:ext uri="{FF2B5EF4-FFF2-40B4-BE49-F238E27FC236}">
              <a16:creationId xmlns:a16="http://schemas.microsoft.com/office/drawing/2014/main" id="{00000000-0008-0000-0400-000014000000}"/>
            </a:ext>
          </a:extLst>
        </xdr:cNvPr>
        <xdr:cNvCxnSpPr/>
      </xdr:nvCxnSpPr>
      <xdr:spPr>
        <a:xfrm>
          <a:off x="11849100" y="1905000"/>
          <a:ext cx="0" cy="57150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0</xdr:colOff>
      <xdr:row>15</xdr:row>
      <xdr:rowOff>0</xdr:rowOff>
    </xdr:from>
    <xdr:to>
      <xdr:col>8</xdr:col>
      <xdr:colOff>0</xdr:colOff>
      <xdr:row>18</xdr:row>
      <xdr:rowOff>0</xdr:rowOff>
    </xdr:to>
    <xdr:sp macro="" textlink="">
      <xdr:nvSpPr>
        <xdr:cNvPr id="21" name="Rectangle 20">
          <a:extLst>
            <a:ext uri="{FF2B5EF4-FFF2-40B4-BE49-F238E27FC236}">
              <a16:creationId xmlns:a16="http://schemas.microsoft.com/office/drawing/2014/main" id="{00000000-0008-0000-0400-000015000000}"/>
            </a:ext>
          </a:extLst>
        </xdr:cNvPr>
        <xdr:cNvSpPr/>
      </xdr:nvSpPr>
      <xdr:spPr>
        <a:xfrm>
          <a:off x="838200" y="3238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Technical specifications</a:t>
          </a:r>
        </a:p>
      </xdr:txBody>
    </xdr:sp>
    <xdr:clientData/>
  </xdr:twoCellAnchor>
  <xdr:twoCellAnchor>
    <xdr:from>
      <xdr:col>2</xdr:col>
      <xdr:colOff>0</xdr:colOff>
      <xdr:row>31</xdr:row>
      <xdr:rowOff>0</xdr:rowOff>
    </xdr:from>
    <xdr:to>
      <xdr:col>8</xdr:col>
      <xdr:colOff>0</xdr:colOff>
      <xdr:row>34</xdr:row>
      <xdr:rowOff>0</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a:xfrm>
          <a:off x="838200" y="6286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Other sources (e.g. CBS)</a:t>
          </a:r>
        </a:p>
      </xdr:txBody>
    </xdr:sp>
    <xdr:clientData/>
  </xdr:twoCellAnchor>
  <xdr:twoCellAnchor>
    <xdr:from>
      <xdr:col>8</xdr:col>
      <xdr:colOff>0</xdr:colOff>
      <xdr:row>32</xdr:row>
      <xdr:rowOff>95250</xdr:rowOff>
    </xdr:from>
    <xdr:to>
      <xdr:col>12</xdr:col>
      <xdr:colOff>0</xdr:colOff>
      <xdr:row>36</xdr:row>
      <xdr:rowOff>95250</xdr:rowOff>
    </xdr:to>
    <xdr:cxnSp macro="">
      <xdr:nvCxnSpPr>
        <xdr:cNvPr id="23" name="Straight Arrow Connector 278">
          <a:extLst>
            <a:ext uri="{FF2B5EF4-FFF2-40B4-BE49-F238E27FC236}">
              <a16:creationId xmlns:a16="http://schemas.microsoft.com/office/drawing/2014/main" id="{00000000-0008-0000-0400-000017000000}"/>
            </a:ext>
          </a:extLst>
        </xdr:cNvPr>
        <xdr:cNvCxnSpPr>
          <a:stCxn id="22" idx="3"/>
          <a:endCxn id="86" idx="1"/>
        </xdr:cNvCxnSpPr>
      </xdr:nvCxnSpPr>
      <xdr:spPr>
        <a:xfrm>
          <a:off x="2133600" y="6572250"/>
          <a:ext cx="863600" cy="762000"/>
        </a:xfrm>
        <a:prstGeom prst="bentConnector3">
          <a:avLst>
            <a:gd name="adj1" fmla="val 39706"/>
          </a:avLst>
        </a:prstGeom>
        <a:ln>
          <a:tailEnd type="arrow"/>
        </a:ln>
      </xdr:spPr>
      <xdr:style>
        <a:lnRef idx="2">
          <a:schemeClr val="accent3"/>
        </a:lnRef>
        <a:fillRef idx="0">
          <a:schemeClr val="accent3"/>
        </a:fillRef>
        <a:effectRef idx="1">
          <a:schemeClr val="accent3"/>
        </a:effectRef>
        <a:fontRef idx="minor">
          <a:schemeClr val="tx1"/>
        </a:fontRef>
      </xdr:style>
    </xdr:cxnSp>
    <xdr:clientData/>
  </xdr:twoCellAnchor>
  <xdr:twoCellAnchor>
    <xdr:from>
      <xdr:col>38</xdr:col>
      <xdr:colOff>0</xdr:colOff>
      <xdr:row>20</xdr:row>
      <xdr:rowOff>69850</xdr:rowOff>
    </xdr:from>
    <xdr:to>
      <xdr:col>44</xdr:col>
      <xdr:colOff>0</xdr:colOff>
      <xdr:row>23</xdr:row>
      <xdr:rowOff>133350</xdr:rowOff>
    </xdr:to>
    <xdr:sp macro="" textlink="">
      <xdr:nvSpPr>
        <xdr:cNvPr id="24" name="Rectangle 23">
          <a:extLst>
            <a:ext uri="{FF2B5EF4-FFF2-40B4-BE49-F238E27FC236}">
              <a16:creationId xmlns:a16="http://schemas.microsoft.com/office/drawing/2014/main" id="{00000000-0008-0000-0400-000018000000}"/>
            </a:ext>
          </a:extLst>
        </xdr:cNvPr>
        <xdr:cNvSpPr/>
      </xdr:nvSpPr>
      <xdr:spPr>
        <a:xfrm>
          <a:off x="8610600" y="4260850"/>
          <a:ext cx="1295400" cy="635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Main activity heat plants</a:t>
          </a:r>
        </a:p>
      </xdr:txBody>
    </xdr:sp>
    <xdr:clientData/>
  </xdr:twoCellAnchor>
  <xdr:twoCellAnchor>
    <xdr:from>
      <xdr:col>46</xdr:col>
      <xdr:colOff>0</xdr:colOff>
      <xdr:row>13</xdr:row>
      <xdr:rowOff>177800</xdr:rowOff>
    </xdr:from>
    <xdr:to>
      <xdr:col>52</xdr:col>
      <xdr:colOff>0</xdr:colOff>
      <xdr:row>17</xdr:row>
      <xdr:rowOff>0</xdr:rowOff>
    </xdr:to>
    <xdr:sp macro="" textlink="">
      <xdr:nvSpPr>
        <xdr:cNvPr id="25" name="Rectangle 24">
          <a:extLst>
            <a:ext uri="{FF2B5EF4-FFF2-40B4-BE49-F238E27FC236}">
              <a16:creationId xmlns:a16="http://schemas.microsoft.com/office/drawing/2014/main" id="{00000000-0008-0000-0400-000019000000}"/>
            </a:ext>
          </a:extLst>
        </xdr:cNvPr>
        <xdr:cNvSpPr/>
      </xdr:nvSpPr>
      <xdr:spPr>
        <a:xfrm>
          <a:off x="10337800" y="3035300"/>
          <a:ext cx="1295400" cy="5842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Calculation of</a:t>
          </a:r>
          <a:r>
            <a:rPr lang="en-US" baseline="0"/>
            <a:t> co-fueling shares</a:t>
          </a:r>
          <a:endParaRPr lang="en-US"/>
        </a:p>
      </xdr:txBody>
    </xdr:sp>
    <xdr:clientData/>
  </xdr:twoCellAnchor>
  <xdr:twoCellAnchor>
    <xdr:from>
      <xdr:col>18</xdr:col>
      <xdr:colOff>0</xdr:colOff>
      <xdr:row>29</xdr:row>
      <xdr:rowOff>0</xdr:rowOff>
    </xdr:from>
    <xdr:to>
      <xdr:col>60</xdr:col>
      <xdr:colOff>0</xdr:colOff>
      <xdr:row>32</xdr:row>
      <xdr:rowOff>107950</xdr:rowOff>
    </xdr:to>
    <xdr:cxnSp macro="">
      <xdr:nvCxnSpPr>
        <xdr:cNvPr id="26" name="Elbow Connector 25">
          <a:extLst>
            <a:ext uri="{FF2B5EF4-FFF2-40B4-BE49-F238E27FC236}">
              <a16:creationId xmlns:a16="http://schemas.microsoft.com/office/drawing/2014/main" id="{00000000-0008-0000-0400-00001A000000}"/>
            </a:ext>
          </a:extLst>
        </xdr:cNvPr>
        <xdr:cNvCxnSpPr>
          <a:stCxn id="87" idx="3"/>
          <a:endCxn id="34" idx="2"/>
        </xdr:cNvCxnSpPr>
      </xdr:nvCxnSpPr>
      <xdr:spPr>
        <a:xfrm flipV="1">
          <a:off x="4292600" y="5905500"/>
          <a:ext cx="9067800" cy="679450"/>
        </a:xfrm>
        <a:prstGeom prst="bentConnector2">
          <a:avLst/>
        </a:prstGeom>
        <a:ln>
          <a:solidFill>
            <a:srgbClr val="008000"/>
          </a:solidFill>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0</xdr:colOff>
      <xdr:row>22</xdr:row>
      <xdr:rowOff>0</xdr:rowOff>
    </xdr:from>
    <xdr:to>
      <xdr:col>25</xdr:col>
      <xdr:colOff>0</xdr:colOff>
      <xdr:row>24</xdr:row>
      <xdr:rowOff>95250</xdr:rowOff>
    </xdr:to>
    <xdr:cxnSp macro="">
      <xdr:nvCxnSpPr>
        <xdr:cNvPr id="28" name="Elbow Connector 27">
          <a:extLst>
            <a:ext uri="{FF2B5EF4-FFF2-40B4-BE49-F238E27FC236}">
              <a16:creationId xmlns:a16="http://schemas.microsoft.com/office/drawing/2014/main" id="{00000000-0008-0000-0400-00001C000000}"/>
            </a:ext>
          </a:extLst>
        </xdr:cNvPr>
        <xdr:cNvCxnSpPr>
          <a:stCxn id="10" idx="3"/>
          <a:endCxn id="48" idx="1"/>
        </xdr:cNvCxnSpPr>
      </xdr:nvCxnSpPr>
      <xdr:spPr>
        <a:xfrm flipV="1">
          <a:off x="2133600" y="4572000"/>
          <a:ext cx="3670300" cy="476250"/>
        </a:xfrm>
        <a:prstGeom prst="bentConnector3">
          <a:avLst>
            <a:gd name="adj1" fmla="val 79066"/>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75</xdr:col>
      <xdr:colOff>0</xdr:colOff>
      <xdr:row>22</xdr:row>
      <xdr:rowOff>0</xdr:rowOff>
    </xdr:from>
    <xdr:to>
      <xdr:col>81</xdr:col>
      <xdr:colOff>0</xdr:colOff>
      <xdr:row>25</xdr:row>
      <xdr:rowOff>0</xdr:rowOff>
    </xdr:to>
    <xdr:sp macro="" textlink="">
      <xdr:nvSpPr>
        <xdr:cNvPr id="30" name="Rectangle 29">
          <a:extLst>
            <a:ext uri="{FF2B5EF4-FFF2-40B4-BE49-F238E27FC236}">
              <a16:creationId xmlns:a16="http://schemas.microsoft.com/office/drawing/2014/main" id="{00000000-0008-0000-0400-00001E000000}"/>
            </a:ext>
          </a:extLst>
        </xdr:cNvPr>
        <xdr:cNvSpPr/>
      </xdr:nvSpPr>
      <xdr:spPr>
        <a:xfrm>
          <a:off x="16598900" y="4572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CSV Corrected energy balance step 2</a:t>
          </a:r>
        </a:p>
      </xdr:txBody>
    </xdr:sp>
    <xdr:clientData/>
  </xdr:twoCellAnchor>
  <xdr:twoCellAnchor>
    <xdr:from>
      <xdr:col>2</xdr:col>
      <xdr:colOff>0</xdr:colOff>
      <xdr:row>19</xdr:row>
      <xdr:rowOff>0</xdr:rowOff>
    </xdr:from>
    <xdr:to>
      <xdr:col>8</xdr:col>
      <xdr:colOff>0</xdr:colOff>
      <xdr:row>22</xdr:row>
      <xdr:rowOff>0</xdr:rowOff>
    </xdr:to>
    <xdr:sp macro="" textlink="">
      <xdr:nvSpPr>
        <xdr:cNvPr id="31" name="Rectangle 30">
          <a:extLst>
            <a:ext uri="{FF2B5EF4-FFF2-40B4-BE49-F238E27FC236}">
              <a16:creationId xmlns:a16="http://schemas.microsoft.com/office/drawing/2014/main" id="{00000000-0008-0000-0400-00001F000000}"/>
            </a:ext>
          </a:extLst>
        </xdr:cNvPr>
        <xdr:cNvSpPr/>
      </xdr:nvSpPr>
      <xdr:spPr>
        <a:xfrm>
          <a:off x="838200" y="4000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Remaining heat production</a:t>
          </a:r>
        </a:p>
      </xdr:txBody>
    </xdr:sp>
    <xdr:clientData/>
  </xdr:twoCellAnchor>
  <xdr:twoCellAnchor>
    <xdr:from>
      <xdr:col>52</xdr:col>
      <xdr:colOff>0</xdr:colOff>
      <xdr:row>11</xdr:row>
      <xdr:rowOff>95250</xdr:rowOff>
    </xdr:from>
    <xdr:to>
      <xdr:col>66</xdr:col>
      <xdr:colOff>0</xdr:colOff>
      <xdr:row>23</xdr:row>
      <xdr:rowOff>95250</xdr:rowOff>
    </xdr:to>
    <xdr:cxnSp macro="">
      <xdr:nvCxnSpPr>
        <xdr:cNvPr id="32" name="Elbow Connector 195">
          <a:extLst>
            <a:ext uri="{FF2B5EF4-FFF2-40B4-BE49-F238E27FC236}">
              <a16:creationId xmlns:a16="http://schemas.microsoft.com/office/drawing/2014/main" id="{00000000-0008-0000-0400-000020000000}"/>
            </a:ext>
          </a:extLst>
        </xdr:cNvPr>
        <xdr:cNvCxnSpPr>
          <a:stCxn id="17" idx="3"/>
          <a:endCxn id="16" idx="1"/>
        </xdr:cNvCxnSpPr>
      </xdr:nvCxnSpPr>
      <xdr:spPr>
        <a:xfrm>
          <a:off x="11633200" y="2571750"/>
          <a:ext cx="3022600" cy="2286000"/>
        </a:xfrm>
        <a:prstGeom prst="bentConnector3">
          <a:avLst>
            <a:gd name="adj1" fmla="val 84454"/>
          </a:avLst>
        </a:prstGeom>
        <a:ln>
          <a:tailEnd type="arrow"/>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72</xdr:col>
      <xdr:colOff>0</xdr:colOff>
      <xdr:row>23</xdr:row>
      <xdr:rowOff>95250</xdr:rowOff>
    </xdr:from>
    <xdr:to>
      <xdr:col>75</xdr:col>
      <xdr:colOff>0</xdr:colOff>
      <xdr:row>23</xdr:row>
      <xdr:rowOff>95250</xdr:rowOff>
    </xdr:to>
    <xdr:cxnSp macro="">
      <xdr:nvCxnSpPr>
        <xdr:cNvPr id="33" name="Elbow Connector 195">
          <a:extLst>
            <a:ext uri="{FF2B5EF4-FFF2-40B4-BE49-F238E27FC236}">
              <a16:creationId xmlns:a16="http://schemas.microsoft.com/office/drawing/2014/main" id="{00000000-0008-0000-0400-000021000000}"/>
            </a:ext>
          </a:extLst>
        </xdr:cNvPr>
        <xdr:cNvCxnSpPr>
          <a:stCxn id="16" idx="3"/>
          <a:endCxn id="30" idx="1"/>
        </xdr:cNvCxnSpPr>
      </xdr:nvCxnSpPr>
      <xdr:spPr>
        <a:xfrm>
          <a:off x="15951200" y="4857750"/>
          <a:ext cx="647700" cy="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57</xdr:col>
      <xdr:colOff>0</xdr:colOff>
      <xdr:row>26</xdr:row>
      <xdr:rowOff>0</xdr:rowOff>
    </xdr:from>
    <xdr:to>
      <xdr:col>63</xdr:col>
      <xdr:colOff>0</xdr:colOff>
      <xdr:row>29</xdr:row>
      <xdr:rowOff>0</xdr:rowOff>
    </xdr:to>
    <xdr:sp macro="" textlink="">
      <xdr:nvSpPr>
        <xdr:cNvPr id="34" name="Rectangle 33">
          <a:extLst>
            <a:ext uri="{FF2B5EF4-FFF2-40B4-BE49-F238E27FC236}">
              <a16:creationId xmlns:a16="http://schemas.microsoft.com/office/drawing/2014/main" id="{00000000-0008-0000-0400-000022000000}"/>
            </a:ext>
          </a:extLst>
        </xdr:cNvPr>
        <xdr:cNvSpPr/>
      </xdr:nvSpPr>
      <xdr:spPr>
        <a:xfrm>
          <a:off x="12712700" y="53340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Overview of results</a:t>
          </a:r>
          <a:r>
            <a:rPr lang="en-US" baseline="0"/>
            <a:t> per machine type</a:t>
          </a:r>
        </a:p>
      </xdr:txBody>
    </xdr:sp>
    <xdr:clientData/>
  </xdr:twoCellAnchor>
  <xdr:twoCellAnchor>
    <xdr:from>
      <xdr:col>45</xdr:col>
      <xdr:colOff>0</xdr:colOff>
      <xdr:row>23</xdr:row>
      <xdr:rowOff>95250</xdr:rowOff>
    </xdr:from>
    <xdr:to>
      <xdr:col>57</xdr:col>
      <xdr:colOff>0</xdr:colOff>
      <xdr:row>27</xdr:row>
      <xdr:rowOff>95250</xdr:rowOff>
    </xdr:to>
    <xdr:cxnSp macro="">
      <xdr:nvCxnSpPr>
        <xdr:cNvPr id="35" name="Elbow Connector 195">
          <a:extLst>
            <a:ext uri="{FF2B5EF4-FFF2-40B4-BE49-F238E27FC236}">
              <a16:creationId xmlns:a16="http://schemas.microsoft.com/office/drawing/2014/main" id="{00000000-0008-0000-0400-000023000000}"/>
            </a:ext>
          </a:extLst>
        </xdr:cNvPr>
        <xdr:cNvCxnSpPr>
          <a:stCxn id="4" idx="3"/>
          <a:endCxn id="34" idx="1"/>
        </xdr:cNvCxnSpPr>
      </xdr:nvCxnSpPr>
      <xdr:spPr>
        <a:xfrm>
          <a:off x="10121900" y="4857750"/>
          <a:ext cx="2590800" cy="76200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84</xdr:col>
      <xdr:colOff>0</xdr:colOff>
      <xdr:row>8</xdr:row>
      <xdr:rowOff>0</xdr:rowOff>
    </xdr:from>
    <xdr:to>
      <xdr:col>84</xdr:col>
      <xdr:colOff>0</xdr:colOff>
      <xdr:row>38</xdr:row>
      <xdr:rowOff>0</xdr:rowOff>
    </xdr:to>
    <xdr:cxnSp macro="">
      <xdr:nvCxnSpPr>
        <xdr:cNvPr id="38" name="Straight Connector 37">
          <a:extLst>
            <a:ext uri="{FF2B5EF4-FFF2-40B4-BE49-F238E27FC236}">
              <a16:creationId xmlns:a16="http://schemas.microsoft.com/office/drawing/2014/main" id="{00000000-0008-0000-0400-000026000000}"/>
            </a:ext>
          </a:extLst>
        </xdr:cNvPr>
        <xdr:cNvCxnSpPr/>
      </xdr:nvCxnSpPr>
      <xdr:spPr>
        <a:xfrm>
          <a:off x="18542000" y="1905000"/>
          <a:ext cx="0" cy="5715000"/>
        </a:xfrm>
        <a:prstGeom prst="line">
          <a:avLst/>
        </a:prstGeom>
        <a:ln>
          <a:solidFill>
            <a:schemeClr val="accent2"/>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20</xdr:row>
      <xdr:rowOff>95250</xdr:rowOff>
    </xdr:from>
    <xdr:to>
      <xdr:col>12</xdr:col>
      <xdr:colOff>0</xdr:colOff>
      <xdr:row>22</xdr:row>
      <xdr:rowOff>0</xdr:rowOff>
    </xdr:to>
    <xdr:cxnSp macro="">
      <xdr:nvCxnSpPr>
        <xdr:cNvPr id="47" name="Elbow Connector 188">
          <a:extLst>
            <a:ext uri="{FF2B5EF4-FFF2-40B4-BE49-F238E27FC236}">
              <a16:creationId xmlns:a16="http://schemas.microsoft.com/office/drawing/2014/main" id="{00000000-0008-0000-0400-00002F000000}"/>
            </a:ext>
          </a:extLst>
        </xdr:cNvPr>
        <xdr:cNvCxnSpPr>
          <a:stCxn id="31" idx="3"/>
          <a:endCxn id="19" idx="1"/>
        </xdr:cNvCxnSpPr>
      </xdr:nvCxnSpPr>
      <xdr:spPr>
        <a:xfrm>
          <a:off x="2133600" y="4286250"/>
          <a:ext cx="863600" cy="285750"/>
        </a:xfrm>
        <a:prstGeom prst="bentConnector3">
          <a:avLst>
            <a:gd name="adj1" fmla="val 5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0</xdr:colOff>
      <xdr:row>20</xdr:row>
      <xdr:rowOff>0</xdr:rowOff>
    </xdr:from>
    <xdr:to>
      <xdr:col>31</xdr:col>
      <xdr:colOff>0</xdr:colOff>
      <xdr:row>24</xdr:row>
      <xdr:rowOff>0</xdr:rowOff>
    </xdr:to>
    <xdr:sp macro="" textlink="">
      <xdr:nvSpPr>
        <xdr:cNvPr id="48" name="Rectangle 47">
          <a:extLst>
            <a:ext uri="{FF2B5EF4-FFF2-40B4-BE49-F238E27FC236}">
              <a16:creationId xmlns:a16="http://schemas.microsoft.com/office/drawing/2014/main" id="{00000000-0008-0000-0400-000030000000}"/>
            </a:ext>
          </a:extLst>
        </xdr:cNvPr>
        <xdr:cNvSpPr/>
      </xdr:nvSpPr>
      <xdr:spPr>
        <a:xfrm>
          <a:off x="5803900" y="41910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 aggregation for heat plants</a:t>
          </a:r>
        </a:p>
      </xdr:txBody>
    </xdr:sp>
    <xdr:clientData/>
  </xdr:twoCellAnchor>
  <xdr:twoCellAnchor>
    <xdr:from>
      <xdr:col>18</xdr:col>
      <xdr:colOff>0</xdr:colOff>
      <xdr:row>29</xdr:row>
      <xdr:rowOff>158750</xdr:rowOff>
    </xdr:from>
    <xdr:to>
      <xdr:col>41</xdr:col>
      <xdr:colOff>0</xdr:colOff>
      <xdr:row>36</xdr:row>
      <xdr:rowOff>95250</xdr:rowOff>
    </xdr:to>
    <xdr:cxnSp macro="">
      <xdr:nvCxnSpPr>
        <xdr:cNvPr id="50" name="Elbow Connector 49">
          <a:extLst>
            <a:ext uri="{FF2B5EF4-FFF2-40B4-BE49-F238E27FC236}">
              <a16:creationId xmlns:a16="http://schemas.microsoft.com/office/drawing/2014/main" id="{00000000-0008-0000-0400-000032000000}"/>
            </a:ext>
          </a:extLst>
        </xdr:cNvPr>
        <xdr:cNvCxnSpPr>
          <a:stCxn id="86" idx="3"/>
          <a:endCxn id="123" idx="2"/>
        </xdr:cNvCxnSpPr>
      </xdr:nvCxnSpPr>
      <xdr:spPr>
        <a:xfrm flipV="1">
          <a:off x="4292600" y="6064250"/>
          <a:ext cx="4965700" cy="1270000"/>
        </a:xfrm>
        <a:prstGeom prst="bentConnector2">
          <a:avLst/>
        </a:prstGeom>
        <a:ln>
          <a:solidFill>
            <a:srgbClr val="008000"/>
          </a:solidFill>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63</xdr:col>
      <xdr:colOff>0</xdr:colOff>
      <xdr:row>13</xdr:row>
      <xdr:rowOff>95250</xdr:rowOff>
    </xdr:from>
    <xdr:to>
      <xdr:col>75</xdr:col>
      <xdr:colOff>0</xdr:colOff>
      <xdr:row>27</xdr:row>
      <xdr:rowOff>95250</xdr:rowOff>
    </xdr:to>
    <xdr:cxnSp macro="">
      <xdr:nvCxnSpPr>
        <xdr:cNvPr id="51" name="Elbow Connector 195">
          <a:extLst>
            <a:ext uri="{FF2B5EF4-FFF2-40B4-BE49-F238E27FC236}">
              <a16:creationId xmlns:a16="http://schemas.microsoft.com/office/drawing/2014/main" id="{00000000-0008-0000-0400-000033000000}"/>
            </a:ext>
          </a:extLst>
        </xdr:cNvPr>
        <xdr:cNvCxnSpPr>
          <a:stCxn id="34" idx="3"/>
          <a:endCxn id="12" idx="1"/>
        </xdr:cNvCxnSpPr>
      </xdr:nvCxnSpPr>
      <xdr:spPr>
        <a:xfrm flipV="1">
          <a:off x="14008100" y="2952750"/>
          <a:ext cx="2590800" cy="2667000"/>
        </a:xfrm>
        <a:prstGeom prst="bentConnector3">
          <a:avLst>
            <a:gd name="adj1" fmla="val 87745"/>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57</xdr:col>
      <xdr:colOff>0</xdr:colOff>
      <xdr:row>21</xdr:row>
      <xdr:rowOff>177800</xdr:rowOff>
    </xdr:from>
    <xdr:to>
      <xdr:col>63</xdr:col>
      <xdr:colOff>0</xdr:colOff>
      <xdr:row>25</xdr:row>
      <xdr:rowOff>0</xdr:rowOff>
    </xdr:to>
    <xdr:sp macro="" textlink="">
      <xdr:nvSpPr>
        <xdr:cNvPr id="52" name="Rectangle 51">
          <a:extLst>
            <a:ext uri="{FF2B5EF4-FFF2-40B4-BE49-F238E27FC236}">
              <a16:creationId xmlns:a16="http://schemas.microsoft.com/office/drawing/2014/main" id="{00000000-0008-0000-0400-000034000000}"/>
            </a:ext>
          </a:extLst>
        </xdr:cNvPr>
        <xdr:cNvSpPr/>
      </xdr:nvSpPr>
      <xdr:spPr>
        <a:xfrm>
          <a:off x="12712700" y="4559300"/>
          <a:ext cx="1295400" cy="5842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Overview of results</a:t>
          </a:r>
          <a:r>
            <a:rPr lang="en-US" baseline="0"/>
            <a:t> by fuel</a:t>
          </a:r>
        </a:p>
      </xdr:txBody>
    </xdr:sp>
    <xdr:clientData/>
  </xdr:twoCellAnchor>
  <xdr:twoCellAnchor>
    <xdr:from>
      <xdr:col>45</xdr:col>
      <xdr:colOff>0</xdr:colOff>
      <xdr:row>23</xdr:row>
      <xdr:rowOff>88900</xdr:rowOff>
    </xdr:from>
    <xdr:to>
      <xdr:col>57</xdr:col>
      <xdr:colOff>0</xdr:colOff>
      <xdr:row>23</xdr:row>
      <xdr:rowOff>95250</xdr:rowOff>
    </xdr:to>
    <xdr:cxnSp macro="">
      <xdr:nvCxnSpPr>
        <xdr:cNvPr id="53" name="Elbow Connector 195">
          <a:extLst>
            <a:ext uri="{FF2B5EF4-FFF2-40B4-BE49-F238E27FC236}">
              <a16:creationId xmlns:a16="http://schemas.microsoft.com/office/drawing/2014/main" id="{00000000-0008-0000-0400-000035000000}"/>
            </a:ext>
          </a:extLst>
        </xdr:cNvPr>
        <xdr:cNvCxnSpPr>
          <a:stCxn id="4" idx="3"/>
          <a:endCxn id="52" idx="1"/>
        </xdr:cNvCxnSpPr>
      </xdr:nvCxnSpPr>
      <xdr:spPr>
        <a:xfrm flipV="1">
          <a:off x="10121900" y="4851400"/>
          <a:ext cx="2590800" cy="635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63</xdr:col>
      <xdr:colOff>0</xdr:colOff>
      <xdr:row>23</xdr:row>
      <xdr:rowOff>88900</xdr:rowOff>
    </xdr:from>
    <xdr:to>
      <xdr:col>66</xdr:col>
      <xdr:colOff>0</xdr:colOff>
      <xdr:row>23</xdr:row>
      <xdr:rowOff>95250</xdr:rowOff>
    </xdr:to>
    <xdr:cxnSp macro="">
      <xdr:nvCxnSpPr>
        <xdr:cNvPr id="55" name="Elbow Connector 195">
          <a:extLst>
            <a:ext uri="{FF2B5EF4-FFF2-40B4-BE49-F238E27FC236}">
              <a16:creationId xmlns:a16="http://schemas.microsoft.com/office/drawing/2014/main" id="{00000000-0008-0000-0400-000037000000}"/>
            </a:ext>
          </a:extLst>
        </xdr:cNvPr>
        <xdr:cNvCxnSpPr>
          <a:stCxn id="52" idx="3"/>
          <a:endCxn id="16" idx="1"/>
        </xdr:cNvCxnSpPr>
      </xdr:nvCxnSpPr>
      <xdr:spPr>
        <a:xfrm>
          <a:off x="14008100" y="4851400"/>
          <a:ext cx="647700" cy="635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0</xdr:colOff>
      <xdr:row>26</xdr:row>
      <xdr:rowOff>0</xdr:rowOff>
    </xdr:from>
    <xdr:to>
      <xdr:col>31</xdr:col>
      <xdr:colOff>0</xdr:colOff>
      <xdr:row>30</xdr:row>
      <xdr:rowOff>0</xdr:rowOff>
    </xdr:to>
    <xdr:sp macro="" textlink="">
      <xdr:nvSpPr>
        <xdr:cNvPr id="91" name="Rectangle 90">
          <a:extLst>
            <a:ext uri="{FF2B5EF4-FFF2-40B4-BE49-F238E27FC236}">
              <a16:creationId xmlns:a16="http://schemas.microsoft.com/office/drawing/2014/main" id="{00000000-0008-0000-0400-00005B000000}"/>
            </a:ext>
          </a:extLst>
        </xdr:cNvPr>
        <xdr:cNvSpPr/>
      </xdr:nvSpPr>
      <xdr:spPr>
        <a:xfrm>
          <a:off x="5803900" y="5334000"/>
          <a:ext cx="12954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 aggregation for power plants</a:t>
          </a:r>
        </a:p>
      </xdr:txBody>
    </xdr:sp>
    <xdr:clientData/>
  </xdr:twoCellAnchor>
  <xdr:twoCellAnchor>
    <xdr:from>
      <xdr:col>8</xdr:col>
      <xdr:colOff>0</xdr:colOff>
      <xdr:row>24</xdr:row>
      <xdr:rowOff>95250</xdr:rowOff>
    </xdr:from>
    <xdr:to>
      <xdr:col>25</xdr:col>
      <xdr:colOff>0</xdr:colOff>
      <xdr:row>28</xdr:row>
      <xdr:rowOff>0</xdr:rowOff>
    </xdr:to>
    <xdr:cxnSp macro="">
      <xdr:nvCxnSpPr>
        <xdr:cNvPr id="92" name="Elbow Connector 91">
          <a:extLst>
            <a:ext uri="{FF2B5EF4-FFF2-40B4-BE49-F238E27FC236}">
              <a16:creationId xmlns:a16="http://schemas.microsoft.com/office/drawing/2014/main" id="{00000000-0008-0000-0400-00005C000000}"/>
            </a:ext>
          </a:extLst>
        </xdr:cNvPr>
        <xdr:cNvCxnSpPr>
          <a:stCxn id="10" idx="3"/>
          <a:endCxn id="91" idx="1"/>
        </xdr:cNvCxnSpPr>
      </xdr:nvCxnSpPr>
      <xdr:spPr>
        <a:xfrm>
          <a:off x="2133600" y="5048250"/>
          <a:ext cx="3670300" cy="666750"/>
        </a:xfrm>
        <a:prstGeom prst="bentConnector3">
          <a:avLst>
            <a:gd name="adj1" fmla="val 79066"/>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38</xdr:col>
      <xdr:colOff>0</xdr:colOff>
      <xdr:row>26</xdr:row>
      <xdr:rowOff>95250</xdr:rowOff>
    </xdr:from>
    <xdr:to>
      <xdr:col>44</xdr:col>
      <xdr:colOff>0</xdr:colOff>
      <xdr:row>29</xdr:row>
      <xdr:rowOff>158750</xdr:rowOff>
    </xdr:to>
    <xdr:sp macro="" textlink="">
      <xdr:nvSpPr>
        <xdr:cNvPr id="123" name="Rectangle 122">
          <a:extLst>
            <a:ext uri="{FF2B5EF4-FFF2-40B4-BE49-F238E27FC236}">
              <a16:creationId xmlns:a16="http://schemas.microsoft.com/office/drawing/2014/main" id="{00000000-0008-0000-0400-00007B000000}"/>
            </a:ext>
          </a:extLst>
        </xdr:cNvPr>
        <xdr:cNvSpPr/>
      </xdr:nvSpPr>
      <xdr:spPr>
        <a:xfrm>
          <a:off x="8610600" y="5429250"/>
          <a:ext cx="1295400" cy="635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Main activity power</a:t>
          </a:r>
          <a:r>
            <a:rPr lang="en-US" baseline="0"/>
            <a:t> </a:t>
          </a:r>
          <a:r>
            <a:rPr lang="en-US"/>
            <a:t>plants                         </a:t>
          </a:r>
        </a:p>
      </xdr:txBody>
    </xdr:sp>
    <xdr:clientData/>
  </xdr:twoCellAnchor>
  <xdr:twoCellAnchor>
    <xdr:from>
      <xdr:col>31</xdr:col>
      <xdr:colOff>0</xdr:colOff>
      <xdr:row>22</xdr:row>
      <xdr:rowOff>0</xdr:rowOff>
    </xdr:from>
    <xdr:to>
      <xdr:col>38</xdr:col>
      <xdr:colOff>0</xdr:colOff>
      <xdr:row>22</xdr:row>
      <xdr:rowOff>6350</xdr:rowOff>
    </xdr:to>
    <xdr:cxnSp macro="">
      <xdr:nvCxnSpPr>
        <xdr:cNvPr id="194" name="Straight Arrow Connector 136">
          <a:extLst>
            <a:ext uri="{FF2B5EF4-FFF2-40B4-BE49-F238E27FC236}">
              <a16:creationId xmlns:a16="http://schemas.microsoft.com/office/drawing/2014/main" id="{00000000-0008-0000-0400-0000C2000000}"/>
            </a:ext>
          </a:extLst>
        </xdr:cNvPr>
        <xdr:cNvCxnSpPr>
          <a:stCxn id="48" idx="3"/>
          <a:endCxn id="24" idx="1"/>
        </xdr:cNvCxnSpPr>
      </xdr:nvCxnSpPr>
      <xdr:spPr>
        <a:xfrm>
          <a:off x="7099300" y="4572000"/>
          <a:ext cx="1511300" cy="635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31</xdr:col>
      <xdr:colOff>0</xdr:colOff>
      <xdr:row>28</xdr:row>
      <xdr:rowOff>0</xdr:rowOff>
    </xdr:from>
    <xdr:to>
      <xdr:col>38</xdr:col>
      <xdr:colOff>0</xdr:colOff>
      <xdr:row>28</xdr:row>
      <xdr:rowOff>31750</xdr:rowOff>
    </xdr:to>
    <xdr:cxnSp macro="">
      <xdr:nvCxnSpPr>
        <xdr:cNvPr id="203" name="Straight Arrow Connector 136">
          <a:extLst>
            <a:ext uri="{FF2B5EF4-FFF2-40B4-BE49-F238E27FC236}">
              <a16:creationId xmlns:a16="http://schemas.microsoft.com/office/drawing/2014/main" id="{00000000-0008-0000-0400-0000CB000000}"/>
            </a:ext>
          </a:extLst>
        </xdr:cNvPr>
        <xdr:cNvCxnSpPr>
          <a:stCxn id="91" idx="3"/>
          <a:endCxn id="123" idx="1"/>
        </xdr:cNvCxnSpPr>
      </xdr:nvCxnSpPr>
      <xdr:spPr>
        <a:xfrm>
          <a:off x="7099300" y="5715000"/>
          <a:ext cx="1511300" cy="3175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107950</xdr:colOff>
      <xdr:row>37</xdr:row>
      <xdr:rowOff>0</xdr:rowOff>
    </xdr:from>
    <xdr:to>
      <xdr:col>37</xdr:col>
      <xdr:colOff>114300</xdr:colOff>
      <xdr:row>38</xdr:row>
      <xdr:rowOff>101600</xdr:rowOff>
    </xdr:to>
    <xdr:cxnSp macro="">
      <xdr:nvCxnSpPr>
        <xdr:cNvPr id="62" name="Straight Arrow Connector 136">
          <a:extLst>
            <a:ext uri="{FF2B5EF4-FFF2-40B4-BE49-F238E27FC236}">
              <a16:creationId xmlns:a16="http://schemas.microsoft.com/office/drawing/2014/main" id="{00000000-0008-0000-0400-00003E000000}"/>
            </a:ext>
          </a:extLst>
        </xdr:cNvPr>
        <xdr:cNvCxnSpPr>
          <a:stCxn id="3" idx="2"/>
        </xdr:cNvCxnSpPr>
      </xdr:nvCxnSpPr>
      <xdr:spPr>
        <a:xfrm>
          <a:off x="8502650" y="7429500"/>
          <a:ext cx="6350" cy="2921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64</xdr:col>
      <xdr:colOff>0</xdr:colOff>
      <xdr:row>37</xdr:row>
      <xdr:rowOff>0</xdr:rowOff>
    </xdr:from>
    <xdr:to>
      <xdr:col>64</xdr:col>
      <xdr:colOff>0</xdr:colOff>
      <xdr:row>38</xdr:row>
      <xdr:rowOff>101600</xdr:rowOff>
    </xdr:to>
    <xdr:cxnSp macro="">
      <xdr:nvCxnSpPr>
        <xdr:cNvPr id="65" name="Straight Arrow Connector 136">
          <a:extLst>
            <a:ext uri="{FF2B5EF4-FFF2-40B4-BE49-F238E27FC236}">
              <a16:creationId xmlns:a16="http://schemas.microsoft.com/office/drawing/2014/main" id="{00000000-0008-0000-0400-000041000000}"/>
            </a:ext>
          </a:extLst>
        </xdr:cNvPr>
        <xdr:cNvCxnSpPr>
          <a:stCxn id="6" idx="2"/>
        </xdr:cNvCxnSpPr>
      </xdr:nvCxnSpPr>
      <xdr:spPr>
        <a:xfrm>
          <a:off x="14224000" y="7429500"/>
          <a:ext cx="0" cy="292100"/>
        </a:xfrm>
        <a:prstGeom prst="straightConnector1">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63500</xdr:colOff>
      <xdr:row>8</xdr:row>
      <xdr:rowOff>12700</xdr:rowOff>
    </xdr:from>
    <xdr:to>
      <xdr:col>18</xdr:col>
      <xdr:colOff>12700</xdr:colOff>
      <xdr:row>9</xdr:row>
      <xdr:rowOff>165100</xdr:rowOff>
    </xdr:to>
    <xdr:sp macro="" textlink="">
      <xdr:nvSpPr>
        <xdr:cNvPr id="229" name="TextBox 228">
          <a:extLst>
            <a:ext uri="{FF2B5EF4-FFF2-40B4-BE49-F238E27FC236}">
              <a16:creationId xmlns:a16="http://schemas.microsoft.com/office/drawing/2014/main" id="{00000000-0008-0000-0400-0000E5000000}"/>
            </a:ext>
          </a:extLst>
        </xdr:cNvPr>
        <xdr:cNvSpPr txBox="1"/>
      </xdr:nvSpPr>
      <xdr:spPr>
        <a:xfrm>
          <a:off x="3060700" y="1917700"/>
          <a:ext cx="12446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u="sng">
              <a:solidFill>
                <a:srgbClr val="FFFFFF"/>
              </a:solidFill>
            </a:rPr>
            <a:t>Dashboard</a:t>
          </a:r>
        </a:p>
      </xdr:txBody>
    </xdr:sp>
    <xdr:clientData/>
  </xdr:twoCellAnchor>
  <xdr:twoCellAnchor>
    <xdr:from>
      <xdr:col>35</xdr:col>
      <xdr:colOff>127000</xdr:colOff>
      <xdr:row>38</xdr:row>
      <xdr:rowOff>152400</xdr:rowOff>
    </xdr:from>
    <xdr:to>
      <xdr:col>41</xdr:col>
      <xdr:colOff>76200</xdr:colOff>
      <xdr:row>40</xdr:row>
      <xdr:rowOff>114300</xdr:rowOff>
    </xdr:to>
    <xdr:sp macro="" textlink="">
      <xdr:nvSpPr>
        <xdr:cNvPr id="70" name="TextBox 69">
          <a:extLst>
            <a:ext uri="{FF2B5EF4-FFF2-40B4-BE49-F238E27FC236}">
              <a16:creationId xmlns:a16="http://schemas.microsoft.com/office/drawing/2014/main" id="{00000000-0008-0000-0400-000046000000}"/>
            </a:ext>
          </a:extLst>
        </xdr:cNvPr>
        <xdr:cNvSpPr txBox="1"/>
      </xdr:nvSpPr>
      <xdr:spPr>
        <a:xfrm>
          <a:off x="8089900" y="7772400"/>
          <a:ext cx="12446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800" u="sng">
              <a:solidFill>
                <a:srgbClr val="FFFFFF"/>
              </a:solidFill>
            </a:rPr>
            <a:t>Checks</a:t>
          </a:r>
        </a:p>
      </xdr:txBody>
    </xdr:sp>
    <xdr:clientData/>
  </xdr:twoCellAnchor>
  <xdr:twoCellAnchor>
    <xdr:from>
      <xdr:col>12</xdr:col>
      <xdr:colOff>0</xdr:colOff>
      <xdr:row>35</xdr:row>
      <xdr:rowOff>0</xdr:rowOff>
    </xdr:from>
    <xdr:to>
      <xdr:col>18</xdr:col>
      <xdr:colOff>0</xdr:colOff>
      <xdr:row>38</xdr:row>
      <xdr:rowOff>0</xdr:rowOff>
    </xdr:to>
    <xdr:sp macro="" textlink="">
      <xdr:nvSpPr>
        <xdr:cNvPr id="86" name="Rectangle 85">
          <a:extLst>
            <a:ext uri="{FF2B5EF4-FFF2-40B4-BE49-F238E27FC236}">
              <a16:creationId xmlns:a16="http://schemas.microsoft.com/office/drawing/2014/main" id="{00000000-0008-0000-0400-000056000000}"/>
            </a:ext>
          </a:extLst>
        </xdr:cNvPr>
        <xdr:cNvSpPr/>
      </xdr:nvSpPr>
      <xdr:spPr>
        <a:xfrm>
          <a:off x="2997200" y="7048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Production shares electricity plants</a:t>
          </a:r>
        </a:p>
      </xdr:txBody>
    </xdr:sp>
    <xdr:clientData/>
  </xdr:twoCellAnchor>
  <xdr:twoCellAnchor>
    <xdr:from>
      <xdr:col>12</xdr:col>
      <xdr:colOff>0</xdr:colOff>
      <xdr:row>31</xdr:row>
      <xdr:rowOff>12700</xdr:rowOff>
    </xdr:from>
    <xdr:to>
      <xdr:col>18</xdr:col>
      <xdr:colOff>0</xdr:colOff>
      <xdr:row>34</xdr:row>
      <xdr:rowOff>12700</xdr:rowOff>
    </xdr:to>
    <xdr:sp macro="" textlink="">
      <xdr:nvSpPr>
        <xdr:cNvPr id="87" name="Rectangle 86">
          <a:extLst>
            <a:ext uri="{FF2B5EF4-FFF2-40B4-BE49-F238E27FC236}">
              <a16:creationId xmlns:a16="http://schemas.microsoft.com/office/drawing/2014/main" id="{00000000-0008-0000-0400-000057000000}"/>
            </a:ext>
          </a:extLst>
        </xdr:cNvPr>
        <xdr:cNvSpPr/>
      </xdr:nvSpPr>
      <xdr:spPr>
        <a:xfrm>
          <a:off x="2997200" y="62992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Electricity plants ful load hours</a:t>
          </a:r>
        </a:p>
      </xdr:txBody>
    </xdr:sp>
    <xdr:clientData/>
  </xdr:twoCellAnchor>
  <xdr:twoCellAnchor>
    <xdr:from>
      <xdr:col>8</xdr:col>
      <xdr:colOff>0</xdr:colOff>
      <xdr:row>32</xdr:row>
      <xdr:rowOff>95250</xdr:rowOff>
    </xdr:from>
    <xdr:to>
      <xdr:col>12</xdr:col>
      <xdr:colOff>0</xdr:colOff>
      <xdr:row>32</xdr:row>
      <xdr:rowOff>107950</xdr:rowOff>
    </xdr:to>
    <xdr:cxnSp macro="">
      <xdr:nvCxnSpPr>
        <xdr:cNvPr id="88" name="Straight Arrow Connector 278">
          <a:extLst>
            <a:ext uri="{FF2B5EF4-FFF2-40B4-BE49-F238E27FC236}">
              <a16:creationId xmlns:a16="http://schemas.microsoft.com/office/drawing/2014/main" id="{00000000-0008-0000-0400-000058000000}"/>
            </a:ext>
          </a:extLst>
        </xdr:cNvPr>
        <xdr:cNvCxnSpPr>
          <a:stCxn id="22" idx="3"/>
          <a:endCxn id="87" idx="1"/>
        </xdr:cNvCxnSpPr>
      </xdr:nvCxnSpPr>
      <xdr:spPr>
        <a:xfrm>
          <a:off x="2133600" y="6572250"/>
          <a:ext cx="863600" cy="12700"/>
        </a:xfrm>
        <a:prstGeom prst="straightConnector1">
          <a:avLst/>
        </a:prstGeom>
        <a:ln>
          <a:tailEnd type="arrow"/>
        </a:ln>
      </xdr:spPr>
      <xdr:style>
        <a:lnRef idx="2">
          <a:schemeClr val="accent3"/>
        </a:lnRef>
        <a:fillRef idx="0">
          <a:schemeClr val="accent3"/>
        </a:fillRef>
        <a:effectRef idx="1">
          <a:schemeClr val="accent3"/>
        </a:effectRef>
        <a:fontRef idx="minor">
          <a:schemeClr val="tx1"/>
        </a:fontRef>
      </xdr:style>
    </xdr:cxnSp>
    <xdr:clientData/>
  </xdr:twoCellAnchor>
  <xdr:twoCellAnchor>
    <xdr:from>
      <xdr:col>31</xdr:col>
      <xdr:colOff>0</xdr:colOff>
      <xdr:row>15</xdr:row>
      <xdr:rowOff>88900</xdr:rowOff>
    </xdr:from>
    <xdr:to>
      <xdr:col>46</xdr:col>
      <xdr:colOff>0</xdr:colOff>
      <xdr:row>22</xdr:row>
      <xdr:rowOff>0</xdr:rowOff>
    </xdr:to>
    <xdr:cxnSp macro="">
      <xdr:nvCxnSpPr>
        <xdr:cNvPr id="108" name="Straight Arrow Connector 136">
          <a:extLst>
            <a:ext uri="{FF2B5EF4-FFF2-40B4-BE49-F238E27FC236}">
              <a16:creationId xmlns:a16="http://schemas.microsoft.com/office/drawing/2014/main" id="{00000000-0008-0000-0400-00006C000000}"/>
            </a:ext>
          </a:extLst>
        </xdr:cNvPr>
        <xdr:cNvCxnSpPr>
          <a:stCxn id="48" idx="3"/>
          <a:endCxn id="25" idx="1"/>
        </xdr:cNvCxnSpPr>
      </xdr:nvCxnSpPr>
      <xdr:spPr>
        <a:xfrm flipV="1">
          <a:off x="7099300" y="3327400"/>
          <a:ext cx="3238500" cy="1244600"/>
        </a:xfrm>
        <a:prstGeom prst="bentConnector3">
          <a:avLst>
            <a:gd name="adj1" fmla="val 24510"/>
          </a:avLst>
        </a:prstGeom>
        <a:ln>
          <a:tailEnd type="arrow"/>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31</xdr:col>
      <xdr:colOff>0</xdr:colOff>
      <xdr:row>15</xdr:row>
      <xdr:rowOff>88900</xdr:rowOff>
    </xdr:from>
    <xdr:to>
      <xdr:col>46</xdr:col>
      <xdr:colOff>0</xdr:colOff>
      <xdr:row>28</xdr:row>
      <xdr:rowOff>0</xdr:rowOff>
    </xdr:to>
    <xdr:cxnSp macro="">
      <xdr:nvCxnSpPr>
        <xdr:cNvPr id="112" name="Straight Arrow Connector 136">
          <a:extLst>
            <a:ext uri="{FF2B5EF4-FFF2-40B4-BE49-F238E27FC236}">
              <a16:creationId xmlns:a16="http://schemas.microsoft.com/office/drawing/2014/main" id="{00000000-0008-0000-0400-000070000000}"/>
            </a:ext>
          </a:extLst>
        </xdr:cNvPr>
        <xdr:cNvCxnSpPr>
          <a:stCxn id="91" idx="3"/>
          <a:endCxn id="25" idx="1"/>
        </xdr:cNvCxnSpPr>
      </xdr:nvCxnSpPr>
      <xdr:spPr>
        <a:xfrm flipV="1">
          <a:off x="7099300" y="3327400"/>
          <a:ext cx="3238500" cy="2387600"/>
        </a:xfrm>
        <a:prstGeom prst="bentConnector3">
          <a:avLst>
            <a:gd name="adj1" fmla="val 25294"/>
          </a:avLst>
        </a:prstGeom>
        <a:ln>
          <a:tailEnd type="arrow"/>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8</xdr:col>
      <xdr:colOff>0</xdr:colOff>
      <xdr:row>16</xdr:row>
      <xdr:rowOff>0</xdr:rowOff>
    </xdr:from>
    <xdr:to>
      <xdr:col>41</xdr:col>
      <xdr:colOff>0</xdr:colOff>
      <xdr:row>16</xdr:row>
      <xdr:rowOff>95250</xdr:rowOff>
    </xdr:to>
    <xdr:cxnSp macro="">
      <xdr:nvCxnSpPr>
        <xdr:cNvPr id="27" name="Elbow Connector 26">
          <a:extLst>
            <a:ext uri="{FF2B5EF4-FFF2-40B4-BE49-F238E27FC236}">
              <a16:creationId xmlns:a16="http://schemas.microsoft.com/office/drawing/2014/main" id="{00000000-0008-0000-0400-00001B000000}"/>
            </a:ext>
          </a:extLst>
        </xdr:cNvPr>
        <xdr:cNvCxnSpPr>
          <a:stCxn id="21" idx="3"/>
          <a:endCxn id="4" idx="0"/>
        </xdr:cNvCxnSpPr>
      </xdr:nvCxnSpPr>
      <xdr:spPr>
        <a:xfrm flipV="1">
          <a:off x="2133600" y="3429000"/>
          <a:ext cx="7124700" cy="95250"/>
        </a:xfrm>
        <a:prstGeom prst="bentConnector4">
          <a:avLst>
            <a:gd name="adj1" fmla="val 43939"/>
            <a:gd name="adj2" fmla="val 540000"/>
          </a:avLst>
        </a:prstGeom>
        <a:ln>
          <a:tailEnd type="arrow"/>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0</xdr:colOff>
      <xdr:row>11</xdr:row>
      <xdr:rowOff>0</xdr:rowOff>
    </xdr:from>
    <xdr:to>
      <xdr:col>8</xdr:col>
      <xdr:colOff>0</xdr:colOff>
      <xdr:row>14</xdr:row>
      <xdr:rowOff>0</xdr:rowOff>
    </xdr:to>
    <xdr:sp macro="" textlink="">
      <xdr:nvSpPr>
        <xdr:cNvPr id="281" name="Rectangle 280">
          <a:extLst>
            <a:ext uri="{FF2B5EF4-FFF2-40B4-BE49-F238E27FC236}">
              <a16:creationId xmlns:a16="http://schemas.microsoft.com/office/drawing/2014/main" id="{00000000-0008-0000-0400-000019010000}"/>
            </a:ext>
          </a:extLst>
        </xdr:cNvPr>
        <xdr:cNvSpPr/>
      </xdr:nvSpPr>
      <xdr:spPr>
        <a:xfrm>
          <a:off x="838200" y="24765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CHP demands</a:t>
          </a:r>
        </a:p>
      </xdr:txBody>
    </xdr:sp>
    <xdr:clientData/>
  </xdr:twoCellAnchor>
  <xdr:twoCellAnchor>
    <xdr:from>
      <xdr:col>8</xdr:col>
      <xdr:colOff>0</xdr:colOff>
      <xdr:row>12</xdr:row>
      <xdr:rowOff>95250</xdr:rowOff>
    </xdr:from>
    <xdr:to>
      <xdr:col>75</xdr:col>
      <xdr:colOff>0</xdr:colOff>
      <xdr:row>13</xdr:row>
      <xdr:rowOff>95250</xdr:rowOff>
    </xdr:to>
    <xdr:cxnSp macro="">
      <xdr:nvCxnSpPr>
        <xdr:cNvPr id="291" name="Elbow Connector 290">
          <a:extLst>
            <a:ext uri="{FF2B5EF4-FFF2-40B4-BE49-F238E27FC236}">
              <a16:creationId xmlns:a16="http://schemas.microsoft.com/office/drawing/2014/main" id="{00000000-0008-0000-0400-000023010000}"/>
            </a:ext>
          </a:extLst>
        </xdr:cNvPr>
        <xdr:cNvCxnSpPr>
          <a:stCxn id="281" idx="3"/>
          <a:endCxn id="12" idx="1"/>
        </xdr:cNvCxnSpPr>
      </xdr:nvCxnSpPr>
      <xdr:spPr>
        <a:xfrm>
          <a:off x="2133600" y="2762250"/>
          <a:ext cx="14465300" cy="190500"/>
        </a:xfrm>
        <a:prstGeom prst="bentConnector3">
          <a:avLst>
            <a:gd name="adj1" fmla="val 50000"/>
          </a:avLst>
        </a:prstGeom>
        <a:ln>
          <a:tailEnd type="arrow"/>
        </a:ln>
      </xdr:spPr>
      <xdr:style>
        <a:lnRef idx="2">
          <a:schemeClr val="accent6"/>
        </a:lnRef>
        <a:fillRef idx="0">
          <a:schemeClr val="accent6"/>
        </a:fillRef>
        <a:effectRef idx="1">
          <a:schemeClr val="accent6"/>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11</xdr:col>
          <xdr:colOff>152400</xdr:colOff>
          <xdr:row>4</xdr:row>
          <xdr:rowOff>533400</xdr:rowOff>
        </xdr:from>
        <xdr:to>
          <xdr:col>12</xdr:col>
          <xdr:colOff>5499100</xdr:colOff>
          <xdr:row>4</xdr:row>
          <xdr:rowOff>749300</xdr:rowOff>
        </xdr:to>
        <xdr:sp macro="" textlink="">
          <xdr:nvSpPr>
            <xdr:cNvPr id="2049" name="export_data" hidden="1">
              <a:extLst>
                <a:ext uri="{63B3BB69-23CF-44E3-9099-C40C66FF867C}">
                  <a14:compatExt spid="_x0000_s2049"/>
                </a:ext>
                <a:ext uri="{FF2B5EF4-FFF2-40B4-BE49-F238E27FC236}">
                  <a16:creationId xmlns:a16="http://schemas.microsoft.com/office/drawing/2014/main" id="{00000000-0008-0000-0600-0000010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export to 'data/…/ouput' folder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11</xdr:col>
          <xdr:colOff>165100</xdr:colOff>
          <xdr:row>3</xdr:row>
          <xdr:rowOff>114300</xdr:rowOff>
        </xdr:from>
        <xdr:to>
          <xdr:col>12</xdr:col>
          <xdr:colOff>5511800</xdr:colOff>
          <xdr:row>4</xdr:row>
          <xdr:rowOff>139700</xdr:rowOff>
        </xdr:to>
        <xdr:sp macro="" textlink="">
          <xdr:nvSpPr>
            <xdr:cNvPr id="2050" name="import_data" hidden="1">
              <a:extLst>
                <a:ext uri="{63B3BB69-23CF-44E3-9099-C40C66FF867C}">
                  <a14:compatExt spid="_x0000_s2050"/>
                </a:ext>
                <a:ext uri="{FF2B5EF4-FFF2-40B4-BE49-F238E27FC236}">
                  <a16:creationId xmlns:a16="http://schemas.microsoft.com/office/drawing/2014/main" id="{00000000-0008-0000-0600-0000020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import data</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12</xdr:col>
          <xdr:colOff>1168400</xdr:colOff>
          <xdr:row>4</xdr:row>
          <xdr:rowOff>215900</xdr:rowOff>
        </xdr:from>
        <xdr:to>
          <xdr:col>12</xdr:col>
          <xdr:colOff>5486400</xdr:colOff>
          <xdr:row>4</xdr:row>
          <xdr:rowOff>431800</xdr:rowOff>
        </xdr:to>
        <xdr:sp macro="" textlink="">
          <xdr:nvSpPr>
            <xdr:cNvPr id="2054" name="select_dashboard" hidden="1">
              <a:extLst>
                <a:ext uri="{63B3BB69-23CF-44E3-9099-C40C66FF867C}">
                  <a14:compatExt spid="_x0000_s2054"/>
                </a:ext>
                <a:ext uri="{FF2B5EF4-FFF2-40B4-BE49-F238E27FC236}">
                  <a16:creationId xmlns:a16="http://schemas.microsoft.com/office/drawing/2014/main" id="{00000000-0008-0000-0600-0000060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optional: Load different dashboard values</a:t>
              </a:r>
            </a:p>
          </xdr:txBody>
        </xdr:sp>
        <xdr:clientData fPrintsWithSheet="0"/>
      </xdr:twoCellAnchor>
    </mc:Choice>
    <mc:Fallback/>
  </mc:AlternateContent>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admin/Dropbox/Quintel/Projects/Restructure%20Research%20Dataset/CHP%20analysis/Excel%20analysis/NL2011/20130726%20CHP%20analysis%20v2.10.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ichieldenhaan/Projects/etdataset/analyses/Excel%20analysis/V2/20130715%20CHP%20analysis%20v2.09.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RichardDeuchler/Dropbox/Quintel/Projects/Restructure%20Research%20Dataset/analysis/analyses/1_chp/20130819%20CHP%20analysis%20v2.16.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mathijsbijkerk/Github/etdataset/analyses/1_chp_analysis.xlsx" TargetMode="External"/><Relationship Id="rId1" Type="http://schemas.openxmlformats.org/officeDocument/2006/relationships/externalLinkPath" Target="1_chp_analysi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michieldenhaan/Code/etdataset/analysis_manage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IEA energy balance"/>
      <sheetName val="IEA autoproducer prod."/>
      <sheetName val="CHP technical specs"/>
      <sheetName val="Other sources"/>
      <sheetName val="Dashboard"/>
      <sheetName val="Results by fuel"/>
      <sheetName val="Results by machine"/>
      <sheetName val="Delta energy balance"/>
      <sheetName val="Corrected energy balance"/>
      <sheetName val="Fuel aggregation"/>
      <sheetName val="Fuel mixes"/>
      <sheetName val="Co-fueling shares"/>
      <sheetName val="Fuel allocation"/>
      <sheetName val="Agriculture"/>
      <sheetName val="Households"/>
      <sheetName val="C&amp;P services"/>
      <sheetName val="Energy industry"/>
      <sheetName val="Industry"/>
      <sheetName val="Main activity"/>
      <sheetName val="Waste incineration"/>
      <sheetName val="AP net-gross conversion"/>
      <sheetName val="CEB allocation"/>
      <sheetName val="corrected energy balance step1"/>
      <sheetName val="ce production table step1"/>
      <sheetName val="energy_mixer_for_gas_power_fuel"/>
    </sheetNames>
    <sheetDataSet>
      <sheetData sheetId="0"/>
      <sheetData sheetId="1"/>
      <sheetData sheetId="2"/>
      <sheetData sheetId="3"/>
      <sheetData sheetId="4"/>
      <sheetData sheetId="5">
        <row r="177">
          <cell r="C177">
            <v>3.6</v>
          </cell>
        </row>
      </sheetData>
      <sheetData sheetId="6"/>
      <sheetData sheetId="7"/>
      <sheetData sheetId="8"/>
      <sheetData sheetId="9"/>
      <sheetData sheetId="10"/>
      <sheetData sheetId="11"/>
      <sheetData sheetId="12"/>
      <sheetData sheetId="13"/>
      <sheetData sheetId="14"/>
      <sheetData sheetId="15"/>
      <sheetData sheetId="16"/>
      <sheetData sheetId="17"/>
      <sheetData sheetId="18">
        <row r="49">
          <cell r="C49">
            <v>0</v>
          </cell>
        </row>
        <row r="91">
          <cell r="C91">
            <v>1</v>
          </cell>
        </row>
        <row r="133">
          <cell r="C133">
            <v>0</v>
          </cell>
        </row>
      </sheetData>
      <sheetData sheetId="19"/>
      <sheetData sheetId="20"/>
      <sheetData sheetId="21"/>
      <sheetData sheetId="22"/>
      <sheetData sheetId="23"/>
      <sheetData sheetId="24"/>
      <sheetData sheetId="25"/>
      <sheetData sheetId="26">
        <row r="12">
          <cell r="D12">
            <v>1.0440998889049897</v>
          </cell>
        </row>
      </sheetData>
      <sheetData sheetId="27">
        <row r="12">
          <cell r="F12">
            <v>0</v>
          </cell>
          <cell r="G12">
            <v>0</v>
          </cell>
          <cell r="H12">
            <v>0</v>
          </cell>
          <cell r="I12">
            <v>0</v>
          </cell>
          <cell r="J12">
            <v>0</v>
          </cell>
          <cell r="K12">
            <v>0</v>
          </cell>
          <cell r="L12">
            <v>1</v>
          </cell>
          <cell r="M12">
            <v>0</v>
          </cell>
          <cell r="N12">
            <v>0</v>
          </cell>
          <cell r="O12">
            <v>0</v>
          </cell>
          <cell r="P12">
            <v>0</v>
          </cell>
          <cell r="Q12">
            <v>0</v>
          </cell>
          <cell r="R12">
            <v>0</v>
          </cell>
          <cell r="S12">
            <v>2.7586206896551724E-2</v>
          </cell>
          <cell r="T12">
            <v>0.97241379310344822</v>
          </cell>
          <cell r="U12">
            <v>0</v>
          </cell>
          <cell r="V12">
            <v>0</v>
          </cell>
          <cell r="W12">
            <v>1</v>
          </cell>
          <cell r="X12">
            <v>0</v>
          </cell>
          <cell r="Y12">
            <v>0</v>
          </cell>
          <cell r="Z12">
            <v>0</v>
          </cell>
          <cell r="AA12">
            <v>0</v>
          </cell>
          <cell r="AB12">
            <v>0</v>
          </cell>
          <cell r="AC12">
            <v>0</v>
          </cell>
          <cell r="AD12">
            <v>0.93466299862448421</v>
          </cell>
          <cell r="AE12">
            <v>0</v>
          </cell>
          <cell r="AF12">
            <v>0</v>
          </cell>
          <cell r="AG12">
            <v>0</v>
          </cell>
          <cell r="AH12">
            <v>0</v>
          </cell>
          <cell r="AI12">
            <v>0</v>
          </cell>
          <cell r="AJ12">
            <v>0</v>
          </cell>
          <cell r="AK12">
            <v>0</v>
          </cell>
          <cell r="AL12">
            <v>3.0949105914718018E-2</v>
          </cell>
          <cell r="AM12">
            <v>0</v>
          </cell>
          <cell r="AN12">
            <v>0</v>
          </cell>
          <cell r="AO12">
            <v>0</v>
          </cell>
          <cell r="AP12">
            <v>0</v>
          </cell>
          <cell r="AQ12">
            <v>0</v>
          </cell>
          <cell r="AR12">
            <v>0</v>
          </cell>
          <cell r="AS12">
            <v>0</v>
          </cell>
          <cell r="AT12">
            <v>3.4387895460797797E-2</v>
          </cell>
          <cell r="AU12">
            <v>0</v>
          </cell>
          <cell r="AV12">
            <v>1</v>
          </cell>
          <cell r="AW12">
            <v>0</v>
          </cell>
          <cell r="AX12">
            <v>0</v>
          </cell>
          <cell r="AY12">
            <v>1</v>
          </cell>
          <cell r="AZ12">
            <v>0</v>
          </cell>
          <cell r="BA12">
            <v>0</v>
          </cell>
          <cell r="BB12">
            <v>0</v>
          </cell>
          <cell r="BC12">
            <v>0</v>
          </cell>
        </row>
        <row r="17">
          <cell r="D17">
            <v>0</v>
          </cell>
        </row>
        <row r="18">
          <cell r="D18">
            <v>1.7515051997810619E-2</v>
          </cell>
        </row>
        <row r="19">
          <cell r="D19">
            <v>0</v>
          </cell>
        </row>
        <row r="20">
          <cell r="D20">
            <v>0</v>
          </cell>
        </row>
        <row r="21">
          <cell r="D21">
            <v>0</v>
          </cell>
        </row>
        <row r="22">
          <cell r="D22">
            <v>0</v>
          </cell>
        </row>
        <row r="23">
          <cell r="D23">
            <v>0</v>
          </cell>
        </row>
        <row r="24">
          <cell r="D24">
            <v>0</v>
          </cell>
        </row>
        <row r="25">
          <cell r="D25">
            <v>0.98248494800218933</v>
          </cell>
        </row>
        <row r="26">
          <cell r="D26">
            <v>0</v>
          </cell>
        </row>
        <row r="27">
          <cell r="D27">
            <v>0</v>
          </cell>
        </row>
        <row r="28">
          <cell r="D28">
            <v>0</v>
          </cell>
        </row>
        <row r="29">
          <cell r="D29">
            <v>0</v>
          </cell>
        </row>
        <row r="30">
          <cell r="D30">
            <v>0</v>
          </cell>
        </row>
        <row r="31">
          <cell r="D31">
            <v>0</v>
          </cell>
        </row>
        <row r="32">
          <cell r="D32">
            <v>0</v>
          </cell>
        </row>
        <row r="33">
          <cell r="D33">
            <v>0</v>
          </cell>
        </row>
        <row r="37">
          <cell r="D37">
            <v>4.1176470588235294E-2</v>
          </cell>
        </row>
        <row r="38">
          <cell r="D38">
            <v>0.37549019607843137</v>
          </cell>
        </row>
        <row r="39">
          <cell r="D39">
            <v>0</v>
          </cell>
        </row>
        <row r="40">
          <cell r="D40">
            <v>6.1274509803921568E-3</v>
          </cell>
        </row>
        <row r="41">
          <cell r="D41">
            <v>0</v>
          </cell>
        </row>
        <row r="42">
          <cell r="D42">
            <v>0</v>
          </cell>
        </row>
        <row r="43">
          <cell r="D43">
            <v>2.2058823529411766E-2</v>
          </cell>
        </row>
        <row r="44">
          <cell r="D44">
            <v>0.32965686274509803</v>
          </cell>
        </row>
        <row r="45">
          <cell r="D45">
            <v>0.2196078431372549</v>
          </cell>
        </row>
        <row r="46">
          <cell r="D46">
            <v>7.3529411764705881E-4</v>
          </cell>
        </row>
        <row r="47">
          <cell r="D47">
            <v>0</v>
          </cell>
        </row>
        <row r="48">
          <cell r="D48">
            <v>5.1470588235294117E-3</v>
          </cell>
        </row>
        <row r="49">
          <cell r="D49">
            <v>0</v>
          </cell>
        </row>
      </sheetData>
      <sheetData sheetId="28"/>
      <sheetData sheetId="29"/>
      <sheetData sheetId="30"/>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IEA energy balance"/>
      <sheetName val="IEA autoproducer prod."/>
      <sheetName val="CHP technical specs"/>
      <sheetName val="Other sources"/>
      <sheetName val="Dashboard"/>
      <sheetName val="Results by fuel"/>
      <sheetName val="Results by machine"/>
      <sheetName val="Delta energy balance"/>
      <sheetName val="Corrected energy balance"/>
      <sheetName val="Fuel aggregation"/>
      <sheetName val="Fuel mixes"/>
      <sheetName val="Co-fueling shares"/>
      <sheetName val="Fuel allocation"/>
      <sheetName val="Agriculture"/>
      <sheetName val="Households"/>
      <sheetName val="C&amp;P services"/>
      <sheetName val="Energy industry"/>
      <sheetName val="Industry"/>
      <sheetName val="Main activity"/>
      <sheetName val="Waste incineration"/>
      <sheetName val="AP net-gross conversion"/>
      <sheetName val="CEB allocation"/>
      <sheetName val="CSV corrected energy balance"/>
      <sheetName val="CSV CHP demands"/>
      <sheetName val="CSV CHPs fuel mix"/>
      <sheetName val="CSV heater input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49">
          <cell r="C49">
            <v>0</v>
          </cell>
        </row>
        <row r="91">
          <cell r="C91">
            <v>1</v>
          </cell>
        </row>
        <row r="133">
          <cell r="C133">
            <v>0</v>
          </cell>
        </row>
      </sheetData>
      <sheetData sheetId="19" refreshError="1"/>
      <sheetData sheetId="20" refreshError="1"/>
      <sheetData sheetId="21" refreshError="1"/>
      <sheetData sheetId="22" refreshError="1"/>
      <sheetData sheetId="23" refreshError="1"/>
      <sheetData sheetId="24" refreshError="1"/>
      <sheetData sheetId="25" refreshError="1"/>
      <sheetData sheetId="26">
        <row r="12">
          <cell r="D12">
            <v>1.0440998889049897</v>
          </cell>
        </row>
      </sheetData>
      <sheetData sheetId="27">
        <row r="12">
          <cell r="F12">
            <v>0</v>
          </cell>
          <cell r="G12">
            <v>0</v>
          </cell>
          <cell r="H12">
            <v>0</v>
          </cell>
          <cell r="I12">
            <v>0</v>
          </cell>
          <cell r="J12">
            <v>0</v>
          </cell>
          <cell r="K12">
            <v>0</v>
          </cell>
          <cell r="L12">
            <v>1</v>
          </cell>
          <cell r="M12">
            <v>0</v>
          </cell>
          <cell r="N12">
            <v>0</v>
          </cell>
          <cell r="O12">
            <v>0</v>
          </cell>
          <cell r="P12">
            <v>0</v>
          </cell>
          <cell r="Q12">
            <v>0</v>
          </cell>
          <cell r="R12">
            <v>0</v>
          </cell>
          <cell r="S12">
            <v>2.7586206896551724E-2</v>
          </cell>
          <cell r="T12">
            <v>0.97241379310344822</v>
          </cell>
          <cell r="U12">
            <v>0</v>
          </cell>
          <cell r="V12">
            <v>0</v>
          </cell>
          <cell r="W12">
            <v>1</v>
          </cell>
          <cell r="X12">
            <v>0</v>
          </cell>
          <cell r="Y12">
            <v>0</v>
          </cell>
          <cell r="Z12">
            <v>0</v>
          </cell>
          <cell r="AA12">
            <v>0</v>
          </cell>
          <cell r="AB12">
            <v>0</v>
          </cell>
          <cell r="AC12">
            <v>0</v>
          </cell>
          <cell r="AD12">
            <v>0.93466299862448421</v>
          </cell>
          <cell r="AE12">
            <v>0</v>
          </cell>
          <cell r="AF12">
            <v>0</v>
          </cell>
          <cell r="AG12">
            <v>0</v>
          </cell>
          <cell r="AH12">
            <v>0</v>
          </cell>
          <cell r="AI12">
            <v>0</v>
          </cell>
          <cell r="AJ12">
            <v>0</v>
          </cell>
          <cell r="AK12">
            <v>0</v>
          </cell>
          <cell r="AL12">
            <v>3.0949105914718018E-2</v>
          </cell>
          <cell r="AM12">
            <v>0</v>
          </cell>
          <cell r="AN12">
            <v>0</v>
          </cell>
          <cell r="AO12">
            <v>0</v>
          </cell>
          <cell r="AP12">
            <v>0</v>
          </cell>
          <cell r="AQ12">
            <v>0</v>
          </cell>
          <cell r="AR12">
            <v>0</v>
          </cell>
          <cell r="AS12">
            <v>0</v>
          </cell>
          <cell r="AT12">
            <v>3.4387895460797797E-2</v>
          </cell>
          <cell r="AU12">
            <v>0</v>
          </cell>
          <cell r="AV12">
            <v>1</v>
          </cell>
          <cell r="AW12">
            <v>0</v>
          </cell>
          <cell r="AX12">
            <v>0</v>
          </cell>
          <cell r="AY12">
            <v>1</v>
          </cell>
          <cell r="AZ12">
            <v>0</v>
          </cell>
          <cell r="BA12">
            <v>0</v>
          </cell>
          <cell r="BB12">
            <v>0</v>
          </cell>
          <cell r="BC12">
            <v>0</v>
          </cell>
        </row>
        <row r="17">
          <cell r="D17">
            <v>0</v>
          </cell>
        </row>
        <row r="18">
          <cell r="D18">
            <v>1.7515051997810619E-2</v>
          </cell>
        </row>
        <row r="19">
          <cell r="D19">
            <v>0</v>
          </cell>
        </row>
        <row r="20">
          <cell r="D20">
            <v>0</v>
          </cell>
        </row>
        <row r="21">
          <cell r="D21">
            <v>0</v>
          </cell>
        </row>
        <row r="22">
          <cell r="D22">
            <v>0</v>
          </cell>
        </row>
        <row r="23">
          <cell r="D23">
            <v>0</v>
          </cell>
        </row>
        <row r="24">
          <cell r="D24">
            <v>0</v>
          </cell>
        </row>
        <row r="25">
          <cell r="D25">
            <v>0.98248494800218933</v>
          </cell>
        </row>
        <row r="26">
          <cell r="D26">
            <v>0</v>
          </cell>
        </row>
        <row r="27">
          <cell r="D27">
            <v>0</v>
          </cell>
        </row>
        <row r="28">
          <cell r="D28">
            <v>0</v>
          </cell>
        </row>
        <row r="29">
          <cell r="D29">
            <v>0</v>
          </cell>
        </row>
        <row r="30">
          <cell r="D30">
            <v>0</v>
          </cell>
        </row>
        <row r="31">
          <cell r="D31">
            <v>0</v>
          </cell>
        </row>
        <row r="32">
          <cell r="D32">
            <v>0</v>
          </cell>
        </row>
        <row r="33">
          <cell r="D33">
            <v>0</v>
          </cell>
        </row>
        <row r="37">
          <cell r="D37">
            <v>4.1176470588235294E-2</v>
          </cell>
        </row>
        <row r="38">
          <cell r="D38">
            <v>0.37549019607843137</v>
          </cell>
        </row>
        <row r="39">
          <cell r="D39">
            <v>0</v>
          </cell>
        </row>
        <row r="40">
          <cell r="D40">
            <v>6.1274509803921568E-3</v>
          </cell>
        </row>
        <row r="41">
          <cell r="D41">
            <v>0</v>
          </cell>
        </row>
        <row r="42">
          <cell r="D42">
            <v>0</v>
          </cell>
        </row>
        <row r="43">
          <cell r="D43">
            <v>2.2058823529411766E-2</v>
          </cell>
        </row>
        <row r="44">
          <cell r="D44">
            <v>0.32965686274509803</v>
          </cell>
        </row>
        <row r="45">
          <cell r="D45">
            <v>0.2196078431372549</v>
          </cell>
        </row>
        <row r="46">
          <cell r="D46">
            <v>7.3529411764705881E-4</v>
          </cell>
        </row>
        <row r="47">
          <cell r="D47">
            <v>0</v>
          </cell>
        </row>
        <row r="48">
          <cell r="D48">
            <v>5.1470588235294117E-3</v>
          </cell>
        </row>
        <row r="49">
          <cell r="D49">
            <v>0</v>
          </cell>
        </row>
      </sheetData>
      <sheetData sheetId="28" refreshError="1"/>
      <sheetData sheetId="29" refreshError="1"/>
      <sheetData sheetId="30" refreshError="1"/>
      <sheetData sheetId="3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hangelog"/>
      <sheetName val="Contents"/>
      <sheetName val="Introduction"/>
      <sheetName val="Dataflow"/>
      <sheetName val="Assumptions"/>
      <sheetName val="Dashboard"/>
      <sheetName val="IEA energy balance"/>
      <sheetName val="IEA autoproducer prod."/>
      <sheetName val="CHP technical specs"/>
      <sheetName val="Other sources"/>
      <sheetName val="Results by fuel"/>
      <sheetName val="Results by machine"/>
      <sheetName val="Delta energy balance"/>
      <sheetName val="Corrected energy balance step 1"/>
      <sheetName val="AP net-gross conversion"/>
      <sheetName val="CEB allocation"/>
      <sheetName val="Co-fueling shares"/>
      <sheetName val="Fuel allocation"/>
      <sheetName val="Agriculture"/>
      <sheetName val="Households"/>
      <sheetName val="C&amp;P services"/>
      <sheetName val="Energy industry"/>
      <sheetName val="Industry"/>
      <sheetName val="Main activity"/>
      <sheetName val="Waste incineration"/>
      <sheetName val="Fuel mixes"/>
      <sheetName val="Fuel aggregation"/>
      <sheetName val="Fuel aggregation matrix"/>
      <sheetName val="csv_corrected energy balance 1"/>
      <sheetName val="csv_ce_production_table_1"/>
      <sheetName val="csv_energy_mixer_for_gas_cs"/>
    </sheetNames>
    <sheetDataSet>
      <sheetData sheetId="0"/>
      <sheetData sheetId="1"/>
      <sheetData sheetId="2"/>
      <sheetData sheetId="3"/>
      <sheetData sheetId="4"/>
      <sheetData sheetId="5">
        <row r="175">
          <cell r="C175">
            <v>3.6</v>
          </cell>
        </row>
      </sheetData>
      <sheetData sheetId="6">
        <row r="12">
          <cell r="E12" t="str">
            <v>Netherlands</v>
          </cell>
        </row>
      </sheetData>
      <sheetData sheetId="7">
        <row r="7">
          <cell r="C7" t="str">
            <v>Hard coal (if no detail)</v>
          </cell>
        </row>
      </sheetData>
      <sheetData sheetId="8"/>
      <sheetData sheetId="9"/>
      <sheetData sheetId="10"/>
      <sheetData sheetId="11"/>
      <sheetData sheetId="12"/>
      <sheetData sheetId="13"/>
      <sheetData sheetId="14"/>
      <sheetData sheetId="15">
        <row r="12">
          <cell r="D12">
            <v>1.0440998889049897</v>
          </cell>
        </row>
      </sheetData>
      <sheetData sheetId="16">
        <row r="12">
          <cell r="F12">
            <v>0</v>
          </cell>
          <cell r="G12">
            <v>0</v>
          </cell>
          <cell r="H12">
            <v>0</v>
          </cell>
          <cell r="I12">
            <v>0</v>
          </cell>
          <cell r="J12">
            <v>0</v>
          </cell>
          <cell r="K12">
            <v>0</v>
          </cell>
          <cell r="L12">
            <v>1</v>
          </cell>
          <cell r="M12">
            <v>0</v>
          </cell>
          <cell r="N12">
            <v>0</v>
          </cell>
          <cell r="O12">
            <v>0</v>
          </cell>
          <cell r="P12">
            <v>0</v>
          </cell>
          <cell r="Q12">
            <v>0</v>
          </cell>
          <cell r="R12">
            <v>0</v>
          </cell>
          <cell r="S12">
            <v>2.7586206896551724E-2</v>
          </cell>
          <cell r="T12">
            <v>0.97241379310344822</v>
          </cell>
          <cell r="U12">
            <v>0</v>
          </cell>
          <cell r="V12">
            <v>0</v>
          </cell>
          <cell r="W12">
            <v>1</v>
          </cell>
          <cell r="X12">
            <v>0</v>
          </cell>
          <cell r="Y12">
            <v>0</v>
          </cell>
          <cell r="Z12">
            <v>0</v>
          </cell>
          <cell r="AA12">
            <v>0</v>
          </cell>
          <cell r="AB12">
            <v>0</v>
          </cell>
          <cell r="AC12">
            <v>0</v>
          </cell>
          <cell r="AD12">
            <v>0.93466299862448421</v>
          </cell>
          <cell r="AE12">
            <v>0</v>
          </cell>
          <cell r="AF12">
            <v>0</v>
          </cell>
          <cell r="AG12">
            <v>0</v>
          </cell>
          <cell r="AH12">
            <v>0</v>
          </cell>
          <cell r="AI12">
            <v>0</v>
          </cell>
          <cell r="AJ12">
            <v>0</v>
          </cell>
          <cell r="AK12">
            <v>0</v>
          </cell>
          <cell r="AL12">
            <v>3.0949105914718018E-2</v>
          </cell>
          <cell r="AM12">
            <v>0</v>
          </cell>
          <cell r="AN12">
            <v>0</v>
          </cell>
          <cell r="AO12">
            <v>0</v>
          </cell>
          <cell r="AP12">
            <v>0</v>
          </cell>
          <cell r="AQ12">
            <v>0</v>
          </cell>
          <cell r="AR12">
            <v>0</v>
          </cell>
          <cell r="AS12">
            <v>0</v>
          </cell>
          <cell r="AT12">
            <v>3.4387895460797797E-2</v>
          </cell>
          <cell r="AU12">
            <v>0</v>
          </cell>
          <cell r="AV12">
            <v>1</v>
          </cell>
          <cell r="AW12">
            <v>0</v>
          </cell>
          <cell r="AX12">
            <v>0</v>
          </cell>
          <cell r="AY12">
            <v>1</v>
          </cell>
          <cell r="AZ12">
            <v>0</v>
          </cell>
          <cell r="BA12">
            <v>0</v>
          </cell>
          <cell r="BB12">
            <v>0</v>
          </cell>
          <cell r="BC12">
            <v>0</v>
          </cell>
        </row>
        <row r="17">
          <cell r="D17">
            <v>0</v>
          </cell>
        </row>
        <row r="18">
          <cell r="D18">
            <v>1.7515051997810619E-2</v>
          </cell>
        </row>
        <row r="19">
          <cell r="D19">
            <v>0</v>
          </cell>
        </row>
        <row r="20">
          <cell r="D20">
            <v>0</v>
          </cell>
        </row>
        <row r="21">
          <cell r="D21">
            <v>0</v>
          </cell>
        </row>
        <row r="22">
          <cell r="D22">
            <v>0</v>
          </cell>
        </row>
        <row r="23">
          <cell r="D23">
            <v>0</v>
          </cell>
        </row>
        <row r="24">
          <cell r="D24">
            <v>0</v>
          </cell>
        </row>
        <row r="25">
          <cell r="D25">
            <v>0.98248494800218933</v>
          </cell>
        </row>
        <row r="26">
          <cell r="D26">
            <v>0</v>
          </cell>
        </row>
        <row r="27">
          <cell r="D27">
            <v>0</v>
          </cell>
        </row>
        <row r="28">
          <cell r="D28">
            <v>0</v>
          </cell>
        </row>
        <row r="29">
          <cell r="D29">
            <v>0</v>
          </cell>
        </row>
        <row r="30">
          <cell r="D30">
            <v>0</v>
          </cell>
        </row>
        <row r="31">
          <cell r="D31">
            <v>0</v>
          </cell>
        </row>
        <row r="32">
          <cell r="D32">
            <v>0</v>
          </cell>
        </row>
        <row r="33">
          <cell r="D33">
            <v>0</v>
          </cell>
        </row>
        <row r="37">
          <cell r="D37">
            <v>4.1176470588235294E-2</v>
          </cell>
        </row>
        <row r="38">
          <cell r="D38">
            <v>0.37549019607843137</v>
          </cell>
        </row>
        <row r="39">
          <cell r="D39">
            <v>0</v>
          </cell>
        </row>
        <row r="40">
          <cell r="D40">
            <v>6.1274509803921568E-3</v>
          </cell>
        </row>
        <row r="41">
          <cell r="D41">
            <v>0</v>
          </cell>
        </row>
        <row r="42">
          <cell r="D42">
            <v>0</v>
          </cell>
        </row>
        <row r="43">
          <cell r="D43">
            <v>2.2058823529411766E-2</v>
          </cell>
        </row>
        <row r="44">
          <cell r="D44">
            <v>0.32965686274509803</v>
          </cell>
        </row>
        <row r="45">
          <cell r="D45">
            <v>0.2196078431372549</v>
          </cell>
        </row>
        <row r="46">
          <cell r="D46">
            <v>7.3529411764705881E-4</v>
          </cell>
        </row>
        <row r="47">
          <cell r="D47">
            <v>0</v>
          </cell>
        </row>
        <row r="48">
          <cell r="D48">
            <v>5.1470588235294117E-3</v>
          </cell>
        </row>
        <row r="49">
          <cell r="D49">
            <v>0</v>
          </cell>
        </row>
      </sheetData>
      <sheetData sheetId="17"/>
      <sheetData sheetId="18">
        <row r="48">
          <cell r="C48">
            <v>0</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
      <sheetName val="Changelog"/>
      <sheetName val="Contents"/>
      <sheetName val="Introduction"/>
      <sheetName val="Dataflow"/>
      <sheetName val="Assumptions"/>
      <sheetName val="Dashboard"/>
      <sheetName val="energy balance"/>
      <sheetName val="autoproducer prod."/>
      <sheetName val="all_technical_specs"/>
      <sheetName val="Results by fuel"/>
      <sheetName val="Results by machine"/>
      <sheetName val="Delta energy balance"/>
      <sheetName val="Corrected energy balance step 1"/>
      <sheetName val="Shares agri. steam hot water"/>
      <sheetName val="AP net-gross conversion"/>
      <sheetName val="CEB allocation factors step 1"/>
      <sheetName val="CEB allocation factors step 2"/>
      <sheetName val="Co-fueling shares"/>
      <sheetName val="Fuel allocation"/>
      <sheetName val="Agriculture"/>
      <sheetName val="Households"/>
      <sheetName val="Services"/>
      <sheetName val="Energy industry"/>
      <sheetName val="Industry"/>
      <sheetName val="Main activity"/>
      <sheetName val="Waste incineration"/>
      <sheetName val="Heat distribution losses"/>
      <sheetName val="Fuel mixes"/>
      <sheetName val="Fuel aggregation"/>
      <sheetName val="match carriers IEA to ETM"/>
      <sheetName val="csv_sold_heat_deficit"/>
      <sheetName val="csv_corrected energy balance 1"/>
      <sheetName val="csv_ce_production_table_1"/>
      <sheetName val="csv_agr_steam_fd_child_share"/>
      <sheetName val="csv_energy_heat_dist_eff"/>
    </sheetNames>
    <sheetDataSet>
      <sheetData sheetId="0" refreshError="1"/>
      <sheetData sheetId="1" refreshError="1"/>
      <sheetData sheetId="2" refreshError="1"/>
      <sheetData sheetId="3" refreshError="1"/>
      <sheetData sheetId="4" refreshError="1"/>
      <sheetData sheetId="5">
        <row r="173">
          <cell r="C173">
            <v>3.6</v>
          </cell>
        </row>
      </sheetData>
      <sheetData sheetId="6">
        <row r="12">
          <cell r="E12" t="str">
            <v>nl</v>
          </cell>
        </row>
        <row r="13">
          <cell r="E13">
            <v>2019</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12">
          <cell r="D12" t="e">
            <v>#DIV/0!</v>
          </cell>
        </row>
      </sheetData>
      <sheetData sheetId="16">
        <row r="10">
          <cell r="F10">
            <v>0</v>
          </cell>
          <cell r="G10">
            <v>0</v>
          </cell>
          <cell r="H10">
            <v>0</v>
          </cell>
          <cell r="I10">
            <v>0</v>
          </cell>
          <cell r="J10">
            <v>0</v>
          </cell>
          <cell r="K10">
            <v>0</v>
          </cell>
          <cell r="L10">
            <v>0</v>
          </cell>
          <cell r="M10">
            <v>0</v>
          </cell>
          <cell r="N10">
            <v>0</v>
          </cell>
          <cell r="O10">
            <v>0</v>
          </cell>
          <cell r="P10">
            <v>0</v>
          </cell>
          <cell r="Q10">
            <v>0</v>
          </cell>
          <cell r="R10">
            <v>0</v>
          </cell>
          <cell r="S10">
            <v>0</v>
          </cell>
          <cell r="T10">
            <v>0</v>
          </cell>
          <cell r="U10">
            <v>0</v>
          </cell>
          <cell r="V10">
            <v>0</v>
          </cell>
          <cell r="W10">
            <v>0</v>
          </cell>
          <cell r="X10">
            <v>0</v>
          </cell>
          <cell r="Y10">
            <v>0</v>
          </cell>
          <cell r="Z10">
            <v>0</v>
          </cell>
          <cell r="AA10">
            <v>0</v>
          </cell>
          <cell r="AB10">
            <v>0</v>
          </cell>
          <cell r="AC10">
            <v>0</v>
          </cell>
          <cell r="AD10">
            <v>0</v>
          </cell>
          <cell r="AE10">
            <v>0</v>
          </cell>
          <cell r="AF10">
            <v>0</v>
          </cell>
          <cell r="AG10">
            <v>0</v>
          </cell>
          <cell r="AH10">
            <v>0</v>
          </cell>
          <cell r="AI10">
            <v>0</v>
          </cell>
          <cell r="AJ10">
            <v>0</v>
          </cell>
          <cell r="AK10">
            <v>0</v>
          </cell>
          <cell r="AL10">
            <v>0</v>
          </cell>
          <cell r="AM10">
            <v>0</v>
          </cell>
          <cell r="AN10">
            <v>0</v>
          </cell>
          <cell r="AO10">
            <v>0</v>
          </cell>
          <cell r="AP10">
            <v>0</v>
          </cell>
          <cell r="AQ10">
            <v>0</v>
          </cell>
          <cell r="AR10">
            <v>0</v>
          </cell>
          <cell r="AS10">
            <v>0</v>
          </cell>
          <cell r="AT10">
            <v>0</v>
          </cell>
        </row>
        <row r="11">
          <cell r="F11">
            <v>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v>
          </cell>
          <cell r="Y11">
            <v>0</v>
          </cell>
          <cell r="Z11">
            <v>0</v>
          </cell>
          <cell r="AA11">
            <v>0</v>
          </cell>
          <cell r="AB11">
            <v>0</v>
          </cell>
          <cell r="AC11">
            <v>0</v>
          </cell>
          <cell r="AD11">
            <v>0</v>
          </cell>
          <cell r="AE11">
            <v>0</v>
          </cell>
          <cell r="AF11">
            <v>0</v>
          </cell>
          <cell r="AG11">
            <v>0</v>
          </cell>
          <cell r="AH11">
            <v>0</v>
          </cell>
          <cell r="AI11">
            <v>0</v>
          </cell>
          <cell r="AJ11">
            <v>0</v>
          </cell>
          <cell r="AK11">
            <v>0</v>
          </cell>
          <cell r="AL11">
            <v>0</v>
          </cell>
          <cell r="AM11">
            <v>0</v>
          </cell>
          <cell r="AN11">
            <v>0</v>
          </cell>
          <cell r="AO11">
            <v>0</v>
          </cell>
          <cell r="AP11">
            <v>0</v>
          </cell>
          <cell r="AQ11">
            <v>0</v>
          </cell>
          <cell r="AR11">
            <v>0</v>
          </cell>
          <cell r="AS11">
            <v>0</v>
          </cell>
          <cell r="AT11">
            <v>0</v>
          </cell>
        </row>
        <row r="12">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row>
        <row r="13">
          <cell r="F13">
            <v>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0</v>
          </cell>
          <cell r="AB13">
            <v>0</v>
          </cell>
          <cell r="AC13">
            <v>0</v>
          </cell>
          <cell r="AD13">
            <v>0</v>
          </cell>
          <cell r="AE13">
            <v>0</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row>
        <row r="14">
          <cell r="F14">
            <v>0</v>
          </cell>
          <cell r="G14">
            <v>0</v>
          </cell>
          <cell r="H14">
            <v>0</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row>
        <row r="15">
          <cell r="F15">
            <v>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0</v>
          </cell>
          <cell r="AB15">
            <v>0</v>
          </cell>
          <cell r="AC15">
            <v>0</v>
          </cell>
          <cell r="AD15">
            <v>0</v>
          </cell>
          <cell r="AE15">
            <v>0</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row>
        <row r="16">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cell r="AH16">
            <v>0</v>
          </cell>
          <cell r="AI16">
            <v>0</v>
          </cell>
          <cell r="AJ16">
            <v>0</v>
          </cell>
          <cell r="AK16">
            <v>0</v>
          </cell>
          <cell r="AL16">
            <v>0</v>
          </cell>
          <cell r="AM16">
            <v>0</v>
          </cell>
          <cell r="AN16">
            <v>0</v>
          </cell>
          <cell r="AO16">
            <v>0</v>
          </cell>
          <cell r="AP16">
            <v>0</v>
          </cell>
          <cell r="AQ16">
            <v>0</v>
          </cell>
          <cell r="AR16">
            <v>0</v>
          </cell>
          <cell r="AS16">
            <v>0</v>
          </cell>
          <cell r="AT16">
            <v>0</v>
          </cell>
        </row>
        <row r="17">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row>
        <row r="18">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row>
        <row r="19">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0</v>
          </cell>
          <cell r="X19">
            <v>0</v>
          </cell>
          <cell r="Y19">
            <v>0</v>
          </cell>
          <cell r="Z19">
            <v>0</v>
          </cell>
          <cell r="AA19">
            <v>0</v>
          </cell>
          <cell r="AB19">
            <v>0</v>
          </cell>
          <cell r="AC19">
            <v>0</v>
          </cell>
          <cell r="AD19">
            <v>0</v>
          </cell>
          <cell r="AE19">
            <v>0</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row>
        <row r="20">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cell r="AN20">
            <v>0</v>
          </cell>
          <cell r="AO20">
            <v>0</v>
          </cell>
          <cell r="AP20">
            <v>0</v>
          </cell>
          <cell r="AQ20">
            <v>0</v>
          </cell>
          <cell r="AR20">
            <v>0</v>
          </cell>
          <cell r="AS20">
            <v>0</v>
          </cell>
          <cell r="AT20">
            <v>0</v>
          </cell>
        </row>
        <row r="21">
          <cell r="F21">
            <v>0</v>
          </cell>
          <cell r="G21">
            <v>0</v>
          </cell>
          <cell r="H21">
            <v>0</v>
          </cell>
          <cell r="I21">
            <v>0</v>
          </cell>
          <cell r="J21">
            <v>0</v>
          </cell>
          <cell r="K21">
            <v>0</v>
          </cell>
          <cell r="L21">
            <v>0</v>
          </cell>
          <cell r="M21">
            <v>0</v>
          </cell>
          <cell r="N21">
            <v>0</v>
          </cell>
          <cell r="O21">
            <v>0</v>
          </cell>
          <cell r="P21">
            <v>0</v>
          </cell>
          <cell r="Q21">
            <v>0</v>
          </cell>
          <cell r="R21">
            <v>0</v>
          </cell>
          <cell r="S21">
            <v>0</v>
          </cell>
          <cell r="T21">
            <v>0</v>
          </cell>
          <cell r="U21">
            <v>0</v>
          </cell>
          <cell r="V21">
            <v>0</v>
          </cell>
          <cell r="W21">
            <v>0</v>
          </cell>
          <cell r="X21">
            <v>0</v>
          </cell>
          <cell r="Y21">
            <v>0</v>
          </cell>
          <cell r="Z21">
            <v>0</v>
          </cell>
          <cell r="AA21">
            <v>0</v>
          </cell>
          <cell r="AB21">
            <v>0</v>
          </cell>
          <cell r="AC21">
            <v>0</v>
          </cell>
          <cell r="AD21">
            <v>0</v>
          </cell>
          <cell r="AE21">
            <v>0</v>
          </cell>
          <cell r="AF21">
            <v>0</v>
          </cell>
          <cell r="AG21">
            <v>0</v>
          </cell>
          <cell r="AH21">
            <v>0</v>
          </cell>
          <cell r="AI21">
            <v>0</v>
          </cell>
          <cell r="AJ21">
            <v>0</v>
          </cell>
          <cell r="AK21">
            <v>0</v>
          </cell>
          <cell r="AL21">
            <v>0</v>
          </cell>
          <cell r="AM21">
            <v>0</v>
          </cell>
          <cell r="AN21">
            <v>0</v>
          </cell>
          <cell r="AO21">
            <v>0</v>
          </cell>
          <cell r="AP21">
            <v>0</v>
          </cell>
          <cell r="AQ21">
            <v>0</v>
          </cell>
          <cell r="AR21">
            <v>0</v>
          </cell>
          <cell r="AS21">
            <v>0</v>
          </cell>
          <cell r="AT21">
            <v>0</v>
          </cell>
        </row>
        <row r="25">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cell r="AN25">
            <v>0</v>
          </cell>
          <cell r="AO25">
            <v>0</v>
          </cell>
          <cell r="AP25">
            <v>0</v>
          </cell>
          <cell r="AQ25">
            <v>0</v>
          </cell>
          <cell r="AR25">
            <v>0</v>
          </cell>
          <cell r="AS25">
            <v>0</v>
          </cell>
          <cell r="AT25">
            <v>0</v>
          </cell>
        </row>
        <row r="26">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row>
        <row r="30">
          <cell r="F30">
            <v>0</v>
          </cell>
          <cell r="G30">
            <v>0</v>
          </cell>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cell r="AH30">
            <v>0</v>
          </cell>
          <cell r="AI30">
            <v>0</v>
          </cell>
          <cell r="AJ30">
            <v>0</v>
          </cell>
          <cell r="AK30">
            <v>0</v>
          </cell>
          <cell r="AL30">
            <v>0</v>
          </cell>
          <cell r="AM30">
            <v>0</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row>
        <row r="31">
          <cell r="F31">
            <v>0</v>
          </cell>
          <cell r="G31">
            <v>0</v>
          </cell>
          <cell r="H31">
            <v>0</v>
          </cell>
          <cell r="I31">
            <v>0</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v>
          </cell>
          <cell r="Y31">
            <v>0</v>
          </cell>
          <cell r="Z31">
            <v>0</v>
          </cell>
          <cell r="AA31">
            <v>0</v>
          </cell>
          <cell r="AB31">
            <v>0</v>
          </cell>
          <cell r="AC31">
            <v>0</v>
          </cell>
          <cell r="AD31">
            <v>0</v>
          </cell>
          <cell r="AE31">
            <v>0</v>
          </cell>
          <cell r="AF31">
            <v>0</v>
          </cell>
          <cell r="AG31">
            <v>0</v>
          </cell>
          <cell r="AH31">
            <v>0</v>
          </cell>
          <cell r="AI31">
            <v>0</v>
          </cell>
          <cell r="AJ31">
            <v>0</v>
          </cell>
          <cell r="AK31">
            <v>0</v>
          </cell>
          <cell r="AL31">
            <v>0</v>
          </cell>
          <cell r="AM31">
            <v>0</v>
          </cell>
          <cell r="AN31">
            <v>0</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row>
        <row r="32">
          <cell r="F32">
            <v>0</v>
          </cell>
          <cell r="G32">
            <v>0</v>
          </cell>
          <cell r="H32">
            <v>0</v>
          </cell>
          <cell r="I32">
            <v>0</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cell r="Y32">
            <v>0</v>
          </cell>
          <cell r="Z32">
            <v>0</v>
          </cell>
          <cell r="AA32">
            <v>0</v>
          </cell>
          <cell r="AB32">
            <v>0</v>
          </cell>
          <cell r="AC32">
            <v>0</v>
          </cell>
          <cell r="AD32">
            <v>0</v>
          </cell>
          <cell r="AE32">
            <v>0</v>
          </cell>
          <cell r="AF32">
            <v>0</v>
          </cell>
          <cell r="AG32">
            <v>0</v>
          </cell>
          <cell r="AH32">
            <v>0</v>
          </cell>
          <cell r="AI32">
            <v>0</v>
          </cell>
          <cell r="AJ32">
            <v>0</v>
          </cell>
          <cell r="AK32">
            <v>0</v>
          </cell>
          <cell r="AL32">
            <v>0</v>
          </cell>
          <cell r="AM32">
            <v>0</v>
          </cell>
          <cell r="AN32">
            <v>0</v>
          </cell>
          <cell r="AO32">
            <v>0</v>
          </cell>
          <cell r="AP32">
            <v>0</v>
          </cell>
          <cell r="AQ32">
            <v>0</v>
          </cell>
          <cell r="AR32">
            <v>0</v>
          </cell>
          <cell r="AS32">
            <v>0</v>
          </cell>
          <cell r="AT32">
            <v>0</v>
          </cell>
          <cell r="AU32">
            <v>0</v>
          </cell>
          <cell r="AV32">
            <v>0</v>
          </cell>
          <cell r="AW32">
            <v>0</v>
          </cell>
          <cell r="AX32">
            <v>0</v>
          </cell>
          <cell r="AY32">
            <v>0</v>
          </cell>
          <cell r="AZ32">
            <v>0</v>
          </cell>
          <cell r="BA32">
            <v>0</v>
          </cell>
          <cell r="BB32">
            <v>0</v>
          </cell>
          <cell r="BC32">
            <v>0</v>
          </cell>
        </row>
        <row r="33">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0</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row>
        <row r="34">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v>0</v>
          </cell>
          <cell r="AW34">
            <v>0</v>
          </cell>
          <cell r="AX34">
            <v>0</v>
          </cell>
          <cell r="AY34">
            <v>0</v>
          </cell>
          <cell r="AZ34">
            <v>0</v>
          </cell>
          <cell r="BA34">
            <v>0</v>
          </cell>
          <cell r="BB34">
            <v>0</v>
          </cell>
          <cell r="BC34">
            <v>0</v>
          </cell>
        </row>
        <row r="35">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row>
        <row r="36">
          <cell r="F36">
            <v>0</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v>0</v>
          </cell>
          <cell r="BC36">
            <v>0</v>
          </cell>
        </row>
        <row r="37">
          <cell r="F37">
            <v>0</v>
          </cell>
          <cell r="G37">
            <v>0</v>
          </cell>
          <cell r="H37">
            <v>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cell r="AN37">
            <v>0</v>
          </cell>
          <cell r="AO37">
            <v>0</v>
          </cell>
          <cell r="AP37">
            <v>0</v>
          </cell>
          <cell r="AQ37">
            <v>0</v>
          </cell>
          <cell r="AR37">
            <v>0</v>
          </cell>
          <cell r="AS37">
            <v>0</v>
          </cell>
          <cell r="AT37">
            <v>0</v>
          </cell>
          <cell r="AU37">
            <v>0</v>
          </cell>
          <cell r="AV37">
            <v>0</v>
          </cell>
          <cell r="AW37">
            <v>0</v>
          </cell>
          <cell r="AX37">
            <v>0</v>
          </cell>
          <cell r="AY37">
            <v>0</v>
          </cell>
          <cell r="AZ37">
            <v>0</v>
          </cell>
          <cell r="BA37">
            <v>0</v>
          </cell>
          <cell r="BB37">
            <v>0</v>
          </cell>
          <cell r="BC37">
            <v>0</v>
          </cell>
        </row>
        <row r="38">
          <cell r="F38">
            <v>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v>0</v>
          </cell>
          <cell r="BB39">
            <v>0</v>
          </cell>
          <cell r="BC39">
            <v>0</v>
          </cell>
        </row>
        <row r="40">
          <cell r="F40">
            <v>0</v>
          </cell>
          <cell r="G40">
            <v>0</v>
          </cell>
          <cell r="H40">
            <v>0</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F41">
            <v>0</v>
          </cell>
          <cell r="G41">
            <v>0</v>
          </cell>
          <cell r="H41">
            <v>0</v>
          </cell>
          <cell r="I41">
            <v>0</v>
          </cell>
          <cell r="J41">
            <v>0</v>
          </cell>
          <cell r="K41">
            <v>0</v>
          </cell>
          <cell r="L41">
            <v>0</v>
          </cell>
          <cell r="M41">
            <v>0</v>
          </cell>
          <cell r="N41">
            <v>0</v>
          </cell>
          <cell r="O41">
            <v>0</v>
          </cell>
          <cell r="P41">
            <v>0</v>
          </cell>
          <cell r="Q41">
            <v>0</v>
          </cell>
          <cell r="R41">
            <v>0</v>
          </cell>
          <cell r="S41">
            <v>0</v>
          </cell>
          <cell r="T41">
            <v>0</v>
          </cell>
          <cell r="U41">
            <v>0</v>
          </cell>
          <cell r="V41">
            <v>0</v>
          </cell>
          <cell r="W41">
            <v>0</v>
          </cell>
          <cell r="X41">
            <v>0</v>
          </cell>
          <cell r="Y41">
            <v>0</v>
          </cell>
          <cell r="Z41">
            <v>0</v>
          </cell>
          <cell r="AA41">
            <v>0</v>
          </cell>
          <cell r="AB41">
            <v>0</v>
          </cell>
          <cell r="AC41">
            <v>0</v>
          </cell>
          <cell r="AD41">
            <v>0</v>
          </cell>
          <cell r="AE41">
            <v>0</v>
          </cell>
          <cell r="AF41">
            <v>0</v>
          </cell>
          <cell r="AG41">
            <v>0</v>
          </cell>
          <cell r="AH41">
            <v>0</v>
          </cell>
          <cell r="AI41">
            <v>0</v>
          </cell>
          <cell r="AJ41">
            <v>0</v>
          </cell>
          <cell r="AK41">
            <v>0</v>
          </cell>
          <cell r="AL41">
            <v>0</v>
          </cell>
          <cell r="AM41">
            <v>0</v>
          </cell>
          <cell r="AN41">
            <v>0</v>
          </cell>
          <cell r="AO41">
            <v>0</v>
          </cell>
          <cell r="AP41">
            <v>0</v>
          </cell>
          <cell r="AQ41">
            <v>0</v>
          </cell>
          <cell r="AR41">
            <v>0</v>
          </cell>
          <cell r="AS41">
            <v>0</v>
          </cell>
          <cell r="AT41">
            <v>0</v>
          </cell>
          <cell r="AU41">
            <v>0</v>
          </cell>
          <cell r="AV41">
            <v>0</v>
          </cell>
          <cell r="AW41">
            <v>0</v>
          </cell>
          <cell r="AX41">
            <v>0</v>
          </cell>
          <cell r="AY41">
            <v>0</v>
          </cell>
          <cell r="AZ41">
            <v>0</v>
          </cell>
          <cell r="BA41">
            <v>0</v>
          </cell>
          <cell r="BB41">
            <v>0</v>
          </cell>
          <cell r="BC41">
            <v>0</v>
          </cell>
        </row>
        <row r="42">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0</v>
          </cell>
          <cell r="AQ42">
            <v>0</v>
          </cell>
          <cell r="AR42">
            <v>0</v>
          </cell>
          <cell r="AS42">
            <v>0</v>
          </cell>
          <cell r="AT42">
            <v>0</v>
          </cell>
          <cell r="AU42">
            <v>0</v>
          </cell>
          <cell r="AV42">
            <v>0</v>
          </cell>
          <cell r="AW42">
            <v>0</v>
          </cell>
          <cell r="AX42">
            <v>0</v>
          </cell>
          <cell r="AY42">
            <v>0</v>
          </cell>
          <cell r="AZ42">
            <v>0</v>
          </cell>
          <cell r="BA42">
            <v>0</v>
          </cell>
          <cell r="BB42">
            <v>0</v>
          </cell>
          <cell r="BC42">
            <v>0</v>
          </cell>
        </row>
        <row r="48">
          <cell r="D48" t="e">
            <v>#DIV/0!</v>
          </cell>
        </row>
        <row r="49">
          <cell r="D49" t="e">
            <v>#DIV/0!</v>
          </cell>
        </row>
        <row r="50">
          <cell r="D50" t="e">
            <v>#DIV/0!</v>
          </cell>
        </row>
        <row r="51">
          <cell r="D51" t="e">
            <v>#DIV/0!</v>
          </cell>
        </row>
        <row r="52">
          <cell r="D52" t="e">
            <v>#DIV/0!</v>
          </cell>
        </row>
        <row r="53">
          <cell r="D53" t="e">
            <v>#DIV/0!</v>
          </cell>
        </row>
        <row r="54">
          <cell r="D54" t="e">
            <v>#DIV/0!</v>
          </cell>
        </row>
        <row r="55">
          <cell r="D55" t="e">
            <v>#DIV/0!</v>
          </cell>
        </row>
        <row r="56">
          <cell r="D56" t="e">
            <v>#DIV/0!</v>
          </cell>
        </row>
        <row r="57">
          <cell r="D57" t="e">
            <v>#DIV/0!</v>
          </cell>
        </row>
        <row r="58">
          <cell r="D58" t="e">
            <v>#DIV/0!</v>
          </cell>
        </row>
        <row r="59">
          <cell r="D59" t="e">
            <v>#DIV/0!</v>
          </cell>
        </row>
        <row r="63">
          <cell r="D63" t="e">
            <v>#DIV/0!</v>
          </cell>
        </row>
        <row r="64">
          <cell r="D64" t="e">
            <v>#DIV/0!</v>
          </cell>
        </row>
        <row r="68">
          <cell r="D68" t="e">
            <v>#DIV/0!</v>
          </cell>
        </row>
        <row r="69">
          <cell r="D69" t="e">
            <v>#DIV/0!</v>
          </cell>
        </row>
        <row r="70">
          <cell r="D70" t="e">
            <v>#DIV/0!</v>
          </cell>
        </row>
        <row r="71">
          <cell r="D71" t="e">
            <v>#DIV/0!</v>
          </cell>
        </row>
        <row r="72">
          <cell r="D72" t="e">
            <v>#DIV/0!</v>
          </cell>
        </row>
        <row r="73">
          <cell r="D73" t="e">
            <v>#DIV/0!</v>
          </cell>
        </row>
        <row r="74">
          <cell r="D74" t="e">
            <v>#DIV/0!</v>
          </cell>
        </row>
        <row r="75">
          <cell r="D75" t="e">
            <v>#DIV/0!</v>
          </cell>
        </row>
        <row r="76">
          <cell r="D76" t="e">
            <v>#DIV/0!</v>
          </cell>
        </row>
        <row r="77">
          <cell r="D77" t="e">
            <v>#DIV/0!</v>
          </cell>
        </row>
        <row r="78">
          <cell r="D78" t="e">
            <v>#DIV/0!</v>
          </cell>
        </row>
        <row r="79">
          <cell r="D79" t="e">
            <v>#DIV/0!</v>
          </cell>
        </row>
        <row r="80">
          <cell r="D80" t="e">
            <v>#DIV/0!</v>
          </cell>
        </row>
      </sheetData>
      <sheetData sheetId="17"/>
      <sheetData sheetId="18" refreshError="1"/>
      <sheetData sheetId="19">
        <row r="48">
          <cell r="C48">
            <v>0</v>
          </cell>
        </row>
        <row r="89">
          <cell r="C89">
            <v>0</v>
          </cell>
        </row>
        <row r="130">
          <cell r="C130">
            <v>0</v>
          </cell>
        </row>
      </sheetData>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Dashboard"/>
      <sheetName val="analysis_manager"/>
    </sheetNames>
    <definedNames>
      <definedName name="export_data_button"/>
      <definedName name="import_data_button"/>
      <definedName name="select_dashboard_values"/>
    </definedNames>
    <sheetDataSet>
      <sheetData sheetId="0"/>
      <sheetData sheetId="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sheetPr>
  <dimension ref="B2:H39"/>
  <sheetViews>
    <sheetView workbookViewId="0">
      <selection activeCell="C5" sqref="C5"/>
    </sheetView>
  </sheetViews>
  <sheetFormatPr baseColWidth="10" defaultRowHeight="16" x14ac:dyDescent="0.2"/>
  <cols>
    <col min="1" max="1" width="10.83203125" style="2" customWidth="1"/>
    <col min="2" max="2" width="14" style="2" customWidth="1"/>
    <col min="3" max="3" width="44" style="2" customWidth="1"/>
    <col min="4" max="4" width="9.33203125" style="2" customWidth="1"/>
    <col min="5" max="5" width="10.83203125" style="2"/>
    <col min="6" max="6" width="34.6640625" style="2" customWidth="1"/>
    <col min="7" max="7" width="4.5" style="2" customWidth="1"/>
    <col min="8" max="8" width="20.83203125" style="2" customWidth="1"/>
    <col min="9" max="16384" width="10.83203125" style="2"/>
  </cols>
  <sheetData>
    <row r="2" spans="2:8" ht="21" x14ac:dyDescent="0.25">
      <c r="B2" s="20" t="s">
        <v>229</v>
      </c>
    </row>
    <row r="4" spans="2:8" x14ac:dyDescent="0.2">
      <c r="B4" s="3" t="s">
        <v>5</v>
      </c>
      <c r="C4" s="4" t="str">
        <f>"Power and heat plant analysis "&amp;country&amp;" "&amp;base_year</f>
        <v>Power and heat plant analysis nl 2019</v>
      </c>
      <c r="D4" s="5"/>
      <c r="F4" s="1"/>
      <c r="H4" s="1"/>
    </row>
    <row r="5" spans="2:8" x14ac:dyDescent="0.2">
      <c r="B5" s="6" t="s">
        <v>1</v>
      </c>
      <c r="C5" s="304">
        <v>3.07</v>
      </c>
      <c r="D5" s="8"/>
    </row>
    <row r="6" spans="2:8" x14ac:dyDescent="0.2">
      <c r="B6" s="6" t="s">
        <v>271</v>
      </c>
      <c r="C6" s="7" t="str">
        <f>country</f>
        <v>nl</v>
      </c>
      <c r="D6" s="8"/>
    </row>
    <row r="7" spans="2:8" x14ac:dyDescent="0.2">
      <c r="B7" s="6" t="s">
        <v>365</v>
      </c>
      <c r="C7" s="7">
        <f>base_year</f>
        <v>2019</v>
      </c>
      <c r="D7" s="8"/>
    </row>
    <row r="8" spans="2:8" x14ac:dyDescent="0.2">
      <c r="B8" s="6" t="s">
        <v>2</v>
      </c>
      <c r="C8" s="299" t="s">
        <v>997</v>
      </c>
      <c r="D8" s="8"/>
    </row>
    <row r="9" spans="2:8" x14ac:dyDescent="0.2">
      <c r="B9" s="6" t="s">
        <v>3</v>
      </c>
      <c r="C9" s="2" t="s">
        <v>962</v>
      </c>
      <c r="D9" s="8"/>
    </row>
    <row r="10" spans="2:8" x14ac:dyDescent="0.2">
      <c r="B10" s="9" t="s">
        <v>4</v>
      </c>
      <c r="C10" s="10" t="s">
        <v>967</v>
      </c>
      <c r="D10" s="11"/>
    </row>
    <row r="12" spans="2:8" x14ac:dyDescent="0.2">
      <c r="B12" s="3" t="s">
        <v>34</v>
      </c>
      <c r="C12" s="4"/>
      <c r="D12" s="5"/>
    </row>
    <row r="13" spans="2:8" x14ac:dyDescent="0.2">
      <c r="B13" s="18"/>
      <c r="D13" s="8"/>
    </row>
    <row r="14" spans="2:8" x14ac:dyDescent="0.2">
      <c r="B14" s="18" t="s">
        <v>35</v>
      </c>
      <c r="C14" s="16" t="s">
        <v>36</v>
      </c>
      <c r="D14" s="8"/>
    </row>
    <row r="15" spans="2:8" ht="17" thickBot="1" x14ac:dyDescent="0.25">
      <c r="B15" s="18"/>
      <c r="C15" s="1" t="s">
        <v>9</v>
      </c>
      <c r="D15" s="8"/>
    </row>
    <row r="16" spans="2:8" ht="17" thickBot="1" x14ac:dyDescent="0.25">
      <c r="B16" s="18"/>
      <c r="C16" s="17" t="s">
        <v>11</v>
      </c>
      <c r="D16" s="8"/>
    </row>
    <row r="17" spans="2:4" x14ac:dyDescent="0.2">
      <c r="B17" s="18"/>
      <c r="C17" s="2" t="s">
        <v>13</v>
      </c>
      <c r="D17" s="8"/>
    </row>
    <row r="18" spans="2:4" x14ac:dyDescent="0.2">
      <c r="B18" s="18"/>
      <c r="D18" s="8"/>
    </row>
    <row r="19" spans="2:4" x14ac:dyDescent="0.2">
      <c r="B19" s="18" t="s">
        <v>262</v>
      </c>
      <c r="C19" s="21" t="s">
        <v>261</v>
      </c>
      <c r="D19" s="8"/>
    </row>
    <row r="20" spans="2:4" x14ac:dyDescent="0.2">
      <c r="B20" s="18"/>
      <c r="C20" s="123" t="s">
        <v>28</v>
      </c>
      <c r="D20" s="8"/>
    </row>
    <row r="21" spans="2:4" x14ac:dyDescent="0.2">
      <c r="B21" s="18"/>
      <c r="C21" s="25" t="s">
        <v>205</v>
      </c>
      <c r="D21" s="8"/>
    </row>
    <row r="22" spans="2:4" x14ac:dyDescent="0.2">
      <c r="B22" s="18"/>
      <c r="C22" s="61" t="s">
        <v>15</v>
      </c>
      <c r="D22" s="8"/>
    </row>
    <row r="23" spans="2:4" x14ac:dyDescent="0.2">
      <c r="B23" s="14"/>
      <c r="C23" s="22" t="s">
        <v>10</v>
      </c>
      <c r="D23" s="8"/>
    </row>
    <row r="24" spans="2:4" x14ac:dyDescent="0.2">
      <c r="B24" s="14"/>
      <c r="C24" s="23" t="s">
        <v>12</v>
      </c>
      <c r="D24" s="8"/>
    </row>
    <row r="25" spans="2:4" x14ac:dyDescent="0.2">
      <c r="B25" s="14"/>
      <c r="C25" s="24" t="s">
        <v>14</v>
      </c>
      <c r="D25" s="8"/>
    </row>
    <row r="26" spans="2:4" x14ac:dyDescent="0.2">
      <c r="B26" s="14"/>
      <c r="C26" s="115" t="s">
        <v>16</v>
      </c>
      <c r="D26" s="8"/>
    </row>
    <row r="27" spans="2:4" x14ac:dyDescent="0.2">
      <c r="B27" s="15"/>
      <c r="C27" s="10"/>
      <c r="D27" s="11"/>
    </row>
    <row r="29" spans="2:4" x14ac:dyDescent="0.2">
      <c r="B29" s="3" t="s">
        <v>17</v>
      </c>
      <c r="C29" s="4"/>
      <c r="D29" s="5"/>
    </row>
    <row r="30" spans="2:4" x14ac:dyDescent="0.2">
      <c r="B30" s="14"/>
      <c r="C30" s="305"/>
      <c r="D30" s="8"/>
    </row>
    <row r="31" spans="2:4" x14ac:dyDescent="0.2">
      <c r="B31" s="14"/>
      <c r="D31" s="8"/>
    </row>
    <row r="32" spans="2:4" x14ac:dyDescent="0.2">
      <c r="B32" s="14"/>
      <c r="D32" s="8"/>
    </row>
    <row r="33" spans="2:4" x14ac:dyDescent="0.2">
      <c r="B33" s="14"/>
      <c r="D33" s="8"/>
    </row>
    <row r="34" spans="2:4" x14ac:dyDescent="0.2">
      <c r="B34" s="14"/>
      <c r="D34" s="8"/>
    </row>
    <row r="35" spans="2:4" x14ac:dyDescent="0.2">
      <c r="B35" s="14"/>
      <c r="D35" s="8"/>
    </row>
    <row r="36" spans="2:4" x14ac:dyDescent="0.2">
      <c r="B36" s="14"/>
      <c r="D36" s="8"/>
    </row>
    <row r="37" spans="2:4" x14ac:dyDescent="0.2">
      <c r="B37" s="14"/>
      <c r="D37" s="8"/>
    </row>
    <row r="38" spans="2:4" x14ac:dyDescent="0.2">
      <c r="B38" s="14"/>
      <c r="D38" s="8"/>
    </row>
    <row r="39" spans="2:4" x14ac:dyDescent="0.2">
      <c r="B39" s="15"/>
      <c r="C39" s="10"/>
      <c r="D39" s="11"/>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sheetPr>
  <dimension ref="B2:D48"/>
  <sheetViews>
    <sheetView topLeftCell="A26" workbookViewId="0">
      <selection activeCell="D46" sqref="D46"/>
    </sheetView>
  </sheetViews>
  <sheetFormatPr baseColWidth="10" defaultRowHeight="16" x14ac:dyDescent="0.2"/>
  <cols>
    <col min="1" max="1" width="10.83203125" style="2" customWidth="1"/>
    <col min="2" max="2" width="17.6640625" style="519" bestFit="1" customWidth="1"/>
    <col min="3" max="3" width="60.5" style="2" customWidth="1"/>
    <col min="4" max="16384" width="10.83203125" style="2"/>
  </cols>
  <sheetData>
    <row r="2" spans="2:4" ht="21" x14ac:dyDescent="0.25">
      <c r="B2" s="516" t="s">
        <v>0</v>
      </c>
    </row>
    <row r="4" spans="2:4" x14ac:dyDescent="0.2">
      <c r="B4" s="517" t="s">
        <v>2</v>
      </c>
      <c r="C4" s="12" t="s">
        <v>6</v>
      </c>
      <c r="D4" s="13" t="s">
        <v>7</v>
      </c>
    </row>
    <row r="5" spans="2:4" x14ac:dyDescent="0.2">
      <c r="B5" s="518"/>
      <c r="C5" s="1"/>
      <c r="D5" s="19"/>
    </row>
    <row r="6" spans="2:4" x14ac:dyDescent="0.2">
      <c r="B6" s="313">
        <v>41470</v>
      </c>
      <c r="C6" s="608" t="s">
        <v>8</v>
      </c>
      <c r="D6" s="314">
        <v>0.1</v>
      </c>
    </row>
    <row r="7" spans="2:4" x14ac:dyDescent="0.2">
      <c r="B7" s="312">
        <v>41470</v>
      </c>
      <c r="C7" s="608" t="s">
        <v>366</v>
      </c>
      <c r="D7" s="314">
        <v>0.2</v>
      </c>
    </row>
    <row r="8" spans="2:4" x14ac:dyDescent="0.2">
      <c r="B8" s="312">
        <v>41471</v>
      </c>
      <c r="C8" s="608" t="s">
        <v>403</v>
      </c>
      <c r="D8" s="314">
        <v>0.3</v>
      </c>
    </row>
    <row r="9" spans="2:4" x14ac:dyDescent="0.2">
      <c r="B9" s="312">
        <v>41472</v>
      </c>
      <c r="C9" s="608" t="s">
        <v>456</v>
      </c>
      <c r="D9" s="314">
        <v>0.4</v>
      </c>
    </row>
    <row r="10" spans="2:4" x14ac:dyDescent="0.2">
      <c r="B10" s="312">
        <v>41480</v>
      </c>
      <c r="C10" s="608" t="s">
        <v>474</v>
      </c>
      <c r="D10" s="314">
        <v>0.5</v>
      </c>
    </row>
    <row r="11" spans="2:4" x14ac:dyDescent="0.2">
      <c r="B11" s="312">
        <v>41484</v>
      </c>
      <c r="C11" s="608" t="s">
        <v>514</v>
      </c>
      <c r="D11" s="314">
        <v>0.6</v>
      </c>
    </row>
    <row r="12" spans="2:4" x14ac:dyDescent="0.2">
      <c r="B12" s="312">
        <v>41485</v>
      </c>
      <c r="C12" s="608" t="s">
        <v>548</v>
      </c>
      <c r="D12" s="314">
        <v>0.7</v>
      </c>
    </row>
    <row r="13" spans="2:4" x14ac:dyDescent="0.2">
      <c r="B13" s="312">
        <v>41492</v>
      </c>
      <c r="C13" s="608" t="s">
        <v>559</v>
      </c>
      <c r="D13" s="314">
        <v>0.8</v>
      </c>
    </row>
    <row r="14" spans="2:4" x14ac:dyDescent="0.2">
      <c r="B14" s="312">
        <v>41499</v>
      </c>
      <c r="C14" s="608" t="s">
        <v>615</v>
      </c>
      <c r="D14" s="314">
        <v>0.9</v>
      </c>
    </row>
    <row r="15" spans="2:4" ht="17" x14ac:dyDescent="0.2">
      <c r="B15" s="312">
        <v>41500</v>
      </c>
      <c r="C15" s="607" t="s">
        <v>616</v>
      </c>
      <c r="D15" s="314">
        <v>1</v>
      </c>
    </row>
    <row r="16" spans="2:4" x14ac:dyDescent="0.2">
      <c r="B16" s="312">
        <v>41505</v>
      </c>
      <c r="C16" s="608" t="s">
        <v>698</v>
      </c>
      <c r="D16" s="63">
        <v>1.01</v>
      </c>
    </row>
    <row r="17" spans="2:4" ht="17" x14ac:dyDescent="0.2">
      <c r="B17" s="312">
        <v>41507</v>
      </c>
      <c r="C17" s="607" t="s">
        <v>699</v>
      </c>
      <c r="D17" s="63">
        <v>1.02</v>
      </c>
    </row>
    <row r="18" spans="2:4" ht="51" x14ac:dyDescent="0.2">
      <c r="B18" s="312">
        <v>41508</v>
      </c>
      <c r="C18" s="607" t="s">
        <v>628</v>
      </c>
      <c r="D18" s="63">
        <v>1.03</v>
      </c>
    </row>
    <row r="19" spans="2:4" ht="17" x14ac:dyDescent="0.2">
      <c r="B19" s="312">
        <v>41513</v>
      </c>
      <c r="C19" s="607" t="s">
        <v>629</v>
      </c>
      <c r="D19" s="63">
        <v>1.04</v>
      </c>
    </row>
    <row r="20" spans="2:4" ht="17" x14ac:dyDescent="0.2">
      <c r="B20" s="312">
        <v>41515</v>
      </c>
      <c r="C20" s="607" t="s">
        <v>639</v>
      </c>
      <c r="D20" s="63">
        <v>1.05</v>
      </c>
    </row>
    <row r="21" spans="2:4" ht="17" x14ac:dyDescent="0.2">
      <c r="B21" s="312">
        <v>41515</v>
      </c>
      <c r="C21" s="607" t="s">
        <v>640</v>
      </c>
      <c r="D21" s="63">
        <v>1.06</v>
      </c>
    </row>
    <row r="22" spans="2:4" ht="17" x14ac:dyDescent="0.2">
      <c r="B22" s="312">
        <v>41519</v>
      </c>
      <c r="C22" s="607" t="s">
        <v>641</v>
      </c>
      <c r="D22" s="63">
        <v>1.07</v>
      </c>
    </row>
    <row r="23" spans="2:4" ht="34" x14ac:dyDescent="0.2">
      <c r="B23" s="312">
        <v>41523</v>
      </c>
      <c r="C23" s="607" t="s">
        <v>643</v>
      </c>
      <c r="D23" s="63">
        <v>1.08</v>
      </c>
    </row>
    <row r="24" spans="2:4" ht="17" x14ac:dyDescent="0.2">
      <c r="B24" s="313" t="s">
        <v>644</v>
      </c>
      <c r="C24" s="609" t="s">
        <v>650</v>
      </c>
      <c r="D24" s="368">
        <v>1.0900000000000001</v>
      </c>
    </row>
    <row r="25" spans="2:4" x14ac:dyDescent="0.2">
      <c r="B25" s="313">
        <v>41533</v>
      </c>
      <c r="C25" s="608" t="s">
        <v>651</v>
      </c>
      <c r="D25" s="63" t="s">
        <v>652</v>
      </c>
    </row>
    <row r="26" spans="2:4" ht="51" x14ac:dyDescent="0.2">
      <c r="B26" s="313">
        <v>41535</v>
      </c>
      <c r="C26" s="607" t="s">
        <v>700</v>
      </c>
      <c r="D26" s="314">
        <v>1.1000000000000001</v>
      </c>
    </row>
    <row r="27" spans="2:4" ht="34" x14ac:dyDescent="0.2">
      <c r="B27" s="312"/>
      <c r="C27" s="607" t="s">
        <v>701</v>
      </c>
      <c r="D27" s="314">
        <v>1.1100000000000001</v>
      </c>
    </row>
    <row r="28" spans="2:4" ht="17" x14ac:dyDescent="0.2">
      <c r="B28" s="312">
        <v>41561</v>
      </c>
      <c r="C28" s="607" t="s">
        <v>702</v>
      </c>
      <c r="D28" s="314">
        <v>1.1200000000000001</v>
      </c>
    </row>
    <row r="29" spans="2:4" ht="17" x14ac:dyDescent="0.2">
      <c r="B29" s="312">
        <v>41563</v>
      </c>
      <c r="C29" s="607" t="s">
        <v>657</v>
      </c>
      <c r="D29" s="314">
        <v>2</v>
      </c>
    </row>
    <row r="30" spans="2:4" ht="17" x14ac:dyDescent="0.2">
      <c r="B30" s="312">
        <v>41577</v>
      </c>
      <c r="C30" s="607" t="s">
        <v>681</v>
      </c>
      <c r="D30" s="314">
        <v>2.0099999999999998</v>
      </c>
    </row>
    <row r="31" spans="2:4" ht="34" x14ac:dyDescent="0.2">
      <c r="B31" s="312">
        <v>41600</v>
      </c>
      <c r="C31" s="609" t="s">
        <v>704</v>
      </c>
      <c r="D31" s="314">
        <v>2.02</v>
      </c>
    </row>
    <row r="32" spans="2:4" ht="17" x14ac:dyDescent="0.2">
      <c r="B32" s="312">
        <v>41610</v>
      </c>
      <c r="C32" s="607" t="s">
        <v>703</v>
      </c>
      <c r="D32" s="63">
        <v>2.0299999999999998</v>
      </c>
    </row>
    <row r="33" spans="2:4" ht="34" x14ac:dyDescent="0.2">
      <c r="B33" s="312">
        <v>41781</v>
      </c>
      <c r="C33" s="607" t="s">
        <v>694</v>
      </c>
      <c r="D33" s="63">
        <v>2.04</v>
      </c>
    </row>
    <row r="34" spans="2:4" ht="51" x14ac:dyDescent="0.2">
      <c r="B34" s="312">
        <v>41781</v>
      </c>
      <c r="C34" s="607" t="s">
        <v>695</v>
      </c>
      <c r="D34" s="63">
        <v>2.0499999999999998</v>
      </c>
    </row>
    <row r="35" spans="2:4" ht="51" x14ac:dyDescent="0.2">
      <c r="B35" s="312">
        <v>41793</v>
      </c>
      <c r="C35" s="607" t="s">
        <v>709</v>
      </c>
      <c r="D35" s="63">
        <v>2.06</v>
      </c>
    </row>
    <row r="36" spans="2:4" ht="204" x14ac:dyDescent="0.2">
      <c r="B36" s="312">
        <v>43798</v>
      </c>
      <c r="C36" s="607" t="s">
        <v>823</v>
      </c>
      <c r="D36" s="63">
        <v>2.5</v>
      </c>
    </row>
    <row r="37" spans="2:4" ht="119" x14ac:dyDescent="0.2">
      <c r="B37" s="312" t="s">
        <v>854</v>
      </c>
      <c r="C37" s="607" t="s">
        <v>855</v>
      </c>
      <c r="D37" s="63"/>
    </row>
    <row r="38" spans="2:4" ht="34" x14ac:dyDescent="0.2">
      <c r="B38" s="312" t="s">
        <v>860</v>
      </c>
      <c r="C38" s="607" t="s">
        <v>861</v>
      </c>
      <c r="D38" s="63">
        <v>3</v>
      </c>
    </row>
    <row r="39" spans="2:4" ht="17" x14ac:dyDescent="0.2">
      <c r="B39" s="312" t="s">
        <v>949</v>
      </c>
      <c r="C39" s="607" t="s">
        <v>950</v>
      </c>
      <c r="D39" s="63">
        <v>3.01</v>
      </c>
    </row>
    <row r="40" spans="2:4" ht="51" x14ac:dyDescent="0.2">
      <c r="B40" s="312" t="s">
        <v>951</v>
      </c>
      <c r="C40" s="607" t="s">
        <v>952</v>
      </c>
      <c r="D40" s="63">
        <v>3.02</v>
      </c>
    </row>
    <row r="41" spans="2:4" ht="85" x14ac:dyDescent="0.2">
      <c r="B41" s="312" t="s">
        <v>960</v>
      </c>
      <c r="C41" s="607" t="s">
        <v>961</v>
      </c>
      <c r="D41" s="63">
        <v>3.03</v>
      </c>
    </row>
    <row r="42" spans="2:4" ht="68" x14ac:dyDescent="0.2">
      <c r="B42" s="610" t="s">
        <v>966</v>
      </c>
      <c r="C42" s="276" t="s">
        <v>968</v>
      </c>
      <c r="D42" s="51">
        <v>3.04</v>
      </c>
    </row>
    <row r="43" spans="2:4" ht="17" x14ac:dyDescent="0.2">
      <c r="B43" s="610" t="s">
        <v>978</v>
      </c>
      <c r="C43" s="607" t="s">
        <v>979</v>
      </c>
      <c r="D43" s="51">
        <v>3.05</v>
      </c>
    </row>
    <row r="44" spans="2:4" ht="51" x14ac:dyDescent="0.2">
      <c r="B44" s="610" t="s">
        <v>980</v>
      </c>
      <c r="C44" s="607" t="s">
        <v>981</v>
      </c>
      <c r="D44" s="51">
        <v>3.06</v>
      </c>
    </row>
    <row r="45" spans="2:4" ht="85" x14ac:dyDescent="0.2">
      <c r="B45" s="610" t="s">
        <v>997</v>
      </c>
      <c r="C45" s="607" t="s">
        <v>998</v>
      </c>
      <c r="D45" s="51">
        <v>3.07</v>
      </c>
    </row>
    <row r="46" spans="2:4" x14ac:dyDescent="0.2">
      <c r="B46" s="610"/>
      <c r="C46"/>
      <c r="D46" s="51"/>
    </row>
    <row r="47" spans="2:4" x14ac:dyDescent="0.2">
      <c r="B47" s="610"/>
      <c r="C47"/>
      <c r="D47" s="51"/>
    </row>
    <row r="48" spans="2:4" x14ac:dyDescent="0.2">
      <c r="B48" s="611"/>
      <c r="C48" s="44"/>
      <c r="D48" s="49"/>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2"/>
  </sheetPr>
  <dimension ref="B2:C29"/>
  <sheetViews>
    <sheetView workbookViewId="0">
      <selection activeCell="C18" sqref="C18"/>
    </sheetView>
  </sheetViews>
  <sheetFormatPr baseColWidth="10" defaultRowHeight="16" x14ac:dyDescent="0.2"/>
  <cols>
    <col min="1" max="1" width="10.83203125" style="2" customWidth="1"/>
    <col min="2" max="2" width="35.83203125" style="2" customWidth="1"/>
    <col min="3" max="3" width="90.83203125" style="2" customWidth="1"/>
    <col min="4" max="16384" width="10.83203125" style="2"/>
  </cols>
  <sheetData>
    <row r="2" spans="2:3" ht="21" x14ac:dyDescent="0.25">
      <c r="B2" s="20" t="s">
        <v>21</v>
      </c>
    </row>
    <row r="4" spans="2:3" x14ac:dyDescent="0.2">
      <c r="B4" s="3" t="s">
        <v>262</v>
      </c>
      <c r="C4" s="13" t="s">
        <v>22</v>
      </c>
    </row>
    <row r="5" spans="2:3" x14ac:dyDescent="0.2">
      <c r="B5" s="18"/>
      <c r="C5" s="19"/>
    </row>
    <row r="6" spans="2:3" ht="30" customHeight="1" x14ac:dyDescent="0.2">
      <c r="B6" s="316" t="s">
        <v>229</v>
      </c>
      <c r="C6" s="450" t="s">
        <v>263</v>
      </c>
    </row>
    <row r="7" spans="2:3" ht="30" customHeight="1" x14ac:dyDescent="0.2">
      <c r="B7" s="316" t="s">
        <v>0</v>
      </c>
      <c r="C7" s="450" t="s">
        <v>252</v>
      </c>
    </row>
    <row r="8" spans="2:3" ht="30" customHeight="1" x14ac:dyDescent="0.2">
      <c r="B8" s="316" t="s">
        <v>21</v>
      </c>
      <c r="C8" s="450" t="s">
        <v>454</v>
      </c>
    </row>
    <row r="9" spans="2:3" ht="30" customHeight="1" x14ac:dyDescent="0.2">
      <c r="B9" s="316" t="s">
        <v>18</v>
      </c>
      <c r="C9" s="450" t="s">
        <v>414</v>
      </c>
    </row>
    <row r="10" spans="2:3" ht="30" customHeight="1" x14ac:dyDescent="0.2">
      <c r="B10" s="316" t="s">
        <v>233</v>
      </c>
      <c r="C10" s="451" t="s">
        <v>425</v>
      </c>
    </row>
    <row r="11" spans="2:3" ht="30" customHeight="1" x14ac:dyDescent="0.2">
      <c r="B11" s="316" t="s">
        <v>23</v>
      </c>
      <c r="C11" s="450" t="s">
        <v>211</v>
      </c>
    </row>
    <row r="12" spans="2:3" ht="30" customHeight="1" x14ac:dyDescent="0.2">
      <c r="B12" s="317" t="s">
        <v>28</v>
      </c>
      <c r="C12" s="450" t="s">
        <v>212</v>
      </c>
    </row>
    <row r="13" spans="2:3" ht="30" customHeight="1" x14ac:dyDescent="0.2">
      <c r="B13" s="318" t="s">
        <v>618</v>
      </c>
      <c r="C13" s="450" t="s">
        <v>415</v>
      </c>
    </row>
    <row r="14" spans="2:3" ht="30" customHeight="1" x14ac:dyDescent="0.2">
      <c r="B14" s="318" t="s">
        <v>848</v>
      </c>
      <c r="C14" s="450" t="s">
        <v>849</v>
      </c>
    </row>
    <row r="15" spans="2:3" ht="30" customHeight="1" x14ac:dyDescent="0.2">
      <c r="B15" s="318" t="s">
        <v>516</v>
      </c>
      <c r="C15" s="450" t="s">
        <v>517</v>
      </c>
    </row>
    <row r="16" spans="2:3" ht="30" customHeight="1" x14ac:dyDescent="0.2">
      <c r="B16" s="318" t="s">
        <v>274</v>
      </c>
      <c r="C16" s="450" t="s">
        <v>549</v>
      </c>
    </row>
    <row r="17" spans="2:3" ht="30" customHeight="1" x14ac:dyDescent="0.2">
      <c r="B17" s="319" t="s">
        <v>267</v>
      </c>
      <c r="C17" s="451" t="s">
        <v>850</v>
      </c>
    </row>
    <row r="18" spans="2:3" ht="30" customHeight="1" x14ac:dyDescent="0.2">
      <c r="B18" s="319" t="s">
        <v>268</v>
      </c>
      <c r="C18" s="451" t="s">
        <v>416</v>
      </c>
    </row>
    <row r="19" spans="2:3" ht="30" customHeight="1" x14ac:dyDescent="0.2">
      <c r="B19" s="319" t="s">
        <v>208</v>
      </c>
      <c r="C19" s="451" t="s">
        <v>519</v>
      </c>
    </row>
    <row r="20" spans="2:3" ht="30" customHeight="1" x14ac:dyDescent="0.2">
      <c r="B20" s="319" t="s">
        <v>518</v>
      </c>
      <c r="C20" s="451" t="s">
        <v>457</v>
      </c>
    </row>
    <row r="21" spans="2:3" ht="30" customHeight="1" x14ac:dyDescent="0.2">
      <c r="B21" s="320" t="s">
        <v>207</v>
      </c>
      <c r="C21" s="451" t="s">
        <v>422</v>
      </c>
    </row>
    <row r="22" spans="2:3" ht="30" customHeight="1" x14ac:dyDescent="0.2">
      <c r="B22" s="321" t="s">
        <v>321</v>
      </c>
      <c r="C22" s="451" t="s">
        <v>421</v>
      </c>
    </row>
    <row r="23" spans="2:3" ht="30" customHeight="1" x14ac:dyDescent="0.2">
      <c r="B23" s="321" t="s">
        <v>285</v>
      </c>
      <c r="C23" s="451" t="s">
        <v>420</v>
      </c>
    </row>
    <row r="24" spans="2:3" ht="30" customHeight="1" x14ac:dyDescent="0.2">
      <c r="B24" s="321" t="s">
        <v>260</v>
      </c>
      <c r="C24" s="451" t="s">
        <v>419</v>
      </c>
    </row>
    <row r="25" spans="2:3" ht="30" customHeight="1" x14ac:dyDescent="0.2">
      <c r="B25" s="321" t="s">
        <v>541</v>
      </c>
      <c r="C25" s="451" t="s">
        <v>550</v>
      </c>
    </row>
    <row r="26" spans="2:3" ht="30" customHeight="1" x14ac:dyDescent="0.2">
      <c r="B26" s="321" t="s">
        <v>413</v>
      </c>
      <c r="C26" s="451" t="s">
        <v>418</v>
      </c>
    </row>
    <row r="27" spans="2:3" ht="30" customHeight="1" x14ac:dyDescent="0.2">
      <c r="B27" s="321" t="s">
        <v>412</v>
      </c>
      <c r="C27" s="451" t="s">
        <v>417</v>
      </c>
    </row>
    <row r="28" spans="2:3" ht="30" customHeight="1" x14ac:dyDescent="0.2">
      <c r="B28" s="322" t="s">
        <v>551</v>
      </c>
      <c r="C28" s="451" t="s">
        <v>484</v>
      </c>
    </row>
    <row r="29" spans="2:3" ht="30" customHeight="1" x14ac:dyDescent="0.2">
      <c r="B29" s="322" t="s">
        <v>552</v>
      </c>
      <c r="C29" s="451" t="s">
        <v>483</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2"/>
  </sheetPr>
  <dimension ref="B2:C32"/>
  <sheetViews>
    <sheetView workbookViewId="0"/>
  </sheetViews>
  <sheetFormatPr baseColWidth="10" defaultRowHeight="16" x14ac:dyDescent="0.2"/>
  <cols>
    <col min="1" max="1" width="10.83203125" style="2" customWidth="1"/>
    <col min="2" max="2" width="150.83203125" style="2" customWidth="1"/>
    <col min="3" max="3" width="2.6640625" style="2" customWidth="1"/>
    <col min="4" max="4" width="20.33203125" style="2" customWidth="1"/>
    <col min="5" max="16384" width="10.83203125" style="2"/>
  </cols>
  <sheetData>
    <row r="2" spans="2:3" ht="21" x14ac:dyDescent="0.25">
      <c r="B2" s="20" t="s">
        <v>18</v>
      </c>
    </row>
    <row r="4" spans="2:3" x14ac:dyDescent="0.2">
      <c r="B4" s="46" t="s">
        <v>20</v>
      </c>
      <c r="C4" s="5"/>
    </row>
    <row r="5" spans="2:3" x14ac:dyDescent="0.2">
      <c r="B5" s="244"/>
      <c r="C5" s="8"/>
    </row>
    <row r="6" spans="2:3" ht="187" x14ac:dyDescent="0.2">
      <c r="B6" s="245" t="s">
        <v>688</v>
      </c>
      <c r="C6" s="11"/>
    </row>
    <row r="7" spans="2:3" ht="15" customHeight="1" x14ac:dyDescent="0.2">
      <c r="B7" s="246"/>
    </row>
    <row r="8" spans="2:3" ht="15" customHeight="1" x14ac:dyDescent="0.2">
      <c r="B8" s="46" t="s">
        <v>251</v>
      </c>
      <c r="C8" s="5"/>
    </row>
    <row r="9" spans="2:3" ht="15" customHeight="1" x14ac:dyDescent="0.2">
      <c r="B9" s="244"/>
      <c r="C9" s="8"/>
    </row>
    <row r="10" spans="2:3" ht="15" customHeight="1" x14ac:dyDescent="0.2">
      <c r="B10" s="247" t="s">
        <v>679</v>
      </c>
      <c r="C10" s="8"/>
    </row>
    <row r="11" spans="2:3" ht="15" customHeight="1" x14ac:dyDescent="0.2">
      <c r="B11" s="247" t="s">
        <v>677</v>
      </c>
      <c r="C11" s="8"/>
    </row>
    <row r="12" spans="2:3" ht="15" customHeight="1" x14ac:dyDescent="0.2">
      <c r="B12" s="247" t="s">
        <v>678</v>
      </c>
      <c r="C12" s="8"/>
    </row>
    <row r="13" spans="2:3" ht="15" customHeight="1" x14ac:dyDescent="0.2">
      <c r="B13" s="247" t="s">
        <v>611</v>
      </c>
      <c r="C13" s="8"/>
    </row>
    <row r="14" spans="2:3" ht="15" customHeight="1" x14ac:dyDescent="0.2">
      <c r="B14" s="247" t="s">
        <v>253</v>
      </c>
      <c r="C14" s="8"/>
    </row>
    <row r="15" spans="2:3" ht="15" customHeight="1" x14ac:dyDescent="0.2">
      <c r="B15" s="247" t="s">
        <v>689</v>
      </c>
      <c r="C15" s="8"/>
    </row>
    <row r="16" spans="2:3" ht="15" customHeight="1" x14ac:dyDescent="0.2">
      <c r="B16" s="248" t="s">
        <v>680</v>
      </c>
      <c r="C16" s="8"/>
    </row>
    <row r="17" spans="2:3" ht="15" customHeight="1" x14ac:dyDescent="0.2">
      <c r="B17" s="247" t="s">
        <v>275</v>
      </c>
      <c r="C17" s="8"/>
    </row>
    <row r="18" spans="2:3" ht="15" customHeight="1" x14ac:dyDescent="0.2">
      <c r="B18" s="180"/>
      <c r="C18" s="11"/>
    </row>
    <row r="19" spans="2:3" x14ac:dyDescent="0.2">
      <c r="B19" s="242"/>
    </row>
    <row r="20" spans="2:3" x14ac:dyDescent="0.2">
      <c r="B20" s="46" t="s">
        <v>19</v>
      </c>
      <c r="C20" s="5"/>
    </row>
    <row r="21" spans="2:3" x14ac:dyDescent="0.2">
      <c r="B21" s="244"/>
      <c r="C21" s="8"/>
    </row>
    <row r="22" spans="2:3" ht="136" x14ac:dyDescent="0.2">
      <c r="B22" s="298" t="s">
        <v>423</v>
      </c>
      <c r="C22" s="11"/>
    </row>
    <row r="23" spans="2:3" x14ac:dyDescent="0.2">
      <c r="B23" s="242"/>
    </row>
    <row r="26" spans="2:3" ht="15" customHeight="1" x14ac:dyDescent="0.2"/>
    <row r="32" spans="2:3" ht="30" customHeight="1" x14ac:dyDescent="0.2"/>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B2:BZ9"/>
  <sheetViews>
    <sheetView workbookViewId="0"/>
  </sheetViews>
  <sheetFormatPr baseColWidth="10" defaultColWidth="2.83203125" defaultRowHeight="16" x14ac:dyDescent="0.2"/>
  <cols>
    <col min="1" max="1" width="10.83203125" style="2" customWidth="1"/>
    <col min="2" max="16384" width="2.83203125" style="2"/>
  </cols>
  <sheetData>
    <row r="2" spans="2:78" ht="21" customHeight="1" x14ac:dyDescent="0.2">
      <c r="B2" s="122" t="s">
        <v>515</v>
      </c>
      <c r="C2" s="117"/>
      <c r="D2" s="117"/>
      <c r="E2" s="117"/>
      <c r="F2" s="117"/>
      <c r="G2" s="117"/>
      <c r="H2" s="117"/>
      <c r="I2" s="117"/>
      <c r="J2" s="117"/>
      <c r="K2" s="117"/>
      <c r="L2" s="117"/>
      <c r="M2" s="117"/>
      <c r="N2" s="117"/>
      <c r="O2" s="117"/>
      <c r="P2" s="117"/>
      <c r="Q2" s="117"/>
      <c r="R2" s="117"/>
      <c r="S2" s="117"/>
      <c r="T2" s="117"/>
      <c r="U2" s="117"/>
      <c r="V2" s="117"/>
      <c r="W2" s="117"/>
      <c r="X2" s="117"/>
      <c r="Y2" s="117"/>
      <c r="Z2" s="117"/>
      <c r="AA2" s="117"/>
      <c r="AB2" s="117"/>
      <c r="AC2" s="117"/>
      <c r="AD2" s="117"/>
      <c r="AE2" s="117"/>
      <c r="AF2" s="117"/>
      <c r="AG2" s="117"/>
      <c r="AH2" s="117"/>
      <c r="AI2" s="117"/>
      <c r="AJ2" s="117"/>
      <c r="AK2" s="117"/>
      <c r="AL2" s="117"/>
      <c r="AM2" s="117"/>
      <c r="AN2" s="117"/>
      <c r="AO2" s="117"/>
      <c r="AP2" s="117"/>
      <c r="AQ2" s="117"/>
      <c r="AR2" s="117"/>
      <c r="AS2" s="117"/>
      <c r="AT2" s="117"/>
      <c r="AU2" s="117"/>
      <c r="AV2" s="117"/>
      <c r="AW2" s="117"/>
      <c r="AX2" s="117"/>
      <c r="AY2" s="117"/>
      <c r="AZ2" s="117"/>
      <c r="BA2" s="117"/>
      <c r="BB2" s="117"/>
      <c r="BC2" s="117"/>
      <c r="BD2" s="117"/>
      <c r="BE2" s="117"/>
      <c r="BF2" s="117"/>
      <c r="BG2" s="117"/>
      <c r="BH2" s="117"/>
      <c r="BI2" s="117"/>
      <c r="BJ2" s="117"/>
    </row>
    <row r="3" spans="2:78" ht="15" customHeight="1" x14ac:dyDescent="0.2">
      <c r="B3" s="122"/>
      <c r="C3" s="117"/>
      <c r="D3" s="117"/>
      <c r="E3" s="117"/>
      <c r="F3" s="117"/>
      <c r="G3" s="117"/>
      <c r="H3" s="117"/>
      <c r="I3" s="117"/>
      <c r="J3" s="117"/>
      <c r="K3" s="117"/>
      <c r="L3" s="117"/>
      <c r="M3" s="117"/>
      <c r="N3" s="117"/>
      <c r="O3" s="117"/>
      <c r="P3" s="117"/>
      <c r="Q3" s="117"/>
      <c r="R3" s="117"/>
      <c r="S3" s="117"/>
      <c r="T3" s="117"/>
      <c r="U3" s="117"/>
      <c r="V3" s="117"/>
      <c r="W3" s="117"/>
      <c r="X3" s="117"/>
      <c r="Y3" s="117"/>
      <c r="Z3" s="117"/>
      <c r="AA3" s="117"/>
      <c r="AB3" s="117"/>
      <c r="AC3" s="117"/>
      <c r="AD3" s="117"/>
      <c r="AE3" s="117"/>
      <c r="AF3" s="117"/>
      <c r="AG3" s="117"/>
      <c r="AH3" s="117"/>
      <c r="AI3" s="117"/>
      <c r="AJ3" s="117"/>
      <c r="AK3" s="117"/>
      <c r="AL3" s="117"/>
      <c r="AM3" s="117"/>
      <c r="AN3" s="117"/>
      <c r="AO3" s="117"/>
      <c r="AP3" s="117"/>
      <c r="AQ3" s="117"/>
      <c r="AR3" s="117"/>
      <c r="AS3" s="117"/>
      <c r="AT3" s="117"/>
      <c r="AU3" s="117"/>
      <c r="AV3" s="117"/>
      <c r="AW3" s="117"/>
      <c r="AX3" s="117"/>
      <c r="AY3" s="117"/>
      <c r="AZ3" s="117"/>
      <c r="BA3" s="117"/>
      <c r="BB3" s="117"/>
      <c r="BC3" s="117"/>
      <c r="BD3" s="117"/>
      <c r="BE3" s="117"/>
      <c r="BF3" s="117"/>
      <c r="BG3" s="117"/>
      <c r="BH3" s="117"/>
      <c r="BI3" s="117"/>
      <c r="BJ3" s="117"/>
    </row>
    <row r="4" spans="2:78" ht="15" customHeight="1" x14ac:dyDescent="0.2">
      <c r="B4" s="124" t="s">
        <v>37</v>
      </c>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6"/>
      <c r="AV4" s="117"/>
      <c r="AW4" s="117"/>
      <c r="AX4" s="117"/>
      <c r="AY4" s="117"/>
      <c r="AZ4" s="117"/>
      <c r="BA4" s="117"/>
      <c r="BB4" s="117"/>
      <c r="BC4" s="117"/>
      <c r="BD4" s="117"/>
      <c r="BE4" s="117"/>
      <c r="BF4" s="117"/>
      <c r="BG4" s="117"/>
      <c r="BH4" s="117"/>
      <c r="BI4" s="117"/>
      <c r="BJ4" s="117"/>
    </row>
    <row r="5" spans="2:78" ht="35" customHeight="1" x14ac:dyDescent="0.2">
      <c r="B5" s="249" t="s">
        <v>424</v>
      </c>
      <c r="C5" s="182"/>
      <c r="D5" s="182"/>
      <c r="E5" s="182"/>
      <c r="F5" s="182"/>
      <c r="G5" s="182"/>
      <c r="H5" s="182"/>
      <c r="I5" s="182"/>
      <c r="J5" s="182"/>
      <c r="K5" s="182"/>
      <c r="L5" s="182"/>
      <c r="M5" s="182"/>
      <c r="N5" s="182"/>
      <c r="O5" s="182"/>
      <c r="P5" s="182"/>
      <c r="Q5" s="182"/>
      <c r="R5" s="182"/>
      <c r="S5" s="182"/>
      <c r="T5" s="182"/>
      <c r="U5" s="182"/>
      <c r="V5" s="182"/>
      <c r="W5" s="182"/>
      <c r="X5" s="182"/>
      <c r="Y5" s="182"/>
      <c r="Z5" s="182"/>
      <c r="AA5" s="182"/>
      <c r="AB5" s="182"/>
      <c r="AC5" s="182"/>
      <c r="AD5" s="182"/>
      <c r="AE5" s="182"/>
      <c r="AF5" s="182"/>
      <c r="AG5" s="182"/>
      <c r="AH5" s="182"/>
      <c r="AI5" s="182"/>
      <c r="AJ5" s="182"/>
      <c r="AK5" s="182"/>
      <c r="AL5" s="182"/>
      <c r="AM5" s="182"/>
      <c r="AN5" s="182"/>
      <c r="AO5" s="182"/>
      <c r="AP5" s="182"/>
      <c r="AQ5" s="182"/>
      <c r="AR5" s="182"/>
      <c r="AS5" s="182"/>
      <c r="AT5" s="182"/>
      <c r="AU5" s="183"/>
      <c r="AV5" s="117"/>
      <c r="AW5" s="117"/>
      <c r="AX5" s="117"/>
      <c r="AY5" s="117"/>
      <c r="AZ5" s="117"/>
      <c r="BA5" s="117"/>
      <c r="BB5" s="117"/>
      <c r="BC5" s="117"/>
      <c r="BD5" s="117"/>
      <c r="BE5" s="117"/>
      <c r="BF5" s="117"/>
      <c r="BG5" s="117"/>
      <c r="BH5" s="117"/>
      <c r="BI5" s="117"/>
      <c r="BJ5" s="117"/>
    </row>
    <row r="6" spans="2:78" ht="15" customHeight="1" x14ac:dyDescent="0.2">
      <c r="B6" s="118"/>
      <c r="C6" s="118"/>
      <c r="D6" s="118"/>
      <c r="E6" s="118"/>
      <c r="F6" s="118"/>
      <c r="G6" s="118"/>
      <c r="H6" s="118"/>
      <c r="I6" s="118"/>
      <c r="J6" s="118"/>
      <c r="K6" s="118"/>
      <c r="L6" s="118"/>
      <c r="M6" s="118"/>
      <c r="N6" s="118"/>
      <c r="O6" s="118"/>
      <c r="P6" s="118"/>
      <c r="Q6" s="118"/>
      <c r="R6" s="118"/>
      <c r="S6" s="118"/>
      <c r="T6" s="118"/>
      <c r="U6" s="118"/>
      <c r="V6" s="118"/>
      <c r="W6" s="118"/>
      <c r="X6" s="118"/>
      <c r="Y6" s="118"/>
      <c r="Z6" s="118"/>
      <c r="AA6" s="118"/>
      <c r="AB6" s="118"/>
      <c r="AC6" s="118"/>
      <c r="AD6" s="118"/>
      <c r="AE6" s="118"/>
      <c r="AF6" s="118"/>
      <c r="AG6" s="118"/>
      <c r="AH6" s="118"/>
      <c r="AI6" s="118"/>
      <c r="AJ6" s="118"/>
      <c r="AK6" s="118"/>
      <c r="AL6" s="118"/>
      <c r="AM6" s="118"/>
      <c r="AN6" s="118"/>
      <c r="AO6" s="118"/>
      <c r="AP6" s="118"/>
      <c r="AQ6" s="118"/>
      <c r="AR6" s="118"/>
      <c r="AS6" s="118"/>
      <c r="AT6" s="118"/>
      <c r="AU6" s="118"/>
      <c r="AV6" s="118"/>
      <c r="AW6" s="118"/>
      <c r="AX6" s="118"/>
      <c r="AY6" s="118"/>
      <c r="AZ6" s="118"/>
      <c r="BA6" s="118"/>
      <c r="BB6" s="118"/>
      <c r="BC6" s="118"/>
      <c r="BD6" s="118"/>
      <c r="BE6" s="118"/>
      <c r="BF6" s="118"/>
      <c r="BG6" s="118"/>
      <c r="BH6" s="118"/>
      <c r="BI6" s="118"/>
      <c r="BJ6" s="118"/>
    </row>
    <row r="7" spans="2:78" ht="19" customHeight="1" x14ac:dyDescent="0.25">
      <c r="B7" s="118"/>
      <c r="D7" s="118"/>
      <c r="E7" s="118"/>
      <c r="F7" s="118"/>
      <c r="G7" s="118"/>
      <c r="H7" s="119" t="s">
        <v>230</v>
      </c>
      <c r="I7" s="120"/>
      <c r="J7" s="120"/>
      <c r="K7" s="120"/>
      <c r="L7" s="120"/>
      <c r="M7" s="120"/>
      <c r="N7" s="120"/>
      <c r="O7" s="120"/>
      <c r="P7" s="120"/>
      <c r="Q7" s="120"/>
      <c r="R7" s="120"/>
      <c r="S7" s="120"/>
      <c r="T7" s="120"/>
      <c r="U7" s="120"/>
      <c r="V7" s="120"/>
      <c r="W7" s="120"/>
      <c r="X7" s="120"/>
      <c r="Y7" s="120"/>
      <c r="Z7" s="120"/>
      <c r="AA7" s="120"/>
      <c r="AB7" s="120"/>
      <c r="AC7" s="120"/>
      <c r="AD7" s="120"/>
      <c r="AE7" s="120"/>
      <c r="AF7" s="120"/>
      <c r="AG7" s="120"/>
      <c r="AH7" s="119" t="s">
        <v>231</v>
      </c>
      <c r="AI7" s="120"/>
      <c r="AJ7" s="120"/>
      <c r="AK7" s="120"/>
      <c r="AM7" s="121"/>
      <c r="AN7" s="120"/>
      <c r="AO7" s="120"/>
      <c r="AP7" s="120"/>
      <c r="AQ7" s="120"/>
      <c r="AR7" s="120"/>
      <c r="AS7" s="120"/>
      <c r="AT7" s="120"/>
      <c r="AU7" s="120"/>
      <c r="AV7" s="120"/>
      <c r="AW7" s="120"/>
      <c r="AX7" s="120"/>
      <c r="AY7" s="120"/>
      <c r="AZ7" s="120"/>
      <c r="BA7" s="120"/>
      <c r="BB7" s="120"/>
      <c r="BC7" s="120"/>
      <c r="BD7" s="120"/>
      <c r="BE7" s="121"/>
      <c r="BF7" s="120"/>
      <c r="BG7" s="120"/>
      <c r="BH7" s="120"/>
      <c r="BI7" s="121"/>
      <c r="BJ7" s="119" t="s">
        <v>232</v>
      </c>
      <c r="BK7" s="121"/>
      <c r="BL7" s="121"/>
      <c r="BM7" s="121"/>
      <c r="BN7" s="121"/>
      <c r="BO7" s="121"/>
      <c r="BP7" s="121"/>
      <c r="BQ7" s="121"/>
      <c r="BR7" s="121"/>
      <c r="BS7" s="121"/>
      <c r="BT7" s="121"/>
      <c r="BU7" s="121"/>
      <c r="BV7" s="121"/>
      <c r="BW7" s="121"/>
      <c r="BX7" s="121"/>
    </row>
    <row r="9" spans="2:78" x14ac:dyDescent="0.2">
      <c r="BZ9" s="1"/>
    </row>
  </sheetData>
  <pageMargins left="0.75" right="0.75" top="1" bottom="1" header="0.5" footer="0.5"/>
  <pageSetup paperSize="9" orientation="portrait" horizontalDpi="4294967292" verticalDpi="4294967292"/>
  <drawing r:id="rId1"/>
  <extLst>
    <ext xmlns:mx="http://schemas.microsoft.com/office/mac/excel/2008/main" uri="{64002731-A6B0-56B0-2670-7721B7C09600}">
      <mx:PLV Mode="0" OnePage="0" WScale="0"/>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2"/>
  </sheetPr>
  <dimension ref="A2:F127"/>
  <sheetViews>
    <sheetView workbookViewId="0">
      <selection activeCell="C52" sqref="C52"/>
    </sheetView>
  </sheetViews>
  <sheetFormatPr baseColWidth="10" defaultRowHeight="16" x14ac:dyDescent="0.2"/>
  <cols>
    <col min="1" max="1" width="10.83203125" style="2" customWidth="1"/>
    <col min="2" max="2" width="28" style="2" customWidth="1"/>
    <col min="3" max="3" width="78.5" style="2" customWidth="1"/>
    <col min="4" max="4" width="90.83203125" style="2" customWidth="1"/>
    <col min="5" max="16384" width="10.83203125" style="2"/>
  </cols>
  <sheetData>
    <row r="2" spans="1:6" ht="21" x14ac:dyDescent="0.25">
      <c r="B2" s="20" t="s">
        <v>23</v>
      </c>
      <c r="C2" s="20"/>
    </row>
    <row r="3" spans="1:6" x14ac:dyDescent="0.2">
      <c r="A3" s="242"/>
      <c r="B3" s="242"/>
      <c r="C3" s="242"/>
      <c r="D3" s="242"/>
    </row>
    <row r="4" spans="1:6" x14ac:dyDescent="0.2">
      <c r="A4" s="242"/>
      <c r="B4" s="46" t="s">
        <v>37</v>
      </c>
      <c r="C4" s="254"/>
      <c r="D4" s="242"/>
    </row>
    <row r="5" spans="1:6" ht="79" customHeight="1" x14ac:dyDescent="0.2">
      <c r="A5" s="242"/>
      <c r="B5" s="612" t="s">
        <v>257</v>
      </c>
      <c r="C5" s="613"/>
      <c r="D5" s="242"/>
    </row>
    <row r="6" spans="1:6" ht="17" thickBot="1" x14ac:dyDescent="0.25">
      <c r="A6" s="242"/>
      <c r="B6" s="242"/>
      <c r="C6" s="242"/>
      <c r="D6" s="242"/>
    </row>
    <row r="7" spans="1:6" x14ac:dyDescent="0.2">
      <c r="A7" s="242"/>
      <c r="B7" s="218" t="s">
        <v>24</v>
      </c>
      <c r="C7" s="256"/>
      <c r="D7" s="219"/>
    </row>
    <row r="8" spans="1:6" x14ac:dyDescent="0.2">
      <c r="A8" s="242"/>
      <c r="B8" s="220"/>
      <c r="C8" s="242"/>
      <c r="D8" s="221"/>
      <c r="F8" s="91"/>
    </row>
    <row r="9" spans="1:6" x14ac:dyDescent="0.2">
      <c r="A9" s="242"/>
      <c r="B9" s="257" t="s">
        <v>38</v>
      </c>
      <c r="C9" s="258" t="s">
        <v>26</v>
      </c>
      <c r="D9" s="259" t="s">
        <v>242</v>
      </c>
    </row>
    <row r="10" spans="1:6" x14ac:dyDescent="0.2">
      <c r="A10" s="242"/>
      <c r="B10" s="262" t="s">
        <v>46</v>
      </c>
      <c r="C10" s="260"/>
      <c r="D10" s="261"/>
    </row>
    <row r="11" spans="1:6" ht="31" customHeight="1" x14ac:dyDescent="0.2">
      <c r="A11" s="242"/>
      <c r="B11" s="263"/>
      <c r="C11" s="264" t="s">
        <v>434</v>
      </c>
      <c r="D11" s="266" t="s">
        <v>458</v>
      </c>
    </row>
    <row r="12" spans="1:6" ht="31" customHeight="1" x14ac:dyDescent="0.2">
      <c r="B12" s="263"/>
      <c r="C12" s="276" t="s">
        <v>561</v>
      </c>
      <c r="D12" s="33"/>
    </row>
    <row r="13" spans="1:6" ht="31" customHeight="1" x14ac:dyDescent="0.2">
      <c r="B13" s="88"/>
      <c r="C13" s="267" t="s">
        <v>562</v>
      </c>
      <c r="D13" s="266" t="s">
        <v>459</v>
      </c>
    </row>
    <row r="14" spans="1:6" ht="31" customHeight="1" x14ac:dyDescent="0.2">
      <c r="B14" s="88"/>
      <c r="C14" s="264" t="s">
        <v>447</v>
      </c>
      <c r="D14" s="81"/>
      <c r="F14" s="174"/>
    </row>
    <row r="15" spans="1:6" ht="31" customHeight="1" x14ac:dyDescent="0.2">
      <c r="B15" s="88"/>
      <c r="C15" s="264" t="s">
        <v>481</v>
      </c>
      <c r="D15" s="81"/>
      <c r="F15" s="174"/>
    </row>
    <row r="16" spans="1:6" ht="15" customHeight="1" x14ac:dyDescent="0.2">
      <c r="B16" s="185"/>
      <c r="C16" s="186"/>
      <c r="D16" s="187"/>
    </row>
    <row r="17" spans="2:4" x14ac:dyDescent="0.2">
      <c r="B17" s="262" t="s">
        <v>321</v>
      </c>
      <c r="C17" s="114"/>
      <c r="D17" s="81"/>
    </row>
    <row r="18" spans="2:4" ht="51" x14ac:dyDescent="0.2">
      <c r="B18" s="184"/>
      <c r="C18" s="246" t="s">
        <v>440</v>
      </c>
      <c r="D18" s="266" t="s">
        <v>460</v>
      </c>
    </row>
    <row r="19" spans="2:4" ht="34" x14ac:dyDescent="0.2">
      <c r="B19" s="184"/>
      <c r="C19" s="264" t="s">
        <v>442</v>
      </c>
      <c r="D19" s="279" t="s">
        <v>461</v>
      </c>
    </row>
    <row r="20" spans="2:4" ht="17" x14ac:dyDescent="0.2">
      <c r="B20" s="184"/>
      <c r="C20" s="264" t="s">
        <v>444</v>
      </c>
      <c r="D20" s="271" t="s">
        <v>462</v>
      </c>
    </row>
    <row r="21" spans="2:4" ht="17" x14ac:dyDescent="0.2">
      <c r="B21" s="184"/>
      <c r="C21" s="264" t="s">
        <v>445</v>
      </c>
      <c r="D21" s="271"/>
    </row>
    <row r="22" spans="2:4" ht="34" x14ac:dyDescent="0.2">
      <c r="B22" s="184"/>
      <c r="C22" s="264" t="s">
        <v>485</v>
      </c>
      <c r="D22" s="271"/>
    </row>
    <row r="23" spans="2:4" x14ac:dyDescent="0.2">
      <c r="B23" s="185"/>
      <c r="C23" s="188"/>
      <c r="D23" s="78"/>
    </row>
    <row r="24" spans="2:4" x14ac:dyDescent="0.2">
      <c r="B24" s="262" t="s">
        <v>285</v>
      </c>
      <c r="C24" s="114"/>
      <c r="D24" s="81"/>
    </row>
    <row r="25" spans="2:4" x14ac:dyDescent="0.2">
      <c r="B25" s="262"/>
      <c r="C25" s="177" t="s">
        <v>476</v>
      </c>
      <c r="D25" s="106" t="s">
        <v>477</v>
      </c>
    </row>
    <row r="26" spans="2:4" ht="34" x14ac:dyDescent="0.2">
      <c r="B26" s="262"/>
      <c r="C26" s="264" t="s">
        <v>448</v>
      </c>
      <c r="D26" s="81"/>
    </row>
    <row r="27" spans="2:4" ht="34" x14ac:dyDescent="0.2">
      <c r="B27" s="184"/>
      <c r="C27" s="246" t="s">
        <v>441</v>
      </c>
      <c r="D27" s="266" t="s">
        <v>463</v>
      </c>
    </row>
    <row r="28" spans="2:4" ht="34" x14ac:dyDescent="0.2">
      <c r="B28" s="184"/>
      <c r="C28" s="264" t="s">
        <v>443</v>
      </c>
      <c r="D28" s="271" t="s">
        <v>464</v>
      </c>
    </row>
    <row r="29" spans="2:4" x14ac:dyDescent="0.2">
      <c r="B29" s="184"/>
      <c r="C29" s="177" t="s">
        <v>668</v>
      </c>
      <c r="D29" s="81"/>
    </row>
    <row r="30" spans="2:4" ht="17" thickBot="1" x14ac:dyDescent="0.25">
      <c r="B30" s="189"/>
      <c r="C30" s="190"/>
      <c r="D30" s="79"/>
    </row>
    <row r="31" spans="2:4" ht="17" thickBot="1" x14ac:dyDescent="0.25">
      <c r="B31" s="242"/>
      <c r="C31" s="242"/>
      <c r="D31" s="242"/>
    </row>
    <row r="32" spans="2:4" x14ac:dyDescent="0.2">
      <c r="B32" s="218" t="s">
        <v>25</v>
      </c>
      <c r="C32" s="256"/>
      <c r="D32" s="219"/>
    </row>
    <row r="33" spans="2:4" x14ac:dyDescent="0.2">
      <c r="B33" s="220"/>
      <c r="C33" s="242"/>
      <c r="D33" s="221"/>
    </row>
    <row r="34" spans="2:4" x14ac:dyDescent="0.2">
      <c r="B34" s="257" t="s">
        <v>38</v>
      </c>
      <c r="C34" s="258" t="s">
        <v>26</v>
      </c>
      <c r="D34" s="259" t="s">
        <v>256</v>
      </c>
    </row>
    <row r="35" spans="2:4" x14ac:dyDescent="0.2">
      <c r="B35" s="262" t="s">
        <v>46</v>
      </c>
      <c r="C35" s="260"/>
      <c r="D35" s="261"/>
    </row>
    <row r="36" spans="2:4" ht="17" x14ac:dyDescent="0.2">
      <c r="B36" s="263"/>
      <c r="C36" s="267" t="s">
        <v>435</v>
      </c>
      <c r="D36" s="265" t="s">
        <v>465</v>
      </c>
    </row>
    <row r="37" spans="2:4" x14ac:dyDescent="0.2">
      <c r="B37" s="263"/>
      <c r="C37" s="267"/>
      <c r="D37" s="265"/>
    </row>
    <row r="38" spans="2:4" x14ac:dyDescent="0.2">
      <c r="B38" s="268" t="s">
        <v>321</v>
      </c>
      <c r="C38" s="269"/>
      <c r="D38" s="270"/>
    </row>
    <row r="39" spans="2:4" ht="51" x14ac:dyDescent="0.2">
      <c r="B39" s="220"/>
      <c r="C39" s="264" t="s">
        <v>466</v>
      </c>
      <c r="D39" s="271" t="s">
        <v>436</v>
      </c>
    </row>
    <row r="40" spans="2:4" x14ac:dyDescent="0.2">
      <c r="B40" s="220"/>
      <c r="C40" s="177" t="s">
        <v>437</v>
      </c>
      <c r="D40" s="271" t="s">
        <v>467</v>
      </c>
    </row>
    <row r="41" spans="2:4" x14ac:dyDescent="0.2">
      <c r="B41" s="272"/>
      <c r="C41" s="178"/>
      <c r="D41" s="227"/>
    </row>
    <row r="42" spans="2:4" x14ac:dyDescent="0.2">
      <c r="B42" s="262" t="s">
        <v>285</v>
      </c>
      <c r="C42" s="177"/>
      <c r="D42" s="106"/>
    </row>
    <row r="43" spans="2:4" x14ac:dyDescent="0.2">
      <c r="B43" s="262"/>
      <c r="C43" s="177" t="s">
        <v>438</v>
      </c>
      <c r="D43" s="271" t="s">
        <v>436</v>
      </c>
    </row>
    <row r="44" spans="2:4" ht="17" thickBot="1" x14ac:dyDescent="0.25">
      <c r="B44" s="222"/>
      <c r="C44" s="273"/>
      <c r="D44" s="223"/>
    </row>
    <row r="45" spans="2:4" ht="17" thickBot="1" x14ac:dyDescent="0.25">
      <c r="B45" s="242"/>
      <c r="C45" s="242"/>
      <c r="D45" s="242"/>
    </row>
    <row r="46" spans="2:4" x14ac:dyDescent="0.2">
      <c r="B46" s="218" t="s">
        <v>219</v>
      </c>
      <c r="C46" s="219"/>
      <c r="D46" s="181"/>
    </row>
    <row r="47" spans="2:4" x14ac:dyDescent="0.2">
      <c r="B47" s="220"/>
      <c r="C47" s="221"/>
      <c r="D47" s="181"/>
    </row>
    <row r="48" spans="2:4" x14ac:dyDescent="0.2">
      <c r="B48" s="257" t="s">
        <v>439</v>
      </c>
      <c r="C48" s="274" t="s">
        <v>220</v>
      </c>
      <c r="D48" s="181"/>
    </row>
    <row r="49" spans="2:4" x14ac:dyDescent="0.2">
      <c r="B49" s="262" t="s">
        <v>40</v>
      </c>
      <c r="C49" s="106" t="s">
        <v>134</v>
      </c>
      <c r="D49" s="181"/>
    </row>
    <row r="50" spans="2:4" x14ac:dyDescent="0.2">
      <c r="B50" s="220"/>
      <c r="C50" s="106" t="s">
        <v>135</v>
      </c>
      <c r="D50" s="181"/>
    </row>
    <row r="51" spans="2:4" x14ac:dyDescent="0.2">
      <c r="B51" s="220"/>
      <c r="C51" s="106" t="s">
        <v>136</v>
      </c>
      <c r="D51" s="181"/>
    </row>
    <row r="52" spans="2:4" x14ac:dyDescent="0.2">
      <c r="B52" s="220"/>
      <c r="C52" s="106" t="s">
        <v>137</v>
      </c>
      <c r="D52" s="181"/>
    </row>
    <row r="53" spans="2:4" x14ac:dyDescent="0.2">
      <c r="B53" s="220"/>
      <c r="C53" s="106" t="s">
        <v>138</v>
      </c>
      <c r="D53" s="181"/>
    </row>
    <row r="54" spans="2:4" x14ac:dyDescent="0.2">
      <c r="B54" s="220"/>
      <c r="C54" s="106" t="s">
        <v>139</v>
      </c>
      <c r="D54" s="181"/>
    </row>
    <row r="55" spans="2:4" x14ac:dyDescent="0.2">
      <c r="B55" s="220"/>
      <c r="C55" s="106" t="s">
        <v>150</v>
      </c>
      <c r="D55" s="181"/>
    </row>
    <row r="56" spans="2:4" x14ac:dyDescent="0.2">
      <c r="B56" s="220"/>
      <c r="C56" s="106" t="s">
        <v>141</v>
      </c>
      <c r="D56" s="181"/>
    </row>
    <row r="57" spans="2:4" x14ac:dyDescent="0.2">
      <c r="B57" s="220"/>
      <c r="C57" s="106" t="s">
        <v>142</v>
      </c>
      <c r="D57" s="181"/>
    </row>
    <row r="58" spans="2:4" x14ac:dyDescent="0.2">
      <c r="B58" s="220"/>
      <c r="C58" s="106" t="s">
        <v>143</v>
      </c>
      <c r="D58" s="181"/>
    </row>
    <row r="59" spans="2:4" x14ac:dyDescent="0.2">
      <c r="B59" s="220"/>
      <c r="C59" s="106" t="s">
        <v>144</v>
      </c>
      <c r="D59" s="181"/>
    </row>
    <row r="60" spans="2:4" x14ac:dyDescent="0.2">
      <c r="B60" s="220"/>
      <c r="C60" s="106" t="s">
        <v>145</v>
      </c>
      <c r="D60" s="181"/>
    </row>
    <row r="61" spans="2:4" x14ac:dyDescent="0.2">
      <c r="B61" s="272"/>
      <c r="C61" s="227"/>
      <c r="D61" s="181"/>
    </row>
    <row r="62" spans="2:4" x14ac:dyDescent="0.2">
      <c r="B62" s="262" t="s">
        <v>953</v>
      </c>
      <c r="C62" s="106" t="s">
        <v>146</v>
      </c>
      <c r="D62" s="181"/>
    </row>
    <row r="63" spans="2:4" x14ac:dyDescent="0.2">
      <c r="B63" s="220"/>
      <c r="C63" s="106" t="s">
        <v>147</v>
      </c>
      <c r="D63" s="181"/>
    </row>
    <row r="64" spans="2:4" x14ac:dyDescent="0.2">
      <c r="B64" s="220"/>
      <c r="C64" s="106" t="s">
        <v>148</v>
      </c>
      <c r="D64" s="181"/>
    </row>
    <row r="65" spans="2:4" x14ac:dyDescent="0.2">
      <c r="B65" s="220"/>
      <c r="C65" s="106" t="s">
        <v>149</v>
      </c>
      <c r="D65" s="181"/>
    </row>
    <row r="66" spans="2:4" x14ac:dyDescent="0.2">
      <c r="B66" s="272"/>
      <c r="C66" s="227"/>
      <c r="D66" s="181"/>
    </row>
    <row r="67" spans="2:4" x14ac:dyDescent="0.2">
      <c r="B67" s="262" t="s">
        <v>140</v>
      </c>
      <c r="C67" s="106" t="s">
        <v>140</v>
      </c>
      <c r="D67" s="181"/>
    </row>
    <row r="68" spans="2:4" x14ac:dyDescent="0.2">
      <c r="B68" s="275"/>
      <c r="C68" s="227"/>
      <c r="D68" s="181"/>
    </row>
    <row r="69" spans="2:4" x14ac:dyDescent="0.2">
      <c r="B69" s="262" t="s">
        <v>41</v>
      </c>
      <c r="C69" s="106" t="s">
        <v>41</v>
      </c>
      <c r="D69" s="181"/>
    </row>
    <row r="70" spans="2:4" x14ac:dyDescent="0.2">
      <c r="B70" s="275"/>
      <c r="C70" s="227"/>
      <c r="D70" s="181"/>
    </row>
    <row r="71" spans="2:4" x14ac:dyDescent="0.2">
      <c r="B71" s="262" t="s">
        <v>42</v>
      </c>
      <c r="C71" s="106" t="s">
        <v>152</v>
      </c>
      <c r="D71" s="181"/>
    </row>
    <row r="72" spans="2:4" x14ac:dyDescent="0.2">
      <c r="B72" s="262"/>
      <c r="C72" s="106" t="s">
        <v>153</v>
      </c>
      <c r="D72" s="181"/>
    </row>
    <row r="73" spans="2:4" x14ac:dyDescent="0.2">
      <c r="B73" s="220"/>
      <c r="C73" s="106" t="s">
        <v>154</v>
      </c>
      <c r="D73" s="181"/>
    </row>
    <row r="74" spans="2:4" x14ac:dyDescent="0.2">
      <c r="B74" s="220"/>
      <c r="C74" s="106" t="s">
        <v>155</v>
      </c>
      <c r="D74" s="181"/>
    </row>
    <row r="75" spans="2:4" x14ac:dyDescent="0.2">
      <c r="B75" s="220"/>
      <c r="C75" s="106" t="s">
        <v>156</v>
      </c>
      <c r="D75" s="181"/>
    </row>
    <row r="76" spans="2:4" x14ac:dyDescent="0.2">
      <c r="B76" s="220"/>
      <c r="C76" s="106" t="s">
        <v>157</v>
      </c>
      <c r="D76" s="181"/>
    </row>
    <row r="77" spans="2:4" x14ac:dyDescent="0.2">
      <c r="B77" s="220"/>
      <c r="C77" s="106" t="s">
        <v>158</v>
      </c>
      <c r="D77" s="181"/>
    </row>
    <row r="78" spans="2:4" x14ac:dyDescent="0.2">
      <c r="B78" s="220"/>
      <c r="C78" s="106" t="s">
        <v>159</v>
      </c>
      <c r="D78" s="181"/>
    </row>
    <row r="79" spans="2:4" x14ac:dyDescent="0.2">
      <c r="B79" s="220"/>
      <c r="C79" s="106" t="s">
        <v>160</v>
      </c>
      <c r="D79" s="181"/>
    </row>
    <row r="80" spans="2:4" x14ac:dyDescent="0.2">
      <c r="B80" s="220"/>
      <c r="C80" s="106" t="s">
        <v>161</v>
      </c>
      <c r="D80" s="181"/>
    </row>
    <row r="81" spans="2:4" x14ac:dyDescent="0.2">
      <c r="B81" s="220"/>
      <c r="C81" s="106" t="s">
        <v>162</v>
      </c>
      <c r="D81" s="181"/>
    </row>
    <row r="82" spans="2:4" x14ac:dyDescent="0.2">
      <c r="B82" s="220"/>
      <c r="C82" s="106" t="s">
        <v>163</v>
      </c>
      <c r="D82" s="181"/>
    </row>
    <row r="83" spans="2:4" x14ac:dyDescent="0.2">
      <c r="B83" s="220"/>
      <c r="C83" s="106" t="s">
        <v>164</v>
      </c>
      <c r="D83" s="181"/>
    </row>
    <row r="84" spans="2:4" x14ac:dyDescent="0.2">
      <c r="B84" s="220"/>
      <c r="C84" s="106" t="s">
        <v>165</v>
      </c>
      <c r="D84" s="181"/>
    </row>
    <row r="85" spans="2:4" x14ac:dyDescent="0.2">
      <c r="B85" s="220" t="s">
        <v>449</v>
      </c>
      <c r="C85" s="106" t="s">
        <v>166</v>
      </c>
      <c r="D85" s="181"/>
    </row>
    <row r="86" spans="2:4" x14ac:dyDescent="0.2">
      <c r="B86" s="220"/>
      <c r="C86" s="106" t="s">
        <v>167</v>
      </c>
      <c r="D86" s="181"/>
    </row>
    <row r="87" spans="2:4" x14ac:dyDescent="0.2">
      <c r="B87" s="220"/>
      <c r="C87" s="106" t="s">
        <v>168</v>
      </c>
      <c r="D87" s="181"/>
    </row>
    <row r="88" spans="2:4" x14ac:dyDescent="0.2">
      <c r="B88" s="220"/>
      <c r="C88" s="106" t="s">
        <v>169</v>
      </c>
      <c r="D88" s="181"/>
    </row>
    <row r="89" spans="2:4" x14ac:dyDescent="0.2">
      <c r="B89" s="220"/>
      <c r="C89" s="106" t="s">
        <v>170</v>
      </c>
      <c r="D89" s="181"/>
    </row>
    <row r="90" spans="2:4" x14ac:dyDescent="0.2">
      <c r="B90" s="220"/>
      <c r="C90" s="106" t="s">
        <v>171</v>
      </c>
      <c r="D90" s="181"/>
    </row>
    <row r="91" spans="2:4" x14ac:dyDescent="0.2">
      <c r="B91" s="220"/>
      <c r="C91" s="106" t="s">
        <v>172</v>
      </c>
      <c r="D91" s="181"/>
    </row>
    <row r="92" spans="2:4" x14ac:dyDescent="0.2">
      <c r="B92" s="220"/>
      <c r="C92" s="106" t="s">
        <v>173</v>
      </c>
      <c r="D92" s="181"/>
    </row>
    <row r="93" spans="2:4" x14ac:dyDescent="0.2">
      <c r="B93" s="220"/>
      <c r="C93" s="106" t="s">
        <v>174</v>
      </c>
      <c r="D93" s="181"/>
    </row>
    <row r="94" spans="2:4" x14ac:dyDescent="0.2">
      <c r="B94" s="272"/>
      <c r="C94" s="227"/>
      <c r="D94" s="181"/>
    </row>
    <row r="95" spans="2:4" x14ac:dyDescent="0.2">
      <c r="B95" s="220" t="s">
        <v>450</v>
      </c>
      <c r="C95" s="106" t="s">
        <v>166</v>
      </c>
      <c r="D95" s="181"/>
    </row>
    <row r="96" spans="2:4" x14ac:dyDescent="0.2">
      <c r="B96" s="272"/>
      <c r="C96" s="227"/>
      <c r="D96" s="181"/>
    </row>
    <row r="97" spans="2:4" x14ac:dyDescent="0.2">
      <c r="B97" s="262" t="s">
        <v>221</v>
      </c>
      <c r="C97" s="106" t="s">
        <v>176</v>
      </c>
      <c r="D97" s="181"/>
    </row>
    <row r="98" spans="2:4" x14ac:dyDescent="0.2">
      <c r="B98" s="275"/>
      <c r="C98" s="227"/>
      <c r="D98" s="181"/>
    </row>
    <row r="99" spans="2:4" x14ac:dyDescent="0.2">
      <c r="B99" s="262" t="s">
        <v>222</v>
      </c>
      <c r="C99" s="106" t="s">
        <v>175</v>
      </c>
      <c r="D99" s="181"/>
    </row>
    <row r="100" spans="2:4" x14ac:dyDescent="0.2">
      <c r="B100" s="262"/>
      <c r="C100" s="106" t="s">
        <v>177</v>
      </c>
      <c r="D100" s="181"/>
    </row>
    <row r="101" spans="2:4" x14ac:dyDescent="0.2">
      <c r="B101" s="275"/>
      <c r="C101" s="227"/>
      <c r="D101" s="181"/>
    </row>
    <row r="102" spans="2:4" x14ac:dyDescent="0.2">
      <c r="B102" s="262" t="s">
        <v>479</v>
      </c>
      <c r="C102" s="106" t="s">
        <v>179</v>
      </c>
      <c r="D102" s="181"/>
    </row>
    <row r="103" spans="2:4" x14ac:dyDescent="0.2">
      <c r="B103" s="275"/>
      <c r="C103" s="227"/>
      <c r="D103" s="181"/>
    </row>
    <row r="104" spans="2:4" x14ac:dyDescent="0.2">
      <c r="B104" s="262" t="s">
        <v>44</v>
      </c>
      <c r="C104" s="106" t="s">
        <v>180</v>
      </c>
      <c r="D104" s="181"/>
    </row>
    <row r="105" spans="2:4" x14ac:dyDescent="0.2">
      <c r="B105" s="262"/>
      <c r="C105" s="106" t="s">
        <v>181</v>
      </c>
      <c r="D105" s="181"/>
    </row>
    <row r="106" spans="2:4" x14ac:dyDescent="0.2">
      <c r="B106" s="262"/>
      <c r="C106" s="106" t="s">
        <v>182</v>
      </c>
      <c r="D106" s="181"/>
    </row>
    <row r="107" spans="2:4" x14ac:dyDescent="0.2">
      <c r="B107" s="275"/>
      <c r="C107" s="227"/>
      <c r="D107" s="181"/>
    </row>
    <row r="108" spans="2:4" x14ac:dyDescent="0.2">
      <c r="B108" s="262" t="s">
        <v>201</v>
      </c>
      <c r="C108" s="106" t="s">
        <v>178</v>
      </c>
      <c r="D108" s="181"/>
    </row>
    <row r="109" spans="2:4" x14ac:dyDescent="0.2">
      <c r="B109" s="262"/>
      <c r="C109" s="106" t="s">
        <v>183</v>
      </c>
      <c r="D109" s="181"/>
    </row>
    <row r="110" spans="2:4" x14ac:dyDescent="0.2">
      <c r="B110" s="275"/>
      <c r="C110" s="227"/>
      <c r="D110" s="181"/>
    </row>
    <row r="111" spans="2:4" x14ac:dyDescent="0.2">
      <c r="B111" s="262" t="s">
        <v>187</v>
      </c>
      <c r="C111" s="106" t="s">
        <v>187</v>
      </c>
      <c r="D111" s="181"/>
    </row>
    <row r="112" spans="2:4" x14ac:dyDescent="0.2">
      <c r="B112" s="275"/>
      <c r="C112" s="227"/>
      <c r="D112" s="181"/>
    </row>
    <row r="113" spans="2:4" x14ac:dyDescent="0.2">
      <c r="B113" s="262" t="s">
        <v>193</v>
      </c>
      <c r="C113" s="106" t="s">
        <v>193</v>
      </c>
      <c r="D113" s="181"/>
    </row>
    <row r="114" spans="2:4" x14ac:dyDescent="0.2">
      <c r="B114" s="275"/>
      <c r="C114" s="227"/>
      <c r="D114" s="181"/>
    </row>
    <row r="115" spans="2:4" x14ac:dyDescent="0.2">
      <c r="B115" s="262" t="s">
        <v>188</v>
      </c>
      <c r="C115" s="106" t="s">
        <v>188</v>
      </c>
      <c r="D115" s="181"/>
    </row>
    <row r="116" spans="2:4" x14ac:dyDescent="0.2">
      <c r="B116" s="275"/>
      <c r="C116" s="227"/>
      <c r="D116" s="181"/>
    </row>
    <row r="117" spans="2:4" x14ac:dyDescent="0.2">
      <c r="B117" s="262" t="s">
        <v>189</v>
      </c>
      <c r="C117" s="106" t="s">
        <v>189</v>
      </c>
      <c r="D117" s="181"/>
    </row>
    <row r="118" spans="2:4" x14ac:dyDescent="0.2">
      <c r="B118" s="275"/>
      <c r="C118" s="227"/>
      <c r="D118" s="181"/>
    </row>
    <row r="119" spans="2:4" x14ac:dyDescent="0.2">
      <c r="B119" s="262" t="s">
        <v>323</v>
      </c>
      <c r="C119" s="106" t="s">
        <v>190</v>
      </c>
      <c r="D119" s="181"/>
    </row>
    <row r="120" spans="2:4" x14ac:dyDescent="0.2">
      <c r="B120" s="275"/>
      <c r="C120" s="227"/>
      <c r="D120" s="181"/>
    </row>
    <row r="121" spans="2:4" x14ac:dyDescent="0.2">
      <c r="B121" s="262" t="s">
        <v>426</v>
      </c>
      <c r="C121" s="106" t="s">
        <v>191</v>
      </c>
      <c r="D121" s="181"/>
    </row>
    <row r="122" spans="2:4" ht="17" thickBot="1" x14ac:dyDescent="0.25">
      <c r="B122" s="222"/>
      <c r="C122" s="223"/>
      <c r="D122" s="181"/>
    </row>
    <row r="123" spans="2:4" ht="17" thickBot="1" x14ac:dyDescent="0.25">
      <c r="B123" s="181"/>
      <c r="C123" s="181"/>
      <c r="D123" s="181"/>
    </row>
    <row r="124" spans="2:4" x14ac:dyDescent="0.2">
      <c r="B124" s="218" t="s">
        <v>223</v>
      </c>
      <c r="C124" s="219"/>
      <c r="D124" s="181"/>
    </row>
    <row r="125" spans="2:4" x14ac:dyDescent="0.2">
      <c r="B125" s="220"/>
      <c r="C125" s="221"/>
      <c r="D125" s="181"/>
    </row>
    <row r="126" spans="2:4" x14ac:dyDescent="0.2">
      <c r="B126" s="220" t="s">
        <v>227</v>
      </c>
      <c r="C126" s="106">
        <v>3.6</v>
      </c>
      <c r="D126" s="300" t="s">
        <v>560</v>
      </c>
    </row>
    <row r="127" spans="2:4" ht="17" thickBot="1" x14ac:dyDescent="0.25">
      <c r="B127" s="222"/>
      <c r="C127" s="223"/>
      <c r="D127" s="181"/>
    </row>
  </sheetData>
  <mergeCells count="1">
    <mergeCell ref="B5:C5"/>
  </mergeCells>
  <phoneticPr fontId="27" type="noConversion"/>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FF00"/>
  </sheetPr>
  <dimension ref="B2:P282"/>
  <sheetViews>
    <sheetView tabSelected="1" zoomScaleNormal="100" workbookViewId="0">
      <selection activeCell="G16" sqref="G16"/>
    </sheetView>
  </sheetViews>
  <sheetFormatPr baseColWidth="10" defaultRowHeight="16" x14ac:dyDescent="0.2"/>
  <cols>
    <col min="1" max="1" width="3.83203125" style="2" customWidth="1"/>
    <col min="2" max="2" width="13.83203125" style="2" customWidth="1"/>
    <col min="3" max="3" width="81.83203125" style="2" customWidth="1"/>
    <col min="4" max="4" width="8.5" style="118" customWidth="1"/>
    <col min="5" max="5" width="13" style="2" customWidth="1"/>
    <col min="6" max="6" width="3.33203125" style="2" customWidth="1"/>
    <col min="7" max="7" width="9.6640625" style="2" bestFit="1" customWidth="1"/>
    <col min="8" max="8" width="3.33203125" style="2" customWidth="1"/>
    <col min="9" max="9" width="25" style="2" bestFit="1" customWidth="1"/>
    <col min="10" max="10" width="4.83203125" style="2" customWidth="1"/>
    <col min="11" max="11" width="63.33203125" style="2" customWidth="1"/>
    <col min="12" max="12" width="11.33203125" style="2" customWidth="1"/>
    <col min="13" max="13" width="74.5" style="7" customWidth="1"/>
    <col min="14" max="14" width="5.1640625" style="2" customWidth="1"/>
    <col min="15" max="15" width="29.33203125" style="2" customWidth="1"/>
    <col min="16" max="16" width="7.33203125" style="2" customWidth="1"/>
    <col min="17" max="16384" width="10.83203125" style="2"/>
  </cols>
  <sheetData>
    <row r="2" spans="2:16" ht="21" x14ac:dyDescent="0.25">
      <c r="B2" s="20" t="s">
        <v>28</v>
      </c>
      <c r="M2" s="419"/>
    </row>
    <row r="3" spans="2:16" ht="15" customHeight="1" x14ac:dyDescent="0.25">
      <c r="B3" s="252"/>
      <c r="C3" s="242"/>
      <c r="D3" s="434"/>
      <c r="E3" s="242"/>
      <c r="F3" s="242"/>
      <c r="G3" s="242"/>
      <c r="H3" s="242"/>
      <c r="I3" s="242"/>
      <c r="J3" s="242"/>
      <c r="K3" s="242"/>
      <c r="L3" s="303" t="s">
        <v>614</v>
      </c>
      <c r="M3" s="420"/>
    </row>
    <row r="4" spans="2:16" ht="15" customHeight="1" x14ac:dyDescent="0.2">
      <c r="B4" s="278" t="s">
        <v>37</v>
      </c>
      <c r="C4" s="253"/>
      <c r="D4" s="435"/>
      <c r="E4" s="253"/>
      <c r="F4" s="253"/>
      <c r="G4" s="253"/>
      <c r="H4" s="253"/>
      <c r="I4" s="254"/>
      <c r="J4" s="242"/>
      <c r="K4" s="242"/>
      <c r="L4" s="14"/>
      <c r="M4" s="421"/>
    </row>
    <row r="5" spans="2:16" ht="150" customHeight="1" x14ac:dyDescent="0.2">
      <c r="B5" s="612" t="s">
        <v>916</v>
      </c>
      <c r="C5" s="614"/>
      <c r="D5" s="614"/>
      <c r="E5" s="614"/>
      <c r="F5" s="614"/>
      <c r="G5" s="614"/>
      <c r="H5" s="614"/>
      <c r="I5" s="613"/>
      <c r="J5" s="242"/>
      <c r="K5" s="242"/>
      <c r="L5" s="307"/>
      <c r="M5" s="422"/>
    </row>
    <row r="6" spans="2:16" ht="15" customHeight="1" thickBot="1" x14ac:dyDescent="0.25"/>
    <row r="7" spans="2:16" x14ac:dyDescent="0.2">
      <c r="B7" s="64" t="s">
        <v>23</v>
      </c>
      <c r="C7" s="82"/>
      <c r="D7" s="436"/>
      <c r="E7" s="82"/>
      <c r="F7" s="82"/>
      <c r="G7" s="82"/>
      <c r="H7" s="82"/>
      <c r="I7" s="82"/>
      <c r="J7" s="82"/>
      <c r="K7" s="65" t="s">
        <v>32</v>
      </c>
      <c r="L7" s="82"/>
      <c r="M7" s="423"/>
    </row>
    <row r="8" spans="2:16" x14ac:dyDescent="0.2">
      <c r="B8" s="67"/>
      <c r="M8" s="424"/>
    </row>
    <row r="9" spans="2:16" x14ac:dyDescent="0.2">
      <c r="B9" s="83" t="s">
        <v>29</v>
      </c>
      <c r="C9" s="308" t="s">
        <v>26</v>
      </c>
      <c r="D9" s="437" t="s">
        <v>31</v>
      </c>
      <c r="E9" s="308" t="s">
        <v>30</v>
      </c>
      <c r="F9" s="308"/>
      <c r="G9" s="308" t="s">
        <v>563</v>
      </c>
      <c r="H9" s="308"/>
      <c r="I9" s="308" t="s">
        <v>27</v>
      </c>
      <c r="J9" s="308"/>
      <c r="K9" s="396" t="s">
        <v>33</v>
      </c>
      <c r="L9" s="176" t="s">
        <v>45</v>
      </c>
      <c r="M9" s="425" t="s">
        <v>273</v>
      </c>
      <c r="N9" s="1"/>
      <c r="O9" s="28" t="s">
        <v>564</v>
      </c>
      <c r="P9" s="2" t="s">
        <v>642</v>
      </c>
    </row>
    <row r="10" spans="2:16" x14ac:dyDescent="0.2">
      <c r="B10" s="103" t="s">
        <v>46</v>
      </c>
      <c r="C10" s="1"/>
      <c r="D10" s="438"/>
      <c r="E10" s="1"/>
      <c r="F10" s="1"/>
      <c r="G10" s="1"/>
      <c r="H10" s="1"/>
      <c r="I10" s="1"/>
      <c r="J10" s="1"/>
      <c r="K10" s="18" t="s">
        <v>269</v>
      </c>
      <c r="L10" s="372" t="b">
        <f>IF(COUNTIF(P:P,0)+COUNTIF(P:P,FALSE)=0,TRUE,FALSE)</f>
        <v>0</v>
      </c>
      <c r="M10" s="424" t="str">
        <f>IF(L10=TRUE," ","Please address all critical checks (red) before continuing")</f>
        <v>Please address all critical checks (red) before continuing</v>
      </c>
      <c r="O10" s="301"/>
    </row>
    <row r="11" spans="2:16" x14ac:dyDescent="0.2">
      <c r="B11" s="71"/>
      <c r="C11" s="1"/>
      <c r="D11" s="438"/>
      <c r="E11" s="1"/>
      <c r="F11" s="1"/>
      <c r="G11" s="1"/>
      <c r="H11" s="1"/>
      <c r="I11" s="1"/>
      <c r="J11" s="1"/>
      <c r="K11" s="14"/>
      <c r="L11" s="50"/>
      <c r="M11" s="424"/>
      <c r="O11" s="16"/>
    </row>
    <row r="12" spans="2:16" x14ac:dyDescent="0.2">
      <c r="B12" s="71"/>
      <c r="C12" s="2" t="s">
        <v>271</v>
      </c>
      <c r="D12" s="438"/>
      <c r="E12" s="2" t="s">
        <v>893</v>
      </c>
      <c r="G12" s="16" t="s">
        <v>565</v>
      </c>
      <c r="I12" s="1"/>
      <c r="J12" s="1"/>
      <c r="K12" s="47"/>
      <c r="L12" s="47"/>
      <c r="M12" s="424"/>
      <c r="O12" s="301" t="s">
        <v>565</v>
      </c>
    </row>
    <row r="13" spans="2:16" ht="17" thickBot="1" x14ac:dyDescent="0.25">
      <c r="B13" s="71"/>
      <c r="C13" s="2" t="s">
        <v>254</v>
      </c>
      <c r="D13" s="118" t="s">
        <v>255</v>
      </c>
      <c r="E13" s="2">
        <v>2019</v>
      </c>
      <c r="G13" s="16" t="s">
        <v>566</v>
      </c>
      <c r="J13" s="1"/>
      <c r="K13" s="18" t="s">
        <v>213</v>
      </c>
      <c r="L13" s="372" t="b">
        <f>IF(COUNTBLANK(C12:C52)-COUNTBLANK(E12:E52)=0,TRUE,FALSE)</f>
        <v>0</v>
      </c>
      <c r="M13" s="424" t="str">
        <f>IF(L13=TRUE," ","Please fill in all assumptions")</f>
        <v>Please fill in all assumptions</v>
      </c>
      <c r="O13" s="301" t="s">
        <v>566</v>
      </c>
      <c r="P13" s="2">
        <f>IF(L13=TRUE,1,0)</f>
        <v>0</v>
      </c>
    </row>
    <row r="14" spans="2:16" ht="17" thickBot="1" x14ac:dyDescent="0.25">
      <c r="B14" s="71"/>
      <c r="C14" s="2" t="s">
        <v>851</v>
      </c>
      <c r="D14" s="118" t="s">
        <v>852</v>
      </c>
      <c r="E14" s="415"/>
      <c r="G14" s="16"/>
      <c r="J14" s="1"/>
      <c r="K14" s="18"/>
      <c r="L14" s="372" t="b" cm="1">
        <f t="array" ref="L14">_xlfn.IFS( ISBLANK(E14),FALSE,E14=TRUE,TRUE,E14=FALSE,TRUE,TRUE,FALSE)</f>
        <v>0</v>
      </c>
      <c r="M14" s="424"/>
      <c r="O14" s="301" t="s">
        <v>853</v>
      </c>
    </row>
    <row r="15" spans="2:16" x14ac:dyDescent="0.2">
      <c r="B15" s="71"/>
      <c r="C15" s="2" t="s">
        <v>486</v>
      </c>
      <c r="D15" s="118" t="s">
        <v>513</v>
      </c>
      <c r="E15" s="327"/>
      <c r="G15" s="16"/>
      <c r="I15" s="2" t="s">
        <v>433</v>
      </c>
      <c r="J15" s="1"/>
      <c r="K15" s="18" t="s">
        <v>272</v>
      </c>
      <c r="L15" s="372" t="b">
        <f>IF(COUNTBLANK(C69:C104)-COUNTBLANK(E69:E104)=0,TRUE,FALSE)</f>
        <v>0</v>
      </c>
      <c r="M15" s="424" t="str">
        <f>IF(L15=TRUE," ","Please fill in all full load hours (even if a plant is not used, it needs at least a dummy value) ")</f>
        <v xml:space="preserve">Please fill in all full load hours (even if a plant is not used, it needs at least a dummy value) </v>
      </c>
      <c r="O15" s="16"/>
      <c r="P15" s="2">
        <f>IF(L15=TRUE,1,0)</f>
        <v>0</v>
      </c>
    </row>
    <row r="16" spans="2:16" x14ac:dyDescent="0.2">
      <c r="B16" s="72"/>
      <c r="C16" s="431"/>
      <c r="D16" s="439"/>
      <c r="E16" s="10"/>
      <c r="F16" s="10"/>
      <c r="G16" s="432"/>
      <c r="H16" s="10"/>
      <c r="I16" s="10"/>
      <c r="J16" s="10"/>
      <c r="K16" s="396"/>
      <c r="L16" s="433"/>
      <c r="M16" s="429"/>
      <c r="O16" s="16"/>
    </row>
    <row r="17" spans="2:16" x14ac:dyDescent="0.2">
      <c r="B17" s="87" t="s">
        <v>359</v>
      </c>
      <c r="C17" s="376"/>
      <c r="G17" s="16"/>
      <c r="K17" s="18"/>
      <c r="L17" s="47"/>
      <c r="M17" s="424"/>
      <c r="O17" s="16"/>
    </row>
    <row r="18" spans="2:16" ht="17" x14ac:dyDescent="0.2">
      <c r="B18" s="87"/>
      <c r="C18" s="376" t="s">
        <v>671</v>
      </c>
      <c r="D18" s="118" t="s">
        <v>513</v>
      </c>
      <c r="E18" s="327">
        <f>SUM('Main activity power plants'!D11,'Main activity power plants'!D20)</f>
        <v>0</v>
      </c>
      <c r="F18" s="151"/>
      <c r="G18" s="385"/>
      <c r="H18" s="151"/>
      <c r="I18" s="2" t="s">
        <v>915</v>
      </c>
      <c r="K18" s="18" t="s">
        <v>673</v>
      </c>
      <c r="L18" s="372" t="b">
        <f>IF(COUNTIF(E19:E24,"&lt;0")=0,TRUE,FALSE)</f>
        <v>1</v>
      </c>
      <c r="M18" s="424" t="str">
        <f>IF(L18=TRUE," ","Adjust the shares that break down Electricity production of coal plants")</f>
        <v xml:space="preserve"> </v>
      </c>
      <c r="O18" s="16"/>
      <c r="P18" s="2">
        <f>IF(L18=TRUE,1,0)</f>
        <v>1</v>
      </c>
    </row>
    <row r="19" spans="2:16" ht="17" thickBot="1" x14ac:dyDescent="0.25">
      <c r="B19" s="87"/>
      <c r="C19" s="406" t="s">
        <v>369</v>
      </c>
      <c r="D19" s="118" t="s">
        <v>670</v>
      </c>
      <c r="E19" s="407">
        <f>IF(E18=0,0,'Results by machine'!D11/Dashboard!E18)</f>
        <v>0</v>
      </c>
      <c r="F19" s="151"/>
      <c r="G19" s="385"/>
      <c r="H19" s="151"/>
      <c r="I19" s="2" t="s">
        <v>915</v>
      </c>
      <c r="K19" s="14" t="s">
        <v>675</v>
      </c>
      <c r="L19" s="391" t="e">
        <f>IF('Results by fuel'!E14&lt;-0.01,'Results by fuel'!E14,TRUE)</f>
        <v>#DIV/0!</v>
      </c>
      <c r="M19" s="424" t="e">
        <f>IF(L19=TRUE," ","Increase coal use. Decrease the average coal plant efficiency. See 'Results by fuel sheet'.")</f>
        <v>#DIV/0!</v>
      </c>
      <c r="O19" s="16"/>
    </row>
    <row r="20" spans="2:16" ht="17" thickBot="1" x14ac:dyDescent="0.25">
      <c r="B20" s="67"/>
      <c r="C20" s="406" t="s">
        <v>346</v>
      </c>
      <c r="D20" s="118" t="s">
        <v>670</v>
      </c>
      <c r="E20" s="408"/>
      <c r="F20" s="378"/>
      <c r="G20" s="386"/>
      <c r="H20" s="378"/>
      <c r="I20" s="17"/>
      <c r="K20" s="14" t="s">
        <v>675</v>
      </c>
      <c r="L20" s="391" t="e">
        <f>IF('Results by fuel'!E14&gt;0.01,'Results by fuel'!E14,TRUE)</f>
        <v>#DIV/0!</v>
      </c>
      <c r="M20" s="424" t="e">
        <f>IF(L20=TRUE," ","Decrease coal use. Increase the average coal plant efficiency.  See 'Results by fuel sheet'.")</f>
        <v>#DIV/0!</v>
      </c>
      <c r="O20" s="301" t="s">
        <v>567</v>
      </c>
    </row>
    <row r="21" spans="2:16" ht="17" thickBot="1" x14ac:dyDescent="0.25">
      <c r="B21" s="67"/>
      <c r="C21" s="406" t="s">
        <v>468</v>
      </c>
      <c r="D21" s="118" t="s">
        <v>670</v>
      </c>
      <c r="E21" s="409"/>
      <c r="F21" s="378"/>
      <c r="G21" s="386"/>
      <c r="H21" s="378"/>
      <c r="I21" s="17"/>
      <c r="K21" s="18"/>
      <c r="L21" s="47"/>
      <c r="M21" s="424"/>
      <c r="O21" s="301" t="s">
        <v>568</v>
      </c>
    </row>
    <row r="22" spans="2:16" ht="17" thickBot="1" x14ac:dyDescent="0.25">
      <c r="B22" s="67"/>
      <c r="C22" s="406" t="s">
        <v>348</v>
      </c>
      <c r="D22" s="118" t="s">
        <v>670</v>
      </c>
      <c r="E22" s="410"/>
      <c r="F22" s="378"/>
      <c r="G22" s="386"/>
      <c r="H22" s="378"/>
      <c r="I22" s="17"/>
      <c r="K22" s="18"/>
      <c r="L22" s="47"/>
      <c r="M22" s="424"/>
      <c r="O22" s="301" t="s">
        <v>569</v>
      </c>
    </row>
    <row r="23" spans="2:16" ht="17" thickBot="1" x14ac:dyDescent="0.25">
      <c r="B23" s="67"/>
      <c r="C23" s="406" t="s">
        <v>469</v>
      </c>
      <c r="D23" s="118" t="s">
        <v>670</v>
      </c>
      <c r="E23" s="410"/>
      <c r="F23" s="378"/>
      <c r="G23" s="386"/>
      <c r="H23" s="378"/>
      <c r="I23" s="17"/>
      <c r="K23" s="18"/>
      <c r="L23" s="47"/>
      <c r="M23" s="424"/>
      <c r="O23" s="301" t="s">
        <v>570</v>
      </c>
    </row>
    <row r="24" spans="2:16" x14ac:dyDescent="0.2">
      <c r="B24" s="67"/>
      <c r="C24" s="406" t="s">
        <v>345</v>
      </c>
      <c r="D24" s="118" t="s">
        <v>670</v>
      </c>
      <c r="E24" s="411">
        <f>1-SUM(E19:E23)</f>
        <v>1</v>
      </c>
      <c r="F24" s="378"/>
      <c r="G24" s="386"/>
      <c r="H24" s="378"/>
      <c r="I24" s="411" t="s">
        <v>696</v>
      </c>
      <c r="K24" s="18"/>
      <c r="L24" s="47"/>
      <c r="M24" s="424"/>
      <c r="O24" s="301"/>
    </row>
    <row r="25" spans="2:16" x14ac:dyDescent="0.2">
      <c r="B25" s="67"/>
      <c r="C25" s="2" t="s">
        <v>663</v>
      </c>
      <c r="D25" s="118" t="s">
        <v>513</v>
      </c>
      <c r="E25" s="349" t="e">
        <f>SUM('Main activity power plants'!E32,'Main activity power plants'!E35,'Main activity power plants'!E38,'Main activity power plants'!E41,'Main activity power plants'!E44)</f>
        <v>#DIV/0!</v>
      </c>
      <c r="F25" s="151"/>
      <c r="G25" s="385"/>
      <c r="H25" s="151"/>
      <c r="I25" s="2" t="s">
        <v>9</v>
      </c>
      <c r="K25" s="18"/>
      <c r="L25" s="47"/>
      <c r="M25" s="424"/>
      <c r="O25" s="301"/>
    </row>
    <row r="26" spans="2:16" x14ac:dyDescent="0.2">
      <c r="B26" s="67"/>
      <c r="E26" s="349"/>
      <c r="F26" s="151"/>
      <c r="G26" s="385"/>
      <c r="H26" s="151"/>
      <c r="K26" s="18"/>
      <c r="L26" s="47"/>
      <c r="M26" s="424"/>
      <c r="O26" s="301"/>
    </row>
    <row r="27" spans="2:16" ht="18" thickBot="1" x14ac:dyDescent="0.25">
      <c r="B27" s="67"/>
      <c r="C27" s="376" t="s">
        <v>664</v>
      </c>
      <c r="D27" s="118" t="s">
        <v>513</v>
      </c>
      <c r="E27" s="327">
        <f>SUM('Main activity power plants'!D53,'Main activity power plants'!D56)</f>
        <v>0</v>
      </c>
      <c r="F27" s="401"/>
      <c r="G27" s="402"/>
      <c r="H27" s="401"/>
      <c r="I27" s="2" t="s">
        <v>915</v>
      </c>
      <c r="K27" s="18" t="s">
        <v>361</v>
      </c>
      <c r="L27" s="371">
        <f>IF(SUM(E28:E29)=1,TRUE,SUM(E28:E29))</f>
        <v>0</v>
      </c>
      <c r="M27" s="424" t="str">
        <f>IF(L27=TRUE," ","Make sure the production shares add up to 100%")</f>
        <v>Make sure the production shares add up to 100%</v>
      </c>
      <c r="O27" s="301"/>
      <c r="P27" s="2">
        <f>IF(L27=TRUE,1,0)</f>
        <v>0</v>
      </c>
    </row>
    <row r="28" spans="2:16" ht="17" thickBot="1" x14ac:dyDescent="0.25">
      <c r="B28" s="67"/>
      <c r="C28" s="406" t="s">
        <v>350</v>
      </c>
      <c r="D28" s="118" t="s">
        <v>670</v>
      </c>
      <c r="E28" s="409"/>
      <c r="F28" s="378"/>
      <c r="G28" s="386"/>
      <c r="H28" s="378"/>
      <c r="I28" s="17"/>
      <c r="K28" s="18"/>
      <c r="L28" s="47"/>
      <c r="M28" s="424"/>
      <c r="O28" s="301" t="s">
        <v>587</v>
      </c>
    </row>
    <row r="29" spans="2:16" ht="17" thickBot="1" x14ac:dyDescent="0.25">
      <c r="B29" s="67"/>
      <c r="C29" s="406" t="s">
        <v>475</v>
      </c>
      <c r="D29" s="118" t="s">
        <v>670</v>
      </c>
      <c r="E29" s="410"/>
      <c r="F29" s="378"/>
      <c r="G29" s="386"/>
      <c r="H29" s="378"/>
      <c r="I29" s="17"/>
      <c r="K29" s="18"/>
      <c r="L29" s="50"/>
      <c r="M29" s="424"/>
      <c r="O29" s="301" t="s">
        <v>588</v>
      </c>
    </row>
    <row r="30" spans="2:16" x14ac:dyDescent="0.2">
      <c r="B30" s="67"/>
      <c r="C30" s="2" t="s">
        <v>658</v>
      </c>
      <c r="D30" s="118" t="s">
        <v>513</v>
      </c>
      <c r="E30" s="418" t="e">
        <f>SUM('Main activity power plants'!E53,'Main activity power plants'!E56)</f>
        <v>#DIV/0!</v>
      </c>
      <c r="F30" s="401"/>
      <c r="G30" s="402"/>
      <c r="H30" s="401"/>
      <c r="I30" s="2" t="s">
        <v>9</v>
      </c>
      <c r="K30" s="18"/>
      <c r="L30" s="47"/>
      <c r="M30" s="424"/>
      <c r="O30" s="301"/>
    </row>
    <row r="31" spans="2:16" ht="19" customHeight="1" x14ac:dyDescent="0.2">
      <c r="B31" s="67"/>
      <c r="C31" s="376"/>
      <c r="E31" s="378"/>
      <c r="F31" s="378"/>
      <c r="G31" s="386"/>
      <c r="H31" s="378"/>
      <c r="K31" s="18"/>
      <c r="L31" s="47"/>
      <c r="M31" s="424"/>
      <c r="O31" s="16"/>
    </row>
    <row r="32" spans="2:16" ht="18" thickBot="1" x14ac:dyDescent="0.25">
      <c r="B32" s="67"/>
      <c r="C32" s="376" t="s">
        <v>669</v>
      </c>
      <c r="D32" s="118" t="s">
        <v>513</v>
      </c>
      <c r="E32" s="327">
        <f>SUM('Main activity power plants'!D14,'Main activity power plants'!D19)</f>
        <v>0</v>
      </c>
      <c r="F32" s="403"/>
      <c r="G32" s="404"/>
      <c r="H32" s="403"/>
      <c r="I32" s="2" t="s">
        <v>915</v>
      </c>
      <c r="K32" s="398" t="s">
        <v>360</v>
      </c>
      <c r="L32" s="372">
        <f>IF(SUM(E33:E37)=1,TRUE,SUM(E33:E37))</f>
        <v>0</v>
      </c>
      <c r="M32" s="424" t="str">
        <f>IF(L32=TRUE," ","Make sure the production shares add up to 100%")</f>
        <v>Make sure the production shares add up to 100%</v>
      </c>
      <c r="O32" s="16"/>
      <c r="P32" s="2">
        <f>IF(L32=TRUE,1,0)</f>
        <v>0</v>
      </c>
    </row>
    <row r="33" spans="2:16" ht="17" thickBot="1" x14ac:dyDescent="0.25">
      <c r="B33" s="67"/>
      <c r="C33" s="406" t="s">
        <v>352</v>
      </c>
      <c r="D33" s="118" t="s">
        <v>670</v>
      </c>
      <c r="E33" s="408"/>
      <c r="F33" s="378"/>
      <c r="G33" s="386"/>
      <c r="H33" s="378"/>
      <c r="I33" s="17"/>
      <c r="K33" s="14" t="s">
        <v>676</v>
      </c>
      <c r="L33" s="391" t="e">
        <f>IF('Results by fuel'!E29&lt;-0.01,'Results by fuel'!E29,TRUE)</f>
        <v>#DIV/0!</v>
      </c>
      <c r="M33" s="424" t="e">
        <f>IF(L33=TRUE," ","Increase gas use Decrease the average gas plant efficiency. See 'Results by fuel sheet'.")</f>
        <v>#DIV/0!</v>
      </c>
      <c r="O33" s="301" t="s">
        <v>571</v>
      </c>
    </row>
    <row r="34" spans="2:16" ht="17" thickBot="1" x14ac:dyDescent="0.25">
      <c r="B34" s="67"/>
      <c r="C34" s="406" t="s">
        <v>353</v>
      </c>
      <c r="D34" s="118" t="s">
        <v>670</v>
      </c>
      <c r="E34" s="409"/>
      <c r="F34" s="378"/>
      <c r="G34" s="386"/>
      <c r="H34" s="378"/>
      <c r="I34" s="17"/>
      <c r="K34" s="14" t="s">
        <v>676</v>
      </c>
      <c r="L34" s="391" t="e">
        <f>IF('Results by fuel'!E29&gt;0.01,'Results by fuel'!E29,TRUE)</f>
        <v>#DIV/0!</v>
      </c>
      <c r="M34" s="424" t="e">
        <f>IF(L34=TRUE," ","Decrease gas use. Increase the average gas plant efficiency.  See 'Results by fuel sheet'.")</f>
        <v>#DIV/0!</v>
      </c>
      <c r="O34" s="301" t="s">
        <v>572</v>
      </c>
    </row>
    <row r="35" spans="2:16" ht="17" thickBot="1" x14ac:dyDescent="0.25">
      <c r="B35" s="71"/>
      <c r="C35" s="406" t="s">
        <v>470</v>
      </c>
      <c r="D35" s="118" t="s">
        <v>670</v>
      </c>
      <c r="E35" s="410"/>
      <c r="F35" s="378"/>
      <c r="G35" s="386"/>
      <c r="H35" s="378"/>
      <c r="I35" s="17"/>
      <c r="K35" s="18"/>
      <c r="L35" s="47"/>
      <c r="M35" s="424"/>
      <c r="O35" s="301" t="s">
        <v>573</v>
      </c>
    </row>
    <row r="36" spans="2:16" ht="17" thickBot="1" x14ac:dyDescent="0.25">
      <c r="B36" s="71"/>
      <c r="C36" s="406" t="s">
        <v>691</v>
      </c>
      <c r="D36" s="118" t="s">
        <v>670</v>
      </c>
      <c r="E36" s="410"/>
      <c r="F36" s="378"/>
      <c r="G36" s="386"/>
      <c r="H36" s="378"/>
      <c r="I36" s="17"/>
      <c r="K36" s="18"/>
      <c r="L36" s="47"/>
      <c r="M36" s="424"/>
      <c r="O36" s="301" t="s">
        <v>690</v>
      </c>
    </row>
    <row r="37" spans="2:16" ht="17" thickBot="1" x14ac:dyDescent="0.25">
      <c r="B37" s="71"/>
      <c r="C37" s="406" t="s">
        <v>355</v>
      </c>
      <c r="D37" s="118" t="s">
        <v>670</v>
      </c>
      <c r="E37" s="410"/>
      <c r="F37" s="378"/>
      <c r="G37" s="386"/>
      <c r="H37" s="378"/>
      <c r="I37" s="17"/>
      <c r="K37" s="18"/>
      <c r="L37" s="47"/>
      <c r="M37" s="424"/>
      <c r="O37" s="301" t="s">
        <v>595</v>
      </c>
    </row>
    <row r="38" spans="2:16" x14ac:dyDescent="0.2">
      <c r="B38" s="71"/>
      <c r="C38" s="2" t="s">
        <v>659</v>
      </c>
      <c r="D38" s="118" t="s">
        <v>513</v>
      </c>
      <c r="E38" s="418" t="e">
        <f>SUM('Main activity power plants'!E66,'Main activity power plants'!E71,'Main activity power plants'!E76,'Main activity power plants'!E81)</f>
        <v>#DIV/0!</v>
      </c>
      <c r="F38" s="403"/>
      <c r="G38" s="404"/>
      <c r="H38" s="403"/>
      <c r="I38" s="2" t="s">
        <v>9</v>
      </c>
      <c r="K38" s="18"/>
      <c r="L38" s="47"/>
      <c r="M38" s="424"/>
      <c r="O38" s="301"/>
    </row>
    <row r="39" spans="2:16" x14ac:dyDescent="0.2">
      <c r="B39" s="71"/>
      <c r="E39" s="378"/>
      <c r="F39" s="378"/>
      <c r="G39" s="386"/>
      <c r="H39" s="378"/>
      <c r="K39" s="18"/>
      <c r="L39" s="47"/>
      <c r="M39" s="424"/>
      <c r="O39" s="16"/>
    </row>
    <row r="40" spans="2:16" ht="18" thickBot="1" x14ac:dyDescent="0.25">
      <c r="B40" s="71"/>
      <c r="C40" s="376" t="s">
        <v>665</v>
      </c>
      <c r="D40" s="118" t="s">
        <v>513</v>
      </c>
      <c r="E40" s="327">
        <f>SUM('Main activity power plants'!D95,'Main activity power plants'!D98)</f>
        <v>0</v>
      </c>
      <c r="F40" s="403"/>
      <c r="G40" s="404"/>
      <c r="H40" s="403"/>
      <c r="I40" s="2" t="s">
        <v>915</v>
      </c>
      <c r="K40" s="398" t="s">
        <v>362</v>
      </c>
      <c r="L40" s="371">
        <f>IF(SUM(E41:E42)=1,TRUE,SUM(E41:E42))</f>
        <v>0</v>
      </c>
      <c r="M40" s="424" t="str">
        <f>IF(L40=TRUE," ","Make sure the production shares add up to 100%")</f>
        <v>Make sure the production shares add up to 100%</v>
      </c>
      <c r="O40" s="16"/>
      <c r="P40" s="2">
        <f>IF(L40=TRUE,1,0)</f>
        <v>0</v>
      </c>
    </row>
    <row r="41" spans="2:16" ht="17" thickBot="1" x14ac:dyDescent="0.25">
      <c r="B41" s="71"/>
      <c r="C41" s="406" t="s">
        <v>316</v>
      </c>
      <c r="D41" s="118" t="s">
        <v>670</v>
      </c>
      <c r="E41" s="409"/>
      <c r="F41" s="378"/>
      <c r="G41" s="386"/>
      <c r="H41" s="378"/>
      <c r="I41" s="17"/>
      <c r="K41" s="14" t="s">
        <v>674</v>
      </c>
      <c r="L41" s="391" t="e">
        <f>IF('Results by fuel'!E64&lt;-0.05,'Results by fuel'!E64,TRUE)</f>
        <v>#DIV/0!</v>
      </c>
      <c r="M41" s="424" t="e">
        <f>IF(L41=TRUE," ","Increase fuel use Decrease the average nuclear plant efficiency. See 'Results by fuel sheet'.")</f>
        <v>#DIV/0!</v>
      </c>
      <c r="O41" s="301" t="s">
        <v>574</v>
      </c>
    </row>
    <row r="42" spans="2:16" ht="17" thickBot="1" x14ac:dyDescent="0.25">
      <c r="B42" s="71"/>
      <c r="C42" s="406" t="s">
        <v>317</v>
      </c>
      <c r="D42" s="118" t="s">
        <v>670</v>
      </c>
      <c r="E42" s="410"/>
      <c r="F42" s="378"/>
      <c r="G42" s="386"/>
      <c r="H42" s="378"/>
      <c r="I42" s="17"/>
      <c r="K42" s="14" t="s">
        <v>674</v>
      </c>
      <c r="L42" s="391" t="e">
        <f>IF('Results by fuel'!E64&gt;0.05,'Results by fuel'!E64,TRUE)</f>
        <v>#DIV/0!</v>
      </c>
      <c r="M42" s="424" t="e">
        <f>IF(L42=TRUE," ","Decrease fuel use. Increase the average nuclear plant efficiency.  See 'Results by fuel sheet'.")</f>
        <v>#DIV/0!</v>
      </c>
      <c r="O42" s="301" t="s">
        <v>575</v>
      </c>
    </row>
    <row r="43" spans="2:16" x14ac:dyDescent="0.2">
      <c r="B43" s="71"/>
      <c r="C43" s="2" t="s">
        <v>660</v>
      </c>
      <c r="D43" s="118" t="s">
        <v>513</v>
      </c>
      <c r="E43" s="418" t="e">
        <f>SUM('Main activity power plants'!E95,'Main activity power plants'!E98)</f>
        <v>#DIV/0!</v>
      </c>
      <c r="F43" s="403"/>
      <c r="G43" s="404"/>
      <c r="H43" s="403"/>
      <c r="I43" s="2" t="s">
        <v>9</v>
      </c>
      <c r="K43" s="14"/>
      <c r="L43" s="47"/>
      <c r="M43" s="424"/>
      <c r="O43" s="301"/>
    </row>
    <row r="44" spans="2:16" x14ac:dyDescent="0.2">
      <c r="B44" s="71"/>
      <c r="E44" s="378"/>
      <c r="F44" s="378"/>
      <c r="G44" s="386"/>
      <c r="H44" s="378"/>
      <c r="K44" s="381"/>
      <c r="L44" s="47"/>
      <c r="M44" s="424"/>
      <c r="O44" s="16"/>
    </row>
    <row r="45" spans="2:16" ht="18" thickBot="1" x14ac:dyDescent="0.25">
      <c r="B45" s="71"/>
      <c r="C45" s="376" t="s">
        <v>666</v>
      </c>
      <c r="D45" s="118" t="s">
        <v>513</v>
      </c>
      <c r="E45" s="412">
        <f>SUM('Main activity power plants'!D101,'Main activity power plants'!D104)</f>
        <v>0</v>
      </c>
      <c r="F45" s="403"/>
      <c r="G45" s="404"/>
      <c r="H45" s="403"/>
      <c r="K45" s="398" t="s">
        <v>363</v>
      </c>
      <c r="L45" s="371">
        <f>IF(SUM(E46:E47)=1,TRUE,SUM(E46:E47))</f>
        <v>0</v>
      </c>
      <c r="M45" s="424" t="str">
        <f>IF(L45=TRUE," ","Make sure the production shares add up to 100%")</f>
        <v>Make sure the production shares add up to 100%</v>
      </c>
      <c r="O45" s="16"/>
      <c r="P45" s="2">
        <f>IF(L45=TRUE,1,0)</f>
        <v>0</v>
      </c>
    </row>
    <row r="46" spans="2:16" ht="17" thickBot="1" x14ac:dyDescent="0.25">
      <c r="B46" s="71"/>
      <c r="C46" s="406" t="s">
        <v>313</v>
      </c>
      <c r="D46" s="118" t="s">
        <v>670</v>
      </c>
      <c r="E46" s="409"/>
      <c r="F46" s="378"/>
      <c r="G46" s="386"/>
      <c r="H46" s="378"/>
      <c r="I46" s="17"/>
      <c r="K46" s="14"/>
      <c r="L46" s="50"/>
      <c r="M46" s="424"/>
      <c r="O46" s="301" t="s">
        <v>576</v>
      </c>
    </row>
    <row r="47" spans="2:16" ht="17" thickBot="1" x14ac:dyDescent="0.25">
      <c r="B47" s="71"/>
      <c r="C47" s="406" t="s">
        <v>309</v>
      </c>
      <c r="D47" s="118" t="s">
        <v>670</v>
      </c>
      <c r="E47" s="410"/>
      <c r="F47" s="378"/>
      <c r="G47" s="386"/>
      <c r="H47" s="378"/>
      <c r="I47" s="17"/>
      <c r="K47" s="14"/>
      <c r="L47" s="47"/>
      <c r="M47" s="424"/>
      <c r="O47" s="301" t="s">
        <v>577</v>
      </c>
    </row>
    <row r="48" spans="2:16" x14ac:dyDescent="0.2">
      <c r="B48" s="71"/>
      <c r="E48" s="378"/>
      <c r="F48" s="378"/>
      <c r="G48" s="386"/>
      <c r="H48" s="378"/>
      <c r="K48" s="14"/>
      <c r="L48" s="47"/>
      <c r="M48" s="424"/>
      <c r="O48" s="16"/>
    </row>
    <row r="49" spans="2:16" ht="18" thickBot="1" x14ac:dyDescent="0.25">
      <c r="B49" s="71"/>
      <c r="C49" s="376" t="s">
        <v>667</v>
      </c>
      <c r="D49" s="118" t="s">
        <v>513</v>
      </c>
      <c r="E49" s="412">
        <f>SUM('Main activity power plants'!D116,'Main activity power plants'!D119,'Main activity power plants'!D122)</f>
        <v>0</v>
      </c>
      <c r="F49" s="403"/>
      <c r="G49" s="404"/>
      <c r="H49" s="403"/>
      <c r="K49" s="398" t="s">
        <v>364</v>
      </c>
      <c r="L49" s="372">
        <f>IF(SUM(E50:E52)=1,TRUE,SUM(E50:E52))</f>
        <v>0</v>
      </c>
      <c r="M49" s="424" t="str">
        <f>IF(L49=TRUE," ","Make sure the production shares add up to 100%")</f>
        <v>Make sure the production shares add up to 100%</v>
      </c>
      <c r="O49" s="16"/>
      <c r="P49" s="2">
        <f>IF(L49=TRUE,1,0)</f>
        <v>0</v>
      </c>
    </row>
    <row r="50" spans="2:16" ht="17" thickBot="1" x14ac:dyDescent="0.25">
      <c r="B50" s="71"/>
      <c r="C50" s="406" t="s">
        <v>310</v>
      </c>
      <c r="D50" s="118" t="s">
        <v>670</v>
      </c>
      <c r="E50" s="409"/>
      <c r="F50" s="378"/>
      <c r="G50" s="386"/>
      <c r="H50" s="378"/>
      <c r="I50" s="17"/>
      <c r="K50" s="399"/>
      <c r="L50" s="390"/>
      <c r="M50" s="426"/>
      <c r="O50" s="301" t="s">
        <v>578</v>
      </c>
    </row>
    <row r="51" spans="2:16" ht="17" thickBot="1" x14ac:dyDescent="0.25">
      <c r="B51" s="71"/>
      <c r="C51" s="406" t="s">
        <v>311</v>
      </c>
      <c r="D51" s="118" t="s">
        <v>670</v>
      </c>
      <c r="E51" s="409"/>
      <c r="F51" s="378"/>
      <c r="G51" s="386"/>
      <c r="H51" s="378"/>
      <c r="I51" s="17"/>
      <c r="K51" s="14"/>
      <c r="L51" s="50"/>
      <c r="M51" s="424"/>
      <c r="O51" s="301" t="s">
        <v>579</v>
      </c>
    </row>
    <row r="52" spans="2:16" ht="17" thickBot="1" x14ac:dyDescent="0.25">
      <c r="B52" s="71"/>
      <c r="C52" s="406" t="s">
        <v>312</v>
      </c>
      <c r="D52" s="118" t="s">
        <v>670</v>
      </c>
      <c r="E52" s="410"/>
      <c r="F52" s="378"/>
      <c r="G52" s="386"/>
      <c r="H52" s="378"/>
      <c r="I52" s="17"/>
      <c r="K52" s="247"/>
      <c r="L52" s="382"/>
      <c r="M52" s="427"/>
      <c r="N52" s="242"/>
      <c r="O52" s="301" t="s">
        <v>580</v>
      </c>
    </row>
    <row r="53" spans="2:16" x14ac:dyDescent="0.2">
      <c r="B53" s="84"/>
      <c r="C53" s="379"/>
      <c r="D53" s="440"/>
      <c r="E53" s="377"/>
      <c r="F53" s="377"/>
      <c r="G53" s="387"/>
      <c r="H53" s="377"/>
      <c r="I53" s="377"/>
      <c r="J53" s="377"/>
      <c r="K53" s="383"/>
      <c r="L53" s="384"/>
      <c r="M53" s="428"/>
      <c r="N53" s="242"/>
      <c r="O53" s="300"/>
    </row>
    <row r="54" spans="2:16" x14ac:dyDescent="0.2">
      <c r="B54" s="87" t="s">
        <v>10</v>
      </c>
      <c r="G54" s="388"/>
      <c r="K54" s="14"/>
      <c r="L54" s="47"/>
      <c r="M54" s="424"/>
      <c r="O54" s="16"/>
    </row>
    <row r="55" spans="2:16" x14ac:dyDescent="0.2">
      <c r="B55" s="67"/>
      <c r="G55" s="388"/>
      <c r="K55" s="18" t="s">
        <v>214</v>
      </c>
      <c r="L55" s="372" t="b">
        <f>IF('Results by fuel'!D95=0,TRUE,FALSE)</f>
        <v>1</v>
      </c>
      <c r="M55" s="424" t="str">
        <f>IF(L55=TRUE," ","The calculated electricity production differs from the statistical amount")</f>
        <v xml:space="preserve"> </v>
      </c>
      <c r="O55" s="16"/>
      <c r="P55" s="2">
        <f>IF(L55=TRUE,1,0)</f>
        <v>1</v>
      </c>
    </row>
    <row r="56" spans="2:16" x14ac:dyDescent="0.2">
      <c r="B56" s="67"/>
      <c r="G56" s="388"/>
      <c r="K56" s="18" t="s">
        <v>478</v>
      </c>
      <c r="L56" s="372" t="b">
        <f>IF('Results by fuel'!H143=0,TRUE,FALSE)</f>
        <v>1</v>
      </c>
      <c r="M56" s="424" t="str">
        <f>IF(L56=TRUE," ","The calculated heat production differs from the statistical amount")</f>
        <v xml:space="preserve"> </v>
      </c>
      <c r="O56" s="16"/>
      <c r="P56" s="2">
        <f>IF(L56=TRUE,1,0)</f>
        <v>1</v>
      </c>
    </row>
    <row r="57" spans="2:16" x14ac:dyDescent="0.2">
      <c r="B57" s="67"/>
      <c r="G57" s="388"/>
      <c r="K57" s="18" t="s">
        <v>656</v>
      </c>
      <c r="L57" s="372" t="b">
        <f>IF(COUNTIF(csv_central_producers!B:B,"&lt;0"),FALSE,TRUE)</f>
        <v>1</v>
      </c>
      <c r="M57" s="424" t="str">
        <f>IF(L57=TRUE," ","Some converters have negative demands. Check the 'Results by machine' sheet and find out what is wrong. There may be a confict between autoproduction (autoproducers table) and energy balance. ")</f>
        <v xml:space="preserve"> </v>
      </c>
      <c r="O57" s="16"/>
      <c r="P57" s="2">
        <f>IF(L57=TRUE,1,0)</f>
        <v>1</v>
      </c>
    </row>
    <row r="58" spans="2:16" x14ac:dyDescent="0.2">
      <c r="B58" s="67"/>
      <c r="G58" s="388"/>
      <c r="K58" s="14" t="s">
        <v>432</v>
      </c>
      <c r="L58" s="373" t="e">
        <f>IF(ABS('Results by fuel'!E95)&lt;0.05,TRUE,FALSE)</f>
        <v>#DIV/0!</v>
      </c>
      <c r="M58" s="424" t="e">
        <f>IF(L58=TRUE," ","The calculated total fuel input for power plants differs from the statistical amount")</f>
        <v>#DIV/0!</v>
      </c>
      <c r="O58" s="16"/>
    </row>
    <row r="59" spans="2:16" x14ac:dyDescent="0.2">
      <c r="B59" s="67"/>
      <c r="G59" s="388"/>
      <c r="K59" s="14" t="s">
        <v>431</v>
      </c>
      <c r="L59" s="373" t="e">
        <f>IF(ABS('Results by fuel'!E143)&lt;0.05,TRUE,FALSE)</f>
        <v>#DIV/0!</v>
      </c>
      <c r="M59" s="424" t="e">
        <f>IF(L59=TRUE," ","The calculated total fuel input for heat plants differs from the statistical amount")</f>
        <v>#DIV/0!</v>
      </c>
      <c r="O59" s="16"/>
    </row>
    <row r="60" spans="2:16" x14ac:dyDescent="0.2">
      <c r="B60" s="72"/>
      <c r="C60" s="10"/>
      <c r="D60" s="439"/>
      <c r="E60" s="10"/>
      <c r="F60" s="10"/>
      <c r="G60" s="389"/>
      <c r="H60" s="10"/>
      <c r="I60" s="10"/>
      <c r="J60" s="10"/>
      <c r="K60" s="15"/>
      <c r="L60" s="48"/>
      <c r="M60" s="429"/>
      <c r="O60" s="16"/>
    </row>
    <row r="61" spans="2:16" x14ac:dyDescent="0.2">
      <c r="B61" s="87" t="s">
        <v>940</v>
      </c>
      <c r="G61" s="388"/>
      <c r="K61" s="14"/>
      <c r="L61" s="47"/>
      <c r="M61" s="424"/>
      <c r="O61" s="16"/>
    </row>
    <row r="62" spans="2:16" x14ac:dyDescent="0.2">
      <c r="B62" s="67"/>
      <c r="G62" s="388"/>
      <c r="K62" s="618" t="s">
        <v>944</v>
      </c>
      <c r="L62" s="47"/>
      <c r="M62" s="424"/>
      <c r="O62" s="16"/>
    </row>
    <row r="63" spans="2:16" x14ac:dyDescent="0.2">
      <c r="B63" s="67"/>
      <c r="C63" s="2" t="s">
        <v>941</v>
      </c>
      <c r="D63" s="118" t="s">
        <v>513</v>
      </c>
      <c r="E63" s="172">
        <f>'Corrected energy balance step 2'!BL18</f>
        <v>0</v>
      </c>
      <c r="G63" s="388"/>
      <c r="K63" s="618"/>
      <c r="L63" s="47"/>
      <c r="M63" s="424"/>
      <c r="O63" s="16"/>
    </row>
    <row r="64" spans="2:16" x14ac:dyDescent="0.2">
      <c r="B64" s="67"/>
      <c r="C64" s="2" t="s">
        <v>942</v>
      </c>
      <c r="D64" s="118" t="s">
        <v>513</v>
      </c>
      <c r="E64" s="172">
        <f>'Corrected energy balance step 2'!BN92*3.6</f>
        <v>0</v>
      </c>
      <c r="G64" s="388"/>
      <c r="K64" s="618"/>
      <c r="L64" s="47"/>
      <c r="M64" s="424"/>
      <c r="O64" s="16"/>
    </row>
    <row r="65" spans="2:15" x14ac:dyDescent="0.2">
      <c r="B65" s="67"/>
      <c r="C65" s="2" t="s">
        <v>943</v>
      </c>
      <c r="D65" s="118" t="s">
        <v>513</v>
      </c>
      <c r="E65" s="172">
        <f>E63-E64</f>
        <v>0</v>
      </c>
      <c r="G65" s="388"/>
      <c r="K65" s="618"/>
      <c r="L65" s="373" t="b">
        <f>IF(ABS(E65)&gt;0,FALSE,TRUE)</f>
        <v>1</v>
      </c>
      <c r="M65" s="424" t="str">
        <f>IF(L65=TRUE,"","This check fails if your country has any electricity transformation output by other sources")</f>
        <v/>
      </c>
      <c r="O65" s="16"/>
    </row>
    <row r="66" spans="2:15" x14ac:dyDescent="0.2">
      <c r="B66" s="72"/>
      <c r="C66" s="10"/>
      <c r="D66" s="439"/>
      <c r="E66" s="10"/>
      <c r="F66" s="10"/>
      <c r="G66" s="389"/>
      <c r="H66" s="10"/>
      <c r="I66" s="10"/>
      <c r="J66" s="10"/>
      <c r="K66" s="15"/>
      <c r="L66" s="433"/>
      <c r="M66" s="429"/>
      <c r="O66" s="16"/>
    </row>
    <row r="67" spans="2:15" ht="17" thickBot="1" x14ac:dyDescent="0.25">
      <c r="B67" s="87" t="s">
        <v>300</v>
      </c>
      <c r="C67" s="91"/>
      <c r="G67" s="388"/>
      <c r="K67" s="615" t="s">
        <v>672</v>
      </c>
      <c r="L67" s="616"/>
      <c r="M67" s="424"/>
      <c r="O67" s="16"/>
    </row>
    <row r="68" spans="2:15" ht="17" thickBot="1" x14ac:dyDescent="0.25">
      <c r="B68" s="87"/>
      <c r="C68" s="2" t="s">
        <v>369</v>
      </c>
      <c r="D68" s="118" t="s">
        <v>265</v>
      </c>
      <c r="E68" s="413"/>
      <c r="G68" s="388"/>
      <c r="I68" s="17"/>
      <c r="K68" s="615"/>
      <c r="L68" s="616"/>
      <c r="M68" s="424"/>
      <c r="O68" s="301" t="s">
        <v>584</v>
      </c>
    </row>
    <row r="69" spans="2:15" ht="17" thickBot="1" x14ac:dyDescent="0.25">
      <c r="B69" s="67"/>
      <c r="C69" s="2" t="s">
        <v>345</v>
      </c>
      <c r="D69" s="118" t="s">
        <v>265</v>
      </c>
      <c r="E69" s="413"/>
      <c r="G69" s="388"/>
      <c r="I69" s="17"/>
      <c r="K69" s="617"/>
      <c r="L69" s="616"/>
      <c r="M69" s="424"/>
      <c r="O69" s="301" t="s">
        <v>581</v>
      </c>
    </row>
    <row r="70" spans="2:15" ht="18" thickTop="1" thickBot="1" x14ac:dyDescent="0.25">
      <c r="B70" s="87"/>
      <c r="C70" s="2" t="s">
        <v>346</v>
      </c>
      <c r="D70" s="118" t="s">
        <v>265</v>
      </c>
      <c r="E70" s="413"/>
      <c r="G70" s="388"/>
      <c r="I70" s="17"/>
      <c r="K70" s="400" t="s">
        <v>654</v>
      </c>
      <c r="L70" s="444" t="s">
        <v>653</v>
      </c>
      <c r="M70" s="424"/>
      <c r="O70" s="301" t="s">
        <v>582</v>
      </c>
    </row>
    <row r="71" spans="2:15" ht="17" thickBot="1" x14ac:dyDescent="0.25">
      <c r="B71" s="87"/>
      <c r="C71" s="2" t="s">
        <v>468</v>
      </c>
      <c r="D71" s="118" t="s">
        <v>265</v>
      </c>
      <c r="E71" s="413"/>
      <c r="G71" s="388"/>
      <c r="I71" s="17"/>
      <c r="K71" s="442" t="s">
        <v>655</v>
      </c>
      <c r="L71" s="349" t="e">
        <f>SUM('Results by machine'!M11:M16)</f>
        <v>#DIV/0!</v>
      </c>
      <c r="M71" s="424"/>
      <c r="O71" s="301" t="s">
        <v>583</v>
      </c>
    </row>
    <row r="72" spans="2:15" ht="17" thickBot="1" x14ac:dyDescent="0.25">
      <c r="B72" s="87"/>
      <c r="C72" s="2" t="s">
        <v>348</v>
      </c>
      <c r="D72" s="118" t="s">
        <v>265</v>
      </c>
      <c r="E72" s="413"/>
      <c r="G72" s="388"/>
      <c r="I72" s="17"/>
      <c r="K72" s="604" t="s">
        <v>953</v>
      </c>
      <c r="L72" s="349" t="e">
        <f>SUM('Results by machine'!M17)</f>
        <v>#DIV/0!</v>
      </c>
      <c r="M72" s="424"/>
      <c r="O72" s="301" t="s">
        <v>585</v>
      </c>
    </row>
    <row r="73" spans="2:15" ht="17" thickBot="1" x14ac:dyDescent="0.25">
      <c r="B73" s="87"/>
      <c r="C73" s="2" t="s">
        <v>469</v>
      </c>
      <c r="D73" s="118" t="s">
        <v>265</v>
      </c>
      <c r="E73" s="413"/>
      <c r="G73" s="388"/>
      <c r="I73" s="17"/>
      <c r="K73" s="442" t="s">
        <v>140</v>
      </c>
      <c r="L73" s="349" t="e">
        <f>SUM('Results by machine'!M18:M19)</f>
        <v>#DIV/0!</v>
      </c>
      <c r="M73" s="424"/>
      <c r="O73" s="301" t="s">
        <v>586</v>
      </c>
    </row>
    <row r="74" spans="2:15" ht="17" thickBot="1" x14ac:dyDescent="0.25">
      <c r="B74" s="87"/>
      <c r="E74" s="82"/>
      <c r="G74" s="388"/>
      <c r="I74" s="82"/>
      <c r="K74" s="442" t="s">
        <v>281</v>
      </c>
      <c r="L74" s="349" t="e">
        <f>SUM('Results by machine'!M20:M24)</f>
        <v>#DIV/0!</v>
      </c>
      <c r="M74" s="424"/>
      <c r="O74" s="301"/>
    </row>
    <row r="75" spans="2:15" ht="17" thickBot="1" x14ac:dyDescent="0.25">
      <c r="B75" s="87"/>
      <c r="C75" t="s">
        <v>954</v>
      </c>
      <c r="D75" s="602" t="s">
        <v>265</v>
      </c>
      <c r="E75" s="605"/>
      <c r="F75"/>
      <c r="G75" s="603"/>
      <c r="H75"/>
      <c r="I75" s="605"/>
      <c r="K75" s="442" t="s">
        <v>187</v>
      </c>
      <c r="L75" s="349" t="e">
        <f>SUM('Results by machine'!M28:M29)</f>
        <v>#DIV/0!</v>
      </c>
      <c r="M75" s="424"/>
      <c r="O75" s="301" t="s">
        <v>959</v>
      </c>
    </row>
    <row r="76" spans="2:15" ht="17" thickBot="1" x14ac:dyDescent="0.25">
      <c r="B76" s="67"/>
      <c r="E76" s="82"/>
      <c r="G76" s="388"/>
      <c r="I76" s="82"/>
      <c r="K76" s="442" t="s">
        <v>188</v>
      </c>
      <c r="L76" s="349" t="e">
        <f>SUM('Results by machine'!M30:M31)</f>
        <v>#DIV/0!</v>
      </c>
      <c r="M76" s="424"/>
      <c r="O76" s="301"/>
    </row>
    <row r="77" spans="2:15" ht="17" thickBot="1" x14ac:dyDescent="0.25">
      <c r="B77" s="67"/>
      <c r="C77" s="2" t="s">
        <v>350</v>
      </c>
      <c r="D77" s="118" t="s">
        <v>265</v>
      </c>
      <c r="E77" s="413"/>
      <c r="G77" s="388"/>
      <c r="I77" s="17"/>
      <c r="K77" s="442" t="s">
        <v>323</v>
      </c>
      <c r="L77" s="349" t="e">
        <f>SUM('Results by machine'!M33,'Results by machine'!M41:M42)</f>
        <v>#DIV/0!</v>
      </c>
      <c r="M77" s="424"/>
      <c r="O77" s="301" t="s">
        <v>589</v>
      </c>
    </row>
    <row r="78" spans="2:15" ht="17" thickBot="1" x14ac:dyDescent="0.25">
      <c r="B78" s="87"/>
      <c r="C78" s="2" t="s">
        <v>475</v>
      </c>
      <c r="D78" s="118" t="s">
        <v>265</v>
      </c>
      <c r="E78" s="413"/>
      <c r="G78" s="388"/>
      <c r="I78" s="17"/>
      <c r="K78" s="442" t="s">
        <v>687</v>
      </c>
      <c r="L78" s="349" t="e">
        <f>'Results by machine'!M34</f>
        <v>#DIV/0!</v>
      </c>
      <c r="M78" s="424"/>
      <c r="O78" s="301" t="s">
        <v>590</v>
      </c>
    </row>
    <row r="79" spans="2:15" ht="17" thickBot="1" x14ac:dyDescent="0.25">
      <c r="B79" s="87"/>
      <c r="E79" s="82"/>
      <c r="G79" s="388"/>
      <c r="I79" s="380"/>
      <c r="K79" s="442" t="s">
        <v>193</v>
      </c>
      <c r="L79" s="349" t="e">
        <f>SUM('Results by machine'!M35:M37)</f>
        <v>#DIV/0!</v>
      </c>
      <c r="M79" s="424"/>
      <c r="O79" s="301"/>
    </row>
    <row r="80" spans="2:15" ht="17" thickBot="1" x14ac:dyDescent="0.25">
      <c r="B80" s="87"/>
      <c r="C80" s="2" t="s">
        <v>352</v>
      </c>
      <c r="D80" s="118" t="s">
        <v>265</v>
      </c>
      <c r="E80" s="413"/>
      <c r="G80" s="388"/>
      <c r="I80" s="17"/>
      <c r="K80" s="442" t="s">
        <v>356</v>
      </c>
      <c r="L80" s="349" t="e">
        <f>'Results by machine'!M25</f>
        <v>#DIV/0!</v>
      </c>
      <c r="M80" s="424"/>
      <c r="O80" s="301" t="s">
        <v>591</v>
      </c>
    </row>
    <row r="81" spans="2:15" ht="17" thickBot="1" x14ac:dyDescent="0.25">
      <c r="B81" s="87"/>
      <c r="C81" s="2" t="s">
        <v>353</v>
      </c>
      <c r="D81" s="118" t="s">
        <v>265</v>
      </c>
      <c r="E81" s="413"/>
      <c r="G81" s="388"/>
      <c r="I81" s="17"/>
      <c r="K81" s="442" t="s">
        <v>357</v>
      </c>
      <c r="L81" s="349" t="e">
        <f>'Results by machine'!M26</f>
        <v>#DIV/0!</v>
      </c>
      <c r="M81" s="424"/>
      <c r="O81" s="301" t="s">
        <v>592</v>
      </c>
    </row>
    <row r="82" spans="2:15" ht="17" thickBot="1" x14ac:dyDescent="0.25">
      <c r="B82" s="87"/>
      <c r="C82" s="2" t="s">
        <v>470</v>
      </c>
      <c r="D82" s="118" t="s">
        <v>265</v>
      </c>
      <c r="E82" s="414"/>
      <c r="F82" s="242"/>
      <c r="G82" s="405"/>
      <c r="H82" s="242"/>
      <c r="I82" s="17"/>
      <c r="K82" s="442" t="s">
        <v>358</v>
      </c>
      <c r="L82" s="349" t="e">
        <f>'Results by machine'!M27</f>
        <v>#DIV/0!</v>
      </c>
      <c r="M82" s="424"/>
      <c r="O82" s="301" t="s">
        <v>593</v>
      </c>
    </row>
    <row r="83" spans="2:15" ht="17" thickBot="1" x14ac:dyDescent="0.25">
      <c r="B83" s="87"/>
      <c r="C83" s="2" t="s">
        <v>691</v>
      </c>
      <c r="D83" s="118" t="s">
        <v>265</v>
      </c>
      <c r="E83" s="393"/>
      <c r="F83" s="242"/>
      <c r="G83" s="405"/>
      <c r="H83" s="242"/>
      <c r="I83" s="17"/>
      <c r="K83" s="443" t="s">
        <v>189</v>
      </c>
      <c r="L83" s="445" t="e">
        <f>'Results by machine'!M32</f>
        <v>#DIV/0!</v>
      </c>
      <c r="M83" s="424"/>
      <c r="O83" s="301" t="s">
        <v>693</v>
      </c>
    </row>
    <row r="84" spans="2:15" ht="17" thickBot="1" x14ac:dyDescent="0.25">
      <c r="B84" s="87"/>
      <c r="C84" s="2" t="s">
        <v>355</v>
      </c>
      <c r="D84" s="118" t="s">
        <v>265</v>
      </c>
      <c r="E84" s="17"/>
      <c r="G84" s="388"/>
      <c r="I84" s="17"/>
      <c r="K84" s="14"/>
      <c r="M84" s="424"/>
      <c r="O84" s="301" t="s">
        <v>594</v>
      </c>
    </row>
    <row r="85" spans="2:15" ht="17" thickBot="1" x14ac:dyDescent="0.25">
      <c r="B85" s="87"/>
      <c r="E85" s="82"/>
      <c r="G85" s="388"/>
      <c r="I85" s="380"/>
      <c r="K85" s="14"/>
      <c r="M85" s="424"/>
      <c r="O85" s="301"/>
    </row>
    <row r="86" spans="2:15" ht="17" thickBot="1" x14ac:dyDescent="0.25">
      <c r="B86" s="67"/>
      <c r="C86" s="2" t="s">
        <v>316</v>
      </c>
      <c r="D86" s="118" t="s">
        <v>265</v>
      </c>
      <c r="E86" s="415"/>
      <c r="F86" s="242"/>
      <c r="G86" s="405"/>
      <c r="H86" s="242"/>
      <c r="I86" s="17"/>
      <c r="K86" s="14"/>
      <c r="L86" s="311"/>
      <c r="M86" s="424"/>
      <c r="O86" s="301" t="s">
        <v>599</v>
      </c>
    </row>
    <row r="87" spans="2:15" ht="17" thickBot="1" x14ac:dyDescent="0.25">
      <c r="B87" s="87"/>
      <c r="C87" s="2" t="s">
        <v>317</v>
      </c>
      <c r="D87" s="118" t="s">
        <v>265</v>
      </c>
      <c r="E87" s="416"/>
      <c r="F87" s="242"/>
      <c r="G87" s="405"/>
      <c r="H87" s="242"/>
      <c r="I87" s="17"/>
      <c r="K87" s="14"/>
      <c r="L87" s="327"/>
      <c r="M87" s="424"/>
      <c r="O87" s="301" t="s">
        <v>600</v>
      </c>
    </row>
    <row r="88" spans="2:15" ht="17" thickBot="1" x14ac:dyDescent="0.25">
      <c r="B88" s="87"/>
      <c r="E88" s="82"/>
      <c r="G88" s="388"/>
      <c r="I88" s="380"/>
      <c r="K88" s="14"/>
      <c r="M88" s="424"/>
      <c r="O88" s="301"/>
    </row>
    <row r="89" spans="2:15" ht="17" thickBot="1" x14ac:dyDescent="0.25">
      <c r="B89" s="87"/>
      <c r="C89" s="2" t="s">
        <v>313</v>
      </c>
      <c r="D89" s="118" t="s">
        <v>265</v>
      </c>
      <c r="E89" s="415"/>
      <c r="G89" s="388"/>
      <c r="I89" s="17"/>
      <c r="K89" s="14"/>
      <c r="L89" s="327"/>
      <c r="M89" s="424"/>
      <c r="O89" s="301" t="s">
        <v>601</v>
      </c>
    </row>
    <row r="90" spans="2:15" ht="17" thickBot="1" x14ac:dyDescent="0.25">
      <c r="B90" s="67"/>
      <c r="C90" s="2" t="s">
        <v>309</v>
      </c>
      <c r="D90" s="118" t="s">
        <v>265</v>
      </c>
      <c r="E90" s="417"/>
      <c r="G90" s="388"/>
      <c r="I90" s="17"/>
      <c r="K90" s="14"/>
      <c r="L90" s="327"/>
      <c r="M90" s="424"/>
      <c r="O90" s="301" t="s">
        <v>602</v>
      </c>
    </row>
    <row r="91" spans="2:15" ht="17" thickBot="1" x14ac:dyDescent="0.25">
      <c r="B91" s="67"/>
      <c r="E91" s="82"/>
      <c r="G91" s="388"/>
      <c r="I91" s="380"/>
      <c r="K91" s="14"/>
      <c r="M91" s="424"/>
      <c r="O91" s="301"/>
    </row>
    <row r="92" spans="2:15" ht="17" thickBot="1" x14ac:dyDescent="0.25">
      <c r="B92" s="87"/>
      <c r="C92" s="2" t="s">
        <v>683</v>
      </c>
      <c r="D92" s="118" t="s">
        <v>265</v>
      </c>
      <c r="E92" s="415"/>
      <c r="G92" s="388"/>
      <c r="I92" s="17"/>
      <c r="K92" s="14"/>
      <c r="L92" s="327"/>
      <c r="M92" s="424"/>
      <c r="O92" s="301" t="s">
        <v>604</v>
      </c>
    </row>
    <row r="93" spans="2:15" ht="17" thickBot="1" x14ac:dyDescent="0.25">
      <c r="B93" s="87"/>
      <c r="C93" s="2" t="s">
        <v>684</v>
      </c>
      <c r="D93" s="118" t="s">
        <v>265</v>
      </c>
      <c r="E93" s="417"/>
      <c r="G93" s="388"/>
      <c r="I93" s="17"/>
      <c r="K93" s="14"/>
      <c r="L93" s="327"/>
      <c r="M93" s="424"/>
      <c r="O93" s="301" t="s">
        <v>605</v>
      </c>
    </row>
    <row r="94" spans="2:15" ht="17" thickBot="1" x14ac:dyDescent="0.25">
      <c r="B94" s="87"/>
      <c r="C94" s="2" t="s">
        <v>685</v>
      </c>
      <c r="D94" s="118" t="s">
        <v>265</v>
      </c>
      <c r="E94" s="417"/>
      <c r="G94" s="388"/>
      <c r="I94" s="17"/>
      <c r="K94" s="14"/>
      <c r="M94" s="424"/>
      <c r="O94" s="301" t="s">
        <v>606</v>
      </c>
    </row>
    <row r="95" spans="2:15" ht="17" thickBot="1" x14ac:dyDescent="0.25">
      <c r="B95" s="87"/>
      <c r="C95" s="2" t="s">
        <v>686</v>
      </c>
      <c r="D95" s="118" t="s">
        <v>265</v>
      </c>
      <c r="E95" s="417"/>
      <c r="G95" s="388"/>
      <c r="I95" s="17"/>
      <c r="K95" s="14"/>
      <c r="L95" s="327"/>
      <c r="M95" s="424"/>
      <c r="O95" s="301" t="s">
        <v>607</v>
      </c>
    </row>
    <row r="96" spans="2:15" ht="17" thickBot="1" x14ac:dyDescent="0.25">
      <c r="B96" s="87"/>
      <c r="E96" s="82"/>
      <c r="G96" s="388"/>
      <c r="I96" s="380"/>
      <c r="K96" s="14"/>
      <c r="L96" s="327"/>
      <c r="M96" s="424"/>
      <c r="O96" s="301"/>
    </row>
    <row r="97" spans="2:15" ht="17" thickBot="1" x14ac:dyDescent="0.25">
      <c r="B97" s="87"/>
      <c r="C97" s="2" t="s">
        <v>310</v>
      </c>
      <c r="D97" s="118" t="s">
        <v>265</v>
      </c>
      <c r="E97" s="415"/>
      <c r="G97" s="388"/>
      <c r="I97" s="17"/>
      <c r="K97" s="14"/>
      <c r="L97" s="327"/>
      <c r="M97" s="424"/>
      <c r="O97" s="301" t="s">
        <v>608</v>
      </c>
    </row>
    <row r="98" spans="2:15" ht="17" thickBot="1" x14ac:dyDescent="0.25">
      <c r="B98" s="87"/>
      <c r="C98" s="2" t="s">
        <v>311</v>
      </c>
      <c r="D98" s="118" t="s">
        <v>265</v>
      </c>
      <c r="E98" s="417"/>
      <c r="G98" s="388"/>
      <c r="I98" s="17"/>
      <c r="K98" s="14"/>
      <c r="L98" s="327"/>
      <c r="M98" s="424"/>
      <c r="O98" s="301" t="s">
        <v>609</v>
      </c>
    </row>
    <row r="99" spans="2:15" ht="17" thickBot="1" x14ac:dyDescent="0.25">
      <c r="B99" s="87"/>
      <c r="C99" s="2" t="s">
        <v>312</v>
      </c>
      <c r="D99" s="118" t="s">
        <v>265</v>
      </c>
      <c r="E99" s="417"/>
      <c r="G99" s="388"/>
      <c r="I99" s="17"/>
      <c r="K99" s="14"/>
      <c r="M99" s="424"/>
      <c r="O99" s="301" t="s">
        <v>610</v>
      </c>
    </row>
    <row r="100" spans="2:15" ht="17" thickBot="1" x14ac:dyDescent="0.25">
      <c r="B100" s="67"/>
      <c r="E100" s="82"/>
      <c r="G100" s="388"/>
      <c r="I100" s="380"/>
      <c r="K100" s="14"/>
      <c r="L100" s="327"/>
      <c r="M100" s="424"/>
      <c r="O100" s="301"/>
    </row>
    <row r="101" spans="2:15" ht="17" thickBot="1" x14ac:dyDescent="0.25">
      <c r="B101" s="87"/>
      <c r="C101" s="2" t="s">
        <v>356</v>
      </c>
      <c r="D101" s="118" t="s">
        <v>265</v>
      </c>
      <c r="E101" s="415"/>
      <c r="G101" s="388"/>
      <c r="I101" s="17"/>
      <c r="K101" s="14"/>
      <c r="L101" s="327"/>
      <c r="M101" s="424"/>
      <c r="O101" s="301" t="s">
        <v>596</v>
      </c>
    </row>
    <row r="102" spans="2:15" ht="17" thickBot="1" x14ac:dyDescent="0.25">
      <c r="B102" s="87"/>
      <c r="C102" s="2" t="s">
        <v>357</v>
      </c>
      <c r="D102" s="118" t="s">
        <v>265</v>
      </c>
      <c r="E102" s="417"/>
      <c r="G102" s="388"/>
      <c r="I102" s="17"/>
      <c r="K102" s="14"/>
      <c r="L102" s="327"/>
      <c r="M102" s="424"/>
      <c r="O102" s="301" t="s">
        <v>597</v>
      </c>
    </row>
    <row r="103" spans="2:15" ht="17" thickBot="1" x14ac:dyDescent="0.25">
      <c r="B103" s="87"/>
      <c r="C103" s="2" t="s">
        <v>358</v>
      </c>
      <c r="D103" s="118" t="s">
        <v>265</v>
      </c>
      <c r="E103" s="417"/>
      <c r="G103" s="388"/>
      <c r="I103" s="17"/>
      <c r="K103" s="14"/>
      <c r="M103" s="424"/>
      <c r="O103" s="301" t="s">
        <v>598</v>
      </c>
    </row>
    <row r="104" spans="2:15" ht="17" thickBot="1" x14ac:dyDescent="0.25">
      <c r="B104" s="87"/>
      <c r="C104" s="2" t="s">
        <v>189</v>
      </c>
      <c r="D104" s="118" t="s">
        <v>265</v>
      </c>
      <c r="E104" s="417"/>
      <c r="G104" s="388"/>
      <c r="I104" s="17"/>
      <c r="K104" s="14"/>
      <c r="M104" s="424"/>
      <c r="O104" s="301" t="s">
        <v>603</v>
      </c>
    </row>
    <row r="105" spans="2:15" ht="17" thickBot="1" x14ac:dyDescent="0.25">
      <c r="B105" s="87"/>
      <c r="G105" s="388"/>
      <c r="K105" s="14"/>
      <c r="M105" s="424"/>
      <c r="O105" s="301"/>
    </row>
    <row r="106" spans="2:15" ht="17" thickBot="1" x14ac:dyDescent="0.25">
      <c r="B106" s="87"/>
      <c r="C106" s="2" t="s">
        <v>710</v>
      </c>
      <c r="D106" s="118" t="s">
        <v>265</v>
      </c>
      <c r="E106" s="17"/>
      <c r="G106" s="388"/>
      <c r="I106" s="17"/>
      <c r="K106" s="14"/>
      <c r="M106" s="424"/>
      <c r="O106" s="301" t="s">
        <v>729</v>
      </c>
    </row>
    <row r="107" spans="2:15" ht="17" thickBot="1" x14ac:dyDescent="0.25">
      <c r="B107" s="87"/>
      <c r="D107" s="118" t="s">
        <v>513</v>
      </c>
      <c r="E107" s="17"/>
      <c r="G107" s="388"/>
      <c r="I107" s="17"/>
      <c r="K107" s="14"/>
      <c r="M107" s="424"/>
      <c r="O107" s="301" t="s">
        <v>730</v>
      </c>
    </row>
    <row r="108" spans="2:15" x14ac:dyDescent="0.2">
      <c r="B108" s="87"/>
      <c r="G108" s="388"/>
      <c r="K108" s="14"/>
      <c r="M108" s="424"/>
      <c r="O108" s="301"/>
    </row>
    <row r="109" spans="2:15" ht="17" thickBot="1" x14ac:dyDescent="0.25">
      <c r="B109" s="375" t="s">
        <v>862</v>
      </c>
      <c r="C109" s="558"/>
      <c r="D109" s="559"/>
      <c r="E109" s="4"/>
      <c r="F109" s="4"/>
      <c r="G109" s="560"/>
      <c r="H109" s="4"/>
      <c r="I109" s="4"/>
      <c r="J109" s="4"/>
      <c r="K109" s="283"/>
      <c r="L109" s="4"/>
      <c r="M109" s="430"/>
      <c r="O109" s="16"/>
    </row>
    <row r="110" spans="2:15" ht="17" thickBot="1" x14ac:dyDescent="0.25">
      <c r="B110" s="87"/>
      <c r="C110" s="2" t="s">
        <v>369</v>
      </c>
      <c r="D110" s="118" t="s">
        <v>724</v>
      </c>
      <c r="E110" s="561"/>
      <c r="G110" s="388"/>
      <c r="I110" s="17"/>
      <c r="K110" s="14"/>
      <c r="M110" s="424"/>
      <c r="O110" s="301" t="s">
        <v>864</v>
      </c>
    </row>
    <row r="111" spans="2:15" ht="17" thickBot="1" x14ac:dyDescent="0.25">
      <c r="B111" s="67"/>
      <c r="C111" s="2" t="s">
        <v>345</v>
      </c>
      <c r="D111" s="118" t="s">
        <v>724</v>
      </c>
      <c r="E111" s="561"/>
      <c r="G111" s="388"/>
      <c r="I111" s="17"/>
      <c r="K111" s="14"/>
      <c r="M111" s="424"/>
      <c r="O111" s="301" t="s">
        <v>865</v>
      </c>
    </row>
    <row r="112" spans="2:15" ht="17" thickBot="1" x14ac:dyDescent="0.25">
      <c r="B112" s="87"/>
      <c r="C112" s="2" t="s">
        <v>346</v>
      </c>
      <c r="D112" s="118" t="s">
        <v>724</v>
      </c>
      <c r="E112" s="561"/>
      <c r="G112" s="388"/>
      <c r="I112" s="17"/>
      <c r="K112" s="14"/>
      <c r="M112" s="424"/>
      <c r="O112" s="301" t="s">
        <v>866</v>
      </c>
    </row>
    <row r="113" spans="2:15" ht="17" thickBot="1" x14ac:dyDescent="0.25">
      <c r="B113" s="87"/>
      <c r="C113" s="2" t="s">
        <v>468</v>
      </c>
      <c r="D113" s="118" t="s">
        <v>724</v>
      </c>
      <c r="E113" s="561"/>
      <c r="G113" s="388"/>
      <c r="I113" s="17"/>
      <c r="K113" s="14"/>
      <c r="M113" s="424"/>
      <c r="O113" s="301" t="s">
        <v>867</v>
      </c>
    </row>
    <row r="114" spans="2:15" ht="17" thickBot="1" x14ac:dyDescent="0.25">
      <c r="B114" s="87"/>
      <c r="C114" s="2" t="s">
        <v>348</v>
      </c>
      <c r="D114" s="118" t="s">
        <v>724</v>
      </c>
      <c r="E114" s="561"/>
      <c r="G114" s="388"/>
      <c r="I114" s="17"/>
      <c r="K114" s="14"/>
      <c r="M114" s="424"/>
      <c r="O114" s="301" t="s">
        <v>868</v>
      </c>
    </row>
    <row r="115" spans="2:15" ht="17" thickBot="1" x14ac:dyDescent="0.25">
      <c r="B115" s="87"/>
      <c r="C115" s="2" t="s">
        <v>469</v>
      </c>
      <c r="D115" s="118" t="s">
        <v>724</v>
      </c>
      <c r="E115" s="561"/>
      <c r="G115" s="388"/>
      <c r="I115" s="17"/>
      <c r="K115" s="14"/>
      <c r="M115" s="424"/>
      <c r="O115" s="301" t="s">
        <v>869</v>
      </c>
    </row>
    <row r="116" spans="2:15" ht="17" thickBot="1" x14ac:dyDescent="0.25">
      <c r="B116" s="87"/>
      <c r="E116" s="562"/>
      <c r="G116" s="388"/>
      <c r="I116" s="82"/>
      <c r="K116" s="14"/>
      <c r="M116" s="424"/>
      <c r="O116" s="301"/>
    </row>
    <row r="117" spans="2:15" ht="17" thickBot="1" x14ac:dyDescent="0.25">
      <c r="B117" s="67"/>
      <c r="C117" s="2" t="s">
        <v>350</v>
      </c>
      <c r="D117" s="118" t="s">
        <v>724</v>
      </c>
      <c r="E117" s="561"/>
      <c r="G117" s="388"/>
      <c r="I117" s="17"/>
      <c r="K117" s="14"/>
      <c r="M117" s="424"/>
      <c r="O117" s="301" t="s">
        <v>870</v>
      </c>
    </row>
    <row r="118" spans="2:15" ht="17" thickBot="1" x14ac:dyDescent="0.25">
      <c r="B118" s="87"/>
      <c r="C118" s="2" t="s">
        <v>475</v>
      </c>
      <c r="D118" s="118" t="s">
        <v>724</v>
      </c>
      <c r="E118" s="561"/>
      <c r="G118" s="388"/>
      <c r="I118" s="17"/>
      <c r="K118" s="14"/>
      <c r="M118" s="424"/>
      <c r="O118" s="301" t="s">
        <v>871</v>
      </c>
    </row>
    <row r="119" spans="2:15" ht="17" thickBot="1" x14ac:dyDescent="0.25">
      <c r="B119" s="87"/>
      <c r="E119" s="562"/>
      <c r="G119" s="388"/>
      <c r="I119" s="380"/>
      <c r="K119" s="14"/>
      <c r="M119" s="424"/>
      <c r="O119" s="301"/>
    </row>
    <row r="120" spans="2:15" ht="17" thickBot="1" x14ac:dyDescent="0.25">
      <c r="B120" s="87"/>
      <c r="C120" s="2" t="s">
        <v>352</v>
      </c>
      <c r="D120" s="118" t="s">
        <v>724</v>
      </c>
      <c r="E120" s="561"/>
      <c r="G120" s="388"/>
      <c r="I120" s="17"/>
      <c r="K120" s="14"/>
      <c r="M120" s="424"/>
      <c r="O120" s="301" t="s">
        <v>872</v>
      </c>
    </row>
    <row r="121" spans="2:15" ht="17" thickBot="1" x14ac:dyDescent="0.25">
      <c r="B121" s="87"/>
      <c r="C121" s="2" t="s">
        <v>353</v>
      </c>
      <c r="D121" s="118" t="s">
        <v>724</v>
      </c>
      <c r="E121" s="561"/>
      <c r="G121" s="388"/>
      <c r="I121" s="17"/>
      <c r="K121" s="14"/>
      <c r="M121" s="424"/>
      <c r="O121" s="301" t="s">
        <v>873</v>
      </c>
    </row>
    <row r="122" spans="2:15" ht="17" thickBot="1" x14ac:dyDescent="0.25">
      <c r="B122" s="87"/>
      <c r="C122" s="2" t="s">
        <v>470</v>
      </c>
      <c r="D122" s="118" t="s">
        <v>724</v>
      </c>
      <c r="E122" s="563"/>
      <c r="F122" s="242"/>
      <c r="G122" s="405"/>
      <c r="H122" s="242"/>
      <c r="I122" s="17"/>
      <c r="K122" s="14"/>
      <c r="M122" s="424"/>
      <c r="O122" s="301" t="s">
        <v>874</v>
      </c>
    </row>
    <row r="123" spans="2:15" ht="17" thickBot="1" x14ac:dyDescent="0.25">
      <c r="B123" s="87"/>
      <c r="C123" s="2" t="s">
        <v>691</v>
      </c>
      <c r="D123" s="118" t="s">
        <v>724</v>
      </c>
      <c r="E123" s="563"/>
      <c r="F123" s="242"/>
      <c r="G123" s="405"/>
      <c r="H123" s="242"/>
      <c r="I123" s="17"/>
      <c r="K123" s="14"/>
      <c r="M123" s="424"/>
      <c r="O123" s="301" t="s">
        <v>875</v>
      </c>
    </row>
    <row r="124" spans="2:15" ht="17" thickBot="1" x14ac:dyDescent="0.25">
      <c r="B124" s="87"/>
      <c r="C124" s="2" t="s">
        <v>355</v>
      </c>
      <c r="D124" s="118" t="s">
        <v>724</v>
      </c>
      <c r="E124" s="528"/>
      <c r="G124" s="388"/>
      <c r="I124" s="17"/>
      <c r="K124" s="14"/>
      <c r="M124" s="424"/>
      <c r="O124" s="301" t="s">
        <v>876</v>
      </c>
    </row>
    <row r="125" spans="2:15" ht="17" thickBot="1" x14ac:dyDescent="0.25">
      <c r="B125" s="87"/>
      <c r="E125" s="562"/>
      <c r="G125" s="388"/>
      <c r="I125" s="380"/>
      <c r="K125" s="14"/>
      <c r="M125" s="424"/>
      <c r="O125" s="301"/>
    </row>
    <row r="126" spans="2:15" ht="17" thickBot="1" x14ac:dyDescent="0.25">
      <c r="B126" s="67"/>
      <c r="C126" s="2" t="s">
        <v>316</v>
      </c>
      <c r="D126" s="118" t="s">
        <v>724</v>
      </c>
      <c r="E126" s="564"/>
      <c r="F126" s="242"/>
      <c r="G126" s="405"/>
      <c r="H126" s="242"/>
      <c r="I126" s="17"/>
      <c r="K126" s="14"/>
      <c r="M126" s="424"/>
      <c r="O126" s="301" t="s">
        <v>877</v>
      </c>
    </row>
    <row r="127" spans="2:15" ht="17" thickBot="1" x14ac:dyDescent="0.25">
      <c r="B127" s="87"/>
      <c r="C127" s="2" t="s">
        <v>317</v>
      </c>
      <c r="D127" s="118" t="s">
        <v>724</v>
      </c>
      <c r="E127" s="565"/>
      <c r="F127" s="242"/>
      <c r="G127" s="405"/>
      <c r="H127" s="242"/>
      <c r="I127" s="17"/>
      <c r="K127" s="14"/>
      <c r="M127" s="424"/>
      <c r="O127" s="301" t="s">
        <v>878</v>
      </c>
    </row>
    <row r="128" spans="2:15" ht="17" thickBot="1" x14ac:dyDescent="0.25">
      <c r="B128" s="87"/>
      <c r="E128" s="562"/>
      <c r="G128" s="388"/>
      <c r="I128" s="380"/>
      <c r="K128" s="14"/>
      <c r="L128" s="327"/>
      <c r="M128" s="424"/>
      <c r="O128" s="301"/>
    </row>
    <row r="129" spans="2:15" ht="17" thickBot="1" x14ac:dyDescent="0.25">
      <c r="B129" s="87"/>
      <c r="C129" s="2" t="s">
        <v>356</v>
      </c>
      <c r="D129" s="118" t="s">
        <v>724</v>
      </c>
      <c r="E129" s="564"/>
      <c r="G129" s="388"/>
      <c r="I129" s="17"/>
      <c r="K129" s="14"/>
      <c r="L129" s="327"/>
      <c r="M129" s="424"/>
      <c r="O129" s="301" t="s">
        <v>879</v>
      </c>
    </row>
    <row r="130" spans="2:15" ht="17" thickBot="1" x14ac:dyDescent="0.25">
      <c r="B130" s="87"/>
      <c r="C130" s="2" t="s">
        <v>357</v>
      </c>
      <c r="D130" s="118" t="s">
        <v>724</v>
      </c>
      <c r="E130" s="566"/>
      <c r="G130" s="388"/>
      <c r="I130" s="17"/>
      <c r="K130" s="14"/>
      <c r="L130" s="327"/>
      <c r="M130" s="424"/>
      <c r="O130" s="301" t="s">
        <v>880</v>
      </c>
    </row>
    <row r="131" spans="2:15" ht="17" thickBot="1" x14ac:dyDescent="0.25">
      <c r="B131" s="87"/>
      <c r="C131" s="2" t="s">
        <v>358</v>
      </c>
      <c r="D131" s="118" t="s">
        <v>724</v>
      </c>
      <c r="E131" s="566"/>
      <c r="G131" s="388"/>
      <c r="I131" s="17"/>
      <c r="K131" s="14"/>
      <c r="L131" s="327"/>
      <c r="M131" s="424"/>
      <c r="O131" s="301" t="s">
        <v>881</v>
      </c>
    </row>
    <row r="132" spans="2:15" x14ac:dyDescent="0.2">
      <c r="B132" s="87"/>
      <c r="C132" s="10"/>
      <c r="D132" s="439"/>
      <c r="E132" s="10"/>
      <c r="F132" s="10"/>
      <c r="G132" s="389"/>
      <c r="H132" s="10"/>
      <c r="I132" s="10"/>
      <c r="K132" s="14"/>
      <c r="M132" s="424"/>
    </row>
    <row r="133" spans="2:15" x14ac:dyDescent="0.2">
      <c r="B133" s="375" t="s">
        <v>627</v>
      </c>
      <c r="C133" s="91"/>
      <c r="G133" s="388"/>
      <c r="J133" s="4"/>
      <c r="K133" s="283"/>
      <c r="L133" s="4"/>
      <c r="M133" s="430"/>
    </row>
    <row r="134" spans="2:15" x14ac:dyDescent="0.2">
      <c r="B134" s="87"/>
      <c r="C134" s="2" t="s">
        <v>276</v>
      </c>
      <c r="D134" s="118" t="s">
        <v>265</v>
      </c>
      <c r="E134" s="2">
        <v>2190</v>
      </c>
      <c r="G134" s="388"/>
      <c r="I134" s="2" t="s">
        <v>697</v>
      </c>
      <c r="K134" s="14"/>
      <c r="M134" s="424"/>
      <c r="O134" s="16"/>
    </row>
    <row r="135" spans="2:15" x14ac:dyDescent="0.2">
      <c r="B135" s="67"/>
      <c r="C135" s="2" t="s">
        <v>277</v>
      </c>
      <c r="D135" s="118" t="s">
        <v>265</v>
      </c>
      <c r="E135" s="2">
        <v>2190</v>
      </c>
      <c r="G135" s="388"/>
      <c r="I135" s="2" t="s">
        <v>697</v>
      </c>
      <c r="K135" s="14"/>
      <c r="M135" s="424"/>
      <c r="O135" s="16"/>
    </row>
    <row r="136" spans="2:15" x14ac:dyDescent="0.2">
      <c r="B136" s="67"/>
      <c r="C136" s="2" t="s">
        <v>278</v>
      </c>
      <c r="D136" s="118" t="s">
        <v>265</v>
      </c>
      <c r="E136" s="2">
        <v>2190</v>
      </c>
      <c r="G136" s="388"/>
      <c r="I136" s="2" t="s">
        <v>697</v>
      </c>
      <c r="K136" s="14"/>
      <c r="M136" s="424"/>
      <c r="O136" s="16"/>
    </row>
    <row r="137" spans="2:15" x14ac:dyDescent="0.2">
      <c r="B137" s="87"/>
      <c r="C137" s="2" t="s">
        <v>279</v>
      </c>
      <c r="D137" s="118" t="s">
        <v>265</v>
      </c>
      <c r="E137" s="2">
        <v>2190</v>
      </c>
      <c r="G137" s="388"/>
      <c r="I137" s="2" t="s">
        <v>697</v>
      </c>
      <c r="K137" s="14"/>
      <c r="M137" s="424"/>
      <c r="O137" s="16"/>
    </row>
    <row r="138" spans="2:15" x14ac:dyDescent="0.2">
      <c r="B138" s="87"/>
      <c r="C138" s="2" t="s">
        <v>280</v>
      </c>
      <c r="D138" s="118" t="s">
        <v>265</v>
      </c>
      <c r="E138" s="2">
        <v>2190</v>
      </c>
      <c r="G138" s="388"/>
      <c r="I138" s="2" t="s">
        <v>697</v>
      </c>
      <c r="K138" s="14"/>
      <c r="M138" s="424"/>
      <c r="O138" s="16"/>
    </row>
    <row r="139" spans="2:15" x14ac:dyDescent="0.2">
      <c r="B139" s="87"/>
      <c r="C139" s="2" t="s">
        <v>283</v>
      </c>
      <c r="D139" s="118" t="s">
        <v>265</v>
      </c>
      <c r="E139" s="2">
        <v>2190</v>
      </c>
      <c r="G139" s="388"/>
      <c r="I139" s="2" t="s">
        <v>697</v>
      </c>
      <c r="K139" s="14"/>
      <c r="M139" s="424"/>
      <c r="O139" s="16"/>
    </row>
    <row r="140" spans="2:15" x14ac:dyDescent="0.2">
      <c r="B140" s="87"/>
      <c r="C140" s="2" t="s">
        <v>189</v>
      </c>
      <c r="D140" s="118" t="s">
        <v>265</v>
      </c>
      <c r="E140" s="2">
        <v>3672</v>
      </c>
      <c r="G140" s="388"/>
      <c r="I140" s="2" t="s">
        <v>697</v>
      </c>
      <c r="K140" s="14"/>
      <c r="M140" s="424"/>
      <c r="O140" s="16"/>
    </row>
    <row r="141" spans="2:15" ht="17" thickBot="1" x14ac:dyDescent="0.25">
      <c r="B141" s="87"/>
      <c r="C141" s="2" t="s">
        <v>803</v>
      </c>
      <c r="D141" s="118" t="s">
        <v>265</v>
      </c>
      <c r="E141" s="2">
        <v>6500</v>
      </c>
      <c r="G141" s="388"/>
      <c r="I141" s="2" t="s">
        <v>697</v>
      </c>
      <c r="K141" s="14"/>
      <c r="M141" s="424"/>
      <c r="O141" s="16"/>
    </row>
    <row r="142" spans="2:15" ht="17" thickBot="1" x14ac:dyDescent="0.25">
      <c r="B142" s="87"/>
      <c r="C142" s="2" t="s">
        <v>191</v>
      </c>
      <c r="D142" s="118" t="s">
        <v>265</v>
      </c>
      <c r="E142" s="556"/>
      <c r="G142" s="388"/>
      <c r="I142" s="17"/>
      <c r="K142" s="14"/>
      <c r="M142" s="424"/>
      <c r="O142" s="16" t="s">
        <v>847</v>
      </c>
    </row>
    <row r="143" spans="2:15" x14ac:dyDescent="0.2">
      <c r="B143" s="87"/>
      <c r="E143" s="523"/>
      <c r="G143" s="388"/>
      <c r="K143" s="14"/>
      <c r="M143" s="424"/>
      <c r="O143" s="16"/>
    </row>
    <row r="144" spans="2:15" ht="17" thickBot="1" x14ac:dyDescent="0.25">
      <c r="B144" s="375" t="s">
        <v>863</v>
      </c>
      <c r="C144" s="558"/>
      <c r="D144" s="559"/>
      <c r="E144" s="4"/>
      <c r="F144" s="4"/>
      <c r="G144" s="560"/>
      <c r="H144" s="4"/>
      <c r="I144" s="4"/>
      <c r="J144" s="4"/>
      <c r="K144" s="283"/>
      <c r="L144" s="4"/>
      <c r="M144" s="430"/>
    </row>
    <row r="145" spans="2:15" ht="17" thickBot="1" x14ac:dyDescent="0.25">
      <c r="B145" s="87"/>
      <c r="C145" s="2" t="s">
        <v>276</v>
      </c>
      <c r="D145" s="118" t="s">
        <v>724</v>
      </c>
      <c r="E145" s="564"/>
      <c r="G145" s="388"/>
      <c r="I145" s="17"/>
      <c r="K145" s="14"/>
      <c r="M145" s="424"/>
      <c r="O145" s="301" t="s">
        <v>883</v>
      </c>
    </row>
    <row r="146" spans="2:15" ht="17" thickBot="1" x14ac:dyDescent="0.25">
      <c r="B146" s="67"/>
      <c r="C146" s="2" t="s">
        <v>891</v>
      </c>
      <c r="D146" s="118" t="s">
        <v>724</v>
      </c>
      <c r="E146" s="566"/>
      <c r="G146" s="388"/>
      <c r="I146" s="17"/>
      <c r="K146" s="14"/>
      <c r="M146" s="424"/>
      <c r="O146" s="301" t="s">
        <v>892</v>
      </c>
    </row>
    <row r="147" spans="2:15" ht="17" thickBot="1" x14ac:dyDescent="0.25">
      <c r="B147" s="67"/>
      <c r="C147" s="2" t="s">
        <v>278</v>
      </c>
      <c r="D147" s="118" t="s">
        <v>724</v>
      </c>
      <c r="E147" s="566"/>
      <c r="G147" s="388"/>
      <c r="I147" s="17"/>
      <c r="K147" s="14"/>
      <c r="M147" s="424"/>
      <c r="O147" s="301" t="s">
        <v>884</v>
      </c>
    </row>
    <row r="148" spans="2:15" ht="17" thickBot="1" x14ac:dyDescent="0.25">
      <c r="B148" s="87"/>
      <c r="C148" s="2" t="s">
        <v>279</v>
      </c>
      <c r="D148" s="118" t="s">
        <v>724</v>
      </c>
      <c r="E148" s="566"/>
      <c r="G148" s="388"/>
      <c r="I148" s="17"/>
      <c r="K148" s="14"/>
      <c r="M148" s="424"/>
      <c r="O148" s="301" t="s">
        <v>885</v>
      </c>
    </row>
    <row r="149" spans="2:15" ht="17" thickBot="1" x14ac:dyDescent="0.25">
      <c r="B149" s="87"/>
      <c r="C149" s="2" t="s">
        <v>288</v>
      </c>
      <c r="D149" s="118" t="s">
        <v>724</v>
      </c>
      <c r="E149" s="564"/>
      <c r="G149" s="388"/>
      <c r="I149" s="17"/>
      <c r="K149" s="14"/>
      <c r="M149" s="424"/>
      <c r="O149" s="301" t="s">
        <v>886</v>
      </c>
    </row>
    <row r="150" spans="2:15" ht="17" thickBot="1" x14ac:dyDescent="0.25">
      <c r="B150" s="87"/>
      <c r="C150" s="2" t="s">
        <v>283</v>
      </c>
      <c r="D150" s="118" t="s">
        <v>724</v>
      </c>
      <c r="E150" s="566"/>
      <c r="G150" s="388"/>
      <c r="I150" s="17"/>
      <c r="K150" s="14"/>
      <c r="M150" s="424"/>
      <c r="O150" s="301" t="s">
        <v>887</v>
      </c>
    </row>
    <row r="151" spans="2:15" ht="17" thickBot="1" x14ac:dyDescent="0.25">
      <c r="B151" s="87"/>
      <c r="C151" s="2" t="s">
        <v>760</v>
      </c>
      <c r="D151" s="118" t="s">
        <v>724</v>
      </c>
      <c r="E151" s="566"/>
      <c r="G151" s="388"/>
      <c r="I151" s="17"/>
      <c r="K151" s="14"/>
      <c r="M151" s="424"/>
      <c r="O151" s="301" t="s">
        <v>882</v>
      </c>
    </row>
    <row r="152" spans="2:15" ht="17" thickBot="1" x14ac:dyDescent="0.25">
      <c r="B152" s="87"/>
      <c r="C152" s="2" t="s">
        <v>761</v>
      </c>
      <c r="D152" s="118" t="s">
        <v>724</v>
      </c>
      <c r="E152" s="566"/>
      <c r="G152" s="388"/>
      <c r="I152" s="17"/>
      <c r="K152" s="14"/>
      <c r="M152" s="424"/>
      <c r="O152" s="301" t="s">
        <v>888</v>
      </c>
    </row>
    <row r="153" spans="2:15" ht="17" thickBot="1" x14ac:dyDescent="0.25">
      <c r="B153" s="87"/>
      <c r="C153" s="2" t="s">
        <v>763</v>
      </c>
      <c r="D153" s="118" t="s">
        <v>724</v>
      </c>
      <c r="E153" s="564"/>
      <c r="G153" s="388"/>
      <c r="I153" s="17"/>
      <c r="K153" s="14"/>
      <c r="M153" s="424"/>
      <c r="O153" s="301" t="s">
        <v>889</v>
      </c>
    </row>
    <row r="154" spans="2:15" ht="17" thickBot="1" x14ac:dyDescent="0.25">
      <c r="B154" s="87"/>
      <c r="C154" s="2" t="s">
        <v>764</v>
      </c>
      <c r="D154" s="118" t="s">
        <v>724</v>
      </c>
      <c r="E154" s="564"/>
      <c r="G154" s="388"/>
      <c r="I154" s="17"/>
      <c r="K154" s="14"/>
      <c r="M154" s="424"/>
      <c r="O154" s="301" t="s">
        <v>890</v>
      </c>
    </row>
    <row r="155" spans="2:15" x14ac:dyDescent="0.2">
      <c r="B155" s="87"/>
      <c r="E155" s="568"/>
      <c r="G155" s="388"/>
      <c r="K155" s="14"/>
      <c r="M155" s="424"/>
    </row>
    <row r="156" spans="2:15" x14ac:dyDescent="0.2">
      <c r="B156" s="87"/>
      <c r="G156" s="388"/>
      <c r="K156" s="14"/>
      <c r="M156" s="424"/>
      <c r="O156" s="16"/>
    </row>
    <row r="157" spans="2:15" x14ac:dyDescent="0.2">
      <c r="B157" s="375" t="s">
        <v>810</v>
      </c>
      <c r="C157" s="4"/>
      <c r="D157" s="559"/>
      <c r="E157" s="4"/>
      <c r="F157" s="4"/>
      <c r="G157" s="560"/>
      <c r="H157" s="4"/>
      <c r="I157" s="4"/>
      <c r="J157" s="4"/>
      <c r="K157" s="283"/>
      <c r="L157" s="4"/>
      <c r="M157" s="430"/>
      <c r="O157" s="16"/>
    </row>
    <row r="158" spans="2:15" x14ac:dyDescent="0.2">
      <c r="B158" s="87"/>
      <c r="C158" s="2" t="s">
        <v>765</v>
      </c>
      <c r="E158" s="2">
        <f>'Corrected energy balance step 1'!BM60-'Corrected energy balance step 1'!BM40+'Corrected energy balance step 1'!BM53</f>
        <v>0</v>
      </c>
      <c r="G158" s="388"/>
      <c r="K158" s="14"/>
      <c r="M158" s="424"/>
      <c r="O158" s="16"/>
    </row>
    <row r="159" spans="2:15" x14ac:dyDescent="0.2">
      <c r="B159" s="87"/>
      <c r="C159" s="2" t="s">
        <v>766</v>
      </c>
      <c r="E159" s="2">
        <f>('Production table step 1'!B5*'Production table step 1'!E5)+('Production table step 1'!B6*'Production table step 1'!E6)+('Production table step 1'!B8*'Production table step 1'!E8)+('Production table step 1'!B9*'Production table step 1'!E9+('Production table step 1'!B10*'Production table step 1'!E10))</f>
        <v>0</v>
      </c>
      <c r="G159" s="388"/>
      <c r="K159" s="14"/>
      <c r="M159" s="424"/>
      <c r="O159" s="16"/>
    </row>
    <row r="160" spans="2:15" ht="51" x14ac:dyDescent="0.2">
      <c r="B160" s="87"/>
      <c r="C160" s="2" t="s">
        <v>767</v>
      </c>
      <c r="E160" s="2">
        <f>E158-E159</f>
        <v>0</v>
      </c>
      <c r="G160" s="388"/>
      <c r="K160" s="527" t="s">
        <v>826</v>
      </c>
      <c r="M160" s="424"/>
      <c r="O160" s="16"/>
    </row>
    <row r="161" spans="2:16" x14ac:dyDescent="0.2">
      <c r="B161" s="87"/>
      <c r="G161" s="388"/>
      <c r="K161" s="14"/>
      <c r="M161" s="424"/>
      <c r="O161" s="16"/>
    </row>
    <row r="162" spans="2:16" ht="17" thickBot="1" x14ac:dyDescent="0.25">
      <c r="B162" s="87"/>
      <c r="C162" s="16" t="s">
        <v>811</v>
      </c>
      <c r="D162" s="118" t="s">
        <v>513</v>
      </c>
      <c r="E162" s="327">
        <f>'Main activity heat plants'!H11</f>
        <v>0</v>
      </c>
      <c r="G162" s="388"/>
      <c r="K162" s="14"/>
      <c r="M162" s="424"/>
      <c r="O162" s="16"/>
    </row>
    <row r="163" spans="2:16" ht="17" thickBot="1" x14ac:dyDescent="0.25">
      <c r="B163" s="87"/>
      <c r="C163" s="2" t="s">
        <v>775</v>
      </c>
      <c r="D163" s="118" t="s">
        <v>725</v>
      </c>
      <c r="E163" s="528"/>
      <c r="G163" s="388"/>
      <c r="I163" s="17"/>
      <c r="K163" s="14"/>
      <c r="M163" s="424"/>
      <c r="O163" s="16" t="s">
        <v>776</v>
      </c>
    </row>
    <row r="164" spans="2:16" x14ac:dyDescent="0.2">
      <c r="B164" s="87"/>
      <c r="C164" s="2" t="s">
        <v>774</v>
      </c>
      <c r="D164" s="118" t="s">
        <v>725</v>
      </c>
      <c r="E164" s="523">
        <f>1-E163</f>
        <v>1</v>
      </c>
      <c r="G164" s="388"/>
      <c r="K164" s="14"/>
      <c r="M164" s="424"/>
      <c r="O164" s="16"/>
    </row>
    <row r="165" spans="2:16" x14ac:dyDescent="0.2">
      <c r="B165" s="87"/>
      <c r="C165" s="2" t="s">
        <v>768</v>
      </c>
      <c r="E165" s="2">
        <f>E160-(E164*E162)</f>
        <v>0</v>
      </c>
      <c r="G165" s="388"/>
      <c r="K165" s="14"/>
      <c r="M165" s="424"/>
      <c r="O165" s="16"/>
    </row>
    <row r="166" spans="2:16" x14ac:dyDescent="0.2">
      <c r="B166" s="87"/>
      <c r="G166" s="388"/>
      <c r="K166" s="14"/>
      <c r="M166" s="424"/>
      <c r="O166" s="16"/>
    </row>
    <row r="167" spans="2:16" ht="17" thickBot="1" x14ac:dyDescent="0.25">
      <c r="B167" s="87"/>
      <c r="C167" s="16" t="s">
        <v>812</v>
      </c>
      <c r="D167" s="118" t="s">
        <v>513</v>
      </c>
      <c r="E167" s="327">
        <f>'Main activity heat plants'!H26</f>
        <v>0</v>
      </c>
      <c r="G167" s="388"/>
      <c r="K167" s="14"/>
      <c r="M167" s="424"/>
      <c r="O167" s="16"/>
    </row>
    <row r="168" spans="2:16" ht="17" thickBot="1" x14ac:dyDescent="0.25">
      <c r="B168" s="87"/>
      <c r="C168" s="2" t="s">
        <v>777</v>
      </c>
      <c r="D168" s="118" t="s">
        <v>725</v>
      </c>
      <c r="E168" s="528"/>
      <c r="G168" s="388"/>
      <c r="I168" s="17"/>
      <c r="K168" s="14"/>
      <c r="M168" s="424"/>
      <c r="O168" s="16" t="s">
        <v>779</v>
      </c>
    </row>
    <row r="169" spans="2:16" x14ac:dyDescent="0.2">
      <c r="B169" s="87"/>
      <c r="C169" s="2" t="s">
        <v>778</v>
      </c>
      <c r="D169" s="118" t="s">
        <v>725</v>
      </c>
      <c r="E169" s="523">
        <f>1-E168</f>
        <v>1</v>
      </c>
      <c r="G169" s="388"/>
      <c r="K169" s="14"/>
      <c r="M169" s="424"/>
      <c r="O169" s="16"/>
    </row>
    <row r="170" spans="2:16" x14ac:dyDescent="0.2">
      <c r="B170" s="87"/>
      <c r="C170" s="2" t="s">
        <v>768</v>
      </c>
      <c r="E170" s="2">
        <f>E165-(E169*E167)</f>
        <v>0</v>
      </c>
      <c r="G170" s="388"/>
      <c r="K170" s="14"/>
      <c r="M170" s="424"/>
      <c r="O170" s="16"/>
    </row>
    <row r="171" spans="2:16" x14ac:dyDescent="0.2">
      <c r="B171" s="87"/>
      <c r="G171" s="388"/>
      <c r="K171" s="14"/>
      <c r="M171" s="424"/>
      <c r="O171" s="16"/>
    </row>
    <row r="172" spans="2:16" ht="17" thickBot="1" x14ac:dyDescent="0.25">
      <c r="B172" s="87"/>
      <c r="C172" s="16" t="s">
        <v>813</v>
      </c>
      <c r="D172" s="118" t="s">
        <v>513</v>
      </c>
      <c r="E172" s="327">
        <f>('Production table step 1'!B11*all_technical_specs!G61)+('Production table step 1'!B7*all_technical_specs!G53)</f>
        <v>0</v>
      </c>
      <c r="G172" s="388"/>
      <c r="K172" s="526" t="s">
        <v>818</v>
      </c>
      <c r="M172" s="424"/>
      <c r="O172" s="16"/>
    </row>
    <row r="173" spans="2:16" ht="17" thickBot="1" x14ac:dyDescent="0.25">
      <c r="B173" s="87"/>
      <c r="C173" s="2" t="s">
        <v>790</v>
      </c>
      <c r="D173" s="118" t="s">
        <v>725</v>
      </c>
      <c r="E173" s="528"/>
      <c r="G173" s="388"/>
      <c r="I173" s="17"/>
      <c r="K173" s="14"/>
      <c r="M173" s="424"/>
      <c r="O173" s="16" t="s">
        <v>792</v>
      </c>
      <c r="P173" s="2">
        <f>IF(L184=TRUE,1,0)</f>
        <v>1</v>
      </c>
    </row>
    <row r="174" spans="2:16" x14ac:dyDescent="0.2">
      <c r="B174" s="87"/>
      <c r="C174" s="2" t="s">
        <v>791</v>
      </c>
      <c r="D174" s="118" t="s">
        <v>725</v>
      </c>
      <c r="E174" s="523">
        <f>1-E173</f>
        <v>1</v>
      </c>
      <c r="G174" s="388"/>
      <c r="K174" s="14"/>
      <c r="M174" s="424"/>
      <c r="O174" s="16"/>
    </row>
    <row r="175" spans="2:16" x14ac:dyDescent="0.2">
      <c r="B175" s="87"/>
      <c r="C175" s="2" t="s">
        <v>768</v>
      </c>
      <c r="E175" s="2">
        <f>E170-(E174*E172)</f>
        <v>0</v>
      </c>
      <c r="G175" s="388"/>
      <c r="K175" s="14"/>
      <c r="M175" s="424"/>
      <c r="O175" s="16"/>
    </row>
    <row r="176" spans="2:16" x14ac:dyDescent="0.2">
      <c r="B176" s="87"/>
      <c r="G176" s="388"/>
      <c r="K176" s="14"/>
      <c r="M176" s="424"/>
      <c r="O176" s="16"/>
    </row>
    <row r="177" spans="2:16" ht="17" thickBot="1" x14ac:dyDescent="0.25">
      <c r="B177" s="87"/>
      <c r="C177" s="16" t="s">
        <v>990</v>
      </c>
      <c r="D177" s="118" t="s">
        <v>513</v>
      </c>
      <c r="E177" s="327">
        <f>('Production table step 1'!B2*all_technical_specs!G62)+('Production table step 1'!B6*all_technical_specs!G54)</f>
        <v>0</v>
      </c>
      <c r="G177" s="388"/>
      <c r="K177" s="526" t="s">
        <v>996</v>
      </c>
      <c r="M177" s="424"/>
      <c r="O177" s="16"/>
    </row>
    <row r="178" spans="2:16" ht="17" thickBot="1" x14ac:dyDescent="0.25">
      <c r="B178" s="87"/>
      <c r="C178" s="2" t="s">
        <v>790</v>
      </c>
      <c r="D178" s="118" t="s">
        <v>725</v>
      </c>
      <c r="E178" s="528">
        <v>0</v>
      </c>
      <c r="G178" s="388"/>
      <c r="I178" s="17"/>
      <c r="K178" s="14"/>
      <c r="M178" s="424"/>
      <c r="O178" s="16" t="s">
        <v>991</v>
      </c>
    </row>
    <row r="179" spans="2:16" x14ac:dyDescent="0.2">
      <c r="B179" s="87"/>
      <c r="C179" s="2" t="s">
        <v>791</v>
      </c>
      <c r="D179" s="118" t="s">
        <v>725</v>
      </c>
      <c r="E179" s="523">
        <f>1-E178</f>
        <v>1</v>
      </c>
      <c r="G179" s="388"/>
      <c r="K179" s="14"/>
      <c r="M179" s="424"/>
      <c r="O179" s="16"/>
    </row>
    <row r="180" spans="2:16" x14ac:dyDescent="0.2">
      <c r="B180" s="87"/>
      <c r="C180" s="2" t="s">
        <v>768</v>
      </c>
      <c r="E180" s="2">
        <f>E175-(E179*E177)</f>
        <v>0</v>
      </c>
      <c r="G180" s="388"/>
      <c r="K180" s="14"/>
      <c r="M180" s="424"/>
      <c r="O180" s="16"/>
    </row>
    <row r="181" spans="2:16" x14ac:dyDescent="0.2">
      <c r="B181" s="87"/>
      <c r="G181" s="388"/>
      <c r="K181" s="14"/>
      <c r="M181" s="424"/>
      <c r="O181" s="16"/>
    </row>
    <row r="182" spans="2:16" ht="17" thickBot="1" x14ac:dyDescent="0.25">
      <c r="B182" s="87"/>
      <c r="C182" s="16" t="s">
        <v>945</v>
      </c>
      <c r="D182" s="118" t="s">
        <v>513</v>
      </c>
      <c r="E182" s="327">
        <f>'Main activity heat plants'!H23</f>
        <v>0</v>
      </c>
      <c r="G182" s="388"/>
      <c r="K182" s="14"/>
      <c r="M182" s="424"/>
      <c r="O182" s="16"/>
    </row>
    <row r="183" spans="2:16" ht="17" thickBot="1" x14ac:dyDescent="0.25">
      <c r="B183" s="87"/>
      <c r="C183" s="2" t="s">
        <v>946</v>
      </c>
      <c r="D183" s="118" t="s">
        <v>725</v>
      </c>
      <c r="E183" s="528"/>
      <c r="G183" s="388"/>
      <c r="I183" s="17"/>
      <c r="K183" s="14"/>
      <c r="M183" s="424"/>
      <c r="O183" s="16" t="s">
        <v>948</v>
      </c>
    </row>
    <row r="184" spans="2:16" x14ac:dyDescent="0.2">
      <c r="B184" s="87"/>
      <c r="C184" s="2" t="s">
        <v>947</v>
      </c>
      <c r="D184" s="118" t="s">
        <v>725</v>
      </c>
      <c r="E184" s="523">
        <f>1-E183</f>
        <v>1</v>
      </c>
      <c r="G184" s="388"/>
      <c r="K184" s="14" t="s">
        <v>824</v>
      </c>
      <c r="L184" s="2" t="b">
        <f>IF(OR(E162+E167+E172+E177=0,AND(E163+E168+E173+E183+E178=0, E185&gt;=0),AND(E163+E168+E173+E183+E178=1, E185&lt;=0),AND(E185&lt;5000,E185&gt;-5000)),TRUE,FALSE)</f>
        <v>1</v>
      </c>
      <c r="M184" s="424"/>
      <c r="O184" s="16"/>
    </row>
    <row r="185" spans="2:16" x14ac:dyDescent="0.2">
      <c r="B185" s="87"/>
      <c r="C185" s="2" t="s">
        <v>768</v>
      </c>
      <c r="E185" s="2">
        <f>E180-(E184*E182)</f>
        <v>0</v>
      </c>
      <c r="G185" s="388"/>
      <c r="K185" s="14"/>
      <c r="M185" s="424"/>
      <c r="O185" s="16"/>
    </row>
    <row r="186" spans="2:16" x14ac:dyDescent="0.2">
      <c r="B186" s="87"/>
      <c r="G186" s="388"/>
      <c r="K186" s="14"/>
      <c r="M186" s="424"/>
      <c r="O186" s="16"/>
    </row>
    <row r="187" spans="2:16" x14ac:dyDescent="0.2">
      <c r="B187" s="87"/>
      <c r="C187" s="2" t="s">
        <v>821</v>
      </c>
      <c r="D187" s="118" t="s">
        <v>653</v>
      </c>
      <c r="E187" s="327" t="e">
        <f>'Production table step 1'!B11/'Production table step 1'!C11/0.0036*all_technical_specs!G61</f>
        <v>#DIV/0!</v>
      </c>
      <c r="G187" s="388"/>
      <c r="K187" s="14"/>
      <c r="M187" s="424"/>
      <c r="O187" s="16"/>
    </row>
    <row r="188" spans="2:16" x14ac:dyDescent="0.2">
      <c r="B188" s="87"/>
      <c r="C188" s="2" t="s">
        <v>822</v>
      </c>
      <c r="D188" s="118" t="s">
        <v>653</v>
      </c>
      <c r="E188" s="327" t="e">
        <f>'Production table step 1'!B7/'Production table step 1'!C7/0.0036*all_technical_specs!G53</f>
        <v>#DIV/0!</v>
      </c>
      <c r="G188" s="388"/>
      <c r="K188" s="14"/>
      <c r="M188" s="424"/>
      <c r="O188" s="16"/>
    </row>
    <row r="189" spans="2:16" x14ac:dyDescent="0.2">
      <c r="B189" s="87"/>
      <c r="G189" s="388"/>
      <c r="K189" s="14"/>
      <c r="M189" s="424"/>
      <c r="O189" s="16"/>
      <c r="P189" s="2" t="e">
        <f>IF(L191=TRUE,1,0)</f>
        <v>#DIV/0!</v>
      </c>
    </row>
    <row r="190" spans="2:16" x14ac:dyDescent="0.2">
      <c r="B190" s="87"/>
      <c r="C190" s="2" t="s">
        <v>819</v>
      </c>
      <c r="D190" s="118" t="s">
        <v>653</v>
      </c>
      <c r="E190" s="327" t="e">
        <f>'Results by machine'!N59</f>
        <v>#DIV/0!</v>
      </c>
      <c r="G190" s="388"/>
      <c r="K190" s="14"/>
      <c r="M190" s="424"/>
      <c r="O190" s="16"/>
    </row>
    <row r="191" spans="2:16" x14ac:dyDescent="0.2">
      <c r="B191" s="87"/>
      <c r="C191" s="2" t="s">
        <v>820</v>
      </c>
      <c r="D191" s="118" t="s">
        <v>653</v>
      </c>
      <c r="E191" s="327" t="e">
        <f>(SUM(E187,E188)-E190)</f>
        <v>#DIV/0!</v>
      </c>
      <c r="G191" s="388"/>
      <c r="K191" s="14" t="s">
        <v>825</v>
      </c>
      <c r="L191" s="2" t="e">
        <f>IF(SUM(E187:E188)=SUM(E190:E191),TRUE,FALSE)</f>
        <v>#DIV/0!</v>
      </c>
      <c r="M191" s="424"/>
      <c r="O191" s="16"/>
    </row>
    <row r="192" spans="2:16" x14ac:dyDescent="0.2">
      <c r="B192" s="87"/>
      <c r="E192" s="327"/>
      <c r="G192" s="388"/>
      <c r="K192" s="14"/>
      <c r="M192" s="424"/>
      <c r="O192" s="16"/>
    </row>
    <row r="193" spans="2:16" x14ac:dyDescent="0.2">
      <c r="B193" s="87"/>
      <c r="C193" s="2" t="s">
        <v>809</v>
      </c>
      <c r="D193" s="118" t="s">
        <v>265</v>
      </c>
      <c r="E193" s="172">
        <f>'Production table step 1'!C11</f>
        <v>0</v>
      </c>
      <c r="G193" s="388"/>
      <c r="K193" s="14"/>
      <c r="M193" s="424"/>
      <c r="O193" s="16"/>
    </row>
    <row r="194" spans="2:16" x14ac:dyDescent="0.2">
      <c r="B194" s="87"/>
      <c r="C194" s="2" t="s">
        <v>815</v>
      </c>
      <c r="D194" s="118" t="s">
        <v>265</v>
      </c>
      <c r="E194" s="172">
        <f>'Production table step 1'!C7</f>
        <v>0</v>
      </c>
      <c r="G194" s="388"/>
      <c r="K194" s="14"/>
      <c r="M194" s="424"/>
      <c r="O194" s="16"/>
    </row>
    <row r="195" spans="2:16" x14ac:dyDescent="0.2">
      <c r="B195" s="87"/>
      <c r="G195" s="388"/>
      <c r="K195" s="14"/>
      <c r="M195" s="424"/>
      <c r="O195" s="16"/>
    </row>
    <row r="196" spans="2:16" x14ac:dyDescent="0.2">
      <c r="B196" s="87"/>
      <c r="C196" s="2" t="s">
        <v>814</v>
      </c>
      <c r="D196" s="118" t="s">
        <v>265</v>
      </c>
      <c r="E196" s="172">
        <f>'Results by machine'!L59</f>
        <v>0</v>
      </c>
      <c r="G196" s="388"/>
      <c r="K196" s="14"/>
      <c r="M196" s="424"/>
      <c r="O196" s="16"/>
    </row>
    <row r="197" spans="2:16" x14ac:dyDescent="0.2">
      <c r="B197" s="87"/>
      <c r="C197" s="2" t="s">
        <v>816</v>
      </c>
      <c r="D197" s="118" t="s">
        <v>265</v>
      </c>
      <c r="E197" s="529">
        <f>'Results by machine'!L60</f>
        <v>0</v>
      </c>
      <c r="G197" s="388"/>
      <c r="K197" s="14"/>
      <c r="M197" s="424"/>
      <c r="O197" s="16"/>
    </row>
    <row r="198" spans="2:16" x14ac:dyDescent="0.2">
      <c r="B198" s="87"/>
      <c r="E198" s="158"/>
      <c r="G198" s="388"/>
      <c r="K198" s="14"/>
      <c r="M198" s="424"/>
      <c r="O198" s="16"/>
    </row>
    <row r="199" spans="2:16" x14ac:dyDescent="0.2">
      <c r="B199" s="87"/>
      <c r="C199" s="2" t="s">
        <v>982</v>
      </c>
      <c r="D199" s="118" t="s">
        <v>653</v>
      </c>
      <c r="E199" s="172" t="e">
        <f>'Production table step 1'!B2/'Production table step 1'!C2/0.0036*all_technical_specs!G62</f>
        <v>#DIV/0!</v>
      </c>
      <c r="G199" s="388"/>
      <c r="K199" s="14"/>
      <c r="M199" s="424"/>
      <c r="O199" s="16"/>
    </row>
    <row r="200" spans="2:16" x14ac:dyDescent="0.2">
      <c r="B200" s="87"/>
      <c r="C200" s="2" t="s">
        <v>983</v>
      </c>
      <c r="D200" s="118" t="s">
        <v>653</v>
      </c>
      <c r="E200" s="172" t="e">
        <f>'Production table step 1'!B6/'Production table step 1'!C6/0.0036*all_technical_specs!G54</f>
        <v>#DIV/0!</v>
      </c>
      <c r="G200" s="388"/>
      <c r="K200" s="14"/>
      <c r="M200" s="424"/>
      <c r="O200" s="16"/>
    </row>
    <row r="201" spans="2:16" x14ac:dyDescent="0.2">
      <c r="B201" s="87"/>
      <c r="E201" s="172"/>
      <c r="G201" s="388"/>
      <c r="K201" s="14"/>
      <c r="M201" s="424"/>
      <c r="O201" s="16"/>
      <c r="P201" s="2" t="e">
        <f>IF(L203=TRUE,1,0)</f>
        <v>#DIV/0!</v>
      </c>
    </row>
    <row r="202" spans="2:16" x14ac:dyDescent="0.2">
      <c r="B202" s="87"/>
      <c r="C202" s="2" t="s">
        <v>984</v>
      </c>
      <c r="D202" s="118" t="s">
        <v>653</v>
      </c>
      <c r="E202" s="172" t="e">
        <f>'Results by machine'!N63</f>
        <v>#DIV/0!</v>
      </c>
      <c r="G202" s="388"/>
      <c r="K202" s="14"/>
      <c r="M202" s="424"/>
      <c r="O202" s="16"/>
    </row>
    <row r="203" spans="2:16" x14ac:dyDescent="0.2">
      <c r="B203" s="87"/>
      <c r="C203" s="2" t="s">
        <v>985</v>
      </c>
      <c r="D203" s="118" t="s">
        <v>653</v>
      </c>
      <c r="E203" s="172" t="e">
        <f>(SUM(E199,E200)-E202)</f>
        <v>#DIV/0!</v>
      </c>
      <c r="G203" s="388"/>
      <c r="K203" s="14" t="s">
        <v>825</v>
      </c>
      <c r="L203" s="2" t="e">
        <f>IF(SUM(E199:E200)=SUM(E202:E203),TRUE,FALSE)</f>
        <v>#DIV/0!</v>
      </c>
      <c r="M203" s="424"/>
      <c r="O203" s="16"/>
    </row>
    <row r="204" spans="2:16" x14ac:dyDescent="0.2">
      <c r="B204" s="87"/>
      <c r="E204" s="172"/>
      <c r="G204" s="388"/>
      <c r="K204" s="14"/>
      <c r="M204" s="424"/>
      <c r="O204" s="16"/>
    </row>
    <row r="205" spans="2:16" x14ac:dyDescent="0.2">
      <c r="B205" s="87"/>
      <c r="C205" s="2" t="s">
        <v>986</v>
      </c>
      <c r="D205" s="118" t="s">
        <v>265</v>
      </c>
      <c r="E205" s="172">
        <f>'Production table step 1'!C2</f>
        <v>0</v>
      </c>
      <c r="G205" s="388"/>
      <c r="K205" s="14"/>
      <c r="M205" s="424"/>
      <c r="O205" s="16"/>
    </row>
    <row r="206" spans="2:16" x14ac:dyDescent="0.2">
      <c r="B206" s="87"/>
      <c r="C206" s="2" t="s">
        <v>987</v>
      </c>
      <c r="D206" s="118" t="s">
        <v>265</v>
      </c>
      <c r="E206" s="172">
        <f>'Production table step 1'!C6</f>
        <v>0</v>
      </c>
      <c r="G206" s="388"/>
      <c r="K206" s="14"/>
      <c r="M206" s="424"/>
      <c r="O206" s="16"/>
    </row>
    <row r="207" spans="2:16" x14ac:dyDescent="0.2">
      <c r="B207" s="87"/>
      <c r="E207" s="172"/>
      <c r="G207" s="388"/>
      <c r="K207" s="14"/>
      <c r="M207" s="424"/>
      <c r="O207" s="16"/>
    </row>
    <row r="208" spans="2:16" x14ac:dyDescent="0.2">
      <c r="B208" s="87"/>
      <c r="C208" s="2" t="s">
        <v>988</v>
      </c>
      <c r="D208" s="118" t="s">
        <v>265</v>
      </c>
      <c r="E208" s="172">
        <f>'Results by machine'!L63</f>
        <v>0</v>
      </c>
      <c r="G208" s="388"/>
      <c r="K208" s="14"/>
      <c r="M208" s="424"/>
      <c r="O208" s="16"/>
    </row>
    <row r="209" spans="2:15" x14ac:dyDescent="0.2">
      <c r="B209" s="87"/>
      <c r="C209" s="2" t="s">
        <v>989</v>
      </c>
      <c r="D209" s="118" t="s">
        <v>265</v>
      </c>
      <c r="E209" s="529">
        <f>'Results by machine'!L64</f>
        <v>0</v>
      </c>
      <c r="G209" s="388"/>
      <c r="K209" s="14"/>
      <c r="M209" s="424"/>
      <c r="O209" s="16"/>
    </row>
    <row r="210" spans="2:15" x14ac:dyDescent="0.2">
      <c r="B210" s="87"/>
      <c r="E210" s="172"/>
      <c r="G210" s="388"/>
      <c r="K210" s="14"/>
      <c r="M210" s="424"/>
      <c r="O210" s="16"/>
    </row>
    <row r="211" spans="2:15" x14ac:dyDescent="0.2">
      <c r="B211" s="87"/>
      <c r="C211" s="10"/>
      <c r="D211" s="439"/>
      <c r="E211" s="10"/>
      <c r="F211" s="10"/>
      <c r="G211" s="389"/>
      <c r="H211" s="10"/>
      <c r="I211" s="10"/>
      <c r="K211" s="14"/>
      <c r="M211" s="424"/>
      <c r="O211" s="16"/>
    </row>
    <row r="212" spans="2:15" x14ac:dyDescent="0.2">
      <c r="B212" s="375" t="s">
        <v>741</v>
      </c>
      <c r="C212" s="91"/>
      <c r="G212" s="388"/>
      <c r="J212" s="4"/>
      <c r="K212" s="283"/>
      <c r="L212" s="4"/>
      <c r="M212" s="430"/>
    </row>
    <row r="213" spans="2:15" ht="17" thickBot="1" x14ac:dyDescent="0.25">
      <c r="B213" s="87"/>
      <c r="C213" s="521" t="s">
        <v>742</v>
      </c>
      <c r="G213" s="388"/>
      <c r="K213" s="14"/>
      <c r="M213" s="424"/>
    </row>
    <row r="214" spans="2:15" ht="17" thickBot="1" x14ac:dyDescent="0.25">
      <c r="B214" s="87"/>
      <c r="C214" s="2" t="s">
        <v>743</v>
      </c>
      <c r="D214" s="118" t="s">
        <v>513</v>
      </c>
      <c r="E214" s="17"/>
      <c r="G214" s="388"/>
      <c r="I214" s="17"/>
      <c r="K214" s="14"/>
      <c r="M214" s="424"/>
      <c r="O214" s="16" t="s">
        <v>748</v>
      </c>
    </row>
    <row r="215" spans="2:15" ht="17" thickBot="1" x14ac:dyDescent="0.25">
      <c r="B215" s="87"/>
      <c r="C215" s="2" t="s">
        <v>744</v>
      </c>
      <c r="D215" s="118" t="s">
        <v>513</v>
      </c>
      <c r="E215" s="17"/>
      <c r="G215" s="388"/>
      <c r="I215" s="17"/>
      <c r="K215" s="14"/>
      <c r="M215" s="424"/>
      <c r="O215" s="16" t="s">
        <v>749</v>
      </c>
    </row>
    <row r="216" spans="2:15" ht="17" thickBot="1" x14ac:dyDescent="0.25">
      <c r="B216" s="87"/>
      <c r="C216" s="2" t="s">
        <v>743</v>
      </c>
      <c r="D216" s="118" t="s">
        <v>265</v>
      </c>
      <c r="E216" s="17"/>
      <c r="G216" s="388"/>
      <c r="I216" s="17"/>
      <c r="K216" s="14"/>
      <c r="M216" s="424"/>
      <c r="O216" s="16" t="s">
        <v>750</v>
      </c>
    </row>
    <row r="217" spans="2:15" ht="17" thickBot="1" x14ac:dyDescent="0.25">
      <c r="B217" s="87"/>
      <c r="C217" s="2" t="s">
        <v>744</v>
      </c>
      <c r="D217" s="118" t="s">
        <v>265</v>
      </c>
      <c r="E217" s="17"/>
      <c r="G217" s="388"/>
      <c r="I217" s="17"/>
      <c r="K217" s="14"/>
      <c r="M217" s="424"/>
      <c r="O217" s="16" t="s">
        <v>751</v>
      </c>
    </row>
    <row r="218" spans="2:15" x14ac:dyDescent="0.2">
      <c r="B218" s="87"/>
      <c r="G218" s="388"/>
      <c r="K218" s="14"/>
      <c r="M218" s="424"/>
    </row>
    <row r="219" spans="2:15" ht="17" thickBot="1" x14ac:dyDescent="0.25">
      <c r="B219" s="87"/>
      <c r="C219" s="1" t="s">
        <v>745</v>
      </c>
      <c r="G219" s="388"/>
      <c r="K219" s="14"/>
      <c r="M219" s="424"/>
    </row>
    <row r="220" spans="2:15" ht="17" thickBot="1" x14ac:dyDescent="0.25">
      <c r="B220" s="87"/>
      <c r="C220" s="2" t="s">
        <v>746</v>
      </c>
      <c r="D220" s="118" t="s">
        <v>513</v>
      </c>
      <c r="E220" s="17"/>
      <c r="G220" s="388"/>
      <c r="I220" s="17"/>
      <c r="K220" s="14"/>
      <c r="M220" s="424"/>
      <c r="O220" s="16" t="s">
        <v>752</v>
      </c>
    </row>
    <row r="221" spans="2:15" ht="17" thickBot="1" x14ac:dyDescent="0.25">
      <c r="B221" s="87"/>
      <c r="C221" s="2" t="s">
        <v>747</v>
      </c>
      <c r="D221" s="118" t="s">
        <v>513</v>
      </c>
      <c r="E221" s="17"/>
      <c r="G221" s="388"/>
      <c r="I221" s="17"/>
      <c r="K221" s="14"/>
      <c r="M221" s="424"/>
      <c r="O221" s="16" t="s">
        <v>753</v>
      </c>
    </row>
    <row r="222" spans="2:15" ht="17" thickBot="1" x14ac:dyDescent="0.25">
      <c r="B222" s="87"/>
      <c r="C222" s="2" t="s">
        <v>746</v>
      </c>
      <c r="D222" s="118" t="s">
        <v>265</v>
      </c>
      <c r="E222" s="17"/>
      <c r="G222" s="388"/>
      <c r="I222" s="17"/>
      <c r="K222" s="14"/>
      <c r="M222" s="424"/>
      <c r="O222" s="16" t="s">
        <v>754</v>
      </c>
    </row>
    <row r="223" spans="2:15" ht="17" thickBot="1" x14ac:dyDescent="0.25">
      <c r="B223" s="87"/>
      <c r="C223" s="2" t="s">
        <v>747</v>
      </c>
      <c r="D223" s="118" t="s">
        <v>265</v>
      </c>
      <c r="E223" s="17"/>
      <c r="G223" s="388"/>
      <c r="I223" s="17"/>
      <c r="K223" s="14"/>
      <c r="M223" s="424"/>
      <c r="O223" s="16" t="s">
        <v>755</v>
      </c>
    </row>
    <row r="224" spans="2:15" x14ac:dyDescent="0.2">
      <c r="B224" s="87"/>
      <c r="G224" s="388"/>
      <c r="K224" s="14"/>
      <c r="M224" s="424"/>
    </row>
    <row r="225" spans="2:15" ht="17" thickBot="1" x14ac:dyDescent="0.25">
      <c r="B225" s="87"/>
      <c r="C225" s="16" t="s">
        <v>720</v>
      </c>
      <c r="G225" s="388"/>
      <c r="K225" s="14"/>
      <c r="M225" s="424"/>
    </row>
    <row r="226" spans="2:15" ht="17" thickBot="1" x14ac:dyDescent="0.25">
      <c r="B226" s="87"/>
      <c r="C226" s="2" t="s">
        <v>712</v>
      </c>
      <c r="D226" s="118" t="s">
        <v>513</v>
      </c>
      <c r="E226" s="17"/>
      <c r="G226" s="388"/>
      <c r="I226" s="17"/>
      <c r="K226" s="14"/>
      <c r="M226" s="424"/>
      <c r="O226" s="16" t="s">
        <v>731</v>
      </c>
    </row>
    <row r="227" spans="2:15" ht="17" thickBot="1" x14ac:dyDescent="0.25">
      <c r="B227" s="67"/>
      <c r="C227" s="2" t="s">
        <v>714</v>
      </c>
      <c r="D227" s="118" t="s">
        <v>513</v>
      </c>
      <c r="E227" s="17"/>
      <c r="G227" s="388"/>
      <c r="I227" s="17"/>
      <c r="K227" s="14"/>
      <c r="M227" s="424"/>
      <c r="O227" s="16" t="s">
        <v>732</v>
      </c>
    </row>
    <row r="228" spans="2:15" ht="17" thickBot="1" x14ac:dyDescent="0.25">
      <c r="B228" s="67"/>
      <c r="C228" s="2" t="s">
        <v>712</v>
      </c>
      <c r="D228" s="118" t="s">
        <v>265</v>
      </c>
      <c r="E228" s="17"/>
      <c r="G228" s="388"/>
      <c r="I228" s="17"/>
      <c r="K228" s="14"/>
      <c r="M228" s="424"/>
      <c r="O228" s="16" t="s">
        <v>733</v>
      </c>
    </row>
    <row r="229" spans="2:15" ht="17" thickBot="1" x14ac:dyDescent="0.25">
      <c r="B229" s="87"/>
      <c r="C229" s="2" t="s">
        <v>714</v>
      </c>
      <c r="D229" s="118" t="s">
        <v>265</v>
      </c>
      <c r="E229" s="17"/>
      <c r="G229" s="388"/>
      <c r="I229" s="17"/>
      <c r="K229" s="14"/>
      <c r="M229" s="424"/>
      <c r="O229" s="16" t="s">
        <v>734</v>
      </c>
    </row>
    <row r="230" spans="2:15" x14ac:dyDescent="0.2">
      <c r="B230" s="87"/>
      <c r="G230" s="388"/>
      <c r="K230" s="14"/>
      <c r="M230" s="424"/>
      <c r="O230" s="16"/>
    </row>
    <row r="231" spans="2:15" ht="17" thickBot="1" x14ac:dyDescent="0.25">
      <c r="B231" s="87"/>
      <c r="C231" s="16" t="s">
        <v>721</v>
      </c>
      <c r="G231" s="388"/>
      <c r="K231" s="14"/>
      <c r="M231" s="424"/>
      <c r="O231" s="16"/>
    </row>
    <row r="232" spans="2:15" ht="17" thickBot="1" x14ac:dyDescent="0.25">
      <c r="B232" s="87"/>
      <c r="C232" s="2" t="s">
        <v>711</v>
      </c>
      <c r="D232" s="118" t="s">
        <v>513</v>
      </c>
      <c r="E232" s="17"/>
      <c r="G232" s="388"/>
      <c r="I232" s="17"/>
      <c r="K232" s="14"/>
      <c r="M232" s="424"/>
      <c r="O232" s="16" t="s">
        <v>735</v>
      </c>
    </row>
    <row r="233" spans="2:15" ht="17" thickBot="1" x14ac:dyDescent="0.25">
      <c r="B233" s="67"/>
      <c r="C233" s="2" t="s">
        <v>713</v>
      </c>
      <c r="D233" s="118" t="s">
        <v>513</v>
      </c>
      <c r="E233" s="17"/>
      <c r="G233" s="388"/>
      <c r="I233" s="17"/>
      <c r="K233" s="14"/>
      <c r="M233" s="424"/>
      <c r="O233" s="16" t="s">
        <v>736</v>
      </c>
    </row>
    <row r="234" spans="2:15" ht="17" thickBot="1" x14ac:dyDescent="0.25">
      <c r="B234" s="67"/>
      <c r="C234" s="2" t="s">
        <v>711</v>
      </c>
      <c r="D234" s="118" t="s">
        <v>265</v>
      </c>
      <c r="E234" s="17"/>
      <c r="G234" s="388"/>
      <c r="I234" s="17"/>
      <c r="K234" s="14"/>
      <c r="M234" s="424"/>
      <c r="O234" s="16" t="s">
        <v>737</v>
      </c>
    </row>
    <row r="235" spans="2:15" ht="17" thickBot="1" x14ac:dyDescent="0.25">
      <c r="B235" s="87"/>
      <c r="C235" s="2" t="s">
        <v>713</v>
      </c>
      <c r="D235" s="118" t="s">
        <v>265</v>
      </c>
      <c r="E235" s="17"/>
      <c r="G235" s="388"/>
      <c r="I235" s="17"/>
      <c r="K235" s="14"/>
      <c r="M235" s="424"/>
      <c r="O235" s="16" t="s">
        <v>738</v>
      </c>
    </row>
    <row r="236" spans="2:15" ht="17" thickBot="1" x14ac:dyDescent="0.25">
      <c r="B236" s="87"/>
      <c r="G236" s="388"/>
      <c r="K236" s="14"/>
      <c r="M236" s="424"/>
      <c r="O236" s="16"/>
    </row>
    <row r="237" spans="2:15" ht="17" thickBot="1" x14ac:dyDescent="0.25">
      <c r="B237" s="87"/>
      <c r="C237" s="2" t="s">
        <v>723</v>
      </c>
      <c r="D237" s="118" t="s">
        <v>724</v>
      </c>
      <c r="E237" s="17"/>
      <c r="G237" s="388"/>
      <c r="I237" s="17"/>
      <c r="K237" s="14"/>
      <c r="M237" s="424"/>
      <c r="O237" s="16" t="s">
        <v>739</v>
      </c>
    </row>
    <row r="238" spans="2:15" ht="17" thickBot="1" x14ac:dyDescent="0.25">
      <c r="B238" s="87"/>
      <c r="C238" s="2" t="s">
        <v>722</v>
      </c>
      <c r="D238" s="118" t="s">
        <v>724</v>
      </c>
      <c r="E238" s="17"/>
      <c r="G238" s="388"/>
      <c r="I238" s="17"/>
      <c r="K238" s="14"/>
      <c r="M238" s="424"/>
      <c r="O238" s="16" t="s">
        <v>740</v>
      </c>
    </row>
    <row r="239" spans="2:15" x14ac:dyDescent="0.2">
      <c r="B239" s="87"/>
      <c r="G239" s="388"/>
      <c r="K239" s="14"/>
      <c r="M239" s="424"/>
      <c r="O239" s="16"/>
    </row>
    <row r="240" spans="2:15" ht="119" x14ac:dyDescent="0.2">
      <c r="B240" s="573" t="s">
        <v>901</v>
      </c>
      <c r="C240" s="558"/>
      <c r="D240" s="559"/>
      <c r="E240" s="4"/>
      <c r="F240" s="4"/>
      <c r="G240" s="560"/>
      <c r="H240" s="4"/>
      <c r="I240" s="4"/>
      <c r="J240" s="4"/>
      <c r="K240" s="572" t="s">
        <v>914</v>
      </c>
      <c r="L240" s="4"/>
      <c r="M240" s="420"/>
      <c r="O240" s="16"/>
    </row>
    <row r="241" spans="2:15" x14ac:dyDescent="0.2">
      <c r="B241" s="87"/>
      <c r="C241" s="1" t="s">
        <v>906</v>
      </c>
      <c r="K241" s="14"/>
      <c r="M241" s="421"/>
      <c r="O241" s="16"/>
    </row>
    <row r="242" spans="2:15" ht="18" thickBot="1" x14ac:dyDescent="0.25">
      <c r="B242" s="87"/>
      <c r="C242" s="376" t="s">
        <v>895</v>
      </c>
      <c r="D242" s="118" t="s">
        <v>513</v>
      </c>
      <c r="E242" s="327">
        <f>SUM('Mobile machinery'!D22:F22)</f>
        <v>0</v>
      </c>
      <c r="F242" s="151"/>
      <c r="G242" s="385"/>
      <c r="H242" s="151"/>
      <c r="I242" s="2" t="s">
        <v>915</v>
      </c>
      <c r="J242" s="8"/>
      <c r="M242" s="421"/>
      <c r="O242" s="16"/>
    </row>
    <row r="243" spans="2:15" ht="17" thickBot="1" x14ac:dyDescent="0.25">
      <c r="B243" s="87"/>
      <c r="C243" s="7" t="s">
        <v>896</v>
      </c>
      <c r="D243" s="118" t="s">
        <v>513</v>
      </c>
      <c r="E243" s="17"/>
      <c r="I243" s="17"/>
      <c r="J243" s="8"/>
      <c r="K243" s="419" t="s">
        <v>913</v>
      </c>
      <c r="L243" s="118"/>
      <c r="M243" s="421"/>
      <c r="O243" s="16" t="s">
        <v>909</v>
      </c>
    </row>
    <row r="244" spans="2:15" x14ac:dyDescent="0.2">
      <c r="B244" s="87"/>
      <c r="C244" s="7"/>
      <c r="J244" s="8"/>
      <c r="K244" s="7" t="s">
        <v>936</v>
      </c>
      <c r="L244" s="2">
        <f>SUM(E243,E250,E257,E264,E271,E278)/1000</f>
        <v>0</v>
      </c>
      <c r="M244" s="421"/>
      <c r="O244" s="16"/>
    </row>
    <row r="245" spans="2:15" ht="18" thickBot="1" x14ac:dyDescent="0.25">
      <c r="B245" s="87"/>
      <c r="C245" s="376" t="s">
        <v>922</v>
      </c>
      <c r="D245" s="118" t="s">
        <v>513</v>
      </c>
      <c r="E245" s="327">
        <f>SUM('Mobile machinery'!G22:I22)</f>
        <v>0</v>
      </c>
      <c r="F245" s="151"/>
      <c r="G245" s="385"/>
      <c r="H245" s="151"/>
      <c r="I245" s="2" t="s">
        <v>915</v>
      </c>
      <c r="J245" s="8"/>
      <c r="K245" s="7" t="s">
        <v>937</v>
      </c>
      <c r="L245" s="2">
        <f>SUM(E246,E253,E260,E267,E274,E281)/1000</f>
        <v>0</v>
      </c>
      <c r="M245" s="421"/>
      <c r="O245" s="16"/>
    </row>
    <row r="246" spans="2:15" ht="17" thickBot="1" x14ac:dyDescent="0.25">
      <c r="B246" s="87"/>
      <c r="C246" s="7" t="s">
        <v>923</v>
      </c>
      <c r="D246" s="118" t="s">
        <v>513</v>
      </c>
      <c r="E246" s="17"/>
      <c r="I246" s="17"/>
      <c r="J246" s="8"/>
      <c r="K246" s="7" t="s">
        <v>938</v>
      </c>
      <c r="L246" s="2">
        <f>SUM(L244:L245)</f>
        <v>0</v>
      </c>
      <c r="M246" s="421"/>
      <c r="O246" s="16" t="s">
        <v>924</v>
      </c>
    </row>
    <row r="247" spans="2:15" x14ac:dyDescent="0.2">
      <c r="B247" s="87"/>
      <c r="C247" s="91"/>
      <c r="J247" s="8"/>
      <c r="M247" s="421"/>
      <c r="O247" s="16"/>
    </row>
    <row r="248" spans="2:15" x14ac:dyDescent="0.2">
      <c r="B248" s="87"/>
      <c r="C248" s="1" t="s">
        <v>907</v>
      </c>
      <c r="J248" s="8"/>
      <c r="M248" s="421"/>
      <c r="O248" s="16"/>
    </row>
    <row r="249" spans="2:15" ht="18" thickBot="1" x14ac:dyDescent="0.25">
      <c r="B249" s="67"/>
      <c r="C249" s="376" t="s">
        <v>895</v>
      </c>
      <c r="D249" s="118" t="s">
        <v>513</v>
      </c>
      <c r="E249" s="327">
        <f>SUM('Mobile machinery'!D9:F20)</f>
        <v>0</v>
      </c>
      <c r="F249" s="151"/>
      <c r="G249" s="385"/>
      <c r="H249" s="151"/>
      <c r="I249" s="2" t="s">
        <v>915</v>
      </c>
      <c r="J249" s="8"/>
      <c r="K249" s="1" t="s">
        <v>910</v>
      </c>
      <c r="L249" s="372" t="b">
        <f>IF(COUNTIF(L250:L261,"&gt;1")=0,TRUE,FALSE)</f>
        <v>1</v>
      </c>
      <c r="M249" s="421"/>
      <c r="O249" s="16"/>
    </row>
    <row r="250" spans="2:15" ht="17" thickBot="1" x14ac:dyDescent="0.25">
      <c r="B250" s="67"/>
      <c r="C250" s="7" t="s">
        <v>896</v>
      </c>
      <c r="D250" s="118" t="s">
        <v>513</v>
      </c>
      <c r="E250" s="17"/>
      <c r="I250" s="17"/>
      <c r="K250" s="14" t="s">
        <v>911</v>
      </c>
      <c r="L250" s="523">
        <f>IFERROR(E243/E242,0)</f>
        <v>0</v>
      </c>
      <c r="M250" s="421"/>
      <c r="O250" s="16" t="s">
        <v>908</v>
      </c>
    </row>
    <row r="251" spans="2:15" x14ac:dyDescent="0.2">
      <c r="B251" s="87"/>
      <c r="C251" s="7"/>
      <c r="K251" s="14" t="s">
        <v>930</v>
      </c>
      <c r="L251" s="523">
        <f>IFERROR(E246/E245,0)</f>
        <v>0</v>
      </c>
      <c r="M251" s="421"/>
      <c r="O251" s="16"/>
    </row>
    <row r="252" spans="2:15" ht="18" thickBot="1" x14ac:dyDescent="0.25">
      <c r="B252" s="87"/>
      <c r="C252" s="376" t="s">
        <v>922</v>
      </c>
      <c r="D252" s="118" t="s">
        <v>513</v>
      </c>
      <c r="E252" s="327">
        <f>SUM('Mobile machinery'!G9:I20)</f>
        <v>0</v>
      </c>
      <c r="F252" s="151"/>
      <c r="G252" s="385"/>
      <c r="H252" s="151"/>
      <c r="I252" s="2" t="s">
        <v>915</v>
      </c>
      <c r="K252" s="14" t="s">
        <v>912</v>
      </c>
      <c r="L252" s="523">
        <f>IFERROR(E250/E249,0)</f>
        <v>0</v>
      </c>
      <c r="M252" s="421"/>
      <c r="O252" s="16"/>
    </row>
    <row r="253" spans="2:15" ht="17" thickBot="1" x14ac:dyDescent="0.25">
      <c r="B253" s="87"/>
      <c r="C253" s="7" t="s">
        <v>923</v>
      </c>
      <c r="D253" s="118" t="s">
        <v>513</v>
      </c>
      <c r="E253" s="17"/>
      <c r="I253" s="17"/>
      <c r="K253" s="14" t="s">
        <v>931</v>
      </c>
      <c r="L253" s="523">
        <f>IFERROR(E253/E252,0)</f>
        <v>0</v>
      </c>
      <c r="M253" s="421"/>
      <c r="O253" s="16" t="s">
        <v>925</v>
      </c>
    </row>
    <row r="254" spans="2:15" x14ac:dyDescent="0.2">
      <c r="B254" s="67"/>
      <c r="C254" s="7"/>
      <c r="K254" s="14" t="s">
        <v>897</v>
      </c>
      <c r="L254" s="523">
        <f>IFERROR(E257/E256,0)</f>
        <v>0</v>
      </c>
      <c r="M254" s="421"/>
      <c r="O254" s="16"/>
    </row>
    <row r="255" spans="2:15" x14ac:dyDescent="0.2">
      <c r="B255" s="67"/>
      <c r="C255" s="1" t="s">
        <v>114</v>
      </c>
      <c r="K255" s="14" t="s">
        <v>932</v>
      </c>
      <c r="L255" s="523">
        <f>IFERROR(E260/E259,0)</f>
        <v>0</v>
      </c>
      <c r="M255" s="8"/>
      <c r="O255" s="16"/>
    </row>
    <row r="256" spans="2:15" ht="18" thickBot="1" x14ac:dyDescent="0.25">
      <c r="B256" s="87"/>
      <c r="C256" s="376" t="s">
        <v>895</v>
      </c>
      <c r="D256" s="118" t="s">
        <v>513</v>
      </c>
      <c r="E256" s="327">
        <f>SUM('Mobile machinery'!D24:F24)</f>
        <v>0</v>
      </c>
      <c r="F256" s="151"/>
      <c r="G256" s="385"/>
      <c r="H256" s="151"/>
      <c r="I256" s="2" t="s">
        <v>915</v>
      </c>
      <c r="K256" s="14" t="s">
        <v>898</v>
      </c>
      <c r="L256" s="523">
        <f>IFERROR(E264/E263,0)</f>
        <v>0</v>
      </c>
      <c r="M256" s="421"/>
      <c r="O256" s="16"/>
    </row>
    <row r="257" spans="2:15" ht="17" thickBot="1" x14ac:dyDescent="0.25">
      <c r="B257" s="87"/>
      <c r="C257" s="7" t="s">
        <v>896</v>
      </c>
      <c r="D257" s="118" t="s">
        <v>513</v>
      </c>
      <c r="E257" s="17"/>
      <c r="I257" s="17"/>
      <c r="K257" s="14" t="s">
        <v>933</v>
      </c>
      <c r="L257" s="523">
        <f>IFERROR(E267/E266,0)</f>
        <v>0</v>
      </c>
      <c r="M257" s="421"/>
      <c r="O257" s="16" t="s">
        <v>902</v>
      </c>
    </row>
    <row r="258" spans="2:15" x14ac:dyDescent="0.2">
      <c r="B258" s="87"/>
      <c r="C258" s="7"/>
      <c r="K258" s="14" t="s">
        <v>899</v>
      </c>
      <c r="L258" s="523">
        <f>IFERROR(E271/E270,0)</f>
        <v>0</v>
      </c>
      <c r="M258" s="421"/>
      <c r="O258" s="16"/>
    </row>
    <row r="259" spans="2:15" ht="18" thickBot="1" x14ac:dyDescent="0.25">
      <c r="B259" s="87"/>
      <c r="C259" s="376" t="s">
        <v>922</v>
      </c>
      <c r="D259" s="118" t="s">
        <v>513</v>
      </c>
      <c r="E259" s="327">
        <f>SUM('Mobile machinery'!G24:HI24)</f>
        <v>0</v>
      </c>
      <c r="F259" s="151"/>
      <c r="G259" s="385"/>
      <c r="H259" s="151"/>
      <c r="I259" s="2" t="s">
        <v>915</v>
      </c>
      <c r="K259" s="14" t="s">
        <v>934</v>
      </c>
      <c r="L259" s="523">
        <f>IFERROR(E274/E273,0)</f>
        <v>0</v>
      </c>
      <c r="M259" s="421"/>
      <c r="O259" s="16"/>
    </row>
    <row r="260" spans="2:15" ht="17" thickBot="1" x14ac:dyDescent="0.25">
      <c r="B260" s="67"/>
      <c r="C260" s="7" t="s">
        <v>923</v>
      </c>
      <c r="D260" s="118" t="s">
        <v>513</v>
      </c>
      <c r="E260" s="17"/>
      <c r="I260" s="17"/>
      <c r="K260" s="14" t="s">
        <v>900</v>
      </c>
      <c r="L260" s="523">
        <f>IFERROR(E278/E277,0)</f>
        <v>0</v>
      </c>
      <c r="M260" s="421"/>
      <c r="O260" s="16" t="s">
        <v>926</v>
      </c>
    </row>
    <row r="261" spans="2:15" x14ac:dyDescent="0.2">
      <c r="B261" s="87"/>
      <c r="C261" s="7"/>
      <c r="K261" s="14" t="s">
        <v>935</v>
      </c>
      <c r="L261" s="523">
        <f>IFERROR(E281/E280,0)</f>
        <v>0</v>
      </c>
      <c r="M261" s="421"/>
      <c r="O261" s="16"/>
    </row>
    <row r="262" spans="2:15" x14ac:dyDescent="0.2">
      <c r="B262" s="87"/>
      <c r="C262" s="1" t="s">
        <v>218</v>
      </c>
      <c r="K262" s="14"/>
      <c r="M262" s="421"/>
    </row>
    <row r="263" spans="2:15" ht="18" thickBot="1" x14ac:dyDescent="0.25">
      <c r="B263" s="87"/>
      <c r="C263" s="376" t="s">
        <v>895</v>
      </c>
      <c r="D263" s="118" t="s">
        <v>513</v>
      </c>
      <c r="E263" s="327">
        <f>SUM('Mobile machinery'!D25:F25)</f>
        <v>0</v>
      </c>
      <c r="F263" s="151"/>
      <c r="G263" s="385"/>
      <c r="H263" s="151"/>
      <c r="I263" s="2" t="s">
        <v>915</v>
      </c>
      <c r="K263" s="18"/>
      <c r="M263" s="421"/>
      <c r="O263" s="16"/>
    </row>
    <row r="264" spans="2:15" ht="17" thickBot="1" x14ac:dyDescent="0.25">
      <c r="B264" s="87"/>
      <c r="C264" s="7" t="s">
        <v>896</v>
      </c>
      <c r="D264" s="118" t="s">
        <v>513</v>
      </c>
      <c r="E264" s="17"/>
      <c r="I264" s="17"/>
      <c r="K264" s="14"/>
      <c r="M264" s="421"/>
      <c r="O264" s="16" t="s">
        <v>903</v>
      </c>
    </row>
    <row r="265" spans="2:15" x14ac:dyDescent="0.2">
      <c r="B265" s="67"/>
      <c r="C265" s="7"/>
      <c r="K265" s="14"/>
      <c r="M265" s="421"/>
      <c r="O265" s="16"/>
    </row>
    <row r="266" spans="2:15" ht="18" thickBot="1" x14ac:dyDescent="0.25">
      <c r="B266" s="67"/>
      <c r="C266" s="376" t="s">
        <v>922</v>
      </c>
      <c r="D266" s="118" t="s">
        <v>513</v>
      </c>
      <c r="E266" s="327">
        <f>SUM('Mobile machinery'!G25:I25)</f>
        <v>0</v>
      </c>
      <c r="F266" s="151"/>
      <c r="G266" s="385"/>
      <c r="H266" s="151"/>
      <c r="I266" s="2" t="s">
        <v>915</v>
      </c>
      <c r="K266" s="14"/>
      <c r="M266" s="421"/>
      <c r="O266" s="16"/>
    </row>
    <row r="267" spans="2:15" ht="17" thickBot="1" x14ac:dyDescent="0.25">
      <c r="B267" s="87"/>
      <c r="C267" s="7" t="s">
        <v>923</v>
      </c>
      <c r="D267" s="118" t="s">
        <v>513</v>
      </c>
      <c r="E267" s="17"/>
      <c r="I267" s="17"/>
      <c r="K267" s="14"/>
      <c r="M267" s="421"/>
      <c r="O267" s="16" t="s">
        <v>927</v>
      </c>
    </row>
    <row r="268" spans="2:15" x14ac:dyDescent="0.2">
      <c r="B268" s="87"/>
      <c r="C268" s="1"/>
      <c r="K268" s="14"/>
      <c r="M268" s="421"/>
    </row>
    <row r="269" spans="2:15" x14ac:dyDescent="0.2">
      <c r="B269" s="87"/>
      <c r="C269" s="1" t="s">
        <v>47</v>
      </c>
      <c r="K269" s="14"/>
      <c r="M269" s="421"/>
    </row>
    <row r="270" spans="2:15" ht="18" thickBot="1" x14ac:dyDescent="0.25">
      <c r="B270" s="87"/>
      <c r="C270" s="376" t="s">
        <v>895</v>
      </c>
      <c r="D270" s="118" t="s">
        <v>513</v>
      </c>
      <c r="E270" s="327">
        <f>SUM('Mobile machinery'!D26:F26)</f>
        <v>0</v>
      </c>
      <c r="F270" s="151"/>
      <c r="G270" s="385"/>
      <c r="H270" s="151"/>
      <c r="I270" s="2" t="s">
        <v>915</v>
      </c>
      <c r="K270" s="18"/>
      <c r="M270" s="421"/>
      <c r="O270" s="16"/>
    </row>
    <row r="271" spans="2:15" ht="17" thickBot="1" x14ac:dyDescent="0.25">
      <c r="B271" s="67"/>
      <c r="C271" s="7" t="s">
        <v>896</v>
      </c>
      <c r="D271" s="118" t="s">
        <v>513</v>
      </c>
      <c r="E271" s="17"/>
      <c r="I271" s="17"/>
      <c r="K271" s="14"/>
      <c r="M271" s="421"/>
      <c r="O271" s="571" t="s">
        <v>904</v>
      </c>
    </row>
    <row r="272" spans="2:15" x14ac:dyDescent="0.2">
      <c r="B272" s="87"/>
      <c r="C272" s="7"/>
      <c r="K272" s="14"/>
      <c r="M272" s="421"/>
      <c r="O272" s="571"/>
    </row>
    <row r="273" spans="2:15" ht="18" thickBot="1" x14ac:dyDescent="0.25">
      <c r="B273" s="87"/>
      <c r="C273" s="376" t="s">
        <v>922</v>
      </c>
      <c r="D273" s="118" t="s">
        <v>513</v>
      </c>
      <c r="E273" s="327">
        <f>SUM('Mobile machinery'!G26:I26)</f>
        <v>0</v>
      </c>
      <c r="F273" s="151"/>
      <c r="G273" s="385"/>
      <c r="H273" s="151"/>
      <c r="I273" s="2" t="s">
        <v>915</v>
      </c>
      <c r="K273" s="14"/>
      <c r="M273" s="421"/>
      <c r="O273" s="571"/>
    </row>
    <row r="274" spans="2:15" ht="17" thickBot="1" x14ac:dyDescent="0.25">
      <c r="B274" s="87"/>
      <c r="C274" s="7" t="s">
        <v>923</v>
      </c>
      <c r="D274" s="118" t="s">
        <v>513</v>
      </c>
      <c r="E274" s="17"/>
      <c r="I274" s="17"/>
      <c r="K274" s="14"/>
      <c r="M274" s="421"/>
      <c r="O274" s="571" t="s">
        <v>928</v>
      </c>
    </row>
    <row r="275" spans="2:15" x14ac:dyDescent="0.2">
      <c r="B275" s="87"/>
      <c r="C275" s="1"/>
      <c r="K275" s="14"/>
      <c r="M275" s="421"/>
    </row>
    <row r="276" spans="2:15" x14ac:dyDescent="0.2">
      <c r="B276" s="67"/>
      <c r="C276" s="1" t="s">
        <v>113</v>
      </c>
      <c r="K276" s="14"/>
      <c r="M276" s="421"/>
    </row>
    <row r="277" spans="2:15" ht="18" thickBot="1" x14ac:dyDescent="0.25">
      <c r="B277" s="67"/>
      <c r="C277" s="376" t="s">
        <v>895</v>
      </c>
      <c r="D277" s="118" t="s">
        <v>513</v>
      </c>
      <c r="E277" s="327">
        <f>SUM('Mobile machinery'!D27:F27)</f>
        <v>0</v>
      </c>
      <c r="F277" s="151"/>
      <c r="G277" s="385"/>
      <c r="H277" s="151"/>
      <c r="I277" s="2" t="s">
        <v>915</v>
      </c>
      <c r="K277" s="18"/>
      <c r="M277" s="421"/>
      <c r="O277" s="16"/>
    </row>
    <row r="278" spans="2:15" ht="17" thickBot="1" x14ac:dyDescent="0.25">
      <c r="B278" s="87"/>
      <c r="C278" s="7" t="s">
        <v>896</v>
      </c>
      <c r="D278" s="118" t="s">
        <v>513</v>
      </c>
      <c r="E278" s="17"/>
      <c r="I278" s="17"/>
      <c r="K278" s="14"/>
      <c r="M278" s="421"/>
      <c r="O278" s="571" t="s">
        <v>905</v>
      </c>
    </row>
    <row r="279" spans="2:15" x14ac:dyDescent="0.2">
      <c r="B279" s="87"/>
      <c r="C279" s="7"/>
      <c r="K279" s="14"/>
      <c r="M279" s="421"/>
      <c r="O279" s="571"/>
    </row>
    <row r="280" spans="2:15" ht="18" thickBot="1" x14ac:dyDescent="0.25">
      <c r="B280" s="87"/>
      <c r="C280" s="376" t="s">
        <v>922</v>
      </c>
      <c r="D280" s="118" t="s">
        <v>513</v>
      </c>
      <c r="E280" s="327">
        <f>SUM('Mobile machinery'!G27:I27)</f>
        <v>0</v>
      </c>
      <c r="F280" s="151"/>
      <c r="G280" s="385"/>
      <c r="H280" s="151"/>
      <c r="I280" s="2" t="s">
        <v>915</v>
      </c>
      <c r="K280" s="14"/>
      <c r="M280" s="421"/>
      <c r="O280" s="571"/>
    </row>
    <row r="281" spans="2:15" ht="17" thickBot="1" x14ac:dyDescent="0.25">
      <c r="B281" s="87"/>
      <c r="C281" s="7" t="s">
        <v>923</v>
      </c>
      <c r="D281" s="118" t="s">
        <v>513</v>
      </c>
      <c r="E281" s="17"/>
      <c r="I281" s="17"/>
      <c r="K281" s="14"/>
      <c r="M281" s="421"/>
      <c r="O281" s="571" t="s">
        <v>929</v>
      </c>
    </row>
    <row r="282" spans="2:15" ht="17" thickBot="1" x14ac:dyDescent="0.25">
      <c r="B282" s="104"/>
      <c r="C282" s="75"/>
      <c r="D282" s="441"/>
      <c r="E282" s="75"/>
      <c r="F282" s="75"/>
      <c r="G282" s="75"/>
      <c r="H282" s="75"/>
      <c r="I282" s="75"/>
      <c r="J282" s="75"/>
      <c r="K282" s="112"/>
      <c r="L282" s="75"/>
      <c r="M282" s="569"/>
    </row>
  </sheetData>
  <autoFilter ref="K249:L261" xr:uid="{64ECF954-D9F8-F14F-923E-E801DD8C67D1}"/>
  <mergeCells count="3">
    <mergeCell ref="B5:I5"/>
    <mergeCell ref="K67:L69"/>
    <mergeCell ref="K62:K65"/>
  </mergeCells>
  <conditionalFormatting sqref="L10">
    <cfRule type="cellIs" dxfId="55" priority="30" operator="equal">
      <formula>TRUE</formula>
    </cfRule>
  </conditionalFormatting>
  <conditionalFormatting sqref="L13:L15">
    <cfRule type="cellIs" dxfId="54" priority="5" operator="equal">
      <formula>TRUE</formula>
    </cfRule>
  </conditionalFormatting>
  <conditionalFormatting sqref="L18:L20">
    <cfRule type="cellIs" dxfId="53" priority="16" operator="equal">
      <formula>TRUE</formula>
    </cfRule>
  </conditionalFormatting>
  <conditionalFormatting sqref="L27">
    <cfRule type="cellIs" dxfId="52" priority="43" operator="equal">
      <formula>TRUE</formula>
    </cfRule>
  </conditionalFormatting>
  <conditionalFormatting sqref="L32">
    <cfRule type="cellIs" dxfId="51" priority="29" operator="equal">
      <formula>TRUE</formula>
    </cfRule>
  </conditionalFormatting>
  <conditionalFormatting sqref="L33:L34">
    <cfRule type="cellIs" dxfId="50" priority="13" operator="equal">
      <formula>TRUE</formula>
    </cfRule>
  </conditionalFormatting>
  <conditionalFormatting sqref="L40">
    <cfRule type="cellIs" dxfId="49" priority="41" operator="equal">
      <formula>TRUE</formula>
    </cfRule>
  </conditionalFormatting>
  <conditionalFormatting sqref="L41:L42">
    <cfRule type="cellIs" dxfId="48" priority="12" operator="equal">
      <formula>TRUE</formula>
    </cfRule>
  </conditionalFormatting>
  <conditionalFormatting sqref="L45">
    <cfRule type="cellIs" dxfId="47" priority="40" operator="equal">
      <formula>TRUE</formula>
    </cfRule>
  </conditionalFormatting>
  <conditionalFormatting sqref="L49">
    <cfRule type="cellIs" dxfId="46" priority="28" operator="equal">
      <formula>TRUE</formula>
    </cfRule>
  </conditionalFormatting>
  <conditionalFormatting sqref="L52:L53">
    <cfRule type="cellIs" dxfId="45" priority="87" operator="greaterThan">
      <formula>0</formula>
    </cfRule>
  </conditionalFormatting>
  <conditionalFormatting sqref="L55:L59">
    <cfRule type="cellIs" dxfId="44" priority="32" operator="equal">
      <formula>TRUE</formula>
    </cfRule>
  </conditionalFormatting>
  <conditionalFormatting sqref="L65">
    <cfRule type="cellIs" dxfId="43" priority="2" operator="equal">
      <formula>TRUE</formula>
    </cfRule>
  </conditionalFormatting>
  <conditionalFormatting sqref="L184">
    <cfRule type="cellIs" dxfId="42" priority="10" operator="equal">
      <formula>TRUE</formula>
    </cfRule>
    <cfRule type="cellIs" dxfId="41" priority="11" operator="equal">
      <formula>FALSE</formula>
    </cfRule>
  </conditionalFormatting>
  <conditionalFormatting sqref="L191">
    <cfRule type="cellIs" dxfId="40" priority="8" operator="equal">
      <formula>TRUE</formula>
    </cfRule>
    <cfRule type="cellIs" dxfId="39" priority="9" operator="equal">
      <formula>FALSE</formula>
    </cfRule>
  </conditionalFormatting>
  <conditionalFormatting sqref="L249">
    <cfRule type="cellIs" dxfId="38" priority="4" operator="equal">
      <formula>TRUE</formula>
    </cfRule>
  </conditionalFormatting>
  <dataValidations count="4">
    <dataValidation type="whole" allowBlank="1" showInputMessage="1" showErrorMessage="1" sqref="E132:F132 F220:H223 F214:H217 G218:H219 G224:H225 F134:F143 E128 E119 E125 E155 F226:H239 F278:H279 F248:H248 F267:H267 F274:H274 F281:H281 F250:H251 F253:H255 F257:H258 F260:H261 F264:H265 F271:H272 G240:H240 G247:H247 F241:H241 F243:H244 F246:H246 E68:H108 F110:H131 G132:H213 F145:F211" xr:uid="{00000000-0002-0000-0600-000000000000}">
      <formula1>0</formula1>
      <formula2>8760</formula2>
    </dataValidation>
    <dataValidation type="decimal" allowBlank="1" showInputMessage="1" showErrorMessage="1" sqref="E50:H52 E39:H39 F28:H31 E27:H27 E28:E29 E31 E20:E23 E41:H42 E44:H44 F20:H24 E33:H37 E46:H48 E120:E124 E126:E127 E129:E131 E110:E118" xr:uid="{00000000-0002-0000-0600-000001000000}">
      <formula1>0</formula1>
      <formula2>1</formula2>
    </dataValidation>
    <dataValidation type="decimal" operator="greaterThanOrEqual" allowBlank="1" showInputMessage="1" showErrorMessage="1" sqref="E15:H15" xr:uid="{00000000-0002-0000-0600-000002000000}">
      <formula1>0</formula1>
    </dataValidation>
    <dataValidation type="decimal" allowBlank="1" showInputMessage="1" showErrorMessage="1" sqref="E145:E154" xr:uid="{B8B407A2-EA08-A64B-AB74-B9F12B4F100E}">
      <formula1>0</formula1>
      <formula2>1.5</formula2>
    </dataValidation>
  </dataValidations>
  <pageMargins left="0.75" right="0.75" top="1" bottom="1" header="0.5" footer="0.5"/>
  <pageSetup paperSize="9" orientation="portrait" horizontalDpi="4294967292" verticalDpi="4294967292"/>
  <ignoredErrors>
    <ignoredError sqref="M13" formula="1"/>
    <ignoredError sqref="L15" emptyCellReference="1"/>
  </ignoredErrors>
  <drawing r:id="rId1"/>
  <legacyDrawing r:id="rId2"/>
  <mc:AlternateContent xmlns:mc="http://schemas.openxmlformats.org/markup-compatibility/2006">
    <mc:Choice Requires="x14">
      <controls>
        <mc:AlternateContent xmlns:mc="http://schemas.openxmlformats.org/markup-compatibility/2006">
          <mc:Choice Requires="x14">
            <control shapeId="2049" r:id="rId3" name="export_data">
              <controlPr defaultSize="0" print="0" autoFill="0" autoPict="0" macro="[5]!export_data_button">
                <anchor moveWithCells="1" sizeWithCells="1">
                  <from>
                    <xdr:col>11</xdr:col>
                    <xdr:colOff>152400</xdr:colOff>
                    <xdr:row>4</xdr:row>
                    <xdr:rowOff>533400</xdr:rowOff>
                  </from>
                  <to>
                    <xdr:col>12</xdr:col>
                    <xdr:colOff>5499100</xdr:colOff>
                    <xdr:row>4</xdr:row>
                    <xdr:rowOff>749300</xdr:rowOff>
                  </to>
                </anchor>
              </controlPr>
            </control>
          </mc:Choice>
        </mc:AlternateContent>
        <mc:AlternateContent xmlns:mc="http://schemas.openxmlformats.org/markup-compatibility/2006">
          <mc:Choice Requires="x14">
            <control shapeId="2050" r:id="rId4" name="import_data">
              <controlPr defaultSize="0" print="0" autoFill="0" autoPict="0" macro="[5]!import_data_button">
                <anchor moveWithCells="1" sizeWithCells="1">
                  <from>
                    <xdr:col>11</xdr:col>
                    <xdr:colOff>165100</xdr:colOff>
                    <xdr:row>3</xdr:row>
                    <xdr:rowOff>114300</xdr:rowOff>
                  </from>
                  <to>
                    <xdr:col>12</xdr:col>
                    <xdr:colOff>5511800</xdr:colOff>
                    <xdr:row>4</xdr:row>
                    <xdr:rowOff>139700</xdr:rowOff>
                  </to>
                </anchor>
              </controlPr>
            </control>
          </mc:Choice>
        </mc:AlternateContent>
        <mc:AlternateContent xmlns:mc="http://schemas.openxmlformats.org/markup-compatibility/2006">
          <mc:Choice Requires="x14">
            <control shapeId="2054" r:id="rId5" name="select_dashboard">
              <controlPr defaultSize="0" print="0" autoFill="0" autoPict="0" macro="[5]!select_dashboard_values">
                <anchor moveWithCells="1" sizeWithCells="1">
                  <from>
                    <xdr:col>12</xdr:col>
                    <xdr:colOff>1168400</xdr:colOff>
                    <xdr:row>4</xdr:row>
                    <xdr:rowOff>215900</xdr:rowOff>
                  </from>
                  <to>
                    <xdr:col>12</xdr:col>
                    <xdr:colOff>5486400</xdr:colOff>
                    <xdr:row>4</xdr:row>
                    <xdr:rowOff>431800</xdr:rowOff>
                  </to>
                </anchor>
              </controlPr>
            </control>
          </mc:Choice>
        </mc:AlternateContent>
      </controls>
    </mc:Choice>
  </mc:AlternateContent>
  <extLst>
    <ext xmlns:mx="http://schemas.microsoft.com/office/mac/excel/2008/main" uri="{64002731-A6B0-56B0-2670-7721B7C09600}">
      <mx:PLV Mode="0" OnePage="0" WScale="0"/>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6" tint="0.39997558519241921"/>
  </sheetPr>
  <dimension ref="B2:BO101"/>
  <sheetViews>
    <sheetView workbookViewId="0">
      <pane xSplit="2" ySplit="8" topLeftCell="M13" activePane="bottomRight" state="frozen"/>
      <selection pane="topRight" activeCell="C1" sqref="C1"/>
      <selection pane="bottomLeft" activeCell="A9" sqref="A9"/>
      <selection pane="bottomRight" activeCell="O93" sqref="O93:R94"/>
    </sheetView>
  </sheetViews>
  <sheetFormatPr baseColWidth="10" defaultRowHeight="16" x14ac:dyDescent="0.2"/>
  <cols>
    <col min="1" max="1" width="3.83203125" style="2" customWidth="1"/>
    <col min="2" max="2" width="42.83203125" style="2" customWidth="1"/>
    <col min="3" max="67" width="13.6640625" style="2" customWidth="1"/>
    <col min="68" max="16384" width="10.83203125" style="2"/>
  </cols>
  <sheetData>
    <row r="2" spans="2:67" ht="21" x14ac:dyDescent="0.25">
      <c r="B2" s="20" t="s">
        <v>618</v>
      </c>
      <c r="C2" s="242"/>
      <c r="D2" s="242"/>
      <c r="E2" s="242"/>
      <c r="F2" s="242"/>
      <c r="G2" s="242"/>
      <c r="H2" s="242"/>
    </row>
    <row r="3" spans="2:67" ht="15" customHeight="1" x14ac:dyDescent="0.25">
      <c r="B3" s="252"/>
      <c r="C3" s="242"/>
      <c r="D3" s="242"/>
      <c r="E3" s="242"/>
      <c r="F3" s="242"/>
      <c r="G3" s="242"/>
      <c r="H3" s="242"/>
    </row>
    <row r="4" spans="2:67" ht="15" customHeight="1" x14ac:dyDescent="0.2">
      <c r="B4" s="453" t="s">
        <v>37</v>
      </c>
      <c r="C4" s="242"/>
      <c r="D4" s="242"/>
      <c r="E4" s="242"/>
      <c r="F4" s="242"/>
      <c r="G4" s="242"/>
      <c r="H4" s="242"/>
    </row>
    <row r="5" spans="2:67" ht="51" x14ac:dyDescent="0.2">
      <c r="B5" s="454" t="s">
        <v>705</v>
      </c>
      <c r="C5" s="452"/>
      <c r="D5" s="452"/>
      <c r="E5" s="452"/>
      <c r="F5" s="452"/>
      <c r="G5" s="452"/>
      <c r="H5" s="452"/>
    </row>
    <row r="6" spans="2:67" ht="15" customHeight="1" thickBot="1" x14ac:dyDescent="0.25"/>
    <row r="7" spans="2:67" ht="30" customHeight="1" x14ac:dyDescent="0.2">
      <c r="B7" s="29" t="s">
        <v>49</v>
      </c>
      <c r="C7" s="30" t="s">
        <v>134</v>
      </c>
      <c r="D7" s="30" t="s">
        <v>135</v>
      </c>
      <c r="E7" s="30" t="s">
        <v>136</v>
      </c>
      <c r="F7" s="30" t="s">
        <v>137</v>
      </c>
      <c r="G7" s="30" t="s">
        <v>138</v>
      </c>
      <c r="H7" s="30" t="s">
        <v>139</v>
      </c>
      <c r="I7" s="30" t="s">
        <v>140</v>
      </c>
      <c r="J7" s="30" t="s">
        <v>141</v>
      </c>
      <c r="K7" s="30" t="s">
        <v>142</v>
      </c>
      <c r="L7" s="30" t="s">
        <v>143</v>
      </c>
      <c r="M7" s="30" t="s">
        <v>144</v>
      </c>
      <c r="N7" s="30" t="s">
        <v>145</v>
      </c>
      <c r="O7" s="30" t="s">
        <v>146</v>
      </c>
      <c r="P7" s="30" t="s">
        <v>147</v>
      </c>
      <c r="Q7" s="30" t="s">
        <v>148</v>
      </c>
      <c r="R7" s="30" t="s">
        <v>149</v>
      </c>
      <c r="S7" s="30" t="s">
        <v>150</v>
      </c>
      <c r="T7" s="30" t="s">
        <v>151</v>
      </c>
      <c r="U7" s="30" t="s">
        <v>152</v>
      </c>
      <c r="V7" s="30" t="s">
        <v>153</v>
      </c>
      <c r="W7" s="30" t="s">
        <v>154</v>
      </c>
      <c r="X7" s="30" t="s">
        <v>155</v>
      </c>
      <c r="Y7" s="30" t="s">
        <v>156</v>
      </c>
      <c r="Z7" s="30" t="s">
        <v>157</v>
      </c>
      <c r="AA7" s="30" t="s">
        <v>158</v>
      </c>
      <c r="AB7" s="30" t="s">
        <v>159</v>
      </c>
      <c r="AC7" s="30" t="s">
        <v>160</v>
      </c>
      <c r="AD7" s="30" t="s">
        <v>161</v>
      </c>
      <c r="AE7" s="30" t="s">
        <v>162</v>
      </c>
      <c r="AF7" s="30" t="s">
        <v>163</v>
      </c>
      <c r="AG7" s="30" t="s">
        <v>164</v>
      </c>
      <c r="AH7" s="30" t="s">
        <v>165</v>
      </c>
      <c r="AI7" s="30" t="s">
        <v>166</v>
      </c>
      <c r="AJ7" s="30" t="s">
        <v>167</v>
      </c>
      <c r="AK7" s="30" t="s">
        <v>168</v>
      </c>
      <c r="AL7" s="30" t="s">
        <v>169</v>
      </c>
      <c r="AM7" s="30" t="s">
        <v>170</v>
      </c>
      <c r="AN7" s="30" t="s">
        <v>171</v>
      </c>
      <c r="AO7" s="30" t="s">
        <v>172</v>
      </c>
      <c r="AP7" s="30" t="s">
        <v>173</v>
      </c>
      <c r="AQ7" s="30" t="s">
        <v>174</v>
      </c>
      <c r="AR7" s="30" t="s">
        <v>175</v>
      </c>
      <c r="AS7" s="30" t="s">
        <v>176</v>
      </c>
      <c r="AT7" s="30" t="s">
        <v>177</v>
      </c>
      <c r="AU7" s="30" t="s">
        <v>178</v>
      </c>
      <c r="AV7" s="30" t="s">
        <v>179</v>
      </c>
      <c r="AW7" s="30" t="s">
        <v>180</v>
      </c>
      <c r="AX7" s="30" t="s">
        <v>181</v>
      </c>
      <c r="AY7" s="30" t="s">
        <v>182</v>
      </c>
      <c r="AZ7" s="30" t="s">
        <v>183</v>
      </c>
      <c r="BA7" s="30" t="s">
        <v>184</v>
      </c>
      <c r="BB7" s="30" t="s">
        <v>185</v>
      </c>
      <c r="BC7" s="30" t="s">
        <v>186</v>
      </c>
      <c r="BD7" s="30" t="s">
        <v>187</v>
      </c>
      <c r="BE7" s="30" t="s">
        <v>188</v>
      </c>
      <c r="BF7" s="30" t="s">
        <v>189</v>
      </c>
      <c r="BG7" s="30" t="s">
        <v>190</v>
      </c>
      <c r="BH7" s="30" t="s">
        <v>191</v>
      </c>
      <c r="BI7" s="30" t="s">
        <v>192</v>
      </c>
      <c r="BJ7" s="30" t="s">
        <v>193</v>
      </c>
      <c r="BK7" s="30" t="s">
        <v>194</v>
      </c>
      <c r="BL7" s="30" t="s">
        <v>195</v>
      </c>
      <c r="BM7" s="30" t="s">
        <v>196</v>
      </c>
      <c r="BN7" s="57" t="s">
        <v>197</v>
      </c>
      <c r="BO7" s="31" t="s">
        <v>198</v>
      </c>
    </row>
    <row r="8" spans="2:67" x14ac:dyDescent="0.2">
      <c r="B8" s="37" t="s">
        <v>512</v>
      </c>
      <c r="C8" s="38"/>
      <c r="D8" s="38"/>
      <c r="E8" s="38"/>
      <c r="F8" s="38"/>
      <c r="G8" s="38"/>
      <c r="H8" s="38"/>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c r="BC8" s="38"/>
      <c r="BD8" s="38"/>
      <c r="BE8" s="38"/>
      <c r="BF8" s="38"/>
      <c r="BG8" s="38"/>
      <c r="BH8" s="38"/>
      <c r="BI8" s="38"/>
      <c r="BJ8" s="38"/>
      <c r="BK8" s="38"/>
      <c r="BL8" s="38"/>
      <c r="BM8" s="38"/>
      <c r="BN8" s="52"/>
      <c r="BO8" s="39"/>
    </row>
    <row r="9" spans="2:67" x14ac:dyDescent="0.2">
      <c r="B9" s="32" t="s">
        <v>51</v>
      </c>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s="50"/>
      <c r="BO9" s="33"/>
    </row>
    <row r="10" spans="2:67" x14ac:dyDescent="0.2">
      <c r="B10" s="32" t="s">
        <v>52</v>
      </c>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s="50"/>
      <c r="BO10" s="33"/>
    </row>
    <row r="11" spans="2:67" x14ac:dyDescent="0.2">
      <c r="B11" s="32" t="s">
        <v>53</v>
      </c>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s="50"/>
      <c r="BO11" s="33"/>
    </row>
    <row r="12" spans="2:67" x14ac:dyDescent="0.2">
      <c r="B12" s="32" t="s">
        <v>54</v>
      </c>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s="50"/>
      <c r="BO12" s="33"/>
    </row>
    <row r="13" spans="2:67" x14ac:dyDescent="0.2">
      <c r="B13" s="32" t="s">
        <v>55</v>
      </c>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s="50"/>
      <c r="BO13" s="33"/>
    </row>
    <row r="14" spans="2:67" ht="17" thickBot="1" x14ac:dyDescent="0.25">
      <c r="B14" s="32" t="s">
        <v>56</v>
      </c>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s="50"/>
      <c r="BO14" s="33"/>
    </row>
    <row r="15" spans="2:67" ht="17" thickBot="1" x14ac:dyDescent="0.25">
      <c r="B15" s="40" t="s">
        <v>57</v>
      </c>
      <c r="C15" s="41"/>
      <c r="D15" s="41"/>
      <c r="E15" s="41"/>
      <c r="F15" s="41"/>
      <c r="G15" s="41"/>
      <c r="H15" s="41"/>
      <c r="I15" s="41"/>
      <c r="J15" s="41"/>
      <c r="K15" s="41"/>
      <c r="L15" s="41"/>
      <c r="M15" s="41"/>
      <c r="N15" s="41"/>
      <c r="O15" s="41"/>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58"/>
      <c r="BO15" s="42"/>
    </row>
    <row r="16" spans="2:67" x14ac:dyDescent="0.2">
      <c r="B16" s="32" t="s">
        <v>58</v>
      </c>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s="50"/>
      <c r="BO16" s="33"/>
    </row>
    <row r="17" spans="2:67" ht="17" thickBot="1" x14ac:dyDescent="0.25">
      <c r="B17" s="32" t="s">
        <v>59</v>
      </c>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s="50"/>
      <c r="BO17" s="33"/>
    </row>
    <row r="18" spans="2:67" ht="17" thickBot="1" x14ac:dyDescent="0.25">
      <c r="B18" s="40" t="s">
        <v>60</v>
      </c>
      <c r="C18" s="41"/>
      <c r="D18" s="41"/>
      <c r="E18" s="41"/>
      <c r="F18" s="41"/>
      <c r="G18" s="41"/>
      <c r="H18" s="41"/>
      <c r="I18" s="41"/>
      <c r="J18" s="41"/>
      <c r="K18" s="41"/>
      <c r="L18" s="41"/>
      <c r="M18" s="41"/>
      <c r="N18" s="41"/>
      <c r="O18" s="41"/>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c r="BM18" s="41"/>
      <c r="BN18" s="58"/>
      <c r="BO18" s="42"/>
    </row>
    <row r="19" spans="2:67" x14ac:dyDescent="0.2">
      <c r="B19" s="32" t="s">
        <v>61</v>
      </c>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s="50"/>
      <c r="BO19" s="33"/>
    </row>
    <row r="20" spans="2:67" x14ac:dyDescent="0.2">
      <c r="B20" s="32" t="s">
        <v>62</v>
      </c>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s="50"/>
      <c r="BO20" s="33"/>
    </row>
    <row r="21" spans="2:67" x14ac:dyDescent="0.2">
      <c r="B21" s="32" t="s">
        <v>63</v>
      </c>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s="50"/>
      <c r="BO21" s="33"/>
    </row>
    <row r="22" spans="2:67" x14ac:dyDescent="0.2">
      <c r="B22" s="32" t="s">
        <v>64</v>
      </c>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s="50"/>
      <c r="BO22" s="33"/>
    </row>
    <row r="23" spans="2:67" x14ac:dyDescent="0.2">
      <c r="B23" s="32" t="s">
        <v>65</v>
      </c>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s="50"/>
      <c r="BO23" s="33"/>
    </row>
    <row r="24" spans="2:67" x14ac:dyDescent="0.2">
      <c r="B24" s="43" t="s">
        <v>66</v>
      </c>
      <c r="C24" s="44"/>
      <c r="D24" s="44"/>
      <c r="E24" s="44"/>
      <c r="F24" s="44"/>
      <c r="G24" s="44"/>
      <c r="H24" s="44"/>
      <c r="I24" s="44"/>
      <c r="J24" s="44"/>
      <c r="K24" s="44"/>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c r="AV24" s="44"/>
      <c r="AW24" s="44"/>
      <c r="AX24" s="44"/>
      <c r="AY24" s="44"/>
      <c r="AZ24" s="44"/>
      <c r="BA24" s="44"/>
      <c r="BB24" s="44"/>
      <c r="BC24" s="44"/>
      <c r="BD24" s="44"/>
      <c r="BE24" s="44"/>
      <c r="BF24" s="44"/>
      <c r="BG24" s="44"/>
      <c r="BH24" s="44"/>
      <c r="BI24" s="44"/>
      <c r="BJ24" s="44"/>
      <c r="BK24" s="44"/>
      <c r="BL24" s="44"/>
      <c r="BM24" s="44"/>
      <c r="BN24" s="48"/>
      <c r="BO24" s="45"/>
    </row>
    <row r="25" spans="2:67" x14ac:dyDescent="0.2">
      <c r="B25" s="32" t="s">
        <v>67</v>
      </c>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s="50"/>
      <c r="BO25" s="33"/>
    </row>
    <row r="26" spans="2:67" x14ac:dyDescent="0.2">
      <c r="B26" s="32" t="s">
        <v>68</v>
      </c>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s="50"/>
      <c r="BO26" s="33"/>
    </row>
    <row r="27" spans="2:67" x14ac:dyDescent="0.2">
      <c r="B27" s="32" t="s">
        <v>69</v>
      </c>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s="50"/>
      <c r="BO27" s="33"/>
    </row>
    <row r="28" spans="2:67" x14ac:dyDescent="0.2">
      <c r="B28" s="32" t="s">
        <v>70</v>
      </c>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s="50"/>
      <c r="BO28" s="33"/>
    </row>
    <row r="29" spans="2:67" x14ac:dyDescent="0.2">
      <c r="B29" s="32" t="s">
        <v>71</v>
      </c>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s="50"/>
      <c r="BO29" s="33"/>
    </row>
    <row r="30" spans="2:67" x14ac:dyDescent="0.2">
      <c r="B30" s="32" t="s">
        <v>72</v>
      </c>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s="50"/>
      <c r="BO30" s="33"/>
    </row>
    <row r="31" spans="2:67" x14ac:dyDescent="0.2">
      <c r="B31" s="32" t="s">
        <v>73</v>
      </c>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s="50"/>
      <c r="BO31" s="33"/>
    </row>
    <row r="32" spans="2:67" x14ac:dyDescent="0.2">
      <c r="B32" s="32" t="s">
        <v>74</v>
      </c>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s="50"/>
      <c r="BO32" s="33"/>
    </row>
    <row r="33" spans="2:67" x14ac:dyDescent="0.2">
      <c r="B33" s="32" t="s">
        <v>75</v>
      </c>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s="50"/>
      <c r="BO33" s="33"/>
    </row>
    <row r="34" spans="2:67" x14ac:dyDescent="0.2">
      <c r="B34" s="32" t="s">
        <v>76</v>
      </c>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s="50"/>
      <c r="BO34" s="33"/>
    </row>
    <row r="35" spans="2:67" x14ac:dyDescent="0.2">
      <c r="B35" s="32" t="s">
        <v>77</v>
      </c>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s="50"/>
      <c r="BO35" s="33"/>
    </row>
    <row r="36" spans="2:67" x14ac:dyDescent="0.2">
      <c r="B36" s="32" t="s">
        <v>78</v>
      </c>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s="50"/>
      <c r="BO36" s="33"/>
    </row>
    <row r="37" spans="2:67" x14ac:dyDescent="0.2">
      <c r="B37" s="32" t="s">
        <v>79</v>
      </c>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s="50"/>
      <c r="BO37" s="33"/>
    </row>
    <row r="38" spans="2:67" x14ac:dyDescent="0.2">
      <c r="B38" s="32" t="s">
        <v>80</v>
      </c>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s="50"/>
      <c r="BO38" s="33"/>
    </row>
    <row r="39" spans="2:67" ht="17" thickBot="1" x14ac:dyDescent="0.25">
      <c r="B39" s="32" t="s">
        <v>81</v>
      </c>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s="50"/>
      <c r="BO39" s="33"/>
    </row>
    <row r="40" spans="2:67" ht="17" thickBot="1" x14ac:dyDescent="0.25">
      <c r="B40" s="40" t="s">
        <v>82</v>
      </c>
      <c r="C40" s="41"/>
      <c r="D40" s="41"/>
      <c r="E40" s="41"/>
      <c r="F40" s="41"/>
      <c r="G40" s="41"/>
      <c r="H40" s="41"/>
      <c r="I40" s="41"/>
      <c r="J40" s="41"/>
      <c r="K40" s="41"/>
      <c r="L40" s="41"/>
      <c r="M40" s="41"/>
      <c r="N40" s="41"/>
      <c r="O40" s="41"/>
      <c r="P40" s="41"/>
      <c r="Q40" s="41"/>
      <c r="R40" s="41"/>
      <c r="S40" s="41"/>
      <c r="T40" s="41"/>
      <c r="U40" s="41"/>
      <c r="V40" s="41"/>
      <c r="W40" s="41"/>
      <c r="X40" s="41"/>
      <c r="Y40" s="41"/>
      <c r="Z40" s="41"/>
      <c r="AA40" s="41"/>
      <c r="AB40" s="41"/>
      <c r="AC40" s="41"/>
      <c r="AD40" s="41"/>
      <c r="AE40" s="41"/>
      <c r="AF40" s="41"/>
      <c r="AG40" s="41"/>
      <c r="AH40" s="41"/>
      <c r="AI40" s="41"/>
      <c r="AJ40" s="41"/>
      <c r="AK40" s="41"/>
      <c r="AL40" s="41"/>
      <c r="AM40" s="41"/>
      <c r="AN40" s="41"/>
      <c r="AO40" s="41"/>
      <c r="AP40" s="41"/>
      <c r="AQ40" s="41"/>
      <c r="AR40" s="41"/>
      <c r="AS40" s="41"/>
      <c r="AT40" s="41"/>
      <c r="AU40" s="41"/>
      <c r="AV40" s="41"/>
      <c r="AW40" s="41"/>
      <c r="AX40" s="41"/>
      <c r="AY40" s="41"/>
      <c r="AZ40" s="41"/>
      <c r="BA40" s="41"/>
      <c r="BB40" s="41"/>
      <c r="BC40" s="41"/>
      <c r="BD40" s="41"/>
      <c r="BE40" s="41"/>
      <c r="BF40" s="41"/>
      <c r="BG40" s="41"/>
      <c r="BH40" s="41"/>
      <c r="BI40" s="41"/>
      <c r="BJ40" s="41"/>
      <c r="BK40" s="41"/>
      <c r="BL40" s="41"/>
      <c r="BM40" s="41"/>
      <c r="BN40" s="58"/>
      <c r="BO40" s="42"/>
    </row>
    <row r="41" spans="2:67" x14ac:dyDescent="0.2">
      <c r="B41" s="32" t="s">
        <v>83</v>
      </c>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s="50"/>
      <c r="BO41" s="33"/>
    </row>
    <row r="42" spans="2:67" x14ac:dyDescent="0.2">
      <c r="B42" s="32" t="s">
        <v>84</v>
      </c>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s="50"/>
      <c r="BO42" s="33"/>
    </row>
    <row r="43" spans="2:67" x14ac:dyDescent="0.2">
      <c r="B43" s="32" t="s">
        <v>70</v>
      </c>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s="50"/>
      <c r="BO43" s="33"/>
    </row>
    <row r="44" spans="2:67" x14ac:dyDescent="0.2">
      <c r="B44" s="32" t="s">
        <v>71</v>
      </c>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s="50"/>
      <c r="BO44" s="33"/>
    </row>
    <row r="45" spans="2:67" x14ac:dyDescent="0.2">
      <c r="B45" s="32" t="s">
        <v>85</v>
      </c>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s="50"/>
      <c r="BO45" s="33"/>
    </row>
    <row r="46" spans="2:67" x14ac:dyDescent="0.2">
      <c r="B46" s="32" t="s">
        <v>72</v>
      </c>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s="50"/>
      <c r="BO46" s="33"/>
    </row>
    <row r="47" spans="2:67" x14ac:dyDescent="0.2">
      <c r="B47" s="32" t="s">
        <v>73</v>
      </c>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s="50"/>
      <c r="BO47" s="33"/>
    </row>
    <row r="48" spans="2:67" x14ac:dyDescent="0.2">
      <c r="B48" s="32" t="s">
        <v>74</v>
      </c>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s="50"/>
      <c r="BO48" s="33"/>
    </row>
    <row r="49" spans="2:67" x14ac:dyDescent="0.2">
      <c r="B49" s="32" t="s">
        <v>75</v>
      </c>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s="50"/>
      <c r="BO49" s="33"/>
    </row>
    <row r="50" spans="2:67" x14ac:dyDescent="0.2">
      <c r="B50" s="32" t="s">
        <v>77</v>
      </c>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s="50"/>
      <c r="BO50" s="33"/>
    </row>
    <row r="51" spans="2:67" x14ac:dyDescent="0.2">
      <c r="B51" s="32" t="s">
        <v>86</v>
      </c>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s="50"/>
      <c r="BO51" s="33"/>
    </row>
    <row r="52" spans="2:67" x14ac:dyDescent="0.2">
      <c r="B52" s="32" t="s">
        <v>78</v>
      </c>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s="50"/>
      <c r="BO52" s="33"/>
    </row>
    <row r="53" spans="2:67" x14ac:dyDescent="0.2">
      <c r="B53" s="32" t="s">
        <v>87</v>
      </c>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s="50"/>
      <c r="BO53" s="33"/>
    </row>
    <row r="54" spans="2:67" x14ac:dyDescent="0.2">
      <c r="B54" s="32" t="s">
        <v>88</v>
      </c>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s="50"/>
      <c r="BO54" s="33"/>
    </row>
    <row r="55" spans="2:67" x14ac:dyDescent="0.2">
      <c r="B55" s="32" t="s">
        <v>89</v>
      </c>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s="50"/>
      <c r="BO55" s="33"/>
    </row>
    <row r="56" spans="2:67" x14ac:dyDescent="0.2">
      <c r="B56" s="32" t="s">
        <v>80</v>
      </c>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s="50"/>
      <c r="BO56" s="33"/>
    </row>
    <row r="57" spans="2:67" x14ac:dyDescent="0.2">
      <c r="B57" s="32" t="s">
        <v>90</v>
      </c>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s="50"/>
      <c r="BO57" s="33"/>
    </row>
    <row r="58" spans="2:67" ht="17" thickBot="1" x14ac:dyDescent="0.25">
      <c r="B58" s="32" t="s">
        <v>91</v>
      </c>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s="50"/>
      <c r="BO58" s="33"/>
    </row>
    <row r="59" spans="2:67" ht="17" thickBot="1" x14ac:dyDescent="0.25">
      <c r="B59" s="40" t="s">
        <v>92</v>
      </c>
      <c r="C59" s="41"/>
      <c r="D59" s="41"/>
      <c r="E59" s="41"/>
      <c r="F59" s="41"/>
      <c r="G59" s="41"/>
      <c r="H59" s="41"/>
      <c r="I59" s="41"/>
      <c r="J59" s="41"/>
      <c r="K59" s="41"/>
      <c r="L59" s="41"/>
      <c r="M59" s="41"/>
      <c r="N59" s="41"/>
      <c r="O59" s="41"/>
      <c r="P59" s="41"/>
      <c r="Q59" s="41"/>
      <c r="R59" s="41"/>
      <c r="S59" s="41"/>
      <c r="T59" s="41"/>
      <c r="U59" s="41"/>
      <c r="V59" s="41"/>
      <c r="W59" s="41"/>
      <c r="X59" s="41"/>
      <c r="Y59" s="41"/>
      <c r="Z59" s="41"/>
      <c r="AA59" s="41"/>
      <c r="AB59" s="41"/>
      <c r="AC59" s="41"/>
      <c r="AD59" s="41"/>
      <c r="AE59" s="41"/>
      <c r="AF59" s="41"/>
      <c r="AG59" s="41"/>
      <c r="AH59" s="41"/>
      <c r="AI59" s="41"/>
      <c r="AJ59" s="41"/>
      <c r="AK59" s="41"/>
      <c r="AL59" s="41"/>
      <c r="AM59" s="41"/>
      <c r="AN59" s="41"/>
      <c r="AO59" s="41"/>
      <c r="AP59" s="41"/>
      <c r="AQ59" s="41"/>
      <c r="AR59" s="41"/>
      <c r="AS59" s="41"/>
      <c r="AT59" s="41"/>
      <c r="AU59" s="41"/>
      <c r="AV59" s="41"/>
      <c r="AW59" s="41"/>
      <c r="AX59" s="41"/>
      <c r="AY59" s="41"/>
      <c r="AZ59" s="41"/>
      <c r="BA59" s="41"/>
      <c r="BB59" s="41"/>
      <c r="BC59" s="41"/>
      <c r="BD59" s="41"/>
      <c r="BE59" s="41"/>
      <c r="BF59" s="41"/>
      <c r="BG59" s="41"/>
      <c r="BH59" s="41"/>
      <c r="BI59" s="41"/>
      <c r="BJ59" s="41"/>
      <c r="BK59" s="41"/>
      <c r="BL59" s="41"/>
      <c r="BM59" s="41"/>
      <c r="BN59" s="58"/>
      <c r="BO59" s="42"/>
    </row>
    <row r="60" spans="2:67" ht="17" thickBot="1" x14ac:dyDescent="0.25">
      <c r="B60" s="40" t="s">
        <v>48</v>
      </c>
      <c r="C60" s="41"/>
      <c r="D60" s="41"/>
      <c r="E60" s="41"/>
      <c r="F60" s="41"/>
      <c r="G60" s="41"/>
      <c r="H60" s="41"/>
      <c r="I60" s="41"/>
      <c r="J60" s="41"/>
      <c r="K60" s="41"/>
      <c r="L60" s="41"/>
      <c r="M60" s="41"/>
      <c r="N60" s="41"/>
      <c r="O60" s="41"/>
      <c r="P60" s="41"/>
      <c r="Q60" s="41"/>
      <c r="R60" s="41"/>
      <c r="S60" s="41"/>
      <c r="T60" s="41"/>
      <c r="U60" s="41"/>
      <c r="V60" s="41"/>
      <c r="W60" s="41"/>
      <c r="X60" s="41"/>
      <c r="Y60" s="41"/>
      <c r="Z60" s="41"/>
      <c r="AA60" s="41"/>
      <c r="AB60" s="41"/>
      <c r="AC60" s="41"/>
      <c r="AD60" s="41"/>
      <c r="AE60" s="41"/>
      <c r="AF60" s="41"/>
      <c r="AG60" s="41"/>
      <c r="AH60" s="41"/>
      <c r="AI60" s="41"/>
      <c r="AJ60" s="41"/>
      <c r="AK60" s="41"/>
      <c r="AL60" s="41"/>
      <c r="AM60" s="41"/>
      <c r="AN60" s="41"/>
      <c r="AO60" s="41"/>
      <c r="AP60" s="41"/>
      <c r="AQ60" s="41"/>
      <c r="AR60" s="41"/>
      <c r="AS60" s="41"/>
      <c r="AT60" s="41"/>
      <c r="AU60" s="41"/>
      <c r="AV60" s="41"/>
      <c r="AW60" s="41"/>
      <c r="AX60" s="41"/>
      <c r="AY60" s="41"/>
      <c r="AZ60" s="41"/>
      <c r="BA60" s="41"/>
      <c r="BB60" s="41"/>
      <c r="BC60" s="41"/>
      <c r="BD60" s="41"/>
      <c r="BE60" s="41"/>
      <c r="BF60" s="41"/>
      <c r="BG60" s="41"/>
      <c r="BH60" s="41"/>
      <c r="BI60" s="41"/>
      <c r="BJ60" s="41"/>
      <c r="BK60" s="41"/>
      <c r="BL60" s="41"/>
      <c r="BM60" s="41"/>
      <c r="BN60" s="58"/>
      <c r="BO60" s="42"/>
    </row>
    <row r="61" spans="2:67" x14ac:dyDescent="0.2">
      <c r="B61" s="32" t="s">
        <v>93</v>
      </c>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s="50"/>
      <c r="BO61" s="33"/>
    </row>
    <row r="62" spans="2:67" x14ac:dyDescent="0.2">
      <c r="B62" s="32" t="s">
        <v>94</v>
      </c>
      <c r="C62"/>
      <c r="D62"/>
      <c r="E62"/>
      <c r="F62"/>
      <c r="G62"/>
      <c r="H62"/>
      <c r="I62"/>
      <c r="J62"/>
      <c r="K62"/>
      <c r="L62"/>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s="50"/>
      <c r="BO62" s="33"/>
    </row>
    <row r="63" spans="2:67" x14ac:dyDescent="0.2">
      <c r="B63" s="32" t="s">
        <v>95</v>
      </c>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s="50"/>
      <c r="BO63" s="33"/>
    </row>
    <row r="64" spans="2:67" x14ac:dyDescent="0.2">
      <c r="B64" s="32" t="s">
        <v>96</v>
      </c>
      <c r="C64"/>
      <c r="D64"/>
      <c r="E64"/>
      <c r="F64"/>
      <c r="G64"/>
      <c r="H64"/>
      <c r="I64"/>
      <c r="J64"/>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s="50"/>
      <c r="BO64" s="33"/>
    </row>
    <row r="65" spans="2:67" x14ac:dyDescent="0.2">
      <c r="B65" s="32" t="s">
        <v>97</v>
      </c>
      <c r="C65"/>
      <c r="D65"/>
      <c r="E65"/>
      <c r="F65"/>
      <c r="G65"/>
      <c r="H65"/>
      <c r="I65"/>
      <c r="J65"/>
      <c r="K65"/>
      <c r="L65"/>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s="50"/>
      <c r="BO65" s="33"/>
    </row>
    <row r="66" spans="2:67" x14ac:dyDescent="0.2">
      <c r="B66" s="32" t="s">
        <v>98</v>
      </c>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s="50"/>
      <c r="BO66" s="33"/>
    </row>
    <row r="67" spans="2:67" x14ac:dyDescent="0.2">
      <c r="B67" s="32" t="s">
        <v>99</v>
      </c>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s="50"/>
      <c r="BO67" s="33"/>
    </row>
    <row r="68" spans="2:67" x14ac:dyDescent="0.2">
      <c r="B68" s="32" t="s">
        <v>100</v>
      </c>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s="50"/>
      <c r="BO68" s="33"/>
    </row>
    <row r="69" spans="2:67" x14ac:dyDescent="0.2">
      <c r="B69" s="32" t="s">
        <v>101</v>
      </c>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s="50"/>
      <c r="BO69" s="33"/>
    </row>
    <row r="70" spans="2:67" x14ac:dyDescent="0.2">
      <c r="B70" s="32" t="s">
        <v>102</v>
      </c>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s="50"/>
      <c r="BO70" s="33"/>
    </row>
    <row r="71" spans="2:67" x14ac:dyDescent="0.2">
      <c r="B71" s="32" t="s">
        <v>103</v>
      </c>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s="50"/>
      <c r="BO71" s="33"/>
    </row>
    <row r="72" spans="2:67" x14ac:dyDescent="0.2">
      <c r="B72" s="32" t="s">
        <v>104</v>
      </c>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s="50"/>
      <c r="BO72" s="33"/>
    </row>
    <row r="73" spans="2:67" ht="17" thickBot="1" x14ac:dyDescent="0.25">
      <c r="B73" s="32" t="s">
        <v>105</v>
      </c>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s="50"/>
      <c r="BO73" s="33"/>
    </row>
    <row r="74" spans="2:67" ht="17" thickBot="1" x14ac:dyDescent="0.25">
      <c r="B74" s="40" t="s">
        <v>106</v>
      </c>
      <c r="C74" s="41"/>
      <c r="D74" s="41"/>
      <c r="E74" s="41"/>
      <c r="F74" s="41"/>
      <c r="G74" s="41"/>
      <c r="H74" s="41"/>
      <c r="I74" s="41"/>
      <c r="J74" s="41"/>
      <c r="K74" s="41"/>
      <c r="L74" s="41"/>
      <c r="M74" s="41"/>
      <c r="N74" s="41"/>
      <c r="O74" s="41"/>
      <c r="P74" s="41"/>
      <c r="Q74" s="41"/>
      <c r="R74" s="41"/>
      <c r="S74" s="41"/>
      <c r="T74" s="41"/>
      <c r="U74" s="41"/>
      <c r="V74" s="41"/>
      <c r="W74" s="41"/>
      <c r="X74" s="41"/>
      <c r="Y74" s="41"/>
      <c r="Z74" s="41"/>
      <c r="AA74" s="41"/>
      <c r="AB74" s="41"/>
      <c r="AC74" s="41"/>
      <c r="AD74" s="41"/>
      <c r="AE74" s="41"/>
      <c r="AF74" s="41"/>
      <c r="AG74" s="41"/>
      <c r="AH74" s="41"/>
      <c r="AI74" s="41"/>
      <c r="AJ74" s="41"/>
      <c r="AK74" s="41"/>
      <c r="AL74" s="41"/>
      <c r="AM74" s="41"/>
      <c r="AN74" s="41"/>
      <c r="AO74" s="41"/>
      <c r="AP74" s="41"/>
      <c r="AQ74" s="41"/>
      <c r="AR74" s="41"/>
      <c r="AS74" s="41"/>
      <c r="AT74" s="41"/>
      <c r="AU74" s="41"/>
      <c r="AV74" s="41"/>
      <c r="AW74" s="41"/>
      <c r="AX74" s="41"/>
      <c r="AY74" s="41"/>
      <c r="AZ74" s="41"/>
      <c r="BA74" s="41"/>
      <c r="BB74" s="41"/>
      <c r="BC74" s="41"/>
      <c r="BD74" s="41"/>
      <c r="BE74" s="41"/>
      <c r="BF74" s="41"/>
      <c r="BG74" s="41"/>
      <c r="BH74" s="41"/>
      <c r="BI74" s="41"/>
      <c r="BJ74" s="41"/>
      <c r="BK74" s="41"/>
      <c r="BL74" s="41"/>
      <c r="BM74" s="41"/>
      <c r="BN74" s="58"/>
      <c r="BO74" s="42"/>
    </row>
    <row r="75" spans="2:67" x14ac:dyDescent="0.2">
      <c r="B75" s="32" t="s">
        <v>107</v>
      </c>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s="50"/>
      <c r="BO75" s="33"/>
    </row>
    <row r="76" spans="2:67" x14ac:dyDescent="0.2">
      <c r="B76" s="32" t="s">
        <v>108</v>
      </c>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s="50"/>
      <c r="BO76" s="33"/>
    </row>
    <row r="77" spans="2:67" x14ac:dyDescent="0.2">
      <c r="B77" s="32" t="s">
        <v>109</v>
      </c>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s="50"/>
      <c r="BO77" s="33"/>
    </row>
    <row r="78" spans="2:67" x14ac:dyDescent="0.2">
      <c r="B78" s="32" t="s">
        <v>110</v>
      </c>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s="50"/>
      <c r="BO78" s="33"/>
    </row>
    <row r="79" spans="2:67" x14ac:dyDescent="0.2">
      <c r="B79" s="32" t="s">
        <v>111</v>
      </c>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s="50"/>
      <c r="BO79" s="33"/>
    </row>
    <row r="80" spans="2:67" ht="17" thickBot="1" x14ac:dyDescent="0.25">
      <c r="B80" s="32" t="s">
        <v>112</v>
      </c>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s="50"/>
      <c r="BO80" s="33"/>
    </row>
    <row r="81" spans="2:67" ht="17" thickBot="1" x14ac:dyDescent="0.25">
      <c r="B81" s="40" t="s">
        <v>113</v>
      </c>
      <c r="C81" s="41"/>
      <c r="D81" s="41"/>
      <c r="E81" s="41"/>
      <c r="F81" s="41"/>
      <c r="G81" s="41"/>
      <c r="H81" s="41"/>
      <c r="I81" s="41"/>
      <c r="J81" s="41"/>
      <c r="K81" s="41"/>
      <c r="L81" s="41"/>
      <c r="M81" s="41"/>
      <c r="N81" s="41"/>
      <c r="O81" s="41"/>
      <c r="P81" s="41"/>
      <c r="Q81" s="41"/>
      <c r="R81" s="41"/>
      <c r="S81" s="41"/>
      <c r="T81" s="41"/>
      <c r="U81" s="41"/>
      <c r="V81" s="41"/>
      <c r="W81" s="41"/>
      <c r="X81" s="41"/>
      <c r="Y81" s="41"/>
      <c r="Z81" s="41"/>
      <c r="AA81" s="41"/>
      <c r="AB81" s="41"/>
      <c r="AC81" s="41"/>
      <c r="AD81" s="41"/>
      <c r="AE81" s="41"/>
      <c r="AF81" s="41"/>
      <c r="AG81" s="41"/>
      <c r="AH81" s="41"/>
      <c r="AI81" s="41"/>
      <c r="AJ81" s="41"/>
      <c r="AK81" s="41"/>
      <c r="AL81" s="41"/>
      <c r="AM81" s="41"/>
      <c r="AN81" s="41"/>
      <c r="AO81" s="41"/>
      <c r="AP81" s="41"/>
      <c r="AQ81" s="41"/>
      <c r="AR81" s="41"/>
      <c r="AS81" s="41"/>
      <c r="AT81" s="41"/>
      <c r="AU81" s="41"/>
      <c r="AV81" s="41"/>
      <c r="AW81" s="41"/>
      <c r="AX81" s="41"/>
      <c r="AY81" s="41"/>
      <c r="AZ81" s="41"/>
      <c r="BA81" s="41"/>
      <c r="BB81" s="41"/>
      <c r="BC81" s="41"/>
      <c r="BD81" s="41"/>
      <c r="BE81" s="41"/>
      <c r="BF81" s="41"/>
      <c r="BG81" s="41"/>
      <c r="BH81" s="41"/>
      <c r="BI81" s="41"/>
      <c r="BJ81" s="41"/>
      <c r="BK81" s="41"/>
      <c r="BL81" s="41"/>
      <c r="BM81" s="41"/>
      <c r="BN81" s="58"/>
      <c r="BO81" s="42"/>
    </row>
    <row r="82" spans="2:67" x14ac:dyDescent="0.2">
      <c r="B82" s="32" t="s">
        <v>114</v>
      </c>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s="50"/>
      <c r="BO82" s="33"/>
    </row>
    <row r="83" spans="2:67" x14ac:dyDescent="0.2">
      <c r="B83" s="32" t="s">
        <v>115</v>
      </c>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s="50"/>
      <c r="BO83" s="33"/>
    </row>
    <row r="84" spans="2:67" x14ac:dyDescent="0.2">
      <c r="B84" s="32" t="s">
        <v>116</v>
      </c>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s="50"/>
      <c r="BO84" s="33"/>
    </row>
    <row r="85" spans="2:67" x14ac:dyDescent="0.2">
      <c r="B85" s="32" t="s">
        <v>117</v>
      </c>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s="50"/>
      <c r="BO85" s="33"/>
    </row>
    <row r="86" spans="2:67" ht="17" thickBot="1" x14ac:dyDescent="0.25">
      <c r="B86" s="32" t="s">
        <v>118</v>
      </c>
      <c r="C86"/>
      <c r="D86"/>
      <c r="E86"/>
      <c r="F86"/>
      <c r="G86"/>
      <c r="H86"/>
      <c r="I86"/>
      <c r="J86"/>
      <c r="K86"/>
      <c r="L86"/>
      <c r="M86"/>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s="50"/>
      <c r="BO86" s="33"/>
    </row>
    <row r="87" spans="2:67" ht="17" thickBot="1" x14ac:dyDescent="0.25">
      <c r="B87" s="40" t="s">
        <v>119</v>
      </c>
      <c r="C87" s="41"/>
      <c r="D87" s="41"/>
      <c r="E87" s="41"/>
      <c r="F87" s="41"/>
      <c r="G87" s="41"/>
      <c r="H87" s="41"/>
      <c r="I87" s="41"/>
      <c r="J87" s="41"/>
      <c r="K87" s="41"/>
      <c r="L87" s="41"/>
      <c r="M87" s="41"/>
      <c r="N87" s="41"/>
      <c r="O87" s="41"/>
      <c r="P87" s="41"/>
      <c r="Q87" s="41"/>
      <c r="R87" s="41"/>
      <c r="S87" s="41"/>
      <c r="T87" s="41"/>
      <c r="U87" s="41"/>
      <c r="V87" s="41"/>
      <c r="W87" s="41"/>
      <c r="X87" s="41"/>
      <c r="Y87" s="41"/>
      <c r="Z87" s="41"/>
      <c r="AA87" s="41"/>
      <c r="AB87" s="41"/>
      <c r="AC87" s="41"/>
      <c r="AD87" s="41"/>
      <c r="AE87" s="41"/>
      <c r="AF87" s="41"/>
      <c r="AG87" s="41"/>
      <c r="AH87" s="41"/>
      <c r="AI87" s="41"/>
      <c r="AJ87" s="41"/>
      <c r="AK87" s="41"/>
      <c r="AL87" s="41"/>
      <c r="AM87" s="41"/>
      <c r="AN87" s="41"/>
      <c r="AO87" s="41"/>
      <c r="AP87" s="41"/>
      <c r="AQ87" s="41"/>
      <c r="AR87" s="41"/>
      <c r="AS87" s="41"/>
      <c r="AT87" s="41"/>
      <c r="AU87" s="41"/>
      <c r="AV87" s="41"/>
      <c r="AW87" s="41"/>
      <c r="AX87" s="41"/>
      <c r="AY87" s="41"/>
      <c r="AZ87" s="41"/>
      <c r="BA87" s="41"/>
      <c r="BB87" s="41"/>
      <c r="BC87" s="41"/>
      <c r="BD87" s="41"/>
      <c r="BE87" s="41"/>
      <c r="BF87" s="41"/>
      <c r="BG87" s="41"/>
      <c r="BH87" s="41"/>
      <c r="BI87" s="41"/>
      <c r="BJ87" s="41"/>
      <c r="BK87" s="41"/>
      <c r="BL87" s="41"/>
      <c r="BM87" s="41"/>
      <c r="BN87" s="58"/>
      <c r="BO87" s="42"/>
    </row>
    <row r="88" spans="2:67" x14ac:dyDescent="0.2">
      <c r="B88" s="32" t="s">
        <v>120</v>
      </c>
      <c r="C88"/>
      <c r="D88"/>
      <c r="E88"/>
      <c r="F88"/>
      <c r="G88"/>
      <c r="H88"/>
      <c r="I88"/>
      <c r="J88"/>
      <c r="K88"/>
      <c r="L88"/>
      <c r="M88"/>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s="50"/>
      <c r="BO88" s="33"/>
    </row>
    <row r="89" spans="2:67" x14ac:dyDescent="0.2">
      <c r="B89" s="32" t="s">
        <v>121</v>
      </c>
      <c r="C89"/>
      <c r="D89"/>
      <c r="E89"/>
      <c r="F89"/>
      <c r="G89"/>
      <c r="H89"/>
      <c r="I89"/>
      <c r="J89"/>
      <c r="K89"/>
      <c r="L89"/>
      <c r="M89"/>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s="50"/>
      <c r="BO89" s="33"/>
    </row>
    <row r="90" spans="2:67" x14ac:dyDescent="0.2">
      <c r="B90" s="32" t="s">
        <v>122</v>
      </c>
      <c r="C90"/>
      <c r="D90"/>
      <c r="E90"/>
      <c r="F90"/>
      <c r="G90"/>
      <c r="H90"/>
      <c r="I90"/>
      <c r="J90"/>
      <c r="K90"/>
      <c r="L90"/>
      <c r="M90"/>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s="50"/>
      <c r="BO90" s="33"/>
    </row>
    <row r="91" spans="2:67" ht="17" thickBot="1" x14ac:dyDescent="0.25">
      <c r="B91" s="32" t="s">
        <v>123</v>
      </c>
      <c r="C91"/>
      <c r="D91"/>
      <c r="E91"/>
      <c r="F91"/>
      <c r="G91"/>
      <c r="H91"/>
      <c r="I91"/>
      <c r="J91"/>
      <c r="K91"/>
      <c r="L91"/>
      <c r="M91"/>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c r="BM91"/>
      <c r="BN91" s="50"/>
      <c r="BO91" s="33"/>
    </row>
    <row r="92" spans="2:67" ht="17" thickBot="1" x14ac:dyDescent="0.25">
      <c r="B92" s="40" t="s">
        <v>124</v>
      </c>
      <c r="C92" s="41"/>
      <c r="D92" s="41"/>
      <c r="E92" s="41"/>
      <c r="F92" s="41"/>
      <c r="G92" s="41"/>
      <c r="H92" s="41"/>
      <c r="I92" s="41"/>
      <c r="J92" s="41"/>
      <c r="K92" s="41"/>
      <c r="L92" s="41"/>
      <c r="M92" s="41"/>
      <c r="N92" s="41"/>
      <c r="O92" s="41"/>
      <c r="P92" s="41"/>
      <c r="Q92" s="41"/>
      <c r="R92" s="41"/>
      <c r="S92" s="41"/>
      <c r="T92" s="41"/>
      <c r="U92" s="41"/>
      <c r="V92" s="41"/>
      <c r="W92" s="41"/>
      <c r="X92" s="41"/>
      <c r="Y92" s="41"/>
      <c r="Z92" s="41"/>
      <c r="AA92" s="41"/>
      <c r="AB92" s="41"/>
      <c r="AC92" s="41"/>
      <c r="AD92" s="41"/>
      <c r="AE92" s="41"/>
      <c r="AF92" s="41"/>
      <c r="AG92" s="41"/>
      <c r="AH92" s="41"/>
      <c r="AI92" s="41"/>
      <c r="AJ92" s="41"/>
      <c r="AK92" s="41"/>
      <c r="AL92" s="41"/>
      <c r="AM92" s="41"/>
      <c r="AN92" s="41"/>
      <c r="AO92" s="41"/>
      <c r="AP92" s="41"/>
      <c r="AQ92" s="41"/>
      <c r="AR92" s="41"/>
      <c r="AS92" s="41"/>
      <c r="AT92" s="41"/>
      <c r="AU92" s="41"/>
      <c r="AV92" s="41"/>
      <c r="AW92" s="41"/>
      <c r="AX92" s="41"/>
      <c r="AY92" s="41"/>
      <c r="AZ92" s="41"/>
      <c r="BA92" s="41"/>
      <c r="BB92" s="41"/>
      <c r="BC92" s="41"/>
      <c r="BD92" s="41"/>
      <c r="BE92" s="41"/>
      <c r="BF92" s="41"/>
      <c r="BG92" s="41"/>
      <c r="BH92" s="41"/>
      <c r="BI92" s="41"/>
      <c r="BJ92" s="41"/>
      <c r="BK92" s="41"/>
      <c r="BL92" s="41"/>
      <c r="BM92" s="41"/>
      <c r="BN92" s="58"/>
      <c r="BO92" s="42"/>
    </row>
    <row r="93" spans="2:67" x14ac:dyDescent="0.2">
      <c r="B93" s="32" t="s">
        <v>125</v>
      </c>
      <c r="C93"/>
      <c r="D93"/>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c r="BM93"/>
      <c r="BN93" s="50"/>
      <c r="BO93" s="33"/>
    </row>
    <row r="94" spans="2:67" x14ac:dyDescent="0.2">
      <c r="B94" s="32" t="s">
        <v>126</v>
      </c>
      <c r="C94"/>
      <c r="D94"/>
      <c r="E94"/>
      <c r="F94"/>
      <c r="G94"/>
      <c r="H94"/>
      <c r="I94"/>
      <c r="J94"/>
      <c r="K94"/>
      <c r="L94"/>
      <c r="M94"/>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c r="BM94"/>
      <c r="BN94" s="50"/>
      <c r="BO94" s="33"/>
    </row>
    <row r="95" spans="2:67" x14ac:dyDescent="0.2">
      <c r="B95" s="32" t="s">
        <v>127</v>
      </c>
      <c r="C95"/>
      <c r="D95"/>
      <c r="E95"/>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c r="BM95"/>
      <c r="BN95" s="50"/>
      <c r="BO95" s="33"/>
    </row>
    <row r="96" spans="2:67" ht="17" thickBot="1" x14ac:dyDescent="0.25">
      <c r="B96" s="32" t="s">
        <v>128</v>
      </c>
      <c r="C96"/>
      <c r="D96"/>
      <c r="E96"/>
      <c r="F96"/>
      <c r="G96"/>
      <c r="H96"/>
      <c r="I96"/>
      <c r="J96"/>
      <c r="K96"/>
      <c r="L96"/>
      <c r="M96"/>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s="50"/>
      <c r="BO96" s="33"/>
    </row>
    <row r="97" spans="2:67" ht="17" thickBot="1" x14ac:dyDescent="0.25">
      <c r="B97" s="40" t="s">
        <v>129</v>
      </c>
      <c r="C97" s="41"/>
      <c r="D97" s="41"/>
      <c r="E97" s="41"/>
      <c r="F97" s="41"/>
      <c r="G97" s="41"/>
      <c r="H97" s="41"/>
      <c r="I97" s="41"/>
      <c r="J97" s="41"/>
      <c r="K97" s="41"/>
      <c r="L97" s="41"/>
      <c r="M97" s="41"/>
      <c r="N97" s="41"/>
      <c r="O97" s="41"/>
      <c r="P97" s="41"/>
      <c r="Q97" s="41"/>
      <c r="R97" s="41"/>
      <c r="S97" s="41"/>
      <c r="T97" s="41"/>
      <c r="U97" s="41"/>
      <c r="V97" s="41"/>
      <c r="W97" s="41"/>
      <c r="X97" s="41"/>
      <c r="Y97" s="41"/>
      <c r="Z97" s="41"/>
      <c r="AA97" s="41"/>
      <c r="AB97" s="41"/>
      <c r="AC97" s="41"/>
      <c r="AD97" s="41"/>
      <c r="AE97" s="41"/>
      <c r="AF97" s="41"/>
      <c r="AG97" s="41"/>
      <c r="AH97" s="41"/>
      <c r="AI97" s="41"/>
      <c r="AJ97" s="41"/>
      <c r="AK97" s="41"/>
      <c r="AL97" s="41"/>
      <c r="AM97" s="41"/>
      <c r="AN97" s="41"/>
      <c r="AO97" s="41"/>
      <c r="AP97" s="41"/>
      <c r="AQ97" s="41"/>
      <c r="AR97" s="41"/>
      <c r="AS97" s="41"/>
      <c r="AT97" s="41"/>
      <c r="AU97" s="41"/>
      <c r="AV97" s="41"/>
      <c r="AW97" s="41"/>
      <c r="AX97" s="41"/>
      <c r="AY97" s="41"/>
      <c r="AZ97" s="41"/>
      <c r="BA97" s="41"/>
      <c r="BB97" s="41"/>
      <c r="BC97" s="41"/>
      <c r="BD97" s="41"/>
      <c r="BE97" s="41"/>
      <c r="BF97" s="41"/>
      <c r="BG97" s="41"/>
      <c r="BH97" s="41"/>
      <c r="BI97" s="41"/>
      <c r="BJ97" s="41"/>
      <c r="BK97" s="41"/>
      <c r="BL97" s="41"/>
      <c r="BM97" s="41"/>
      <c r="BN97" s="58"/>
      <c r="BO97" s="42"/>
    </row>
    <row r="98" spans="2:67" x14ac:dyDescent="0.2">
      <c r="B98" s="32" t="s">
        <v>130</v>
      </c>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s="50"/>
      <c r="BO98" s="33"/>
    </row>
    <row r="99" spans="2:67" x14ac:dyDescent="0.2">
      <c r="B99" s="32" t="s">
        <v>131</v>
      </c>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s="50"/>
      <c r="BO99" s="33"/>
    </row>
    <row r="100" spans="2:67" x14ac:dyDescent="0.2">
      <c r="B100" s="32" t="s">
        <v>132</v>
      </c>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s="50"/>
      <c r="BO100" s="33"/>
    </row>
    <row r="101" spans="2:67" ht="17" thickBot="1" x14ac:dyDescent="0.25">
      <c r="B101" s="34" t="s">
        <v>133</v>
      </c>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c r="AH101" s="35"/>
      <c r="AI101" s="35"/>
      <c r="AJ101" s="35"/>
      <c r="AK101" s="35"/>
      <c r="AL101" s="35"/>
      <c r="AM101" s="35"/>
      <c r="AN101" s="35"/>
      <c r="AO101" s="35"/>
      <c r="AP101" s="35"/>
      <c r="AQ101" s="35"/>
      <c r="AR101" s="35"/>
      <c r="AS101" s="35"/>
      <c r="AT101" s="35"/>
      <c r="AU101" s="35"/>
      <c r="AV101" s="35"/>
      <c r="AW101" s="35"/>
      <c r="AX101" s="35"/>
      <c r="AY101" s="35"/>
      <c r="AZ101" s="35"/>
      <c r="BA101" s="35"/>
      <c r="BB101" s="35"/>
      <c r="BC101" s="35"/>
      <c r="BD101" s="35"/>
      <c r="BE101" s="35"/>
      <c r="BF101" s="35"/>
      <c r="BG101" s="35"/>
      <c r="BH101" s="35"/>
      <c r="BI101" s="35"/>
      <c r="BJ101" s="35"/>
      <c r="BK101" s="35"/>
      <c r="BL101" s="35"/>
      <c r="BM101" s="35"/>
      <c r="BN101" s="59"/>
      <c r="BO101" s="36"/>
    </row>
  </sheetData>
  <sheetProtection sheet="1" objects="1" scenarios="1"/>
  <conditionalFormatting sqref="C59:BM91">
    <cfRule type="cellIs" dxfId="37" priority="1" operator="lessThan">
      <formula>0</formula>
    </cfRule>
  </conditionalFormatting>
  <conditionalFormatting sqref="C9:BO101">
    <cfRule type="cellIs" dxfId="36" priority="2" operator="notBetween">
      <formula>-999999999999999</formula>
      <formula>999999999999999</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6" tint="0.39997558519241921"/>
  </sheetPr>
  <dimension ref="B2:AR17"/>
  <sheetViews>
    <sheetView workbookViewId="0">
      <pane xSplit="4" topLeftCell="R1" activePane="topRight" state="frozen"/>
      <selection pane="topRight" activeCell="S16" sqref="S16"/>
    </sheetView>
  </sheetViews>
  <sheetFormatPr baseColWidth="10" defaultRowHeight="16" x14ac:dyDescent="0.2"/>
  <cols>
    <col min="1" max="1" width="3.83203125" style="2" customWidth="1"/>
    <col min="2" max="2" width="13.83203125" style="2" customWidth="1"/>
    <col min="3" max="3" width="16.5" style="2" customWidth="1"/>
    <col min="4" max="4" width="27.1640625" style="2" customWidth="1"/>
    <col min="5" max="44" width="12.6640625" style="2" customWidth="1"/>
    <col min="45" max="16384" width="10.83203125" style="2"/>
  </cols>
  <sheetData>
    <row r="2" spans="2:44" ht="21" x14ac:dyDescent="0.25">
      <c r="B2" s="20" t="s">
        <v>522</v>
      </c>
    </row>
    <row r="4" spans="2:44" x14ac:dyDescent="0.2">
      <c r="B4" s="3" t="s">
        <v>37</v>
      </c>
      <c r="C4" s="4"/>
      <c r="D4" s="5"/>
    </row>
    <row r="5" spans="2:44" ht="30" customHeight="1" x14ac:dyDescent="0.2">
      <c r="B5" s="619" t="s">
        <v>706</v>
      </c>
      <c r="C5" s="620"/>
      <c r="D5" s="621"/>
      <c r="E5" s="376"/>
      <c r="F5" s="376"/>
    </row>
    <row r="7" spans="2:44" x14ac:dyDescent="0.2">
      <c r="B7" s="283"/>
      <c r="C7" s="4"/>
      <c r="D7" s="5" t="s">
        <v>523</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5"/>
    </row>
    <row r="8" spans="2:44" x14ac:dyDescent="0.2">
      <c r="B8" s="54"/>
      <c r="C8"/>
      <c r="D8" s="51" t="s">
        <v>50</v>
      </c>
      <c r="E8" t="s">
        <v>524</v>
      </c>
      <c r="F8" s="54" t="s">
        <v>525</v>
      </c>
      <c r="G8" s="54" t="s">
        <v>83</v>
      </c>
      <c r="H8" t="s">
        <v>84</v>
      </c>
      <c r="I8" t="s">
        <v>73</v>
      </c>
      <c r="J8" t="s">
        <v>72</v>
      </c>
      <c r="K8" t="s">
        <v>74</v>
      </c>
      <c r="L8" t="s">
        <v>71</v>
      </c>
      <c r="M8" t="s">
        <v>70</v>
      </c>
      <c r="N8" t="s">
        <v>75</v>
      </c>
      <c r="O8" t="s">
        <v>77</v>
      </c>
      <c r="P8" t="s">
        <v>86</v>
      </c>
      <c r="Q8" t="s">
        <v>85</v>
      </c>
      <c r="R8" t="s">
        <v>78</v>
      </c>
      <c r="S8" t="s">
        <v>80</v>
      </c>
      <c r="T8" t="s">
        <v>526</v>
      </c>
      <c r="U8" s="50" t="s">
        <v>527</v>
      </c>
      <c r="V8" t="s">
        <v>93</v>
      </c>
      <c r="W8" t="s">
        <v>94</v>
      </c>
      <c r="X8" t="s">
        <v>95</v>
      </c>
      <c r="Y8" t="s">
        <v>96</v>
      </c>
      <c r="Z8" t="s">
        <v>97</v>
      </c>
      <c r="AA8" t="s">
        <v>98</v>
      </c>
      <c r="AB8" t="s">
        <v>99</v>
      </c>
      <c r="AC8" t="s">
        <v>100</v>
      </c>
      <c r="AD8" t="s">
        <v>528</v>
      </c>
      <c r="AE8" t="s">
        <v>102</v>
      </c>
      <c r="AF8" t="s">
        <v>103</v>
      </c>
      <c r="AG8" t="s">
        <v>104</v>
      </c>
      <c r="AH8" t="s">
        <v>529</v>
      </c>
      <c r="AI8" s="50" t="s">
        <v>530</v>
      </c>
      <c r="AJ8" t="s">
        <v>109</v>
      </c>
      <c r="AK8" t="s">
        <v>110</v>
      </c>
      <c r="AL8" t="s">
        <v>531</v>
      </c>
      <c r="AM8" s="50" t="s">
        <v>113</v>
      </c>
      <c r="AN8" t="s">
        <v>532</v>
      </c>
      <c r="AO8" t="s">
        <v>114</v>
      </c>
      <c r="AP8" t="s">
        <v>47</v>
      </c>
      <c r="AQ8" t="s">
        <v>117</v>
      </c>
      <c r="AR8" s="51" t="s">
        <v>533</v>
      </c>
    </row>
    <row r="9" spans="2:44" x14ac:dyDescent="0.2">
      <c r="B9" s="54" t="s">
        <v>534</v>
      </c>
      <c r="C9" s="44" t="s">
        <v>49</v>
      </c>
      <c r="D9" s="49" t="s">
        <v>535</v>
      </c>
      <c r="E9" s="44"/>
      <c r="F9" s="55"/>
      <c r="G9" s="55"/>
      <c r="H9" s="44"/>
      <c r="I9" s="44"/>
      <c r="J9" s="44"/>
      <c r="K9" s="44"/>
      <c r="L9" s="44"/>
      <c r="M9" s="44"/>
      <c r="N9" s="44"/>
      <c r="O9" s="44"/>
      <c r="P9" s="44"/>
      <c r="Q9" s="44"/>
      <c r="R9" s="44"/>
      <c r="S9" s="44"/>
      <c r="T9" s="44"/>
      <c r="U9" s="48"/>
      <c r="V9" s="44"/>
      <c r="W9" s="44"/>
      <c r="X9" s="44"/>
      <c r="Y9" s="44"/>
      <c r="Z9" s="44"/>
      <c r="AA9" s="44"/>
      <c r="AB9" s="44"/>
      <c r="AC9" s="44"/>
      <c r="AD9" s="44"/>
      <c r="AE9" s="44"/>
      <c r="AF9" s="44"/>
      <c r="AG9" s="44"/>
      <c r="AH9" s="44"/>
      <c r="AI9" s="48"/>
      <c r="AJ9" s="44"/>
      <c r="AK9" s="44"/>
      <c r="AL9" s="44"/>
      <c r="AM9" s="48"/>
      <c r="AN9" s="44"/>
      <c r="AO9" s="44"/>
      <c r="AP9" s="44"/>
      <c r="AQ9" s="44"/>
      <c r="AR9" s="49"/>
    </row>
    <row r="10" spans="2:44" x14ac:dyDescent="0.2">
      <c r="B10" s="54" t="s">
        <v>202</v>
      </c>
      <c r="C10" t="s">
        <v>536</v>
      </c>
      <c r="D10" s="51" t="s">
        <v>62</v>
      </c>
      <c r="E10"/>
      <c r="F10" s="54"/>
      <c r="G10" s="54"/>
      <c r="H10"/>
      <c r="I10"/>
      <c r="J10"/>
      <c r="K10"/>
      <c r="L10"/>
      <c r="M10"/>
      <c r="N10"/>
      <c r="O10"/>
      <c r="P10"/>
      <c r="Q10"/>
      <c r="R10"/>
      <c r="S10"/>
      <c r="T10"/>
      <c r="U10" s="50"/>
      <c r="V10"/>
      <c r="W10"/>
      <c r="X10"/>
      <c r="Y10"/>
      <c r="Z10"/>
      <c r="AA10"/>
      <c r="AB10"/>
      <c r="AC10"/>
      <c r="AD10"/>
      <c r="AE10"/>
      <c r="AF10"/>
      <c r="AG10"/>
      <c r="AH10"/>
      <c r="AI10" s="50"/>
      <c r="AJ10"/>
      <c r="AK10"/>
      <c r="AL10"/>
      <c r="AM10" s="50"/>
      <c r="AN10"/>
      <c r="AO10"/>
      <c r="AP10"/>
      <c r="AQ10"/>
      <c r="AR10" s="51"/>
    </row>
    <row r="11" spans="2:44" x14ac:dyDescent="0.2">
      <c r="B11" s="54"/>
      <c r="C11"/>
      <c r="D11" s="51" t="s">
        <v>64</v>
      </c>
      <c r="E11"/>
      <c r="F11" s="54"/>
      <c r="G11" s="54"/>
      <c r="H11"/>
      <c r="I11"/>
      <c r="J11"/>
      <c r="K11"/>
      <c r="L11"/>
      <c r="M11"/>
      <c r="N11"/>
      <c r="O11"/>
      <c r="P11"/>
      <c r="Q11"/>
      <c r="R11"/>
      <c r="S11"/>
      <c r="T11"/>
      <c r="U11" s="50"/>
      <c r="V11"/>
      <c r="W11"/>
      <c r="X11"/>
      <c r="Y11"/>
      <c r="Z11"/>
      <c r="AA11"/>
      <c r="AB11"/>
      <c r="AC11"/>
      <c r="AD11"/>
      <c r="AE11"/>
      <c r="AF11"/>
      <c r="AG11"/>
      <c r="AH11"/>
      <c r="AI11" s="50"/>
      <c r="AJ11"/>
      <c r="AK11"/>
      <c r="AL11"/>
      <c r="AM11" s="50"/>
      <c r="AN11"/>
      <c r="AO11"/>
      <c r="AP11"/>
      <c r="AQ11"/>
      <c r="AR11" s="51"/>
    </row>
    <row r="12" spans="2:44" x14ac:dyDescent="0.2">
      <c r="B12" s="54"/>
      <c r="C12"/>
      <c r="D12" s="51" t="s">
        <v>66</v>
      </c>
      <c r="E12"/>
      <c r="F12" s="54"/>
      <c r="G12" s="54"/>
      <c r="H12"/>
      <c r="I12"/>
      <c r="J12"/>
      <c r="K12"/>
      <c r="L12"/>
      <c r="M12"/>
      <c r="N12"/>
      <c r="O12"/>
      <c r="P12"/>
      <c r="Q12"/>
      <c r="R12"/>
      <c r="S12"/>
      <c r="T12"/>
      <c r="U12" s="50"/>
      <c r="V12"/>
      <c r="W12"/>
      <c r="X12"/>
      <c r="Y12"/>
      <c r="Z12"/>
      <c r="AA12"/>
      <c r="AB12"/>
      <c r="AC12"/>
      <c r="AD12"/>
      <c r="AE12"/>
      <c r="AF12"/>
      <c r="AG12"/>
      <c r="AH12"/>
      <c r="AI12" s="50"/>
      <c r="AJ12"/>
      <c r="AK12"/>
      <c r="AL12"/>
      <c r="AM12" s="50"/>
      <c r="AN12"/>
      <c r="AO12"/>
      <c r="AP12"/>
      <c r="AQ12"/>
      <c r="AR12" s="51"/>
    </row>
    <row r="13" spans="2:44" x14ac:dyDescent="0.2">
      <c r="B13" s="54"/>
      <c r="C13" s="44"/>
      <c r="D13" s="49" t="s">
        <v>537</v>
      </c>
      <c r="E13" s="44"/>
      <c r="F13" s="55"/>
      <c r="G13" s="55"/>
      <c r="H13" s="44"/>
      <c r="I13" s="44"/>
      <c r="J13" s="44"/>
      <c r="K13" s="44"/>
      <c r="L13" s="44"/>
      <c r="M13" s="44"/>
      <c r="N13" s="44"/>
      <c r="O13" s="44"/>
      <c r="P13" s="44"/>
      <c r="Q13" s="44"/>
      <c r="R13" s="44"/>
      <c r="S13" s="44"/>
      <c r="T13" s="44"/>
      <c r="U13" s="48"/>
      <c r="V13" s="44"/>
      <c r="W13" s="44"/>
      <c r="X13" s="44"/>
      <c r="Y13" s="44"/>
      <c r="Z13" s="44"/>
      <c r="AA13" s="44"/>
      <c r="AB13" s="44"/>
      <c r="AC13" s="44"/>
      <c r="AD13" s="44"/>
      <c r="AE13" s="44"/>
      <c r="AF13" s="44"/>
      <c r="AG13" s="44"/>
      <c r="AH13" s="44"/>
      <c r="AI13" s="48"/>
      <c r="AJ13" s="44"/>
      <c r="AK13" s="44"/>
      <c r="AL13" s="44"/>
      <c r="AM13" s="48"/>
      <c r="AN13" s="44"/>
      <c r="AO13" s="44"/>
      <c r="AP13" s="44"/>
      <c r="AQ13" s="44"/>
      <c r="AR13" s="49"/>
    </row>
    <row r="14" spans="2:44" x14ac:dyDescent="0.2">
      <c r="B14" s="54"/>
      <c r="C14" t="s">
        <v>538</v>
      </c>
      <c r="D14" s="51" t="s">
        <v>62</v>
      </c>
      <c r="E14"/>
      <c r="F14" s="54"/>
      <c r="G14" s="54"/>
      <c r="H14"/>
      <c r="I14"/>
      <c r="J14"/>
      <c r="K14"/>
      <c r="L14"/>
      <c r="M14"/>
      <c r="N14"/>
      <c r="O14"/>
      <c r="P14"/>
      <c r="Q14"/>
      <c r="R14"/>
      <c r="S14"/>
      <c r="T14"/>
      <c r="U14" s="50"/>
      <c r="V14"/>
      <c r="W14"/>
      <c r="X14"/>
      <c r="Y14"/>
      <c r="Z14"/>
      <c r="AA14"/>
      <c r="AB14"/>
      <c r="AC14"/>
      <c r="AD14"/>
      <c r="AE14"/>
      <c r="AF14"/>
      <c r="AG14"/>
      <c r="AH14"/>
      <c r="AI14" s="50"/>
      <c r="AJ14"/>
      <c r="AK14"/>
      <c r="AL14"/>
      <c r="AM14" s="50"/>
      <c r="AN14"/>
      <c r="AO14"/>
      <c r="AP14"/>
      <c r="AQ14"/>
      <c r="AR14" s="51"/>
    </row>
    <row r="15" spans="2:44" x14ac:dyDescent="0.2">
      <c r="B15" s="54"/>
      <c r="C15"/>
      <c r="D15" s="51" t="s">
        <v>64</v>
      </c>
      <c r="E15"/>
      <c r="F15" s="54"/>
      <c r="G15" s="54"/>
      <c r="H15"/>
      <c r="I15"/>
      <c r="J15"/>
      <c r="K15"/>
      <c r="L15"/>
      <c r="M15"/>
      <c r="N15"/>
      <c r="O15"/>
      <c r="P15"/>
      <c r="Q15"/>
      <c r="R15"/>
      <c r="S15"/>
      <c r="T15"/>
      <c r="U15" s="50"/>
      <c r="V15"/>
      <c r="W15"/>
      <c r="X15"/>
      <c r="Y15"/>
      <c r="Z15"/>
      <c r="AA15"/>
      <c r="AB15"/>
      <c r="AC15"/>
      <c r="AD15"/>
      <c r="AE15"/>
      <c r="AF15"/>
      <c r="AG15"/>
      <c r="AH15"/>
      <c r="AI15" s="50"/>
      <c r="AJ15"/>
      <c r="AK15"/>
      <c r="AL15"/>
      <c r="AM15" s="50"/>
      <c r="AN15"/>
      <c r="AO15"/>
      <c r="AP15"/>
      <c r="AQ15"/>
      <c r="AR15" s="51"/>
    </row>
    <row r="16" spans="2:44" x14ac:dyDescent="0.2">
      <c r="B16" s="54"/>
      <c r="C16"/>
      <c r="D16" s="51" t="s">
        <v>66</v>
      </c>
      <c r="E16"/>
      <c r="F16" s="54"/>
      <c r="G16" s="54"/>
      <c r="H16"/>
      <c r="I16"/>
      <c r="J16"/>
      <c r="K16"/>
      <c r="L16"/>
      <c r="M16"/>
      <c r="N16"/>
      <c r="O16"/>
      <c r="P16"/>
      <c r="Q16"/>
      <c r="R16"/>
      <c r="S16"/>
      <c r="T16"/>
      <c r="U16" s="50"/>
      <c r="V16"/>
      <c r="W16"/>
      <c r="X16"/>
      <c r="Y16"/>
      <c r="Z16"/>
      <c r="AA16"/>
      <c r="AB16"/>
      <c r="AC16"/>
      <c r="AD16"/>
      <c r="AE16"/>
      <c r="AF16"/>
      <c r="AG16"/>
      <c r="AH16"/>
      <c r="AI16" s="50"/>
      <c r="AJ16"/>
      <c r="AK16"/>
      <c r="AL16"/>
      <c r="AM16" s="50"/>
      <c r="AN16"/>
      <c r="AO16"/>
      <c r="AP16"/>
      <c r="AQ16"/>
      <c r="AR16" s="51"/>
    </row>
    <row r="17" spans="2:44" x14ac:dyDescent="0.2">
      <c r="B17" s="55"/>
      <c r="C17" s="44"/>
      <c r="D17" s="49" t="s">
        <v>537</v>
      </c>
      <c r="E17" s="44"/>
      <c r="F17" s="55"/>
      <c r="G17" s="55"/>
      <c r="H17" s="44"/>
      <c r="I17" s="44"/>
      <c r="J17" s="44"/>
      <c r="K17" s="44"/>
      <c r="L17" s="44"/>
      <c r="M17" s="44"/>
      <c r="N17" s="44"/>
      <c r="O17" s="44"/>
      <c r="P17" s="44"/>
      <c r="Q17" s="44"/>
      <c r="R17" s="44"/>
      <c r="S17" s="44"/>
      <c r="T17" s="44"/>
      <c r="U17" s="48"/>
      <c r="V17" s="44"/>
      <c r="W17" s="44"/>
      <c r="X17" s="44"/>
      <c r="Y17" s="44"/>
      <c r="Z17" s="44"/>
      <c r="AA17" s="44"/>
      <c r="AB17" s="44"/>
      <c r="AC17" s="44"/>
      <c r="AD17" s="44"/>
      <c r="AE17" s="44"/>
      <c r="AF17" s="44"/>
      <c r="AG17" s="44"/>
      <c r="AH17" s="44"/>
      <c r="AI17" s="48"/>
      <c r="AJ17" s="44"/>
      <c r="AK17" s="44"/>
      <c r="AL17" s="44"/>
      <c r="AM17" s="48"/>
      <c r="AN17" s="44"/>
      <c r="AO17" s="44"/>
      <c r="AP17" s="44"/>
      <c r="AQ17" s="44"/>
      <c r="AR17" s="49"/>
    </row>
  </sheetData>
  <sheetProtection sheet="1" objects="1" scenarios="1"/>
  <mergeCells count="1">
    <mergeCell ref="B5:D5"/>
  </mergeCells>
  <conditionalFormatting sqref="E10:AR11 E13:AR13 E15:AR17">
    <cfRule type="cellIs" dxfId="35" priority="1" operator="notBetween">
      <formula>-999999999999999</formula>
      <formula>999999999999999</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6" tint="0.39997558519241921"/>
  </sheetPr>
  <dimension ref="A1:E22"/>
  <sheetViews>
    <sheetView workbookViewId="0">
      <selection activeCell="C34" sqref="C34"/>
    </sheetView>
  </sheetViews>
  <sheetFormatPr baseColWidth="10" defaultRowHeight="16" x14ac:dyDescent="0.2"/>
  <cols>
    <col min="1" max="1" width="43" bestFit="1" customWidth="1"/>
    <col min="2" max="2" width="12.1640625" bestFit="1" customWidth="1"/>
    <col min="3" max="3" width="14" bestFit="1" customWidth="1"/>
    <col min="4" max="4" width="25.5" bestFit="1" customWidth="1"/>
  </cols>
  <sheetData>
    <row r="1" spans="1:5" x14ac:dyDescent="0.2">
      <c r="A1" t="s">
        <v>324</v>
      </c>
      <c r="B1" t="s">
        <v>204</v>
      </c>
      <c r="C1" t="s">
        <v>270</v>
      </c>
      <c r="D1" t="s">
        <v>858</v>
      </c>
      <c r="E1" t="s">
        <v>859</v>
      </c>
    </row>
    <row r="2" spans="1:5" x14ac:dyDescent="0.2">
      <c r="A2" t="s">
        <v>780</v>
      </c>
    </row>
    <row r="3" spans="1:5" x14ac:dyDescent="0.2">
      <c r="A3" t="s">
        <v>781</v>
      </c>
    </row>
    <row r="4" spans="1:5" x14ac:dyDescent="0.2">
      <c r="A4" t="s">
        <v>782</v>
      </c>
    </row>
    <row r="5" spans="1:5" x14ac:dyDescent="0.2">
      <c r="A5" t="s">
        <v>405</v>
      </c>
    </row>
    <row r="6" spans="1:5" x14ac:dyDescent="0.2">
      <c r="A6" t="s">
        <v>406</v>
      </c>
    </row>
    <row r="7" spans="1:5" x14ac:dyDescent="0.2">
      <c r="A7" t="s">
        <v>407</v>
      </c>
    </row>
    <row r="8" spans="1:5" x14ac:dyDescent="0.2">
      <c r="A8" s="56" t="s">
        <v>955</v>
      </c>
    </row>
    <row r="9" spans="1:5" x14ac:dyDescent="0.2">
      <c r="A9" t="s">
        <v>408</v>
      </c>
    </row>
    <row r="10" spans="1:5" x14ac:dyDescent="0.2">
      <c r="A10" t="s">
        <v>801</v>
      </c>
    </row>
    <row r="11" spans="1:5" x14ac:dyDescent="0.2">
      <c r="A11" t="s">
        <v>409</v>
      </c>
    </row>
    <row r="12" spans="1:5" x14ac:dyDescent="0.2">
      <c r="A12" t="s">
        <v>634</v>
      </c>
    </row>
    <row r="13" spans="1:5" x14ac:dyDescent="0.2">
      <c r="A13" t="s">
        <v>635</v>
      </c>
    </row>
    <row r="14" spans="1:5" x14ac:dyDescent="0.2">
      <c r="A14" t="s">
        <v>410</v>
      </c>
    </row>
    <row r="15" spans="1:5" x14ac:dyDescent="0.2">
      <c r="A15" t="s">
        <v>411</v>
      </c>
    </row>
    <row r="16" spans="1:5" x14ac:dyDescent="0.2">
      <c r="A16" t="s">
        <v>963</v>
      </c>
    </row>
    <row r="17" spans="1:3" x14ac:dyDescent="0.2">
      <c r="A17" t="s">
        <v>964</v>
      </c>
    </row>
    <row r="18" spans="1:3" x14ac:dyDescent="0.2">
      <c r="A18" t="s">
        <v>965</v>
      </c>
    </row>
    <row r="21" spans="1:3" x14ac:dyDescent="0.2">
      <c r="B21" s="114"/>
      <c r="C21" s="114"/>
    </row>
    <row r="22" spans="1:3" x14ac:dyDescent="0.2">
      <c r="A22" s="56"/>
      <c r="B22" s="114"/>
      <c r="C22" s="114"/>
    </row>
  </sheetData>
  <sheetProtection sheet="1" objects="1" scenarios="1"/>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6" tint="0.39997558519241921"/>
  </sheetPr>
  <dimension ref="B2:K63"/>
  <sheetViews>
    <sheetView workbookViewId="0">
      <selection activeCell="D18" sqref="D18"/>
    </sheetView>
  </sheetViews>
  <sheetFormatPr baseColWidth="10" defaultRowHeight="16" x14ac:dyDescent="0.2"/>
  <cols>
    <col min="1" max="1" width="3.83203125" style="2" customWidth="1"/>
    <col min="2" max="2" width="17.5" style="2" customWidth="1"/>
    <col min="3" max="3" width="43.5" style="2" customWidth="1"/>
    <col min="4" max="4" width="23.1640625" style="2" customWidth="1"/>
    <col min="5" max="5" width="59.83203125" style="2" bestFit="1" customWidth="1"/>
    <col min="6" max="6" width="23.1640625" style="2" customWidth="1"/>
    <col min="7" max="7" width="21.83203125" style="2" bestFit="1" customWidth="1"/>
    <col min="8" max="9" width="18.5" style="2" customWidth="1"/>
    <col min="10" max="10" width="2.33203125" style="2" customWidth="1"/>
    <col min="11" max="11" width="34.5" style="2" customWidth="1"/>
    <col min="12" max="16384" width="10.83203125" style="2"/>
  </cols>
  <sheetData>
    <row r="2" spans="2:11" ht="21" x14ac:dyDescent="0.25">
      <c r="B2" s="20" t="s">
        <v>320</v>
      </c>
    </row>
    <row r="4" spans="2:11" x14ac:dyDescent="0.2">
      <c r="B4" s="3" t="s">
        <v>37</v>
      </c>
      <c r="C4" s="4"/>
      <c r="D4" s="4"/>
      <c r="E4" s="4"/>
      <c r="F4" s="4"/>
      <c r="G4" s="4"/>
      <c r="H4" s="4"/>
      <c r="I4" s="4"/>
      <c r="J4" s="4"/>
      <c r="K4" s="5"/>
    </row>
    <row r="5" spans="2:11" x14ac:dyDescent="0.2">
      <c r="B5" s="619" t="s">
        <v>857</v>
      </c>
      <c r="C5" s="620"/>
      <c r="D5" s="620"/>
      <c r="E5" s="620"/>
      <c r="F5" s="620"/>
      <c r="G5" s="620"/>
      <c r="H5" s="620"/>
      <c r="I5" s="620"/>
      <c r="J5" s="620"/>
      <c r="K5" s="621"/>
    </row>
    <row r="6" spans="2:11" ht="17" thickBot="1" x14ac:dyDescent="0.25"/>
    <row r="7" spans="2:11" x14ac:dyDescent="0.2">
      <c r="B7" s="64" t="s">
        <v>619</v>
      </c>
      <c r="C7" s="82"/>
      <c r="D7" s="82"/>
      <c r="E7" s="82"/>
      <c r="F7" s="82"/>
      <c r="G7" s="82"/>
      <c r="H7" s="82"/>
      <c r="I7" s="82"/>
      <c r="J7" s="82"/>
      <c r="K7" s="66"/>
    </row>
    <row r="8" spans="2:11" ht="20" customHeight="1" x14ac:dyDescent="0.2">
      <c r="B8" s="67"/>
      <c r="E8" s="446" t="s">
        <v>645</v>
      </c>
      <c r="F8" s="446" t="s">
        <v>646</v>
      </c>
      <c r="G8" s="7" t="s">
        <v>646</v>
      </c>
      <c r="H8" s="419" t="s">
        <v>649</v>
      </c>
      <c r="I8" s="419" t="s">
        <v>200</v>
      </c>
      <c r="J8" s="419"/>
      <c r="K8" s="447" t="s">
        <v>17</v>
      </c>
    </row>
    <row r="9" spans="2:11" ht="15" customHeight="1" x14ac:dyDescent="0.2">
      <c r="B9" s="83" t="s">
        <v>29</v>
      </c>
      <c r="C9" s="308" t="s">
        <v>38</v>
      </c>
      <c r="D9" s="309" t="s">
        <v>199</v>
      </c>
      <c r="E9" s="448"/>
      <c r="F9" s="369" t="s">
        <v>647</v>
      </c>
      <c r="G9" s="449" t="s">
        <v>648</v>
      </c>
      <c r="H9" s="369"/>
      <c r="I9" s="449"/>
      <c r="J9" s="449"/>
      <c r="K9" s="429"/>
    </row>
    <row r="10" spans="2:11" x14ac:dyDescent="0.2">
      <c r="B10" s="87" t="s">
        <v>302</v>
      </c>
      <c r="C10"/>
      <c r="D10"/>
      <c r="E10"/>
      <c r="F10"/>
      <c r="G10"/>
      <c r="H10"/>
      <c r="I10"/>
      <c r="J10"/>
      <c r="K10" s="33"/>
    </row>
    <row r="11" spans="2:11" x14ac:dyDescent="0.2">
      <c r="B11" s="67"/>
      <c r="C11" t="s">
        <v>304</v>
      </c>
      <c r="D11" t="s">
        <v>40</v>
      </c>
      <c r="E11" s="54" t="s">
        <v>326</v>
      </c>
      <c r="F11" s="567">
        <f>Dashboard!E111</f>
        <v>0</v>
      </c>
      <c r="G11" s="567">
        <f>0</f>
        <v>0</v>
      </c>
      <c r="H11" s="370">
        <f>F11</f>
        <v>0</v>
      </c>
      <c r="I11"/>
      <c r="J11"/>
      <c r="K11" s="33"/>
    </row>
    <row r="12" spans="2:11" x14ac:dyDescent="0.2">
      <c r="B12" s="67"/>
      <c r="C12" t="s">
        <v>306</v>
      </c>
      <c r="D12" t="s">
        <v>40</v>
      </c>
      <c r="E12" s="54" t="s">
        <v>636</v>
      </c>
      <c r="F12" s="567">
        <f>Dashboard!E112</f>
        <v>0</v>
      </c>
      <c r="G12" s="567">
        <f>0</f>
        <v>0</v>
      </c>
      <c r="H12" s="370">
        <f t="shared" ref="H12:H39" si="0">F12</f>
        <v>0</v>
      </c>
      <c r="I12"/>
      <c r="J12"/>
      <c r="K12" s="33"/>
    </row>
    <row r="13" spans="2:11" x14ac:dyDescent="0.2">
      <c r="B13" s="67"/>
      <c r="C13" t="s">
        <v>305</v>
      </c>
      <c r="D13" t="s">
        <v>40</v>
      </c>
      <c r="E13" s="54" t="s">
        <v>327</v>
      </c>
      <c r="F13" s="567">
        <f>Dashboard!E113</f>
        <v>0</v>
      </c>
      <c r="G13" s="567">
        <f>0</f>
        <v>0</v>
      </c>
      <c r="H13" s="370">
        <f t="shared" si="0"/>
        <v>0</v>
      </c>
      <c r="I13"/>
      <c r="J13"/>
      <c r="K13" s="33"/>
    </row>
    <row r="14" spans="2:11" x14ac:dyDescent="0.2">
      <c r="B14" s="67"/>
      <c r="C14" t="s">
        <v>367</v>
      </c>
      <c r="D14" t="s">
        <v>368</v>
      </c>
      <c r="E14" s="54" t="s">
        <v>637</v>
      </c>
      <c r="F14" s="567">
        <f>Dashboard!E110</f>
        <v>0</v>
      </c>
      <c r="G14" s="567">
        <f>0</f>
        <v>0</v>
      </c>
      <c r="H14" s="370">
        <f t="shared" si="0"/>
        <v>0</v>
      </c>
      <c r="I14"/>
      <c r="J14"/>
      <c r="K14" s="33"/>
    </row>
    <row r="15" spans="2:11" x14ac:dyDescent="0.2">
      <c r="B15" s="67"/>
      <c r="C15" t="s">
        <v>308</v>
      </c>
      <c r="D15" t="s">
        <v>40</v>
      </c>
      <c r="E15" s="54" t="s">
        <v>330</v>
      </c>
      <c r="F15" s="567">
        <f>Dashboard!E114</f>
        <v>0</v>
      </c>
      <c r="G15" s="567">
        <f>0</f>
        <v>0</v>
      </c>
      <c r="H15" s="370">
        <f t="shared" si="0"/>
        <v>0</v>
      </c>
      <c r="I15"/>
      <c r="J15"/>
      <c r="K15" s="33"/>
    </row>
    <row r="16" spans="2:11" x14ac:dyDescent="0.2">
      <c r="B16" s="67"/>
      <c r="C16" t="s">
        <v>307</v>
      </c>
      <c r="D16" t="s">
        <v>40</v>
      </c>
      <c r="E16" s="54" t="s">
        <v>329</v>
      </c>
      <c r="F16" s="567">
        <f>Dashboard!E115</f>
        <v>0</v>
      </c>
      <c r="G16" s="567">
        <f>0</f>
        <v>0</v>
      </c>
      <c r="H16" s="370">
        <f t="shared" si="0"/>
        <v>0</v>
      </c>
      <c r="I16"/>
      <c r="J16"/>
      <c r="K16" s="33"/>
    </row>
    <row r="17" spans="2:11" customFormat="1" x14ac:dyDescent="0.2">
      <c r="B17" s="146"/>
      <c r="C17" t="s">
        <v>308</v>
      </c>
      <c r="D17" t="s">
        <v>953</v>
      </c>
      <c r="E17" s="54" t="s">
        <v>958</v>
      </c>
      <c r="F17" s="567">
        <f>IFERROR(SUM('Corrected energy balance step 1'!O93:R94)*kWh_MJ_conversion/-SUM('Corrected energy balance step 1'!O19:R20),0.1)</f>
        <v>0.1</v>
      </c>
      <c r="G17" s="567">
        <f>0</f>
        <v>0</v>
      </c>
      <c r="H17" s="370">
        <f>F17</f>
        <v>0.1</v>
      </c>
      <c r="K17" s="33"/>
    </row>
    <row r="18" spans="2:11" x14ac:dyDescent="0.2">
      <c r="B18" s="67"/>
      <c r="C18" t="s">
        <v>306</v>
      </c>
      <c r="D18" t="s">
        <v>140</v>
      </c>
      <c r="E18" s="54" t="s">
        <v>328</v>
      </c>
      <c r="F18" s="567">
        <f>Dashboard!E117</f>
        <v>0</v>
      </c>
      <c r="G18" s="567">
        <f>0</f>
        <v>0</v>
      </c>
      <c r="H18" s="370">
        <f t="shared" si="0"/>
        <v>0</v>
      </c>
      <c r="I18"/>
      <c r="J18"/>
      <c r="K18" s="33"/>
    </row>
    <row r="19" spans="2:11" x14ac:dyDescent="0.2">
      <c r="B19" s="67"/>
      <c r="C19" t="s">
        <v>303</v>
      </c>
      <c r="D19" t="s">
        <v>140</v>
      </c>
      <c r="E19" s="54" t="s">
        <v>325</v>
      </c>
      <c r="F19" s="567">
        <f>Dashboard!E118</f>
        <v>0</v>
      </c>
      <c r="G19" s="567">
        <f>0</f>
        <v>0</v>
      </c>
      <c r="H19" s="370">
        <f t="shared" si="0"/>
        <v>0</v>
      </c>
      <c r="I19"/>
      <c r="J19"/>
      <c r="K19" s="33"/>
    </row>
    <row r="20" spans="2:11" x14ac:dyDescent="0.2">
      <c r="B20" s="67"/>
      <c r="C20" t="s">
        <v>314</v>
      </c>
      <c r="D20" t="s">
        <v>41</v>
      </c>
      <c r="E20" s="54" t="s">
        <v>692</v>
      </c>
      <c r="F20" s="525">
        <f>Dashboard!E123</f>
        <v>0</v>
      </c>
      <c r="G20" s="567">
        <f>0</f>
        <v>0</v>
      </c>
      <c r="H20" s="370">
        <f t="shared" si="0"/>
        <v>0</v>
      </c>
      <c r="I20"/>
      <c r="J20"/>
      <c r="K20" s="33"/>
    </row>
    <row r="21" spans="2:11" x14ac:dyDescent="0.2">
      <c r="B21" s="67"/>
      <c r="C21" t="s">
        <v>318</v>
      </c>
      <c r="D21" t="s">
        <v>41</v>
      </c>
      <c r="E21" s="54" t="s">
        <v>342</v>
      </c>
      <c r="F21" s="567">
        <f>Dashboard!E120</f>
        <v>0</v>
      </c>
      <c r="G21" s="567">
        <f>0</f>
        <v>0</v>
      </c>
      <c r="H21" s="370">
        <f>F21</f>
        <v>0</v>
      </c>
      <c r="I21"/>
      <c r="J21"/>
      <c r="K21" s="33"/>
    </row>
    <row r="22" spans="2:11" x14ac:dyDescent="0.2">
      <c r="B22" s="67"/>
      <c r="C22" t="s">
        <v>308</v>
      </c>
      <c r="D22" t="s">
        <v>41</v>
      </c>
      <c r="E22" s="54" t="s">
        <v>341</v>
      </c>
      <c r="F22" s="567">
        <f>Dashboard!E121</f>
        <v>0</v>
      </c>
      <c r="G22" s="567">
        <f>0</f>
        <v>0</v>
      </c>
      <c r="H22" s="370">
        <f t="shared" si="0"/>
        <v>0</v>
      </c>
      <c r="I22"/>
      <c r="J22"/>
      <c r="K22" s="33"/>
    </row>
    <row r="23" spans="2:11" x14ac:dyDescent="0.2">
      <c r="B23" s="67"/>
      <c r="C23" t="s">
        <v>307</v>
      </c>
      <c r="D23" t="s">
        <v>41</v>
      </c>
      <c r="E23" s="54" t="s">
        <v>340</v>
      </c>
      <c r="F23" s="567">
        <f>Dashboard!E122</f>
        <v>0</v>
      </c>
      <c r="G23" s="567">
        <f>0</f>
        <v>0</v>
      </c>
      <c r="H23" s="370">
        <f t="shared" si="0"/>
        <v>0</v>
      </c>
      <c r="I23"/>
      <c r="J23"/>
      <c r="K23" s="33"/>
    </row>
    <row r="24" spans="2:11" x14ac:dyDescent="0.2">
      <c r="B24" s="67"/>
      <c r="C24" t="s">
        <v>306</v>
      </c>
      <c r="D24" t="s">
        <v>41</v>
      </c>
      <c r="E24" s="54" t="s">
        <v>343</v>
      </c>
      <c r="F24" s="567">
        <f>Dashboard!E124</f>
        <v>0</v>
      </c>
      <c r="G24" s="567">
        <f>0</f>
        <v>0</v>
      </c>
      <c r="H24" s="370">
        <f t="shared" si="0"/>
        <v>0</v>
      </c>
      <c r="I24"/>
      <c r="J24"/>
      <c r="K24" s="33"/>
    </row>
    <row r="25" spans="2:11" x14ac:dyDescent="0.2">
      <c r="B25" s="67"/>
      <c r="C25" t="s">
        <v>306</v>
      </c>
      <c r="D25" t="s">
        <v>42</v>
      </c>
      <c r="E25" s="54" t="s">
        <v>336</v>
      </c>
      <c r="F25" s="567">
        <f>Dashboard!E129</f>
        <v>0</v>
      </c>
      <c r="G25" s="567">
        <f>0</f>
        <v>0</v>
      </c>
      <c r="H25" s="370">
        <f t="shared" si="0"/>
        <v>0</v>
      </c>
      <c r="I25"/>
      <c r="J25"/>
      <c r="K25" s="33"/>
    </row>
    <row r="26" spans="2:11" x14ac:dyDescent="0.2">
      <c r="B26" s="67"/>
      <c r="C26" t="s">
        <v>314</v>
      </c>
      <c r="D26" t="s">
        <v>315</v>
      </c>
      <c r="E26" s="54" t="s">
        <v>337</v>
      </c>
      <c r="F26" s="567">
        <f>Dashboard!E130</f>
        <v>0</v>
      </c>
      <c r="G26" s="567">
        <f>0</f>
        <v>0</v>
      </c>
      <c r="H26" s="370">
        <f t="shared" si="0"/>
        <v>0</v>
      </c>
      <c r="I26"/>
      <c r="J26"/>
      <c r="K26" s="33"/>
    </row>
    <row r="27" spans="2:11" x14ac:dyDescent="0.2">
      <c r="B27" s="67"/>
      <c r="C27" t="s">
        <v>304</v>
      </c>
      <c r="D27" t="s">
        <v>282</v>
      </c>
      <c r="E27" s="54" t="s">
        <v>344</v>
      </c>
      <c r="F27" s="567">
        <f>Dashboard!E131</f>
        <v>0</v>
      </c>
      <c r="G27" s="567">
        <f>0</f>
        <v>0</v>
      </c>
      <c r="H27" s="370">
        <f t="shared" si="0"/>
        <v>0</v>
      </c>
      <c r="I27"/>
      <c r="J27"/>
      <c r="K27" s="33"/>
    </row>
    <row r="28" spans="2:11" x14ac:dyDescent="0.2">
      <c r="B28" s="67"/>
      <c r="C28" t="s">
        <v>316</v>
      </c>
      <c r="D28" t="s">
        <v>319</v>
      </c>
      <c r="E28" s="54" t="s">
        <v>338</v>
      </c>
      <c r="F28" s="567">
        <f>Dashboard!E126</f>
        <v>0</v>
      </c>
      <c r="G28" s="567">
        <f>0</f>
        <v>0</v>
      </c>
      <c r="H28" s="370">
        <f t="shared" si="0"/>
        <v>0</v>
      </c>
      <c r="I28"/>
      <c r="J28"/>
      <c r="K28" s="33"/>
    </row>
    <row r="29" spans="2:11" x14ac:dyDescent="0.2">
      <c r="B29" s="67"/>
      <c r="C29" t="s">
        <v>317</v>
      </c>
      <c r="D29" t="s">
        <v>319</v>
      </c>
      <c r="E29" s="54" t="s">
        <v>339</v>
      </c>
      <c r="F29" s="567">
        <f>Dashboard!E127</f>
        <v>0</v>
      </c>
      <c r="G29" s="567">
        <f>0</f>
        <v>0</v>
      </c>
      <c r="H29" s="370">
        <f t="shared" si="0"/>
        <v>0</v>
      </c>
      <c r="I29"/>
      <c r="J29"/>
      <c r="K29" s="33"/>
    </row>
    <row r="30" spans="2:11" x14ac:dyDescent="0.2">
      <c r="B30" s="67"/>
      <c r="C30" t="s">
        <v>313</v>
      </c>
      <c r="D30" t="s">
        <v>188</v>
      </c>
      <c r="E30" s="54" t="s">
        <v>335</v>
      </c>
      <c r="F30" s="567">
        <f>technical_specs!F11</f>
        <v>0</v>
      </c>
      <c r="G30" s="567">
        <f>technical_specs!G11</f>
        <v>0</v>
      </c>
      <c r="H30" s="370">
        <f t="shared" si="0"/>
        <v>0</v>
      </c>
      <c r="I30"/>
      <c r="J30"/>
      <c r="K30" s="33"/>
    </row>
    <row r="31" spans="2:11" x14ac:dyDescent="0.2">
      <c r="B31" s="67"/>
      <c r="C31" t="s">
        <v>309</v>
      </c>
      <c r="D31" t="s">
        <v>188</v>
      </c>
      <c r="E31" s="54" t="s">
        <v>331</v>
      </c>
      <c r="F31" s="567">
        <f>technical_specs!F12</f>
        <v>0</v>
      </c>
      <c r="G31" s="567">
        <f>technical_specs!G12</f>
        <v>0</v>
      </c>
      <c r="H31" s="370">
        <f t="shared" si="0"/>
        <v>0</v>
      </c>
      <c r="I31"/>
      <c r="J31"/>
      <c r="K31" s="33"/>
    </row>
    <row r="32" spans="2:11" x14ac:dyDescent="0.2">
      <c r="B32" s="67"/>
      <c r="C32" t="s">
        <v>189</v>
      </c>
      <c r="D32" t="s">
        <v>284</v>
      </c>
      <c r="E32" s="54" t="s">
        <v>373</v>
      </c>
      <c r="F32" s="567">
        <f>technical_specs!F13</f>
        <v>0</v>
      </c>
      <c r="G32" s="567">
        <f>technical_specs!G13</f>
        <v>0</v>
      </c>
      <c r="H32" s="370">
        <f t="shared" si="0"/>
        <v>0</v>
      </c>
      <c r="I32"/>
      <c r="J32"/>
      <c r="K32" s="33"/>
    </row>
    <row r="33" spans="2:11" x14ac:dyDescent="0.2">
      <c r="B33" s="67"/>
      <c r="C33" t="s">
        <v>471</v>
      </c>
      <c r="D33" t="s">
        <v>370</v>
      </c>
      <c r="E33" s="54" t="s">
        <v>372</v>
      </c>
      <c r="F33" s="567">
        <f>technical_specs!F14</f>
        <v>0</v>
      </c>
      <c r="G33" s="567">
        <f>technical_specs!G14</f>
        <v>0</v>
      </c>
      <c r="H33" s="370">
        <f t="shared" si="0"/>
        <v>0</v>
      </c>
      <c r="I33"/>
      <c r="J33"/>
      <c r="K33" s="33"/>
    </row>
    <row r="34" spans="2:11" x14ac:dyDescent="0.2">
      <c r="B34" s="67"/>
      <c r="C34" t="s">
        <v>545</v>
      </c>
      <c r="D34" t="s">
        <v>370</v>
      </c>
      <c r="E34" s="54" t="s">
        <v>521</v>
      </c>
      <c r="F34" s="567">
        <f>technical_specs!F15</f>
        <v>0</v>
      </c>
      <c r="G34" s="567">
        <f>technical_specs!G15</f>
        <v>0</v>
      </c>
      <c r="H34" s="370">
        <f t="shared" si="0"/>
        <v>0</v>
      </c>
      <c r="I34"/>
      <c r="J34"/>
      <c r="K34" s="33"/>
    </row>
    <row r="35" spans="2:11" x14ac:dyDescent="0.2">
      <c r="B35" s="67"/>
      <c r="C35" t="s">
        <v>546</v>
      </c>
      <c r="D35" t="s">
        <v>370</v>
      </c>
      <c r="E35" s="54" t="s">
        <v>520</v>
      </c>
      <c r="F35" s="567">
        <f>technical_specs!F16</f>
        <v>0</v>
      </c>
      <c r="G35" s="567">
        <f>technical_specs!G16</f>
        <v>0</v>
      </c>
      <c r="H35" s="370">
        <f t="shared" si="0"/>
        <v>0</v>
      </c>
      <c r="I35"/>
      <c r="J35"/>
      <c r="K35" s="33"/>
    </row>
    <row r="36" spans="2:11" x14ac:dyDescent="0.2">
      <c r="B36" s="67"/>
      <c r="C36" t="s">
        <v>472</v>
      </c>
      <c r="D36" t="s">
        <v>370</v>
      </c>
      <c r="E36" s="54" t="s">
        <v>430</v>
      </c>
      <c r="F36" s="567">
        <f>technical_specs!F17</f>
        <v>0</v>
      </c>
      <c r="G36" s="567">
        <f>technical_specs!G17</f>
        <v>0</v>
      </c>
      <c r="H36" s="370">
        <f t="shared" si="0"/>
        <v>0</v>
      </c>
      <c r="I36"/>
      <c r="J36"/>
      <c r="K36" s="33"/>
    </row>
    <row r="37" spans="2:11" x14ac:dyDescent="0.2">
      <c r="B37" s="67"/>
      <c r="C37" t="s">
        <v>310</v>
      </c>
      <c r="D37" t="s">
        <v>193</v>
      </c>
      <c r="E37" s="54" t="s">
        <v>332</v>
      </c>
      <c r="F37" s="567">
        <f>technical_specs!F18</f>
        <v>0</v>
      </c>
      <c r="G37" s="567">
        <f>technical_specs!G18</f>
        <v>0</v>
      </c>
      <c r="H37" s="370">
        <f t="shared" si="0"/>
        <v>0</v>
      </c>
      <c r="I37"/>
      <c r="J37"/>
      <c r="K37" s="33"/>
    </row>
    <row r="38" spans="2:11" x14ac:dyDescent="0.2">
      <c r="B38" s="67"/>
      <c r="C38" t="s">
        <v>311</v>
      </c>
      <c r="D38" t="s">
        <v>193</v>
      </c>
      <c r="E38" s="54" t="s">
        <v>333</v>
      </c>
      <c r="F38" s="567">
        <f>technical_specs!F19</f>
        <v>0</v>
      </c>
      <c r="G38" s="567">
        <f>technical_specs!G19</f>
        <v>0</v>
      </c>
      <c r="H38" s="370">
        <f t="shared" si="0"/>
        <v>0</v>
      </c>
      <c r="I38"/>
      <c r="J38"/>
      <c r="K38" s="33"/>
    </row>
    <row r="39" spans="2:11" x14ac:dyDescent="0.2">
      <c r="B39" s="67"/>
      <c r="C39" t="s">
        <v>312</v>
      </c>
      <c r="D39" t="s">
        <v>193</v>
      </c>
      <c r="E39" s="54" t="s">
        <v>334</v>
      </c>
      <c r="F39" s="567">
        <f>technical_specs!F20</f>
        <v>0</v>
      </c>
      <c r="G39" s="567">
        <f>technical_specs!G20</f>
        <v>0</v>
      </c>
      <c r="H39" s="370">
        <f t="shared" si="0"/>
        <v>0</v>
      </c>
      <c r="I39"/>
      <c r="J39"/>
      <c r="K39" s="33"/>
    </row>
    <row r="40" spans="2:11" x14ac:dyDescent="0.2">
      <c r="B40" s="72"/>
      <c r="C40" s="10"/>
      <c r="D40" s="10"/>
      <c r="E40" s="15"/>
      <c r="F40" s="10"/>
      <c r="G40" s="10"/>
      <c r="H40" s="10"/>
      <c r="I40" s="10"/>
      <c r="J40" s="10"/>
      <c r="K40" s="73"/>
    </row>
    <row r="41" spans="2:11" x14ac:dyDescent="0.2">
      <c r="B41" s="87" t="s">
        <v>301</v>
      </c>
      <c r="E41" s="14"/>
      <c r="G41" s="315"/>
      <c r="H41" s="315"/>
      <c r="I41" s="315"/>
      <c r="K41" s="68"/>
    </row>
    <row r="42" spans="2:11" x14ac:dyDescent="0.2">
      <c r="B42" s="87"/>
      <c r="C42" t="s">
        <v>276</v>
      </c>
      <c r="D42" t="s">
        <v>40</v>
      </c>
      <c r="E42" s="54" t="s">
        <v>970</v>
      </c>
      <c r="F42" s="524">
        <f>0</f>
        <v>0</v>
      </c>
      <c r="G42" s="179">
        <f>Dashboard!E145</f>
        <v>0</v>
      </c>
      <c r="H42" s="179"/>
      <c r="I42" s="179">
        <f>G42</f>
        <v>0</v>
      </c>
      <c r="J42"/>
      <c r="K42" s="33"/>
    </row>
    <row r="43" spans="2:11" x14ac:dyDescent="0.2">
      <c r="B43" s="87"/>
      <c r="C43" t="s">
        <v>891</v>
      </c>
      <c r="D43" t="s">
        <v>140</v>
      </c>
      <c r="E43" s="54" t="s">
        <v>795</v>
      </c>
      <c r="F43" s="524">
        <f>0</f>
        <v>0</v>
      </c>
      <c r="G43" s="179">
        <f>Dashboard!E146</f>
        <v>0</v>
      </c>
      <c r="H43" s="179"/>
      <c r="I43" s="179">
        <f t="shared" ref="I43:I51" si="1">G43</f>
        <v>0</v>
      </c>
      <c r="J43"/>
      <c r="K43" s="33"/>
    </row>
    <row r="44" spans="2:11" x14ac:dyDescent="0.2">
      <c r="B44" s="87"/>
      <c r="C44" t="s">
        <v>278</v>
      </c>
      <c r="D44" t="s">
        <v>281</v>
      </c>
      <c r="E44" s="54" t="s">
        <v>971</v>
      </c>
      <c r="F44" s="524">
        <f>0</f>
        <v>0</v>
      </c>
      <c r="G44" s="179">
        <f>Dashboard!E147</f>
        <v>0</v>
      </c>
      <c r="H44" s="179"/>
      <c r="I44" s="179">
        <f t="shared" si="1"/>
        <v>0</v>
      </c>
      <c r="J44"/>
      <c r="K44" s="33"/>
    </row>
    <row r="45" spans="2:11" x14ac:dyDescent="0.2">
      <c r="B45" s="87"/>
      <c r="C45" t="s">
        <v>279</v>
      </c>
      <c r="D45" t="s">
        <v>42</v>
      </c>
      <c r="E45" s="54" t="s">
        <v>972</v>
      </c>
      <c r="F45" s="524">
        <f>0</f>
        <v>0</v>
      </c>
      <c r="G45" s="179">
        <f>Dashboard!E148</f>
        <v>0</v>
      </c>
      <c r="H45" s="179"/>
      <c r="I45" s="179">
        <f t="shared" si="1"/>
        <v>0</v>
      </c>
      <c r="J45"/>
      <c r="K45" s="33"/>
    </row>
    <row r="46" spans="2:11" x14ac:dyDescent="0.2">
      <c r="B46" s="87"/>
      <c r="C46" t="s">
        <v>288</v>
      </c>
      <c r="D46" t="s">
        <v>282</v>
      </c>
      <c r="E46" s="54" t="s">
        <v>973</v>
      </c>
      <c r="F46" s="524">
        <f>0</f>
        <v>0</v>
      </c>
      <c r="G46" s="179">
        <f>Dashboard!E149</f>
        <v>0</v>
      </c>
      <c r="H46" s="179"/>
      <c r="I46" s="179">
        <f t="shared" si="1"/>
        <v>0</v>
      </c>
      <c r="J46"/>
      <c r="K46" s="33"/>
    </row>
    <row r="47" spans="2:11" x14ac:dyDescent="0.2">
      <c r="B47" s="87"/>
      <c r="C47" t="s">
        <v>283</v>
      </c>
      <c r="D47" t="s">
        <v>201</v>
      </c>
      <c r="E47" s="54" t="s">
        <v>974</v>
      </c>
      <c r="F47" s="524">
        <f>0</f>
        <v>0</v>
      </c>
      <c r="G47" s="179">
        <f>Dashboard!E150</f>
        <v>0</v>
      </c>
      <c r="H47" s="179"/>
      <c r="I47" s="179">
        <f t="shared" si="1"/>
        <v>0</v>
      </c>
      <c r="J47"/>
      <c r="K47" s="33"/>
    </row>
    <row r="48" spans="2:11" x14ac:dyDescent="0.2">
      <c r="B48" s="87"/>
      <c r="C48" t="s">
        <v>760</v>
      </c>
      <c r="D48" t="s">
        <v>195</v>
      </c>
      <c r="E48" s="54" t="s">
        <v>975</v>
      </c>
      <c r="F48" s="524">
        <f>0</f>
        <v>0</v>
      </c>
      <c r="G48" s="179">
        <f>Dashboard!E151</f>
        <v>0</v>
      </c>
      <c r="H48" s="179"/>
      <c r="I48" s="179">
        <f t="shared" si="1"/>
        <v>0</v>
      </c>
      <c r="J48"/>
      <c r="K48" s="33"/>
    </row>
    <row r="49" spans="2:11" x14ac:dyDescent="0.2">
      <c r="B49" s="87"/>
      <c r="C49" t="s">
        <v>761</v>
      </c>
      <c r="D49" t="s">
        <v>762</v>
      </c>
      <c r="E49" s="54" t="s">
        <v>976</v>
      </c>
      <c r="F49" s="524">
        <f>0</f>
        <v>0</v>
      </c>
      <c r="G49" s="179">
        <f>Dashboard!E152</f>
        <v>0</v>
      </c>
      <c r="H49" s="179"/>
      <c r="I49" s="179">
        <f t="shared" si="1"/>
        <v>0</v>
      </c>
      <c r="J49"/>
      <c r="K49" s="33"/>
    </row>
    <row r="50" spans="2:11" x14ac:dyDescent="0.2">
      <c r="B50" s="87"/>
      <c r="C50" t="s">
        <v>763</v>
      </c>
      <c r="D50" t="s">
        <v>40</v>
      </c>
      <c r="E50" s="54" t="s">
        <v>804</v>
      </c>
      <c r="F50" s="524">
        <f>0</f>
        <v>0</v>
      </c>
      <c r="G50" s="179">
        <f>Dashboard!E153</f>
        <v>0</v>
      </c>
      <c r="H50" s="179"/>
      <c r="I50" s="179">
        <f t="shared" si="1"/>
        <v>0</v>
      </c>
      <c r="J50"/>
      <c r="K50" s="33"/>
    </row>
    <row r="51" spans="2:11" x14ac:dyDescent="0.2">
      <c r="B51" s="87"/>
      <c r="C51" t="s">
        <v>764</v>
      </c>
      <c r="D51" t="s">
        <v>42</v>
      </c>
      <c r="E51" s="54" t="s">
        <v>805</v>
      </c>
      <c r="F51" s="524">
        <f>0</f>
        <v>0</v>
      </c>
      <c r="G51" s="179">
        <f>Dashboard!E154</f>
        <v>0</v>
      </c>
      <c r="H51" s="179"/>
      <c r="I51" s="179">
        <f t="shared" si="1"/>
        <v>0</v>
      </c>
      <c r="J51"/>
      <c r="K51" s="33"/>
    </row>
    <row r="52" spans="2:11" x14ac:dyDescent="0.2">
      <c r="B52" s="87" t="s">
        <v>783</v>
      </c>
      <c r="C52"/>
      <c r="D52"/>
      <c r="E52" s="54"/>
      <c r="F52"/>
      <c r="G52" s="179"/>
      <c r="H52" s="179"/>
      <c r="I52" s="179"/>
      <c r="J52"/>
      <c r="K52" s="33"/>
    </row>
    <row r="53" spans="2:11" x14ac:dyDescent="0.2">
      <c r="B53" s="87"/>
      <c r="C53" s="524" t="s">
        <v>785</v>
      </c>
      <c r="D53" s="524" t="s">
        <v>784</v>
      </c>
      <c r="E53" s="54" t="s">
        <v>407</v>
      </c>
      <c r="F53" s="524">
        <f>'Production table step 1'!D7</f>
        <v>0</v>
      </c>
      <c r="G53" s="524">
        <f>'Production table step 1'!E7</f>
        <v>0</v>
      </c>
      <c r="H53" s="179">
        <f>F53</f>
        <v>0</v>
      </c>
      <c r="I53" s="179">
        <f>G53</f>
        <v>0</v>
      </c>
      <c r="J53"/>
      <c r="K53" s="33"/>
    </row>
    <row r="54" spans="2:11" x14ac:dyDescent="0.2">
      <c r="B54" s="87"/>
      <c r="C54" s="524" t="s">
        <v>786</v>
      </c>
      <c r="D54" s="524" t="s">
        <v>784</v>
      </c>
      <c r="E54" s="54" t="s">
        <v>406</v>
      </c>
      <c r="F54" s="524">
        <f>'Production table step 1'!D6</f>
        <v>0</v>
      </c>
      <c r="G54" s="524">
        <f>'Production table step 1'!E6</f>
        <v>0</v>
      </c>
      <c r="H54" s="179">
        <f t="shared" ref="H54:H55" si="2">F54</f>
        <v>0</v>
      </c>
      <c r="I54" s="179">
        <f t="shared" ref="I54:I55" si="3">G54</f>
        <v>0</v>
      </c>
      <c r="J54"/>
      <c r="K54" s="33"/>
    </row>
    <row r="55" spans="2:11" x14ac:dyDescent="0.2">
      <c r="B55" s="87"/>
      <c r="C55" s="524" t="s">
        <v>787</v>
      </c>
      <c r="D55" s="524" t="s">
        <v>784</v>
      </c>
      <c r="E55" s="54" t="s">
        <v>405</v>
      </c>
      <c r="F55" s="524">
        <f>'Production table step 1'!D5</f>
        <v>0</v>
      </c>
      <c r="G55" s="524">
        <f>'Production table step 1'!E5</f>
        <v>0</v>
      </c>
      <c r="H55" s="179">
        <f t="shared" si="2"/>
        <v>0</v>
      </c>
      <c r="I55" s="179">
        <f t="shared" si="3"/>
        <v>0</v>
      </c>
      <c r="J55"/>
      <c r="K55" s="33"/>
    </row>
    <row r="56" spans="2:11" x14ac:dyDescent="0.2">
      <c r="B56" s="87"/>
      <c r="C56" s="524" t="s">
        <v>953</v>
      </c>
      <c r="D56" s="524" t="s">
        <v>953</v>
      </c>
      <c r="E56" s="54" t="s">
        <v>977</v>
      </c>
      <c r="F56" s="524">
        <f>'Production table step 1'!D8</f>
        <v>0</v>
      </c>
      <c r="G56" s="524">
        <f>'Production table step 1'!E8</f>
        <v>0</v>
      </c>
      <c r="H56" s="179">
        <f t="shared" ref="H56:I58" si="4">F56</f>
        <v>0</v>
      </c>
      <c r="I56" s="179">
        <f t="shared" si="4"/>
        <v>0</v>
      </c>
      <c r="J56"/>
      <c r="K56" s="33"/>
    </row>
    <row r="57" spans="2:11" x14ac:dyDescent="0.2">
      <c r="B57" s="87"/>
      <c r="C57" s="524" t="s">
        <v>789</v>
      </c>
      <c r="D57" s="524" t="s">
        <v>40</v>
      </c>
      <c r="E57" s="54" t="s">
        <v>408</v>
      </c>
      <c r="F57" s="524">
        <f>'Production table step 1'!D9</f>
        <v>0</v>
      </c>
      <c r="G57" s="524">
        <f>'Production table step 1'!E9</f>
        <v>0</v>
      </c>
      <c r="H57" s="179">
        <f t="shared" si="4"/>
        <v>0</v>
      </c>
      <c r="I57" s="179">
        <f t="shared" si="4"/>
        <v>0</v>
      </c>
      <c r="J57"/>
      <c r="K57" s="33"/>
    </row>
    <row r="58" spans="2:11" x14ac:dyDescent="0.2">
      <c r="B58" s="87"/>
      <c r="C58" s="524" t="s">
        <v>788</v>
      </c>
      <c r="D58" s="524" t="s">
        <v>201</v>
      </c>
      <c r="E58" s="54" t="s">
        <v>801</v>
      </c>
      <c r="F58" s="524">
        <f>'Production table step 1'!D10</f>
        <v>0</v>
      </c>
      <c r="G58" s="524">
        <f>'Production table step 1'!E10</f>
        <v>0</v>
      </c>
      <c r="H58" s="179">
        <f t="shared" si="4"/>
        <v>0</v>
      </c>
      <c r="I58" s="179">
        <f t="shared" si="4"/>
        <v>0</v>
      </c>
      <c r="J58"/>
      <c r="K58" s="33"/>
    </row>
    <row r="59" spans="2:11" x14ac:dyDescent="0.2">
      <c r="B59" s="87"/>
      <c r="D59" s="524"/>
      <c r="E59" s="54"/>
      <c r="F59" s="524"/>
      <c r="G59" s="525"/>
      <c r="H59" s="179"/>
      <c r="I59" s="179"/>
      <c r="J59"/>
      <c r="K59" s="33"/>
    </row>
    <row r="60" spans="2:11" x14ac:dyDescent="0.2">
      <c r="B60" s="87" t="s">
        <v>802</v>
      </c>
      <c r="C60" s="524"/>
      <c r="D60" s="524"/>
      <c r="E60" s="54"/>
      <c r="F60" s="524"/>
      <c r="G60" s="525"/>
      <c r="H60" s="179"/>
      <c r="I60" s="179"/>
      <c r="J60"/>
      <c r="K60" s="33"/>
    </row>
    <row r="61" spans="2:11" x14ac:dyDescent="0.2">
      <c r="B61" s="87"/>
      <c r="C61" s="524" t="s">
        <v>817</v>
      </c>
      <c r="D61" s="524" t="s">
        <v>41</v>
      </c>
      <c r="E61" s="54" t="s">
        <v>969</v>
      </c>
      <c r="F61" s="524">
        <f>'Production table step 1'!D11</f>
        <v>0</v>
      </c>
      <c r="G61" s="524">
        <f>'Production table step 1'!E11</f>
        <v>0</v>
      </c>
      <c r="H61" s="179">
        <f t="shared" ref="H61" si="5">F61</f>
        <v>0</v>
      </c>
      <c r="I61" s="179">
        <f t="shared" ref="I61" si="6">G61</f>
        <v>0</v>
      </c>
      <c r="J61"/>
      <c r="K61" s="33"/>
    </row>
    <row r="62" spans="2:11" x14ac:dyDescent="0.2">
      <c r="B62" s="87"/>
      <c r="C62" s="524" t="s">
        <v>992</v>
      </c>
      <c r="D62" s="524" t="s">
        <v>41</v>
      </c>
      <c r="E62" t="s">
        <v>780</v>
      </c>
      <c r="F62" s="524">
        <f>'Production table step 1'!D2</f>
        <v>0</v>
      </c>
      <c r="G62" s="524">
        <f>'Production table step 1'!E2</f>
        <v>0</v>
      </c>
      <c r="H62" s="179">
        <f>F62</f>
        <v>0</v>
      </c>
      <c r="I62" s="179">
        <f>G62</f>
        <v>0</v>
      </c>
      <c r="J62"/>
      <c r="K62" s="33"/>
    </row>
    <row r="63" spans="2:11" ht="17" thickBot="1" x14ac:dyDescent="0.25">
      <c r="B63" s="74"/>
      <c r="C63" s="75"/>
      <c r="D63" s="75"/>
      <c r="E63" s="75"/>
      <c r="F63" s="75"/>
      <c r="G63" s="75"/>
      <c r="H63" s="75"/>
      <c r="I63" s="75"/>
      <c r="J63" s="75"/>
      <c r="K63" s="76"/>
    </row>
  </sheetData>
  <mergeCells count="1">
    <mergeCell ref="B5:K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9B70A-54E0-BA4C-AA0C-35174043D4DB}">
  <sheetPr codeName="Sheet30">
    <tabColor theme="6" tint="0.39997558519241921"/>
  </sheetPr>
  <dimension ref="B2:K21"/>
  <sheetViews>
    <sheetView workbookViewId="0">
      <selection activeCell="G52" sqref="G52"/>
    </sheetView>
  </sheetViews>
  <sheetFormatPr baseColWidth="10" defaultRowHeight="16" x14ac:dyDescent="0.2"/>
  <cols>
    <col min="1" max="1" width="3.83203125" style="2" customWidth="1"/>
    <col min="2" max="2" width="17.5" style="2" customWidth="1"/>
    <col min="3" max="3" width="43.5" style="2" customWidth="1"/>
    <col min="4" max="4" width="23.1640625" style="2" customWidth="1"/>
    <col min="5" max="5" width="59.83203125" style="2" bestFit="1" customWidth="1"/>
    <col min="6" max="6" width="23.1640625" style="2" customWidth="1"/>
    <col min="7" max="7" width="21.83203125" style="2" bestFit="1" customWidth="1"/>
    <col min="8" max="9" width="18.5" style="2" customWidth="1"/>
    <col min="10" max="10" width="2.33203125" style="2" customWidth="1"/>
    <col min="11" max="11" width="34.5" style="2" customWidth="1"/>
    <col min="12" max="16384" width="10.83203125" style="2"/>
  </cols>
  <sheetData>
    <row r="2" spans="2:11" ht="21" x14ac:dyDescent="0.25">
      <c r="B2" s="20" t="s">
        <v>320</v>
      </c>
    </row>
    <row r="4" spans="2:11" x14ac:dyDescent="0.2">
      <c r="B4" s="3" t="s">
        <v>37</v>
      </c>
      <c r="C4" s="4"/>
      <c r="D4" s="4"/>
      <c r="E4" s="4"/>
      <c r="F4" s="4"/>
      <c r="G4" s="4"/>
      <c r="H4" s="4"/>
      <c r="I4" s="4"/>
      <c r="J4" s="4"/>
      <c r="K4" s="5"/>
    </row>
    <row r="5" spans="2:11" x14ac:dyDescent="0.2">
      <c r="B5" s="619" t="s">
        <v>856</v>
      </c>
      <c r="C5" s="620"/>
      <c r="D5" s="620"/>
      <c r="E5" s="620"/>
      <c r="F5" s="620"/>
      <c r="G5" s="620"/>
      <c r="H5" s="620"/>
      <c r="I5" s="620"/>
      <c r="J5" s="620"/>
      <c r="K5" s="621"/>
    </row>
    <row r="6" spans="2:11" ht="17" thickBot="1" x14ac:dyDescent="0.25"/>
    <row r="7" spans="2:11" x14ac:dyDescent="0.2">
      <c r="B7" s="64" t="s">
        <v>619</v>
      </c>
      <c r="C7" s="82"/>
      <c r="D7" s="82"/>
      <c r="E7" s="82"/>
      <c r="F7" s="82"/>
      <c r="G7" s="82"/>
      <c r="H7" s="82"/>
      <c r="I7" s="82"/>
      <c r="J7" s="82"/>
      <c r="K7" s="66"/>
    </row>
    <row r="8" spans="2:11" ht="20" customHeight="1" x14ac:dyDescent="0.2">
      <c r="B8" s="67"/>
      <c r="E8" s="446" t="s">
        <v>645</v>
      </c>
      <c r="F8" s="446" t="s">
        <v>646</v>
      </c>
      <c r="G8" s="7" t="s">
        <v>646</v>
      </c>
      <c r="H8" s="419" t="s">
        <v>649</v>
      </c>
      <c r="I8" s="419" t="s">
        <v>200</v>
      </c>
      <c r="J8" s="419"/>
      <c r="K8" s="447" t="s">
        <v>17</v>
      </c>
    </row>
    <row r="9" spans="2:11" ht="15" customHeight="1" x14ac:dyDescent="0.2">
      <c r="B9" s="83" t="s">
        <v>29</v>
      </c>
      <c r="C9" s="308" t="s">
        <v>38</v>
      </c>
      <c r="D9" s="309" t="s">
        <v>199</v>
      </c>
      <c r="E9" s="448"/>
      <c r="F9" s="369" t="s">
        <v>647</v>
      </c>
      <c r="G9" s="449" t="s">
        <v>648</v>
      </c>
      <c r="H9" s="369"/>
      <c r="I9" s="449"/>
      <c r="J9" s="449"/>
      <c r="K9" s="429"/>
    </row>
    <row r="10" spans="2:11" x14ac:dyDescent="0.2">
      <c r="B10" s="87" t="s">
        <v>302</v>
      </c>
      <c r="C10"/>
      <c r="D10"/>
      <c r="E10"/>
      <c r="F10"/>
      <c r="G10"/>
      <c r="H10"/>
      <c r="I10"/>
      <c r="J10"/>
      <c r="K10" s="33"/>
    </row>
    <row r="11" spans="2:11" x14ac:dyDescent="0.2">
      <c r="B11" s="67"/>
      <c r="C11" t="s">
        <v>313</v>
      </c>
      <c r="D11" t="s">
        <v>188</v>
      </c>
      <c r="E11" s="54" t="s">
        <v>335</v>
      </c>
      <c r="F11"/>
      <c r="G11"/>
      <c r="H11" s="370">
        <f t="shared" ref="H11:H20" si="0">F11</f>
        <v>0</v>
      </c>
      <c r="I11"/>
      <c r="J11"/>
      <c r="K11" s="33"/>
    </row>
    <row r="12" spans="2:11" x14ac:dyDescent="0.2">
      <c r="B12" s="67"/>
      <c r="C12" t="s">
        <v>309</v>
      </c>
      <c r="D12" t="s">
        <v>188</v>
      </c>
      <c r="E12" s="54" t="s">
        <v>331</v>
      </c>
      <c r="F12"/>
      <c r="G12"/>
      <c r="H12" s="370">
        <f t="shared" si="0"/>
        <v>0</v>
      </c>
      <c r="I12"/>
      <c r="J12"/>
      <c r="K12" s="33"/>
    </row>
    <row r="13" spans="2:11" x14ac:dyDescent="0.2">
      <c r="B13" s="67"/>
      <c r="C13" t="s">
        <v>189</v>
      </c>
      <c r="D13" t="s">
        <v>284</v>
      </c>
      <c r="E13" s="54" t="s">
        <v>373</v>
      </c>
      <c r="F13"/>
      <c r="G13"/>
      <c r="H13" s="370">
        <f t="shared" si="0"/>
        <v>0</v>
      </c>
      <c r="I13"/>
      <c r="J13"/>
      <c r="K13" s="33"/>
    </row>
    <row r="14" spans="2:11" x14ac:dyDescent="0.2">
      <c r="B14" s="67"/>
      <c r="C14" t="s">
        <v>471</v>
      </c>
      <c r="D14" t="s">
        <v>370</v>
      </c>
      <c r="E14" s="54" t="s">
        <v>372</v>
      </c>
      <c r="F14"/>
      <c r="G14"/>
      <c r="H14" s="370">
        <f t="shared" si="0"/>
        <v>0</v>
      </c>
      <c r="I14"/>
      <c r="J14"/>
      <c r="K14" s="33"/>
    </row>
    <row r="15" spans="2:11" x14ac:dyDescent="0.2">
      <c r="B15" s="67"/>
      <c r="C15" t="s">
        <v>545</v>
      </c>
      <c r="D15" t="s">
        <v>370</v>
      </c>
      <c r="E15" s="54" t="s">
        <v>521</v>
      </c>
      <c r="F15"/>
      <c r="G15"/>
      <c r="H15" s="370">
        <f t="shared" si="0"/>
        <v>0</v>
      </c>
      <c r="I15"/>
      <c r="J15"/>
      <c r="K15" s="33"/>
    </row>
    <row r="16" spans="2:11" x14ac:dyDescent="0.2">
      <c r="B16" s="67"/>
      <c r="C16" t="s">
        <v>546</v>
      </c>
      <c r="D16" t="s">
        <v>370</v>
      </c>
      <c r="E16" s="54" t="s">
        <v>520</v>
      </c>
      <c r="F16"/>
      <c r="G16"/>
      <c r="H16" s="370">
        <f t="shared" si="0"/>
        <v>0</v>
      </c>
      <c r="I16"/>
      <c r="J16"/>
      <c r="K16" s="33"/>
    </row>
    <row r="17" spans="2:11" x14ac:dyDescent="0.2">
      <c r="B17" s="67"/>
      <c r="C17" t="s">
        <v>472</v>
      </c>
      <c r="D17" t="s">
        <v>370</v>
      </c>
      <c r="E17" s="54" t="s">
        <v>430</v>
      </c>
      <c r="F17"/>
      <c r="G17"/>
      <c r="H17" s="370">
        <f t="shared" si="0"/>
        <v>0</v>
      </c>
      <c r="I17"/>
      <c r="J17"/>
      <c r="K17" s="33"/>
    </row>
    <row r="18" spans="2:11" x14ac:dyDescent="0.2">
      <c r="B18" s="67"/>
      <c r="C18" t="s">
        <v>310</v>
      </c>
      <c r="D18" t="s">
        <v>193</v>
      </c>
      <c r="E18" s="54" t="s">
        <v>332</v>
      </c>
      <c r="F18"/>
      <c r="G18"/>
      <c r="H18" s="370">
        <f t="shared" si="0"/>
        <v>0</v>
      </c>
      <c r="I18"/>
      <c r="J18"/>
      <c r="K18" s="33"/>
    </row>
    <row r="19" spans="2:11" x14ac:dyDescent="0.2">
      <c r="B19" s="67"/>
      <c r="C19" t="s">
        <v>311</v>
      </c>
      <c r="D19" t="s">
        <v>193</v>
      </c>
      <c r="E19" s="54" t="s">
        <v>333</v>
      </c>
      <c r="F19"/>
      <c r="G19"/>
      <c r="H19" s="370">
        <f t="shared" si="0"/>
        <v>0</v>
      </c>
      <c r="I19"/>
      <c r="J19"/>
      <c r="K19" s="33"/>
    </row>
    <row r="20" spans="2:11" x14ac:dyDescent="0.2">
      <c r="B20" s="67"/>
      <c r="C20" t="s">
        <v>312</v>
      </c>
      <c r="D20" t="s">
        <v>193</v>
      </c>
      <c r="E20" s="54" t="s">
        <v>334</v>
      </c>
      <c r="F20"/>
      <c r="G20"/>
      <c r="H20" s="370">
        <f t="shared" si="0"/>
        <v>0</v>
      </c>
      <c r="I20"/>
      <c r="J20"/>
      <c r="K20" s="33"/>
    </row>
    <row r="21" spans="2:11" ht="17" thickBot="1" x14ac:dyDescent="0.25">
      <c r="B21" s="74"/>
      <c r="C21" s="75"/>
      <c r="D21" s="75"/>
      <c r="E21" s="75"/>
      <c r="F21" s="75"/>
      <c r="G21" s="75"/>
      <c r="H21" s="75"/>
      <c r="I21" s="75"/>
      <c r="J21" s="75"/>
      <c r="K21" s="76"/>
    </row>
  </sheetData>
  <mergeCells count="1">
    <mergeCell ref="B5:K5"/>
  </mergeCells>
  <pageMargins left="0.75" right="0.75" top="1" bottom="1" header="0.5" footer="0.5"/>
  <pageSetup paperSize="9" orientation="portrait" horizontalDpi="4294967292" verticalDpi="429496729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theme="5" tint="0.39997558519241921"/>
  </sheetPr>
  <dimension ref="B2:T144"/>
  <sheetViews>
    <sheetView workbookViewId="0">
      <pane xSplit="3" ySplit="9" topLeftCell="D10" activePane="bottomRight" state="frozen"/>
      <selection pane="topRight"/>
      <selection pane="bottomLeft"/>
      <selection pane="bottomRight" activeCell="E16" sqref="E16"/>
    </sheetView>
  </sheetViews>
  <sheetFormatPr baseColWidth="10" defaultRowHeight="16" x14ac:dyDescent="0.2"/>
  <cols>
    <col min="1" max="1" width="10.83203125" style="2"/>
    <col min="2" max="2" width="21.6640625" style="2" customWidth="1"/>
    <col min="3" max="3" width="29.83203125" style="2" customWidth="1"/>
    <col min="4" max="10" width="21.6640625" style="2" customWidth="1"/>
    <col min="11" max="11" width="5.33203125" style="2" customWidth="1"/>
    <col min="12" max="12" width="67" style="2" customWidth="1"/>
    <col min="13" max="13" width="4.83203125" style="2" customWidth="1"/>
    <col min="14" max="16" width="21.33203125" style="2" customWidth="1"/>
    <col min="17" max="17" width="3.83203125" style="2" customWidth="1"/>
    <col min="18" max="20" width="21.33203125" style="2" customWidth="1"/>
    <col min="21" max="36" width="11.5" style="2" customWidth="1"/>
    <col min="37" max="16384" width="10.83203125" style="2"/>
  </cols>
  <sheetData>
    <row r="2" spans="2:20" ht="21" x14ac:dyDescent="0.25">
      <c r="B2" s="20" t="s">
        <v>267</v>
      </c>
    </row>
    <row r="3" spans="2:20" ht="15" customHeight="1" x14ac:dyDescent="0.2"/>
    <row r="4" spans="2:20" ht="15" customHeight="1" x14ac:dyDescent="0.2">
      <c r="B4" s="3" t="s">
        <v>37</v>
      </c>
      <c r="C4" s="4"/>
      <c r="D4" s="4"/>
      <c r="E4" s="5"/>
    </row>
    <row r="5" spans="2:20" ht="62" customHeight="1" x14ac:dyDescent="0.2">
      <c r="B5" s="619" t="s">
        <v>682</v>
      </c>
      <c r="C5" s="620"/>
      <c r="D5" s="620"/>
      <c r="E5" s="621"/>
    </row>
    <row r="6" spans="2:20" ht="15" customHeight="1" thickBot="1" x14ac:dyDescent="0.25"/>
    <row r="7" spans="2:20" x14ac:dyDescent="0.2">
      <c r="B7" s="64" t="s">
        <v>224</v>
      </c>
      <c r="C7" s="82"/>
      <c r="D7" s="82"/>
      <c r="E7" s="82"/>
      <c r="F7" s="82"/>
      <c r="G7" s="82"/>
      <c r="H7" s="82"/>
      <c r="I7" s="82"/>
      <c r="J7" s="82"/>
      <c r="K7" s="82"/>
      <c r="L7" s="66"/>
    </row>
    <row r="8" spans="2:20" ht="13" customHeight="1" x14ac:dyDescent="0.2">
      <c r="B8" s="67"/>
      <c r="L8" s="68"/>
    </row>
    <row r="9" spans="2:20" ht="32" customHeight="1" x14ac:dyDescent="0.2">
      <c r="B9" s="90" t="s">
        <v>29</v>
      </c>
      <c r="C9" s="77" t="s">
        <v>39</v>
      </c>
      <c r="D9" s="109" t="s">
        <v>630</v>
      </c>
      <c r="E9" s="110" t="s">
        <v>631</v>
      </c>
      <c r="F9" s="111"/>
      <c r="G9" s="111"/>
      <c r="H9" s="110" t="s">
        <v>632</v>
      </c>
      <c r="I9" s="111"/>
      <c r="J9" s="111"/>
      <c r="K9" s="14"/>
      <c r="L9" s="86" t="s">
        <v>242</v>
      </c>
      <c r="N9" s="60"/>
      <c r="O9" s="60"/>
      <c r="P9" s="60"/>
      <c r="R9" s="60"/>
      <c r="S9" s="60"/>
      <c r="T9" s="60"/>
    </row>
    <row r="10" spans="2:20" x14ac:dyDescent="0.2">
      <c r="B10" s="87" t="s">
        <v>321</v>
      </c>
      <c r="K10" s="14"/>
      <c r="L10" s="68"/>
    </row>
    <row r="11" spans="2:20" x14ac:dyDescent="0.2">
      <c r="B11" s="67"/>
      <c r="C11" s="51" t="s">
        <v>243</v>
      </c>
      <c r="D11" s="323">
        <f>'Main activity power plants'!D125</f>
        <v>0</v>
      </c>
      <c r="E11" s="323" t="e">
        <f>'Main activity power plants'!E125</f>
        <v>#DIV/0!</v>
      </c>
      <c r="F11"/>
      <c r="G11"/>
      <c r="H11"/>
      <c r="I11"/>
      <c r="J11"/>
      <c r="K11" s="54"/>
      <c r="L11" s="33"/>
    </row>
    <row r="12" spans="2:20" x14ac:dyDescent="0.2">
      <c r="B12" s="67"/>
      <c r="C12" s="51" t="s">
        <v>244</v>
      </c>
      <c r="D12" s="323">
        <f>'Fuel aggregation PP'!D55</f>
        <v>0</v>
      </c>
      <c r="E12" s="323">
        <f>'Fuel aggregation PP'!E55</f>
        <v>0</v>
      </c>
      <c r="F12"/>
      <c r="G12"/>
      <c r="H12"/>
      <c r="I12"/>
      <c r="J12"/>
      <c r="K12" s="54"/>
      <c r="L12" s="33"/>
    </row>
    <row r="13" spans="2:20" x14ac:dyDescent="0.2">
      <c r="B13" s="67"/>
      <c r="C13" s="51" t="s">
        <v>291</v>
      </c>
      <c r="D13" s="324">
        <f>D11-D12</f>
        <v>0</v>
      </c>
      <c r="E13" s="324" t="e">
        <f>E11-E12</f>
        <v>#DIV/0!</v>
      </c>
      <c r="F13"/>
      <c r="G13"/>
      <c r="H13"/>
      <c r="I13"/>
      <c r="J13"/>
      <c r="K13" s="54"/>
      <c r="L13" s="33"/>
    </row>
    <row r="14" spans="2:20" ht="17" thickBot="1" x14ac:dyDescent="0.25">
      <c r="B14" s="67"/>
      <c r="C14" s="206" t="s">
        <v>292</v>
      </c>
      <c r="D14" s="285">
        <f>IF((AND(D12=0, D13&gt;0)),"Infinite",IF(D12=0,0,D13/D12))</f>
        <v>0</v>
      </c>
      <c r="E14" s="392" t="e">
        <f>IF((AND(E12=0, E13&gt;0)),"Infinite",IF(E12=0,0,E13/E12))</f>
        <v>#DIV/0!</v>
      </c>
      <c r="F14" s="193"/>
      <c r="G14" s="193"/>
      <c r="H14" s="193"/>
      <c r="I14" s="193"/>
      <c r="J14" s="116"/>
      <c r="K14" s="54"/>
      <c r="L14" s="33"/>
    </row>
    <row r="15" spans="2:20" ht="17" thickTop="1" x14ac:dyDescent="0.2">
      <c r="B15" s="67"/>
      <c r="C15" s="127"/>
      <c r="D15"/>
      <c r="E15"/>
      <c r="F15"/>
      <c r="G15"/>
      <c r="H15"/>
      <c r="I15"/>
      <c r="J15"/>
      <c r="K15" s="54"/>
      <c r="L15" s="33"/>
    </row>
    <row r="16" spans="2:20" x14ac:dyDescent="0.2">
      <c r="B16" s="67"/>
      <c r="C16" s="51" t="s">
        <v>956</v>
      </c>
      <c r="D16" s="323">
        <f>'Main activity power plants'!D126</f>
        <v>0</v>
      </c>
      <c r="E16" s="323">
        <f>'Main activity power plants'!E126</f>
        <v>0</v>
      </c>
      <c r="F16"/>
      <c r="G16"/>
      <c r="H16"/>
      <c r="I16"/>
      <c r="J16"/>
      <c r="K16" s="54"/>
      <c r="L16" s="33"/>
    </row>
    <row r="17" spans="2:12" x14ac:dyDescent="0.2">
      <c r="B17" s="67"/>
      <c r="C17" s="51" t="s">
        <v>957</v>
      </c>
      <c r="D17" s="323">
        <f>'Fuel aggregation PP'!D56</f>
        <v>0</v>
      </c>
      <c r="E17" s="323">
        <f>'Fuel aggregation PP'!E56</f>
        <v>0</v>
      </c>
      <c r="F17"/>
      <c r="G17"/>
      <c r="H17"/>
      <c r="I17"/>
      <c r="J17"/>
      <c r="K17" s="54"/>
      <c r="L17" s="33"/>
    </row>
    <row r="18" spans="2:12" x14ac:dyDescent="0.2">
      <c r="B18" s="67"/>
      <c r="C18" s="51" t="s">
        <v>291</v>
      </c>
      <c r="D18" s="324">
        <f>D16-D17</f>
        <v>0</v>
      </c>
      <c r="E18" s="324">
        <f>E16-E17</f>
        <v>0</v>
      </c>
      <c r="F18"/>
      <c r="G18"/>
      <c r="H18"/>
      <c r="I18"/>
      <c r="J18"/>
      <c r="K18" s="54"/>
      <c r="L18" s="33"/>
    </row>
    <row r="19" spans="2:12" ht="17" thickBot="1" x14ac:dyDescent="0.25">
      <c r="B19" s="67"/>
      <c r="C19" s="206" t="s">
        <v>292</v>
      </c>
      <c r="D19" s="285">
        <f>IF((AND(D17=0, D18&gt;0)),"Infinite",IF(D17=0,0,D18/D17))</f>
        <v>0</v>
      </c>
      <c r="E19" s="392">
        <f>IF((AND(E17=0, E18&gt;0)),"Infinite",IF(E17=0,0,E18/E17))</f>
        <v>0</v>
      </c>
      <c r="F19" s="193"/>
      <c r="G19" s="193"/>
      <c r="H19" s="193"/>
      <c r="I19" s="193"/>
      <c r="J19" s="116"/>
      <c r="K19" s="54"/>
      <c r="L19" s="33"/>
    </row>
    <row r="20" spans="2:12" ht="17" thickTop="1" x14ac:dyDescent="0.2">
      <c r="B20" s="67"/>
      <c r="C20" s="127"/>
      <c r="D20" s="600"/>
      <c r="E20"/>
      <c r="F20"/>
      <c r="G20"/>
      <c r="H20"/>
      <c r="I20"/>
      <c r="J20"/>
      <c r="K20" s="54"/>
      <c r="L20" s="33"/>
    </row>
    <row r="21" spans="2:12" x14ac:dyDescent="0.2">
      <c r="B21" s="67"/>
      <c r="C21" s="127" t="s">
        <v>247</v>
      </c>
      <c r="D21" s="323">
        <f>'Main activity power plants'!D127</f>
        <v>0</v>
      </c>
      <c r="E21" s="323" t="e">
        <f>'Main activity power plants'!E127</f>
        <v>#DIV/0!</v>
      </c>
      <c r="F21"/>
      <c r="G21"/>
      <c r="H21"/>
      <c r="I21"/>
      <c r="J21"/>
      <c r="K21" s="54"/>
      <c r="L21" s="33"/>
    </row>
    <row r="22" spans="2:12" x14ac:dyDescent="0.2">
      <c r="B22" s="67"/>
      <c r="C22" s="80" t="s">
        <v>248</v>
      </c>
      <c r="D22" s="323">
        <f>'Fuel aggregation PP'!D57</f>
        <v>0</v>
      </c>
      <c r="E22" s="323">
        <f>'Fuel aggregation PP'!E57</f>
        <v>0</v>
      </c>
      <c r="F22"/>
      <c r="G22"/>
      <c r="H22"/>
      <c r="I22"/>
      <c r="J22"/>
      <c r="K22" s="54"/>
      <c r="L22" s="33"/>
    </row>
    <row r="23" spans="2:12" x14ac:dyDescent="0.2">
      <c r="B23" s="67"/>
      <c r="C23" s="80" t="s">
        <v>291</v>
      </c>
      <c r="D23" s="324">
        <f>D21-D22</f>
        <v>0</v>
      </c>
      <c r="E23" s="324" t="e">
        <f>E21-E22</f>
        <v>#DIV/0!</v>
      </c>
      <c r="F23"/>
      <c r="G23"/>
      <c r="H23"/>
      <c r="I23"/>
      <c r="J23"/>
      <c r="K23" s="54"/>
      <c r="L23" s="33"/>
    </row>
    <row r="24" spans="2:12" ht="17" thickBot="1" x14ac:dyDescent="0.25">
      <c r="B24" s="67"/>
      <c r="C24" s="208" t="s">
        <v>292</v>
      </c>
      <c r="D24" s="285">
        <f>IF((AND(D22=0, D23&gt;0)),"Infinite",IF(D22=0,0,D23/D22))</f>
        <v>0</v>
      </c>
      <c r="E24" s="392" t="e">
        <f>IF((AND(E22=0, E23&gt;0)),"Infinite",IF(E22=0,0,E23/E22))</f>
        <v>#DIV/0!</v>
      </c>
      <c r="F24" s="193"/>
      <c r="G24" s="193"/>
      <c r="H24" s="193"/>
      <c r="I24" s="193"/>
      <c r="J24" s="116"/>
      <c r="K24" s="54"/>
      <c r="L24" s="33"/>
    </row>
    <row r="25" spans="2:12" ht="17" thickTop="1" x14ac:dyDescent="0.2">
      <c r="B25" s="67"/>
      <c r="C25"/>
      <c r="D25"/>
      <c r="E25"/>
      <c r="F25"/>
      <c r="G25"/>
      <c r="H25"/>
      <c r="I25"/>
      <c r="J25"/>
      <c r="K25" s="54"/>
      <c r="L25" s="33"/>
    </row>
    <row r="26" spans="2:12" x14ac:dyDescent="0.2">
      <c r="B26" s="67"/>
      <c r="C26" s="127" t="s">
        <v>234</v>
      </c>
      <c r="D26" s="323">
        <f>'Main activity power plants'!D128</f>
        <v>0</v>
      </c>
      <c r="E26" s="323" t="e">
        <f>'Main activity power plants'!E128</f>
        <v>#DIV/0!</v>
      </c>
      <c r="F26"/>
      <c r="G26"/>
      <c r="H26"/>
      <c r="I26"/>
      <c r="J26"/>
      <c r="K26" s="54"/>
      <c r="L26" s="33"/>
    </row>
    <row r="27" spans="2:12" x14ac:dyDescent="0.2">
      <c r="B27" s="67"/>
      <c r="C27" s="80" t="s">
        <v>235</v>
      </c>
      <c r="D27" s="323">
        <f>'Fuel aggregation PP'!D58</f>
        <v>0</v>
      </c>
      <c r="E27" s="323">
        <f>'Fuel aggregation PP'!E58</f>
        <v>0</v>
      </c>
      <c r="F27"/>
      <c r="G27"/>
      <c r="H27"/>
      <c r="I27"/>
      <c r="J27"/>
      <c r="K27" s="54"/>
      <c r="L27" s="33"/>
    </row>
    <row r="28" spans="2:12" x14ac:dyDescent="0.2">
      <c r="B28" s="67"/>
      <c r="C28" s="80" t="s">
        <v>291</v>
      </c>
      <c r="D28" s="324">
        <f>D26-D27</f>
        <v>0</v>
      </c>
      <c r="E28" s="324" t="e">
        <f>E26-E27</f>
        <v>#DIV/0!</v>
      </c>
      <c r="F28"/>
      <c r="G28"/>
      <c r="H28"/>
      <c r="I28"/>
      <c r="J28"/>
      <c r="K28" s="54"/>
      <c r="L28" s="33"/>
    </row>
    <row r="29" spans="2:12" ht="17" thickBot="1" x14ac:dyDescent="0.25">
      <c r="B29" s="67"/>
      <c r="C29" s="208" t="s">
        <v>292</v>
      </c>
      <c r="D29" s="285">
        <f>IF((AND(D27=0, D28&gt;0)),"Infinite",IF(D27=0,0,D28/D27))</f>
        <v>0</v>
      </c>
      <c r="E29" s="392" t="e">
        <f>IF((AND(E27=0, E28&gt;0)),"Infinite",IF(E27=0,0,E28/E27))</f>
        <v>#DIV/0!</v>
      </c>
      <c r="F29" s="193"/>
      <c r="G29" s="193"/>
      <c r="H29" s="193"/>
      <c r="I29" s="193"/>
      <c r="J29" s="116"/>
      <c r="K29" s="54"/>
      <c r="L29" s="33"/>
    </row>
    <row r="30" spans="2:12" ht="17" thickTop="1" x14ac:dyDescent="0.2">
      <c r="B30" s="67"/>
      <c r="C30" s="80"/>
      <c r="D30"/>
      <c r="E30"/>
      <c r="F30"/>
      <c r="G30"/>
      <c r="H30"/>
      <c r="I30"/>
      <c r="J30"/>
      <c r="K30" s="54"/>
      <c r="L30" s="33"/>
    </row>
    <row r="31" spans="2:12" x14ac:dyDescent="0.2">
      <c r="B31" s="67"/>
      <c r="C31" s="127" t="s">
        <v>245</v>
      </c>
      <c r="D31" s="323">
        <f>'Main activity power plants'!D129</f>
        <v>0</v>
      </c>
      <c r="E31" s="323" t="e">
        <f>'Main activity power plants'!E129</f>
        <v>#DIV/0!</v>
      </c>
      <c r="F31"/>
      <c r="G31"/>
      <c r="H31"/>
      <c r="I31"/>
      <c r="J31"/>
      <c r="K31" s="54"/>
      <c r="L31" s="33"/>
    </row>
    <row r="32" spans="2:12" x14ac:dyDescent="0.2">
      <c r="B32" s="67"/>
      <c r="C32" s="80" t="s">
        <v>246</v>
      </c>
      <c r="D32" s="323">
        <f>'Fuel aggregation PP'!D59</f>
        <v>0</v>
      </c>
      <c r="E32" s="323">
        <f>'Fuel aggregation PP'!E59</f>
        <v>0</v>
      </c>
      <c r="F32"/>
      <c r="G32"/>
      <c r="H32"/>
      <c r="I32"/>
      <c r="J32"/>
      <c r="K32" s="54"/>
      <c r="L32" s="33"/>
    </row>
    <row r="33" spans="2:12" x14ac:dyDescent="0.2">
      <c r="B33" s="67"/>
      <c r="C33" s="80" t="s">
        <v>291</v>
      </c>
      <c r="D33" s="324">
        <f>D31-D32</f>
        <v>0</v>
      </c>
      <c r="E33" s="324" t="e">
        <f>E31-E32</f>
        <v>#DIV/0!</v>
      </c>
      <c r="F33"/>
      <c r="G33"/>
      <c r="H33"/>
      <c r="I33"/>
      <c r="J33"/>
      <c r="K33" s="54"/>
      <c r="L33" s="33"/>
    </row>
    <row r="34" spans="2:12" ht="17" thickBot="1" x14ac:dyDescent="0.25">
      <c r="B34" s="67"/>
      <c r="C34" s="208" t="s">
        <v>292</v>
      </c>
      <c r="D34" s="285">
        <f>IF((AND(D32=0, D33&gt;0)),"Infinite",IF(D32=0,0,D33/D32))</f>
        <v>0</v>
      </c>
      <c r="E34" s="392" t="e">
        <f>IF((AND(E32=0, E33&gt;0)),"Infinite",IF(E32=0,0,E33/E32))</f>
        <v>#DIV/0!</v>
      </c>
      <c r="F34" s="193"/>
      <c r="G34" s="193"/>
      <c r="H34" s="193"/>
      <c r="I34" s="193"/>
      <c r="J34" s="116"/>
      <c r="K34" s="54"/>
      <c r="L34" s="33"/>
    </row>
    <row r="35" spans="2:12" ht="17" thickTop="1" x14ac:dyDescent="0.2">
      <c r="B35" s="67"/>
      <c r="C35" s="80"/>
      <c r="D35"/>
      <c r="E35"/>
      <c r="F35"/>
      <c r="G35"/>
      <c r="H35"/>
      <c r="I35"/>
      <c r="J35"/>
      <c r="K35" s="54"/>
      <c r="L35" s="33"/>
    </row>
    <row r="36" spans="2:12" x14ac:dyDescent="0.2">
      <c r="B36" s="67"/>
      <c r="C36" s="127" t="s">
        <v>391</v>
      </c>
      <c r="D36" s="323">
        <f>'Main activity power plants'!D130</f>
        <v>0</v>
      </c>
      <c r="E36" s="323" t="e">
        <f>'Main activity power plants'!E130</f>
        <v>#DIV/0!</v>
      </c>
      <c r="F36"/>
      <c r="G36"/>
      <c r="H36"/>
      <c r="I36"/>
      <c r="J36"/>
      <c r="K36" s="54"/>
      <c r="L36" s="33"/>
    </row>
    <row r="37" spans="2:12" x14ac:dyDescent="0.2">
      <c r="B37" s="67"/>
      <c r="C37" s="80" t="s">
        <v>392</v>
      </c>
      <c r="D37" s="323">
        <f>'Fuel aggregation PP'!D60</f>
        <v>0</v>
      </c>
      <c r="E37" s="323">
        <f>'Fuel aggregation PP'!E60</f>
        <v>0</v>
      </c>
      <c r="F37"/>
      <c r="G37"/>
      <c r="H37"/>
      <c r="I37"/>
      <c r="J37"/>
      <c r="K37" s="54"/>
      <c r="L37" s="33"/>
    </row>
    <row r="38" spans="2:12" x14ac:dyDescent="0.2">
      <c r="B38" s="67"/>
      <c r="C38" s="80" t="s">
        <v>291</v>
      </c>
      <c r="D38" s="324">
        <f>D36-D37</f>
        <v>0</v>
      </c>
      <c r="E38" s="324" t="e">
        <f>E36-E37</f>
        <v>#DIV/0!</v>
      </c>
      <c r="F38"/>
      <c r="G38"/>
      <c r="H38"/>
      <c r="I38"/>
      <c r="J38"/>
      <c r="K38" s="54"/>
      <c r="L38" s="33"/>
    </row>
    <row r="39" spans="2:12" ht="17" thickBot="1" x14ac:dyDescent="0.25">
      <c r="B39" s="67"/>
      <c r="C39" s="208" t="s">
        <v>292</v>
      </c>
      <c r="D39" s="285">
        <f>IF((AND(D37=0, D38&gt;0)),"Infinite",IF(D37=0,0,D38/D37))</f>
        <v>0</v>
      </c>
      <c r="E39" s="392" t="e">
        <f>IF((AND(E37=0, E38&gt;0)),"Infinite",IF(E37=0,0,E38/E37))</f>
        <v>#DIV/0!</v>
      </c>
      <c r="F39" s="193"/>
      <c r="G39" s="193"/>
      <c r="H39" s="193"/>
      <c r="I39" s="193"/>
      <c r="J39" s="116"/>
      <c r="K39" s="54"/>
      <c r="L39" s="33"/>
    </row>
    <row r="40" spans="2:12" ht="17" thickTop="1" x14ac:dyDescent="0.2">
      <c r="B40" s="67"/>
      <c r="C40"/>
      <c r="D40"/>
      <c r="E40"/>
      <c r="F40"/>
      <c r="G40"/>
      <c r="H40"/>
      <c r="I40"/>
      <c r="J40"/>
      <c r="K40" s="54"/>
      <c r="L40" s="33"/>
    </row>
    <row r="41" spans="2:12" x14ac:dyDescent="0.2">
      <c r="B41" s="67"/>
      <c r="C41" s="127" t="s">
        <v>249</v>
      </c>
      <c r="D41" s="323">
        <f>'Main activity power plants'!D131</f>
        <v>0</v>
      </c>
      <c r="E41" s="323" t="e">
        <f>'Main activity power plants'!E131</f>
        <v>#DIV/0!</v>
      </c>
      <c r="F41"/>
      <c r="G41"/>
      <c r="H41"/>
      <c r="I41"/>
      <c r="J41"/>
      <c r="K41" s="54"/>
      <c r="L41" s="33"/>
    </row>
    <row r="42" spans="2:12" x14ac:dyDescent="0.2">
      <c r="B42" s="67"/>
      <c r="C42" s="80" t="s">
        <v>250</v>
      </c>
      <c r="D42" s="323">
        <f>'Fuel aggregation PP'!D61</f>
        <v>0</v>
      </c>
      <c r="E42" s="323">
        <f>'Fuel aggregation PP'!E61</f>
        <v>0</v>
      </c>
      <c r="F42"/>
      <c r="G42"/>
      <c r="H42"/>
      <c r="I42"/>
      <c r="J42"/>
      <c r="K42" s="54"/>
      <c r="L42" s="33"/>
    </row>
    <row r="43" spans="2:12" x14ac:dyDescent="0.2">
      <c r="B43" s="67"/>
      <c r="C43" s="80" t="s">
        <v>291</v>
      </c>
      <c r="D43" s="324">
        <f>D41-D42</f>
        <v>0</v>
      </c>
      <c r="E43" s="324" t="e">
        <f>E41-E42</f>
        <v>#DIV/0!</v>
      </c>
      <c r="F43"/>
      <c r="G43"/>
      <c r="H43"/>
      <c r="I43"/>
      <c r="J43"/>
      <c r="K43" s="54"/>
      <c r="L43" s="33"/>
    </row>
    <row r="44" spans="2:12" ht="17" thickBot="1" x14ac:dyDescent="0.25">
      <c r="B44" s="67"/>
      <c r="C44" s="208" t="s">
        <v>292</v>
      </c>
      <c r="D44" s="285">
        <f>IF((AND(D42=0, D43&gt;0)),"Infinite",IF(D42=0,0,D43/D42))</f>
        <v>0</v>
      </c>
      <c r="E44" s="392" t="e">
        <f>IF((AND(E42=0, E43&gt;0)),"Infinite",IF(E42=0,0,E43/E42))</f>
        <v>#DIV/0!</v>
      </c>
      <c r="F44" s="193"/>
      <c r="G44" s="193"/>
      <c r="H44" s="193"/>
      <c r="I44" s="193"/>
      <c r="J44" s="116"/>
      <c r="K44" s="54"/>
      <c r="L44" s="33"/>
    </row>
    <row r="45" spans="2:12" ht="17" thickTop="1" x14ac:dyDescent="0.2">
      <c r="B45" s="67"/>
      <c r="C45" s="80"/>
      <c r="D45"/>
      <c r="E45"/>
      <c r="F45"/>
      <c r="G45"/>
      <c r="H45"/>
      <c r="I45"/>
      <c r="J45"/>
      <c r="K45" s="54"/>
      <c r="L45" s="33"/>
    </row>
    <row r="46" spans="2:12" x14ac:dyDescent="0.2">
      <c r="B46" s="67"/>
      <c r="C46" s="127" t="s">
        <v>401</v>
      </c>
      <c r="D46" s="323">
        <f>'Main activity power plants'!D132</f>
        <v>0</v>
      </c>
      <c r="E46" s="323" t="e">
        <f>'Main activity power plants'!E132</f>
        <v>#DIV/0!</v>
      </c>
      <c r="F46"/>
      <c r="G46"/>
      <c r="H46"/>
      <c r="I46"/>
      <c r="J46"/>
      <c r="K46" s="54"/>
      <c r="L46" s="33"/>
    </row>
    <row r="47" spans="2:12" x14ac:dyDescent="0.2">
      <c r="B47" s="67"/>
      <c r="C47" s="80" t="s">
        <v>402</v>
      </c>
      <c r="D47" s="323">
        <f>'Fuel aggregation PP'!D62</f>
        <v>0</v>
      </c>
      <c r="E47" s="323">
        <f>'Fuel aggregation PP'!E62</f>
        <v>0</v>
      </c>
      <c r="F47"/>
      <c r="G47"/>
      <c r="H47"/>
      <c r="I47"/>
      <c r="J47"/>
      <c r="K47" s="54"/>
      <c r="L47" s="33"/>
    </row>
    <row r="48" spans="2:12" x14ac:dyDescent="0.2">
      <c r="B48" s="67"/>
      <c r="C48" s="80" t="s">
        <v>291</v>
      </c>
      <c r="D48" s="324">
        <f>D46-D47</f>
        <v>0</v>
      </c>
      <c r="E48" s="324" t="e">
        <f>E46-E47</f>
        <v>#DIV/0!</v>
      </c>
      <c r="F48"/>
      <c r="G48"/>
      <c r="H48"/>
      <c r="I48"/>
      <c r="J48"/>
      <c r="K48" s="54"/>
      <c r="L48" s="33"/>
    </row>
    <row r="49" spans="2:12" ht="17" thickBot="1" x14ac:dyDescent="0.25">
      <c r="B49" s="67"/>
      <c r="C49" s="208" t="s">
        <v>292</v>
      </c>
      <c r="D49" s="285">
        <f>IF((AND(D47=0, D48&gt;0)),"Infinite",IF(D47=0,0,D48/D47))</f>
        <v>0</v>
      </c>
      <c r="E49" s="392" t="e">
        <f>IF((AND(E47=0, E48&gt;0)),"Infinite",IF(E47=0,0,E48/E47))</f>
        <v>#DIV/0!</v>
      </c>
      <c r="F49" s="193"/>
      <c r="G49" s="193"/>
      <c r="H49" s="193"/>
      <c r="I49" s="193"/>
      <c r="J49" s="116"/>
      <c r="K49" s="54"/>
      <c r="L49" s="33"/>
    </row>
    <row r="50" spans="2:12" ht="17" thickTop="1" x14ac:dyDescent="0.2">
      <c r="B50" s="67"/>
      <c r="C50" s="80"/>
      <c r="D50"/>
      <c r="E50"/>
      <c r="F50"/>
      <c r="G50"/>
      <c r="H50"/>
      <c r="I50"/>
      <c r="J50"/>
      <c r="K50" s="54"/>
      <c r="L50" s="33"/>
    </row>
    <row r="51" spans="2:12" x14ac:dyDescent="0.2">
      <c r="B51" s="67"/>
      <c r="C51" s="127" t="s">
        <v>236</v>
      </c>
      <c r="D51" s="323">
        <f>'Main activity power plants'!D133</f>
        <v>0</v>
      </c>
      <c r="E51" s="323" t="e">
        <f>'Main activity power plants'!E133</f>
        <v>#DIV/0!</v>
      </c>
      <c r="F51"/>
      <c r="G51"/>
      <c r="H51"/>
      <c r="I51"/>
      <c r="J51"/>
      <c r="K51" s="54"/>
      <c r="L51" s="33" t="s">
        <v>480</v>
      </c>
    </row>
    <row r="52" spans="2:12" x14ac:dyDescent="0.2">
      <c r="B52" s="67"/>
      <c r="C52" s="80" t="s">
        <v>237</v>
      </c>
      <c r="D52" s="323">
        <f>'Fuel aggregation PP'!D63</f>
        <v>0</v>
      </c>
      <c r="E52" s="323">
        <f>'Fuel aggregation PP'!E63</f>
        <v>0</v>
      </c>
      <c r="F52"/>
      <c r="G52"/>
      <c r="H52"/>
      <c r="I52"/>
      <c r="J52"/>
      <c r="K52" s="54"/>
      <c r="L52" s="33"/>
    </row>
    <row r="53" spans="2:12" x14ac:dyDescent="0.2">
      <c r="B53" s="67"/>
      <c r="C53" s="80" t="s">
        <v>291</v>
      </c>
      <c r="D53" s="324">
        <f>D51-D52</f>
        <v>0</v>
      </c>
      <c r="E53" s="324" t="e">
        <f>E51-E52</f>
        <v>#DIV/0!</v>
      </c>
      <c r="F53"/>
      <c r="G53"/>
      <c r="H53"/>
      <c r="I53"/>
      <c r="J53"/>
      <c r="K53" s="54"/>
      <c r="L53" s="33"/>
    </row>
    <row r="54" spans="2:12" ht="17" thickBot="1" x14ac:dyDescent="0.25">
      <c r="B54" s="67"/>
      <c r="C54" s="208" t="s">
        <v>292</v>
      </c>
      <c r="D54" s="285">
        <f>IF((AND(D52=0, D53&gt;0)),"Infinite",IF(D52=0,0,D53/D52))</f>
        <v>0</v>
      </c>
      <c r="E54" s="392" t="e">
        <f>IF((AND(E52=0, E53&gt;0)),"Infinite",IF(E52=0,0,E53/E52))</f>
        <v>#DIV/0!</v>
      </c>
      <c r="F54" s="193"/>
      <c r="G54" s="193"/>
      <c r="H54" s="193"/>
      <c r="I54" s="193"/>
      <c r="J54" s="116"/>
      <c r="K54" s="54"/>
      <c r="L54" s="33"/>
    </row>
    <row r="55" spans="2:12" ht="17" thickTop="1" x14ac:dyDescent="0.2">
      <c r="B55" s="67"/>
      <c r="C55"/>
      <c r="D55"/>
      <c r="E55"/>
      <c r="F55"/>
      <c r="G55"/>
      <c r="H55"/>
      <c r="I55"/>
      <c r="J55"/>
      <c r="K55" s="54"/>
      <c r="L55" s="33"/>
    </row>
    <row r="56" spans="2:12" x14ac:dyDescent="0.2">
      <c r="B56" s="67"/>
      <c r="C56" s="127" t="s">
        <v>238</v>
      </c>
      <c r="D56" s="323">
        <f>'Main activity power plants'!D134</f>
        <v>0</v>
      </c>
      <c r="E56" s="323" t="e">
        <f>'Main activity power plants'!E134</f>
        <v>#DIV/0!</v>
      </c>
      <c r="F56"/>
      <c r="G56"/>
      <c r="H56"/>
      <c r="I56"/>
      <c r="J56"/>
      <c r="K56" s="54"/>
      <c r="L56" s="33"/>
    </row>
    <row r="57" spans="2:12" x14ac:dyDescent="0.2">
      <c r="B57" s="67"/>
      <c r="C57" s="80" t="s">
        <v>239</v>
      </c>
      <c r="D57" s="323">
        <f>'Fuel aggregation PP'!D64</f>
        <v>0</v>
      </c>
      <c r="E57" s="323">
        <f>'Fuel aggregation PP'!E64</f>
        <v>0</v>
      </c>
      <c r="F57"/>
      <c r="G57"/>
      <c r="H57"/>
      <c r="I57"/>
      <c r="J57"/>
      <c r="K57" s="54"/>
      <c r="L57" s="33"/>
    </row>
    <row r="58" spans="2:12" x14ac:dyDescent="0.2">
      <c r="B58" s="67"/>
      <c r="C58" s="80" t="s">
        <v>291</v>
      </c>
      <c r="D58" s="324">
        <f>D56-D57</f>
        <v>0</v>
      </c>
      <c r="E58" s="324" t="e">
        <f>E56-E57</f>
        <v>#DIV/0!</v>
      </c>
      <c r="F58"/>
      <c r="G58"/>
      <c r="H58"/>
      <c r="I58"/>
      <c r="J58"/>
      <c r="K58" s="54"/>
      <c r="L58" s="33"/>
    </row>
    <row r="59" spans="2:12" ht="17" thickBot="1" x14ac:dyDescent="0.25">
      <c r="B59" s="67"/>
      <c r="C59" s="208" t="s">
        <v>292</v>
      </c>
      <c r="D59" s="285">
        <f>IF((AND(D57=0, D58&gt;0)),"Infinite",IF(D57=0,0,D58/D57))</f>
        <v>0</v>
      </c>
      <c r="E59" s="392" t="e">
        <f>IF((AND(E57=0, E58&gt;0)),"Infinite",IF(E57=0,0,E58/E57))</f>
        <v>#DIV/0!</v>
      </c>
      <c r="F59" s="193"/>
      <c r="G59" s="193"/>
      <c r="H59" s="193"/>
      <c r="I59" s="193"/>
      <c r="J59" s="116"/>
      <c r="K59" s="54"/>
      <c r="L59" s="33"/>
    </row>
    <row r="60" spans="2:12" ht="17" thickTop="1" x14ac:dyDescent="0.2">
      <c r="B60" s="67"/>
      <c r="C60"/>
      <c r="D60"/>
      <c r="E60"/>
      <c r="F60"/>
      <c r="G60"/>
      <c r="H60"/>
      <c r="I60"/>
      <c r="J60"/>
      <c r="K60" s="54"/>
      <c r="L60" s="33"/>
    </row>
    <row r="61" spans="2:12" x14ac:dyDescent="0.2">
      <c r="B61" s="67"/>
      <c r="C61" s="127" t="s">
        <v>393</v>
      </c>
      <c r="D61" s="323">
        <f>'Main activity power plants'!D135</f>
        <v>0</v>
      </c>
      <c r="E61" s="323" t="e">
        <f>'Main activity power plants'!E135</f>
        <v>#DIV/0!</v>
      </c>
      <c r="F61"/>
      <c r="G61"/>
      <c r="H61"/>
      <c r="I61"/>
      <c r="J61"/>
      <c r="K61" s="54"/>
      <c r="L61" s="33"/>
    </row>
    <row r="62" spans="2:12" x14ac:dyDescent="0.2">
      <c r="B62" s="67"/>
      <c r="C62" s="80" t="s">
        <v>394</v>
      </c>
      <c r="D62" s="323">
        <f>'Fuel aggregation PP'!D65</f>
        <v>0</v>
      </c>
      <c r="E62" s="323">
        <f>'Fuel aggregation PP'!E65</f>
        <v>0</v>
      </c>
      <c r="F62"/>
      <c r="G62"/>
      <c r="H62"/>
      <c r="I62"/>
      <c r="J62"/>
      <c r="K62" s="54"/>
      <c r="L62" s="33"/>
    </row>
    <row r="63" spans="2:12" x14ac:dyDescent="0.2">
      <c r="B63" s="67"/>
      <c r="C63" s="80" t="s">
        <v>291</v>
      </c>
      <c r="D63" s="324">
        <f>D61-D62</f>
        <v>0</v>
      </c>
      <c r="E63" s="324" t="e">
        <f>E61-E62</f>
        <v>#DIV/0!</v>
      </c>
      <c r="F63"/>
      <c r="G63"/>
      <c r="H63"/>
      <c r="I63"/>
      <c r="J63"/>
      <c r="K63" s="54"/>
      <c r="L63" s="33"/>
    </row>
    <row r="64" spans="2:12" ht="17" thickBot="1" x14ac:dyDescent="0.25">
      <c r="B64" s="67"/>
      <c r="C64" s="208" t="s">
        <v>292</v>
      </c>
      <c r="D64" s="285">
        <f>IF((AND(D62=0, D63&gt;0)),"Infinite",IF(D62=0,0,D63/D62))</f>
        <v>0</v>
      </c>
      <c r="E64" s="392" t="e">
        <f>IF((AND(E62=0, E63&gt;0)),"Infinite",IF(E62=0,0,E63/E62))</f>
        <v>#DIV/0!</v>
      </c>
      <c r="F64" s="193"/>
      <c r="G64" s="193"/>
      <c r="H64" s="193"/>
      <c r="I64" s="193"/>
      <c r="J64" s="116"/>
      <c r="K64" s="54"/>
      <c r="L64" s="33"/>
    </row>
    <row r="65" spans="2:12" ht="17" thickTop="1" x14ac:dyDescent="0.2">
      <c r="B65" s="67"/>
      <c r="C65"/>
      <c r="D65"/>
      <c r="E65"/>
      <c r="F65"/>
      <c r="G65"/>
      <c r="H65"/>
      <c r="I65"/>
      <c r="J65"/>
      <c r="K65" s="54"/>
      <c r="L65" s="33"/>
    </row>
    <row r="66" spans="2:12" x14ac:dyDescent="0.2">
      <c r="B66" s="67"/>
      <c r="C66" s="127" t="s">
        <v>395</v>
      </c>
      <c r="D66" s="323">
        <f>'Main activity power plants'!D136</f>
        <v>0</v>
      </c>
      <c r="E66" s="323">
        <f>D66</f>
        <v>0</v>
      </c>
      <c r="F66"/>
      <c r="G66"/>
      <c r="H66"/>
      <c r="I66"/>
      <c r="J66"/>
      <c r="K66" s="54"/>
      <c r="L66" s="33" t="s">
        <v>428</v>
      </c>
    </row>
    <row r="67" spans="2:12" x14ac:dyDescent="0.2">
      <c r="B67" s="67"/>
      <c r="C67" s="80" t="s">
        <v>396</v>
      </c>
      <c r="D67" s="323">
        <f>'Fuel aggregation PP'!D66</f>
        <v>0</v>
      </c>
      <c r="E67" s="323">
        <f>'Fuel aggregation PP'!E66</f>
        <v>0</v>
      </c>
      <c r="F67"/>
      <c r="G67"/>
      <c r="H67"/>
      <c r="I67"/>
      <c r="J67"/>
      <c r="K67" s="54"/>
      <c r="L67" s="33" t="s">
        <v>429</v>
      </c>
    </row>
    <row r="68" spans="2:12" x14ac:dyDescent="0.2">
      <c r="B68" s="67"/>
      <c r="C68" s="80" t="s">
        <v>291</v>
      </c>
      <c r="D68" s="324">
        <f>D66-D67</f>
        <v>0</v>
      </c>
      <c r="E68" s="324">
        <f>E66-E67</f>
        <v>0</v>
      </c>
      <c r="F68"/>
      <c r="G68"/>
      <c r="H68"/>
      <c r="I68"/>
      <c r="J68"/>
      <c r="K68" s="54"/>
      <c r="L68" s="33"/>
    </row>
    <row r="69" spans="2:12" ht="17" thickBot="1" x14ac:dyDescent="0.25">
      <c r="B69" s="67"/>
      <c r="C69" s="208" t="s">
        <v>292</v>
      </c>
      <c r="D69" s="285">
        <f>IF((AND(D67=0, D68&gt;0)),"Infinite",IF(D67=0,0,D68/D67))</f>
        <v>0</v>
      </c>
      <c r="E69" s="392">
        <f>IF((AND(E67=0, E68&gt;0)),"Infinite",IF(E67=0,0,E68/E67))</f>
        <v>0</v>
      </c>
      <c r="F69" s="193"/>
      <c r="G69" s="193"/>
      <c r="H69" s="193"/>
      <c r="I69" s="193"/>
      <c r="J69" s="116"/>
      <c r="K69" s="54"/>
      <c r="L69" s="33"/>
    </row>
    <row r="70" spans="2:12" ht="17" thickTop="1" x14ac:dyDescent="0.2">
      <c r="B70" s="67"/>
      <c r="C70"/>
      <c r="D70"/>
      <c r="E70"/>
      <c r="F70"/>
      <c r="G70"/>
      <c r="H70"/>
      <c r="I70"/>
      <c r="J70"/>
      <c r="K70" s="54"/>
      <c r="L70" s="33"/>
    </row>
    <row r="71" spans="2:12" x14ac:dyDescent="0.2">
      <c r="B71" s="67"/>
      <c r="C71" s="127" t="s">
        <v>397</v>
      </c>
      <c r="D71" s="323">
        <f>'Main activity power plants'!D137</f>
        <v>0</v>
      </c>
      <c r="E71" s="323">
        <f>D71</f>
        <v>0</v>
      </c>
      <c r="F71"/>
      <c r="G71"/>
      <c r="H71"/>
      <c r="I71"/>
      <c r="J71"/>
      <c r="K71" s="54"/>
      <c r="L71" s="33"/>
    </row>
    <row r="72" spans="2:12" x14ac:dyDescent="0.2">
      <c r="B72" s="67"/>
      <c r="C72" s="80" t="s">
        <v>398</v>
      </c>
      <c r="D72" s="323">
        <f>'Fuel aggregation PP'!D67</f>
        <v>0</v>
      </c>
      <c r="E72" s="323">
        <f>'Fuel aggregation PP'!E67</f>
        <v>0</v>
      </c>
      <c r="F72"/>
      <c r="G72"/>
      <c r="H72"/>
      <c r="I72"/>
      <c r="J72"/>
      <c r="K72" s="54"/>
      <c r="L72" s="33" t="s">
        <v>428</v>
      </c>
    </row>
    <row r="73" spans="2:12" x14ac:dyDescent="0.2">
      <c r="B73" s="67"/>
      <c r="C73" s="80" t="s">
        <v>291</v>
      </c>
      <c r="D73" s="324">
        <f>D71-D72</f>
        <v>0</v>
      </c>
      <c r="E73" s="324">
        <f>E71-E72</f>
        <v>0</v>
      </c>
      <c r="F73"/>
      <c r="G73"/>
      <c r="H73"/>
      <c r="I73"/>
      <c r="J73"/>
      <c r="K73" s="54"/>
      <c r="L73" s="33" t="s">
        <v>429</v>
      </c>
    </row>
    <row r="74" spans="2:12" ht="17" thickBot="1" x14ac:dyDescent="0.25">
      <c r="B74" s="67"/>
      <c r="C74" s="208" t="s">
        <v>292</v>
      </c>
      <c r="D74" s="285">
        <f>IF((AND(D72=0, D73&gt;0)),"Infinite",IF(D72=0,0,D73/D72))</f>
        <v>0</v>
      </c>
      <c r="E74" s="392">
        <f>IF((AND(E72=0, E73&gt;0)),"Infinite",IF(E72=0,0,E73/E72))</f>
        <v>0</v>
      </c>
      <c r="F74" s="193"/>
      <c r="G74" s="193"/>
      <c r="H74" s="193"/>
      <c r="I74" s="193"/>
      <c r="J74" s="116"/>
      <c r="K74" s="54"/>
      <c r="L74" s="33"/>
    </row>
    <row r="75" spans="2:12" ht="17" thickTop="1" x14ac:dyDescent="0.2">
      <c r="B75" s="67"/>
      <c r="C75"/>
      <c r="D75"/>
      <c r="E75"/>
      <c r="F75"/>
      <c r="G75"/>
      <c r="H75"/>
      <c r="I75"/>
      <c r="J75"/>
      <c r="K75" s="54"/>
      <c r="L75" s="33"/>
    </row>
    <row r="76" spans="2:12" x14ac:dyDescent="0.2">
      <c r="B76" s="67"/>
      <c r="C76" s="127" t="s">
        <v>293</v>
      </c>
      <c r="D76" s="323">
        <f>'Main activity power plants'!D138</f>
        <v>0</v>
      </c>
      <c r="E76" s="323" t="e">
        <f>'Main activity power plants'!E138</f>
        <v>#DIV/0!</v>
      </c>
      <c r="F76"/>
      <c r="G76"/>
      <c r="H76"/>
      <c r="I76"/>
      <c r="J76"/>
      <c r="K76" s="54"/>
      <c r="L76" s="33"/>
    </row>
    <row r="77" spans="2:12" x14ac:dyDescent="0.2">
      <c r="B77" s="67"/>
      <c r="C77" s="80" t="s">
        <v>294</v>
      </c>
      <c r="D77" s="323">
        <f>'Fuel aggregation PP'!D68</f>
        <v>0</v>
      </c>
      <c r="E77" s="323">
        <f>'Fuel aggregation PP'!E68</f>
        <v>0</v>
      </c>
      <c r="F77"/>
      <c r="G77"/>
      <c r="H77"/>
      <c r="I77"/>
      <c r="J77"/>
      <c r="K77" s="54"/>
      <c r="L77" s="33"/>
    </row>
    <row r="78" spans="2:12" x14ac:dyDescent="0.2">
      <c r="B78" s="67"/>
      <c r="C78" s="80" t="s">
        <v>291</v>
      </c>
      <c r="D78" s="324">
        <f>D76-D77</f>
        <v>0</v>
      </c>
      <c r="E78" s="324" t="e">
        <f>E76-E77</f>
        <v>#DIV/0!</v>
      </c>
      <c r="F78"/>
      <c r="G78"/>
      <c r="H78"/>
      <c r="I78"/>
      <c r="J78"/>
      <c r="K78" s="54"/>
      <c r="L78" s="33"/>
    </row>
    <row r="79" spans="2:12" ht="17" thickBot="1" x14ac:dyDescent="0.25">
      <c r="B79" s="67"/>
      <c r="C79" s="208" t="s">
        <v>292</v>
      </c>
      <c r="D79" s="285">
        <f>IF((AND(D77=0, D78&gt;0)),"Infinite",IF(D77=0,0,D78/D77))</f>
        <v>0</v>
      </c>
      <c r="E79" s="392" t="e">
        <f>IF((AND(E77=0, E78&gt;0)),"Infinite",IF(E77=0,0,E78/E77))</f>
        <v>#DIV/0!</v>
      </c>
      <c r="F79" s="193"/>
      <c r="G79" s="193"/>
      <c r="H79" s="193"/>
      <c r="I79" s="193"/>
      <c r="J79" s="116"/>
      <c r="K79" s="54"/>
      <c r="L79" s="33"/>
    </row>
    <row r="80" spans="2:12" ht="17" thickTop="1" x14ac:dyDescent="0.2">
      <c r="B80" s="67"/>
      <c r="C80"/>
      <c r="D80"/>
      <c r="E80"/>
      <c r="F80"/>
      <c r="G80"/>
      <c r="H80"/>
      <c r="I80"/>
      <c r="J80"/>
      <c r="K80" s="54"/>
      <c r="L80" s="33"/>
    </row>
    <row r="81" spans="2:12" x14ac:dyDescent="0.2">
      <c r="B81" s="67"/>
      <c r="C81" s="127" t="s">
        <v>399</v>
      </c>
      <c r="D81" s="323">
        <f>'Main activity power plants'!D139</f>
        <v>0</v>
      </c>
      <c r="E81" s="323">
        <f>D81</f>
        <v>0</v>
      </c>
      <c r="F81"/>
      <c r="G81"/>
      <c r="H81"/>
      <c r="I81"/>
      <c r="J81"/>
      <c r="K81" s="54"/>
      <c r="L81" s="33" t="s">
        <v>428</v>
      </c>
    </row>
    <row r="82" spans="2:12" x14ac:dyDescent="0.2">
      <c r="B82" s="67"/>
      <c r="C82" s="80" t="s">
        <v>400</v>
      </c>
      <c r="D82" s="323">
        <f>'Fuel aggregation PP'!D69</f>
        <v>0</v>
      </c>
      <c r="E82" s="323">
        <f>'Fuel aggregation PP'!E69</f>
        <v>0</v>
      </c>
      <c r="F82"/>
      <c r="G82"/>
      <c r="H82"/>
      <c r="I82"/>
      <c r="J82"/>
      <c r="K82" s="54"/>
      <c r="L82" s="33" t="s">
        <v>429</v>
      </c>
    </row>
    <row r="83" spans="2:12" x14ac:dyDescent="0.2">
      <c r="B83" s="67"/>
      <c r="C83" s="80" t="s">
        <v>291</v>
      </c>
      <c r="D83" s="324">
        <f>D81-D82</f>
        <v>0</v>
      </c>
      <c r="E83" s="324">
        <f>E81-E82</f>
        <v>0</v>
      </c>
      <c r="F83"/>
      <c r="G83"/>
      <c r="H83"/>
      <c r="I83"/>
      <c r="J83"/>
      <c r="K83" s="54"/>
      <c r="L83" s="33"/>
    </row>
    <row r="84" spans="2:12" ht="17" thickBot="1" x14ac:dyDescent="0.25">
      <c r="B84" s="67"/>
      <c r="C84" s="208" t="s">
        <v>292</v>
      </c>
      <c r="D84" s="285">
        <f>IF((AND(D82=0, D83&gt;0)),"Infinite",IF(D82=0,0,D83/D82))</f>
        <v>0</v>
      </c>
      <c r="E84" s="392">
        <f>IF((AND(E82=0, E83&gt;0)),"Infinite",IF(E82=0,0,E83/E82))</f>
        <v>0</v>
      </c>
      <c r="F84" s="193"/>
      <c r="G84" s="193"/>
      <c r="H84" s="193"/>
      <c r="I84" s="193"/>
      <c r="J84" s="116"/>
      <c r="K84" s="54"/>
      <c r="L84" s="33"/>
    </row>
    <row r="85" spans="2:12" ht="17" thickTop="1" x14ac:dyDescent="0.2">
      <c r="B85" s="67"/>
      <c r="C85"/>
      <c r="D85"/>
      <c r="E85"/>
      <c r="F85"/>
      <c r="G85"/>
      <c r="H85"/>
      <c r="I85"/>
      <c r="J85"/>
      <c r="K85" s="54"/>
      <c r="L85" s="33"/>
    </row>
    <row r="86" spans="2:12" x14ac:dyDescent="0.2">
      <c r="B86" s="67"/>
      <c r="C86" s="127" t="s">
        <v>707</v>
      </c>
      <c r="D86" s="323">
        <f>'Main activity power plants'!D140</f>
        <v>0</v>
      </c>
      <c r="E86" s="323" t="e">
        <f>'Main activity power plants'!E140</f>
        <v>#DIV/0!</v>
      </c>
      <c r="F86"/>
      <c r="G86"/>
      <c r="H86"/>
      <c r="I86"/>
      <c r="J86"/>
      <c r="K86" s="54"/>
      <c r="L86" s="33"/>
    </row>
    <row r="87" spans="2:12" x14ac:dyDescent="0.2">
      <c r="B87" s="67"/>
      <c r="C87" s="80" t="s">
        <v>708</v>
      </c>
      <c r="D87" s="323">
        <f>'Fuel aggregation PP'!D70</f>
        <v>0</v>
      </c>
      <c r="E87" s="323">
        <f>'Fuel aggregation PP'!E70</f>
        <v>0</v>
      </c>
      <c r="F87"/>
      <c r="G87"/>
      <c r="H87"/>
      <c r="I87"/>
      <c r="J87"/>
      <c r="K87" s="54"/>
      <c r="L87" s="33"/>
    </row>
    <row r="88" spans="2:12" x14ac:dyDescent="0.2">
      <c r="B88" s="67"/>
      <c r="C88" s="80" t="s">
        <v>291</v>
      </c>
      <c r="D88" s="324">
        <f>D86-D87</f>
        <v>0</v>
      </c>
      <c r="E88" s="324" t="e">
        <f>E86-E87</f>
        <v>#DIV/0!</v>
      </c>
      <c r="F88"/>
      <c r="G88"/>
      <c r="H88"/>
      <c r="I88"/>
      <c r="J88"/>
      <c r="K88" s="54"/>
      <c r="L88" s="33"/>
    </row>
    <row r="89" spans="2:12" ht="17" thickBot="1" x14ac:dyDescent="0.25">
      <c r="B89" s="67"/>
      <c r="C89" s="208" t="s">
        <v>292</v>
      </c>
      <c r="D89" s="285">
        <f>IF((AND(D87=0, D88&gt;0)),"Infinite",IF(D87=0,0,D88/D87))</f>
        <v>0</v>
      </c>
      <c r="E89" s="392" t="e">
        <f>IF((AND(E87=0, E88&gt;0)),"Infinite",IF(E87=0,0,E88/E87))</f>
        <v>#DIV/0!</v>
      </c>
      <c r="F89" s="193"/>
      <c r="G89" s="193"/>
      <c r="H89" s="193"/>
      <c r="I89" s="193"/>
      <c r="J89" s="116"/>
      <c r="K89" s="54"/>
      <c r="L89" s="33"/>
    </row>
    <row r="90" spans="2:12" ht="17" thickTop="1" x14ac:dyDescent="0.2">
      <c r="B90" s="67"/>
      <c r="C90" s="80"/>
      <c r="D90"/>
      <c r="E90"/>
      <c r="F90"/>
      <c r="G90"/>
      <c r="H90"/>
      <c r="I90"/>
      <c r="J90"/>
      <c r="K90" s="54"/>
      <c r="L90" s="33"/>
    </row>
    <row r="91" spans="2:12" x14ac:dyDescent="0.2">
      <c r="B91" s="67"/>
      <c r="C91"/>
      <c r="D91"/>
      <c r="E91"/>
      <c r="F91"/>
      <c r="G91"/>
      <c r="H91"/>
      <c r="I91"/>
      <c r="J91"/>
      <c r="K91" s="54"/>
      <c r="L91" s="33"/>
    </row>
    <row r="92" spans="2:12" x14ac:dyDescent="0.2">
      <c r="B92" s="67"/>
      <c r="C92" s="127" t="s">
        <v>240</v>
      </c>
      <c r="D92" s="323">
        <f>'Main activity power plants'!D141</f>
        <v>0</v>
      </c>
      <c r="E92" s="323" t="e">
        <f>SUM(E11,E21,E26,E31,E36,E41,E46,E51,E56,E61,E66,E71,E76,E81,E86)</f>
        <v>#DIV/0!</v>
      </c>
      <c r="F92"/>
      <c r="G92"/>
      <c r="H92"/>
      <c r="I92"/>
      <c r="J92"/>
      <c r="K92" s="54"/>
      <c r="L92" s="33"/>
    </row>
    <row r="93" spans="2:12" x14ac:dyDescent="0.2">
      <c r="B93" s="67"/>
      <c r="C93" s="80" t="s">
        <v>241</v>
      </c>
      <c r="D93" s="323">
        <f>'Fuel aggregation PP'!D71</f>
        <v>0</v>
      </c>
      <c r="E93" s="323">
        <f>'Fuel aggregation PP'!E71</f>
        <v>0</v>
      </c>
      <c r="F93"/>
      <c r="G93"/>
      <c r="H93"/>
      <c r="I93"/>
      <c r="J93"/>
      <c r="K93" s="54"/>
      <c r="L93" s="33"/>
    </row>
    <row r="94" spans="2:12" x14ac:dyDescent="0.2">
      <c r="B94" s="67"/>
      <c r="C94" s="80" t="s">
        <v>291</v>
      </c>
      <c r="D94" s="324">
        <f>D92-D93</f>
        <v>0</v>
      </c>
      <c r="E94" s="324" t="e">
        <f>E92-E93</f>
        <v>#DIV/0!</v>
      </c>
      <c r="F94"/>
      <c r="G94"/>
      <c r="H94"/>
      <c r="I94"/>
      <c r="J94"/>
      <c r="K94" s="54"/>
      <c r="L94" s="33"/>
    </row>
    <row r="95" spans="2:12" ht="17" thickBot="1" x14ac:dyDescent="0.25">
      <c r="B95" s="67"/>
      <c r="C95" s="208" t="s">
        <v>292</v>
      </c>
      <c r="D95" s="285">
        <f>IF((AND(D93=0, D94&gt;0)),"Infinite",IF(D93=0,0,D94/D93))</f>
        <v>0</v>
      </c>
      <c r="E95" s="392" t="e">
        <f>IF((AND(E93=0, E94&gt;0)),"Infinite",IF(E93=0,0,E94/E93))</f>
        <v>#DIV/0!</v>
      </c>
      <c r="F95" s="193"/>
      <c r="G95" s="193"/>
      <c r="H95" s="193"/>
      <c r="I95" s="193"/>
      <c r="J95" s="116"/>
      <c r="K95" s="54"/>
      <c r="L95" s="33"/>
    </row>
    <row r="96" spans="2:12" ht="18" thickTop="1" thickBot="1" x14ac:dyDescent="0.25">
      <c r="B96" s="74"/>
      <c r="C96" s="75"/>
      <c r="D96" s="75"/>
      <c r="E96" s="75"/>
      <c r="F96" s="75"/>
      <c r="G96" s="75"/>
      <c r="H96" s="75"/>
      <c r="I96" s="75"/>
      <c r="J96" s="75"/>
      <c r="K96" s="112"/>
      <c r="L96" s="76"/>
    </row>
    <row r="97" spans="2:12" x14ac:dyDescent="0.2">
      <c r="B97" s="87" t="s">
        <v>285</v>
      </c>
      <c r="C97" s="8"/>
      <c r="K97" s="14"/>
      <c r="L97" s="68"/>
    </row>
    <row r="98" spans="2:12" x14ac:dyDescent="0.2">
      <c r="B98" s="88"/>
      <c r="C98" s="51" t="s">
        <v>243</v>
      </c>
      <c r="D98" s="141"/>
      <c r="E98" s="323" t="e">
        <f>'Main activity heat plants'!E11</f>
        <v>#DIV/0!</v>
      </c>
      <c r="F98" s="141"/>
      <c r="G98" s="141"/>
      <c r="H98" s="323">
        <f>'Main activity heat plants'!H11</f>
        <v>0</v>
      </c>
      <c r="I98" s="141"/>
      <c r="J98" s="141"/>
      <c r="K98" s="54"/>
      <c r="L98" s="33"/>
    </row>
    <row r="99" spans="2:12" x14ac:dyDescent="0.2">
      <c r="B99" s="88"/>
      <c r="C99" s="51" t="s">
        <v>244</v>
      </c>
      <c r="D99" s="141"/>
      <c r="E99" s="323">
        <f>'Fuel aggregation HP'!E41</f>
        <v>0</v>
      </c>
      <c r="F99" s="141"/>
      <c r="G99" s="141"/>
      <c r="H99" s="323">
        <f>'Fuel aggregation HP'!H41</f>
        <v>0</v>
      </c>
      <c r="I99" s="141"/>
      <c r="J99" s="141"/>
      <c r="K99" s="54"/>
      <c r="L99" s="33"/>
    </row>
    <row r="100" spans="2:12" x14ac:dyDescent="0.2">
      <c r="B100" s="88"/>
      <c r="C100" s="49" t="s">
        <v>291</v>
      </c>
      <c r="D100" s="149"/>
      <c r="E100" s="324" t="e">
        <f>E98-E99</f>
        <v>#DIV/0!</v>
      </c>
      <c r="F100" s="286"/>
      <c r="G100" s="286"/>
      <c r="H100" s="324">
        <f>H98-H99</f>
        <v>0</v>
      </c>
      <c r="I100" s="132"/>
      <c r="J100" s="132"/>
      <c r="K100" s="54"/>
      <c r="L100" s="33"/>
    </row>
    <row r="101" spans="2:12" ht="17" thickBot="1" x14ac:dyDescent="0.25">
      <c r="B101" s="88"/>
      <c r="C101" s="206" t="s">
        <v>292</v>
      </c>
      <c r="D101" s="144"/>
      <c r="E101" s="392" t="e">
        <f>IF((AND(E99=0, E100&gt;0)),"Infinite",IF(E99=0,0,E100/E99))</f>
        <v>#DIV/0!</v>
      </c>
      <c r="F101" s="287"/>
      <c r="G101" s="287"/>
      <c r="H101" s="285">
        <f>IF((AND(H99=0, H100&gt;0)),"Infinite",IF(H99=0,0,H100/H99))</f>
        <v>0</v>
      </c>
      <c r="I101" s="150"/>
      <c r="J101" s="144"/>
      <c r="K101" s="54"/>
      <c r="L101" s="33"/>
    </row>
    <row r="102" spans="2:12" ht="17" thickTop="1" x14ac:dyDescent="0.2">
      <c r="B102" s="88"/>
      <c r="C102" s="127"/>
      <c r="D102" s="141"/>
      <c r="E102" s="141"/>
      <c r="F102" s="141"/>
      <c r="G102" s="141"/>
      <c r="H102" s="141"/>
      <c r="I102" s="141"/>
      <c r="J102" s="141"/>
      <c r="K102" s="54"/>
      <c r="L102" s="33"/>
    </row>
    <row r="103" spans="2:12" x14ac:dyDescent="0.2">
      <c r="B103" s="88"/>
      <c r="C103" s="127" t="s">
        <v>247</v>
      </c>
      <c r="D103" s="142"/>
      <c r="E103" s="323" t="e">
        <f>'Main activity heat plants'!E18</f>
        <v>#DIV/0!</v>
      </c>
      <c r="F103" s="141"/>
      <c r="G103" s="141"/>
      <c r="H103" s="323">
        <f>'Main activity heat plants'!H18</f>
        <v>0</v>
      </c>
      <c r="I103" s="142"/>
      <c r="J103" s="142"/>
      <c r="K103" s="54"/>
      <c r="L103" s="33"/>
    </row>
    <row r="104" spans="2:12" x14ac:dyDescent="0.2">
      <c r="B104" s="88"/>
      <c r="C104" s="80" t="s">
        <v>248</v>
      </c>
      <c r="D104" s="207"/>
      <c r="E104" s="323">
        <f>'Fuel aggregation HP'!E42</f>
        <v>0</v>
      </c>
      <c r="F104" s="141"/>
      <c r="G104" s="141"/>
      <c r="H104" s="323">
        <f>'Fuel aggregation HP'!H42</f>
        <v>0</v>
      </c>
      <c r="I104" s="207"/>
      <c r="J104" s="142"/>
      <c r="K104" s="54"/>
      <c r="L104" s="33"/>
    </row>
    <row r="105" spans="2:12" x14ac:dyDescent="0.2">
      <c r="B105" s="67"/>
      <c r="C105" s="80" t="s">
        <v>291</v>
      </c>
      <c r="D105"/>
      <c r="E105" s="324" t="e">
        <f>E103-E104</f>
        <v>#DIV/0!</v>
      </c>
      <c r="F105" s="286"/>
      <c r="G105" s="286"/>
      <c r="H105" s="324">
        <f>H103-H104</f>
        <v>0</v>
      </c>
      <c r="I105"/>
      <c r="J105"/>
      <c r="K105" s="54"/>
      <c r="L105" s="33"/>
    </row>
    <row r="106" spans="2:12" ht="17" thickBot="1" x14ac:dyDescent="0.25">
      <c r="B106" s="87"/>
      <c r="C106" s="208" t="s">
        <v>292</v>
      </c>
      <c r="D106" s="193"/>
      <c r="E106" s="392" t="e">
        <f>IF((AND(E104=0, E105&gt;0)),"Infinite",IF(E104=0,0,E105/E104))</f>
        <v>#DIV/0!</v>
      </c>
      <c r="F106" s="288"/>
      <c r="G106" s="288"/>
      <c r="H106" s="285">
        <f>IF((AND(H104=0, H105&gt;0)),"Infinite",IF(H104=0,0,H105/H104))</f>
        <v>0</v>
      </c>
      <c r="I106" s="193"/>
      <c r="J106" s="193"/>
      <c r="K106" s="54"/>
      <c r="L106" s="33"/>
    </row>
    <row r="107" spans="2:12" ht="17" thickTop="1" x14ac:dyDescent="0.2">
      <c r="B107" s="87"/>
      <c r="C107"/>
      <c r="D107" s="141"/>
      <c r="E107" s="141"/>
      <c r="F107" s="141"/>
      <c r="G107" s="141"/>
      <c r="H107" s="141"/>
      <c r="I107" s="141"/>
      <c r="J107" s="141"/>
      <c r="K107" s="54"/>
      <c r="L107" s="33"/>
    </row>
    <row r="108" spans="2:12" x14ac:dyDescent="0.2">
      <c r="B108" s="87"/>
      <c r="C108" s="127" t="s">
        <v>234</v>
      </c>
      <c r="D108" s="142"/>
      <c r="E108" s="323" t="e">
        <f>'Main activity heat plants'!E21</f>
        <v>#DIV/0!</v>
      </c>
      <c r="F108" s="141"/>
      <c r="G108" s="141"/>
      <c r="H108" s="323">
        <f>'Main activity heat plants'!H21</f>
        <v>0</v>
      </c>
      <c r="I108" s="142"/>
      <c r="J108" s="142"/>
      <c r="K108" s="54"/>
      <c r="L108" s="33"/>
    </row>
    <row r="109" spans="2:12" x14ac:dyDescent="0.2">
      <c r="B109" s="87"/>
      <c r="C109" s="80" t="s">
        <v>235</v>
      </c>
      <c r="D109" s="207"/>
      <c r="E109" s="323">
        <f>'Fuel aggregation HP'!E43</f>
        <v>0</v>
      </c>
      <c r="F109" s="141"/>
      <c r="G109" s="141"/>
      <c r="H109" s="323">
        <f>'Fuel aggregation HP'!H43</f>
        <v>0</v>
      </c>
      <c r="I109" s="207"/>
      <c r="J109" s="142"/>
      <c r="K109" s="54"/>
      <c r="L109" s="33"/>
    </row>
    <row r="110" spans="2:12" x14ac:dyDescent="0.2">
      <c r="B110" s="88"/>
      <c r="C110" s="80" t="s">
        <v>291</v>
      </c>
      <c r="D110"/>
      <c r="E110" s="324" t="e">
        <f>E108-E109</f>
        <v>#DIV/0!</v>
      </c>
      <c r="F110" s="286"/>
      <c r="G110" s="286"/>
      <c r="H110" s="324">
        <f>H108-H109</f>
        <v>0</v>
      </c>
      <c r="I110"/>
      <c r="J110"/>
      <c r="K110" s="54"/>
      <c r="L110" s="33"/>
    </row>
    <row r="111" spans="2:12" ht="17" thickBot="1" x14ac:dyDescent="0.25">
      <c r="B111" s="88"/>
      <c r="C111" s="208" t="s">
        <v>292</v>
      </c>
      <c r="D111" s="193"/>
      <c r="E111" s="392" t="e">
        <f>IF((AND(E109=0, E110&gt;0)),"Infinite",IF(E109=0,0,E110/E109))</f>
        <v>#DIV/0!</v>
      </c>
      <c r="F111" s="288"/>
      <c r="G111" s="288"/>
      <c r="H111" s="285">
        <f>IF((AND(H109=0, H110&gt;0)),"Infinite",IF(H109=0,0,H110/H109))</f>
        <v>0</v>
      </c>
      <c r="I111" s="193"/>
      <c r="J111" s="193"/>
      <c r="K111" s="54"/>
      <c r="L111" s="33"/>
    </row>
    <row r="112" spans="2:12" ht="17" thickTop="1" x14ac:dyDescent="0.2">
      <c r="B112" s="88"/>
      <c r="C112" s="80"/>
      <c r="D112" s="142"/>
      <c r="E112"/>
      <c r="F112"/>
      <c r="G112"/>
      <c r="H112"/>
      <c r="I112" s="142"/>
      <c r="J112"/>
      <c r="K112" s="54"/>
      <c r="L112" s="33"/>
    </row>
    <row r="113" spans="2:12" x14ac:dyDescent="0.2">
      <c r="B113" s="88"/>
      <c r="C113" s="127" t="s">
        <v>245</v>
      </c>
      <c r="D113" s="142"/>
      <c r="E113" s="323" t="e">
        <f>'Main activity heat plants'!E26</f>
        <v>#DIV/0!</v>
      </c>
      <c r="F113" s="141"/>
      <c r="G113" s="141"/>
      <c r="H113" s="323">
        <f>'Main activity heat plants'!H26</f>
        <v>0</v>
      </c>
      <c r="I113" s="142"/>
      <c r="J113" s="142"/>
      <c r="K113" s="54"/>
      <c r="L113" s="33"/>
    </row>
    <row r="114" spans="2:12" x14ac:dyDescent="0.2">
      <c r="B114" s="67"/>
      <c r="C114" s="80" t="s">
        <v>246</v>
      </c>
      <c r="D114" s="207"/>
      <c r="E114" s="323">
        <f>'Fuel aggregation HP'!E44</f>
        <v>0</v>
      </c>
      <c r="F114" s="141"/>
      <c r="G114" s="141"/>
      <c r="H114" s="323">
        <f>'Fuel aggregation HP'!H44</f>
        <v>0</v>
      </c>
      <c r="I114" s="207"/>
      <c r="J114" s="142"/>
      <c r="K114" s="54"/>
      <c r="L114" s="33"/>
    </row>
    <row r="115" spans="2:12" x14ac:dyDescent="0.2">
      <c r="B115" s="87"/>
      <c r="C115" s="80" t="s">
        <v>291</v>
      </c>
      <c r="D115"/>
      <c r="E115" s="324" t="e">
        <f>E113-E114</f>
        <v>#DIV/0!</v>
      </c>
      <c r="F115" s="286"/>
      <c r="G115" s="286"/>
      <c r="H115" s="324">
        <f>H113-H114</f>
        <v>0</v>
      </c>
      <c r="I115"/>
      <c r="J115"/>
      <c r="K115" s="54"/>
      <c r="L115" s="33"/>
    </row>
    <row r="116" spans="2:12" ht="17" thickBot="1" x14ac:dyDescent="0.25">
      <c r="B116" s="87"/>
      <c r="C116" s="208" t="s">
        <v>292</v>
      </c>
      <c r="D116" s="193"/>
      <c r="E116" s="392" t="e">
        <f>IF((AND(E114=0, E115&gt;0)),"Infinite",IF(E114=0,0,E115/E114))</f>
        <v>#DIV/0!</v>
      </c>
      <c r="F116" s="288"/>
      <c r="G116" s="288"/>
      <c r="H116" s="285">
        <f>IF((AND(H114=0, H115&gt;0)),"Infinite",IF(H114=0,0,H115/H114))</f>
        <v>0</v>
      </c>
      <c r="I116" s="193"/>
      <c r="J116" s="193"/>
      <c r="K116" s="54"/>
      <c r="L116" s="33"/>
    </row>
    <row r="117" spans="2:12" ht="17" thickTop="1" x14ac:dyDescent="0.2">
      <c r="B117" s="87"/>
      <c r="C117"/>
      <c r="D117" s="141"/>
      <c r="E117" s="141"/>
      <c r="F117" s="141"/>
      <c r="G117" s="141"/>
      <c r="H117" s="141"/>
      <c r="I117" s="141"/>
      <c r="J117" s="141"/>
      <c r="K117" s="54"/>
      <c r="L117" s="33"/>
    </row>
    <row r="118" spans="2:12" x14ac:dyDescent="0.2">
      <c r="B118" s="87"/>
      <c r="C118" s="127" t="s">
        <v>249</v>
      </c>
      <c r="D118" s="142"/>
      <c r="E118" s="323" t="e">
        <f>'Main activity heat plants'!E34</f>
        <v>#DIV/0!</v>
      </c>
      <c r="F118" s="141"/>
      <c r="G118" s="141"/>
      <c r="H118" s="323">
        <f>'Main activity heat plants'!H34</f>
        <v>0</v>
      </c>
      <c r="I118" s="142"/>
      <c r="J118" s="142"/>
      <c r="K118" s="54"/>
      <c r="L118" s="33"/>
    </row>
    <row r="119" spans="2:12" x14ac:dyDescent="0.2">
      <c r="B119" s="87"/>
      <c r="C119" s="80" t="s">
        <v>250</v>
      </c>
      <c r="D119" s="207"/>
      <c r="E119" s="323">
        <f>'Fuel aggregation HP'!E45</f>
        <v>0</v>
      </c>
      <c r="F119" s="141"/>
      <c r="G119" s="141"/>
      <c r="H119" s="323">
        <f>'Fuel aggregation HP'!H45</f>
        <v>0</v>
      </c>
      <c r="I119" s="207"/>
      <c r="J119" s="142"/>
      <c r="K119" s="54"/>
      <c r="L119" s="33"/>
    </row>
    <row r="120" spans="2:12" x14ac:dyDescent="0.2">
      <c r="B120" s="88"/>
      <c r="C120" s="80" t="s">
        <v>291</v>
      </c>
      <c r="D120"/>
      <c r="E120" s="324" t="e">
        <f>E118-E119</f>
        <v>#DIV/0!</v>
      </c>
      <c r="F120" s="286"/>
      <c r="G120" s="286"/>
      <c r="H120" s="324">
        <f>H118-H119</f>
        <v>0</v>
      </c>
      <c r="I120"/>
      <c r="J120"/>
      <c r="K120" s="54"/>
      <c r="L120" s="33"/>
    </row>
    <row r="121" spans="2:12" ht="17" thickBot="1" x14ac:dyDescent="0.25">
      <c r="B121" s="88"/>
      <c r="C121" s="208" t="s">
        <v>292</v>
      </c>
      <c r="D121" s="193"/>
      <c r="E121" s="392" t="e">
        <f>IF((AND(E119=0, E120&gt;0)),"Infinite",IF(E119=0,0,E120/E119))</f>
        <v>#DIV/0!</v>
      </c>
      <c r="F121" s="288"/>
      <c r="G121" s="288"/>
      <c r="H121" s="285">
        <f>IF((AND(H119=0, H120&gt;0)),"Infinite",IF(H119=0,0,H120/H119))</f>
        <v>0</v>
      </c>
      <c r="I121" s="193"/>
      <c r="J121" s="193"/>
      <c r="K121" s="54"/>
      <c r="L121" s="33"/>
    </row>
    <row r="122" spans="2:12" ht="17" thickTop="1" x14ac:dyDescent="0.2">
      <c r="B122" s="88"/>
      <c r="C122" s="80"/>
      <c r="D122" s="207"/>
      <c r="E122"/>
      <c r="F122"/>
      <c r="G122"/>
      <c r="H122"/>
      <c r="I122" s="207"/>
      <c r="J122"/>
      <c r="K122" s="54"/>
      <c r="L122" s="33"/>
    </row>
    <row r="123" spans="2:12" x14ac:dyDescent="0.2">
      <c r="B123" s="67"/>
      <c r="C123" s="127" t="s">
        <v>401</v>
      </c>
      <c r="D123" s="142"/>
      <c r="E123" s="323" t="e">
        <f>'Main activity heat plants'!E35</f>
        <v>#DIV/0!</v>
      </c>
      <c r="F123" s="141"/>
      <c r="G123" s="141"/>
      <c r="H123" s="323">
        <f>'Main activity heat plants'!H35</f>
        <v>0</v>
      </c>
      <c r="I123" s="142"/>
      <c r="J123" s="142"/>
      <c r="K123" s="54"/>
      <c r="L123" s="33"/>
    </row>
    <row r="124" spans="2:12" x14ac:dyDescent="0.2">
      <c r="B124" s="87"/>
      <c r="C124" s="80" t="s">
        <v>402</v>
      </c>
      <c r="D124" s="207"/>
      <c r="E124" s="323">
        <f>'Fuel aggregation HP'!E46</f>
        <v>0</v>
      </c>
      <c r="F124" s="141"/>
      <c r="G124" s="141"/>
      <c r="H124" s="323">
        <f>'Fuel aggregation HP'!H46</f>
        <v>0</v>
      </c>
      <c r="I124" s="207"/>
      <c r="J124" s="142"/>
      <c r="K124" s="54"/>
      <c r="L124" s="33"/>
    </row>
    <row r="125" spans="2:12" x14ac:dyDescent="0.2">
      <c r="B125" s="87"/>
      <c r="C125" s="80" t="s">
        <v>291</v>
      </c>
      <c r="D125"/>
      <c r="E125" s="324" t="e">
        <f>E123-E124</f>
        <v>#DIV/0!</v>
      </c>
      <c r="F125" s="286"/>
      <c r="G125" s="286"/>
      <c r="H125" s="324">
        <f>H123-H124</f>
        <v>0</v>
      </c>
      <c r="I125"/>
      <c r="J125"/>
      <c r="K125" s="54"/>
      <c r="L125" s="33"/>
    </row>
    <row r="126" spans="2:12" ht="17" thickBot="1" x14ac:dyDescent="0.25">
      <c r="B126" s="87"/>
      <c r="C126" s="208" t="s">
        <v>292</v>
      </c>
      <c r="D126" s="193"/>
      <c r="E126" s="392" t="e">
        <f>IF((AND(E124=0, E125&gt;0)),"Infinite",IF(E124=0,0,E125/E124))</f>
        <v>#DIV/0!</v>
      </c>
      <c r="F126" s="288"/>
      <c r="G126" s="288"/>
      <c r="H126" s="285">
        <f>IF((AND(H124=0, H125&gt;0)),"Infinite",IF(H124=0,0,H125/H124))</f>
        <v>0</v>
      </c>
      <c r="I126" s="193"/>
      <c r="J126" s="193"/>
      <c r="K126" s="54"/>
      <c r="L126" s="33"/>
    </row>
    <row r="127" spans="2:12" ht="17" thickTop="1" x14ac:dyDescent="0.2">
      <c r="B127" s="87"/>
      <c r="C127" s="80"/>
      <c r="D127" s="141"/>
      <c r="E127" s="141"/>
      <c r="F127" s="141"/>
      <c r="G127" s="141"/>
      <c r="H127" s="141"/>
      <c r="I127" s="141"/>
      <c r="J127" s="141"/>
      <c r="K127" s="54"/>
      <c r="L127" s="33"/>
    </row>
    <row r="128" spans="2:12" x14ac:dyDescent="0.2">
      <c r="B128" s="67"/>
      <c r="C128" s="127" t="s">
        <v>236</v>
      </c>
      <c r="D128" s="142"/>
      <c r="E128" s="323" t="e">
        <f>'Main activity heat plants'!E22</f>
        <v>#DIV/0!</v>
      </c>
      <c r="F128" s="141"/>
      <c r="G128" s="141"/>
      <c r="H128" s="323">
        <f>'Main activity heat plants'!H22</f>
        <v>0</v>
      </c>
      <c r="I128" s="142"/>
      <c r="J128" s="142"/>
      <c r="K128" s="54"/>
      <c r="L128" s="33" t="s">
        <v>480</v>
      </c>
    </row>
    <row r="129" spans="2:12" x14ac:dyDescent="0.2">
      <c r="B129" s="67"/>
      <c r="C129" s="80" t="s">
        <v>237</v>
      </c>
      <c r="D129" s="207"/>
      <c r="E129" s="323">
        <f>'Fuel aggregation HP'!E47</f>
        <v>0</v>
      </c>
      <c r="F129" s="141"/>
      <c r="G129" s="141"/>
      <c r="H129" s="323">
        <f>'Fuel aggregation HP'!H47</f>
        <v>0</v>
      </c>
      <c r="I129" s="207"/>
      <c r="J129" s="142"/>
      <c r="K129" s="54"/>
      <c r="L129" s="33"/>
    </row>
    <row r="130" spans="2:12" x14ac:dyDescent="0.2">
      <c r="B130" s="67"/>
      <c r="C130" s="80" t="s">
        <v>291</v>
      </c>
      <c r="D130"/>
      <c r="E130" s="324" t="e">
        <f>E128-E129</f>
        <v>#DIV/0!</v>
      </c>
      <c r="F130" s="286"/>
      <c r="G130" s="286"/>
      <c r="H130" s="324">
        <f>H128-H129</f>
        <v>0</v>
      </c>
      <c r="I130"/>
      <c r="J130"/>
      <c r="K130" s="54"/>
      <c r="L130" s="33"/>
    </row>
    <row r="131" spans="2:12" ht="17" thickBot="1" x14ac:dyDescent="0.25">
      <c r="B131" s="67"/>
      <c r="C131" s="208" t="s">
        <v>292</v>
      </c>
      <c r="D131" s="193"/>
      <c r="E131" s="392" t="e">
        <f>IF((AND(E129=0, E130&gt;0)),"Infinite",IF(E129=0,0,E130/E129))</f>
        <v>#DIV/0!</v>
      </c>
      <c r="F131" s="288"/>
      <c r="G131" s="288"/>
      <c r="H131" s="285">
        <f>IF((AND(H129=0, H130&gt;0)),"Infinite",IF(H129=0,0,H130/H129))</f>
        <v>0</v>
      </c>
      <c r="I131" s="193"/>
      <c r="J131" s="193"/>
      <c r="K131" s="54"/>
      <c r="L131" s="33"/>
    </row>
    <row r="132" spans="2:12" ht="17" thickTop="1" x14ac:dyDescent="0.2">
      <c r="B132" s="67"/>
      <c r="C132"/>
      <c r="D132"/>
      <c r="E132"/>
      <c r="F132"/>
      <c r="G132"/>
      <c r="H132"/>
      <c r="I132"/>
      <c r="J132"/>
      <c r="K132" s="54"/>
      <c r="L132" s="33"/>
    </row>
    <row r="133" spans="2:12" x14ac:dyDescent="0.2">
      <c r="B133" s="87"/>
      <c r="C133" s="127" t="s">
        <v>238</v>
      </c>
      <c r="D133" s="142"/>
      <c r="E133" s="323" t="e">
        <f>'Main activity heat plants'!E39</f>
        <v>#DIV/0!</v>
      </c>
      <c r="F133" s="141"/>
      <c r="G133" s="141"/>
      <c r="H133" s="323">
        <f>'Main activity heat plants'!H39</f>
        <v>0</v>
      </c>
      <c r="I133" s="142"/>
      <c r="J133" s="142"/>
      <c r="K133" s="54"/>
      <c r="L133" s="33"/>
    </row>
    <row r="134" spans="2:12" x14ac:dyDescent="0.2">
      <c r="B134" s="87"/>
      <c r="C134" s="80" t="s">
        <v>239</v>
      </c>
      <c r="D134" s="207"/>
      <c r="E134" s="323">
        <f>'Fuel aggregation HP'!E48</f>
        <v>0</v>
      </c>
      <c r="F134" s="141"/>
      <c r="G134" s="141"/>
      <c r="H134" s="323">
        <f>'Fuel aggregation HP'!H48</f>
        <v>0</v>
      </c>
      <c r="I134" s="207"/>
      <c r="J134" s="142"/>
      <c r="K134" s="54"/>
      <c r="L134" s="33"/>
    </row>
    <row r="135" spans="2:12" x14ac:dyDescent="0.2">
      <c r="B135" s="87"/>
      <c r="C135" s="80" t="s">
        <v>291</v>
      </c>
      <c r="D135"/>
      <c r="E135" s="324" t="e">
        <f>E133-E134</f>
        <v>#DIV/0!</v>
      </c>
      <c r="F135" s="286"/>
      <c r="G135" s="286"/>
      <c r="H135" s="324">
        <f>H133-H134</f>
        <v>0</v>
      </c>
      <c r="I135"/>
      <c r="J135"/>
      <c r="K135" s="54"/>
      <c r="L135" s="33"/>
    </row>
    <row r="136" spans="2:12" ht="17" thickBot="1" x14ac:dyDescent="0.25">
      <c r="B136" s="87"/>
      <c r="C136" s="208" t="s">
        <v>292</v>
      </c>
      <c r="D136" s="193"/>
      <c r="E136" s="392" t="e">
        <f>IF((AND(E134=0, E135&gt;0)),"Infinite",IF(E134=0,0,E135/E134))</f>
        <v>#DIV/0!</v>
      </c>
      <c r="F136" s="288"/>
      <c r="G136" s="288"/>
      <c r="H136" s="285">
        <f>IF((AND(H134=0, H135&gt;0)),"Infinite",IF(H134=0,0,H135/H134))</f>
        <v>0</v>
      </c>
      <c r="I136" s="193"/>
      <c r="J136" s="193"/>
      <c r="K136" s="54"/>
      <c r="L136" s="33"/>
    </row>
    <row r="137" spans="2:12" ht="17" thickTop="1" x14ac:dyDescent="0.2">
      <c r="B137" s="128"/>
      <c r="C137"/>
      <c r="D137" s="141"/>
      <c r="E137" s="141"/>
      <c r="F137" s="141"/>
      <c r="G137" s="141"/>
      <c r="H137" s="141"/>
      <c r="I137" s="141"/>
      <c r="J137" s="141"/>
      <c r="K137" s="54"/>
      <c r="L137" s="33"/>
    </row>
    <row r="138" spans="2:12" x14ac:dyDescent="0.2">
      <c r="B138" s="67"/>
      <c r="C138" s="80"/>
      <c r="D138" s="141"/>
      <c r="E138"/>
      <c r="F138"/>
      <c r="G138"/>
      <c r="H138"/>
      <c r="I138" s="141"/>
      <c r="J138"/>
      <c r="K138" s="54"/>
      <c r="L138" s="33"/>
    </row>
    <row r="139" spans="2:12" x14ac:dyDescent="0.2">
      <c r="B139" s="67"/>
      <c r="C139"/>
      <c r="D139"/>
      <c r="E139"/>
      <c r="F139"/>
      <c r="G139"/>
      <c r="H139"/>
      <c r="I139"/>
      <c r="J139"/>
      <c r="K139" s="54"/>
      <c r="L139" s="33"/>
    </row>
    <row r="140" spans="2:12" x14ac:dyDescent="0.2">
      <c r="B140" s="67"/>
      <c r="C140" s="127" t="s">
        <v>240</v>
      </c>
      <c r="D140" s="142"/>
      <c r="E140" s="323" t="e">
        <f>'Main activity heat plants'!E43</f>
        <v>#DIV/0!</v>
      </c>
      <c r="F140" s="141"/>
      <c r="G140" s="141"/>
      <c r="H140" s="323">
        <f>'Main activity heat plants'!H43</f>
        <v>0</v>
      </c>
      <c r="I140" s="142"/>
      <c r="J140" s="142"/>
      <c r="K140" s="54"/>
      <c r="L140" s="33"/>
    </row>
    <row r="141" spans="2:12" x14ac:dyDescent="0.2">
      <c r="B141" s="67"/>
      <c r="C141" s="80" t="s">
        <v>241</v>
      </c>
      <c r="D141" s="207"/>
      <c r="E141" s="323">
        <f>'Fuel aggregation HP'!E50</f>
        <v>0</v>
      </c>
      <c r="F141" s="141"/>
      <c r="G141" s="141"/>
      <c r="H141" s="323">
        <f>'Fuel aggregation HP'!H50</f>
        <v>0</v>
      </c>
      <c r="I141" s="207"/>
      <c r="J141" s="142"/>
      <c r="K141" s="54"/>
      <c r="L141" s="33"/>
    </row>
    <row r="142" spans="2:12" x14ac:dyDescent="0.2">
      <c r="B142" s="67"/>
      <c r="C142" s="80" t="s">
        <v>291</v>
      </c>
      <c r="D142"/>
      <c r="E142" s="324" t="e">
        <f>E140-E141</f>
        <v>#DIV/0!</v>
      </c>
      <c r="F142" s="286"/>
      <c r="G142" s="286"/>
      <c r="H142" s="324">
        <f>H140-H141</f>
        <v>0</v>
      </c>
      <c r="I142"/>
      <c r="J142"/>
      <c r="K142" s="54"/>
      <c r="L142" s="33"/>
    </row>
    <row r="143" spans="2:12" ht="17" thickBot="1" x14ac:dyDescent="0.25">
      <c r="B143" s="67"/>
      <c r="C143" s="208" t="s">
        <v>292</v>
      </c>
      <c r="D143" s="193"/>
      <c r="E143" s="392" t="e">
        <f>IF((AND(E141=0, E142&gt;0)),"Infinite",IF(E141=0,0,E142/E141))</f>
        <v>#DIV/0!</v>
      </c>
      <c r="F143" s="288"/>
      <c r="G143" s="288"/>
      <c r="H143" s="285">
        <f>IF((AND(H141=0, H142&gt;0)),"Infinite",IF(H141=0,0,H142/H141))</f>
        <v>0</v>
      </c>
      <c r="I143" s="193"/>
      <c r="J143" s="193"/>
      <c r="K143" s="54"/>
      <c r="L143" s="33"/>
    </row>
    <row r="144" spans="2:12" ht="18" thickTop="1" thickBot="1" x14ac:dyDescent="0.25">
      <c r="B144" s="74"/>
      <c r="C144" s="209"/>
      <c r="D144" s="145"/>
      <c r="E144" s="35"/>
      <c r="F144" s="35"/>
      <c r="G144" s="35"/>
      <c r="H144" s="35"/>
      <c r="I144" s="145"/>
      <c r="J144" s="35"/>
      <c r="K144" s="93"/>
      <c r="L144" s="36"/>
    </row>
  </sheetData>
  <mergeCells count="1">
    <mergeCell ref="B5:E5"/>
  </mergeCells>
  <phoneticPr fontId="27" type="noConversion"/>
  <conditionalFormatting sqref="E14">
    <cfRule type="cellIs" dxfId="34" priority="37" operator="between">
      <formula>-0.05</formula>
      <formula>0.05</formula>
    </cfRule>
  </conditionalFormatting>
  <conditionalFormatting sqref="E19">
    <cfRule type="cellIs" dxfId="33" priority="1" operator="between">
      <formula>-0.05</formula>
      <formula>0.05</formula>
    </cfRule>
  </conditionalFormatting>
  <conditionalFormatting sqref="E24">
    <cfRule type="cellIs" dxfId="32" priority="36" operator="between">
      <formula>-0.05</formula>
      <formula>0.05</formula>
    </cfRule>
  </conditionalFormatting>
  <conditionalFormatting sqref="E29">
    <cfRule type="cellIs" dxfId="31" priority="35" operator="between">
      <formula>-0.05</formula>
      <formula>0.05</formula>
    </cfRule>
  </conditionalFormatting>
  <conditionalFormatting sqref="E34">
    <cfRule type="cellIs" dxfId="30" priority="34" operator="between">
      <formula>-0.05</formula>
      <formula>0.05</formula>
    </cfRule>
  </conditionalFormatting>
  <conditionalFormatting sqref="E39">
    <cfRule type="cellIs" dxfId="29" priority="33" operator="between">
      <formula>-0.05</formula>
      <formula>0.05</formula>
    </cfRule>
  </conditionalFormatting>
  <conditionalFormatting sqref="E44">
    <cfRule type="cellIs" dxfId="28" priority="32" operator="between">
      <formula>-0.05</formula>
      <formula>0.05</formula>
    </cfRule>
  </conditionalFormatting>
  <conditionalFormatting sqref="E49">
    <cfRule type="cellIs" dxfId="27" priority="31" operator="between">
      <formula>-0.05</formula>
      <formula>0.05</formula>
    </cfRule>
  </conditionalFormatting>
  <conditionalFormatting sqref="E54">
    <cfRule type="cellIs" dxfId="26" priority="30" operator="between">
      <formula>-0.05</formula>
      <formula>0.05</formula>
    </cfRule>
  </conditionalFormatting>
  <conditionalFormatting sqref="E59">
    <cfRule type="cellIs" dxfId="25" priority="29" operator="between">
      <formula>-0.05</formula>
      <formula>0.05</formula>
    </cfRule>
  </conditionalFormatting>
  <conditionalFormatting sqref="E64">
    <cfRule type="cellIs" dxfId="24" priority="28" operator="between">
      <formula>-0.05</formula>
      <formula>0.05</formula>
    </cfRule>
  </conditionalFormatting>
  <conditionalFormatting sqref="E69">
    <cfRule type="cellIs" dxfId="23" priority="27" operator="between">
      <formula>-0.05</formula>
      <formula>0.05</formula>
    </cfRule>
  </conditionalFormatting>
  <conditionalFormatting sqref="E74">
    <cfRule type="cellIs" dxfId="22" priority="26" operator="between">
      <formula>-0.05</formula>
      <formula>0.05</formula>
    </cfRule>
  </conditionalFormatting>
  <conditionalFormatting sqref="E79">
    <cfRule type="cellIs" dxfId="21" priority="25" operator="between">
      <formula>-0.05</formula>
      <formula>0.05</formula>
    </cfRule>
  </conditionalFormatting>
  <conditionalFormatting sqref="E84">
    <cfRule type="cellIs" dxfId="20" priority="24" operator="between">
      <formula>-0.05</formula>
      <formula>0.05</formula>
    </cfRule>
  </conditionalFormatting>
  <conditionalFormatting sqref="E89">
    <cfRule type="cellIs" dxfId="19" priority="2" operator="between">
      <formula>-0.05</formula>
      <formula>0.05</formula>
    </cfRule>
  </conditionalFormatting>
  <conditionalFormatting sqref="E95">
    <cfRule type="cellIs" dxfId="18" priority="23" operator="between">
      <formula>-0.05</formula>
      <formula>0.05</formula>
    </cfRule>
  </conditionalFormatting>
  <conditionalFormatting sqref="E101">
    <cfRule type="cellIs" dxfId="17" priority="3" operator="between">
      <formula>-0.05</formula>
      <formula>0.05</formula>
    </cfRule>
  </conditionalFormatting>
  <conditionalFormatting sqref="E106">
    <cfRule type="cellIs" dxfId="16" priority="4" operator="between">
      <formula>-0.05</formula>
      <formula>0.05</formula>
    </cfRule>
  </conditionalFormatting>
  <conditionalFormatting sqref="E111">
    <cfRule type="cellIs" dxfId="15" priority="5" operator="between">
      <formula>-0.05</formula>
      <formula>0.05</formula>
    </cfRule>
  </conditionalFormatting>
  <conditionalFormatting sqref="E116">
    <cfRule type="cellIs" dxfId="14" priority="6" operator="between">
      <formula>-0.05</formula>
      <formula>0.05</formula>
    </cfRule>
  </conditionalFormatting>
  <conditionalFormatting sqref="E121">
    <cfRule type="cellIs" dxfId="13" priority="7" operator="between">
      <formula>-0.05</formula>
      <formula>0.05</formula>
    </cfRule>
  </conditionalFormatting>
  <conditionalFormatting sqref="E126">
    <cfRule type="cellIs" dxfId="12" priority="8" operator="between">
      <formula>-0.05</formula>
      <formula>0.05</formula>
    </cfRule>
  </conditionalFormatting>
  <conditionalFormatting sqref="E131">
    <cfRule type="cellIs" dxfId="11" priority="9" operator="between">
      <formula>-0.05</formula>
      <formula>0.05</formula>
    </cfRule>
  </conditionalFormatting>
  <conditionalFormatting sqref="E136">
    <cfRule type="cellIs" dxfId="10" priority="10" operator="between">
      <formula>-0.05</formula>
      <formula>0.05</formula>
    </cfRule>
  </conditionalFormatting>
  <conditionalFormatting sqref="E143">
    <cfRule type="cellIs" dxfId="9" priority="12" operator="between">
      <formula>-0.05</formula>
      <formula>0.05</formula>
    </cfRule>
  </conditionalFormatting>
  <conditionalFormatting sqref="H101 H106 H111 H116 H121 H126">
    <cfRule type="cellIs" dxfId="8" priority="38" operator="notBetween">
      <formula>-0.05</formula>
      <formula>0.05</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5" tint="0.39997558519241921"/>
  </sheetPr>
  <dimension ref="B2:O65"/>
  <sheetViews>
    <sheetView workbookViewId="0">
      <pane xSplit="3" ySplit="9" topLeftCell="D10" activePane="bottomRight" state="frozen"/>
      <selection pane="topRight" activeCell="D1" sqref="D1"/>
      <selection pane="bottomLeft" activeCell="A10" sqref="A10"/>
      <selection pane="bottomRight" activeCell="E63" sqref="E63"/>
    </sheetView>
  </sheetViews>
  <sheetFormatPr baseColWidth="10" defaultRowHeight="16" x14ac:dyDescent="0.2"/>
  <cols>
    <col min="1" max="1" width="10.83203125" style="2"/>
    <col min="2" max="2" width="18.5" style="2" customWidth="1"/>
    <col min="3" max="3" width="39.83203125" style="2" customWidth="1"/>
    <col min="4" max="10" width="20.83203125" style="2" customWidth="1"/>
    <col min="11" max="11" width="4.5" style="2" customWidth="1"/>
    <col min="12" max="12" width="15.33203125" style="2" customWidth="1"/>
    <col min="13" max="14" width="17.33203125" style="2" customWidth="1"/>
    <col min="15" max="15" width="7" style="2" customWidth="1"/>
    <col min="16" max="16384" width="10.83203125" style="2"/>
  </cols>
  <sheetData>
    <row r="2" spans="2:15" ht="21" x14ac:dyDescent="0.25">
      <c r="B2" s="20" t="s">
        <v>268</v>
      </c>
    </row>
    <row r="4" spans="2:15" x14ac:dyDescent="0.2">
      <c r="B4" s="3" t="s">
        <v>37</v>
      </c>
      <c r="C4" s="4"/>
      <c r="D4" s="4"/>
      <c r="E4" s="5"/>
    </row>
    <row r="5" spans="2:15" ht="16" customHeight="1" x14ac:dyDescent="0.2">
      <c r="B5" s="129" t="s">
        <v>719</v>
      </c>
      <c r="C5" s="10"/>
      <c r="D5" s="10"/>
      <c r="E5" s="11"/>
    </row>
    <row r="6" spans="2:15" ht="17" thickBot="1" x14ac:dyDescent="0.25"/>
    <row r="7" spans="2:15" x14ac:dyDescent="0.2">
      <c r="B7" s="64" t="s">
        <v>225</v>
      </c>
      <c r="C7" s="82"/>
      <c r="D7" s="82"/>
      <c r="E7" s="82"/>
      <c r="F7" s="82"/>
      <c r="G7" s="82"/>
      <c r="H7" s="82"/>
      <c r="I7" s="82"/>
      <c r="J7" s="82"/>
      <c r="K7" s="82"/>
      <c r="L7" s="82"/>
      <c r="M7" s="82"/>
      <c r="N7" s="82"/>
      <c r="O7" s="66"/>
    </row>
    <row r="8" spans="2:15" x14ac:dyDescent="0.2">
      <c r="B8" s="67"/>
      <c r="O8" s="68"/>
    </row>
    <row r="9" spans="2:15" ht="30" customHeight="1" x14ac:dyDescent="0.2">
      <c r="B9" s="90" t="s">
        <v>29</v>
      </c>
      <c r="C9" s="77" t="s">
        <v>259</v>
      </c>
      <c r="D9" s="27" t="s">
        <v>630</v>
      </c>
      <c r="E9" s="26" t="s">
        <v>631</v>
      </c>
      <c r="F9" s="94"/>
      <c r="G9" s="94"/>
      <c r="H9" s="26" t="s">
        <v>632</v>
      </c>
      <c r="I9" s="94"/>
      <c r="J9" s="94"/>
      <c r="K9" s="10"/>
      <c r="L9" s="173" t="s">
        <v>266</v>
      </c>
      <c r="M9" s="152" t="s">
        <v>371</v>
      </c>
      <c r="N9" s="152" t="s">
        <v>297</v>
      </c>
      <c r="O9" s="73"/>
    </row>
    <row r="10" spans="2:15" x14ac:dyDescent="0.2">
      <c r="B10" s="87" t="s">
        <v>382</v>
      </c>
      <c r="L10" s="14"/>
      <c r="O10" s="68"/>
    </row>
    <row r="11" spans="2:15" x14ac:dyDescent="0.2">
      <c r="B11" s="87"/>
      <c r="C11" t="s">
        <v>369</v>
      </c>
      <c r="D11" s="323">
        <f>'Main activity power plants'!D32</f>
        <v>0</v>
      </c>
      <c r="E11" s="323" t="e">
        <f>'Main activity power plants'!E32</f>
        <v>#DIV/0!</v>
      </c>
      <c r="F11" s="323"/>
      <c r="G11" s="323"/>
      <c r="H11" s="374" t="s">
        <v>652</v>
      </c>
      <c r="I11"/>
      <c r="J11"/>
      <c r="K11"/>
      <c r="L11" s="342">
        <f>Dashboard!E68</f>
        <v>0</v>
      </c>
      <c r="M11" s="324" t="e">
        <f>D11/kWh_MJ_conversion/L11*1000</f>
        <v>#DIV/0!</v>
      </c>
      <c r="N11" s="374" t="s">
        <v>652</v>
      </c>
      <c r="O11" s="68"/>
    </row>
    <row r="12" spans="2:15" x14ac:dyDescent="0.2">
      <c r="B12" s="67"/>
      <c r="C12" t="s">
        <v>345</v>
      </c>
      <c r="D12" s="323">
        <f>'Main activity power plants'!D35</f>
        <v>0</v>
      </c>
      <c r="E12" s="323" t="e">
        <f>'Main activity power plants'!E35</f>
        <v>#DIV/0!</v>
      </c>
      <c r="F12" s="323"/>
      <c r="G12" s="323"/>
      <c r="H12" s="374" t="s">
        <v>652</v>
      </c>
      <c r="I12"/>
      <c r="J12"/>
      <c r="K12"/>
      <c r="L12" s="342">
        <f>Dashboard!E69</f>
        <v>0</v>
      </c>
      <c r="M12" s="324" t="e">
        <f t="shared" ref="M12:M37" si="0">D12/kWh_MJ_conversion/L12*1000</f>
        <v>#DIV/0!</v>
      </c>
      <c r="N12" s="374" t="s">
        <v>652</v>
      </c>
      <c r="O12" s="68"/>
    </row>
    <row r="13" spans="2:15" x14ac:dyDescent="0.2">
      <c r="B13" s="67"/>
      <c r="C13" t="s">
        <v>346</v>
      </c>
      <c r="D13" s="323">
        <f>'Main activity power plants'!D38</f>
        <v>0</v>
      </c>
      <c r="E13" s="323" t="e">
        <f>'Main activity power plants'!E38</f>
        <v>#DIV/0!</v>
      </c>
      <c r="F13" s="323"/>
      <c r="G13" s="323"/>
      <c r="H13" s="374" t="s">
        <v>652</v>
      </c>
      <c r="I13"/>
      <c r="J13"/>
      <c r="K13"/>
      <c r="L13" s="342">
        <f>Dashboard!E70</f>
        <v>0</v>
      </c>
      <c r="M13" s="324" t="e">
        <f t="shared" si="0"/>
        <v>#DIV/0!</v>
      </c>
      <c r="N13" s="374" t="s">
        <v>652</v>
      </c>
      <c r="O13" s="68"/>
    </row>
    <row r="14" spans="2:15" x14ac:dyDescent="0.2">
      <c r="B14" s="67"/>
      <c r="C14" t="s">
        <v>347</v>
      </c>
      <c r="D14" s="323">
        <f>'Main activity power plants'!D41</f>
        <v>0</v>
      </c>
      <c r="E14" s="323" t="e">
        <f>'Main activity power plants'!E41</f>
        <v>#DIV/0!</v>
      </c>
      <c r="F14" s="323"/>
      <c r="G14" s="323"/>
      <c r="H14" s="374" t="s">
        <v>652</v>
      </c>
      <c r="I14"/>
      <c r="J14"/>
      <c r="K14"/>
      <c r="L14" s="342">
        <f>Dashboard!E71</f>
        <v>0</v>
      </c>
      <c r="M14" s="324" t="e">
        <f t="shared" si="0"/>
        <v>#DIV/0!</v>
      </c>
      <c r="N14" s="374" t="s">
        <v>652</v>
      </c>
      <c r="O14" s="68"/>
    </row>
    <row r="15" spans="2:15" x14ac:dyDescent="0.2">
      <c r="B15" s="67"/>
      <c r="C15" t="s">
        <v>348</v>
      </c>
      <c r="D15" s="323">
        <f>'Main activity power plants'!D44</f>
        <v>0</v>
      </c>
      <c r="E15" s="323" t="e">
        <f>'Main activity power plants'!E44</f>
        <v>#DIV/0!</v>
      </c>
      <c r="F15" s="323"/>
      <c r="G15" s="323"/>
      <c r="H15" s="374" t="s">
        <v>652</v>
      </c>
      <c r="I15"/>
      <c r="J15"/>
      <c r="K15"/>
      <c r="L15" s="342">
        <f>Dashboard!E72</f>
        <v>0</v>
      </c>
      <c r="M15" s="324" t="e">
        <f t="shared" si="0"/>
        <v>#DIV/0!</v>
      </c>
      <c r="N15" s="374" t="s">
        <v>652</v>
      </c>
      <c r="O15" s="68"/>
    </row>
    <row r="16" spans="2:15" x14ac:dyDescent="0.2">
      <c r="B16" s="67"/>
      <c r="C16" t="s">
        <v>349</v>
      </c>
      <c r="D16" s="323">
        <f>'Main activity power plants'!D47</f>
        <v>0</v>
      </c>
      <c r="E16" s="323" t="e">
        <f>'Main activity power plants'!E47</f>
        <v>#DIV/0!</v>
      </c>
      <c r="F16" s="323"/>
      <c r="G16" s="323"/>
      <c r="H16" s="374" t="s">
        <v>652</v>
      </c>
      <c r="I16"/>
      <c r="J16"/>
      <c r="K16"/>
      <c r="L16" s="342">
        <f>Dashboard!E73</f>
        <v>0</v>
      </c>
      <c r="M16" s="324" t="e">
        <f t="shared" si="0"/>
        <v>#DIV/0!</v>
      </c>
      <c r="N16" s="374" t="s">
        <v>652</v>
      </c>
      <c r="O16" s="68"/>
    </row>
    <row r="17" spans="2:15" customFormat="1" x14ac:dyDescent="0.2">
      <c r="B17" s="146"/>
      <c r="C17" t="s">
        <v>954</v>
      </c>
      <c r="D17" s="323">
        <f>'Main activity power plants'!D50</f>
        <v>0</v>
      </c>
      <c r="E17" s="323">
        <f>'Main activity power plants'!E50</f>
        <v>0</v>
      </c>
      <c r="F17" s="323"/>
      <c r="G17" s="323"/>
      <c r="H17" s="374" t="s">
        <v>652</v>
      </c>
      <c r="L17" s="342">
        <f>Dashboard!E75</f>
        <v>0</v>
      </c>
      <c r="M17" s="324" t="e">
        <f>D17/kWh_MJ_conversion/L17*1000</f>
        <v>#DIV/0!</v>
      </c>
      <c r="N17" s="374" t="s">
        <v>652</v>
      </c>
      <c r="O17" s="33"/>
    </row>
    <row r="18" spans="2:15" x14ac:dyDescent="0.2">
      <c r="B18" s="67"/>
      <c r="C18" t="s">
        <v>350</v>
      </c>
      <c r="D18" s="323">
        <f>'Main activity power plants'!D53</f>
        <v>0</v>
      </c>
      <c r="E18" s="323" t="e">
        <f>'Main activity power plants'!E53</f>
        <v>#DIV/0!</v>
      </c>
      <c r="F18" s="323"/>
      <c r="G18" s="323"/>
      <c r="H18" s="374" t="s">
        <v>652</v>
      </c>
      <c r="I18"/>
      <c r="J18"/>
      <c r="K18"/>
      <c r="L18" s="342">
        <f>Dashboard!E77</f>
        <v>0</v>
      </c>
      <c r="M18" s="324" t="e">
        <f t="shared" si="0"/>
        <v>#DIV/0!</v>
      </c>
      <c r="N18" s="374" t="s">
        <v>652</v>
      </c>
      <c r="O18" s="68"/>
    </row>
    <row r="19" spans="2:15" x14ac:dyDescent="0.2">
      <c r="B19" s="67"/>
      <c r="C19" t="s">
        <v>351</v>
      </c>
      <c r="D19" s="323">
        <f>'Main activity power plants'!D56</f>
        <v>0</v>
      </c>
      <c r="E19" s="323" t="e">
        <f>'Main activity power plants'!E56</f>
        <v>#DIV/0!</v>
      </c>
      <c r="F19" s="323"/>
      <c r="G19" s="323"/>
      <c r="H19" s="374" t="s">
        <v>652</v>
      </c>
      <c r="I19"/>
      <c r="J19"/>
      <c r="K19"/>
      <c r="L19" s="342">
        <f>Dashboard!E78</f>
        <v>0</v>
      </c>
      <c r="M19" s="324" t="e">
        <f t="shared" si="0"/>
        <v>#DIV/0!</v>
      </c>
      <c r="N19" s="374" t="s">
        <v>652</v>
      </c>
      <c r="O19" s="68"/>
    </row>
    <row r="20" spans="2:15" x14ac:dyDescent="0.2">
      <c r="B20" s="67"/>
      <c r="C20" t="s">
        <v>691</v>
      </c>
      <c r="D20" s="323">
        <f>'Main activity power plants'!D61</f>
        <v>0</v>
      </c>
      <c r="E20" s="323" t="e">
        <f>'Main activity power plants'!E61</f>
        <v>#DIV/0!</v>
      </c>
      <c r="F20" s="323"/>
      <c r="G20" s="323"/>
      <c r="H20" s="374" t="s">
        <v>652</v>
      </c>
      <c r="I20"/>
      <c r="J20"/>
      <c r="K20"/>
      <c r="L20" s="342">
        <f>Dashboard!E83</f>
        <v>0</v>
      </c>
      <c r="M20" s="324" t="e">
        <f t="shared" si="0"/>
        <v>#DIV/0!</v>
      </c>
      <c r="N20" s="374"/>
      <c r="O20" s="68"/>
    </row>
    <row r="21" spans="2:15" x14ac:dyDescent="0.2">
      <c r="B21" s="67"/>
      <c r="C21" t="s">
        <v>352</v>
      </c>
      <c r="D21" s="323">
        <f>'Main activity power plants'!D66</f>
        <v>0</v>
      </c>
      <c r="E21" s="323" t="e">
        <f>'Main activity power plants'!E66</f>
        <v>#DIV/0!</v>
      </c>
      <c r="F21" s="323"/>
      <c r="G21" s="323"/>
      <c r="H21" s="374" t="s">
        <v>652</v>
      </c>
      <c r="I21"/>
      <c r="J21"/>
      <c r="K21"/>
      <c r="L21" s="342">
        <f>Dashboard!E80</f>
        <v>0</v>
      </c>
      <c r="M21" s="324" t="e">
        <f t="shared" si="0"/>
        <v>#DIV/0!</v>
      </c>
      <c r="N21" s="374" t="s">
        <v>652</v>
      </c>
      <c r="O21" s="68"/>
    </row>
    <row r="22" spans="2:15" x14ac:dyDescent="0.2">
      <c r="B22" s="67"/>
      <c r="C22" t="s">
        <v>353</v>
      </c>
      <c r="D22" s="323">
        <f>'Main activity power plants'!D71</f>
        <v>0</v>
      </c>
      <c r="E22" s="323" t="e">
        <f>'Main activity power plants'!E71</f>
        <v>#DIV/0!</v>
      </c>
      <c r="F22" s="323"/>
      <c r="G22" s="323"/>
      <c r="H22" s="374" t="s">
        <v>652</v>
      </c>
      <c r="I22"/>
      <c r="J22"/>
      <c r="K22"/>
      <c r="L22" s="342">
        <f>Dashboard!E81</f>
        <v>0</v>
      </c>
      <c r="M22" s="324" t="e">
        <f t="shared" si="0"/>
        <v>#DIV/0!</v>
      </c>
      <c r="N22" s="374" t="s">
        <v>652</v>
      </c>
      <c r="O22" s="68"/>
    </row>
    <row r="23" spans="2:15" x14ac:dyDescent="0.2">
      <c r="B23" s="67"/>
      <c r="C23" t="s">
        <v>354</v>
      </c>
      <c r="D23" s="323">
        <f>'Main activity power plants'!D76</f>
        <v>0</v>
      </c>
      <c r="E23" s="323" t="e">
        <f>'Main activity power plants'!E76</f>
        <v>#DIV/0!</v>
      </c>
      <c r="F23" s="323"/>
      <c r="G23" s="323"/>
      <c r="H23" s="374" t="s">
        <v>652</v>
      </c>
      <c r="I23"/>
      <c r="J23"/>
      <c r="K23"/>
      <c r="L23" s="342">
        <f>Dashboard!E82</f>
        <v>0</v>
      </c>
      <c r="M23" s="324" t="e">
        <f t="shared" si="0"/>
        <v>#DIV/0!</v>
      </c>
      <c r="N23" s="374" t="s">
        <v>652</v>
      </c>
      <c r="O23" s="68"/>
    </row>
    <row r="24" spans="2:15" x14ac:dyDescent="0.2">
      <c r="B24" s="67"/>
      <c r="C24" t="s">
        <v>355</v>
      </c>
      <c r="D24" s="323">
        <f>'Main activity power plants'!D81</f>
        <v>0</v>
      </c>
      <c r="E24" s="323" t="e">
        <f>'Main activity power plants'!E81</f>
        <v>#DIV/0!</v>
      </c>
      <c r="F24" s="323"/>
      <c r="G24" s="323"/>
      <c r="H24" s="374" t="s">
        <v>652</v>
      </c>
      <c r="I24"/>
      <c r="J24"/>
      <c r="K24"/>
      <c r="L24" s="342">
        <f>Dashboard!E84</f>
        <v>0</v>
      </c>
      <c r="M24" s="324" t="e">
        <f t="shared" si="0"/>
        <v>#DIV/0!</v>
      </c>
      <c r="N24" s="374" t="s">
        <v>652</v>
      </c>
      <c r="O24" s="68"/>
    </row>
    <row r="25" spans="2:15" x14ac:dyDescent="0.2">
      <c r="B25" s="67"/>
      <c r="C25" t="s">
        <v>356</v>
      </c>
      <c r="D25" s="323">
        <f>'Main activity power plants'!D84</f>
        <v>0</v>
      </c>
      <c r="E25" s="323" t="e">
        <f>'Main activity power plants'!E84</f>
        <v>#DIV/0!</v>
      </c>
      <c r="F25" s="323"/>
      <c r="G25" s="323"/>
      <c r="H25" s="374" t="s">
        <v>652</v>
      </c>
      <c r="I25"/>
      <c r="J25"/>
      <c r="K25"/>
      <c r="L25" s="342">
        <f>Dashboard!E101</f>
        <v>0</v>
      </c>
      <c r="M25" s="324" t="e">
        <f t="shared" si="0"/>
        <v>#DIV/0!</v>
      </c>
      <c r="N25" s="374" t="s">
        <v>652</v>
      </c>
      <c r="O25" s="68"/>
    </row>
    <row r="26" spans="2:15" x14ac:dyDescent="0.2">
      <c r="B26" s="67"/>
      <c r="C26" t="s">
        <v>357</v>
      </c>
      <c r="D26" s="323">
        <f>'Main activity power plants'!D87</f>
        <v>0</v>
      </c>
      <c r="E26" s="323" t="e">
        <f>'Main activity power plants'!E87</f>
        <v>#DIV/0!</v>
      </c>
      <c r="F26" s="323"/>
      <c r="G26" s="323"/>
      <c r="H26" s="374" t="s">
        <v>652</v>
      </c>
      <c r="I26"/>
      <c r="J26"/>
      <c r="K26"/>
      <c r="L26" s="342">
        <f>Dashboard!E102</f>
        <v>0</v>
      </c>
      <c r="M26" s="324" t="e">
        <f t="shared" si="0"/>
        <v>#DIV/0!</v>
      </c>
      <c r="N26" s="374" t="s">
        <v>652</v>
      </c>
      <c r="O26" s="68"/>
    </row>
    <row r="27" spans="2:15" x14ac:dyDescent="0.2">
      <c r="B27" s="67"/>
      <c r="C27" t="s">
        <v>358</v>
      </c>
      <c r="D27" s="323">
        <f>'Main activity power plants'!D92</f>
        <v>0</v>
      </c>
      <c r="E27" s="323" t="e">
        <f>'Main activity power plants'!E92</f>
        <v>#DIV/0!</v>
      </c>
      <c r="F27" s="323"/>
      <c r="G27" s="323"/>
      <c r="H27" s="374" t="s">
        <v>652</v>
      </c>
      <c r="I27"/>
      <c r="J27"/>
      <c r="K27"/>
      <c r="L27" s="342">
        <f>Dashboard!E103</f>
        <v>0</v>
      </c>
      <c r="M27" s="324" t="e">
        <f t="shared" si="0"/>
        <v>#DIV/0!</v>
      </c>
      <c r="N27" s="374" t="s">
        <v>652</v>
      </c>
      <c r="O27" s="68"/>
    </row>
    <row r="28" spans="2:15" x14ac:dyDescent="0.2">
      <c r="B28" s="67"/>
      <c r="C28" t="s">
        <v>316</v>
      </c>
      <c r="D28" s="323">
        <f>'Main activity power plants'!D95</f>
        <v>0</v>
      </c>
      <c r="E28" s="323" t="e">
        <f>'Main activity power plants'!E95</f>
        <v>#DIV/0!</v>
      </c>
      <c r="F28" s="323"/>
      <c r="G28" s="323"/>
      <c r="H28" s="374" t="s">
        <v>652</v>
      </c>
      <c r="I28"/>
      <c r="J28"/>
      <c r="K28"/>
      <c r="L28" s="342">
        <f>Dashboard!E86</f>
        <v>0</v>
      </c>
      <c r="M28" s="324" t="e">
        <f t="shared" si="0"/>
        <v>#DIV/0!</v>
      </c>
      <c r="N28" s="374" t="s">
        <v>652</v>
      </c>
      <c r="O28" s="68"/>
    </row>
    <row r="29" spans="2:15" x14ac:dyDescent="0.2">
      <c r="B29" s="67"/>
      <c r="C29" t="s">
        <v>317</v>
      </c>
      <c r="D29" s="323">
        <f>'Main activity power plants'!D98</f>
        <v>0</v>
      </c>
      <c r="E29" s="323" t="e">
        <f>'Main activity power plants'!E98</f>
        <v>#DIV/0!</v>
      </c>
      <c r="F29" s="323"/>
      <c r="G29" s="323"/>
      <c r="H29" s="374" t="s">
        <v>652</v>
      </c>
      <c r="I29"/>
      <c r="J29"/>
      <c r="K29"/>
      <c r="L29" s="342">
        <f>Dashboard!E87</f>
        <v>0</v>
      </c>
      <c r="M29" s="324" t="e">
        <f t="shared" si="0"/>
        <v>#DIV/0!</v>
      </c>
      <c r="N29" s="374" t="s">
        <v>652</v>
      </c>
      <c r="O29" s="68"/>
    </row>
    <row r="30" spans="2:15" x14ac:dyDescent="0.2">
      <c r="B30" s="67"/>
      <c r="C30" t="s">
        <v>313</v>
      </c>
      <c r="D30" s="323">
        <f>'Main activity power plants'!D101</f>
        <v>0</v>
      </c>
      <c r="E30" s="323" t="e">
        <f>'Main activity power plants'!E101</f>
        <v>#DIV/0!</v>
      </c>
      <c r="F30" s="323"/>
      <c r="G30" s="323"/>
      <c r="H30" s="374" t="s">
        <v>652</v>
      </c>
      <c r="I30"/>
      <c r="J30"/>
      <c r="K30"/>
      <c r="L30" s="342">
        <f>Dashboard!E89</f>
        <v>0</v>
      </c>
      <c r="M30" s="324" t="e">
        <f t="shared" si="0"/>
        <v>#DIV/0!</v>
      </c>
      <c r="N30" s="374" t="s">
        <v>652</v>
      </c>
      <c r="O30" s="68"/>
    </row>
    <row r="31" spans="2:15" x14ac:dyDescent="0.2">
      <c r="B31" s="67"/>
      <c r="C31" t="s">
        <v>309</v>
      </c>
      <c r="D31" s="323">
        <f>'Main activity power plants'!D104</f>
        <v>0</v>
      </c>
      <c r="E31" s="323" t="e">
        <f>'Main activity power plants'!E104</f>
        <v>#DIV/0!</v>
      </c>
      <c r="F31" s="323"/>
      <c r="G31" s="323"/>
      <c r="H31" s="374" t="s">
        <v>652</v>
      </c>
      <c r="I31"/>
      <c r="J31"/>
      <c r="K31"/>
      <c r="L31" s="342">
        <f>Dashboard!E90</f>
        <v>0</v>
      </c>
      <c r="M31" s="324" t="e">
        <f t="shared" si="0"/>
        <v>#DIV/0!</v>
      </c>
      <c r="N31" s="374" t="s">
        <v>652</v>
      </c>
      <c r="O31" s="68"/>
    </row>
    <row r="32" spans="2:15" x14ac:dyDescent="0.2">
      <c r="B32" s="67"/>
      <c r="C32" t="s">
        <v>189</v>
      </c>
      <c r="D32" s="323">
        <f>'Main activity power plants'!D107</f>
        <v>0</v>
      </c>
      <c r="E32" s="323" t="e">
        <f>'Main activity power plants'!E107</f>
        <v>#DIV/0!</v>
      </c>
      <c r="F32" s="323"/>
      <c r="G32" s="323"/>
      <c r="H32" s="374" t="s">
        <v>652</v>
      </c>
      <c r="I32"/>
      <c r="J32"/>
      <c r="K32"/>
      <c r="L32" s="342">
        <f>Dashboard!E104</f>
        <v>0</v>
      </c>
      <c r="M32" s="324" t="e">
        <f t="shared" si="0"/>
        <v>#DIV/0!</v>
      </c>
      <c r="N32" s="374" t="s">
        <v>652</v>
      </c>
      <c r="O32" s="68"/>
    </row>
    <row r="33" spans="2:15" x14ac:dyDescent="0.2">
      <c r="B33" s="67"/>
      <c r="C33" t="s">
        <v>471</v>
      </c>
      <c r="D33" s="323">
        <f>'Main activity power plants'!D110</f>
        <v>0</v>
      </c>
      <c r="E33" s="323" t="e">
        <f>'Main activity power plants'!E110</f>
        <v>#DIV/0!</v>
      </c>
      <c r="F33" s="323"/>
      <c r="G33" s="323"/>
      <c r="H33" s="374" t="s">
        <v>652</v>
      </c>
      <c r="I33"/>
      <c r="J33"/>
      <c r="K33"/>
      <c r="L33" s="342">
        <f>Dashboard!E92</f>
        <v>0</v>
      </c>
      <c r="M33" s="324" t="e">
        <f t="shared" si="0"/>
        <v>#DIV/0!</v>
      </c>
      <c r="N33" s="374" t="s">
        <v>652</v>
      </c>
      <c r="O33" s="68"/>
    </row>
    <row r="34" spans="2:15" x14ac:dyDescent="0.2">
      <c r="B34" s="67"/>
      <c r="C34" t="s">
        <v>472</v>
      </c>
      <c r="D34" s="323">
        <f>'Main activity power plants'!D113</f>
        <v>0</v>
      </c>
      <c r="E34" s="323" t="e">
        <f>'Main activity power plants'!E113</f>
        <v>#DIV/0!</v>
      </c>
      <c r="F34" s="323"/>
      <c r="G34" s="323"/>
      <c r="H34" s="374" t="s">
        <v>652</v>
      </c>
      <c r="I34"/>
      <c r="J34"/>
      <c r="K34"/>
      <c r="L34" s="342">
        <f>Dashboard!E95</f>
        <v>0</v>
      </c>
      <c r="M34" s="324" t="e">
        <f t="shared" si="0"/>
        <v>#DIV/0!</v>
      </c>
      <c r="N34" s="374" t="s">
        <v>652</v>
      </c>
      <c r="O34" s="68"/>
    </row>
    <row r="35" spans="2:15" x14ac:dyDescent="0.2">
      <c r="B35" s="67"/>
      <c r="C35" t="s">
        <v>310</v>
      </c>
      <c r="D35" s="323">
        <f>'Main activity power plants'!D116</f>
        <v>0</v>
      </c>
      <c r="E35" s="323" t="e">
        <f>'Main activity power plants'!E116</f>
        <v>#DIV/0!</v>
      </c>
      <c r="F35" s="323"/>
      <c r="G35" s="323"/>
      <c r="H35" s="374" t="s">
        <v>652</v>
      </c>
      <c r="I35"/>
      <c r="J35"/>
      <c r="K35"/>
      <c r="L35" s="342">
        <f>Dashboard!E97</f>
        <v>0</v>
      </c>
      <c r="M35" s="324" t="e">
        <f t="shared" si="0"/>
        <v>#DIV/0!</v>
      </c>
      <c r="N35" s="374" t="s">
        <v>652</v>
      </c>
      <c r="O35" s="68"/>
    </row>
    <row r="36" spans="2:15" x14ac:dyDescent="0.2">
      <c r="B36" s="67"/>
      <c r="C36" t="s">
        <v>311</v>
      </c>
      <c r="D36" s="323">
        <f>'Main activity power plants'!D119</f>
        <v>0</v>
      </c>
      <c r="E36" s="323" t="e">
        <f>'Main activity power plants'!E119</f>
        <v>#DIV/0!</v>
      </c>
      <c r="F36" s="323"/>
      <c r="G36" s="323"/>
      <c r="H36" s="374" t="s">
        <v>652</v>
      </c>
      <c r="I36"/>
      <c r="J36"/>
      <c r="K36"/>
      <c r="L36" s="342">
        <f>Dashboard!E98</f>
        <v>0</v>
      </c>
      <c r="M36" s="324" t="e">
        <f t="shared" si="0"/>
        <v>#DIV/0!</v>
      </c>
      <c r="N36" s="374" t="s">
        <v>652</v>
      </c>
      <c r="O36" s="68"/>
    </row>
    <row r="37" spans="2:15" x14ac:dyDescent="0.2">
      <c r="B37" s="67"/>
      <c r="C37" t="s">
        <v>312</v>
      </c>
      <c r="D37" s="323">
        <f>'Main activity power plants'!D122</f>
        <v>0</v>
      </c>
      <c r="E37" s="323" t="e">
        <f>'Main activity power plants'!E122</f>
        <v>#DIV/0!</v>
      </c>
      <c r="F37" s="323"/>
      <c r="G37" s="323"/>
      <c r="H37" s="374" t="s">
        <v>652</v>
      </c>
      <c r="I37"/>
      <c r="J37"/>
      <c r="K37"/>
      <c r="L37" s="342">
        <f>Dashboard!E99</f>
        <v>0</v>
      </c>
      <c r="M37" s="324" t="e">
        <f t="shared" si="0"/>
        <v>#DIV/0!</v>
      </c>
      <c r="N37" s="374" t="s">
        <v>652</v>
      </c>
      <c r="O37" s="68"/>
    </row>
    <row r="38" spans="2:15" ht="17" thickBot="1" x14ac:dyDescent="0.25">
      <c r="B38" s="67"/>
      <c r="C38" s="193" t="s">
        <v>258</v>
      </c>
      <c r="D38" s="325">
        <f>SUM(D11:D37)</f>
        <v>0</v>
      </c>
      <c r="E38" s="325" t="e">
        <f>SUM(E11:E37)</f>
        <v>#DIV/0!</v>
      </c>
      <c r="F38" s="325"/>
      <c r="G38" s="325"/>
      <c r="H38" s="325"/>
      <c r="I38" s="193"/>
      <c r="J38" s="193"/>
      <c r="K38" s="193"/>
      <c r="L38" s="343"/>
      <c r="M38" s="334" t="e">
        <f>SUM(M11:M37)</f>
        <v>#DIV/0!</v>
      </c>
      <c r="N38" s="364"/>
      <c r="O38" s="68"/>
    </row>
    <row r="39" spans="2:15" ht="17" thickTop="1" x14ac:dyDescent="0.2">
      <c r="B39" s="67"/>
      <c r="C39"/>
      <c r="D39" s="323"/>
      <c r="E39" s="323"/>
      <c r="F39" s="323"/>
      <c r="G39" s="323"/>
      <c r="H39" s="323"/>
      <c r="I39"/>
      <c r="J39"/>
      <c r="K39"/>
      <c r="L39" s="342"/>
      <c r="M39" s="324"/>
      <c r="N39" s="158"/>
      <c r="O39" s="68"/>
    </row>
    <row r="40" spans="2:15" x14ac:dyDescent="0.2">
      <c r="B40" s="87" t="s">
        <v>62</v>
      </c>
      <c r="L40" s="14"/>
      <c r="O40" s="68"/>
    </row>
    <row r="41" spans="2:15" x14ac:dyDescent="0.2">
      <c r="B41" s="67"/>
      <c r="C41" t="s">
        <v>684</v>
      </c>
      <c r="D41" s="323" t="e">
        <f>'PV solar'!D14</f>
        <v>#DIV/0!</v>
      </c>
      <c r="E41" s="323" t="e">
        <f>'PV solar'!D15</f>
        <v>#DIV/0!</v>
      </c>
      <c r="F41" s="323"/>
      <c r="G41" s="323"/>
      <c r="H41" s="374"/>
      <c r="I41"/>
      <c r="J41"/>
      <c r="K41"/>
      <c r="L41" s="342">
        <f>Dashboard!E93</f>
        <v>0</v>
      </c>
      <c r="M41" s="324" t="e">
        <f>D41/kWh_MJ_conversion/L41*1000</f>
        <v>#DIV/0!</v>
      </c>
      <c r="N41" s="374" t="s">
        <v>652</v>
      </c>
      <c r="O41" s="68"/>
    </row>
    <row r="42" spans="2:15" x14ac:dyDescent="0.2">
      <c r="B42" s="67"/>
      <c r="C42" t="s">
        <v>685</v>
      </c>
      <c r="D42" s="323" t="e">
        <f>'PV solar'!D17</f>
        <v>#DIV/0!</v>
      </c>
      <c r="E42" s="323" t="e">
        <f>'PV solar'!D18</f>
        <v>#DIV/0!</v>
      </c>
      <c r="F42" s="323"/>
      <c r="G42" s="323"/>
      <c r="H42" s="374"/>
      <c r="I42"/>
      <c r="J42"/>
      <c r="K42"/>
      <c r="L42" s="342">
        <f>Dashboard!E94</f>
        <v>0</v>
      </c>
      <c r="M42" s="324" t="e">
        <f>D42/kWh_MJ_conversion/L42*1000</f>
        <v>#DIV/0!</v>
      </c>
      <c r="N42" s="374" t="s">
        <v>652</v>
      </c>
      <c r="O42" s="68"/>
    </row>
    <row r="43" spans="2:15" ht="17" thickBot="1" x14ac:dyDescent="0.25">
      <c r="B43" s="74"/>
      <c r="C43" s="75"/>
      <c r="D43" s="326"/>
      <c r="E43" s="326"/>
      <c r="F43" s="326"/>
      <c r="G43" s="326"/>
      <c r="H43" s="326"/>
      <c r="I43" s="75"/>
      <c r="J43" s="75"/>
      <c r="K43" s="75"/>
      <c r="L43" s="112"/>
      <c r="M43" s="365"/>
      <c r="N43" s="365"/>
      <c r="O43" s="76"/>
    </row>
    <row r="44" spans="2:15" x14ac:dyDescent="0.2">
      <c r="B44" s="87" t="s">
        <v>769</v>
      </c>
      <c r="C44" s="8"/>
      <c r="D44" s="327"/>
      <c r="E44" s="327"/>
      <c r="F44" s="327"/>
      <c r="G44" s="327"/>
      <c r="H44" s="327"/>
      <c r="L44" s="14"/>
      <c r="M44" s="172"/>
      <c r="N44" s="172"/>
      <c r="O44" s="68"/>
    </row>
    <row r="45" spans="2:15" x14ac:dyDescent="0.2">
      <c r="B45" s="87"/>
      <c r="C45" s="51" t="s">
        <v>276</v>
      </c>
      <c r="D45" s="374" t="s">
        <v>652</v>
      </c>
      <c r="E45" s="323" t="e">
        <f>'Main activity heat plants'!E14</f>
        <v>#DIV/0!</v>
      </c>
      <c r="F45" s="323"/>
      <c r="G45" s="323"/>
      <c r="H45" s="323">
        <f>'Main activity heat plants'!H14</f>
        <v>0</v>
      </c>
      <c r="I45"/>
      <c r="J45"/>
      <c r="K45"/>
      <c r="L45" s="342">
        <f>Dashboard!E134</f>
        <v>2190</v>
      </c>
      <c r="M45" s="374" t="s">
        <v>652</v>
      </c>
      <c r="N45" s="324">
        <f t="shared" ref="N45:N49" si="1">H45/kWh_MJ_conversion/L45*1000</f>
        <v>0</v>
      </c>
      <c r="O45" s="68"/>
    </row>
    <row r="46" spans="2:15" x14ac:dyDescent="0.2">
      <c r="B46" s="87"/>
      <c r="C46" s="51" t="s">
        <v>278</v>
      </c>
      <c r="D46" s="374" t="s">
        <v>652</v>
      </c>
      <c r="E46" s="323" t="e">
        <f>'Main activity heat plants'!E23*Dashboard!E183</f>
        <v>#DIV/0!</v>
      </c>
      <c r="F46" s="323"/>
      <c r="G46" s="323"/>
      <c r="H46" s="323" t="e">
        <f>E46*all_technical_specs!G44</f>
        <v>#DIV/0!</v>
      </c>
      <c r="I46"/>
      <c r="J46"/>
      <c r="K46"/>
      <c r="L46" s="342">
        <f>Dashboard!E136</f>
        <v>2190</v>
      </c>
      <c r="M46" s="374" t="s">
        <v>652</v>
      </c>
      <c r="N46" s="324" t="e">
        <f t="shared" si="1"/>
        <v>#DIV/0!</v>
      </c>
      <c r="O46" s="68"/>
    </row>
    <row r="47" spans="2:15" x14ac:dyDescent="0.2">
      <c r="B47" s="87"/>
      <c r="C47" s="51" t="s">
        <v>279</v>
      </c>
      <c r="D47" s="374" t="s">
        <v>652</v>
      </c>
      <c r="E47" s="323" t="e">
        <f>'Main activity heat plants'!E29</f>
        <v>#DIV/0!</v>
      </c>
      <c r="F47" s="323"/>
      <c r="G47" s="323"/>
      <c r="H47" s="323">
        <f>'Main activity heat plants'!H29</f>
        <v>0</v>
      </c>
      <c r="I47"/>
      <c r="J47"/>
      <c r="K47"/>
      <c r="L47" s="342">
        <f>Dashboard!E137</f>
        <v>2190</v>
      </c>
      <c r="M47" s="374" t="s">
        <v>652</v>
      </c>
      <c r="N47" s="324">
        <f t="shared" si="1"/>
        <v>0</v>
      </c>
      <c r="O47" s="68"/>
    </row>
    <row r="48" spans="2:15" x14ac:dyDescent="0.2">
      <c r="B48" s="87"/>
      <c r="C48" s="51" t="s">
        <v>288</v>
      </c>
      <c r="D48" s="374" t="s">
        <v>652</v>
      </c>
      <c r="E48" s="323" t="e">
        <f>'Main activity heat plants'!E36</f>
        <v>#DIV/0!</v>
      </c>
      <c r="F48" s="323"/>
      <c r="G48" s="323"/>
      <c r="H48" s="323">
        <f>'Main activity heat plants'!H36</f>
        <v>0</v>
      </c>
      <c r="I48"/>
      <c r="J48"/>
      <c r="K48"/>
      <c r="L48" s="342">
        <f>Dashboard!E138</f>
        <v>2190</v>
      </c>
      <c r="M48" s="374" t="s">
        <v>652</v>
      </c>
      <c r="N48" s="324">
        <f t="shared" si="1"/>
        <v>0</v>
      </c>
      <c r="O48" s="68"/>
    </row>
    <row r="49" spans="2:15" x14ac:dyDescent="0.2">
      <c r="B49" s="87"/>
      <c r="C49" s="51" t="s">
        <v>283</v>
      </c>
      <c r="D49" s="374" t="s">
        <v>652</v>
      </c>
      <c r="E49" s="323" t="e">
        <f>'Main activity heat plants'!E39</f>
        <v>#DIV/0!</v>
      </c>
      <c r="F49" s="323"/>
      <c r="G49" s="323"/>
      <c r="H49" s="323">
        <f>'Main activity heat plants'!H39</f>
        <v>0</v>
      </c>
      <c r="I49"/>
      <c r="J49"/>
      <c r="K49"/>
      <c r="L49" s="342">
        <f>Dashboard!E139</f>
        <v>2190</v>
      </c>
      <c r="M49" s="374" t="s">
        <v>652</v>
      </c>
      <c r="N49" s="324">
        <f t="shared" si="1"/>
        <v>0</v>
      </c>
      <c r="O49" s="68"/>
    </row>
    <row r="50" spans="2:15" ht="17" thickBot="1" x14ac:dyDescent="0.25">
      <c r="B50" s="87"/>
      <c r="C50" s="116" t="s">
        <v>258</v>
      </c>
      <c r="D50" s="325"/>
      <c r="E50" s="325" t="e">
        <f>SUM(E45:E49)</f>
        <v>#DIV/0!</v>
      </c>
      <c r="F50" s="325"/>
      <c r="G50" s="325"/>
      <c r="H50" s="325" t="e">
        <f>SUM(H45:H49)</f>
        <v>#DIV/0!</v>
      </c>
      <c r="I50" s="193"/>
      <c r="J50" s="193"/>
      <c r="K50" s="193"/>
      <c r="L50" s="175"/>
      <c r="M50" s="364"/>
      <c r="N50" s="334" t="e">
        <f>SUM(N45:N49)</f>
        <v>#DIV/0!</v>
      </c>
      <c r="O50" s="68"/>
    </row>
    <row r="51" spans="2:15" ht="17" thickTop="1" x14ac:dyDescent="0.2">
      <c r="B51" s="87"/>
      <c r="C51" s="51"/>
      <c r="D51" s="323"/>
      <c r="E51" s="323"/>
      <c r="F51" s="323"/>
      <c r="G51" s="323"/>
      <c r="H51" s="323"/>
      <c r="I51"/>
      <c r="J51"/>
      <c r="K51"/>
      <c r="L51" s="54"/>
      <c r="M51" s="158"/>
      <c r="N51" s="324"/>
      <c r="O51" s="68"/>
    </row>
    <row r="52" spans="2:15" x14ac:dyDescent="0.2">
      <c r="B52" s="87" t="s">
        <v>770</v>
      </c>
      <c r="C52" s="51"/>
      <c r="D52" s="323"/>
      <c r="E52" s="323"/>
      <c r="F52" s="323"/>
      <c r="G52" s="323"/>
      <c r="H52" s="323"/>
      <c r="I52"/>
      <c r="J52"/>
      <c r="K52"/>
      <c r="L52" s="54"/>
      <c r="M52" s="158"/>
      <c r="N52" s="324"/>
      <c r="O52" s="68"/>
    </row>
    <row r="53" spans="2:15" x14ac:dyDescent="0.2">
      <c r="B53" s="87"/>
      <c r="C53" s="51" t="s">
        <v>276</v>
      </c>
      <c r="D53" s="374" t="s">
        <v>652</v>
      </c>
      <c r="E53" s="323" t="e">
        <f>'Main activity heat plants'!E15</f>
        <v>#DIV/0!</v>
      </c>
      <c r="F53" s="323"/>
      <c r="G53" s="323"/>
      <c r="H53" s="323">
        <f>'Main activity heat plants'!H15</f>
        <v>0</v>
      </c>
      <c r="I53"/>
      <c r="J53"/>
      <c r="K53"/>
      <c r="L53" s="54">
        <f>Dashboard!E134</f>
        <v>2190</v>
      </c>
      <c r="M53" s="374" t="s">
        <v>652</v>
      </c>
      <c r="N53" s="324">
        <f t="shared" ref="N53:N55" si="2">H53/kWh_MJ_conversion/L53*1000</f>
        <v>0</v>
      </c>
      <c r="O53" s="68"/>
    </row>
    <row r="54" spans="2:15" x14ac:dyDescent="0.2">
      <c r="B54" s="87"/>
      <c r="C54" s="51" t="s">
        <v>277</v>
      </c>
      <c r="D54" s="374" t="s">
        <v>652</v>
      </c>
      <c r="E54" s="323" t="e">
        <f>'Main activity heat plants'!E18</f>
        <v>#DIV/0!</v>
      </c>
      <c r="F54" s="323"/>
      <c r="G54" s="323"/>
      <c r="H54" s="323">
        <f>'Main activity heat plants'!H18</f>
        <v>0</v>
      </c>
      <c r="I54"/>
      <c r="J54"/>
      <c r="K54"/>
      <c r="L54" s="54">
        <f>Dashboard!E135</f>
        <v>2190</v>
      </c>
      <c r="M54" s="374" t="s">
        <v>652</v>
      </c>
      <c r="N54" s="324">
        <f t="shared" si="2"/>
        <v>0</v>
      </c>
      <c r="O54" s="68"/>
    </row>
    <row r="55" spans="2:15" x14ac:dyDescent="0.2">
      <c r="B55" s="87"/>
      <c r="C55" s="51" t="s">
        <v>279</v>
      </c>
      <c r="D55" s="374" t="s">
        <v>652</v>
      </c>
      <c r="E55" s="323" t="e">
        <f>'Main activity heat plants'!E30</f>
        <v>#DIV/0!</v>
      </c>
      <c r="F55" s="323"/>
      <c r="G55" s="323"/>
      <c r="H55" s="323">
        <f>'Main activity heat plants'!H30</f>
        <v>0</v>
      </c>
      <c r="I55"/>
      <c r="J55"/>
      <c r="K55"/>
      <c r="L55" s="54">
        <f>Dashboard!E137</f>
        <v>2190</v>
      </c>
      <c r="M55" s="374" t="s">
        <v>652</v>
      </c>
      <c r="N55" s="324">
        <f t="shared" si="2"/>
        <v>0</v>
      </c>
      <c r="O55" s="68"/>
    </row>
    <row r="56" spans="2:15" x14ac:dyDescent="0.2">
      <c r="B56" s="87"/>
      <c r="C56" s="51" t="s">
        <v>278</v>
      </c>
      <c r="D56" s="374"/>
      <c r="E56" s="323" t="e">
        <f>'Main activity heat plants'!E23*Dashboard!E184</f>
        <v>#DIV/0!</v>
      </c>
      <c r="F56" s="323"/>
      <c r="G56" s="323"/>
      <c r="H56" s="323"/>
      <c r="I56"/>
      <c r="J56"/>
      <c r="K56"/>
      <c r="L56" s="54"/>
      <c r="M56" s="374"/>
      <c r="N56" s="324"/>
      <c r="O56" s="68"/>
    </row>
    <row r="57" spans="2:15" x14ac:dyDescent="0.2">
      <c r="B57" s="87"/>
      <c r="C57" s="51"/>
      <c r="D57" s="374"/>
      <c r="E57" s="323"/>
      <c r="F57" s="323"/>
      <c r="G57" s="323"/>
      <c r="H57" s="323"/>
      <c r="I57"/>
      <c r="J57"/>
      <c r="K57"/>
      <c r="L57" s="54"/>
      <c r="M57" s="374"/>
      <c r="N57" s="324"/>
      <c r="O57" s="68"/>
    </row>
    <row r="58" spans="2:15" x14ac:dyDescent="0.2">
      <c r="B58" s="87" t="s">
        <v>806</v>
      </c>
      <c r="C58" s="51"/>
      <c r="D58" s="374"/>
      <c r="E58" s="323"/>
      <c r="F58" s="323"/>
      <c r="G58" s="323"/>
      <c r="H58" s="323"/>
      <c r="I58"/>
      <c r="J58"/>
      <c r="K58"/>
      <c r="L58" s="54"/>
      <c r="M58" s="374"/>
      <c r="N58" s="324"/>
      <c r="O58" s="68"/>
    </row>
    <row r="59" spans="2:15" x14ac:dyDescent="0.2">
      <c r="B59" s="87"/>
      <c r="C59" s="51" t="s">
        <v>807</v>
      </c>
      <c r="D59" s="323" t="e">
        <f>E59*all_technical_specs!F61</f>
        <v>#DIV/0!</v>
      </c>
      <c r="E59" s="323" t="e">
        <f>Dashboard!E172*Dashboard!E173/all_technical_specs!G61</f>
        <v>#DIV/0!</v>
      </c>
      <c r="F59" s="323"/>
      <c r="G59" s="323"/>
      <c r="H59" s="323" t="e">
        <f>E59*all_technical_specs!G61</f>
        <v>#DIV/0!</v>
      </c>
      <c r="I59"/>
      <c r="J59"/>
      <c r="K59"/>
      <c r="L59" s="54">
        <f>'Production table step 1'!C11</f>
        <v>0</v>
      </c>
      <c r="M59" s="324" t="e">
        <f t="shared" ref="M59:M60" si="3">D59/kWh_MJ_conversion/L59*1000</f>
        <v>#DIV/0!</v>
      </c>
      <c r="N59" s="324" t="e">
        <f t="shared" ref="N59:N60" si="4">H59/kWh_MJ_conversion/L59*1000</f>
        <v>#DIV/0!</v>
      </c>
      <c r="O59" s="68"/>
    </row>
    <row r="60" spans="2:15" x14ac:dyDescent="0.2">
      <c r="B60" s="87"/>
      <c r="C60" s="51" t="s">
        <v>808</v>
      </c>
      <c r="D60" s="323" t="e">
        <f>E60*all_technical_specs!F53</f>
        <v>#DIV/0!</v>
      </c>
      <c r="E60" s="323" t="e">
        <f>Dashboard!E172*Dashboard!E174/all_technical_specs!G53</f>
        <v>#DIV/0!</v>
      </c>
      <c r="F60" s="323"/>
      <c r="G60" s="323"/>
      <c r="H60" s="323" t="e">
        <f>E60*all_technical_specs!G53</f>
        <v>#DIV/0!</v>
      </c>
      <c r="I60"/>
      <c r="J60"/>
      <c r="K60"/>
      <c r="L60" s="342">
        <f>IFERROR(H60/Dashboard!E191/0.0036,Dashboard!E194)</f>
        <v>0</v>
      </c>
      <c r="M60" s="324" t="e">
        <f t="shared" si="3"/>
        <v>#DIV/0!</v>
      </c>
      <c r="N60" s="324" t="e">
        <f t="shared" si="4"/>
        <v>#DIV/0!</v>
      </c>
      <c r="O60" s="68"/>
    </row>
    <row r="61" spans="2:15" x14ac:dyDescent="0.2">
      <c r="B61" s="87"/>
      <c r="C61" s="51"/>
      <c r="D61" s="323"/>
      <c r="E61" s="323"/>
      <c r="F61" s="323"/>
      <c r="G61" s="323"/>
      <c r="H61" s="323"/>
      <c r="I61"/>
      <c r="J61"/>
      <c r="K61"/>
      <c r="L61" s="342"/>
      <c r="M61" s="324"/>
      <c r="N61" s="324"/>
      <c r="O61" s="68"/>
    </row>
    <row r="62" spans="2:15" x14ac:dyDescent="0.2">
      <c r="B62" s="87" t="s">
        <v>993</v>
      </c>
      <c r="C62" s="51"/>
      <c r="D62" s="323"/>
      <c r="E62" s="323"/>
      <c r="F62" s="323"/>
      <c r="G62" s="323"/>
      <c r="H62" s="323"/>
      <c r="I62"/>
      <c r="J62"/>
      <c r="K62"/>
      <c r="L62" s="342"/>
      <c r="M62" s="324"/>
      <c r="N62" s="324"/>
      <c r="O62" s="68"/>
    </row>
    <row r="63" spans="2:15" x14ac:dyDescent="0.2">
      <c r="B63" s="87"/>
      <c r="C63" s="51" t="s">
        <v>994</v>
      </c>
      <c r="D63" s="323" t="e">
        <f>E63*all_technical_specs!F62</f>
        <v>#DIV/0!</v>
      </c>
      <c r="E63" s="323" t="e">
        <f>Dashboard!E177*Dashboard!E178/all_technical_specs!G62</f>
        <v>#DIV/0!</v>
      </c>
      <c r="F63" s="323"/>
      <c r="G63" s="323"/>
      <c r="H63" s="323" t="e">
        <f>E63*all_technical_specs!G62</f>
        <v>#DIV/0!</v>
      </c>
      <c r="I63"/>
      <c r="J63"/>
      <c r="K63"/>
      <c r="L63" s="342">
        <f>'Production table step 1'!C2</f>
        <v>0</v>
      </c>
      <c r="M63" s="324" t="e">
        <f>D63/kWh_MJ_conversion/L63*1000</f>
        <v>#DIV/0!</v>
      </c>
      <c r="N63" s="324" t="e">
        <f>H63/kWh_MJ_conversion/L63*1000</f>
        <v>#DIV/0!</v>
      </c>
      <c r="O63" s="68"/>
    </row>
    <row r="64" spans="2:15" x14ac:dyDescent="0.2">
      <c r="B64" s="87"/>
      <c r="C64" s="51" t="s">
        <v>995</v>
      </c>
      <c r="D64" s="323" t="e">
        <f>E64*all_technical_specs!F54</f>
        <v>#DIV/0!</v>
      </c>
      <c r="E64" s="323" t="e">
        <f>Dashboard!E177*Dashboard!E179/all_technical_specs!G54</f>
        <v>#DIV/0!</v>
      </c>
      <c r="F64" s="323"/>
      <c r="G64" s="323"/>
      <c r="H64" s="323" t="e">
        <f>E64*all_technical_specs!G54</f>
        <v>#DIV/0!</v>
      </c>
      <c r="I64"/>
      <c r="J64"/>
      <c r="K64"/>
      <c r="L64" s="342">
        <f>IFERROR(H64/Dashboard!E203/0.0036,Dashboard!E206)</f>
        <v>0</v>
      </c>
      <c r="M64" s="324" t="e">
        <f>D64/kWh_MJ_conversion/L64*1000</f>
        <v>#DIV/0!</v>
      </c>
      <c r="N64" s="324" t="e">
        <f>H64/kWh_MJ_conversion/L64*1000</f>
        <v>#DIV/0!</v>
      </c>
      <c r="O64" s="68"/>
    </row>
    <row r="65" spans="2:15" ht="17" thickBot="1" x14ac:dyDescent="0.25">
      <c r="B65" s="104"/>
      <c r="C65" s="85"/>
      <c r="D65" s="35"/>
      <c r="E65" s="35"/>
      <c r="F65" s="35"/>
      <c r="G65" s="35"/>
      <c r="H65" s="35"/>
      <c r="I65" s="35"/>
      <c r="J65" s="35"/>
      <c r="K65" s="35"/>
      <c r="L65" s="93"/>
      <c r="M65" s="35"/>
      <c r="N65" s="35"/>
      <c r="O65" s="7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5" tint="0.39997558519241921"/>
  </sheetPr>
  <dimension ref="B2:W25"/>
  <sheetViews>
    <sheetView workbookViewId="0">
      <pane xSplit="4" topLeftCell="E1" activePane="topRight" state="frozen"/>
      <selection pane="topRight" activeCell="F10" sqref="F10"/>
    </sheetView>
  </sheetViews>
  <sheetFormatPr baseColWidth="10" defaultRowHeight="16" x14ac:dyDescent="0.2"/>
  <cols>
    <col min="1" max="1" width="6.83203125" style="2" customWidth="1"/>
    <col min="2" max="2" width="21.83203125" style="2" customWidth="1"/>
    <col min="3" max="3" width="3.83203125" style="2" customWidth="1"/>
    <col min="4" max="4" width="32.33203125" style="2" customWidth="1"/>
    <col min="5" max="10" width="14.83203125" style="2" customWidth="1"/>
    <col min="11" max="11" width="17.1640625" style="2" customWidth="1"/>
    <col min="12" max="22" width="13.83203125" style="2" customWidth="1"/>
    <col min="23" max="16384" width="10.83203125" style="2"/>
  </cols>
  <sheetData>
    <row r="2" spans="2:23" ht="21" x14ac:dyDescent="0.25">
      <c r="B2" s="20" t="s">
        <v>208</v>
      </c>
    </row>
    <row r="4" spans="2:23" x14ac:dyDescent="0.2">
      <c r="B4" s="3" t="s">
        <v>37</v>
      </c>
      <c r="C4" s="4"/>
      <c r="D4" s="4"/>
      <c r="E4" s="5"/>
      <c r="H4"/>
    </row>
    <row r="5" spans="2:23" ht="36" customHeight="1" x14ac:dyDescent="0.2">
      <c r="B5" s="619" t="s">
        <v>487</v>
      </c>
      <c r="C5" s="620"/>
      <c r="D5" s="620"/>
      <c r="E5" s="621"/>
      <c r="F5" s="297"/>
    </row>
    <row r="6" spans="2:23" ht="17" thickBot="1" x14ac:dyDescent="0.25"/>
    <row r="7" spans="2:23" x14ac:dyDescent="0.2">
      <c r="B7" s="64" t="s">
        <v>208</v>
      </c>
      <c r="C7" s="82"/>
      <c r="D7" s="107"/>
      <c r="E7" s="108" t="s">
        <v>40</v>
      </c>
      <c r="F7" s="108" t="s">
        <v>953</v>
      </c>
      <c r="G7" s="108" t="s">
        <v>140</v>
      </c>
      <c r="H7" s="108" t="s">
        <v>41</v>
      </c>
      <c r="I7" s="108" t="s">
        <v>42</v>
      </c>
      <c r="J7" s="108" t="s">
        <v>221</v>
      </c>
      <c r="K7" s="108" t="s">
        <v>222</v>
      </c>
      <c r="L7" s="108" t="s">
        <v>43</v>
      </c>
      <c r="M7" s="108" t="s">
        <v>44</v>
      </c>
      <c r="N7" s="108" t="s">
        <v>201</v>
      </c>
      <c r="O7" s="108" t="s">
        <v>187</v>
      </c>
      <c r="P7" s="108" t="s">
        <v>188</v>
      </c>
      <c r="Q7" s="108" t="s">
        <v>189</v>
      </c>
      <c r="R7" s="108" t="s">
        <v>451</v>
      </c>
      <c r="S7" s="108" t="s">
        <v>113</v>
      </c>
      <c r="T7" s="108" t="s">
        <v>195</v>
      </c>
      <c r="U7" s="108" t="s">
        <v>196</v>
      </c>
      <c r="V7" s="277" t="s">
        <v>197</v>
      </c>
    </row>
    <row r="8" spans="2:23" x14ac:dyDescent="0.2">
      <c r="B8" s="69" t="s">
        <v>513</v>
      </c>
      <c r="D8" s="53" t="s">
        <v>215</v>
      </c>
      <c r="E8" s="328" t="e">
        <f>SUM('Corrected energy balance step 2'!C15:H15,'Corrected energy balance step 2'!J15:N15,'Corrected energy balance step 2'!S15)-SUM('Corrected energy balance step 1'!C15:H15,'Corrected energy balance step 1'!J15:N15,'Corrected energy balance step 1'!S15)</f>
        <v>#DIV/0!</v>
      </c>
      <c r="F8" s="328">
        <f>SUM('Corrected energy balance step 2'!O15:R15)-SUM('Corrected energy balance step 1'!O15:R15)</f>
        <v>0</v>
      </c>
      <c r="G8" s="328" t="e">
        <f>'Corrected energy balance step 2'!I15-'Corrected energy balance step 1'!I15</f>
        <v>#DIV/0!</v>
      </c>
      <c r="H8" s="328" t="e">
        <f>'Corrected energy balance step 2'!T15-'Corrected energy balance step 1'!T15</f>
        <v>#DIV/0!</v>
      </c>
      <c r="I8" s="328" t="e">
        <f>SUM('Corrected energy balance step 2'!U15:AQ15)-SUM('Corrected energy balance step 1'!U15:AQ15)</f>
        <v>#DIV/0!</v>
      </c>
      <c r="J8" s="328" t="e">
        <f>'Corrected energy balance step 2'!AS15-'Corrected energy balance step 1'!AS15</f>
        <v>#DIV/0!</v>
      </c>
      <c r="K8" s="328" t="e">
        <f>SUM('Corrected energy balance step 2'!AR15,'Corrected energy balance step 2'!AT15)-SUM('Corrected energy balance step 1'!AR15,'Corrected energy balance step 1'!AT15)</f>
        <v>#DIV/0!</v>
      </c>
      <c r="L8" s="328" t="e">
        <f>'Corrected energy balance step 2'!AV15-'Corrected energy balance step 1'!AV15</f>
        <v>#DIV/0!</v>
      </c>
      <c r="M8" s="328">
        <f>SUM('Corrected energy balance step 2'!AW15:AY15)-SUM('Corrected energy balance step 1'!AW15:AY15)</f>
        <v>0</v>
      </c>
      <c r="N8" s="328" t="e">
        <f>SUM('Corrected energy balance step 2'!AU15,'Corrected energy balance step 2'!AZ15)-SUM('Corrected energy balance step 1'!AU15,'Corrected energy balance step 1'!AZ15)</f>
        <v>#DIV/0!</v>
      </c>
      <c r="O8" s="328" t="e">
        <f>'Corrected energy balance step 2'!BD15-'Corrected energy balance step 1'!BD15</f>
        <v>#DIV/0!</v>
      </c>
      <c r="P8" s="328">
        <f>'Corrected energy balance step 2'!BE15-'Corrected energy balance step 1'!BE15</f>
        <v>0</v>
      </c>
      <c r="Q8" s="328" t="e">
        <f>'Corrected energy balance step 2'!BF15-'Corrected energy balance step 1'!BF15</f>
        <v>#DIV/0!</v>
      </c>
      <c r="R8" s="328">
        <f>'Corrected energy balance step 2'!BG15-'Corrected energy balance step 1'!BG15</f>
        <v>0</v>
      </c>
      <c r="S8" s="328" t="e">
        <f>SUM('Corrected energy balance step 2'!BA15:BC15,'Corrected energy balance step 2'!BH15:BI15,'Corrected energy balance step 2'!BK15)-SUM('Corrected energy balance step 1'!BA15:BC15,'Corrected energy balance step 1'!BH15:BI15,'Corrected energy balance step 1'!BK15)</f>
        <v>#DIV/0!</v>
      </c>
      <c r="T8" s="328">
        <f>'Corrected energy balance step 2'!BL15-'Corrected energy balance step 1'!BL15</f>
        <v>0</v>
      </c>
      <c r="U8" s="328">
        <f>'Corrected energy balance step 2'!BM15-'Corrected energy balance step 1'!BM15</f>
        <v>0</v>
      </c>
      <c r="V8" s="329" t="e">
        <f>'Corrected energy balance step 2'!BN15-'Corrected energy balance step 1'!BN15</f>
        <v>#DIV/0!</v>
      </c>
    </row>
    <row r="9" spans="2:23" x14ac:dyDescent="0.2">
      <c r="B9" s="67"/>
      <c r="D9" s="51" t="s">
        <v>452</v>
      </c>
      <c r="E9" s="323" t="e">
        <f>SUM('Corrected energy balance step 2'!C19:H19,'Corrected energy balance step 2'!J19:N19,'Corrected energy balance step 2'!S19)-SUM('Corrected energy balance step 1'!C19:H19,'Corrected energy balance step 1'!J19:N19,'Corrected energy balance step 1'!S19)</f>
        <v>#DIV/0!</v>
      </c>
      <c r="F9" s="323">
        <f>SUM('Corrected energy balance step 2'!O19:R19)-SUM('Corrected energy balance step 1'!O19:R19)</f>
        <v>0</v>
      </c>
      <c r="G9" s="323" t="e">
        <f>'Corrected energy balance step 2'!I19-'Corrected energy balance step 1'!I19</f>
        <v>#DIV/0!</v>
      </c>
      <c r="H9" s="323" t="e">
        <f>'Corrected energy balance step 2'!T19-'Corrected energy balance step 1'!T19</f>
        <v>#DIV/0!</v>
      </c>
      <c r="I9" s="323" t="e">
        <f>SUM('Corrected energy balance step 2'!U19:AQ19)-SUM('Corrected energy balance step 1'!U19:AQ19)</f>
        <v>#DIV/0!</v>
      </c>
      <c r="J9" s="323" t="e">
        <f>'Corrected energy balance step 2'!AS19-'Corrected energy balance step 1'!AS19</f>
        <v>#DIV/0!</v>
      </c>
      <c r="K9" s="323" t="e">
        <f>SUM('Corrected energy balance step 2'!AR19,'Corrected energy balance step 2'!AT19)-SUM('Corrected energy balance step 1'!AR19,'Corrected energy balance step 1'!AT19)</f>
        <v>#DIV/0!</v>
      </c>
      <c r="L9" s="323" t="e">
        <f>'Corrected energy balance step 2'!AV19-'Corrected energy balance step 1'!AV19</f>
        <v>#DIV/0!</v>
      </c>
      <c r="M9" s="323">
        <f>SUM('Corrected energy balance step 2'!AW19:AY19)-SUM('Corrected energy balance step 1'!AW19:AY19)</f>
        <v>0</v>
      </c>
      <c r="N9" s="323" t="e">
        <f>SUM('Corrected energy balance step 2'!AU19,'Corrected energy balance step 2'!AZ19)-SUM('Corrected energy balance step 1'!AU19,'Corrected energy balance step 1'!AZ19)</f>
        <v>#DIV/0!</v>
      </c>
      <c r="O9" s="323" t="e">
        <f>'Corrected energy balance step 2'!BD19-'Corrected energy balance step 1'!BD19</f>
        <v>#DIV/0!</v>
      </c>
      <c r="P9" s="323">
        <f>'Corrected energy balance step 2'!BE19-'Corrected energy balance step 1'!BE19</f>
        <v>0</v>
      </c>
      <c r="Q9" s="323" t="e">
        <f>'Corrected energy balance step 2'!BF19-'Corrected energy balance step 1'!BF19</f>
        <v>#DIV/0!</v>
      </c>
      <c r="R9" s="323">
        <f>'Corrected energy balance step 2'!BG19-'Corrected energy balance step 1'!BG19</f>
        <v>0</v>
      </c>
      <c r="S9" s="323" t="e">
        <f>SUM('Corrected energy balance step 2'!BA19:BC19,'Corrected energy balance step 2'!BH19:BI19,'Corrected energy balance step 2'!BK19)-SUM('Corrected energy balance step 1'!BA19:BC19,'Corrected energy balance step 1'!BH19:BI19,'Corrected energy balance step 1'!BK19)</f>
        <v>#DIV/0!</v>
      </c>
      <c r="T9" s="323">
        <f>'Corrected energy balance step 2'!BL19-'Corrected energy balance step 1'!BL19</f>
        <v>0</v>
      </c>
      <c r="U9" s="323">
        <f>'Corrected energy balance step 2'!BM19-'Corrected energy balance step 1'!BM19</f>
        <v>0</v>
      </c>
      <c r="V9" s="330" t="e">
        <f>'Corrected energy balance step 2'!BN19-'Corrected energy balance step 1'!BN19</f>
        <v>#DIV/0!</v>
      </c>
      <c r="W9" s="151"/>
    </row>
    <row r="10" spans="2:23" x14ac:dyDescent="0.2">
      <c r="B10" s="67"/>
      <c r="D10" s="51" t="s">
        <v>453</v>
      </c>
      <c r="E10" s="323">
        <f>SUM('Corrected energy balance step 2'!C20:H20,'Corrected energy balance step 2'!J20:N20,'Corrected energy balance step 2'!S20)-SUM('Corrected energy balance step 1'!C20:H20,'Corrected energy balance step 1'!J20:N20,'Corrected energy balance step 1'!S20)</f>
        <v>0</v>
      </c>
      <c r="F10" s="323">
        <f>SUM('Corrected energy balance step 2'!O20:R20)-SUM('Corrected energy balance step 1'!O20:R20)</f>
        <v>0</v>
      </c>
      <c r="G10" s="323">
        <f>'Corrected energy balance step 2'!I20-'Corrected energy balance step 1'!I20</f>
        <v>0</v>
      </c>
      <c r="H10" s="323">
        <f>'Corrected energy balance step 2'!T20-'Corrected energy balance step 1'!T20</f>
        <v>0</v>
      </c>
      <c r="I10" s="323">
        <f>SUM('Corrected energy balance step 2'!U20:AQ20)-SUM('Corrected energy balance step 1'!U20:AQ20)</f>
        <v>0</v>
      </c>
      <c r="J10" s="323">
        <f>'Corrected energy balance step 2'!AS20-'Corrected energy balance step 1'!AS20</f>
        <v>0</v>
      </c>
      <c r="K10" s="323">
        <f>SUM('Corrected energy balance step 2'!AR20,'Corrected energy balance step 2'!AT20)-SUM('Corrected energy balance step 1'!AR20,'Corrected energy balance step 1'!AT20)</f>
        <v>0</v>
      </c>
      <c r="L10" s="323">
        <f>'Corrected energy balance step 2'!AV20-'Corrected energy balance step 1'!AV20</f>
        <v>0</v>
      </c>
      <c r="M10" s="323">
        <f>SUM('Corrected energy balance step 2'!AW20:AY20)-SUM('Corrected energy balance step 1'!AW20:AY20)</f>
        <v>0</v>
      </c>
      <c r="N10" s="323">
        <f>SUM('Corrected energy balance step 2'!AU20,'Corrected energy balance step 2'!AZ20)-SUM('Corrected energy balance step 1'!AU20,'Corrected energy balance step 1'!AZ20)</f>
        <v>0</v>
      </c>
      <c r="O10" s="323">
        <f>'Corrected energy balance step 2'!BD20-'Corrected energy balance step 1'!BD20</f>
        <v>0</v>
      </c>
      <c r="P10" s="323">
        <f>'Corrected energy balance step 2'!BE20-'Corrected energy balance step 1'!BE20</f>
        <v>0</v>
      </c>
      <c r="Q10" s="323">
        <f>'Corrected energy balance step 2'!BF20-'Corrected energy balance step 1'!BF20</f>
        <v>0</v>
      </c>
      <c r="R10" s="323">
        <f>'Corrected energy balance step 2'!BG20-'Corrected energy balance step 1'!BG20</f>
        <v>0</v>
      </c>
      <c r="S10" s="323">
        <f>SUM('Corrected energy balance step 2'!BA20:BC20,'Corrected energy balance step 2'!BH20:BI20,'Corrected energy balance step 2'!BK20)-SUM('Corrected energy balance step 1'!BA20:BC20,'Corrected energy balance step 1'!BH20:BI20,'Corrected energy balance step 1'!BK20)</f>
        <v>0</v>
      </c>
      <c r="T10" s="323">
        <f>'Corrected energy balance step 2'!BL20-'Corrected energy balance step 1'!BL20</f>
        <v>0</v>
      </c>
      <c r="U10" s="323">
        <f>'Corrected energy balance step 2'!BM20-'Corrected energy balance step 1'!BM20</f>
        <v>0</v>
      </c>
      <c r="V10" s="330">
        <f>'Corrected energy balance step 2'!BN20-'Corrected energy balance step 1'!BN20</f>
        <v>0</v>
      </c>
      <c r="W10" s="151"/>
    </row>
    <row r="11" spans="2:23" x14ac:dyDescent="0.2">
      <c r="B11" s="67"/>
      <c r="D11" s="51" t="s">
        <v>216</v>
      </c>
      <c r="E11" s="323">
        <v>0</v>
      </c>
      <c r="F11" s="323">
        <v>0</v>
      </c>
      <c r="G11" s="323">
        <v>0</v>
      </c>
      <c r="H11" s="323">
        <v>0</v>
      </c>
      <c r="I11" s="323">
        <v>0</v>
      </c>
      <c r="J11" s="323">
        <v>0</v>
      </c>
      <c r="K11" s="323">
        <v>0</v>
      </c>
      <c r="L11" s="323">
        <v>0</v>
      </c>
      <c r="M11" s="323">
        <v>0</v>
      </c>
      <c r="N11" s="323">
        <v>0</v>
      </c>
      <c r="O11" s="323">
        <v>0</v>
      </c>
      <c r="P11" s="323">
        <v>0</v>
      </c>
      <c r="Q11" s="323">
        <v>0</v>
      </c>
      <c r="R11" s="323">
        <v>0</v>
      </c>
      <c r="S11" s="323">
        <v>0</v>
      </c>
      <c r="T11" s="323">
        <v>0</v>
      </c>
      <c r="U11" s="323">
        <v>0</v>
      </c>
      <c r="V11" s="330">
        <v>0</v>
      </c>
      <c r="W11" s="151"/>
    </row>
    <row r="12" spans="2:23" x14ac:dyDescent="0.2">
      <c r="B12" s="67"/>
      <c r="D12" s="51" t="s">
        <v>455</v>
      </c>
      <c r="E12" s="323">
        <v>0</v>
      </c>
      <c r="F12" s="323">
        <v>0</v>
      </c>
      <c r="G12" s="323">
        <v>0</v>
      </c>
      <c r="H12" s="323">
        <v>0</v>
      </c>
      <c r="I12" s="323">
        <v>0</v>
      </c>
      <c r="J12" s="323">
        <v>0</v>
      </c>
      <c r="K12" s="323">
        <v>0</v>
      </c>
      <c r="L12" s="323">
        <v>0</v>
      </c>
      <c r="M12" s="323">
        <v>0</v>
      </c>
      <c r="N12" s="323">
        <v>0</v>
      </c>
      <c r="O12" s="323">
        <v>0</v>
      </c>
      <c r="P12" s="323">
        <v>0</v>
      </c>
      <c r="Q12" s="323">
        <v>0</v>
      </c>
      <c r="R12" s="323">
        <v>0</v>
      </c>
      <c r="S12" s="323">
        <v>0</v>
      </c>
      <c r="T12" s="323">
        <v>0</v>
      </c>
      <c r="U12" s="323">
        <v>0</v>
      </c>
      <c r="V12" s="330">
        <v>0</v>
      </c>
      <c r="W12" s="151"/>
    </row>
    <row r="13" spans="2:23" x14ac:dyDescent="0.2">
      <c r="B13" s="67"/>
      <c r="D13" s="51" t="s">
        <v>298</v>
      </c>
      <c r="E13" s="323" t="e">
        <f>SUM('Corrected energy balance step 2'!C23:H23,'Corrected energy balance step 2'!J23:N23,'Corrected energy balance step 2'!S23)-SUM('Corrected energy balance step 1'!C23:H23,'Corrected energy balance step 1'!J23:N23,'Corrected energy balance step 1'!S23)</f>
        <v>#DIV/0!</v>
      </c>
      <c r="F13" s="323">
        <f>0</f>
        <v>0</v>
      </c>
      <c r="G13" s="323" t="e">
        <f>'Corrected energy balance step 2'!I23-'Corrected energy balance step 1'!I23</f>
        <v>#DIV/0!</v>
      </c>
      <c r="H13" s="323" t="e">
        <f>'Corrected energy balance step 2'!T23-'Corrected energy balance step 1'!T23</f>
        <v>#DIV/0!</v>
      </c>
      <c r="I13" s="323" t="e">
        <f>SUM('Corrected energy balance step 2'!U23:AQ23)-SUM('Corrected energy balance step 1'!U23:AQ23)</f>
        <v>#DIV/0!</v>
      </c>
      <c r="J13" s="323" t="e">
        <f>'Corrected energy balance step 2'!AS23-'Corrected energy balance step 1'!AS23</f>
        <v>#DIV/0!</v>
      </c>
      <c r="K13" s="323" t="e">
        <f>SUM('Corrected energy balance step 2'!AR23,'Corrected energy balance step 2'!AT23)-SUM('Corrected energy balance step 1'!AR23,'Corrected energy balance step 1'!AT23)</f>
        <v>#DIV/0!</v>
      </c>
      <c r="L13" s="323" t="e">
        <f>'Corrected energy balance step 2'!AV23-'Corrected energy balance step 1'!AV23</f>
        <v>#DIV/0!</v>
      </c>
      <c r="M13" s="323">
        <f>SUM('Corrected energy balance step 2'!AW23:AY23)-SUM('Corrected energy balance step 1'!AW23:AY23)</f>
        <v>0</v>
      </c>
      <c r="N13" s="323" t="e">
        <f>SUM('Corrected energy balance step 2'!AU23,'Corrected energy balance step 2'!AZ23)-SUM('Corrected energy balance step 1'!AU23,'Corrected energy balance step 1'!AZ23)</f>
        <v>#DIV/0!</v>
      </c>
      <c r="O13" s="323">
        <f>'Corrected energy balance step 2'!BD23-'Corrected energy balance step 1'!BD23</f>
        <v>0</v>
      </c>
      <c r="P13" s="323">
        <f>'Corrected energy balance step 2'!BE23-'Corrected energy balance step 1'!BE23</f>
        <v>0</v>
      </c>
      <c r="Q13" s="323">
        <f>'Corrected energy balance step 2'!BF23-'Corrected energy balance step 1'!BF23</f>
        <v>0</v>
      </c>
      <c r="R13" s="323">
        <f>'Corrected energy balance step 2'!BG23-'Corrected energy balance step 1'!BG23</f>
        <v>0</v>
      </c>
      <c r="S13" s="323">
        <f>SUM('Corrected energy balance step 2'!BA23:BC23,'Corrected energy balance step 2'!BH23:BI23,'Corrected energy balance step 2'!BK23)-SUM('Corrected energy balance step 1'!BA23:BC23,'Corrected energy balance step 1'!BH23:BI23,'Corrected energy balance step 1'!BK23)</f>
        <v>0</v>
      </c>
      <c r="T13" s="323">
        <f>'Corrected energy balance step 2'!BL23-'Corrected energy balance step 1'!BL23</f>
        <v>0</v>
      </c>
      <c r="U13" s="323">
        <f>'Corrected energy balance step 2'!BM23-'Corrected energy balance step 1'!BM23</f>
        <v>0</v>
      </c>
      <c r="V13" s="330" t="e">
        <f>'Corrected energy balance step 2'!BN23-'Corrected energy balance step 1'!BN23</f>
        <v>#DIV/0!</v>
      </c>
    </row>
    <row r="14" spans="2:23" x14ac:dyDescent="0.2">
      <c r="B14" s="67"/>
      <c r="D14" s="51" t="s">
        <v>299</v>
      </c>
      <c r="E14" s="323">
        <f>SUM('Corrected energy balance step 2'!C24:H24,'Corrected energy balance step 2'!J24:N24,'Corrected energy balance step 2'!S24)-SUM('Corrected energy balance step 1'!C24:H24,'Corrected energy balance step 1'!J24:N24,'Corrected energy balance step 1'!S24)</f>
        <v>0</v>
      </c>
      <c r="F14" s="323">
        <f>SUM('Corrected energy balance step 2'!D24:I24,'Corrected energy balance step 2'!K24:T24)-SUM('Corrected energy balance step 1'!D24:I24,'Corrected energy balance step 1'!K24:T24)</f>
        <v>0</v>
      </c>
      <c r="G14" s="323">
        <f>'Corrected energy balance step 2'!I24-'Corrected energy balance step 1'!I24</f>
        <v>0</v>
      </c>
      <c r="H14" s="323">
        <f>'Corrected energy balance step 2'!T24-'Corrected energy balance step 1'!T24</f>
        <v>0</v>
      </c>
      <c r="I14" s="323">
        <f>SUM('Corrected energy balance step 2'!U24:AQ24)-SUM('Corrected energy balance step 1'!U24:AQ24)</f>
        <v>0</v>
      </c>
      <c r="J14" s="323">
        <f>'Corrected energy balance step 2'!AS24-'Corrected energy balance step 1'!AS24</f>
        <v>0</v>
      </c>
      <c r="K14" s="323">
        <f>SUM('Corrected energy balance step 2'!AR24,'Corrected energy balance step 2'!AT24)-SUM('Corrected energy balance step 1'!AR24,'Corrected energy balance step 1'!AT24)</f>
        <v>0</v>
      </c>
      <c r="L14" s="323">
        <f>'Corrected energy balance step 2'!AV24-'Corrected energy balance step 1'!AV24</f>
        <v>0</v>
      </c>
      <c r="M14" s="323">
        <f>SUM('Corrected energy balance step 2'!AW24:AY24)-SUM('Corrected energy balance step 1'!AW24:AY24)</f>
        <v>0</v>
      </c>
      <c r="N14" s="323">
        <f>SUM('Corrected energy balance step 2'!AU24,'Corrected energy balance step 2'!AZ24)-SUM('Corrected energy balance step 1'!AU24,'Corrected energy balance step 1'!AZ24)</f>
        <v>0</v>
      </c>
      <c r="O14" s="323">
        <f>'Corrected energy balance step 2'!BD24-'Corrected energy balance step 1'!BD24</f>
        <v>0</v>
      </c>
      <c r="P14" s="323">
        <f>'Corrected energy balance step 2'!BE24-'Corrected energy balance step 1'!BE24</f>
        <v>0</v>
      </c>
      <c r="Q14" s="323">
        <f>'Corrected energy balance step 2'!BF24-'Corrected energy balance step 1'!BF24</f>
        <v>0</v>
      </c>
      <c r="R14" s="323">
        <f>'Corrected energy balance step 2'!BG24-'Corrected energy balance step 1'!BG24</f>
        <v>0</v>
      </c>
      <c r="S14" s="323">
        <f>SUM('Corrected energy balance step 2'!BA24:BC24,'Corrected energy balance step 2'!BH24:BI24,'Corrected energy balance step 2'!BK24)-SUM('Corrected energy balance step 1'!BA24:BC24,'Corrected energy balance step 1'!BH24:BI24,'Corrected energy balance step 1'!BK24)</f>
        <v>0</v>
      </c>
      <c r="T14" s="323">
        <f>'Corrected energy balance step 2'!BL24-'Corrected energy balance step 1'!BL24</f>
        <v>0</v>
      </c>
      <c r="U14" s="323">
        <f>'Corrected energy balance step 2'!BM24-'Corrected energy balance step 1'!BM24</f>
        <v>0</v>
      </c>
      <c r="V14" s="330">
        <f>'Corrected energy balance step 2'!BN24-'Corrected energy balance step 1'!BN24</f>
        <v>0</v>
      </c>
    </row>
    <row r="15" spans="2:23" x14ac:dyDescent="0.2">
      <c r="B15" s="67"/>
      <c r="D15" s="51" t="s">
        <v>217</v>
      </c>
      <c r="E15" s="323">
        <v>0</v>
      </c>
      <c r="F15" s="323">
        <v>0</v>
      </c>
      <c r="G15" s="323">
        <v>0</v>
      </c>
      <c r="H15" s="323">
        <v>0</v>
      </c>
      <c r="I15" s="323">
        <v>0</v>
      </c>
      <c r="J15" s="323">
        <v>0</v>
      </c>
      <c r="K15" s="323">
        <v>0</v>
      </c>
      <c r="L15" s="323">
        <v>0</v>
      </c>
      <c r="M15" s="323">
        <v>0</v>
      </c>
      <c r="N15" s="323">
        <v>0</v>
      </c>
      <c r="O15" s="323">
        <v>0</v>
      </c>
      <c r="P15" s="323">
        <v>0</v>
      </c>
      <c r="Q15" s="323">
        <v>0</v>
      </c>
      <c r="R15" s="323">
        <v>0</v>
      </c>
      <c r="S15" s="323">
        <v>0</v>
      </c>
      <c r="T15" s="323">
        <v>0</v>
      </c>
      <c r="U15" s="323">
        <v>0</v>
      </c>
      <c r="V15" s="330">
        <v>0</v>
      </c>
    </row>
    <row r="16" spans="2:23" x14ac:dyDescent="0.2">
      <c r="B16" s="67"/>
      <c r="D16" s="51" t="s">
        <v>82</v>
      </c>
      <c r="E16" s="323">
        <v>0</v>
      </c>
      <c r="F16" s="323">
        <v>0</v>
      </c>
      <c r="G16" s="323">
        <v>0</v>
      </c>
      <c r="H16" s="323">
        <v>0</v>
      </c>
      <c r="I16" s="323">
        <v>0</v>
      </c>
      <c r="J16" s="323">
        <v>0</v>
      </c>
      <c r="K16" s="323">
        <v>0</v>
      </c>
      <c r="L16" s="323">
        <v>0</v>
      </c>
      <c r="M16" s="323">
        <v>0</v>
      </c>
      <c r="N16" s="323">
        <v>0</v>
      </c>
      <c r="O16" s="323">
        <v>0</v>
      </c>
      <c r="P16" s="323">
        <v>0</v>
      </c>
      <c r="Q16" s="323">
        <v>0</v>
      </c>
      <c r="R16" s="323">
        <v>0</v>
      </c>
      <c r="S16" s="323">
        <v>0</v>
      </c>
      <c r="T16" s="323">
        <v>0</v>
      </c>
      <c r="U16" s="323">
        <v>0</v>
      </c>
      <c r="V16" s="330">
        <v>0</v>
      </c>
    </row>
    <row r="17" spans="2:22" x14ac:dyDescent="0.2">
      <c r="B17" s="67"/>
      <c r="D17" s="51" t="s">
        <v>91</v>
      </c>
      <c r="E17" s="323">
        <v>0</v>
      </c>
      <c r="F17" s="323">
        <v>0</v>
      </c>
      <c r="G17" s="323">
        <v>0</v>
      </c>
      <c r="H17" s="323">
        <v>0</v>
      </c>
      <c r="I17" s="323">
        <v>0</v>
      </c>
      <c r="J17" s="323">
        <v>0</v>
      </c>
      <c r="K17" s="323">
        <v>0</v>
      </c>
      <c r="L17" s="323">
        <v>0</v>
      </c>
      <c r="M17" s="323">
        <v>0</v>
      </c>
      <c r="N17" s="323">
        <v>0</v>
      </c>
      <c r="O17" s="323">
        <v>0</v>
      </c>
      <c r="P17" s="323">
        <v>0</v>
      </c>
      <c r="Q17" s="323">
        <v>0</v>
      </c>
      <c r="R17" s="323">
        <v>0</v>
      </c>
      <c r="S17" s="323">
        <v>0</v>
      </c>
      <c r="T17" s="323">
        <v>0</v>
      </c>
      <c r="U17" s="323">
        <v>0</v>
      </c>
      <c r="V17" s="330">
        <v>0</v>
      </c>
    </row>
    <row r="18" spans="2:22" x14ac:dyDescent="0.2">
      <c r="B18" s="67"/>
      <c r="D18" s="53" t="s">
        <v>92</v>
      </c>
      <c r="E18" s="328">
        <v>0</v>
      </c>
      <c r="F18" s="328">
        <v>0</v>
      </c>
      <c r="G18" s="328">
        <v>0</v>
      </c>
      <c r="H18" s="328">
        <v>0</v>
      </c>
      <c r="I18" s="328">
        <v>0</v>
      </c>
      <c r="J18" s="328">
        <v>0</v>
      </c>
      <c r="K18" s="328">
        <v>0</v>
      </c>
      <c r="L18" s="328">
        <v>0</v>
      </c>
      <c r="M18" s="328">
        <v>0</v>
      </c>
      <c r="N18" s="328">
        <v>0</v>
      </c>
      <c r="O18" s="328">
        <v>0</v>
      </c>
      <c r="P18" s="328">
        <v>0</v>
      </c>
      <c r="Q18" s="328">
        <v>0</v>
      </c>
      <c r="R18" s="328">
        <v>0</v>
      </c>
      <c r="S18" s="328">
        <v>0</v>
      </c>
      <c r="T18" s="328">
        <v>0</v>
      </c>
      <c r="U18" s="328">
        <v>0</v>
      </c>
      <c r="V18" s="329">
        <v>0</v>
      </c>
    </row>
    <row r="19" spans="2:22" x14ac:dyDescent="0.2">
      <c r="B19" s="67"/>
      <c r="D19" s="51" t="s">
        <v>48</v>
      </c>
      <c r="E19" s="323">
        <v>0</v>
      </c>
      <c r="F19" s="323">
        <v>0</v>
      </c>
      <c r="G19" s="323">
        <v>0</v>
      </c>
      <c r="H19" s="323">
        <v>0</v>
      </c>
      <c r="I19" s="323">
        <v>0</v>
      </c>
      <c r="J19" s="323">
        <v>0</v>
      </c>
      <c r="K19" s="323">
        <v>0</v>
      </c>
      <c r="L19" s="323">
        <v>0</v>
      </c>
      <c r="M19" s="323">
        <v>0</v>
      </c>
      <c r="N19" s="323">
        <v>0</v>
      </c>
      <c r="O19" s="323">
        <v>0</v>
      </c>
      <c r="P19" s="323">
        <v>0</v>
      </c>
      <c r="Q19" s="323">
        <v>0</v>
      </c>
      <c r="R19" s="323">
        <v>0</v>
      </c>
      <c r="S19" s="323">
        <v>0</v>
      </c>
      <c r="T19" s="323">
        <v>0</v>
      </c>
      <c r="U19" s="323">
        <v>0</v>
      </c>
      <c r="V19" s="330">
        <v>0</v>
      </c>
    </row>
    <row r="20" spans="2:22" x14ac:dyDescent="0.2">
      <c r="B20" s="67"/>
      <c r="D20" s="51" t="s">
        <v>106</v>
      </c>
      <c r="E20" s="323">
        <v>0</v>
      </c>
      <c r="F20" s="323">
        <v>0</v>
      </c>
      <c r="G20" s="323">
        <v>0</v>
      </c>
      <c r="H20" s="323">
        <v>0</v>
      </c>
      <c r="I20" s="323">
        <v>0</v>
      </c>
      <c r="J20" s="323">
        <v>0</v>
      </c>
      <c r="K20" s="323">
        <v>0</v>
      </c>
      <c r="L20" s="323">
        <v>0</v>
      </c>
      <c r="M20" s="323">
        <v>0</v>
      </c>
      <c r="N20" s="323">
        <v>0</v>
      </c>
      <c r="O20" s="323">
        <v>0</v>
      </c>
      <c r="P20" s="323">
        <v>0</v>
      </c>
      <c r="Q20" s="323">
        <v>0</v>
      </c>
      <c r="R20" s="323">
        <v>0</v>
      </c>
      <c r="S20" s="323">
        <v>0</v>
      </c>
      <c r="T20" s="323">
        <v>0</v>
      </c>
      <c r="U20" s="323">
        <v>0</v>
      </c>
      <c r="V20" s="330">
        <v>0</v>
      </c>
    </row>
    <row r="21" spans="2:22" x14ac:dyDescent="0.2">
      <c r="B21" s="67"/>
      <c r="D21" s="51" t="s">
        <v>114</v>
      </c>
      <c r="E21" s="323">
        <v>0</v>
      </c>
      <c r="F21" s="323">
        <v>0</v>
      </c>
      <c r="G21" s="323">
        <v>0</v>
      </c>
      <c r="H21" s="323">
        <v>0</v>
      </c>
      <c r="I21" s="323">
        <v>0</v>
      </c>
      <c r="J21" s="323">
        <v>0</v>
      </c>
      <c r="K21" s="323">
        <v>0</v>
      </c>
      <c r="L21" s="323">
        <v>0</v>
      </c>
      <c r="M21" s="323">
        <v>0</v>
      </c>
      <c r="N21" s="323">
        <v>0</v>
      </c>
      <c r="O21" s="323">
        <v>0</v>
      </c>
      <c r="P21" s="323">
        <v>0</v>
      </c>
      <c r="Q21" s="323">
        <v>0</v>
      </c>
      <c r="R21" s="323">
        <v>0</v>
      </c>
      <c r="S21" s="323">
        <v>0</v>
      </c>
      <c r="T21" s="323">
        <v>0</v>
      </c>
      <c r="U21" s="323">
        <v>0</v>
      </c>
      <c r="V21" s="330">
        <v>0</v>
      </c>
    </row>
    <row r="22" spans="2:22" x14ac:dyDescent="0.2">
      <c r="B22" s="67"/>
      <c r="D22" s="51" t="s">
        <v>218</v>
      </c>
      <c r="E22" s="323">
        <v>0</v>
      </c>
      <c r="F22" s="323">
        <v>0</v>
      </c>
      <c r="G22" s="323">
        <v>0</v>
      </c>
      <c r="H22" s="323">
        <v>0</v>
      </c>
      <c r="I22" s="323">
        <v>0</v>
      </c>
      <c r="J22" s="323">
        <v>0</v>
      </c>
      <c r="K22" s="323">
        <v>0</v>
      </c>
      <c r="L22" s="323">
        <v>0</v>
      </c>
      <c r="M22" s="323">
        <v>0</v>
      </c>
      <c r="N22" s="323">
        <v>0</v>
      </c>
      <c r="O22" s="323">
        <v>0</v>
      </c>
      <c r="P22" s="323">
        <v>0</v>
      </c>
      <c r="Q22" s="323">
        <v>0</v>
      </c>
      <c r="R22" s="323">
        <v>0</v>
      </c>
      <c r="S22" s="323">
        <v>0</v>
      </c>
      <c r="T22" s="323">
        <v>0</v>
      </c>
      <c r="U22" s="323">
        <v>0</v>
      </c>
      <c r="V22" s="330">
        <v>0</v>
      </c>
    </row>
    <row r="23" spans="2:22" x14ac:dyDescent="0.2">
      <c r="B23" s="67"/>
      <c r="D23" s="51" t="s">
        <v>47</v>
      </c>
      <c r="E23" s="323">
        <v>0</v>
      </c>
      <c r="F23" s="323">
        <v>0</v>
      </c>
      <c r="G23" s="323">
        <v>0</v>
      </c>
      <c r="H23" s="323">
        <v>0</v>
      </c>
      <c r="I23" s="323">
        <v>0</v>
      </c>
      <c r="J23" s="323">
        <v>0</v>
      </c>
      <c r="K23" s="323">
        <v>0</v>
      </c>
      <c r="L23" s="323">
        <v>0</v>
      </c>
      <c r="M23" s="323">
        <v>0</v>
      </c>
      <c r="N23" s="323">
        <v>0</v>
      </c>
      <c r="O23" s="323">
        <v>0</v>
      </c>
      <c r="P23" s="323">
        <v>0</v>
      </c>
      <c r="Q23" s="323">
        <v>0</v>
      </c>
      <c r="R23" s="323">
        <v>0</v>
      </c>
      <c r="S23" s="323">
        <v>0</v>
      </c>
      <c r="T23" s="323">
        <v>0</v>
      </c>
      <c r="U23" s="323">
        <v>0</v>
      </c>
      <c r="V23" s="330">
        <v>0</v>
      </c>
    </row>
    <row r="24" spans="2:22" x14ac:dyDescent="0.2">
      <c r="B24" s="67"/>
      <c r="D24" s="51" t="s">
        <v>113</v>
      </c>
      <c r="E24" s="323">
        <v>0</v>
      </c>
      <c r="F24" s="323">
        <v>0</v>
      </c>
      <c r="G24" s="323">
        <v>0</v>
      </c>
      <c r="H24" s="323">
        <v>0</v>
      </c>
      <c r="I24" s="323">
        <v>0</v>
      </c>
      <c r="J24" s="323">
        <v>0</v>
      </c>
      <c r="K24" s="323">
        <v>0</v>
      </c>
      <c r="L24" s="323">
        <v>0</v>
      </c>
      <c r="M24" s="323">
        <v>0</v>
      </c>
      <c r="N24" s="323">
        <v>0</v>
      </c>
      <c r="O24" s="323">
        <v>0</v>
      </c>
      <c r="P24" s="323">
        <v>0</v>
      </c>
      <c r="Q24" s="323">
        <v>0</v>
      </c>
      <c r="R24" s="323">
        <v>0</v>
      </c>
      <c r="S24" s="323">
        <v>0</v>
      </c>
      <c r="T24" s="323">
        <v>0</v>
      </c>
      <c r="U24" s="323">
        <v>0</v>
      </c>
      <c r="V24" s="330">
        <v>0</v>
      </c>
    </row>
    <row r="25" spans="2:22" ht="17" thickBot="1" x14ac:dyDescent="0.25">
      <c r="B25" s="74"/>
      <c r="C25" s="75"/>
      <c r="D25" s="85" t="s">
        <v>119</v>
      </c>
      <c r="E25" s="331">
        <v>0</v>
      </c>
      <c r="F25" s="331">
        <v>0</v>
      </c>
      <c r="G25" s="331">
        <v>0</v>
      </c>
      <c r="H25" s="331">
        <v>0</v>
      </c>
      <c r="I25" s="331">
        <v>0</v>
      </c>
      <c r="J25" s="331">
        <v>0</v>
      </c>
      <c r="K25" s="331">
        <v>0</v>
      </c>
      <c r="L25" s="331">
        <v>0</v>
      </c>
      <c r="M25" s="331">
        <v>0</v>
      </c>
      <c r="N25" s="331">
        <v>0</v>
      </c>
      <c r="O25" s="331">
        <v>0</v>
      </c>
      <c r="P25" s="331">
        <v>0</v>
      </c>
      <c r="Q25" s="331">
        <v>0</v>
      </c>
      <c r="R25" s="331">
        <v>0</v>
      </c>
      <c r="S25" s="331">
        <v>0</v>
      </c>
      <c r="T25" s="331">
        <v>0</v>
      </c>
      <c r="U25" s="331">
        <v>0</v>
      </c>
      <c r="V25" s="332">
        <v>0</v>
      </c>
    </row>
  </sheetData>
  <mergeCells count="1">
    <mergeCell ref="B5:E5"/>
  </mergeCells>
  <conditionalFormatting sqref="E18:V25">
    <cfRule type="cellIs" dxfId="7" priority="2" operator="less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tabColor theme="5" tint="0.39997558519241921"/>
  </sheetPr>
  <dimension ref="B2:BQ101"/>
  <sheetViews>
    <sheetView workbookViewId="0">
      <pane xSplit="2" ySplit="8" topLeftCell="J10" activePane="bottomRight" state="frozen"/>
      <selection pane="topRight" activeCell="C1" sqref="C1"/>
      <selection pane="bottomLeft" activeCell="A9" sqref="A9"/>
      <selection pane="bottomRight" activeCell="O19" sqref="O19"/>
    </sheetView>
  </sheetViews>
  <sheetFormatPr baseColWidth="10" defaultRowHeight="16" x14ac:dyDescent="0.2"/>
  <cols>
    <col min="1" max="1" width="10.83203125" style="2"/>
    <col min="2" max="2" width="42.83203125" style="2" customWidth="1"/>
    <col min="3" max="67" width="13.6640625" style="2" customWidth="1"/>
    <col min="68" max="16384" width="10.83203125" style="2"/>
  </cols>
  <sheetData>
    <row r="2" spans="2:69" ht="21" x14ac:dyDescent="0.25">
      <c r="B2" s="20" t="s">
        <v>617</v>
      </c>
    </row>
    <row r="3" spans="2:69" ht="15" customHeight="1" x14ac:dyDescent="0.25">
      <c r="B3" s="20"/>
      <c r="AV3" s="172"/>
    </row>
    <row r="4" spans="2:69" ht="15" customHeight="1" x14ac:dyDescent="0.2">
      <c r="B4" s="46" t="s">
        <v>37</v>
      </c>
      <c r="C4" s="4"/>
      <c r="D4" s="4"/>
      <c r="E4" s="4"/>
      <c r="F4" s="4"/>
      <c r="G4" s="4"/>
      <c r="H4" s="5"/>
    </row>
    <row r="5" spans="2:69" ht="46" customHeight="1" x14ac:dyDescent="0.2">
      <c r="B5" s="612" t="s">
        <v>488</v>
      </c>
      <c r="C5" s="614"/>
      <c r="D5" s="614"/>
      <c r="E5" s="614"/>
      <c r="F5" s="614"/>
      <c r="G5" s="614"/>
      <c r="H5" s="613"/>
    </row>
    <row r="6" spans="2:69" ht="15" customHeight="1" thickBot="1" x14ac:dyDescent="0.25"/>
    <row r="7" spans="2:69" ht="30" customHeight="1" x14ac:dyDescent="0.2">
      <c r="B7" s="29" t="s">
        <v>49</v>
      </c>
      <c r="C7" s="30" t="s">
        <v>134</v>
      </c>
      <c r="D7" s="30" t="s">
        <v>135</v>
      </c>
      <c r="E7" s="30" t="s">
        <v>136</v>
      </c>
      <c r="F7" s="30" t="s">
        <v>137</v>
      </c>
      <c r="G7" s="30" t="s">
        <v>138</v>
      </c>
      <c r="H7" s="30" t="s">
        <v>139</v>
      </c>
      <c r="I7" s="30" t="s">
        <v>140</v>
      </c>
      <c r="J7" s="30" t="s">
        <v>141</v>
      </c>
      <c r="K7" s="30" t="s">
        <v>142</v>
      </c>
      <c r="L7" s="30" t="s">
        <v>143</v>
      </c>
      <c r="M7" s="30" t="s">
        <v>144</v>
      </c>
      <c r="N7" s="30" t="s">
        <v>145</v>
      </c>
      <c r="O7" s="30" t="s">
        <v>146</v>
      </c>
      <c r="P7" s="30" t="s">
        <v>147</v>
      </c>
      <c r="Q7" s="30" t="s">
        <v>148</v>
      </c>
      <c r="R7" s="30" t="s">
        <v>149</v>
      </c>
      <c r="S7" s="30" t="s">
        <v>150</v>
      </c>
      <c r="T7" s="30" t="s">
        <v>151</v>
      </c>
      <c r="U7" s="30" t="s">
        <v>152</v>
      </c>
      <c r="V7" s="30" t="s">
        <v>153</v>
      </c>
      <c r="W7" s="30" t="s">
        <v>154</v>
      </c>
      <c r="X7" s="30" t="s">
        <v>155</v>
      </c>
      <c r="Y7" s="30" t="s">
        <v>156</v>
      </c>
      <c r="Z7" s="30" t="s">
        <v>157</v>
      </c>
      <c r="AA7" s="30" t="s">
        <v>158</v>
      </c>
      <c r="AB7" s="30" t="s">
        <v>159</v>
      </c>
      <c r="AC7" s="30" t="s">
        <v>160</v>
      </c>
      <c r="AD7" s="30" t="s">
        <v>161</v>
      </c>
      <c r="AE7" s="30" t="s">
        <v>162</v>
      </c>
      <c r="AF7" s="30" t="s">
        <v>163</v>
      </c>
      <c r="AG7" s="30" t="s">
        <v>164</v>
      </c>
      <c r="AH7" s="30" t="s">
        <v>165</v>
      </c>
      <c r="AI7" s="30" t="s">
        <v>166</v>
      </c>
      <c r="AJ7" s="30" t="s">
        <v>167</v>
      </c>
      <c r="AK7" s="30" t="s">
        <v>168</v>
      </c>
      <c r="AL7" s="30" t="s">
        <v>169</v>
      </c>
      <c r="AM7" s="30" t="s">
        <v>170</v>
      </c>
      <c r="AN7" s="30" t="s">
        <v>171</v>
      </c>
      <c r="AO7" s="30" t="s">
        <v>172</v>
      </c>
      <c r="AP7" s="30" t="s">
        <v>173</v>
      </c>
      <c r="AQ7" s="30" t="s">
        <v>174</v>
      </c>
      <c r="AR7" s="30" t="s">
        <v>175</v>
      </c>
      <c r="AS7" s="30" t="s">
        <v>176</v>
      </c>
      <c r="AT7" s="30" t="s">
        <v>177</v>
      </c>
      <c r="AU7" s="30" t="s">
        <v>178</v>
      </c>
      <c r="AV7" s="30" t="s">
        <v>179</v>
      </c>
      <c r="AW7" s="30" t="s">
        <v>180</v>
      </c>
      <c r="AX7" s="30" t="s">
        <v>181</v>
      </c>
      <c r="AY7" s="30" t="s">
        <v>182</v>
      </c>
      <c r="AZ7" s="30" t="s">
        <v>183</v>
      </c>
      <c r="BA7" s="30" t="s">
        <v>184</v>
      </c>
      <c r="BB7" s="30" t="s">
        <v>185</v>
      </c>
      <c r="BC7" s="30" t="s">
        <v>186</v>
      </c>
      <c r="BD7" s="30" t="s">
        <v>187</v>
      </c>
      <c r="BE7" s="30" t="s">
        <v>188</v>
      </c>
      <c r="BF7" s="30" t="s">
        <v>189</v>
      </c>
      <c r="BG7" s="30" t="s">
        <v>190</v>
      </c>
      <c r="BH7" s="30" t="s">
        <v>191</v>
      </c>
      <c r="BI7" s="30" t="s">
        <v>192</v>
      </c>
      <c r="BJ7" s="30" t="s">
        <v>193</v>
      </c>
      <c r="BK7" s="30" t="s">
        <v>194</v>
      </c>
      <c r="BL7" s="30" t="s">
        <v>195</v>
      </c>
      <c r="BM7" s="30" t="s">
        <v>196</v>
      </c>
      <c r="BN7" s="57" t="s">
        <v>197</v>
      </c>
      <c r="BO7" s="154" t="s">
        <v>198</v>
      </c>
    </row>
    <row r="8" spans="2:69" x14ac:dyDescent="0.2">
      <c r="B8" s="37" t="s">
        <v>50</v>
      </c>
      <c r="C8" s="38"/>
      <c r="D8" s="38"/>
      <c r="E8" s="38"/>
      <c r="F8" s="38"/>
      <c r="G8" s="38"/>
      <c r="H8" s="38"/>
      <c r="I8" s="38"/>
      <c r="J8" s="38"/>
      <c r="K8" s="38"/>
      <c r="L8" s="38"/>
      <c r="M8" s="38"/>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c r="AT8" s="38"/>
      <c r="AU8" s="38"/>
      <c r="AV8" s="38"/>
      <c r="AW8" s="38"/>
      <c r="AX8" s="38"/>
      <c r="AY8" s="38"/>
      <c r="AZ8" s="38"/>
      <c r="BA8" s="38"/>
      <c r="BB8" s="38"/>
      <c r="BC8" s="38"/>
      <c r="BD8" s="38"/>
      <c r="BE8" s="38"/>
      <c r="BF8" s="38"/>
      <c r="BG8" s="38"/>
      <c r="BH8" s="38"/>
      <c r="BI8" s="38"/>
      <c r="BJ8" s="38"/>
      <c r="BK8" s="38"/>
      <c r="BL8" s="38"/>
      <c r="BM8" s="38"/>
      <c r="BN8" s="52"/>
      <c r="BO8" s="155"/>
    </row>
    <row r="9" spans="2:69" x14ac:dyDescent="0.2">
      <c r="B9" s="32" t="s">
        <v>51</v>
      </c>
      <c r="C9" s="158">
        <f>IF(ISNUMBER('Corrected energy balance step 1'!C9),'Corrected energy balance step 1'!C9,0)</f>
        <v>0</v>
      </c>
      <c r="D9" s="158">
        <f>IF(ISNUMBER('Corrected energy balance step 1'!D9),'Corrected energy balance step 1'!D9,0)</f>
        <v>0</v>
      </c>
      <c r="E9" s="158">
        <f>IF(ISNUMBER('Corrected energy balance step 1'!E9),'Corrected energy balance step 1'!E9,0)</f>
        <v>0</v>
      </c>
      <c r="F9" s="158">
        <f>IF(ISNUMBER('Corrected energy balance step 1'!F9),'Corrected energy balance step 1'!F9,0)</f>
        <v>0</v>
      </c>
      <c r="G9" s="158">
        <f>IF(ISNUMBER('Corrected energy balance step 1'!G9),'Corrected energy balance step 1'!G9,0)</f>
        <v>0</v>
      </c>
      <c r="H9" s="158">
        <f>IF(ISNUMBER('Corrected energy balance step 1'!H9),'Corrected energy balance step 1'!H9,0)</f>
        <v>0</v>
      </c>
      <c r="I9" s="158">
        <f>IF(ISNUMBER('Corrected energy balance step 1'!I9),'Corrected energy balance step 1'!I9,0)</f>
        <v>0</v>
      </c>
      <c r="J9" s="158">
        <f>IF(ISNUMBER('Corrected energy balance step 1'!J9),'Corrected energy balance step 1'!J9,0)</f>
        <v>0</v>
      </c>
      <c r="K9" s="158">
        <f>IF(ISNUMBER('Corrected energy balance step 1'!K9),'Corrected energy balance step 1'!K9,0)</f>
        <v>0</v>
      </c>
      <c r="L9" s="158">
        <f>IF(ISNUMBER('Corrected energy balance step 1'!L9),'Corrected energy balance step 1'!L9,0)</f>
        <v>0</v>
      </c>
      <c r="M9" s="158">
        <f>IF(ISNUMBER('Corrected energy balance step 1'!M9),'Corrected energy balance step 1'!M9,0)</f>
        <v>0</v>
      </c>
      <c r="N9" s="158">
        <f>IF(ISNUMBER('Corrected energy balance step 1'!N9),'Corrected energy balance step 1'!N9,0)</f>
        <v>0</v>
      </c>
      <c r="O9" s="158">
        <f>IF(ISNUMBER('Corrected energy balance step 1'!O9),'Corrected energy balance step 1'!O9,0)</f>
        <v>0</v>
      </c>
      <c r="P9" s="158">
        <f>IF(ISNUMBER('Corrected energy balance step 1'!P9),'Corrected energy balance step 1'!P9,0)</f>
        <v>0</v>
      </c>
      <c r="Q9" s="158">
        <f>IF(ISNUMBER('Corrected energy balance step 1'!Q9),'Corrected energy balance step 1'!Q9,0)</f>
        <v>0</v>
      </c>
      <c r="R9" s="158">
        <f>IF(ISNUMBER('Corrected energy balance step 1'!R9),'Corrected energy balance step 1'!R9,0)</f>
        <v>0</v>
      </c>
      <c r="S9" s="158">
        <f>IF(ISNUMBER('Corrected energy balance step 1'!S9),'Corrected energy balance step 1'!S9,0)</f>
        <v>0</v>
      </c>
      <c r="T9" s="158">
        <f>IF(ISNUMBER('Corrected energy balance step 1'!T9),'Corrected energy balance step 1'!T9,0)</f>
        <v>0</v>
      </c>
      <c r="U9" s="158">
        <f>IF(ISNUMBER('Corrected energy balance step 1'!U9),'Corrected energy balance step 1'!U9,0)</f>
        <v>0</v>
      </c>
      <c r="V9" s="158">
        <f>IF(ISNUMBER('Corrected energy balance step 1'!V9),'Corrected energy balance step 1'!V9,0)</f>
        <v>0</v>
      </c>
      <c r="W9" s="158">
        <f>IF(ISNUMBER('Corrected energy balance step 1'!W9),'Corrected energy balance step 1'!W9,0)</f>
        <v>0</v>
      </c>
      <c r="X9" s="158">
        <f>IF(ISNUMBER('Corrected energy balance step 1'!X9),'Corrected energy balance step 1'!X9,0)</f>
        <v>0</v>
      </c>
      <c r="Y9" s="158">
        <f>IF(ISNUMBER('Corrected energy balance step 1'!Y9),'Corrected energy balance step 1'!Y9,0)</f>
        <v>0</v>
      </c>
      <c r="Z9" s="158">
        <f>IF(ISNUMBER('Corrected energy balance step 1'!Z9),'Corrected energy balance step 1'!Z9,0)</f>
        <v>0</v>
      </c>
      <c r="AA9" s="158">
        <f>IF(ISNUMBER('Corrected energy balance step 1'!AA9),'Corrected energy balance step 1'!AA9,0)</f>
        <v>0</v>
      </c>
      <c r="AB9" s="158">
        <f>IF(ISNUMBER('Corrected energy balance step 1'!AB9),'Corrected energy balance step 1'!AB9,0)</f>
        <v>0</v>
      </c>
      <c r="AC9" s="158">
        <f>IF(ISNUMBER('Corrected energy balance step 1'!AC9),'Corrected energy balance step 1'!AC9,0)</f>
        <v>0</v>
      </c>
      <c r="AD9" s="158">
        <f>IF(ISNUMBER('Corrected energy balance step 1'!AD9),'Corrected energy balance step 1'!AD9,0)</f>
        <v>0</v>
      </c>
      <c r="AE9" s="158">
        <f>IF(ISNUMBER('Corrected energy balance step 1'!AE9),'Corrected energy balance step 1'!AE9,0)</f>
        <v>0</v>
      </c>
      <c r="AF9" s="158">
        <f>IF(ISNUMBER('Corrected energy balance step 1'!AF9),'Corrected energy balance step 1'!AF9,0)</f>
        <v>0</v>
      </c>
      <c r="AG9" s="158">
        <f>IF(ISNUMBER('Corrected energy balance step 1'!AG9),'Corrected energy balance step 1'!AG9,0)</f>
        <v>0</v>
      </c>
      <c r="AH9" s="158">
        <f>IF(ISNUMBER('Corrected energy balance step 1'!AH9),'Corrected energy balance step 1'!AH9,0)</f>
        <v>0</v>
      </c>
      <c r="AI9" s="158">
        <f>IF(ISNUMBER('Corrected energy balance step 1'!AI9),'Corrected energy balance step 1'!AI9,0)</f>
        <v>0</v>
      </c>
      <c r="AJ9" s="158">
        <f>IF(ISNUMBER('Corrected energy balance step 1'!AJ9),'Corrected energy balance step 1'!AJ9,0)</f>
        <v>0</v>
      </c>
      <c r="AK9" s="158">
        <f>IF(ISNUMBER('Corrected energy balance step 1'!AK9),'Corrected energy balance step 1'!AK9,0)</f>
        <v>0</v>
      </c>
      <c r="AL9" s="158">
        <f>IF(ISNUMBER('Corrected energy balance step 1'!AL9),'Corrected energy balance step 1'!AL9,0)</f>
        <v>0</v>
      </c>
      <c r="AM9" s="158">
        <f>IF(ISNUMBER('Corrected energy balance step 1'!AM9),'Corrected energy balance step 1'!AM9,0)</f>
        <v>0</v>
      </c>
      <c r="AN9" s="158">
        <f>IF(ISNUMBER('Corrected energy balance step 1'!AN9),'Corrected energy balance step 1'!AN9,0)</f>
        <v>0</v>
      </c>
      <c r="AO9" s="158">
        <f>IF(ISNUMBER('Corrected energy balance step 1'!AO9),'Corrected energy balance step 1'!AO9,0)</f>
        <v>0</v>
      </c>
      <c r="AP9" s="158">
        <f>IF(ISNUMBER('Corrected energy balance step 1'!AP9),'Corrected energy balance step 1'!AP9,0)</f>
        <v>0</v>
      </c>
      <c r="AQ9" s="158">
        <f>IF(ISNUMBER('Corrected energy balance step 1'!AQ9),'Corrected energy balance step 1'!AQ9,0)</f>
        <v>0</v>
      </c>
      <c r="AR9" s="158">
        <f>IF(ISNUMBER('Corrected energy balance step 1'!AR9),'Corrected energy balance step 1'!AR9,0)</f>
        <v>0</v>
      </c>
      <c r="AS9" s="158">
        <f>IF(ISNUMBER('Corrected energy balance step 1'!AS9),'Corrected energy balance step 1'!AS9,0)</f>
        <v>0</v>
      </c>
      <c r="AT9" s="158">
        <f>IF(ISNUMBER('Corrected energy balance step 1'!AT9),'Corrected energy balance step 1'!AT9,0)</f>
        <v>0</v>
      </c>
      <c r="AU9" s="158">
        <f>IF(ISNUMBER('Corrected energy balance step 1'!AU9),'Corrected energy balance step 1'!AU9,0)</f>
        <v>0</v>
      </c>
      <c r="AV9" s="158">
        <f>IF(ISNUMBER('Corrected energy balance step 1'!AV9),'Corrected energy balance step 1'!AV9,0)</f>
        <v>0</v>
      </c>
      <c r="AW9" s="158">
        <f>IF(ISNUMBER('Corrected energy balance step 1'!AW9),'Corrected energy balance step 1'!AW9,0)</f>
        <v>0</v>
      </c>
      <c r="AX9" s="158">
        <f>IF(ISNUMBER('Corrected energy balance step 1'!AX9),'Corrected energy balance step 1'!AX9,0)</f>
        <v>0</v>
      </c>
      <c r="AY9" s="158">
        <f>IF(ISNUMBER('Corrected energy balance step 1'!AY9),'Corrected energy balance step 1'!AY9,0)</f>
        <v>0</v>
      </c>
      <c r="AZ9" s="158">
        <f>IF(ISNUMBER('Corrected energy balance step 1'!AZ9),'Corrected energy balance step 1'!AZ9,0)</f>
        <v>0</v>
      </c>
      <c r="BA9" s="158">
        <f>IF(ISNUMBER('Corrected energy balance step 1'!BA9),'Corrected energy balance step 1'!BA9,0)</f>
        <v>0</v>
      </c>
      <c r="BB9" s="158">
        <f>IF(ISNUMBER('Corrected energy balance step 1'!BB9),'Corrected energy balance step 1'!BB9,0)</f>
        <v>0</v>
      </c>
      <c r="BC9" s="158">
        <f>IF(ISNUMBER('Corrected energy balance step 1'!BC9),'Corrected energy balance step 1'!BC9,0)</f>
        <v>0</v>
      </c>
      <c r="BD9" s="158">
        <f>IF(ISNUMBER('Corrected energy balance step 1'!BD9),'Corrected energy balance step 1'!BD9,0)</f>
        <v>0</v>
      </c>
      <c r="BE9" s="158">
        <f>IF(ISNUMBER('Corrected energy balance step 1'!BE9),'Corrected energy balance step 1'!BE9,0)</f>
        <v>0</v>
      </c>
      <c r="BF9" s="158">
        <f>IF(ISNUMBER('Corrected energy balance step 1'!BF9),'Corrected energy balance step 1'!BF9,0)</f>
        <v>0</v>
      </c>
      <c r="BG9" s="158">
        <f>IF(ISNUMBER('Corrected energy balance step 1'!BG9),'Corrected energy balance step 1'!BG9,0)</f>
        <v>0</v>
      </c>
      <c r="BH9" s="158">
        <f>IF(ISNUMBER('Corrected energy balance step 1'!BH9),'Corrected energy balance step 1'!BH9,0)</f>
        <v>0</v>
      </c>
      <c r="BI9" s="158">
        <f>IF(ISNUMBER('Corrected energy balance step 1'!BI9),'Corrected energy balance step 1'!BI9,0)</f>
        <v>0</v>
      </c>
      <c r="BJ9" s="158">
        <f>IF(ISNUMBER('Corrected energy balance step 1'!BJ9),'Corrected energy balance step 1'!BJ9,0)</f>
        <v>0</v>
      </c>
      <c r="BK9" s="158">
        <f>IF(ISNUMBER('Corrected energy balance step 1'!BK9),'Corrected energy balance step 1'!BK9,0)</f>
        <v>0</v>
      </c>
      <c r="BL9" s="158">
        <f>IF(ISNUMBER('Corrected energy balance step 1'!BL9),'Corrected energy balance step 1'!BL9,0)</f>
        <v>0</v>
      </c>
      <c r="BM9" s="158">
        <f>IF(ISNUMBER('Corrected energy balance step 1'!BM9),'Corrected energy balance step 1'!BM9,0)</f>
        <v>0</v>
      </c>
      <c r="BN9" s="156">
        <f>SUM(C9:BM9)</f>
        <v>0</v>
      </c>
      <c r="BO9" s="159">
        <f>'Corrected energy balance step 1'!BO9</f>
        <v>0</v>
      </c>
    </row>
    <row r="10" spans="2:69" x14ac:dyDescent="0.2">
      <c r="B10" s="32" t="s">
        <v>52</v>
      </c>
      <c r="C10" s="160">
        <f>IF(ISNUMBER('Corrected energy balance step 1'!C10),'Corrected energy balance step 1'!C10,0)</f>
        <v>0</v>
      </c>
      <c r="D10" s="160">
        <f>IF(ISNUMBER('Corrected energy balance step 1'!D10),'Corrected energy balance step 1'!D10,0)</f>
        <v>0</v>
      </c>
      <c r="E10" s="160">
        <f>IF(ISNUMBER('Corrected energy balance step 1'!E10),'Corrected energy balance step 1'!E10,0)</f>
        <v>0</v>
      </c>
      <c r="F10" s="160">
        <f>IF(ISNUMBER('Corrected energy balance step 1'!F10),'Corrected energy balance step 1'!F10,0)</f>
        <v>0</v>
      </c>
      <c r="G10" s="160">
        <f>IF(ISNUMBER('Corrected energy balance step 1'!G10),'Corrected energy balance step 1'!G10,0)</f>
        <v>0</v>
      </c>
      <c r="H10" s="160">
        <f>IF(ISNUMBER('Corrected energy balance step 1'!H10),'Corrected energy balance step 1'!H10,0)</f>
        <v>0</v>
      </c>
      <c r="I10" s="160">
        <f>IF(ISNUMBER('Corrected energy balance step 1'!I10),'Corrected energy balance step 1'!I10,0)</f>
        <v>0</v>
      </c>
      <c r="J10" s="160">
        <f>IF(ISNUMBER('Corrected energy balance step 1'!J10),'Corrected energy balance step 1'!J10,0)</f>
        <v>0</v>
      </c>
      <c r="K10" s="160">
        <f>IF(ISNUMBER('Corrected energy balance step 1'!K10),'Corrected energy balance step 1'!K10,0)</f>
        <v>0</v>
      </c>
      <c r="L10" s="160">
        <f>IF(ISNUMBER('Corrected energy balance step 1'!L10),'Corrected energy balance step 1'!L10,0)</f>
        <v>0</v>
      </c>
      <c r="M10" s="160">
        <f>IF(ISNUMBER('Corrected energy balance step 1'!M10),'Corrected energy balance step 1'!M10,0)</f>
        <v>0</v>
      </c>
      <c r="N10" s="160">
        <f>IF(ISNUMBER('Corrected energy balance step 1'!N10),'Corrected energy balance step 1'!N10,0)</f>
        <v>0</v>
      </c>
      <c r="O10" s="160">
        <f>IF(ISNUMBER('Corrected energy balance step 1'!O10),'Corrected energy balance step 1'!O10,0)</f>
        <v>0</v>
      </c>
      <c r="P10" s="160">
        <f>IF(ISNUMBER('Corrected energy balance step 1'!P10),'Corrected energy balance step 1'!P10,0)</f>
        <v>0</v>
      </c>
      <c r="Q10" s="160">
        <f>IF(ISNUMBER('Corrected energy balance step 1'!Q10),'Corrected energy balance step 1'!Q10,0)</f>
        <v>0</v>
      </c>
      <c r="R10" s="160">
        <f>IF(ISNUMBER('Corrected energy balance step 1'!R10),'Corrected energy balance step 1'!R10,0)</f>
        <v>0</v>
      </c>
      <c r="S10" s="160">
        <f>IF(ISNUMBER('Corrected energy balance step 1'!S10),'Corrected energy balance step 1'!S10,0)</f>
        <v>0</v>
      </c>
      <c r="T10" s="160">
        <f>IF(ISNUMBER('Corrected energy balance step 1'!T10),'Corrected energy balance step 1'!T10,0)</f>
        <v>0</v>
      </c>
      <c r="U10" s="160">
        <f>IF(ISNUMBER('Corrected energy balance step 1'!U10),'Corrected energy balance step 1'!U10,0)</f>
        <v>0</v>
      </c>
      <c r="V10" s="160">
        <f>IF(ISNUMBER('Corrected energy balance step 1'!V10),'Corrected energy balance step 1'!V10,0)</f>
        <v>0</v>
      </c>
      <c r="W10" s="160">
        <f>IF(ISNUMBER('Corrected energy balance step 1'!W10),'Corrected energy balance step 1'!W10,0)</f>
        <v>0</v>
      </c>
      <c r="X10" s="160">
        <f>IF(ISNUMBER('Corrected energy balance step 1'!X10),'Corrected energy balance step 1'!X10,0)</f>
        <v>0</v>
      </c>
      <c r="Y10" s="160">
        <f>IF(ISNUMBER('Corrected energy balance step 1'!Y10),'Corrected energy balance step 1'!Y10,0)</f>
        <v>0</v>
      </c>
      <c r="Z10" s="160">
        <f>IF(ISNUMBER('Corrected energy balance step 1'!Z10),'Corrected energy balance step 1'!Z10,0)</f>
        <v>0</v>
      </c>
      <c r="AA10" s="160">
        <f>IF(ISNUMBER('Corrected energy balance step 1'!AA10),'Corrected energy balance step 1'!AA10,0)</f>
        <v>0</v>
      </c>
      <c r="AB10" s="160">
        <f>IF(ISNUMBER('Corrected energy balance step 1'!AB10),'Corrected energy balance step 1'!AB10,0)</f>
        <v>0</v>
      </c>
      <c r="AC10" s="160">
        <f>IF(ISNUMBER('Corrected energy balance step 1'!AC10),'Corrected energy balance step 1'!AC10,0)</f>
        <v>0</v>
      </c>
      <c r="AD10" s="160">
        <f>IF(ISNUMBER('Corrected energy balance step 1'!AD10),'Corrected energy balance step 1'!AD10,0)</f>
        <v>0</v>
      </c>
      <c r="AE10" s="160">
        <f>IF(ISNUMBER('Corrected energy balance step 1'!AE10),'Corrected energy balance step 1'!AE10,0)</f>
        <v>0</v>
      </c>
      <c r="AF10" s="160">
        <f>IF(ISNUMBER('Corrected energy balance step 1'!AF10),'Corrected energy balance step 1'!AF10,0)</f>
        <v>0</v>
      </c>
      <c r="AG10" s="160">
        <f>IF(ISNUMBER('Corrected energy balance step 1'!AG10),'Corrected energy balance step 1'!AG10,0)</f>
        <v>0</v>
      </c>
      <c r="AH10" s="160">
        <f>IF(ISNUMBER('Corrected energy balance step 1'!AH10),'Corrected energy balance step 1'!AH10,0)</f>
        <v>0</v>
      </c>
      <c r="AI10" s="160">
        <f>IF(ISNUMBER('Corrected energy balance step 1'!AI10),'Corrected energy balance step 1'!AI10,0)</f>
        <v>0</v>
      </c>
      <c r="AJ10" s="160">
        <f>IF(ISNUMBER('Corrected energy balance step 1'!AJ10),'Corrected energy balance step 1'!AJ10,0)</f>
        <v>0</v>
      </c>
      <c r="AK10" s="160">
        <f>IF(ISNUMBER('Corrected energy balance step 1'!AK10),'Corrected energy balance step 1'!AK10,0)</f>
        <v>0</v>
      </c>
      <c r="AL10" s="160">
        <f>IF(ISNUMBER('Corrected energy balance step 1'!AL10),'Corrected energy balance step 1'!AL10,0)</f>
        <v>0</v>
      </c>
      <c r="AM10" s="160">
        <f>IF(ISNUMBER('Corrected energy balance step 1'!AM10),'Corrected energy balance step 1'!AM10,0)</f>
        <v>0</v>
      </c>
      <c r="AN10" s="160">
        <f>IF(ISNUMBER('Corrected energy balance step 1'!AN10),'Corrected energy balance step 1'!AN10,0)</f>
        <v>0</v>
      </c>
      <c r="AO10" s="160">
        <f>IF(ISNUMBER('Corrected energy balance step 1'!AO10),'Corrected energy balance step 1'!AO10,0)</f>
        <v>0</v>
      </c>
      <c r="AP10" s="160">
        <f>IF(ISNUMBER('Corrected energy balance step 1'!AP10),'Corrected energy balance step 1'!AP10,0)</f>
        <v>0</v>
      </c>
      <c r="AQ10" s="160">
        <f>IF(ISNUMBER('Corrected energy balance step 1'!AQ10),'Corrected energy balance step 1'!AQ10,0)</f>
        <v>0</v>
      </c>
      <c r="AR10" s="160">
        <f>IF(ISNUMBER('Corrected energy balance step 1'!AR10),'Corrected energy balance step 1'!AR10,0)</f>
        <v>0</v>
      </c>
      <c r="AS10" s="160">
        <f>IF(ISNUMBER('Corrected energy balance step 1'!AS10),'Corrected energy balance step 1'!AS10,0)</f>
        <v>0</v>
      </c>
      <c r="AT10" s="160">
        <f>IF(ISNUMBER('Corrected energy balance step 1'!AT10),'Corrected energy balance step 1'!AT10,0)</f>
        <v>0</v>
      </c>
      <c r="AU10" s="160">
        <f>IF(ISNUMBER('Corrected energy balance step 1'!AU10),'Corrected energy balance step 1'!AU10,0)</f>
        <v>0</v>
      </c>
      <c r="AV10" s="160">
        <f>IF(ISNUMBER('Corrected energy balance step 1'!AV10),'Corrected energy balance step 1'!AV10,0)</f>
        <v>0</v>
      </c>
      <c r="AW10" s="160">
        <f>IF(ISNUMBER('Corrected energy balance step 1'!AW10),'Corrected energy balance step 1'!AW10,0)</f>
        <v>0</v>
      </c>
      <c r="AX10" s="160">
        <f>IF(ISNUMBER('Corrected energy balance step 1'!AX10),'Corrected energy balance step 1'!AX10,0)</f>
        <v>0</v>
      </c>
      <c r="AY10" s="160">
        <f>IF(ISNUMBER('Corrected energy balance step 1'!AY10),'Corrected energy balance step 1'!AY10,0)</f>
        <v>0</v>
      </c>
      <c r="AZ10" s="160">
        <f>IF(ISNUMBER('Corrected energy balance step 1'!AZ10),'Corrected energy balance step 1'!AZ10,0)</f>
        <v>0</v>
      </c>
      <c r="BA10" s="160">
        <f>IF(ISNUMBER('Corrected energy balance step 1'!BA10),'Corrected energy balance step 1'!BA10,0)</f>
        <v>0</v>
      </c>
      <c r="BB10" s="160">
        <f>IF(ISNUMBER('Corrected energy balance step 1'!BB10),'Corrected energy balance step 1'!BB10,0)</f>
        <v>0</v>
      </c>
      <c r="BC10" s="160">
        <f>IF(ISNUMBER('Corrected energy balance step 1'!BC10),'Corrected energy balance step 1'!BC10,0)</f>
        <v>0</v>
      </c>
      <c r="BD10" s="160">
        <f>IF(ISNUMBER('Corrected energy balance step 1'!BD10),'Corrected energy balance step 1'!BD10,0)</f>
        <v>0</v>
      </c>
      <c r="BE10" s="160">
        <f>IF(ISNUMBER('Corrected energy balance step 1'!BE10),'Corrected energy balance step 1'!BE10,0)</f>
        <v>0</v>
      </c>
      <c r="BF10" s="160">
        <f>IF(ISNUMBER('Corrected energy balance step 1'!BF10),'Corrected energy balance step 1'!BF10,0)</f>
        <v>0</v>
      </c>
      <c r="BG10" s="160">
        <f>IF(ISNUMBER('Corrected energy balance step 1'!BG10),'Corrected energy balance step 1'!BG10,0)</f>
        <v>0</v>
      </c>
      <c r="BH10" s="160">
        <f>IF(ISNUMBER('Corrected energy balance step 1'!BH10),'Corrected energy balance step 1'!BH10,0)</f>
        <v>0</v>
      </c>
      <c r="BI10" s="160">
        <f>IF(ISNUMBER('Corrected energy balance step 1'!BI10),'Corrected energy balance step 1'!BI10,0)</f>
        <v>0</v>
      </c>
      <c r="BJ10" s="160">
        <f>IF(ISNUMBER('Corrected energy balance step 1'!BJ10),'Corrected energy balance step 1'!BJ10,0)</f>
        <v>0</v>
      </c>
      <c r="BK10" s="160">
        <f>IF(ISNUMBER('Corrected energy balance step 1'!BK10),'Corrected energy balance step 1'!BK10,0)</f>
        <v>0</v>
      </c>
      <c r="BL10" s="160">
        <f>IF(ISNUMBER('Corrected energy balance step 1'!BL10),'Corrected energy balance step 1'!BL10,0)</f>
        <v>0</v>
      </c>
      <c r="BM10" s="160">
        <f>IF(ISNUMBER('Corrected energy balance step 1'!BM10),'Corrected energy balance step 1'!BM10,0)</f>
        <v>0</v>
      </c>
      <c r="BN10" s="161">
        <f t="shared" ref="BN10:BN14" si="0">SUM(C10:BM10)</f>
        <v>0</v>
      </c>
      <c r="BO10" s="162">
        <f>'Corrected energy balance step 1'!BO10</f>
        <v>0</v>
      </c>
    </row>
    <row r="11" spans="2:69" x14ac:dyDescent="0.2">
      <c r="B11" s="32" t="s">
        <v>53</v>
      </c>
      <c r="C11" s="160">
        <f>IF(ISNUMBER('Corrected energy balance step 1'!C11),'Corrected energy balance step 1'!C11,0)</f>
        <v>0</v>
      </c>
      <c r="D11" s="160">
        <f>IF(ISNUMBER('Corrected energy balance step 1'!D11),'Corrected energy balance step 1'!D11,0)</f>
        <v>0</v>
      </c>
      <c r="E11" s="160">
        <f>IF(ISNUMBER('Corrected energy balance step 1'!E11),'Corrected energy balance step 1'!E11,0)</f>
        <v>0</v>
      </c>
      <c r="F11" s="160">
        <f>IF(ISNUMBER('Corrected energy balance step 1'!F11),'Corrected energy balance step 1'!F11,0)</f>
        <v>0</v>
      </c>
      <c r="G11" s="160">
        <f>IF(ISNUMBER('Corrected energy balance step 1'!G11),'Corrected energy balance step 1'!G11,0)</f>
        <v>0</v>
      </c>
      <c r="H11" s="160">
        <f>IF(ISNUMBER('Corrected energy balance step 1'!H11),'Corrected energy balance step 1'!H11,0)</f>
        <v>0</v>
      </c>
      <c r="I11" s="160">
        <f>IF(ISNUMBER('Corrected energy balance step 1'!I11),'Corrected energy balance step 1'!I11,0)</f>
        <v>0</v>
      </c>
      <c r="J11" s="160">
        <f>IF(ISNUMBER('Corrected energy balance step 1'!J11),'Corrected energy balance step 1'!J11,0)</f>
        <v>0</v>
      </c>
      <c r="K11" s="160">
        <f>IF(ISNUMBER('Corrected energy balance step 1'!K11),'Corrected energy balance step 1'!K11,0)</f>
        <v>0</v>
      </c>
      <c r="L11" s="160">
        <f>IF(ISNUMBER('Corrected energy balance step 1'!L11),'Corrected energy balance step 1'!L11,0)</f>
        <v>0</v>
      </c>
      <c r="M11" s="160">
        <f>IF(ISNUMBER('Corrected energy balance step 1'!M11),'Corrected energy balance step 1'!M11,0)</f>
        <v>0</v>
      </c>
      <c r="N11" s="160">
        <f>IF(ISNUMBER('Corrected energy balance step 1'!N11),'Corrected energy balance step 1'!N11,0)</f>
        <v>0</v>
      </c>
      <c r="O11" s="160">
        <f>IF(ISNUMBER('Corrected energy balance step 1'!O11),'Corrected energy balance step 1'!O11,0)</f>
        <v>0</v>
      </c>
      <c r="P11" s="160">
        <f>IF(ISNUMBER('Corrected energy balance step 1'!P11),'Corrected energy balance step 1'!P11,0)</f>
        <v>0</v>
      </c>
      <c r="Q11" s="160">
        <f>IF(ISNUMBER('Corrected energy balance step 1'!Q11),'Corrected energy balance step 1'!Q11,0)</f>
        <v>0</v>
      </c>
      <c r="R11" s="160">
        <f>IF(ISNUMBER('Corrected energy balance step 1'!R11),'Corrected energy balance step 1'!R11,0)</f>
        <v>0</v>
      </c>
      <c r="S11" s="160">
        <f>IF(ISNUMBER('Corrected energy balance step 1'!S11),'Corrected energy balance step 1'!S11,0)</f>
        <v>0</v>
      </c>
      <c r="T11" s="160">
        <f>IF(ISNUMBER('Corrected energy balance step 1'!T11),'Corrected energy balance step 1'!T11,0)</f>
        <v>0</v>
      </c>
      <c r="U11" s="160">
        <f>IF(ISNUMBER('Corrected energy balance step 1'!U11),'Corrected energy balance step 1'!U11,0)</f>
        <v>0</v>
      </c>
      <c r="V11" s="160">
        <f>IF(ISNUMBER('Corrected energy balance step 1'!V11),'Corrected energy balance step 1'!V11,0)</f>
        <v>0</v>
      </c>
      <c r="W11" s="160">
        <f>IF(ISNUMBER('Corrected energy balance step 1'!W11),'Corrected energy balance step 1'!W11,0)</f>
        <v>0</v>
      </c>
      <c r="X11" s="160">
        <f>IF(ISNUMBER('Corrected energy balance step 1'!X11),'Corrected energy balance step 1'!X11,0)</f>
        <v>0</v>
      </c>
      <c r="Y11" s="160">
        <f>IF(ISNUMBER('Corrected energy balance step 1'!Y11),'Corrected energy balance step 1'!Y11,0)</f>
        <v>0</v>
      </c>
      <c r="Z11" s="160">
        <f>IF(ISNUMBER('Corrected energy balance step 1'!Z11),'Corrected energy balance step 1'!Z11,0)</f>
        <v>0</v>
      </c>
      <c r="AA11" s="160">
        <f>IF(ISNUMBER('Corrected energy balance step 1'!AA11),'Corrected energy balance step 1'!AA11,0)</f>
        <v>0</v>
      </c>
      <c r="AB11" s="160">
        <f>IF(ISNUMBER('Corrected energy balance step 1'!AB11),'Corrected energy balance step 1'!AB11,0)</f>
        <v>0</v>
      </c>
      <c r="AC11" s="160">
        <f>IF(ISNUMBER('Corrected energy balance step 1'!AC11),'Corrected energy balance step 1'!AC11,0)</f>
        <v>0</v>
      </c>
      <c r="AD11" s="160">
        <f>IF(ISNUMBER('Corrected energy balance step 1'!AD11),'Corrected energy balance step 1'!AD11,0)</f>
        <v>0</v>
      </c>
      <c r="AE11" s="160">
        <f>IF(ISNUMBER('Corrected energy balance step 1'!AE11),'Corrected energy balance step 1'!AE11,0)</f>
        <v>0</v>
      </c>
      <c r="AF11" s="160">
        <f>IF(ISNUMBER('Corrected energy balance step 1'!AF11),'Corrected energy balance step 1'!AF11,0)</f>
        <v>0</v>
      </c>
      <c r="AG11" s="160">
        <f>IF(ISNUMBER('Corrected energy balance step 1'!AG11),'Corrected energy balance step 1'!AG11,0)</f>
        <v>0</v>
      </c>
      <c r="AH11" s="160">
        <f>IF(ISNUMBER('Corrected energy balance step 1'!AH11),'Corrected energy balance step 1'!AH11,0)</f>
        <v>0</v>
      </c>
      <c r="AI11" s="160">
        <f>IF(ISNUMBER('Corrected energy balance step 1'!AI11),'Corrected energy balance step 1'!AI11,0)</f>
        <v>0</v>
      </c>
      <c r="AJ11" s="160">
        <f>IF(ISNUMBER('Corrected energy balance step 1'!AJ11),'Corrected energy balance step 1'!AJ11,0)</f>
        <v>0</v>
      </c>
      <c r="AK11" s="160">
        <f>IF(ISNUMBER('Corrected energy balance step 1'!AK11),'Corrected energy balance step 1'!AK11,0)</f>
        <v>0</v>
      </c>
      <c r="AL11" s="160">
        <f>IF(ISNUMBER('Corrected energy balance step 1'!AL11),'Corrected energy balance step 1'!AL11,0)</f>
        <v>0</v>
      </c>
      <c r="AM11" s="160">
        <f>IF(ISNUMBER('Corrected energy balance step 1'!AM11),'Corrected energy balance step 1'!AM11,0)</f>
        <v>0</v>
      </c>
      <c r="AN11" s="160">
        <f>IF(ISNUMBER('Corrected energy balance step 1'!AN11),'Corrected energy balance step 1'!AN11,0)</f>
        <v>0</v>
      </c>
      <c r="AO11" s="160">
        <f>IF(ISNUMBER('Corrected energy balance step 1'!AO11),'Corrected energy balance step 1'!AO11,0)</f>
        <v>0</v>
      </c>
      <c r="AP11" s="160">
        <f>IF(ISNUMBER('Corrected energy balance step 1'!AP11),'Corrected energy balance step 1'!AP11,0)</f>
        <v>0</v>
      </c>
      <c r="AQ11" s="160">
        <f>IF(ISNUMBER('Corrected energy balance step 1'!AQ11),'Corrected energy balance step 1'!AQ11,0)</f>
        <v>0</v>
      </c>
      <c r="AR11" s="160">
        <f>IF(ISNUMBER('Corrected energy balance step 1'!AR11),'Corrected energy balance step 1'!AR11,0)</f>
        <v>0</v>
      </c>
      <c r="AS11" s="160">
        <f>IF(ISNUMBER('Corrected energy balance step 1'!AS11),'Corrected energy balance step 1'!AS11,0)</f>
        <v>0</v>
      </c>
      <c r="AT11" s="160">
        <f>IF(ISNUMBER('Corrected energy balance step 1'!AT11),'Corrected energy balance step 1'!AT11,0)</f>
        <v>0</v>
      </c>
      <c r="AU11" s="160">
        <f>IF(ISNUMBER('Corrected energy balance step 1'!AU11),'Corrected energy balance step 1'!AU11,0)</f>
        <v>0</v>
      </c>
      <c r="AV11" s="160">
        <f>IF(ISNUMBER('Corrected energy balance step 1'!AV11),'Corrected energy balance step 1'!AV11,0)</f>
        <v>0</v>
      </c>
      <c r="AW11" s="160">
        <f>IF(ISNUMBER('Corrected energy balance step 1'!AW11),'Corrected energy balance step 1'!AW11,0)</f>
        <v>0</v>
      </c>
      <c r="AX11" s="160">
        <f>IF(ISNUMBER('Corrected energy balance step 1'!AX11),'Corrected energy balance step 1'!AX11,0)</f>
        <v>0</v>
      </c>
      <c r="AY11" s="160">
        <f>IF(ISNUMBER('Corrected energy balance step 1'!AY11),'Corrected energy balance step 1'!AY11,0)</f>
        <v>0</v>
      </c>
      <c r="AZ11" s="160">
        <f>IF(ISNUMBER('Corrected energy balance step 1'!AZ11),'Corrected energy balance step 1'!AZ11,0)</f>
        <v>0</v>
      </c>
      <c r="BA11" s="160">
        <f>IF(ISNUMBER('Corrected energy balance step 1'!BA11),'Corrected energy balance step 1'!BA11,0)</f>
        <v>0</v>
      </c>
      <c r="BB11" s="160">
        <f>IF(ISNUMBER('Corrected energy balance step 1'!BB11),'Corrected energy balance step 1'!BB11,0)</f>
        <v>0</v>
      </c>
      <c r="BC11" s="160">
        <f>IF(ISNUMBER('Corrected energy balance step 1'!BC11),'Corrected energy balance step 1'!BC11,0)</f>
        <v>0</v>
      </c>
      <c r="BD11" s="160">
        <f>IF(ISNUMBER('Corrected energy balance step 1'!BD11),'Corrected energy balance step 1'!BD11,0)</f>
        <v>0</v>
      </c>
      <c r="BE11" s="160">
        <f>IF(ISNUMBER('Corrected energy balance step 1'!BE11),'Corrected energy balance step 1'!BE11,0)</f>
        <v>0</v>
      </c>
      <c r="BF11" s="160">
        <f>IF(ISNUMBER('Corrected energy balance step 1'!BF11),'Corrected energy balance step 1'!BF11,0)</f>
        <v>0</v>
      </c>
      <c r="BG11" s="160">
        <f>IF(ISNUMBER('Corrected energy balance step 1'!BG11),'Corrected energy balance step 1'!BG11,0)</f>
        <v>0</v>
      </c>
      <c r="BH11" s="160">
        <f>IF(ISNUMBER('Corrected energy balance step 1'!BH11),'Corrected energy balance step 1'!BH11,0)</f>
        <v>0</v>
      </c>
      <c r="BI11" s="160">
        <f>IF(ISNUMBER('Corrected energy balance step 1'!BI11),'Corrected energy balance step 1'!BI11,0)</f>
        <v>0</v>
      </c>
      <c r="BJ11" s="160">
        <f>IF(ISNUMBER('Corrected energy balance step 1'!BJ11),'Corrected energy balance step 1'!BJ11,0)</f>
        <v>0</v>
      </c>
      <c r="BK11" s="160">
        <f>IF(ISNUMBER('Corrected energy balance step 1'!BK11),'Corrected energy balance step 1'!BK11,0)</f>
        <v>0</v>
      </c>
      <c r="BL11" s="160">
        <f>IF(ISNUMBER('Corrected energy balance step 1'!BL11),'Corrected energy balance step 1'!BL11,0)</f>
        <v>0</v>
      </c>
      <c r="BM11" s="160">
        <f>IF(ISNUMBER('Corrected energy balance step 1'!BM11),'Corrected energy balance step 1'!BM11,0)</f>
        <v>0</v>
      </c>
      <c r="BN11" s="161">
        <f t="shared" si="0"/>
        <v>0</v>
      </c>
      <c r="BO11" s="162">
        <f>'Corrected energy balance step 1'!BO11</f>
        <v>0</v>
      </c>
    </row>
    <row r="12" spans="2:69" x14ac:dyDescent="0.2">
      <c r="B12" s="32" t="s">
        <v>54</v>
      </c>
      <c r="C12" s="158">
        <f>IF(ISNUMBER('Corrected energy balance step 1'!C12),'Corrected energy balance step 1'!C12,0)</f>
        <v>0</v>
      </c>
      <c r="D12" s="158">
        <f>IF(ISNUMBER('Corrected energy balance step 1'!D12),'Corrected energy balance step 1'!D12,0)</f>
        <v>0</v>
      </c>
      <c r="E12" s="158">
        <f>IF(ISNUMBER('Corrected energy balance step 1'!E12),'Corrected energy balance step 1'!E12,0)</f>
        <v>0</v>
      </c>
      <c r="F12" s="158">
        <f>IF(ISNUMBER('Corrected energy balance step 1'!F12),'Corrected energy balance step 1'!F12,0)</f>
        <v>0</v>
      </c>
      <c r="G12" s="158">
        <f>IF(ISNUMBER('Corrected energy balance step 1'!G12),'Corrected energy balance step 1'!G12,0)</f>
        <v>0</v>
      </c>
      <c r="H12" s="158">
        <f>IF(ISNUMBER('Corrected energy balance step 1'!H12),'Corrected energy balance step 1'!H12,0)</f>
        <v>0</v>
      </c>
      <c r="I12" s="158">
        <f>IF(ISNUMBER('Corrected energy balance step 1'!I12),'Corrected energy balance step 1'!I12,0)</f>
        <v>0</v>
      </c>
      <c r="J12" s="158">
        <f>IF(ISNUMBER('Corrected energy balance step 1'!J12),'Corrected energy balance step 1'!J12,0)</f>
        <v>0</v>
      </c>
      <c r="K12" s="158">
        <f>IF(ISNUMBER('Corrected energy balance step 1'!K12),'Corrected energy balance step 1'!K12,0)</f>
        <v>0</v>
      </c>
      <c r="L12" s="158">
        <f>IF(ISNUMBER('Corrected energy balance step 1'!L12),'Corrected energy balance step 1'!L12,0)</f>
        <v>0</v>
      </c>
      <c r="M12" s="158">
        <f>IF(ISNUMBER('Corrected energy balance step 1'!M12),'Corrected energy balance step 1'!M12,0)</f>
        <v>0</v>
      </c>
      <c r="N12" s="158">
        <f>IF(ISNUMBER('Corrected energy balance step 1'!N12),'Corrected energy balance step 1'!N12,0)</f>
        <v>0</v>
      </c>
      <c r="O12" s="158">
        <f>IF(ISNUMBER('Corrected energy balance step 1'!O12),'Corrected energy balance step 1'!O12,0)</f>
        <v>0</v>
      </c>
      <c r="P12" s="158">
        <f>IF(ISNUMBER('Corrected energy balance step 1'!P12),'Corrected energy balance step 1'!P12,0)</f>
        <v>0</v>
      </c>
      <c r="Q12" s="158">
        <f>IF(ISNUMBER('Corrected energy balance step 1'!Q12),'Corrected energy balance step 1'!Q12,0)</f>
        <v>0</v>
      </c>
      <c r="R12" s="158">
        <f>IF(ISNUMBER('Corrected energy balance step 1'!R12),'Corrected energy balance step 1'!R12,0)</f>
        <v>0</v>
      </c>
      <c r="S12" s="158">
        <f>IF(ISNUMBER('Corrected energy balance step 1'!S12),'Corrected energy balance step 1'!S12,0)</f>
        <v>0</v>
      </c>
      <c r="T12" s="158">
        <f>IF(ISNUMBER('Corrected energy balance step 1'!T12),'Corrected energy balance step 1'!T12,0)</f>
        <v>0</v>
      </c>
      <c r="U12" s="158">
        <f>IF(ISNUMBER('Corrected energy balance step 1'!U12),'Corrected energy balance step 1'!U12,0)</f>
        <v>0</v>
      </c>
      <c r="V12" s="158">
        <f>IF(ISNUMBER('Corrected energy balance step 1'!V12),'Corrected energy balance step 1'!V12,0)</f>
        <v>0</v>
      </c>
      <c r="W12" s="158">
        <f>IF(ISNUMBER('Corrected energy balance step 1'!W12),'Corrected energy balance step 1'!W12,0)</f>
        <v>0</v>
      </c>
      <c r="X12" s="158">
        <f>IF(ISNUMBER('Corrected energy balance step 1'!X12),'Corrected energy balance step 1'!X12,0)</f>
        <v>0</v>
      </c>
      <c r="Y12" s="158">
        <f>IF(ISNUMBER('Corrected energy balance step 1'!Y12),'Corrected energy balance step 1'!Y12,0)</f>
        <v>0</v>
      </c>
      <c r="Z12" s="158">
        <f>IF(ISNUMBER('Corrected energy balance step 1'!Z12),'Corrected energy balance step 1'!Z12,0)</f>
        <v>0</v>
      </c>
      <c r="AA12" s="158">
        <f>IF(ISNUMBER('Corrected energy balance step 1'!AA12),'Corrected energy balance step 1'!AA12,0)</f>
        <v>0</v>
      </c>
      <c r="AB12" s="158">
        <f>IF(ISNUMBER('Corrected energy balance step 1'!AB12),'Corrected energy balance step 1'!AB12,0)</f>
        <v>0</v>
      </c>
      <c r="AC12" s="158">
        <f>IF(ISNUMBER('Corrected energy balance step 1'!AC12),'Corrected energy balance step 1'!AC12,0)</f>
        <v>0</v>
      </c>
      <c r="AD12" s="158">
        <f>IF(ISNUMBER('Corrected energy balance step 1'!AD12),'Corrected energy balance step 1'!AD12,0)</f>
        <v>0</v>
      </c>
      <c r="AE12" s="158">
        <f>IF(ISNUMBER('Corrected energy balance step 1'!AE12),'Corrected energy balance step 1'!AE12,0)</f>
        <v>0</v>
      </c>
      <c r="AF12" s="158">
        <f>IF(ISNUMBER('Corrected energy balance step 1'!AF12),'Corrected energy balance step 1'!AF12,0)</f>
        <v>0</v>
      </c>
      <c r="AG12" s="158">
        <f>IF(ISNUMBER('Corrected energy balance step 1'!AG12),'Corrected energy balance step 1'!AG12,0)</f>
        <v>0</v>
      </c>
      <c r="AH12" s="158">
        <f>IF(ISNUMBER('Corrected energy balance step 1'!AH12),'Corrected energy balance step 1'!AH12,0)</f>
        <v>0</v>
      </c>
      <c r="AI12" s="158">
        <f>IF(ISNUMBER('Corrected energy balance step 1'!AI12),'Corrected energy balance step 1'!AI12,0)</f>
        <v>0</v>
      </c>
      <c r="AJ12" s="158">
        <f>IF(ISNUMBER('Corrected energy balance step 1'!AJ12),'Corrected energy balance step 1'!AJ12,0)</f>
        <v>0</v>
      </c>
      <c r="AK12" s="158">
        <f>IF(ISNUMBER('Corrected energy balance step 1'!AK12),'Corrected energy balance step 1'!AK12,0)</f>
        <v>0</v>
      </c>
      <c r="AL12" s="158">
        <f>IF(ISNUMBER('Corrected energy balance step 1'!AL12),'Corrected energy balance step 1'!AL12,0)</f>
        <v>0</v>
      </c>
      <c r="AM12" s="158">
        <f>IF(ISNUMBER('Corrected energy balance step 1'!AM12),'Corrected energy balance step 1'!AM12,0)</f>
        <v>0</v>
      </c>
      <c r="AN12" s="158">
        <f>IF(ISNUMBER('Corrected energy balance step 1'!AN12),'Corrected energy balance step 1'!AN12,0)</f>
        <v>0</v>
      </c>
      <c r="AO12" s="158">
        <f>IF(ISNUMBER('Corrected energy balance step 1'!AO12),'Corrected energy balance step 1'!AO12,0)</f>
        <v>0</v>
      </c>
      <c r="AP12" s="158">
        <f>IF(ISNUMBER('Corrected energy balance step 1'!AP12),'Corrected energy balance step 1'!AP12,0)</f>
        <v>0</v>
      </c>
      <c r="AQ12" s="158">
        <f>IF(ISNUMBER('Corrected energy balance step 1'!AQ12),'Corrected energy balance step 1'!AQ12,0)</f>
        <v>0</v>
      </c>
      <c r="AR12" s="158">
        <f>IF(ISNUMBER('Corrected energy balance step 1'!AR12),'Corrected energy balance step 1'!AR12,0)</f>
        <v>0</v>
      </c>
      <c r="AS12" s="158">
        <f>IF(ISNUMBER('Corrected energy balance step 1'!AS12),'Corrected energy balance step 1'!AS12,0)</f>
        <v>0</v>
      </c>
      <c r="AT12" s="158">
        <f>IF(ISNUMBER('Corrected energy balance step 1'!AT12),'Corrected energy balance step 1'!AT12,0)</f>
        <v>0</v>
      </c>
      <c r="AU12" s="158">
        <f>IF(ISNUMBER('Corrected energy balance step 1'!AU12),'Corrected energy balance step 1'!AU12,0)</f>
        <v>0</v>
      </c>
      <c r="AV12" s="158">
        <f>IF(ISNUMBER('Corrected energy balance step 1'!AV12),'Corrected energy balance step 1'!AV12,0)</f>
        <v>0</v>
      </c>
      <c r="AW12" s="158">
        <f>IF(ISNUMBER('Corrected energy balance step 1'!AW12),'Corrected energy balance step 1'!AW12,0)</f>
        <v>0</v>
      </c>
      <c r="AX12" s="158">
        <f>IF(ISNUMBER('Corrected energy balance step 1'!AX12),'Corrected energy balance step 1'!AX12,0)</f>
        <v>0</v>
      </c>
      <c r="AY12" s="158">
        <f>IF(ISNUMBER('Corrected energy balance step 1'!AY12),'Corrected energy balance step 1'!AY12,0)</f>
        <v>0</v>
      </c>
      <c r="AZ12" s="158">
        <f>IF(ISNUMBER('Corrected energy balance step 1'!AZ12),'Corrected energy balance step 1'!AZ12,0)</f>
        <v>0</v>
      </c>
      <c r="BA12" s="158">
        <f>IF(ISNUMBER('Corrected energy balance step 1'!BA12),'Corrected energy balance step 1'!BA12,0)</f>
        <v>0</v>
      </c>
      <c r="BB12" s="158">
        <f>IF(ISNUMBER('Corrected energy balance step 1'!BB12),'Corrected energy balance step 1'!BB12,0)</f>
        <v>0</v>
      </c>
      <c r="BC12" s="158">
        <f>IF(ISNUMBER('Corrected energy balance step 1'!BC12),'Corrected energy balance step 1'!BC12,0)</f>
        <v>0</v>
      </c>
      <c r="BD12" s="158">
        <f>IF(ISNUMBER('Corrected energy balance step 1'!BD12),'Corrected energy balance step 1'!BD12,0)</f>
        <v>0</v>
      </c>
      <c r="BE12" s="158">
        <f>IF(ISNUMBER('Corrected energy balance step 1'!BE12),'Corrected energy balance step 1'!BE12,0)</f>
        <v>0</v>
      </c>
      <c r="BF12" s="158">
        <f>IF(ISNUMBER('Corrected energy balance step 1'!BF12),'Corrected energy balance step 1'!BF12,0)</f>
        <v>0</v>
      </c>
      <c r="BG12" s="158">
        <f>IF(ISNUMBER('Corrected energy balance step 1'!BG12),'Corrected energy balance step 1'!BG12,0)</f>
        <v>0</v>
      </c>
      <c r="BH12" s="158">
        <f>IF(ISNUMBER('Corrected energy balance step 1'!BH12),'Corrected energy balance step 1'!BH12,0)</f>
        <v>0</v>
      </c>
      <c r="BI12" s="158">
        <f>IF(ISNUMBER('Corrected energy balance step 1'!BI12),'Corrected energy balance step 1'!BI12,0)</f>
        <v>0</v>
      </c>
      <c r="BJ12" s="158">
        <f>IF(ISNUMBER('Corrected energy balance step 1'!BJ12),'Corrected energy balance step 1'!BJ12,0)</f>
        <v>0</v>
      </c>
      <c r="BK12" s="158">
        <f>IF(ISNUMBER('Corrected energy balance step 1'!BK12),'Corrected energy balance step 1'!BK12,0)</f>
        <v>0</v>
      </c>
      <c r="BL12" s="158">
        <f>IF(ISNUMBER('Corrected energy balance step 1'!BL12),'Corrected energy balance step 1'!BL12,0)</f>
        <v>0</v>
      </c>
      <c r="BM12" s="158">
        <f>IF(ISNUMBER('Corrected energy balance step 1'!BM12),'Corrected energy balance step 1'!BM12,0)</f>
        <v>0</v>
      </c>
      <c r="BN12" s="156">
        <f t="shared" si="0"/>
        <v>0</v>
      </c>
      <c r="BO12" s="159">
        <f>'Corrected energy balance step 1'!BO12</f>
        <v>0</v>
      </c>
    </row>
    <row r="13" spans="2:69" x14ac:dyDescent="0.2">
      <c r="B13" s="32" t="s">
        <v>55</v>
      </c>
      <c r="C13" s="158">
        <f>IF(ISNUMBER('Corrected energy balance step 1'!C13),'Corrected energy balance step 1'!C13,0)</f>
        <v>0</v>
      </c>
      <c r="D13" s="158">
        <f>IF(ISNUMBER('Corrected energy balance step 1'!D13),'Corrected energy balance step 1'!D13,0)</f>
        <v>0</v>
      </c>
      <c r="E13" s="158">
        <f>IF(ISNUMBER('Corrected energy balance step 1'!E13),'Corrected energy balance step 1'!E13,0)</f>
        <v>0</v>
      </c>
      <c r="F13" s="158">
        <f>IF(ISNUMBER('Corrected energy balance step 1'!F13),'Corrected energy balance step 1'!F13,0)</f>
        <v>0</v>
      </c>
      <c r="G13" s="158">
        <f>IF(ISNUMBER('Corrected energy balance step 1'!G13),'Corrected energy balance step 1'!G13,0)</f>
        <v>0</v>
      </c>
      <c r="H13" s="158">
        <f>IF(ISNUMBER('Corrected energy balance step 1'!H13),'Corrected energy balance step 1'!H13,0)</f>
        <v>0</v>
      </c>
      <c r="I13" s="158">
        <f>IF(ISNUMBER('Corrected energy balance step 1'!I13),'Corrected energy balance step 1'!I13,0)</f>
        <v>0</v>
      </c>
      <c r="J13" s="158">
        <f>IF(ISNUMBER('Corrected energy balance step 1'!J13),'Corrected energy balance step 1'!J13,0)</f>
        <v>0</v>
      </c>
      <c r="K13" s="158">
        <f>IF(ISNUMBER('Corrected energy balance step 1'!K13),'Corrected energy balance step 1'!K13,0)</f>
        <v>0</v>
      </c>
      <c r="L13" s="158">
        <f>IF(ISNUMBER('Corrected energy balance step 1'!L13),'Corrected energy balance step 1'!L13,0)</f>
        <v>0</v>
      </c>
      <c r="M13" s="158">
        <f>IF(ISNUMBER('Corrected energy balance step 1'!M13),'Corrected energy balance step 1'!M13,0)</f>
        <v>0</v>
      </c>
      <c r="N13" s="158">
        <f>IF(ISNUMBER('Corrected energy balance step 1'!N13),'Corrected energy balance step 1'!N13,0)</f>
        <v>0</v>
      </c>
      <c r="O13" s="158">
        <f>IF(ISNUMBER('Corrected energy balance step 1'!O13),'Corrected energy balance step 1'!O13,0)</f>
        <v>0</v>
      </c>
      <c r="P13" s="158">
        <f>IF(ISNUMBER('Corrected energy balance step 1'!P13),'Corrected energy balance step 1'!P13,0)</f>
        <v>0</v>
      </c>
      <c r="Q13" s="158">
        <f>IF(ISNUMBER('Corrected energy balance step 1'!Q13),'Corrected energy balance step 1'!Q13,0)</f>
        <v>0</v>
      </c>
      <c r="R13" s="158">
        <f>IF(ISNUMBER('Corrected energy balance step 1'!R13),'Corrected energy balance step 1'!R13,0)</f>
        <v>0</v>
      </c>
      <c r="S13" s="158">
        <f>IF(ISNUMBER('Corrected energy balance step 1'!S13),'Corrected energy balance step 1'!S13,0)</f>
        <v>0</v>
      </c>
      <c r="T13" s="158">
        <f>IF(ISNUMBER('Corrected energy balance step 1'!T13),'Corrected energy balance step 1'!T13,0)</f>
        <v>0</v>
      </c>
      <c r="U13" s="158">
        <f>IF(ISNUMBER('Corrected energy balance step 1'!U13),'Corrected energy balance step 1'!U13,0)</f>
        <v>0</v>
      </c>
      <c r="V13" s="158">
        <f>IF(ISNUMBER('Corrected energy balance step 1'!V13),'Corrected energy balance step 1'!V13,0)</f>
        <v>0</v>
      </c>
      <c r="W13" s="158">
        <f>IF(ISNUMBER('Corrected energy balance step 1'!W13),'Corrected energy balance step 1'!W13,0)</f>
        <v>0</v>
      </c>
      <c r="X13" s="158">
        <f>IF(ISNUMBER('Corrected energy balance step 1'!X13),'Corrected energy balance step 1'!X13,0)</f>
        <v>0</v>
      </c>
      <c r="Y13" s="158">
        <f>IF(ISNUMBER('Corrected energy balance step 1'!Y13),'Corrected energy balance step 1'!Y13,0)</f>
        <v>0</v>
      </c>
      <c r="Z13" s="158">
        <f>IF(ISNUMBER('Corrected energy balance step 1'!Z13),'Corrected energy balance step 1'!Z13,0)</f>
        <v>0</v>
      </c>
      <c r="AA13" s="158">
        <f>IF(ISNUMBER('Corrected energy balance step 1'!AA13),'Corrected energy balance step 1'!AA13,0)</f>
        <v>0</v>
      </c>
      <c r="AB13" s="158">
        <f>IF(ISNUMBER('Corrected energy balance step 1'!AB13),'Corrected energy balance step 1'!AB13,0)</f>
        <v>0</v>
      </c>
      <c r="AC13" s="158">
        <f>IF(ISNUMBER('Corrected energy balance step 1'!AC13),'Corrected energy balance step 1'!AC13,0)</f>
        <v>0</v>
      </c>
      <c r="AD13" s="158">
        <f>IF(ISNUMBER('Corrected energy balance step 1'!AD13),'Corrected energy balance step 1'!AD13,0)</f>
        <v>0</v>
      </c>
      <c r="AE13" s="158">
        <f>IF(ISNUMBER('Corrected energy balance step 1'!AE13),'Corrected energy balance step 1'!AE13,0)</f>
        <v>0</v>
      </c>
      <c r="AF13" s="158">
        <f>IF(ISNUMBER('Corrected energy balance step 1'!AF13),'Corrected energy balance step 1'!AF13,0)</f>
        <v>0</v>
      </c>
      <c r="AG13" s="158">
        <f>IF(ISNUMBER('Corrected energy balance step 1'!AG13),'Corrected energy balance step 1'!AG13,0)</f>
        <v>0</v>
      </c>
      <c r="AH13" s="158">
        <f>IF(ISNUMBER('Corrected energy balance step 1'!AH13),'Corrected energy balance step 1'!AH13,0)</f>
        <v>0</v>
      </c>
      <c r="AI13" s="158">
        <f>IF(ISNUMBER('Corrected energy balance step 1'!AI13),'Corrected energy balance step 1'!AI13,0)</f>
        <v>0</v>
      </c>
      <c r="AJ13" s="158">
        <f>IF(ISNUMBER('Corrected energy balance step 1'!AJ13),'Corrected energy balance step 1'!AJ13,0)</f>
        <v>0</v>
      </c>
      <c r="AK13" s="158">
        <f>IF(ISNUMBER('Corrected energy balance step 1'!AK13),'Corrected energy balance step 1'!AK13,0)</f>
        <v>0</v>
      </c>
      <c r="AL13" s="158">
        <f>IF(ISNUMBER('Corrected energy balance step 1'!AL13),'Corrected energy balance step 1'!AL13,0)</f>
        <v>0</v>
      </c>
      <c r="AM13" s="158">
        <f>IF(ISNUMBER('Corrected energy balance step 1'!AM13),'Corrected energy balance step 1'!AM13,0)</f>
        <v>0</v>
      </c>
      <c r="AN13" s="158">
        <f>IF(ISNUMBER('Corrected energy balance step 1'!AN13),'Corrected energy balance step 1'!AN13,0)</f>
        <v>0</v>
      </c>
      <c r="AO13" s="158">
        <f>IF(ISNUMBER('Corrected energy balance step 1'!AO13),'Corrected energy balance step 1'!AO13,0)</f>
        <v>0</v>
      </c>
      <c r="AP13" s="158">
        <f>IF(ISNUMBER('Corrected energy balance step 1'!AP13),'Corrected energy balance step 1'!AP13,0)</f>
        <v>0</v>
      </c>
      <c r="AQ13" s="158">
        <f>IF(ISNUMBER('Corrected energy balance step 1'!AQ13),'Corrected energy balance step 1'!AQ13,0)</f>
        <v>0</v>
      </c>
      <c r="AR13" s="158">
        <f>IF(ISNUMBER('Corrected energy balance step 1'!AR13),'Corrected energy balance step 1'!AR13,0)</f>
        <v>0</v>
      </c>
      <c r="AS13" s="158">
        <f>IF(ISNUMBER('Corrected energy balance step 1'!AS13),'Corrected energy balance step 1'!AS13,0)</f>
        <v>0</v>
      </c>
      <c r="AT13" s="158">
        <f>IF(ISNUMBER('Corrected energy balance step 1'!AT13),'Corrected energy balance step 1'!AT13,0)</f>
        <v>0</v>
      </c>
      <c r="AU13" s="158">
        <f>IF(ISNUMBER('Corrected energy balance step 1'!AU13),'Corrected energy balance step 1'!AU13,0)</f>
        <v>0</v>
      </c>
      <c r="AV13" s="158">
        <f>IF(ISNUMBER('Corrected energy balance step 1'!AV13),'Corrected energy balance step 1'!AV13,0)</f>
        <v>0</v>
      </c>
      <c r="AW13" s="158">
        <f>IF(ISNUMBER('Corrected energy balance step 1'!AW13),'Corrected energy balance step 1'!AW13,0)</f>
        <v>0</v>
      </c>
      <c r="AX13" s="158">
        <f>IF(ISNUMBER('Corrected energy balance step 1'!AX13),'Corrected energy balance step 1'!AX13,0)</f>
        <v>0</v>
      </c>
      <c r="AY13" s="158">
        <f>IF(ISNUMBER('Corrected energy balance step 1'!AY13),'Corrected energy balance step 1'!AY13,0)</f>
        <v>0</v>
      </c>
      <c r="AZ13" s="158">
        <f>IF(ISNUMBER('Corrected energy balance step 1'!AZ13),'Corrected energy balance step 1'!AZ13,0)</f>
        <v>0</v>
      </c>
      <c r="BA13" s="158">
        <f>IF(ISNUMBER('Corrected energy balance step 1'!BA13),'Corrected energy balance step 1'!BA13,0)</f>
        <v>0</v>
      </c>
      <c r="BB13" s="158">
        <f>IF(ISNUMBER('Corrected energy balance step 1'!BB13),'Corrected energy balance step 1'!BB13,0)</f>
        <v>0</v>
      </c>
      <c r="BC13" s="158">
        <f>IF(ISNUMBER('Corrected energy balance step 1'!BC13),'Corrected energy balance step 1'!BC13,0)</f>
        <v>0</v>
      </c>
      <c r="BD13" s="158">
        <f>IF(ISNUMBER('Corrected energy balance step 1'!BD13),'Corrected energy balance step 1'!BD13,0)</f>
        <v>0</v>
      </c>
      <c r="BE13" s="158">
        <f>IF(ISNUMBER('Corrected energy balance step 1'!BE13),'Corrected energy balance step 1'!BE13,0)</f>
        <v>0</v>
      </c>
      <c r="BF13" s="158">
        <f>IF(ISNUMBER('Corrected energy balance step 1'!BF13),'Corrected energy balance step 1'!BF13,0)</f>
        <v>0</v>
      </c>
      <c r="BG13" s="158">
        <f>IF(ISNUMBER('Corrected energy balance step 1'!BG13),'Corrected energy balance step 1'!BG13,0)</f>
        <v>0</v>
      </c>
      <c r="BH13" s="158">
        <f>IF(ISNUMBER('Corrected energy balance step 1'!BH13),'Corrected energy balance step 1'!BH13,0)</f>
        <v>0</v>
      </c>
      <c r="BI13" s="158">
        <f>IF(ISNUMBER('Corrected energy balance step 1'!BI13),'Corrected energy balance step 1'!BI13,0)</f>
        <v>0</v>
      </c>
      <c r="BJ13" s="158">
        <f>IF(ISNUMBER('Corrected energy balance step 1'!BJ13),'Corrected energy balance step 1'!BJ13,0)</f>
        <v>0</v>
      </c>
      <c r="BK13" s="158">
        <f>IF(ISNUMBER('Corrected energy balance step 1'!BK13),'Corrected energy balance step 1'!BK13,0)</f>
        <v>0</v>
      </c>
      <c r="BL13" s="158">
        <f>IF(ISNUMBER('Corrected energy balance step 1'!BL13),'Corrected energy balance step 1'!BL13,0)</f>
        <v>0</v>
      </c>
      <c r="BM13" s="158">
        <f>IF(ISNUMBER('Corrected energy balance step 1'!BM13),'Corrected energy balance step 1'!BM13,0)</f>
        <v>0</v>
      </c>
      <c r="BN13" s="156">
        <f t="shared" si="0"/>
        <v>0</v>
      </c>
      <c r="BO13" s="159">
        <f>'Corrected energy balance step 1'!BO13</f>
        <v>0</v>
      </c>
    </row>
    <row r="14" spans="2:69" ht="17" thickBot="1" x14ac:dyDescent="0.25">
      <c r="B14" s="32" t="s">
        <v>56</v>
      </c>
      <c r="C14" s="158">
        <f>IF(ISNUMBER('Corrected energy balance step 1'!C14),'Corrected energy balance step 1'!C14,0)</f>
        <v>0</v>
      </c>
      <c r="D14" s="158">
        <f>IF(ISNUMBER('Corrected energy balance step 1'!D14),'Corrected energy balance step 1'!D14,0)</f>
        <v>0</v>
      </c>
      <c r="E14" s="158">
        <f>IF(ISNUMBER('Corrected energy balance step 1'!E14),'Corrected energy balance step 1'!E14,0)</f>
        <v>0</v>
      </c>
      <c r="F14" s="158">
        <f>IF(ISNUMBER('Corrected energy balance step 1'!F14),'Corrected energy balance step 1'!F14,0)</f>
        <v>0</v>
      </c>
      <c r="G14" s="158">
        <f>IF(ISNUMBER('Corrected energy balance step 1'!G14),'Corrected energy balance step 1'!G14,0)</f>
        <v>0</v>
      </c>
      <c r="H14" s="158">
        <f>IF(ISNUMBER('Corrected energy balance step 1'!H14),'Corrected energy balance step 1'!H14,0)</f>
        <v>0</v>
      </c>
      <c r="I14" s="158">
        <f>IF(ISNUMBER('Corrected energy balance step 1'!I14),'Corrected energy balance step 1'!I14,0)</f>
        <v>0</v>
      </c>
      <c r="J14" s="158">
        <f>IF(ISNUMBER('Corrected energy balance step 1'!J14),'Corrected energy balance step 1'!J14,0)</f>
        <v>0</v>
      </c>
      <c r="K14" s="158">
        <f>IF(ISNUMBER('Corrected energy balance step 1'!K14),'Corrected energy balance step 1'!K14,0)</f>
        <v>0</v>
      </c>
      <c r="L14" s="158">
        <f>IF(ISNUMBER('Corrected energy balance step 1'!L14),'Corrected energy balance step 1'!L14,0)</f>
        <v>0</v>
      </c>
      <c r="M14" s="158">
        <f>IF(ISNUMBER('Corrected energy balance step 1'!M14),'Corrected energy balance step 1'!M14,0)</f>
        <v>0</v>
      </c>
      <c r="N14" s="158">
        <f>IF(ISNUMBER('Corrected energy balance step 1'!N14),'Corrected energy balance step 1'!N14,0)</f>
        <v>0</v>
      </c>
      <c r="O14" s="158">
        <f>IF(ISNUMBER('Corrected energy balance step 1'!O14),'Corrected energy balance step 1'!O14,0)</f>
        <v>0</v>
      </c>
      <c r="P14" s="158">
        <f>IF(ISNUMBER('Corrected energy balance step 1'!P14),'Corrected energy balance step 1'!P14,0)</f>
        <v>0</v>
      </c>
      <c r="Q14" s="158">
        <f>IF(ISNUMBER('Corrected energy balance step 1'!Q14),'Corrected energy balance step 1'!Q14,0)</f>
        <v>0</v>
      </c>
      <c r="R14" s="158">
        <f>IF(ISNUMBER('Corrected energy balance step 1'!R14),'Corrected energy balance step 1'!R14,0)</f>
        <v>0</v>
      </c>
      <c r="S14" s="158">
        <f>IF(ISNUMBER('Corrected energy balance step 1'!S14),'Corrected energy balance step 1'!S14,0)</f>
        <v>0</v>
      </c>
      <c r="T14" s="158">
        <f>IF(ISNUMBER('Corrected energy balance step 1'!T14),'Corrected energy balance step 1'!T14,0)</f>
        <v>0</v>
      </c>
      <c r="U14" s="158">
        <f>IF(ISNUMBER('Corrected energy balance step 1'!U14),'Corrected energy balance step 1'!U14,0)</f>
        <v>0</v>
      </c>
      <c r="V14" s="158">
        <f>IF(ISNUMBER('Corrected energy balance step 1'!V14),'Corrected energy balance step 1'!V14,0)</f>
        <v>0</v>
      </c>
      <c r="W14" s="158">
        <f>IF(ISNUMBER('Corrected energy balance step 1'!W14),'Corrected energy balance step 1'!W14,0)</f>
        <v>0</v>
      </c>
      <c r="X14" s="158">
        <f>IF(ISNUMBER('Corrected energy balance step 1'!X14),'Corrected energy balance step 1'!X14,0)</f>
        <v>0</v>
      </c>
      <c r="Y14" s="158">
        <f>IF(ISNUMBER('Corrected energy balance step 1'!Y14),'Corrected energy balance step 1'!Y14,0)</f>
        <v>0</v>
      </c>
      <c r="Z14" s="158">
        <f>IF(ISNUMBER('Corrected energy balance step 1'!Z14),'Corrected energy balance step 1'!Z14,0)</f>
        <v>0</v>
      </c>
      <c r="AA14" s="158">
        <f>IF(ISNUMBER('Corrected energy balance step 1'!AA14),'Corrected energy balance step 1'!AA14,0)</f>
        <v>0</v>
      </c>
      <c r="AB14" s="158">
        <f>IF(ISNUMBER('Corrected energy balance step 1'!AB14),'Corrected energy balance step 1'!AB14,0)</f>
        <v>0</v>
      </c>
      <c r="AC14" s="158">
        <f>IF(ISNUMBER('Corrected energy balance step 1'!AC14),'Corrected energy balance step 1'!AC14,0)</f>
        <v>0</v>
      </c>
      <c r="AD14" s="158">
        <f>IF(ISNUMBER('Corrected energy balance step 1'!AD14),'Corrected energy balance step 1'!AD14,0)</f>
        <v>0</v>
      </c>
      <c r="AE14" s="158">
        <f>IF(ISNUMBER('Corrected energy balance step 1'!AE14),'Corrected energy balance step 1'!AE14,0)</f>
        <v>0</v>
      </c>
      <c r="AF14" s="158">
        <f>IF(ISNUMBER('Corrected energy balance step 1'!AF14),'Corrected energy balance step 1'!AF14,0)</f>
        <v>0</v>
      </c>
      <c r="AG14" s="158">
        <f>IF(ISNUMBER('Corrected energy balance step 1'!AG14),'Corrected energy balance step 1'!AG14,0)</f>
        <v>0</v>
      </c>
      <c r="AH14" s="158">
        <f>IF(ISNUMBER('Corrected energy balance step 1'!AH14),'Corrected energy balance step 1'!AH14,0)</f>
        <v>0</v>
      </c>
      <c r="AI14" s="158">
        <f>IF(ISNUMBER('Corrected energy balance step 1'!AI14),'Corrected energy balance step 1'!AI14,0)</f>
        <v>0</v>
      </c>
      <c r="AJ14" s="158">
        <f>IF(ISNUMBER('Corrected energy balance step 1'!AJ14),'Corrected energy balance step 1'!AJ14,0)</f>
        <v>0</v>
      </c>
      <c r="AK14" s="158">
        <f>IF(ISNUMBER('Corrected energy balance step 1'!AK14),'Corrected energy balance step 1'!AK14,0)</f>
        <v>0</v>
      </c>
      <c r="AL14" s="158">
        <f>IF(ISNUMBER('Corrected energy balance step 1'!AL14),'Corrected energy balance step 1'!AL14,0)</f>
        <v>0</v>
      </c>
      <c r="AM14" s="158">
        <f>IF(ISNUMBER('Corrected energy balance step 1'!AM14),'Corrected energy balance step 1'!AM14,0)</f>
        <v>0</v>
      </c>
      <c r="AN14" s="158">
        <f>IF(ISNUMBER('Corrected energy balance step 1'!AN14),'Corrected energy balance step 1'!AN14,0)</f>
        <v>0</v>
      </c>
      <c r="AO14" s="158">
        <f>IF(ISNUMBER('Corrected energy balance step 1'!AO14),'Corrected energy balance step 1'!AO14,0)</f>
        <v>0</v>
      </c>
      <c r="AP14" s="158">
        <f>IF(ISNUMBER('Corrected energy balance step 1'!AP14),'Corrected energy balance step 1'!AP14,0)</f>
        <v>0</v>
      </c>
      <c r="AQ14" s="158">
        <f>IF(ISNUMBER('Corrected energy balance step 1'!AQ14),'Corrected energy balance step 1'!AQ14,0)</f>
        <v>0</v>
      </c>
      <c r="AR14" s="158">
        <f>IF(ISNUMBER('Corrected energy balance step 1'!AR14),'Corrected energy balance step 1'!AR14,0)</f>
        <v>0</v>
      </c>
      <c r="AS14" s="158">
        <f>IF(ISNUMBER('Corrected energy balance step 1'!AS14),'Corrected energy balance step 1'!AS14,0)</f>
        <v>0</v>
      </c>
      <c r="AT14" s="158">
        <f>IF(ISNUMBER('Corrected energy balance step 1'!AT14),'Corrected energy balance step 1'!AT14,0)</f>
        <v>0</v>
      </c>
      <c r="AU14" s="158">
        <f>IF(ISNUMBER('Corrected energy balance step 1'!AU14),'Corrected energy balance step 1'!AU14,0)</f>
        <v>0</v>
      </c>
      <c r="AV14" s="158">
        <f>IF(ISNUMBER('Corrected energy balance step 1'!AV14),'Corrected energy balance step 1'!AV14,0)</f>
        <v>0</v>
      </c>
      <c r="AW14" s="158">
        <f>IF(ISNUMBER('Corrected energy balance step 1'!AW14),'Corrected energy balance step 1'!AW14,0)</f>
        <v>0</v>
      </c>
      <c r="AX14" s="158">
        <f>IF(ISNUMBER('Corrected energy balance step 1'!AX14),'Corrected energy balance step 1'!AX14,0)</f>
        <v>0</v>
      </c>
      <c r="AY14" s="158">
        <f>IF(ISNUMBER('Corrected energy balance step 1'!AY14),'Corrected energy balance step 1'!AY14,0)</f>
        <v>0</v>
      </c>
      <c r="AZ14" s="158">
        <f>IF(ISNUMBER('Corrected energy balance step 1'!AZ14),'Corrected energy balance step 1'!AZ14,0)</f>
        <v>0</v>
      </c>
      <c r="BA14" s="158">
        <f>IF(ISNUMBER('Corrected energy balance step 1'!BA14),'Corrected energy balance step 1'!BA14,0)</f>
        <v>0</v>
      </c>
      <c r="BB14" s="158">
        <f>IF(ISNUMBER('Corrected energy balance step 1'!BB14),'Corrected energy balance step 1'!BB14,0)</f>
        <v>0</v>
      </c>
      <c r="BC14" s="158">
        <f>IF(ISNUMBER('Corrected energy balance step 1'!BC14),'Corrected energy balance step 1'!BC14,0)</f>
        <v>0</v>
      </c>
      <c r="BD14" s="158">
        <f>IF(ISNUMBER('Corrected energy balance step 1'!BD14),'Corrected energy balance step 1'!BD14,0)</f>
        <v>0</v>
      </c>
      <c r="BE14" s="158">
        <f>IF(ISNUMBER('Corrected energy balance step 1'!BE14),'Corrected energy balance step 1'!BE14,0)</f>
        <v>0</v>
      </c>
      <c r="BF14" s="158">
        <f>IF(ISNUMBER('Corrected energy balance step 1'!BF14),'Corrected energy balance step 1'!BF14,0)</f>
        <v>0</v>
      </c>
      <c r="BG14" s="158">
        <f>IF(ISNUMBER('Corrected energy balance step 1'!BG14),'Corrected energy balance step 1'!BG14,0)</f>
        <v>0</v>
      </c>
      <c r="BH14" s="158">
        <f>IF(ISNUMBER('Corrected energy balance step 1'!BH14),'Corrected energy balance step 1'!BH14,0)</f>
        <v>0</v>
      </c>
      <c r="BI14" s="158">
        <f>IF(ISNUMBER('Corrected energy balance step 1'!BI14),'Corrected energy balance step 1'!BI14,0)</f>
        <v>0</v>
      </c>
      <c r="BJ14" s="158">
        <f>IF(ISNUMBER('Corrected energy balance step 1'!BJ14),'Corrected energy balance step 1'!BJ14,0)</f>
        <v>0</v>
      </c>
      <c r="BK14" s="158">
        <f>IF(ISNUMBER('Corrected energy balance step 1'!BK14),'Corrected energy balance step 1'!BK14,0)</f>
        <v>0</v>
      </c>
      <c r="BL14" s="158">
        <f>IF(ISNUMBER('Corrected energy balance step 1'!BL14),'Corrected energy balance step 1'!BL14,0)</f>
        <v>0</v>
      </c>
      <c r="BM14" s="158">
        <f>IF(ISNUMBER('Corrected energy balance step 1'!BM14),'Corrected energy balance step 1'!BM14,0)</f>
        <v>0</v>
      </c>
      <c r="BN14" s="166">
        <f t="shared" si="0"/>
        <v>0</v>
      </c>
      <c r="BO14" s="159">
        <f>'Corrected energy balance step 1'!BO14</f>
        <v>0</v>
      </c>
    </row>
    <row r="15" spans="2:69" ht="17" thickBot="1" x14ac:dyDescent="0.25">
      <c r="B15" s="40" t="s">
        <v>57</v>
      </c>
      <c r="C15" s="153" t="e">
        <f t="shared" ref="C15" si="1">C59-SUM(C16:C18,C40,C58)</f>
        <v>#DIV/0!</v>
      </c>
      <c r="D15" s="153" t="e">
        <f t="shared" ref="D15" si="2">D59-SUM(D16:D18,D40,D58)</f>
        <v>#DIV/0!</v>
      </c>
      <c r="E15" s="163" t="e">
        <f t="shared" ref="E15:K15" si="3">E59-SUM(E16:E18,E40,E58)</f>
        <v>#DIV/0!</v>
      </c>
      <c r="F15" s="163" t="e">
        <f t="shared" si="3"/>
        <v>#DIV/0!</v>
      </c>
      <c r="G15" s="163" t="e">
        <f t="shared" si="3"/>
        <v>#DIV/0!</v>
      </c>
      <c r="H15" s="163" t="e">
        <f t="shared" si="3"/>
        <v>#DIV/0!</v>
      </c>
      <c r="I15" s="163" t="e">
        <f t="shared" si="3"/>
        <v>#DIV/0!</v>
      </c>
      <c r="J15" s="163" t="e">
        <f t="shared" si="3"/>
        <v>#DIV/0!</v>
      </c>
      <c r="K15" s="163" t="e">
        <f t="shared" si="3"/>
        <v>#DIV/0!</v>
      </c>
      <c r="L15" s="163" t="e">
        <f t="shared" ref="L15" si="4">L59-SUM(L16:L18,L40,L58)</f>
        <v>#DIV/0!</v>
      </c>
      <c r="M15" s="163" t="e">
        <f t="shared" ref="M15" si="5">M59-SUM(M16:M18,M40,M58)</f>
        <v>#DIV/0!</v>
      </c>
      <c r="N15" s="163" t="e">
        <f t="shared" ref="N15" si="6">N59-SUM(N16:N18,N40,N58)</f>
        <v>#DIV/0!</v>
      </c>
      <c r="O15" s="163">
        <f t="shared" ref="O15" si="7">O59-SUM(O16:O18,O40,O58)</f>
        <v>0</v>
      </c>
      <c r="P15" s="163">
        <f t="shared" ref="P15" si="8">P59-SUM(P16:P18,P40,P58)</f>
        <v>0</v>
      </c>
      <c r="Q15" s="163">
        <f t="shared" ref="Q15" si="9">Q59-SUM(Q16:Q18,Q40,Q58)</f>
        <v>0</v>
      </c>
      <c r="R15" s="163">
        <f t="shared" ref="R15" si="10">R59-SUM(R16:R18,R40,R58)</f>
        <v>0</v>
      </c>
      <c r="S15" s="163" t="e">
        <f t="shared" ref="S15" si="11">S59-SUM(S16:S18,S40,S58)</f>
        <v>#DIV/0!</v>
      </c>
      <c r="T15" s="163" t="e">
        <f t="shared" ref="T15" si="12">T59-SUM(T16:T18,T40,T58)</f>
        <v>#DIV/0!</v>
      </c>
      <c r="U15" s="153" t="e">
        <f t="shared" ref="U15" si="13">U59-SUM(U16:U18,U40,U58)</f>
        <v>#DIV/0!</v>
      </c>
      <c r="V15" s="163" t="e">
        <f t="shared" ref="V15" si="14">V59-SUM(V16:V18,V40,V58)</f>
        <v>#DIV/0!</v>
      </c>
      <c r="W15" s="163" t="e">
        <f t="shared" ref="W15" si="15">W59-SUM(W16:W18,W40,W58)</f>
        <v>#DIV/0!</v>
      </c>
      <c r="X15" s="163" t="e">
        <f t="shared" ref="X15" si="16">X59-SUM(X16:X18,X40,X58)</f>
        <v>#DIV/0!</v>
      </c>
      <c r="Y15" s="163" t="e">
        <f t="shared" ref="Y15" si="17">Y59-SUM(Y16:Y18,Y40,Y58)</f>
        <v>#DIV/0!</v>
      </c>
      <c r="Z15" s="163" t="e">
        <f t="shared" ref="Z15" si="18">Z59-SUM(Z16:Z18,Z40,Z58)</f>
        <v>#DIV/0!</v>
      </c>
      <c r="AA15" s="163" t="e">
        <f t="shared" ref="AA15" si="19">AA59-SUM(AA16:AA18,AA40,AA58)</f>
        <v>#DIV/0!</v>
      </c>
      <c r="AB15" s="163" t="e">
        <f t="shared" ref="AB15" si="20">AB59-SUM(AB16:AB18,AB40,AB58)</f>
        <v>#DIV/0!</v>
      </c>
      <c r="AC15" s="163" t="e">
        <f t="shared" ref="AC15" si="21">AC59-SUM(AC16:AC18,AC40,AC58)</f>
        <v>#DIV/0!</v>
      </c>
      <c r="AD15" s="163" t="e">
        <f t="shared" ref="AD15" si="22">AD59-SUM(AD16:AD18,AD40,AD58)</f>
        <v>#DIV/0!</v>
      </c>
      <c r="AE15" s="163" t="e">
        <f t="shared" ref="AE15" si="23">AE59-SUM(AE16:AE18,AE40,AE58)</f>
        <v>#DIV/0!</v>
      </c>
      <c r="AF15" s="163" t="e">
        <f t="shared" ref="AF15" si="24">AF59-SUM(AF16:AF18,AF40,AF58)</f>
        <v>#DIV/0!</v>
      </c>
      <c r="AG15" s="163" t="e">
        <f t="shared" ref="AG15" si="25">AG59-SUM(AG16:AG18,AG40,AG58)</f>
        <v>#DIV/0!</v>
      </c>
      <c r="AH15" s="163" t="e">
        <f t="shared" ref="AH15" si="26">AH59-SUM(AH16:AH18,AH40,AH58)</f>
        <v>#DIV/0!</v>
      </c>
      <c r="AI15" s="163" t="e">
        <f t="shared" ref="AI15" si="27">AI59-SUM(AI16:AI18,AI40,AI58)</f>
        <v>#DIV/0!</v>
      </c>
      <c r="AJ15" s="163" t="e">
        <f t="shared" ref="AJ15" si="28">AJ59-SUM(AJ16:AJ18,AJ40,AJ58)</f>
        <v>#DIV/0!</v>
      </c>
      <c r="AK15" s="163" t="e">
        <f t="shared" ref="AK15" si="29">AK59-SUM(AK16:AK18,AK40,AK58)</f>
        <v>#DIV/0!</v>
      </c>
      <c r="AL15" s="163" t="e">
        <f t="shared" ref="AL15" si="30">AL59-SUM(AL16:AL18,AL40,AL58)</f>
        <v>#DIV/0!</v>
      </c>
      <c r="AM15" s="163" t="e">
        <f t="shared" ref="AM15" si="31">AM59-SUM(AM16:AM18,AM40,AM58)</f>
        <v>#DIV/0!</v>
      </c>
      <c r="AN15" s="163" t="e">
        <f t="shared" ref="AN15" si="32">AN59-SUM(AN16:AN18,AN40,AN58)</f>
        <v>#DIV/0!</v>
      </c>
      <c r="AO15" s="163" t="e">
        <f t="shared" ref="AO15" si="33">AO59-SUM(AO16:AO18,AO40,AO58)</f>
        <v>#DIV/0!</v>
      </c>
      <c r="AP15" s="163" t="e">
        <f t="shared" ref="AP15" si="34">AP59-SUM(AP16:AP18,AP40,AP58)</f>
        <v>#DIV/0!</v>
      </c>
      <c r="AQ15" s="163" t="e">
        <f t="shared" ref="AQ15" si="35">AQ59-SUM(AQ16:AQ18,AQ40,AQ58)</f>
        <v>#DIV/0!</v>
      </c>
      <c r="AR15" s="163" t="e">
        <f>AR59-SUM(AR16:AR18,AR40,AR58)</f>
        <v>#DIV/0!</v>
      </c>
      <c r="AS15" s="163" t="e">
        <f t="shared" ref="AS15" si="36">AS59-SUM(AS16:AS18,AS40,AS58)</f>
        <v>#DIV/0!</v>
      </c>
      <c r="AT15" s="163" t="e">
        <f t="shared" ref="AT15" si="37">AT59-SUM(AT16:AT18,AT40,AT58)</f>
        <v>#DIV/0!</v>
      </c>
      <c r="AU15" s="163" t="e">
        <f t="shared" ref="AU15" si="38">AU59-SUM(AU16:AU18,AU40,AU58)</f>
        <v>#DIV/0!</v>
      </c>
      <c r="AV15" s="163" t="e">
        <f t="shared" ref="AV15" si="39">AV59-SUM(AV16:AV18,AV40,AV58)</f>
        <v>#DIV/0!</v>
      </c>
      <c r="AW15" s="163">
        <f t="shared" ref="AW15" si="40">AW59-SUM(AW16:AW18,AW40,AW58)</f>
        <v>0</v>
      </c>
      <c r="AX15" s="163">
        <f t="shared" ref="AX15" si="41">AX59-SUM(AX16:AX18,AX40,AX58)</f>
        <v>0</v>
      </c>
      <c r="AY15" s="163">
        <f t="shared" ref="AY15" si="42">AY59-SUM(AY16:AY18,AY40,AY58)</f>
        <v>0</v>
      </c>
      <c r="AZ15" s="163" t="e">
        <f t="shared" ref="AZ15" si="43">AZ59-SUM(AZ16:AZ18,AZ40,AZ58)</f>
        <v>#DIV/0!</v>
      </c>
      <c r="BA15" s="163">
        <f t="shared" ref="BA15" si="44">BA59-SUM(BA16:BA18,BA40,BA58)</f>
        <v>0</v>
      </c>
      <c r="BB15" s="163">
        <f t="shared" ref="BB15" si="45">BB59-SUM(BB16:BB18,BB40,BB58)</f>
        <v>0</v>
      </c>
      <c r="BC15" s="163">
        <f t="shared" ref="BC15" si="46">BC59-SUM(BC16:BC18,BC40,BC58)</f>
        <v>0</v>
      </c>
      <c r="BD15" s="163" t="e">
        <f t="shared" ref="BD15" si="47">BD59-SUM(BD16:BD18,BD40,BD58)</f>
        <v>#DIV/0!</v>
      </c>
      <c r="BE15" s="163">
        <f t="shared" ref="BE15" si="48">BE59-SUM(BE16:BE18,BE40,BE58)</f>
        <v>0</v>
      </c>
      <c r="BF15" s="163" t="e">
        <f t="shared" ref="BF15" si="49">BF59-SUM(BF16:BF18,BF40,BF58)</f>
        <v>#DIV/0!</v>
      </c>
      <c r="BG15" s="163">
        <f t="shared" ref="BG15" si="50">BG59-SUM(BG16:BG18,BG40,BG58)</f>
        <v>0</v>
      </c>
      <c r="BH15" s="163" t="e">
        <f t="shared" ref="BH15" si="51">BH59-SUM(BH16:BH18,BH40,BH58)</f>
        <v>#DIV/0!</v>
      </c>
      <c r="BI15" s="163">
        <f t="shared" ref="BI15" si="52">BI59-SUM(BI16:BI18,BI40,BI58)</f>
        <v>0</v>
      </c>
      <c r="BJ15" s="163">
        <f t="shared" ref="BJ15" si="53">BJ59-SUM(BJ16:BJ18,BJ40,BJ58)</f>
        <v>0</v>
      </c>
      <c r="BK15" s="163">
        <f t="shared" ref="BK15" si="54">BK59-SUM(BK16:BK18,BK40,BK58)</f>
        <v>0</v>
      </c>
      <c r="BL15" s="163">
        <f t="shared" ref="BL15" si="55">BL59-SUM(BL16:BL18,BL40,BL58)</f>
        <v>0</v>
      </c>
      <c r="BM15" s="163">
        <f>BM59-SUM(BM16:BM18,BM40,BM58)</f>
        <v>0</v>
      </c>
      <c r="BN15" s="164" t="e">
        <f>BN59-SUM(BN16:BN18,BN40,BN58)</f>
        <v>#DIV/0!</v>
      </c>
      <c r="BO15" s="165">
        <f>'Corrected energy balance step 1'!BO15</f>
        <v>0</v>
      </c>
      <c r="BQ15" s="172"/>
    </row>
    <row r="16" spans="2:69" x14ac:dyDescent="0.2">
      <c r="B16" s="32" t="s">
        <v>58</v>
      </c>
      <c r="C16" s="158">
        <f>IF(ISNUMBER('Corrected energy balance step 1'!C16),'Corrected energy balance step 1'!C16,0)</f>
        <v>0</v>
      </c>
      <c r="D16" s="158">
        <f>IF(ISNUMBER('Corrected energy balance step 1'!D16),'Corrected energy balance step 1'!D16,0)</f>
        <v>0</v>
      </c>
      <c r="E16" s="158">
        <f>IF(ISNUMBER('Corrected energy balance step 1'!E16),'Corrected energy balance step 1'!E16,0)</f>
        <v>0</v>
      </c>
      <c r="F16" s="158">
        <f>IF(ISNUMBER('Corrected energy balance step 1'!F16),'Corrected energy balance step 1'!F16,0)</f>
        <v>0</v>
      </c>
      <c r="G16" s="158">
        <f>IF(ISNUMBER('Corrected energy balance step 1'!G16),'Corrected energy balance step 1'!G16,0)</f>
        <v>0</v>
      </c>
      <c r="H16" s="158">
        <f>IF(ISNUMBER('Corrected energy balance step 1'!H16),'Corrected energy balance step 1'!H16,0)</f>
        <v>0</v>
      </c>
      <c r="I16" s="158">
        <f>IF(ISNUMBER('Corrected energy balance step 1'!I16),'Corrected energy balance step 1'!I16,0)</f>
        <v>0</v>
      </c>
      <c r="J16" s="158">
        <f>IF(ISNUMBER('Corrected energy balance step 1'!J16),'Corrected energy balance step 1'!J16,0)</f>
        <v>0</v>
      </c>
      <c r="K16" s="158">
        <f>IF(ISNUMBER('Corrected energy balance step 1'!K16),'Corrected energy balance step 1'!K16,0)</f>
        <v>0</v>
      </c>
      <c r="L16" s="158">
        <f>IF(ISNUMBER('Corrected energy balance step 1'!L16),'Corrected energy balance step 1'!L16,0)</f>
        <v>0</v>
      </c>
      <c r="M16" s="158">
        <f>IF(ISNUMBER('Corrected energy balance step 1'!M16),'Corrected energy balance step 1'!M16,0)</f>
        <v>0</v>
      </c>
      <c r="N16" s="158">
        <f>IF(ISNUMBER('Corrected energy balance step 1'!N16),'Corrected energy balance step 1'!N16,0)</f>
        <v>0</v>
      </c>
      <c r="O16" s="158">
        <f>IF(ISNUMBER('Corrected energy balance step 1'!O16),'Corrected energy balance step 1'!O16,0)</f>
        <v>0</v>
      </c>
      <c r="P16" s="158">
        <f>IF(ISNUMBER('Corrected energy balance step 1'!P16),'Corrected energy balance step 1'!P16,0)</f>
        <v>0</v>
      </c>
      <c r="Q16" s="158">
        <f>IF(ISNUMBER('Corrected energy balance step 1'!Q16),'Corrected energy balance step 1'!Q16,0)</f>
        <v>0</v>
      </c>
      <c r="R16" s="158">
        <f>IF(ISNUMBER('Corrected energy balance step 1'!R16),'Corrected energy balance step 1'!R16,0)</f>
        <v>0</v>
      </c>
      <c r="S16" s="158">
        <f>IF(ISNUMBER('Corrected energy balance step 1'!S16),'Corrected energy balance step 1'!S16,0)</f>
        <v>0</v>
      </c>
      <c r="T16" s="158">
        <f>IF(ISNUMBER('Corrected energy balance step 1'!T16),'Corrected energy balance step 1'!T16,0)</f>
        <v>0</v>
      </c>
      <c r="U16" s="158">
        <f>IF(ISNUMBER('Corrected energy balance step 1'!U16),'Corrected energy balance step 1'!U16,0)</f>
        <v>0</v>
      </c>
      <c r="V16" s="158">
        <f>IF(ISNUMBER('Corrected energy balance step 1'!V16),'Corrected energy balance step 1'!V16,0)</f>
        <v>0</v>
      </c>
      <c r="W16" s="158">
        <f>IF(ISNUMBER('Corrected energy balance step 1'!W16),'Corrected energy balance step 1'!W16,0)</f>
        <v>0</v>
      </c>
      <c r="X16" s="158">
        <f>IF(ISNUMBER('Corrected energy balance step 1'!X16),'Corrected energy balance step 1'!X16,0)</f>
        <v>0</v>
      </c>
      <c r="Y16" s="158">
        <f>IF(ISNUMBER('Corrected energy balance step 1'!Y16),'Corrected energy balance step 1'!Y16,0)</f>
        <v>0</v>
      </c>
      <c r="Z16" s="158">
        <f>IF(ISNUMBER('Corrected energy balance step 1'!Z16),'Corrected energy balance step 1'!Z16,0)</f>
        <v>0</v>
      </c>
      <c r="AA16" s="158">
        <f>IF(ISNUMBER('Corrected energy balance step 1'!AA16),'Corrected energy balance step 1'!AA16,0)</f>
        <v>0</v>
      </c>
      <c r="AB16" s="158">
        <f>IF(ISNUMBER('Corrected energy balance step 1'!AB16),'Corrected energy balance step 1'!AB16,0)</f>
        <v>0</v>
      </c>
      <c r="AC16" s="158">
        <f>IF(ISNUMBER('Corrected energy balance step 1'!AC16),'Corrected energy balance step 1'!AC16,0)</f>
        <v>0</v>
      </c>
      <c r="AD16" s="158">
        <f>IF(ISNUMBER('Corrected energy balance step 1'!AD16),'Corrected energy balance step 1'!AD16,0)</f>
        <v>0</v>
      </c>
      <c r="AE16" s="158">
        <f>IF(ISNUMBER('Corrected energy balance step 1'!AE16),'Corrected energy balance step 1'!AE16,0)</f>
        <v>0</v>
      </c>
      <c r="AF16" s="158">
        <f>IF(ISNUMBER('Corrected energy balance step 1'!AF16),'Corrected energy balance step 1'!AF16,0)</f>
        <v>0</v>
      </c>
      <c r="AG16" s="158">
        <f>IF(ISNUMBER('Corrected energy balance step 1'!AG16),'Corrected energy balance step 1'!AG16,0)</f>
        <v>0</v>
      </c>
      <c r="AH16" s="158">
        <f>IF(ISNUMBER('Corrected energy balance step 1'!AH16),'Corrected energy balance step 1'!AH16,0)</f>
        <v>0</v>
      </c>
      <c r="AI16" s="158">
        <f>IF(ISNUMBER('Corrected energy balance step 1'!AI16),'Corrected energy balance step 1'!AI16,0)</f>
        <v>0</v>
      </c>
      <c r="AJ16" s="158">
        <f>IF(ISNUMBER('Corrected energy balance step 1'!AJ16),'Corrected energy balance step 1'!AJ16,0)</f>
        <v>0</v>
      </c>
      <c r="AK16" s="158">
        <f>IF(ISNUMBER('Corrected energy balance step 1'!AK16),'Corrected energy balance step 1'!AK16,0)</f>
        <v>0</v>
      </c>
      <c r="AL16" s="158">
        <f>IF(ISNUMBER('Corrected energy balance step 1'!AL16),'Corrected energy balance step 1'!AL16,0)</f>
        <v>0</v>
      </c>
      <c r="AM16" s="158">
        <f>IF(ISNUMBER('Corrected energy balance step 1'!AM16),'Corrected energy balance step 1'!AM16,0)</f>
        <v>0</v>
      </c>
      <c r="AN16" s="158">
        <f>IF(ISNUMBER('Corrected energy balance step 1'!AN16),'Corrected energy balance step 1'!AN16,0)</f>
        <v>0</v>
      </c>
      <c r="AO16" s="158">
        <f>IF(ISNUMBER('Corrected energy balance step 1'!AO16),'Corrected energy balance step 1'!AO16,0)</f>
        <v>0</v>
      </c>
      <c r="AP16" s="158">
        <f>IF(ISNUMBER('Corrected energy balance step 1'!AP16),'Corrected energy balance step 1'!AP16,0)</f>
        <v>0</v>
      </c>
      <c r="AQ16" s="158">
        <f>IF(ISNUMBER('Corrected energy balance step 1'!AQ16),'Corrected energy balance step 1'!AQ16,0)</f>
        <v>0</v>
      </c>
      <c r="AR16" s="158">
        <f>IF(ISNUMBER('Corrected energy balance step 1'!AR16),'Corrected energy balance step 1'!AR16,0)</f>
        <v>0</v>
      </c>
      <c r="AS16" s="158">
        <f>IF(ISNUMBER('Corrected energy balance step 1'!AS16),'Corrected energy balance step 1'!AS16,0)</f>
        <v>0</v>
      </c>
      <c r="AT16" s="158">
        <f>IF(ISNUMBER('Corrected energy balance step 1'!AT16),'Corrected energy balance step 1'!AT16,0)</f>
        <v>0</v>
      </c>
      <c r="AU16" s="158">
        <f>IF(ISNUMBER('Corrected energy balance step 1'!AU16),'Corrected energy balance step 1'!AU16,0)</f>
        <v>0</v>
      </c>
      <c r="AV16" s="158">
        <f>IF(ISNUMBER('Corrected energy balance step 1'!AV16),'Corrected energy balance step 1'!AV16,0)</f>
        <v>0</v>
      </c>
      <c r="AW16" s="158">
        <f>IF(ISNUMBER('Corrected energy balance step 1'!AW16),'Corrected energy balance step 1'!AW16,0)</f>
        <v>0</v>
      </c>
      <c r="AX16" s="158">
        <f>IF(ISNUMBER('Corrected energy balance step 1'!AX16),'Corrected energy balance step 1'!AX16,0)</f>
        <v>0</v>
      </c>
      <c r="AY16" s="158">
        <f>IF(ISNUMBER('Corrected energy balance step 1'!AY16),'Corrected energy balance step 1'!AY16,0)</f>
        <v>0</v>
      </c>
      <c r="AZ16" s="158">
        <f>IF(ISNUMBER('Corrected energy balance step 1'!AZ16),'Corrected energy balance step 1'!AZ16,0)</f>
        <v>0</v>
      </c>
      <c r="BA16" s="158">
        <f>IF(ISNUMBER('Corrected energy balance step 1'!BA16),'Corrected energy balance step 1'!BA16,0)</f>
        <v>0</v>
      </c>
      <c r="BB16" s="158">
        <f>IF(ISNUMBER('Corrected energy balance step 1'!BB16),'Corrected energy balance step 1'!BB16,0)</f>
        <v>0</v>
      </c>
      <c r="BC16" s="158">
        <f>IF(ISNUMBER('Corrected energy balance step 1'!BC16),'Corrected energy balance step 1'!BC16,0)</f>
        <v>0</v>
      </c>
      <c r="BD16" s="158">
        <f>IF(ISNUMBER('Corrected energy balance step 1'!BD16),'Corrected energy balance step 1'!BD16,0)</f>
        <v>0</v>
      </c>
      <c r="BE16" s="158">
        <f>IF(ISNUMBER('Corrected energy balance step 1'!BE16),'Corrected energy balance step 1'!BE16,0)</f>
        <v>0</v>
      </c>
      <c r="BF16" s="158">
        <f>IF(ISNUMBER('Corrected energy balance step 1'!BF16),'Corrected energy balance step 1'!BF16,0)</f>
        <v>0</v>
      </c>
      <c r="BG16" s="158">
        <f>IF(ISNUMBER('Corrected energy balance step 1'!BG16),'Corrected energy balance step 1'!BG16,0)</f>
        <v>0</v>
      </c>
      <c r="BH16" s="158">
        <f>IF(ISNUMBER('Corrected energy balance step 1'!BH16),'Corrected energy balance step 1'!BH16,0)</f>
        <v>0</v>
      </c>
      <c r="BI16" s="158">
        <f>IF(ISNUMBER('Corrected energy balance step 1'!BI16),'Corrected energy balance step 1'!BI16,0)</f>
        <v>0</v>
      </c>
      <c r="BJ16" s="158">
        <f>IF(ISNUMBER('Corrected energy balance step 1'!BJ16),'Corrected energy balance step 1'!BJ16,0)</f>
        <v>0</v>
      </c>
      <c r="BK16" s="158">
        <f>IF(ISNUMBER('Corrected energy balance step 1'!BK16),'Corrected energy balance step 1'!BK16,0)</f>
        <v>0</v>
      </c>
      <c r="BL16" s="158">
        <f>IF(ISNUMBER('Corrected energy balance step 1'!BL16),'Corrected energy balance step 1'!BL16,0)</f>
        <v>0</v>
      </c>
      <c r="BM16" s="158">
        <f>IF(ISNUMBER('Corrected energy balance step 1'!BM16),'Corrected energy balance step 1'!BM16,0)</f>
        <v>0</v>
      </c>
      <c r="BN16" s="156">
        <f>SUM(C16:BM16)</f>
        <v>0</v>
      </c>
      <c r="BO16" s="159">
        <f>'Corrected energy balance step 1'!BO16</f>
        <v>0</v>
      </c>
    </row>
    <row r="17" spans="2:69" ht="17" thickBot="1" x14ac:dyDescent="0.25">
      <c r="B17" s="32" t="s">
        <v>59</v>
      </c>
      <c r="C17" s="158">
        <f>IF(ISNUMBER('Corrected energy balance step 1'!C17),'Corrected energy balance step 1'!C17,0)</f>
        <v>0</v>
      </c>
      <c r="D17" s="158">
        <f>IF(ISNUMBER('Corrected energy balance step 1'!D17),'Corrected energy balance step 1'!D17,0)</f>
        <v>0</v>
      </c>
      <c r="E17" s="158">
        <f>IF(ISNUMBER('Corrected energy balance step 1'!E17),'Corrected energy balance step 1'!E17,0)</f>
        <v>0</v>
      </c>
      <c r="F17" s="158">
        <f>IF(ISNUMBER('Corrected energy balance step 1'!F17),'Corrected energy balance step 1'!F17,0)</f>
        <v>0</v>
      </c>
      <c r="G17" s="158">
        <f>IF(ISNUMBER('Corrected energy balance step 1'!G17),'Corrected energy balance step 1'!G17,0)</f>
        <v>0</v>
      </c>
      <c r="H17" s="158">
        <f>IF(ISNUMBER('Corrected energy balance step 1'!H17),'Corrected energy balance step 1'!H17,0)</f>
        <v>0</v>
      </c>
      <c r="I17" s="158">
        <f>IF(ISNUMBER('Corrected energy balance step 1'!I17),'Corrected energy balance step 1'!I17,0)</f>
        <v>0</v>
      </c>
      <c r="J17" s="158">
        <f>IF(ISNUMBER('Corrected energy balance step 1'!J17),'Corrected energy balance step 1'!J17,0)</f>
        <v>0</v>
      </c>
      <c r="K17" s="158">
        <f>IF(ISNUMBER('Corrected energy balance step 1'!K17),'Corrected energy balance step 1'!K17,0)</f>
        <v>0</v>
      </c>
      <c r="L17" s="158">
        <f>IF(ISNUMBER('Corrected energy balance step 1'!L17),'Corrected energy balance step 1'!L17,0)</f>
        <v>0</v>
      </c>
      <c r="M17" s="158">
        <f>IF(ISNUMBER('Corrected energy balance step 1'!M17),'Corrected energy balance step 1'!M17,0)</f>
        <v>0</v>
      </c>
      <c r="N17" s="158">
        <f>IF(ISNUMBER('Corrected energy balance step 1'!N17),'Corrected energy balance step 1'!N17,0)</f>
        <v>0</v>
      </c>
      <c r="O17" s="158">
        <f>IF(ISNUMBER('Corrected energy balance step 1'!O17),'Corrected energy balance step 1'!O17,0)</f>
        <v>0</v>
      </c>
      <c r="P17" s="158">
        <f>IF(ISNUMBER('Corrected energy balance step 1'!P17),'Corrected energy balance step 1'!P17,0)</f>
        <v>0</v>
      </c>
      <c r="Q17" s="158">
        <f>IF(ISNUMBER('Corrected energy balance step 1'!Q17),'Corrected energy balance step 1'!Q17,0)</f>
        <v>0</v>
      </c>
      <c r="R17" s="158">
        <f>IF(ISNUMBER('Corrected energy balance step 1'!R17),'Corrected energy balance step 1'!R17,0)</f>
        <v>0</v>
      </c>
      <c r="S17" s="158">
        <f>IF(ISNUMBER('Corrected energy balance step 1'!S17),'Corrected energy balance step 1'!S17,0)</f>
        <v>0</v>
      </c>
      <c r="T17" s="158">
        <f>IF(ISNUMBER('Corrected energy balance step 1'!T17),'Corrected energy balance step 1'!T17,0)</f>
        <v>0</v>
      </c>
      <c r="U17" s="158">
        <f>IF(ISNUMBER('Corrected energy balance step 1'!U17),'Corrected energy balance step 1'!U17,0)</f>
        <v>0</v>
      </c>
      <c r="V17" s="158">
        <f>IF(ISNUMBER('Corrected energy balance step 1'!V17),'Corrected energy balance step 1'!V17,0)</f>
        <v>0</v>
      </c>
      <c r="W17" s="158">
        <f>IF(ISNUMBER('Corrected energy balance step 1'!W17),'Corrected energy balance step 1'!W17,0)</f>
        <v>0</v>
      </c>
      <c r="X17" s="158">
        <f>IF(ISNUMBER('Corrected energy balance step 1'!X17),'Corrected energy balance step 1'!X17,0)</f>
        <v>0</v>
      </c>
      <c r="Y17" s="158">
        <f>IF(ISNUMBER('Corrected energy balance step 1'!Y17),'Corrected energy balance step 1'!Y17,0)</f>
        <v>0</v>
      </c>
      <c r="Z17" s="158">
        <f>IF(ISNUMBER('Corrected energy balance step 1'!Z17),'Corrected energy balance step 1'!Z17,0)</f>
        <v>0</v>
      </c>
      <c r="AA17" s="158">
        <f>IF(ISNUMBER('Corrected energy balance step 1'!AA17),'Corrected energy balance step 1'!AA17,0)</f>
        <v>0</v>
      </c>
      <c r="AB17" s="158">
        <f>IF(ISNUMBER('Corrected energy balance step 1'!AB17),'Corrected energy balance step 1'!AB17,0)</f>
        <v>0</v>
      </c>
      <c r="AC17" s="158">
        <f>IF(ISNUMBER('Corrected energy balance step 1'!AC17),'Corrected energy balance step 1'!AC17,0)</f>
        <v>0</v>
      </c>
      <c r="AD17" s="158">
        <f>IF(ISNUMBER('Corrected energy balance step 1'!AD17),'Corrected energy balance step 1'!AD17,0)</f>
        <v>0</v>
      </c>
      <c r="AE17" s="158">
        <f>IF(ISNUMBER('Corrected energy balance step 1'!AE17),'Corrected energy balance step 1'!AE17,0)</f>
        <v>0</v>
      </c>
      <c r="AF17" s="158">
        <f>IF(ISNUMBER('Corrected energy balance step 1'!AF17),'Corrected energy balance step 1'!AF17,0)</f>
        <v>0</v>
      </c>
      <c r="AG17" s="158">
        <f>IF(ISNUMBER('Corrected energy balance step 1'!AG17),'Corrected energy balance step 1'!AG17,0)</f>
        <v>0</v>
      </c>
      <c r="AH17" s="158">
        <f>IF(ISNUMBER('Corrected energy balance step 1'!AH17),'Corrected energy balance step 1'!AH17,0)</f>
        <v>0</v>
      </c>
      <c r="AI17" s="158">
        <f>IF(ISNUMBER('Corrected energy balance step 1'!AI17),'Corrected energy balance step 1'!AI17,0)</f>
        <v>0</v>
      </c>
      <c r="AJ17" s="158">
        <f>IF(ISNUMBER('Corrected energy balance step 1'!AJ17),'Corrected energy balance step 1'!AJ17,0)</f>
        <v>0</v>
      </c>
      <c r="AK17" s="158">
        <f>IF(ISNUMBER('Corrected energy balance step 1'!AK17),'Corrected energy balance step 1'!AK17,0)</f>
        <v>0</v>
      </c>
      <c r="AL17" s="158">
        <f>IF(ISNUMBER('Corrected energy balance step 1'!AL17),'Corrected energy balance step 1'!AL17,0)</f>
        <v>0</v>
      </c>
      <c r="AM17" s="158">
        <f>IF(ISNUMBER('Corrected energy balance step 1'!AM17),'Corrected energy balance step 1'!AM17,0)</f>
        <v>0</v>
      </c>
      <c r="AN17" s="158">
        <f>IF(ISNUMBER('Corrected energy balance step 1'!AN17),'Corrected energy balance step 1'!AN17,0)</f>
        <v>0</v>
      </c>
      <c r="AO17" s="158">
        <f>IF(ISNUMBER('Corrected energy balance step 1'!AO17),'Corrected energy balance step 1'!AO17,0)</f>
        <v>0</v>
      </c>
      <c r="AP17" s="158">
        <f>IF(ISNUMBER('Corrected energy balance step 1'!AP17),'Corrected energy balance step 1'!AP17,0)</f>
        <v>0</v>
      </c>
      <c r="AQ17" s="158">
        <f>IF(ISNUMBER('Corrected energy balance step 1'!AQ17),'Corrected energy balance step 1'!AQ17,0)</f>
        <v>0</v>
      </c>
      <c r="AR17" s="158">
        <f>IF(ISNUMBER('Corrected energy balance step 1'!AR17),'Corrected energy balance step 1'!AR17,0)</f>
        <v>0</v>
      </c>
      <c r="AS17" s="158">
        <f>IF(ISNUMBER('Corrected energy balance step 1'!AS17),'Corrected energy balance step 1'!AS17,0)</f>
        <v>0</v>
      </c>
      <c r="AT17" s="158">
        <f>IF(ISNUMBER('Corrected energy balance step 1'!AT17),'Corrected energy balance step 1'!AT17,0)</f>
        <v>0</v>
      </c>
      <c r="AU17" s="158">
        <f>IF(ISNUMBER('Corrected energy balance step 1'!AU17),'Corrected energy balance step 1'!AU17,0)</f>
        <v>0</v>
      </c>
      <c r="AV17" s="158">
        <f>IF(ISNUMBER('Corrected energy balance step 1'!AV17),'Corrected energy balance step 1'!AV17,0)</f>
        <v>0</v>
      </c>
      <c r="AW17" s="158">
        <f>IF(ISNUMBER('Corrected energy balance step 1'!AW17),'Corrected energy balance step 1'!AW17,0)</f>
        <v>0</v>
      </c>
      <c r="AX17" s="158">
        <f>IF(ISNUMBER('Corrected energy balance step 1'!AX17),'Corrected energy balance step 1'!AX17,0)</f>
        <v>0</v>
      </c>
      <c r="AY17" s="158">
        <f>IF(ISNUMBER('Corrected energy balance step 1'!AY17),'Corrected energy balance step 1'!AY17,0)</f>
        <v>0</v>
      </c>
      <c r="AZ17" s="158">
        <f>IF(ISNUMBER('Corrected energy balance step 1'!AZ17),'Corrected energy balance step 1'!AZ17,0)</f>
        <v>0</v>
      </c>
      <c r="BA17" s="158">
        <f>IF(ISNUMBER('Corrected energy balance step 1'!BA17),'Corrected energy balance step 1'!BA17,0)</f>
        <v>0</v>
      </c>
      <c r="BB17" s="158">
        <f>IF(ISNUMBER('Corrected energy balance step 1'!BB17),'Corrected energy balance step 1'!BB17,0)</f>
        <v>0</v>
      </c>
      <c r="BC17" s="158">
        <f>IF(ISNUMBER('Corrected energy balance step 1'!BC17),'Corrected energy balance step 1'!BC17,0)</f>
        <v>0</v>
      </c>
      <c r="BD17" s="158">
        <f>IF(ISNUMBER('Corrected energy balance step 1'!BD17),'Corrected energy balance step 1'!BD17,0)</f>
        <v>0</v>
      </c>
      <c r="BE17" s="158">
        <f>IF(ISNUMBER('Corrected energy balance step 1'!BE17),'Corrected energy balance step 1'!BE17,0)</f>
        <v>0</v>
      </c>
      <c r="BF17" s="158">
        <f>IF(ISNUMBER('Corrected energy balance step 1'!BF17),'Corrected energy balance step 1'!BF17,0)</f>
        <v>0</v>
      </c>
      <c r="BG17" s="158">
        <f>IF(ISNUMBER('Corrected energy balance step 1'!BG17),'Corrected energy balance step 1'!BG17,0)</f>
        <v>0</v>
      </c>
      <c r="BH17" s="158">
        <f>IF(ISNUMBER('Corrected energy balance step 1'!BH17),'Corrected energy balance step 1'!BH17,0)</f>
        <v>0</v>
      </c>
      <c r="BI17" s="158">
        <f>IF(ISNUMBER('Corrected energy balance step 1'!BI17),'Corrected energy balance step 1'!BI17,0)</f>
        <v>0</v>
      </c>
      <c r="BJ17" s="158">
        <f>IF(ISNUMBER('Corrected energy balance step 1'!BJ17),'Corrected energy balance step 1'!BJ17,0)</f>
        <v>0</v>
      </c>
      <c r="BK17" s="158">
        <f>IF(ISNUMBER('Corrected energy balance step 1'!BK17),'Corrected energy balance step 1'!BK17,0)</f>
        <v>0</v>
      </c>
      <c r="BL17" s="158">
        <f>IF(ISNUMBER('Corrected energy balance step 1'!BL17),'Corrected energy balance step 1'!BL17,0)</f>
        <v>0</v>
      </c>
      <c r="BM17" s="158">
        <f>IF(ISNUMBER('Corrected energy balance step 1'!BM17),'Corrected energy balance step 1'!BM17,0)</f>
        <v>0</v>
      </c>
      <c r="BN17" s="156">
        <f t="shared" ref="BN17" si="56">SUM(C17:BM17)</f>
        <v>0</v>
      </c>
      <c r="BO17" s="159">
        <f>'Corrected energy balance step 1'!BO17</f>
        <v>0</v>
      </c>
    </row>
    <row r="18" spans="2:69" ht="17" thickBot="1" x14ac:dyDescent="0.25">
      <c r="B18" s="40" t="s">
        <v>60</v>
      </c>
      <c r="C18" s="153" t="e">
        <f>SUM(C19:C39)</f>
        <v>#DIV/0!</v>
      </c>
      <c r="D18" s="153" t="e">
        <f t="shared" ref="D18:BL18" si="57">SUM(D19:D39)</f>
        <v>#DIV/0!</v>
      </c>
      <c r="E18" s="163" t="e">
        <f t="shared" si="57"/>
        <v>#DIV/0!</v>
      </c>
      <c r="F18" s="163" t="e">
        <f t="shared" si="57"/>
        <v>#DIV/0!</v>
      </c>
      <c r="G18" s="163" t="e">
        <f t="shared" si="57"/>
        <v>#DIV/0!</v>
      </c>
      <c r="H18" s="163" t="e">
        <f t="shared" si="57"/>
        <v>#DIV/0!</v>
      </c>
      <c r="I18" s="163" t="e">
        <f t="shared" si="57"/>
        <v>#DIV/0!</v>
      </c>
      <c r="J18" s="163" t="e">
        <f t="shared" si="57"/>
        <v>#DIV/0!</v>
      </c>
      <c r="K18" s="163" t="e">
        <f t="shared" si="57"/>
        <v>#DIV/0!</v>
      </c>
      <c r="L18" s="163" t="e">
        <f t="shared" si="57"/>
        <v>#DIV/0!</v>
      </c>
      <c r="M18" s="163" t="e">
        <f t="shared" si="57"/>
        <v>#DIV/0!</v>
      </c>
      <c r="N18" s="163" t="e">
        <f t="shared" si="57"/>
        <v>#DIV/0!</v>
      </c>
      <c r="O18" s="163">
        <f t="shared" si="57"/>
        <v>0</v>
      </c>
      <c r="P18" s="163">
        <f t="shared" si="57"/>
        <v>0</v>
      </c>
      <c r="Q18" s="163">
        <f t="shared" si="57"/>
        <v>0</v>
      </c>
      <c r="R18" s="163">
        <f t="shared" si="57"/>
        <v>0</v>
      </c>
      <c r="S18" s="163" t="e">
        <f t="shared" si="57"/>
        <v>#DIV/0!</v>
      </c>
      <c r="T18" s="163" t="e">
        <f t="shared" si="57"/>
        <v>#DIV/0!</v>
      </c>
      <c r="U18" s="153" t="e">
        <f t="shared" si="57"/>
        <v>#DIV/0!</v>
      </c>
      <c r="V18" s="163" t="e">
        <f t="shared" si="57"/>
        <v>#DIV/0!</v>
      </c>
      <c r="W18" s="163" t="e">
        <f t="shared" si="57"/>
        <v>#DIV/0!</v>
      </c>
      <c r="X18" s="163" t="e">
        <f t="shared" si="57"/>
        <v>#DIV/0!</v>
      </c>
      <c r="Y18" s="163" t="e">
        <f t="shared" si="57"/>
        <v>#DIV/0!</v>
      </c>
      <c r="Z18" s="163" t="e">
        <f t="shared" si="57"/>
        <v>#DIV/0!</v>
      </c>
      <c r="AA18" s="163" t="e">
        <f t="shared" si="57"/>
        <v>#DIV/0!</v>
      </c>
      <c r="AB18" s="163" t="e">
        <f t="shared" si="57"/>
        <v>#DIV/0!</v>
      </c>
      <c r="AC18" s="163" t="e">
        <f t="shared" si="57"/>
        <v>#DIV/0!</v>
      </c>
      <c r="AD18" s="163" t="e">
        <f t="shared" si="57"/>
        <v>#DIV/0!</v>
      </c>
      <c r="AE18" s="163" t="e">
        <f t="shared" si="57"/>
        <v>#DIV/0!</v>
      </c>
      <c r="AF18" s="163" t="e">
        <f t="shared" si="57"/>
        <v>#DIV/0!</v>
      </c>
      <c r="AG18" s="163" t="e">
        <f t="shared" si="57"/>
        <v>#DIV/0!</v>
      </c>
      <c r="AH18" s="163" t="e">
        <f t="shared" si="57"/>
        <v>#DIV/0!</v>
      </c>
      <c r="AI18" s="163" t="e">
        <f t="shared" si="57"/>
        <v>#DIV/0!</v>
      </c>
      <c r="AJ18" s="163" t="e">
        <f t="shared" si="57"/>
        <v>#DIV/0!</v>
      </c>
      <c r="AK18" s="163" t="e">
        <f t="shared" si="57"/>
        <v>#DIV/0!</v>
      </c>
      <c r="AL18" s="163" t="e">
        <f t="shared" si="57"/>
        <v>#DIV/0!</v>
      </c>
      <c r="AM18" s="163" t="e">
        <f t="shared" si="57"/>
        <v>#DIV/0!</v>
      </c>
      <c r="AN18" s="163" t="e">
        <f t="shared" si="57"/>
        <v>#DIV/0!</v>
      </c>
      <c r="AO18" s="163" t="e">
        <f t="shared" si="57"/>
        <v>#DIV/0!</v>
      </c>
      <c r="AP18" s="163" t="e">
        <f t="shared" si="57"/>
        <v>#DIV/0!</v>
      </c>
      <c r="AQ18" s="163" t="e">
        <f t="shared" si="57"/>
        <v>#DIV/0!</v>
      </c>
      <c r="AR18" s="163" t="e">
        <f>SUM(AR19:AR39)</f>
        <v>#DIV/0!</v>
      </c>
      <c r="AS18" s="163" t="e">
        <f t="shared" si="57"/>
        <v>#DIV/0!</v>
      </c>
      <c r="AT18" s="163" t="e">
        <f t="shared" si="57"/>
        <v>#DIV/0!</v>
      </c>
      <c r="AU18" s="163" t="e">
        <f t="shared" si="57"/>
        <v>#DIV/0!</v>
      </c>
      <c r="AV18" s="163" t="e">
        <f t="shared" si="57"/>
        <v>#DIV/0!</v>
      </c>
      <c r="AW18" s="163">
        <f t="shared" si="57"/>
        <v>0</v>
      </c>
      <c r="AX18" s="163">
        <f t="shared" si="57"/>
        <v>0</v>
      </c>
      <c r="AY18" s="163">
        <f t="shared" si="57"/>
        <v>0</v>
      </c>
      <c r="AZ18" s="163" t="e">
        <f t="shared" si="57"/>
        <v>#DIV/0!</v>
      </c>
      <c r="BA18" s="163">
        <f t="shared" si="57"/>
        <v>0</v>
      </c>
      <c r="BB18" s="163">
        <f t="shared" si="57"/>
        <v>0</v>
      </c>
      <c r="BC18" s="163">
        <f t="shared" si="57"/>
        <v>0</v>
      </c>
      <c r="BD18" s="163" t="e">
        <f t="shared" si="57"/>
        <v>#DIV/0!</v>
      </c>
      <c r="BE18" s="163">
        <f t="shared" si="57"/>
        <v>0</v>
      </c>
      <c r="BF18" s="163" t="e">
        <f t="shared" si="57"/>
        <v>#DIV/0!</v>
      </c>
      <c r="BG18" s="163">
        <f t="shared" si="57"/>
        <v>0</v>
      </c>
      <c r="BH18" s="163" t="e">
        <f t="shared" si="57"/>
        <v>#DIV/0!</v>
      </c>
      <c r="BI18" s="163">
        <f t="shared" si="57"/>
        <v>0</v>
      </c>
      <c r="BJ18" s="163">
        <f t="shared" si="57"/>
        <v>0</v>
      </c>
      <c r="BK18" s="163">
        <f t="shared" si="57"/>
        <v>0</v>
      </c>
      <c r="BL18" s="163">
        <f t="shared" si="57"/>
        <v>0</v>
      </c>
      <c r="BM18" s="163">
        <f>SUM(BM19:BM39)</f>
        <v>0</v>
      </c>
      <c r="BN18" s="164" t="e">
        <f>SUM(C18:BM18)</f>
        <v>#DIV/0!</v>
      </c>
      <c r="BO18" s="165">
        <f>'Corrected energy balance step 1'!BO18</f>
        <v>0</v>
      </c>
    </row>
    <row r="19" spans="2:69" x14ac:dyDescent="0.2">
      <c r="B19" s="32" t="s">
        <v>61</v>
      </c>
      <c r="C19" s="157" t="e">
        <f>-'Results by fuel'!$E$11*'CEB allocation'!C11</f>
        <v>#DIV/0!</v>
      </c>
      <c r="D19" s="157" t="e">
        <f>-'Results by fuel'!$E$11*'CEB allocation'!D11</f>
        <v>#DIV/0!</v>
      </c>
      <c r="E19" s="157" t="e">
        <f>-'Results by fuel'!$E$11*'CEB allocation'!E11</f>
        <v>#DIV/0!</v>
      </c>
      <c r="F19" s="157" t="e">
        <f>-'Results by fuel'!$E$11*'CEB allocation'!F11</f>
        <v>#DIV/0!</v>
      </c>
      <c r="G19" s="157" t="e">
        <f>-'Results by fuel'!$E$11*'CEB allocation'!G11</f>
        <v>#DIV/0!</v>
      </c>
      <c r="H19" s="157" t="e">
        <f>-'Results by fuel'!$E$11*'CEB allocation'!H11</f>
        <v>#DIV/0!</v>
      </c>
      <c r="I19" s="157" t="e">
        <f>-'Results by fuel'!E21</f>
        <v>#DIV/0!</v>
      </c>
      <c r="J19" s="157" t="e">
        <f>-'Results by fuel'!$E$11*'CEB allocation'!J11</f>
        <v>#DIV/0!</v>
      </c>
      <c r="K19" s="157" t="e">
        <f>-'Results by fuel'!$E$11*'CEB allocation'!K11</f>
        <v>#DIV/0!</v>
      </c>
      <c r="L19" s="157" t="e">
        <f>-'Results by fuel'!$E$11*'CEB allocation'!L11</f>
        <v>#DIV/0!</v>
      </c>
      <c r="M19" s="157" t="e">
        <f>-'Results by fuel'!$E$11*'CEB allocation'!M11</f>
        <v>#DIV/0!</v>
      </c>
      <c r="N19" s="157" t="e">
        <f>-'Results by fuel'!$E$11*'CEB allocation'!N11</f>
        <v>#DIV/0!</v>
      </c>
      <c r="O19" s="158">
        <f>IF(ISNUMBER('Corrected energy balance step 1'!O19),'Corrected energy balance step 1'!O19,0)</f>
        <v>0</v>
      </c>
      <c r="P19" s="158">
        <f>IF(ISNUMBER('Corrected energy balance step 1'!P19),'Corrected energy balance step 1'!P19,0)</f>
        <v>0</v>
      </c>
      <c r="Q19" s="158">
        <f>IF(ISNUMBER('Corrected energy balance step 1'!Q19),'Corrected energy balance step 1'!Q19,0)</f>
        <v>0</v>
      </c>
      <c r="R19" s="158">
        <f>IF(ISNUMBER('Corrected energy balance step 1'!R19),'Corrected energy balance step 1'!R19,0)</f>
        <v>0</v>
      </c>
      <c r="S19" s="157" t="e">
        <f>-'Results by fuel'!$E$11*'CEB allocation'!S11</f>
        <v>#DIV/0!</v>
      </c>
      <c r="T19" s="157" t="e">
        <f>-'Results by fuel'!E26*'CEB allocation'!T11</f>
        <v>#DIV/0!</v>
      </c>
      <c r="U19" s="157" t="e">
        <f>-'Results by fuel'!$E$31*'CEB allocation'!U11</f>
        <v>#DIV/0!</v>
      </c>
      <c r="V19" s="157" t="e">
        <f>-'Results by fuel'!$E$31*'CEB allocation'!V11</f>
        <v>#DIV/0!</v>
      </c>
      <c r="W19" s="157" t="e">
        <f>-'Results by fuel'!$E$31*'CEB allocation'!W11</f>
        <v>#DIV/0!</v>
      </c>
      <c r="X19" s="157" t="e">
        <f>-'Results by fuel'!$E$31*'CEB allocation'!X11</f>
        <v>#DIV/0!</v>
      </c>
      <c r="Y19" s="157" t="e">
        <f>-'Results by fuel'!$E$31*'CEB allocation'!Y11</f>
        <v>#DIV/0!</v>
      </c>
      <c r="Z19" s="157" t="e">
        <f>-'Results by fuel'!$E$31*'CEB allocation'!Z11</f>
        <v>#DIV/0!</v>
      </c>
      <c r="AA19" s="157" t="e">
        <f>-'Results by fuel'!$E$31*'CEB allocation'!AA11</f>
        <v>#DIV/0!</v>
      </c>
      <c r="AB19" s="157" t="e">
        <f>-'Results by fuel'!$E$31*'CEB allocation'!AB11</f>
        <v>#DIV/0!</v>
      </c>
      <c r="AC19" s="157" t="e">
        <f>-'Results by fuel'!$E$31*'CEB allocation'!AC11</f>
        <v>#DIV/0!</v>
      </c>
      <c r="AD19" s="157" t="e">
        <f>-'Results by fuel'!$E$31*'CEB allocation'!AD11</f>
        <v>#DIV/0!</v>
      </c>
      <c r="AE19" s="157" t="e">
        <f>-'Results by fuel'!$E$31*'CEB allocation'!AE11</f>
        <v>#DIV/0!</v>
      </c>
      <c r="AF19" s="157" t="e">
        <f>-'Results by fuel'!$E$31*'CEB allocation'!AF11</f>
        <v>#DIV/0!</v>
      </c>
      <c r="AG19" s="157" t="e">
        <f>-'Results by fuel'!$E$31*'CEB allocation'!AG11</f>
        <v>#DIV/0!</v>
      </c>
      <c r="AH19" s="157" t="e">
        <f>-'Results by fuel'!$E$31*'CEB allocation'!AH11</f>
        <v>#DIV/0!</v>
      </c>
      <c r="AI19" s="157" t="e">
        <f>-'Results by fuel'!E36</f>
        <v>#DIV/0!</v>
      </c>
      <c r="AJ19" s="157" t="e">
        <f>-'Results by fuel'!$E$31*'CEB allocation'!AJ11</f>
        <v>#DIV/0!</v>
      </c>
      <c r="AK19" s="157" t="e">
        <f>-'Results by fuel'!$E$31*'CEB allocation'!AK11</f>
        <v>#DIV/0!</v>
      </c>
      <c r="AL19" s="157" t="e">
        <f>-'Results by fuel'!$E$31*'CEB allocation'!AL11</f>
        <v>#DIV/0!</v>
      </c>
      <c r="AM19" s="157" t="e">
        <f>-'Results by fuel'!$E$31*'CEB allocation'!AM11</f>
        <v>#DIV/0!</v>
      </c>
      <c r="AN19" s="157" t="e">
        <f>-'Results by fuel'!$E$31*'CEB allocation'!AN11</f>
        <v>#DIV/0!</v>
      </c>
      <c r="AO19" s="157" t="e">
        <f>-'Results by fuel'!$E$31*'CEB allocation'!AO11</f>
        <v>#DIV/0!</v>
      </c>
      <c r="AP19" s="157" t="e">
        <f>-'Results by fuel'!$E$31*'CEB allocation'!AP11</f>
        <v>#DIV/0!</v>
      </c>
      <c r="AQ19" s="157" t="e">
        <f>-'Results by fuel'!$E$31*'CEB allocation'!AQ11</f>
        <v>#DIV/0!</v>
      </c>
      <c r="AR19" s="157" t="e">
        <f>-'Results by fuel'!$E$46*'CEB allocation'!AR11</f>
        <v>#DIV/0!</v>
      </c>
      <c r="AS19" s="157" t="e">
        <f>-'Results by fuel'!E41</f>
        <v>#DIV/0!</v>
      </c>
      <c r="AT19" s="157" t="e">
        <f>-'Results by fuel'!$E$46*'CEB allocation'!AT11</f>
        <v>#DIV/0!</v>
      </c>
      <c r="AU19" s="157" t="e">
        <f>-'Results by fuel'!$E$56*'CEB allocation'!AU11</f>
        <v>#DIV/0!</v>
      </c>
      <c r="AV19" s="157" t="e">
        <f>-'Results by fuel'!E51</f>
        <v>#DIV/0!</v>
      </c>
      <c r="AW19" s="157">
        <f>0</f>
        <v>0</v>
      </c>
      <c r="AX19" s="157">
        <f>0</f>
        <v>0</v>
      </c>
      <c r="AY19" s="157">
        <f>0</f>
        <v>0</v>
      </c>
      <c r="AZ19" s="157" t="e">
        <f>-'Results by fuel'!$E$56*'CEB allocation'!AZ11</f>
        <v>#DIV/0!</v>
      </c>
      <c r="BA19" s="157">
        <f>0</f>
        <v>0</v>
      </c>
      <c r="BB19" s="157">
        <f>0</f>
        <v>0</v>
      </c>
      <c r="BC19" s="157">
        <f>0</f>
        <v>0</v>
      </c>
      <c r="BD19" s="157" t="e">
        <f>-'Results by fuel'!E61</f>
        <v>#DIV/0!</v>
      </c>
      <c r="BE19" s="157">
        <f>-'Results by fuel'!E71</f>
        <v>0</v>
      </c>
      <c r="BF19" s="157" t="e">
        <f>-'Results by fuel'!E76</f>
        <v>#DIV/0!</v>
      </c>
      <c r="BG19" s="157">
        <f>-'Results by fuel'!E81</f>
        <v>0</v>
      </c>
      <c r="BH19" s="157" t="e">
        <f>-'Results by fuel'!E86</f>
        <v>#DIV/0!</v>
      </c>
      <c r="BI19" s="157">
        <f>0</f>
        <v>0</v>
      </c>
      <c r="BJ19" s="157">
        <f>-'Results by fuel'!E66</f>
        <v>0</v>
      </c>
      <c r="BK19" s="157">
        <f>0</f>
        <v>0</v>
      </c>
      <c r="BL19" s="157">
        <f>'Results by fuel'!D92</f>
        <v>0</v>
      </c>
      <c r="BM19" s="158">
        <f>IF(ISNUMBER('Corrected energy balance step 1'!BM19),'Corrected energy balance step 1'!BM19,0)</f>
        <v>0</v>
      </c>
      <c r="BN19" s="156" t="e">
        <f>SUM(C19:BM19)</f>
        <v>#DIV/0!</v>
      </c>
      <c r="BO19" s="162">
        <f>'Corrected energy balance step 1'!BO19</f>
        <v>0</v>
      </c>
      <c r="BQ19" s="172"/>
    </row>
    <row r="20" spans="2:69" x14ac:dyDescent="0.2">
      <c r="B20" s="32" t="s">
        <v>62</v>
      </c>
      <c r="C20" s="157">
        <f>0</f>
        <v>0</v>
      </c>
      <c r="D20" s="157">
        <f>0</f>
        <v>0</v>
      </c>
      <c r="E20" s="157">
        <f>0</f>
        <v>0</v>
      </c>
      <c r="F20" s="157">
        <f>0</f>
        <v>0</v>
      </c>
      <c r="G20" s="157">
        <f>0</f>
        <v>0</v>
      </c>
      <c r="H20" s="157">
        <f>0</f>
        <v>0</v>
      </c>
      <c r="I20" s="157">
        <f>0</f>
        <v>0</v>
      </c>
      <c r="J20" s="157">
        <f>0</f>
        <v>0</v>
      </c>
      <c r="K20" s="157">
        <f>0</f>
        <v>0</v>
      </c>
      <c r="L20" s="157">
        <f>0</f>
        <v>0</v>
      </c>
      <c r="M20" s="157">
        <f>0</f>
        <v>0</v>
      </c>
      <c r="N20" s="157">
        <f>0</f>
        <v>0</v>
      </c>
      <c r="O20" s="158">
        <f>IF(ISNUMBER('Corrected energy balance step 1'!O20),'Corrected energy balance step 1'!O20,0)</f>
        <v>0</v>
      </c>
      <c r="P20" s="158">
        <f>IF(ISNUMBER('Corrected energy balance step 1'!P20),'Corrected energy balance step 1'!P20,0)</f>
        <v>0</v>
      </c>
      <c r="Q20" s="158">
        <f>IF(ISNUMBER('Corrected energy balance step 1'!Q20),'Corrected energy balance step 1'!Q20,0)</f>
        <v>0</v>
      </c>
      <c r="R20" s="158">
        <f>IF(ISNUMBER('Corrected energy balance step 1'!R20),'Corrected energy balance step 1'!R20,0)</f>
        <v>0</v>
      </c>
      <c r="S20" s="157">
        <f>0</f>
        <v>0</v>
      </c>
      <c r="T20" s="157">
        <f>0</f>
        <v>0</v>
      </c>
      <c r="U20" s="157">
        <f>0</f>
        <v>0</v>
      </c>
      <c r="V20" s="157">
        <f>0</f>
        <v>0</v>
      </c>
      <c r="W20" s="157">
        <f>0</f>
        <v>0</v>
      </c>
      <c r="X20" s="157">
        <f>0</f>
        <v>0</v>
      </c>
      <c r="Y20" s="157">
        <f>0</f>
        <v>0</v>
      </c>
      <c r="Z20" s="157">
        <f>0</f>
        <v>0</v>
      </c>
      <c r="AA20" s="157">
        <f>0</f>
        <v>0</v>
      </c>
      <c r="AB20" s="157">
        <f>0</f>
        <v>0</v>
      </c>
      <c r="AC20" s="157">
        <f>0</f>
        <v>0</v>
      </c>
      <c r="AD20" s="157">
        <f>0</f>
        <v>0</v>
      </c>
      <c r="AE20" s="157">
        <f>0</f>
        <v>0</v>
      </c>
      <c r="AF20" s="157">
        <f>0</f>
        <v>0</v>
      </c>
      <c r="AG20" s="157">
        <f>0</f>
        <v>0</v>
      </c>
      <c r="AH20" s="157">
        <f>0</f>
        <v>0</v>
      </c>
      <c r="AI20" s="157">
        <f>0</f>
        <v>0</v>
      </c>
      <c r="AJ20" s="157">
        <f>0</f>
        <v>0</v>
      </c>
      <c r="AK20" s="157">
        <f>0</f>
        <v>0</v>
      </c>
      <c r="AL20" s="157">
        <f>0</f>
        <v>0</v>
      </c>
      <c r="AM20" s="157">
        <f>0</f>
        <v>0</v>
      </c>
      <c r="AN20" s="157">
        <f>0</f>
        <v>0</v>
      </c>
      <c r="AO20" s="157">
        <f>0</f>
        <v>0</v>
      </c>
      <c r="AP20" s="157">
        <f>0</f>
        <v>0</v>
      </c>
      <c r="AQ20" s="157">
        <f>0</f>
        <v>0</v>
      </c>
      <c r="AR20" s="157">
        <f>0</f>
        <v>0</v>
      </c>
      <c r="AS20" s="157">
        <f>0</f>
        <v>0</v>
      </c>
      <c r="AT20" s="157">
        <f>0</f>
        <v>0</v>
      </c>
      <c r="AU20" s="157">
        <f>0</f>
        <v>0</v>
      </c>
      <c r="AV20" s="157">
        <f>0</f>
        <v>0</v>
      </c>
      <c r="AW20" s="157">
        <f>0</f>
        <v>0</v>
      </c>
      <c r="AX20" s="157">
        <f>0</f>
        <v>0</v>
      </c>
      <c r="AY20" s="157">
        <f>0</f>
        <v>0</v>
      </c>
      <c r="AZ20" s="157">
        <f>0</f>
        <v>0</v>
      </c>
      <c r="BA20" s="157">
        <f>0</f>
        <v>0</v>
      </c>
      <c r="BB20" s="157">
        <f>0</f>
        <v>0</v>
      </c>
      <c r="BC20" s="157">
        <f>0</f>
        <v>0</v>
      </c>
      <c r="BD20" s="157">
        <f>0</f>
        <v>0</v>
      </c>
      <c r="BE20" s="157">
        <f>0</f>
        <v>0</v>
      </c>
      <c r="BF20" s="157">
        <f>0</f>
        <v>0</v>
      </c>
      <c r="BG20" s="158">
        <f>IF(ISNUMBER('Corrected energy balance step 1'!BG20),'Corrected energy balance step 1'!BG20,0)</f>
        <v>0</v>
      </c>
      <c r="BH20" s="157">
        <v>0</v>
      </c>
      <c r="BI20" s="157">
        <v>0</v>
      </c>
      <c r="BJ20" s="157">
        <v>0</v>
      </c>
      <c r="BK20" s="157">
        <v>0</v>
      </c>
      <c r="BL20" s="157">
        <f>'Fuel aggregation PP'!D46</f>
        <v>0</v>
      </c>
      <c r="BM20" s="158">
        <f>IF(ISNUMBER('Corrected energy balance step 1'!BM20),'Corrected energy balance step 1'!BM20,0)</f>
        <v>0</v>
      </c>
      <c r="BN20" s="156">
        <f t="shared" ref="BN20:BN39" si="58">SUM(C20:BM20)</f>
        <v>0</v>
      </c>
      <c r="BO20" s="162">
        <f>'Corrected energy balance step 1'!BO20</f>
        <v>0</v>
      </c>
      <c r="BQ20" s="172"/>
    </row>
    <row r="21" spans="2:69" x14ac:dyDescent="0.2">
      <c r="B21" s="32" t="s">
        <v>63</v>
      </c>
      <c r="C21" s="158">
        <f>IF(ISNUMBER('Corrected energy balance step 1'!C21),'Corrected energy balance step 1'!C21,0)</f>
        <v>0</v>
      </c>
      <c r="D21" s="158">
        <f>IF(ISNUMBER('Corrected energy balance step 1'!D21),'Corrected energy balance step 1'!D21,0)</f>
        <v>0</v>
      </c>
      <c r="E21" s="158">
        <f>IF(ISNUMBER('Corrected energy balance step 1'!E21),'Corrected energy balance step 1'!E21,0)</f>
        <v>0</v>
      </c>
      <c r="F21" s="158">
        <f>IF(ISNUMBER('Corrected energy balance step 1'!F21),'Corrected energy balance step 1'!F21,0)</f>
        <v>0</v>
      </c>
      <c r="G21" s="158">
        <f>IF(ISNUMBER('Corrected energy balance step 1'!G21),'Corrected energy balance step 1'!G21,0)</f>
        <v>0</v>
      </c>
      <c r="H21" s="158">
        <f>IF(ISNUMBER('Corrected energy balance step 1'!H21),'Corrected energy balance step 1'!H21,0)</f>
        <v>0</v>
      </c>
      <c r="I21" s="158">
        <f>IF(ISNUMBER('Corrected energy balance step 1'!I21),'Corrected energy balance step 1'!I21,0)</f>
        <v>0</v>
      </c>
      <c r="J21" s="158">
        <f>IF(ISNUMBER('Corrected energy balance step 1'!J21),'Corrected energy balance step 1'!J21,0)</f>
        <v>0</v>
      </c>
      <c r="K21" s="158">
        <f>IF(ISNUMBER('Corrected energy balance step 1'!K21),'Corrected energy balance step 1'!K21,0)</f>
        <v>0</v>
      </c>
      <c r="L21" s="158">
        <f>IF(ISNUMBER('Corrected energy balance step 1'!L21),'Corrected energy balance step 1'!L21,0)</f>
        <v>0</v>
      </c>
      <c r="M21" s="158">
        <f>IF(ISNUMBER('Corrected energy balance step 1'!M21),'Corrected energy balance step 1'!M21,0)</f>
        <v>0</v>
      </c>
      <c r="N21" s="158">
        <f>IF(ISNUMBER('Corrected energy balance step 1'!N21),'Corrected energy balance step 1'!N21,0)</f>
        <v>0</v>
      </c>
      <c r="O21" s="158">
        <f>IF(ISNUMBER('Corrected energy balance step 1'!O21),'Corrected energy balance step 1'!O21,0)</f>
        <v>0</v>
      </c>
      <c r="P21" s="158">
        <f>IF(ISNUMBER('Corrected energy balance step 1'!P21),'Corrected energy balance step 1'!P21,0)</f>
        <v>0</v>
      </c>
      <c r="Q21" s="158">
        <f>IF(ISNUMBER('Corrected energy balance step 1'!Q21),'Corrected energy balance step 1'!Q21,0)</f>
        <v>0</v>
      </c>
      <c r="R21" s="158">
        <f>IF(ISNUMBER('Corrected energy balance step 1'!R21),'Corrected energy balance step 1'!R21,0)</f>
        <v>0</v>
      </c>
      <c r="S21" s="158">
        <f>IF(ISNUMBER('Corrected energy balance step 1'!S21),'Corrected energy balance step 1'!S21,0)</f>
        <v>0</v>
      </c>
      <c r="T21" s="158">
        <f>IF(ISNUMBER('Corrected energy balance step 1'!T21),'Corrected energy balance step 1'!T21,0)</f>
        <v>0</v>
      </c>
      <c r="U21" s="158">
        <f>IF(ISNUMBER('Corrected energy balance step 1'!U21),'Corrected energy balance step 1'!U21,0)</f>
        <v>0</v>
      </c>
      <c r="V21" s="158">
        <f>IF(ISNUMBER('Corrected energy balance step 1'!V21),'Corrected energy balance step 1'!V21,0)</f>
        <v>0</v>
      </c>
      <c r="W21" s="158">
        <f>IF(ISNUMBER('Corrected energy balance step 1'!W21),'Corrected energy balance step 1'!W21,0)</f>
        <v>0</v>
      </c>
      <c r="X21" s="158">
        <f>IF(ISNUMBER('Corrected energy balance step 1'!X21),'Corrected energy balance step 1'!X21,0)</f>
        <v>0</v>
      </c>
      <c r="Y21" s="158">
        <f>IF(ISNUMBER('Corrected energy balance step 1'!Y21),'Corrected energy balance step 1'!Y21,0)</f>
        <v>0</v>
      </c>
      <c r="Z21" s="158">
        <f>IF(ISNUMBER('Corrected energy balance step 1'!Z21),'Corrected energy balance step 1'!Z21,0)</f>
        <v>0</v>
      </c>
      <c r="AA21" s="158">
        <f>IF(ISNUMBER('Corrected energy balance step 1'!AA21),'Corrected energy balance step 1'!AA21,0)</f>
        <v>0</v>
      </c>
      <c r="AB21" s="158">
        <f>IF(ISNUMBER('Corrected energy balance step 1'!AB21),'Corrected energy balance step 1'!AB21,0)</f>
        <v>0</v>
      </c>
      <c r="AC21" s="158">
        <f>IF(ISNUMBER('Corrected energy balance step 1'!AC21),'Corrected energy balance step 1'!AC21,0)</f>
        <v>0</v>
      </c>
      <c r="AD21" s="158">
        <f>IF(ISNUMBER('Corrected energy balance step 1'!AD21),'Corrected energy balance step 1'!AD21,0)</f>
        <v>0</v>
      </c>
      <c r="AE21" s="158">
        <f>IF(ISNUMBER('Corrected energy balance step 1'!AE21),'Corrected energy balance step 1'!AE21,0)</f>
        <v>0</v>
      </c>
      <c r="AF21" s="158">
        <f>IF(ISNUMBER('Corrected energy balance step 1'!AF21),'Corrected energy balance step 1'!AF21,0)</f>
        <v>0</v>
      </c>
      <c r="AG21" s="158">
        <f>IF(ISNUMBER('Corrected energy balance step 1'!AG21),'Corrected energy balance step 1'!AG21,0)</f>
        <v>0</v>
      </c>
      <c r="AH21" s="158">
        <f>IF(ISNUMBER('Corrected energy balance step 1'!AH21),'Corrected energy balance step 1'!AH21,0)</f>
        <v>0</v>
      </c>
      <c r="AI21" s="158">
        <f>IF(ISNUMBER('Corrected energy balance step 1'!AI21),'Corrected energy balance step 1'!AI21,0)</f>
        <v>0</v>
      </c>
      <c r="AJ21" s="158">
        <f>IF(ISNUMBER('Corrected energy balance step 1'!AJ21),'Corrected energy balance step 1'!AJ21,0)</f>
        <v>0</v>
      </c>
      <c r="AK21" s="158">
        <f>IF(ISNUMBER('Corrected energy balance step 1'!AK21),'Corrected energy balance step 1'!AK21,0)</f>
        <v>0</v>
      </c>
      <c r="AL21" s="158">
        <f>IF(ISNUMBER('Corrected energy balance step 1'!AL21),'Corrected energy balance step 1'!AL21,0)</f>
        <v>0</v>
      </c>
      <c r="AM21" s="158">
        <f>IF(ISNUMBER('Corrected energy balance step 1'!AM21),'Corrected energy balance step 1'!AM21,0)</f>
        <v>0</v>
      </c>
      <c r="AN21" s="158">
        <f>IF(ISNUMBER('Corrected energy balance step 1'!AN21),'Corrected energy balance step 1'!AN21,0)</f>
        <v>0</v>
      </c>
      <c r="AO21" s="158">
        <f>IF(ISNUMBER('Corrected energy balance step 1'!AO21),'Corrected energy balance step 1'!AO21,0)</f>
        <v>0</v>
      </c>
      <c r="AP21" s="158">
        <f>IF(ISNUMBER('Corrected energy balance step 1'!AP21),'Corrected energy balance step 1'!AP21,0)</f>
        <v>0</v>
      </c>
      <c r="AQ21" s="158">
        <f>IF(ISNUMBER('Corrected energy balance step 1'!AQ21),'Corrected energy balance step 1'!AQ21,0)</f>
        <v>0</v>
      </c>
      <c r="AR21" s="158">
        <f>IF(ISNUMBER('Corrected energy balance step 1'!AR21),'Corrected energy balance step 1'!AR21,0)</f>
        <v>0</v>
      </c>
      <c r="AS21" s="158">
        <f>IF(ISNUMBER('Corrected energy balance step 1'!AS21),'Corrected energy balance step 1'!AS21,0)</f>
        <v>0</v>
      </c>
      <c r="AT21" s="158">
        <f>IF(ISNUMBER('Corrected energy balance step 1'!AT21),'Corrected energy balance step 1'!AT21,0)</f>
        <v>0</v>
      </c>
      <c r="AU21" s="158">
        <f>IF(ISNUMBER('Corrected energy balance step 1'!AU21),'Corrected energy balance step 1'!AU21,0)</f>
        <v>0</v>
      </c>
      <c r="AV21" s="158">
        <f>IF(ISNUMBER('Corrected energy balance step 1'!AV21),'Corrected energy balance step 1'!AV21,0)</f>
        <v>0</v>
      </c>
      <c r="AW21" s="158">
        <f>IF(ISNUMBER('Corrected energy balance step 1'!AW21),'Corrected energy balance step 1'!AW21,0)</f>
        <v>0</v>
      </c>
      <c r="AX21" s="158">
        <f>IF(ISNUMBER('Corrected energy balance step 1'!AX21),'Corrected energy balance step 1'!AX21,0)</f>
        <v>0</v>
      </c>
      <c r="AY21" s="158">
        <f>IF(ISNUMBER('Corrected energy balance step 1'!AY21),'Corrected energy balance step 1'!AY21,0)</f>
        <v>0</v>
      </c>
      <c r="AZ21" s="158">
        <f>IF(ISNUMBER('Corrected energy balance step 1'!AZ21),'Corrected energy balance step 1'!AZ21,0)</f>
        <v>0</v>
      </c>
      <c r="BA21" s="158">
        <f>IF(ISNUMBER('Corrected energy balance step 1'!BA21),'Corrected energy balance step 1'!BA21,0)</f>
        <v>0</v>
      </c>
      <c r="BB21" s="158">
        <f>IF(ISNUMBER('Corrected energy balance step 1'!BB21),'Corrected energy balance step 1'!BB21,0)</f>
        <v>0</v>
      </c>
      <c r="BC21" s="158">
        <f>IF(ISNUMBER('Corrected energy balance step 1'!BC21),'Corrected energy balance step 1'!BC21,0)</f>
        <v>0</v>
      </c>
      <c r="BD21" s="158">
        <f>IF(ISNUMBER('Corrected energy balance step 1'!BD21),'Corrected energy balance step 1'!BD21,0)</f>
        <v>0</v>
      </c>
      <c r="BE21" s="158">
        <f>IF(ISNUMBER('Corrected energy balance step 1'!BE21),'Corrected energy balance step 1'!BE21,0)</f>
        <v>0</v>
      </c>
      <c r="BF21" s="158">
        <f>IF(ISNUMBER('Corrected energy balance step 1'!BF21),'Corrected energy balance step 1'!BF21,0)</f>
        <v>0</v>
      </c>
      <c r="BG21" s="158">
        <f>IF(ISNUMBER('Corrected energy balance step 1'!BG21),'Corrected energy balance step 1'!BG21,0)</f>
        <v>0</v>
      </c>
      <c r="BH21" s="158">
        <f>IF(ISNUMBER('Corrected energy balance step 1'!BH21),'Corrected energy balance step 1'!BH21,0)</f>
        <v>0</v>
      </c>
      <c r="BI21" s="158">
        <f>IF(ISNUMBER('Corrected energy balance step 1'!BI21),'Corrected energy balance step 1'!BI21,0)</f>
        <v>0</v>
      </c>
      <c r="BJ21" s="158">
        <f>IF(ISNUMBER('Corrected energy balance step 1'!BJ21),'Corrected energy balance step 1'!BJ21,0)</f>
        <v>0</v>
      </c>
      <c r="BK21" s="158">
        <f>IF(ISNUMBER('Corrected energy balance step 1'!BK21),'Corrected energy balance step 1'!BK21,0)</f>
        <v>0</v>
      </c>
      <c r="BL21" s="158">
        <f>IF(ISNUMBER('Corrected energy balance step 1'!BL21),'Corrected energy balance step 1'!BL21,0)</f>
        <v>0</v>
      </c>
      <c r="BM21" s="158">
        <f>IF(ISNUMBER('Corrected energy balance step 1'!BM21),'Corrected energy balance step 1'!BM21,0)</f>
        <v>0</v>
      </c>
      <c r="BN21" s="156">
        <f t="shared" si="58"/>
        <v>0</v>
      </c>
      <c r="BO21" s="162">
        <f>'Corrected energy balance step 1'!BO21</f>
        <v>0</v>
      </c>
      <c r="BQ21" s="172"/>
    </row>
    <row r="22" spans="2:69" x14ac:dyDescent="0.2">
      <c r="B22" s="32" t="s">
        <v>64</v>
      </c>
      <c r="C22" s="158">
        <f>IF(ISNUMBER('Corrected energy balance step 1'!C22),'Corrected energy balance step 1'!C22,0)</f>
        <v>0</v>
      </c>
      <c r="D22" s="158">
        <f>IF(ISNUMBER('Corrected energy balance step 1'!D22),'Corrected energy balance step 1'!D22,0)</f>
        <v>0</v>
      </c>
      <c r="E22" s="158">
        <f>IF(ISNUMBER('Corrected energy balance step 1'!E22),'Corrected energy balance step 1'!E22,0)</f>
        <v>0</v>
      </c>
      <c r="F22" s="158">
        <f>IF(ISNUMBER('Corrected energy balance step 1'!F22),'Corrected energy balance step 1'!F22,0)</f>
        <v>0</v>
      </c>
      <c r="G22" s="158">
        <f>IF(ISNUMBER('Corrected energy balance step 1'!G22),'Corrected energy balance step 1'!G22,0)</f>
        <v>0</v>
      </c>
      <c r="H22" s="158">
        <f>IF(ISNUMBER('Corrected energy balance step 1'!H22),'Corrected energy balance step 1'!H22,0)</f>
        <v>0</v>
      </c>
      <c r="I22" s="158">
        <f>IF(ISNUMBER('Corrected energy balance step 1'!I22),'Corrected energy balance step 1'!I22,0)</f>
        <v>0</v>
      </c>
      <c r="J22" s="158">
        <f>IF(ISNUMBER('Corrected energy balance step 1'!J22),'Corrected energy balance step 1'!J22,0)</f>
        <v>0</v>
      </c>
      <c r="K22" s="158">
        <f>IF(ISNUMBER('Corrected energy balance step 1'!K22),'Corrected energy balance step 1'!K22,0)</f>
        <v>0</v>
      </c>
      <c r="L22" s="158">
        <f>IF(ISNUMBER('Corrected energy balance step 1'!L22),'Corrected energy balance step 1'!L22,0)</f>
        <v>0</v>
      </c>
      <c r="M22" s="158">
        <f>IF(ISNUMBER('Corrected energy balance step 1'!M22),'Corrected energy balance step 1'!M22,0)</f>
        <v>0</v>
      </c>
      <c r="N22" s="158">
        <f>IF(ISNUMBER('Corrected energy balance step 1'!N22),'Corrected energy balance step 1'!N22,0)</f>
        <v>0</v>
      </c>
      <c r="O22" s="158">
        <f>IF(ISNUMBER('Corrected energy balance step 1'!O22),'Corrected energy balance step 1'!O22,0)</f>
        <v>0</v>
      </c>
      <c r="P22" s="158">
        <f>IF(ISNUMBER('Corrected energy balance step 1'!P22),'Corrected energy balance step 1'!P22,0)</f>
        <v>0</v>
      </c>
      <c r="Q22" s="158">
        <f>IF(ISNUMBER('Corrected energy balance step 1'!Q22),'Corrected energy balance step 1'!Q22,0)</f>
        <v>0</v>
      </c>
      <c r="R22" s="158">
        <f>IF(ISNUMBER('Corrected energy balance step 1'!R22),'Corrected energy balance step 1'!R22,0)</f>
        <v>0</v>
      </c>
      <c r="S22" s="158">
        <f>IF(ISNUMBER('Corrected energy balance step 1'!S22),'Corrected energy balance step 1'!S22,0)</f>
        <v>0</v>
      </c>
      <c r="T22" s="158">
        <f>IF(ISNUMBER('Corrected energy balance step 1'!T22),'Corrected energy balance step 1'!T22,0)</f>
        <v>0</v>
      </c>
      <c r="U22" s="158">
        <f>IF(ISNUMBER('Corrected energy balance step 1'!U22),'Corrected energy balance step 1'!U22,0)</f>
        <v>0</v>
      </c>
      <c r="V22" s="158">
        <f>IF(ISNUMBER('Corrected energy balance step 1'!V22),'Corrected energy balance step 1'!V22,0)</f>
        <v>0</v>
      </c>
      <c r="W22" s="158">
        <f>IF(ISNUMBER('Corrected energy balance step 1'!W22),'Corrected energy balance step 1'!W22,0)</f>
        <v>0</v>
      </c>
      <c r="X22" s="158">
        <f>IF(ISNUMBER('Corrected energy balance step 1'!X22),'Corrected energy balance step 1'!X22,0)</f>
        <v>0</v>
      </c>
      <c r="Y22" s="158">
        <f>IF(ISNUMBER('Corrected energy balance step 1'!Y22),'Corrected energy balance step 1'!Y22,0)</f>
        <v>0</v>
      </c>
      <c r="Z22" s="158">
        <f>IF(ISNUMBER('Corrected energy balance step 1'!Z22),'Corrected energy balance step 1'!Z22,0)</f>
        <v>0</v>
      </c>
      <c r="AA22" s="158">
        <f>IF(ISNUMBER('Corrected energy balance step 1'!AA22),'Corrected energy balance step 1'!AA22,0)</f>
        <v>0</v>
      </c>
      <c r="AB22" s="158">
        <f>IF(ISNUMBER('Corrected energy balance step 1'!AB22),'Corrected energy balance step 1'!AB22,0)</f>
        <v>0</v>
      </c>
      <c r="AC22" s="158">
        <f>IF(ISNUMBER('Corrected energy balance step 1'!AC22),'Corrected energy balance step 1'!AC22,0)</f>
        <v>0</v>
      </c>
      <c r="AD22" s="158">
        <f>IF(ISNUMBER('Corrected energy balance step 1'!AD22),'Corrected energy balance step 1'!AD22,0)</f>
        <v>0</v>
      </c>
      <c r="AE22" s="158">
        <f>IF(ISNUMBER('Corrected energy balance step 1'!AE22),'Corrected energy balance step 1'!AE22,0)</f>
        <v>0</v>
      </c>
      <c r="AF22" s="158">
        <f>IF(ISNUMBER('Corrected energy balance step 1'!AF22),'Corrected energy balance step 1'!AF22,0)</f>
        <v>0</v>
      </c>
      <c r="AG22" s="158">
        <f>IF(ISNUMBER('Corrected energy balance step 1'!AG22),'Corrected energy balance step 1'!AG22,0)</f>
        <v>0</v>
      </c>
      <c r="AH22" s="158">
        <f>IF(ISNUMBER('Corrected energy balance step 1'!AH22),'Corrected energy balance step 1'!AH22,0)</f>
        <v>0</v>
      </c>
      <c r="AI22" s="158">
        <f>IF(ISNUMBER('Corrected energy balance step 1'!AI22),'Corrected energy balance step 1'!AI22,0)</f>
        <v>0</v>
      </c>
      <c r="AJ22" s="158">
        <f>IF(ISNUMBER('Corrected energy balance step 1'!AJ22),'Corrected energy balance step 1'!AJ22,0)</f>
        <v>0</v>
      </c>
      <c r="AK22" s="158">
        <f>IF(ISNUMBER('Corrected energy balance step 1'!AK22),'Corrected energy balance step 1'!AK22,0)</f>
        <v>0</v>
      </c>
      <c r="AL22" s="158">
        <f>IF(ISNUMBER('Corrected energy balance step 1'!AL22),'Corrected energy balance step 1'!AL22,0)</f>
        <v>0</v>
      </c>
      <c r="AM22" s="158">
        <f>IF(ISNUMBER('Corrected energy balance step 1'!AM22),'Corrected energy balance step 1'!AM22,0)</f>
        <v>0</v>
      </c>
      <c r="AN22" s="158">
        <f>IF(ISNUMBER('Corrected energy balance step 1'!AN22),'Corrected energy balance step 1'!AN22,0)</f>
        <v>0</v>
      </c>
      <c r="AO22" s="158">
        <f>IF(ISNUMBER('Corrected energy balance step 1'!AO22),'Corrected energy balance step 1'!AO22,0)</f>
        <v>0</v>
      </c>
      <c r="AP22" s="158">
        <f>IF(ISNUMBER('Corrected energy balance step 1'!AP22),'Corrected energy balance step 1'!AP22,0)</f>
        <v>0</v>
      </c>
      <c r="AQ22" s="158">
        <f>IF(ISNUMBER('Corrected energy balance step 1'!AQ22),'Corrected energy balance step 1'!AQ22,0)</f>
        <v>0</v>
      </c>
      <c r="AR22" s="158">
        <f>IF(ISNUMBER('Corrected energy balance step 1'!AR22),'Corrected energy balance step 1'!AR22,0)</f>
        <v>0</v>
      </c>
      <c r="AS22" s="158">
        <f>IF(ISNUMBER('Corrected energy balance step 1'!AS22),'Corrected energy balance step 1'!AS22,0)</f>
        <v>0</v>
      </c>
      <c r="AT22" s="158">
        <f>IF(ISNUMBER('Corrected energy balance step 1'!AT22),'Corrected energy balance step 1'!AT22,0)</f>
        <v>0</v>
      </c>
      <c r="AU22" s="158">
        <f>IF(ISNUMBER('Corrected energy balance step 1'!AU22),'Corrected energy balance step 1'!AU22,0)</f>
        <v>0</v>
      </c>
      <c r="AV22" s="158">
        <f>IF(ISNUMBER('Corrected energy balance step 1'!AV22),'Corrected energy balance step 1'!AV22,0)</f>
        <v>0</v>
      </c>
      <c r="AW22" s="158">
        <f>IF(ISNUMBER('Corrected energy balance step 1'!AW22),'Corrected energy balance step 1'!AW22,0)</f>
        <v>0</v>
      </c>
      <c r="AX22" s="158">
        <f>IF(ISNUMBER('Corrected energy balance step 1'!AX22),'Corrected energy balance step 1'!AX22,0)</f>
        <v>0</v>
      </c>
      <c r="AY22" s="158">
        <f>IF(ISNUMBER('Corrected energy balance step 1'!AY22),'Corrected energy balance step 1'!AY22,0)</f>
        <v>0</v>
      </c>
      <c r="AZ22" s="158">
        <f>IF(ISNUMBER('Corrected energy balance step 1'!AZ22),'Corrected energy balance step 1'!AZ22,0)</f>
        <v>0</v>
      </c>
      <c r="BA22" s="158">
        <f>IF(ISNUMBER('Corrected energy balance step 1'!BA22),'Corrected energy balance step 1'!BA22,0)</f>
        <v>0</v>
      </c>
      <c r="BB22" s="158">
        <f>IF(ISNUMBER('Corrected energy balance step 1'!BB22),'Corrected energy balance step 1'!BB22,0)</f>
        <v>0</v>
      </c>
      <c r="BC22" s="158">
        <f>IF(ISNUMBER('Corrected energy balance step 1'!BC22),'Corrected energy balance step 1'!BC22,0)</f>
        <v>0</v>
      </c>
      <c r="BD22" s="158">
        <f>IF(ISNUMBER('Corrected energy balance step 1'!BD22),'Corrected energy balance step 1'!BD22,0)</f>
        <v>0</v>
      </c>
      <c r="BE22" s="158">
        <f>IF(ISNUMBER('Corrected energy balance step 1'!BE22),'Corrected energy balance step 1'!BE22,0)</f>
        <v>0</v>
      </c>
      <c r="BF22" s="158">
        <f>IF(ISNUMBER('Corrected energy balance step 1'!BF22),'Corrected energy balance step 1'!BF22,0)</f>
        <v>0</v>
      </c>
      <c r="BG22" s="158">
        <f>IF(ISNUMBER('Corrected energy balance step 1'!BG22),'Corrected energy balance step 1'!BG22,0)</f>
        <v>0</v>
      </c>
      <c r="BH22" s="158">
        <f>IF(ISNUMBER('Corrected energy balance step 1'!BH22),'Corrected energy balance step 1'!BH22,0)</f>
        <v>0</v>
      </c>
      <c r="BI22" s="158">
        <f>IF(ISNUMBER('Corrected energy balance step 1'!BI22),'Corrected energy balance step 1'!BI22,0)</f>
        <v>0</v>
      </c>
      <c r="BJ22" s="158">
        <f>IF(ISNUMBER('Corrected energy balance step 1'!BJ22),'Corrected energy balance step 1'!BJ22,0)</f>
        <v>0</v>
      </c>
      <c r="BK22" s="158">
        <f>IF(ISNUMBER('Corrected energy balance step 1'!BK22),'Corrected energy balance step 1'!BK22,0)</f>
        <v>0</v>
      </c>
      <c r="BL22" s="158">
        <f>IF(ISNUMBER('Corrected energy balance step 1'!BL22),'Corrected energy balance step 1'!BL22,0)</f>
        <v>0</v>
      </c>
      <c r="BM22" s="158">
        <f>IF(ISNUMBER('Corrected energy balance step 1'!BM22),'Corrected energy balance step 1'!BM22,0)</f>
        <v>0</v>
      </c>
      <c r="BN22" s="156">
        <f t="shared" si="58"/>
        <v>0</v>
      </c>
      <c r="BO22" s="162">
        <f>'Corrected energy balance step 1'!BO22</f>
        <v>0</v>
      </c>
    </row>
    <row r="23" spans="2:69" x14ac:dyDescent="0.2">
      <c r="B23" s="32" t="s">
        <v>65</v>
      </c>
      <c r="C23" s="157" t="e">
        <f>-'Results by fuel'!$E$98*'CEB allocation'!C18</f>
        <v>#DIV/0!</v>
      </c>
      <c r="D23" s="157" t="e">
        <f>-'Results by fuel'!$E$98*'CEB allocation'!D18</f>
        <v>#DIV/0!</v>
      </c>
      <c r="E23" s="157" t="e">
        <f>-'Results by fuel'!$E$98*'CEB allocation'!E18</f>
        <v>#DIV/0!</v>
      </c>
      <c r="F23" s="157" t="e">
        <f>-'Results by fuel'!$E$98*'CEB allocation'!F18</f>
        <v>#DIV/0!</v>
      </c>
      <c r="G23" s="157" t="e">
        <f>-'Results by fuel'!$E$98*'CEB allocation'!G18</f>
        <v>#DIV/0!</v>
      </c>
      <c r="H23" s="157" t="e">
        <f>-'Results by fuel'!$E$98*'CEB allocation'!H18</f>
        <v>#DIV/0!</v>
      </c>
      <c r="I23" s="157" t="e">
        <f>-'Results by fuel'!E103</f>
        <v>#DIV/0!</v>
      </c>
      <c r="J23" s="157" t="e">
        <f>-'Results by fuel'!$E$98*'CEB allocation'!J18</f>
        <v>#DIV/0!</v>
      </c>
      <c r="K23" s="157" t="e">
        <f>-'Results by fuel'!$E$98*'CEB allocation'!K18</f>
        <v>#DIV/0!</v>
      </c>
      <c r="L23" s="157" t="e">
        <f>-'Results by fuel'!$E$98*'CEB allocation'!L18</f>
        <v>#DIV/0!</v>
      </c>
      <c r="M23" s="157" t="e">
        <f>-'Results by fuel'!$E$98*'CEB allocation'!M18</f>
        <v>#DIV/0!</v>
      </c>
      <c r="N23" s="157" t="e">
        <f>-'Results by fuel'!$E$98*'CEB allocation'!N18</f>
        <v>#DIV/0!</v>
      </c>
      <c r="O23" s="158">
        <f>IF(ISNUMBER('Corrected energy balance step 1'!O23),'Corrected energy balance step 1'!O23,0)</f>
        <v>0</v>
      </c>
      <c r="P23" s="158">
        <f>IF(ISNUMBER('Corrected energy balance step 1'!P23),'Corrected energy balance step 1'!P23,0)</f>
        <v>0</v>
      </c>
      <c r="Q23" s="158">
        <f>IF(ISNUMBER('Corrected energy balance step 1'!Q23),'Corrected energy balance step 1'!Q23,0)</f>
        <v>0</v>
      </c>
      <c r="R23" s="158">
        <f>IF(ISNUMBER('Corrected energy balance step 1'!R23),'Corrected energy balance step 1'!R23,0)</f>
        <v>0</v>
      </c>
      <c r="S23" s="157" t="e">
        <f>-'Results by fuel'!$E$98*'CEB allocation'!S18</f>
        <v>#DIV/0!</v>
      </c>
      <c r="T23" s="157" t="e">
        <f>-'Results by fuel'!E108*'CEB allocation'!T18</f>
        <v>#DIV/0!</v>
      </c>
      <c r="U23" s="157" t="e">
        <f>-'Results by fuel'!$E$113*'CEB allocation'!U18</f>
        <v>#DIV/0!</v>
      </c>
      <c r="V23" s="157" t="e">
        <f>-'Results by fuel'!$E$113*'CEB allocation'!V18</f>
        <v>#DIV/0!</v>
      </c>
      <c r="W23" s="157" t="e">
        <f>-'Results by fuel'!$E$113*'CEB allocation'!W18</f>
        <v>#DIV/0!</v>
      </c>
      <c r="X23" s="157" t="e">
        <f>-'Results by fuel'!$E$113*'CEB allocation'!X18</f>
        <v>#DIV/0!</v>
      </c>
      <c r="Y23" s="157" t="e">
        <f>-'Results by fuel'!$E$113*'CEB allocation'!Y18</f>
        <v>#DIV/0!</v>
      </c>
      <c r="Z23" s="157" t="e">
        <f>-'Results by fuel'!$E$113*'CEB allocation'!Z18</f>
        <v>#DIV/0!</v>
      </c>
      <c r="AA23" s="157" t="e">
        <f>-'Results by fuel'!$E$113*'CEB allocation'!AA18</f>
        <v>#DIV/0!</v>
      </c>
      <c r="AB23" s="157" t="e">
        <f>-'Results by fuel'!$E$113*'CEB allocation'!AB18</f>
        <v>#DIV/0!</v>
      </c>
      <c r="AC23" s="157" t="e">
        <f>-'Results by fuel'!$E$113*'CEB allocation'!AC18</f>
        <v>#DIV/0!</v>
      </c>
      <c r="AD23" s="157" t="e">
        <f>-'Results by fuel'!$E$113*'CEB allocation'!AD18</f>
        <v>#DIV/0!</v>
      </c>
      <c r="AE23" s="157" t="e">
        <f>-'Results by fuel'!$E$113*'CEB allocation'!AE18</f>
        <v>#DIV/0!</v>
      </c>
      <c r="AF23" s="157" t="e">
        <f>-'Results by fuel'!$E$113*'CEB allocation'!AF18</f>
        <v>#DIV/0!</v>
      </c>
      <c r="AG23" s="157" t="e">
        <f>-'Results by fuel'!$E$113*'CEB allocation'!AG18</f>
        <v>#DIV/0!</v>
      </c>
      <c r="AH23" s="157" t="e">
        <f>-'Results by fuel'!$E$113*'CEB allocation'!AH18</f>
        <v>#DIV/0!</v>
      </c>
      <c r="AI23" s="157" t="e">
        <f>-'Results by fuel'!$E$113*'CEB allocation'!AI18</f>
        <v>#DIV/0!</v>
      </c>
      <c r="AJ23" s="157" t="e">
        <f>-'Results by fuel'!$E$113*'CEB allocation'!AJ18</f>
        <v>#DIV/0!</v>
      </c>
      <c r="AK23" s="157" t="e">
        <f>-'Results by fuel'!$E$113*'CEB allocation'!AK18</f>
        <v>#DIV/0!</v>
      </c>
      <c r="AL23" s="157" t="e">
        <f>-'Results by fuel'!$E$113*'CEB allocation'!AL18</f>
        <v>#DIV/0!</v>
      </c>
      <c r="AM23" s="157" t="e">
        <f>-'Results by fuel'!$E$113*'CEB allocation'!AM18</f>
        <v>#DIV/0!</v>
      </c>
      <c r="AN23" s="157" t="e">
        <f>-'Results by fuel'!$E$113*'CEB allocation'!AN18</f>
        <v>#DIV/0!</v>
      </c>
      <c r="AO23" s="157" t="e">
        <f>-'Results by fuel'!$E$113*'CEB allocation'!AO18</f>
        <v>#DIV/0!</v>
      </c>
      <c r="AP23" s="157" t="e">
        <f>-'Results by fuel'!$E$113*'CEB allocation'!AP18</f>
        <v>#DIV/0!</v>
      </c>
      <c r="AQ23" s="157" t="e">
        <f>-'Results by fuel'!$E$113*'CEB allocation'!AQ18</f>
        <v>#DIV/0!</v>
      </c>
      <c r="AR23" s="157" t="e">
        <f>-'Results by fuel'!$E$123*'CEB allocation'!AR18</f>
        <v>#DIV/0!</v>
      </c>
      <c r="AS23" s="157" t="e">
        <f>-'Results by fuel'!E118</f>
        <v>#DIV/0!</v>
      </c>
      <c r="AT23" s="157" t="e">
        <f>-'Results by fuel'!$E$123*'CEB allocation'!AT18</f>
        <v>#DIV/0!</v>
      </c>
      <c r="AU23" s="157" t="e">
        <f>-'Results by fuel'!$E$133*'CEB allocation'!AU18</f>
        <v>#DIV/0!</v>
      </c>
      <c r="AV23" s="157" t="e">
        <f>-'Results by fuel'!E128</f>
        <v>#DIV/0!</v>
      </c>
      <c r="AW23" s="213">
        <f>IF(ISNUMBER('Corrected energy balance step 1'!AW23),'Corrected energy balance step 1'!AW23,0)</f>
        <v>0</v>
      </c>
      <c r="AX23" s="213">
        <f>IF(ISNUMBER('Corrected energy balance step 1'!AX23),'Corrected energy balance step 1'!AX23,0)</f>
        <v>0</v>
      </c>
      <c r="AY23" s="213">
        <f>IF(ISNUMBER('Corrected energy balance step 1'!AY23),'Corrected energy balance step 1'!AY23,0)</f>
        <v>0</v>
      </c>
      <c r="AZ23" s="157" t="e">
        <f>-'Results by fuel'!$E$133*'CEB allocation'!AZ18</f>
        <v>#DIV/0!</v>
      </c>
      <c r="BA23" s="213">
        <f>IF(ISNUMBER('Corrected energy balance step 1'!BA23),'Corrected energy balance step 1'!BA23,0)</f>
        <v>0</v>
      </c>
      <c r="BB23" s="213">
        <f>IF(ISNUMBER('Corrected energy balance step 1'!BB23),'Corrected energy balance step 1'!BB23,0)</f>
        <v>0</v>
      </c>
      <c r="BC23" s="213">
        <f>IF(ISNUMBER('Corrected energy balance step 1'!BC23),'Corrected energy balance step 1'!BC23,0)</f>
        <v>0</v>
      </c>
      <c r="BD23" s="213">
        <f>IF(ISNUMBER('Corrected energy balance step 1'!BD23),'Corrected energy balance step 1'!BD23,0)</f>
        <v>0</v>
      </c>
      <c r="BE23" s="213">
        <f>IF(ISNUMBER('Corrected energy balance step 1'!BE23),'Corrected energy balance step 1'!BE23,0)</f>
        <v>0</v>
      </c>
      <c r="BF23" s="213">
        <f>IF(ISNUMBER('Corrected energy balance step 1'!BF23),'Corrected energy balance step 1'!BF23,0)</f>
        <v>0</v>
      </c>
      <c r="BG23" s="213">
        <f>IF(ISNUMBER('Corrected energy balance step 1'!BG23),'Corrected energy balance step 1'!BG23,0)</f>
        <v>0</v>
      </c>
      <c r="BH23" s="213">
        <f>IF(ISNUMBER('Corrected energy balance step 1'!BH23),'Corrected energy balance step 1'!BH23,0)</f>
        <v>0</v>
      </c>
      <c r="BI23" s="213">
        <f>IF(ISNUMBER('Corrected energy balance step 1'!BI23),'Corrected energy balance step 1'!BI23,0)</f>
        <v>0</v>
      </c>
      <c r="BJ23" s="213">
        <f>IF(ISNUMBER('Corrected energy balance step 1'!BJ23),'Corrected energy balance step 1'!BJ23,0)</f>
        <v>0</v>
      </c>
      <c r="BK23" s="213">
        <f>IF(ISNUMBER('Corrected energy balance step 1'!BK23),'Corrected energy balance step 1'!BK23,0)</f>
        <v>0</v>
      </c>
      <c r="BL23" s="213">
        <f>IF(ISNUMBER('Corrected energy balance step 1'!BL23),'Corrected energy balance step 1'!BL23,0)</f>
        <v>0</v>
      </c>
      <c r="BM23" s="157">
        <f>'Results by fuel'!H140</f>
        <v>0</v>
      </c>
      <c r="BN23" s="156" t="e">
        <f t="shared" si="58"/>
        <v>#DIV/0!</v>
      </c>
      <c r="BO23" s="162">
        <f>'Corrected energy balance step 1'!BO23</f>
        <v>0</v>
      </c>
    </row>
    <row r="24" spans="2:69" x14ac:dyDescent="0.2">
      <c r="B24" s="43" t="s">
        <v>66</v>
      </c>
      <c r="C24" s="214">
        <v>0</v>
      </c>
      <c r="D24" s="214">
        <v>0</v>
      </c>
      <c r="E24" s="214">
        <v>0</v>
      </c>
      <c r="F24" s="214">
        <v>0</v>
      </c>
      <c r="G24" s="214">
        <v>0</v>
      </c>
      <c r="H24" s="214">
        <v>0</v>
      </c>
      <c r="I24" s="214">
        <v>0</v>
      </c>
      <c r="J24" s="214">
        <v>0</v>
      </c>
      <c r="K24" s="214">
        <v>0</v>
      </c>
      <c r="L24" s="214">
        <v>0</v>
      </c>
      <c r="M24" s="214">
        <v>0</v>
      </c>
      <c r="N24" s="214">
        <v>0</v>
      </c>
      <c r="O24" s="158">
        <f>IF(ISNUMBER('Corrected energy balance step 1'!O24),'Corrected energy balance step 1'!O24,0)</f>
        <v>0</v>
      </c>
      <c r="P24" s="158">
        <f>IF(ISNUMBER('Corrected energy balance step 1'!P24),'Corrected energy balance step 1'!P24,0)</f>
        <v>0</v>
      </c>
      <c r="Q24" s="158">
        <f>IF(ISNUMBER('Corrected energy balance step 1'!Q24),'Corrected energy balance step 1'!Q24,0)</f>
        <v>0</v>
      </c>
      <c r="R24" s="158">
        <f>IF(ISNUMBER('Corrected energy balance step 1'!R24),'Corrected energy balance step 1'!R24,0)</f>
        <v>0</v>
      </c>
      <c r="S24" s="214">
        <v>0</v>
      </c>
      <c r="T24" s="214">
        <v>0</v>
      </c>
      <c r="U24" s="214">
        <v>0</v>
      </c>
      <c r="V24" s="214">
        <v>0</v>
      </c>
      <c r="W24" s="214">
        <v>0</v>
      </c>
      <c r="X24" s="214">
        <v>0</v>
      </c>
      <c r="Y24" s="214">
        <v>0</v>
      </c>
      <c r="Z24" s="214">
        <v>0</v>
      </c>
      <c r="AA24" s="214">
        <v>0</v>
      </c>
      <c r="AB24" s="214">
        <v>0</v>
      </c>
      <c r="AC24" s="214">
        <v>0</v>
      </c>
      <c r="AD24" s="214">
        <v>0</v>
      </c>
      <c r="AE24" s="214">
        <v>0</v>
      </c>
      <c r="AF24" s="214">
        <v>0</v>
      </c>
      <c r="AG24" s="214">
        <v>0</v>
      </c>
      <c r="AH24" s="214">
        <v>0</v>
      </c>
      <c r="AI24" s="214">
        <v>0</v>
      </c>
      <c r="AJ24" s="214">
        <v>0</v>
      </c>
      <c r="AK24" s="214">
        <v>0</v>
      </c>
      <c r="AL24" s="214">
        <v>0</v>
      </c>
      <c r="AM24" s="214">
        <v>0</v>
      </c>
      <c r="AN24" s="214">
        <v>0</v>
      </c>
      <c r="AO24" s="214">
        <v>0</v>
      </c>
      <c r="AP24" s="214">
        <v>0</v>
      </c>
      <c r="AQ24" s="214">
        <v>0</v>
      </c>
      <c r="AR24" s="214">
        <v>0</v>
      </c>
      <c r="AS24" s="214">
        <v>0</v>
      </c>
      <c r="AT24" s="214">
        <v>0</v>
      </c>
      <c r="AU24" s="214">
        <v>0</v>
      </c>
      <c r="AV24" s="214">
        <v>0</v>
      </c>
      <c r="AW24" s="214">
        <v>0</v>
      </c>
      <c r="AX24" s="214">
        <v>0</v>
      </c>
      <c r="AY24" s="214">
        <v>0</v>
      </c>
      <c r="AZ24" s="214">
        <v>0</v>
      </c>
      <c r="BA24" s="214">
        <v>0</v>
      </c>
      <c r="BB24" s="214">
        <v>0</v>
      </c>
      <c r="BC24" s="214">
        <v>0</v>
      </c>
      <c r="BD24" s="214">
        <v>0</v>
      </c>
      <c r="BE24" s="214">
        <v>0</v>
      </c>
      <c r="BF24" s="214">
        <v>0</v>
      </c>
      <c r="BG24" s="214">
        <v>0</v>
      </c>
      <c r="BH24" s="214">
        <v>0</v>
      </c>
      <c r="BI24" s="214">
        <v>0</v>
      </c>
      <c r="BJ24" s="214">
        <v>0</v>
      </c>
      <c r="BK24" s="214">
        <v>0</v>
      </c>
      <c r="BL24" s="214">
        <v>0</v>
      </c>
      <c r="BM24" s="215">
        <v>0</v>
      </c>
      <c r="BN24" s="166">
        <f t="shared" si="58"/>
        <v>0</v>
      </c>
      <c r="BO24" s="167">
        <f>'Corrected energy balance step 1'!BO24</f>
        <v>0</v>
      </c>
    </row>
    <row r="25" spans="2:69" x14ac:dyDescent="0.2">
      <c r="B25" s="32" t="s">
        <v>67</v>
      </c>
      <c r="C25" s="158">
        <f>IF(ISNUMBER('Corrected energy balance step 1'!C25),'Corrected energy balance step 1'!C25,0)</f>
        <v>0</v>
      </c>
      <c r="D25" s="158">
        <f>IF(ISNUMBER('Corrected energy balance step 1'!D25),'Corrected energy balance step 1'!D25,0)</f>
        <v>0</v>
      </c>
      <c r="E25" s="158">
        <f>IF(ISNUMBER('Corrected energy balance step 1'!E25),'Corrected energy balance step 1'!E25,0)</f>
        <v>0</v>
      </c>
      <c r="F25" s="158">
        <f>IF(ISNUMBER('Corrected energy balance step 1'!F25),'Corrected energy balance step 1'!F25,0)</f>
        <v>0</v>
      </c>
      <c r="G25" s="158">
        <f>IF(ISNUMBER('Corrected energy balance step 1'!G25),'Corrected energy balance step 1'!G25,0)</f>
        <v>0</v>
      </c>
      <c r="H25" s="158">
        <f>IF(ISNUMBER('Corrected energy balance step 1'!H25),'Corrected energy balance step 1'!H25,0)</f>
        <v>0</v>
      </c>
      <c r="I25" s="158">
        <f>IF(ISNUMBER('Corrected energy balance step 1'!I25),'Corrected energy balance step 1'!I25,0)</f>
        <v>0</v>
      </c>
      <c r="J25" s="158">
        <f>IF(ISNUMBER('Corrected energy balance step 1'!J25),'Corrected energy balance step 1'!J25,0)</f>
        <v>0</v>
      </c>
      <c r="K25" s="158">
        <f>IF(ISNUMBER('Corrected energy balance step 1'!K25),'Corrected energy balance step 1'!K25,0)</f>
        <v>0</v>
      </c>
      <c r="L25" s="158">
        <f>IF(ISNUMBER('Corrected energy balance step 1'!L25),'Corrected energy balance step 1'!L25,0)</f>
        <v>0</v>
      </c>
      <c r="M25" s="158">
        <f>IF(ISNUMBER('Corrected energy balance step 1'!M25),'Corrected energy balance step 1'!M25,0)</f>
        <v>0</v>
      </c>
      <c r="N25" s="158">
        <f>IF(ISNUMBER('Corrected energy balance step 1'!N25),'Corrected energy balance step 1'!N25,0)</f>
        <v>0</v>
      </c>
      <c r="O25" s="158">
        <f>IF(ISNUMBER('Corrected energy balance step 1'!O25),'Corrected energy balance step 1'!O25,0)</f>
        <v>0</v>
      </c>
      <c r="P25" s="158">
        <f>IF(ISNUMBER('Corrected energy balance step 1'!P25),'Corrected energy balance step 1'!P25,0)</f>
        <v>0</v>
      </c>
      <c r="Q25" s="158">
        <f>IF(ISNUMBER('Corrected energy balance step 1'!Q25),'Corrected energy balance step 1'!Q25,0)</f>
        <v>0</v>
      </c>
      <c r="R25" s="158">
        <f>IF(ISNUMBER('Corrected energy balance step 1'!R25),'Corrected energy balance step 1'!R25,0)</f>
        <v>0</v>
      </c>
      <c r="S25" s="158">
        <f>IF(ISNUMBER('Corrected energy balance step 1'!S25),'Corrected energy balance step 1'!S25,0)</f>
        <v>0</v>
      </c>
      <c r="T25" s="158">
        <f>IF(ISNUMBER('Corrected energy balance step 1'!T25),'Corrected energy balance step 1'!T25,0)</f>
        <v>0</v>
      </c>
      <c r="U25" s="158">
        <f>IF(ISNUMBER('Corrected energy balance step 1'!U25),'Corrected energy balance step 1'!U25,0)</f>
        <v>0</v>
      </c>
      <c r="V25" s="158">
        <f>IF(ISNUMBER('Corrected energy balance step 1'!V25),'Corrected energy balance step 1'!V25,0)</f>
        <v>0</v>
      </c>
      <c r="W25" s="158">
        <f>IF(ISNUMBER('Corrected energy balance step 1'!W25),'Corrected energy balance step 1'!W25,0)</f>
        <v>0</v>
      </c>
      <c r="X25" s="158">
        <f>IF(ISNUMBER('Corrected energy balance step 1'!X25),'Corrected energy balance step 1'!X25,0)</f>
        <v>0</v>
      </c>
      <c r="Y25" s="158">
        <f>IF(ISNUMBER('Corrected energy balance step 1'!Y25),'Corrected energy balance step 1'!Y25,0)</f>
        <v>0</v>
      </c>
      <c r="Z25" s="158">
        <f>IF(ISNUMBER('Corrected energy balance step 1'!Z25),'Corrected energy balance step 1'!Z25,0)</f>
        <v>0</v>
      </c>
      <c r="AA25" s="158">
        <f>IF(ISNUMBER('Corrected energy balance step 1'!AA25),'Corrected energy balance step 1'!AA25,0)</f>
        <v>0</v>
      </c>
      <c r="AB25" s="158">
        <f>IF(ISNUMBER('Corrected energy balance step 1'!AB25),'Corrected energy balance step 1'!AB25,0)</f>
        <v>0</v>
      </c>
      <c r="AC25" s="158">
        <f>IF(ISNUMBER('Corrected energy balance step 1'!AC25),'Corrected energy balance step 1'!AC25,0)</f>
        <v>0</v>
      </c>
      <c r="AD25" s="158">
        <f>IF(ISNUMBER('Corrected energy balance step 1'!AD25),'Corrected energy balance step 1'!AD25,0)</f>
        <v>0</v>
      </c>
      <c r="AE25" s="158">
        <f>IF(ISNUMBER('Corrected energy balance step 1'!AE25),'Corrected energy balance step 1'!AE25,0)</f>
        <v>0</v>
      </c>
      <c r="AF25" s="158">
        <f>IF(ISNUMBER('Corrected energy balance step 1'!AF25),'Corrected energy balance step 1'!AF25,0)</f>
        <v>0</v>
      </c>
      <c r="AG25" s="158">
        <f>IF(ISNUMBER('Corrected energy balance step 1'!AG25),'Corrected energy balance step 1'!AG25,0)</f>
        <v>0</v>
      </c>
      <c r="AH25" s="158">
        <f>IF(ISNUMBER('Corrected energy balance step 1'!AH25),'Corrected energy balance step 1'!AH25,0)</f>
        <v>0</v>
      </c>
      <c r="AI25" s="158">
        <f>IF(ISNUMBER('Corrected energy balance step 1'!AI25),'Corrected energy balance step 1'!AI25,0)</f>
        <v>0</v>
      </c>
      <c r="AJ25" s="158">
        <f>IF(ISNUMBER('Corrected energy balance step 1'!AJ25),'Corrected energy balance step 1'!AJ25,0)</f>
        <v>0</v>
      </c>
      <c r="AK25" s="158">
        <f>IF(ISNUMBER('Corrected energy balance step 1'!AK25),'Corrected energy balance step 1'!AK25,0)</f>
        <v>0</v>
      </c>
      <c r="AL25" s="158">
        <f>IF(ISNUMBER('Corrected energy balance step 1'!AL25),'Corrected energy balance step 1'!AL25,0)</f>
        <v>0</v>
      </c>
      <c r="AM25" s="158">
        <f>IF(ISNUMBER('Corrected energy balance step 1'!AM25),'Corrected energy balance step 1'!AM25,0)</f>
        <v>0</v>
      </c>
      <c r="AN25" s="158">
        <f>IF(ISNUMBER('Corrected energy balance step 1'!AN25),'Corrected energy balance step 1'!AN25,0)</f>
        <v>0</v>
      </c>
      <c r="AO25" s="158">
        <f>IF(ISNUMBER('Corrected energy balance step 1'!AO25),'Corrected energy balance step 1'!AO25,0)</f>
        <v>0</v>
      </c>
      <c r="AP25" s="158">
        <f>IF(ISNUMBER('Corrected energy balance step 1'!AP25),'Corrected energy balance step 1'!AP25,0)</f>
        <v>0</v>
      </c>
      <c r="AQ25" s="158">
        <f>IF(ISNUMBER('Corrected energy balance step 1'!AQ25),'Corrected energy balance step 1'!AQ25,0)</f>
        <v>0</v>
      </c>
      <c r="AR25" s="158">
        <f>IF(ISNUMBER('Corrected energy balance step 1'!AR25),'Corrected energy balance step 1'!AR25,0)</f>
        <v>0</v>
      </c>
      <c r="AS25" s="158">
        <f>IF(ISNUMBER('Corrected energy balance step 1'!AS25),'Corrected energy balance step 1'!AS25,0)</f>
        <v>0</v>
      </c>
      <c r="AT25" s="158">
        <f>IF(ISNUMBER('Corrected energy balance step 1'!AT25),'Corrected energy balance step 1'!AT25,0)</f>
        <v>0</v>
      </c>
      <c r="AU25" s="158">
        <f>IF(ISNUMBER('Corrected energy balance step 1'!AU25),'Corrected energy balance step 1'!AU25,0)</f>
        <v>0</v>
      </c>
      <c r="AV25" s="158">
        <f>IF(ISNUMBER('Corrected energy balance step 1'!AV25),'Corrected energy balance step 1'!AV25,0)</f>
        <v>0</v>
      </c>
      <c r="AW25" s="158">
        <f>IF(ISNUMBER('Corrected energy balance step 1'!AW25),'Corrected energy balance step 1'!AW25,0)</f>
        <v>0</v>
      </c>
      <c r="AX25" s="158">
        <f>IF(ISNUMBER('Corrected energy balance step 1'!AX25),'Corrected energy balance step 1'!AX25,0)</f>
        <v>0</v>
      </c>
      <c r="AY25" s="158">
        <f>IF(ISNUMBER('Corrected energy balance step 1'!AY25),'Corrected energy balance step 1'!AY25,0)</f>
        <v>0</v>
      </c>
      <c r="AZ25" s="158">
        <f>IF(ISNUMBER('Corrected energy balance step 1'!AZ25),'Corrected energy balance step 1'!AZ25,0)</f>
        <v>0</v>
      </c>
      <c r="BA25" s="158">
        <f>IF(ISNUMBER('Corrected energy balance step 1'!BA25),'Corrected energy balance step 1'!BA25,0)</f>
        <v>0</v>
      </c>
      <c r="BB25" s="158">
        <f>IF(ISNUMBER('Corrected energy balance step 1'!BB25),'Corrected energy balance step 1'!BB25,0)</f>
        <v>0</v>
      </c>
      <c r="BC25" s="158">
        <f>IF(ISNUMBER('Corrected energy balance step 1'!BC25),'Corrected energy balance step 1'!BC25,0)</f>
        <v>0</v>
      </c>
      <c r="BD25" s="158">
        <f>IF(ISNUMBER('Corrected energy balance step 1'!BD25),'Corrected energy balance step 1'!BD25,0)</f>
        <v>0</v>
      </c>
      <c r="BE25" s="158">
        <f>IF(ISNUMBER('Corrected energy balance step 1'!BE25),'Corrected energy balance step 1'!BE25,0)</f>
        <v>0</v>
      </c>
      <c r="BF25" s="158">
        <f>IF(ISNUMBER('Corrected energy balance step 1'!BF25),'Corrected energy balance step 1'!BF25,0)</f>
        <v>0</v>
      </c>
      <c r="BG25" s="158">
        <f>IF(ISNUMBER('Corrected energy balance step 1'!BG25),'Corrected energy balance step 1'!BG25,0)</f>
        <v>0</v>
      </c>
      <c r="BH25" s="158">
        <f>IF(ISNUMBER('Corrected energy balance step 1'!BH25),'Corrected energy balance step 1'!BH25,0)</f>
        <v>0</v>
      </c>
      <c r="BI25" s="158">
        <f>IF(ISNUMBER('Corrected energy balance step 1'!BI25),'Corrected energy balance step 1'!BI25,0)</f>
        <v>0</v>
      </c>
      <c r="BJ25" s="158">
        <f>IF(ISNUMBER('Corrected energy balance step 1'!BJ25),'Corrected energy balance step 1'!BJ25,0)</f>
        <v>0</v>
      </c>
      <c r="BK25" s="158">
        <f>IF(ISNUMBER('Corrected energy balance step 1'!BK25),'Corrected energy balance step 1'!BK25,0)</f>
        <v>0</v>
      </c>
      <c r="BL25" s="158">
        <f>IF(ISNUMBER('Corrected energy balance step 1'!BL25),'Corrected energy balance step 1'!BL25,0)</f>
        <v>0</v>
      </c>
      <c r="BM25" s="158">
        <f>IF(ISNUMBER('Corrected energy balance step 1'!BM25),'Corrected energy balance step 1'!BM25,0)</f>
        <v>0</v>
      </c>
      <c r="BN25" s="156">
        <f t="shared" si="58"/>
        <v>0</v>
      </c>
      <c r="BO25" s="159">
        <f>'Corrected energy balance step 1'!BO25</f>
        <v>0</v>
      </c>
      <c r="BQ25" s="172"/>
    </row>
    <row r="26" spans="2:69" x14ac:dyDescent="0.2">
      <c r="B26" s="32" t="s">
        <v>68</v>
      </c>
      <c r="C26" s="158">
        <f>IF(ISNUMBER('Corrected energy balance step 1'!C26),'Corrected energy balance step 1'!C26,0)</f>
        <v>0</v>
      </c>
      <c r="D26" s="158">
        <f>IF(ISNUMBER('Corrected energy balance step 1'!D26),'Corrected energy balance step 1'!D26,0)</f>
        <v>0</v>
      </c>
      <c r="E26" s="158">
        <f>IF(ISNUMBER('Corrected energy balance step 1'!E26),'Corrected energy balance step 1'!E26,0)</f>
        <v>0</v>
      </c>
      <c r="F26" s="158">
        <f>IF(ISNUMBER('Corrected energy balance step 1'!F26),'Corrected energy balance step 1'!F26,0)</f>
        <v>0</v>
      </c>
      <c r="G26" s="158">
        <f>IF(ISNUMBER('Corrected energy balance step 1'!G26),'Corrected energy balance step 1'!G26,0)</f>
        <v>0</v>
      </c>
      <c r="H26" s="158">
        <f>IF(ISNUMBER('Corrected energy balance step 1'!H26),'Corrected energy balance step 1'!H26,0)</f>
        <v>0</v>
      </c>
      <c r="I26" s="158">
        <f>IF(ISNUMBER('Corrected energy balance step 1'!I26),'Corrected energy balance step 1'!I26,0)</f>
        <v>0</v>
      </c>
      <c r="J26" s="158">
        <f>IF(ISNUMBER('Corrected energy balance step 1'!J26),'Corrected energy balance step 1'!J26,0)</f>
        <v>0</v>
      </c>
      <c r="K26" s="158">
        <f>IF(ISNUMBER('Corrected energy balance step 1'!K26),'Corrected energy balance step 1'!K26,0)</f>
        <v>0</v>
      </c>
      <c r="L26" s="158">
        <f>IF(ISNUMBER('Corrected energy balance step 1'!L26),'Corrected energy balance step 1'!L26,0)</f>
        <v>0</v>
      </c>
      <c r="M26" s="158">
        <f>IF(ISNUMBER('Corrected energy balance step 1'!M26),'Corrected energy balance step 1'!M26,0)</f>
        <v>0</v>
      </c>
      <c r="N26" s="158">
        <f>IF(ISNUMBER('Corrected energy balance step 1'!N26),'Corrected energy balance step 1'!N26,0)</f>
        <v>0</v>
      </c>
      <c r="O26" s="158">
        <f>IF(ISNUMBER('Corrected energy balance step 1'!O26),'Corrected energy balance step 1'!O26,0)</f>
        <v>0</v>
      </c>
      <c r="P26" s="158">
        <f>IF(ISNUMBER('Corrected energy balance step 1'!P26),'Corrected energy balance step 1'!P26,0)</f>
        <v>0</v>
      </c>
      <c r="Q26" s="158">
        <f>IF(ISNUMBER('Corrected energy balance step 1'!Q26),'Corrected energy balance step 1'!Q26,0)</f>
        <v>0</v>
      </c>
      <c r="R26" s="158">
        <f>IF(ISNUMBER('Corrected energy balance step 1'!R26),'Corrected energy balance step 1'!R26,0)</f>
        <v>0</v>
      </c>
      <c r="S26" s="158">
        <f>IF(ISNUMBER('Corrected energy balance step 1'!S26),'Corrected energy balance step 1'!S26,0)</f>
        <v>0</v>
      </c>
      <c r="T26" s="158">
        <f>IF(ISNUMBER('Corrected energy balance step 1'!T26),'Corrected energy balance step 1'!T26,0)</f>
        <v>0</v>
      </c>
      <c r="U26" s="158">
        <f>IF(ISNUMBER('Corrected energy balance step 1'!U26),'Corrected energy balance step 1'!U26,0)</f>
        <v>0</v>
      </c>
      <c r="V26" s="158">
        <f>IF(ISNUMBER('Corrected energy balance step 1'!V26),'Corrected energy balance step 1'!V26,0)</f>
        <v>0</v>
      </c>
      <c r="W26" s="158">
        <f>IF(ISNUMBER('Corrected energy balance step 1'!W26),'Corrected energy balance step 1'!W26,0)</f>
        <v>0</v>
      </c>
      <c r="X26" s="158">
        <f>IF(ISNUMBER('Corrected energy balance step 1'!X26),'Corrected energy balance step 1'!X26,0)</f>
        <v>0</v>
      </c>
      <c r="Y26" s="158">
        <f>IF(ISNUMBER('Corrected energy balance step 1'!Y26),'Corrected energy balance step 1'!Y26,0)</f>
        <v>0</v>
      </c>
      <c r="Z26" s="158">
        <f>IF(ISNUMBER('Corrected energy balance step 1'!Z26),'Corrected energy balance step 1'!Z26,0)</f>
        <v>0</v>
      </c>
      <c r="AA26" s="158">
        <f>IF(ISNUMBER('Corrected energy balance step 1'!AA26),'Corrected energy balance step 1'!AA26,0)</f>
        <v>0</v>
      </c>
      <c r="AB26" s="158">
        <f>IF(ISNUMBER('Corrected energy balance step 1'!AB26),'Corrected energy balance step 1'!AB26,0)</f>
        <v>0</v>
      </c>
      <c r="AC26" s="158">
        <f>IF(ISNUMBER('Corrected energy balance step 1'!AC26),'Corrected energy balance step 1'!AC26,0)</f>
        <v>0</v>
      </c>
      <c r="AD26" s="158">
        <f>IF(ISNUMBER('Corrected energy balance step 1'!AD26),'Corrected energy balance step 1'!AD26,0)</f>
        <v>0</v>
      </c>
      <c r="AE26" s="158">
        <f>IF(ISNUMBER('Corrected energy balance step 1'!AE26),'Corrected energy balance step 1'!AE26,0)</f>
        <v>0</v>
      </c>
      <c r="AF26" s="158">
        <f>IF(ISNUMBER('Corrected energy balance step 1'!AF26),'Corrected energy balance step 1'!AF26,0)</f>
        <v>0</v>
      </c>
      <c r="AG26" s="158">
        <f>IF(ISNUMBER('Corrected energy balance step 1'!AG26),'Corrected energy balance step 1'!AG26,0)</f>
        <v>0</v>
      </c>
      <c r="AH26" s="158">
        <f>IF(ISNUMBER('Corrected energy balance step 1'!AH26),'Corrected energy balance step 1'!AH26,0)</f>
        <v>0</v>
      </c>
      <c r="AI26" s="158">
        <f>IF(ISNUMBER('Corrected energy balance step 1'!AI26),'Corrected energy balance step 1'!AI26,0)</f>
        <v>0</v>
      </c>
      <c r="AJ26" s="158">
        <f>IF(ISNUMBER('Corrected energy balance step 1'!AJ26),'Corrected energy balance step 1'!AJ26,0)</f>
        <v>0</v>
      </c>
      <c r="AK26" s="158">
        <f>IF(ISNUMBER('Corrected energy balance step 1'!AK26),'Corrected energy balance step 1'!AK26,0)</f>
        <v>0</v>
      </c>
      <c r="AL26" s="158">
        <f>IF(ISNUMBER('Corrected energy balance step 1'!AL26),'Corrected energy balance step 1'!AL26,0)</f>
        <v>0</v>
      </c>
      <c r="AM26" s="158">
        <f>IF(ISNUMBER('Corrected energy balance step 1'!AM26),'Corrected energy balance step 1'!AM26,0)</f>
        <v>0</v>
      </c>
      <c r="AN26" s="158">
        <f>IF(ISNUMBER('Corrected energy balance step 1'!AN26),'Corrected energy balance step 1'!AN26,0)</f>
        <v>0</v>
      </c>
      <c r="AO26" s="158">
        <f>IF(ISNUMBER('Corrected energy balance step 1'!AO26),'Corrected energy balance step 1'!AO26,0)</f>
        <v>0</v>
      </c>
      <c r="AP26" s="158">
        <f>IF(ISNUMBER('Corrected energy balance step 1'!AP26),'Corrected energy balance step 1'!AP26,0)</f>
        <v>0</v>
      </c>
      <c r="AQ26" s="158">
        <f>IF(ISNUMBER('Corrected energy balance step 1'!AQ26),'Corrected energy balance step 1'!AQ26,0)</f>
        <v>0</v>
      </c>
      <c r="AR26" s="158">
        <f>IF(ISNUMBER('Corrected energy balance step 1'!AR26),'Corrected energy balance step 1'!AR26,0)</f>
        <v>0</v>
      </c>
      <c r="AS26" s="158">
        <f>IF(ISNUMBER('Corrected energy balance step 1'!AS26),'Corrected energy balance step 1'!AS26,0)</f>
        <v>0</v>
      </c>
      <c r="AT26" s="158">
        <f>IF(ISNUMBER('Corrected energy balance step 1'!AT26),'Corrected energy balance step 1'!AT26,0)</f>
        <v>0</v>
      </c>
      <c r="AU26" s="158">
        <f>IF(ISNUMBER('Corrected energy balance step 1'!AU26),'Corrected energy balance step 1'!AU26,0)</f>
        <v>0</v>
      </c>
      <c r="AV26" s="158">
        <f>IF(ISNUMBER('Corrected energy balance step 1'!AV26),'Corrected energy balance step 1'!AV26,0)</f>
        <v>0</v>
      </c>
      <c r="AW26" s="158">
        <f>IF(ISNUMBER('Corrected energy balance step 1'!AW26),'Corrected energy balance step 1'!AW26,0)</f>
        <v>0</v>
      </c>
      <c r="AX26" s="158">
        <f>IF(ISNUMBER('Corrected energy balance step 1'!AX26),'Corrected energy balance step 1'!AX26,0)</f>
        <v>0</v>
      </c>
      <c r="AY26" s="158">
        <f>IF(ISNUMBER('Corrected energy balance step 1'!AY26),'Corrected energy balance step 1'!AY26,0)</f>
        <v>0</v>
      </c>
      <c r="AZ26" s="158">
        <f>IF(ISNUMBER('Corrected energy balance step 1'!AZ26),'Corrected energy balance step 1'!AZ26,0)</f>
        <v>0</v>
      </c>
      <c r="BA26" s="158">
        <f>IF(ISNUMBER('Corrected energy balance step 1'!BA26),'Corrected energy balance step 1'!BA26,0)</f>
        <v>0</v>
      </c>
      <c r="BB26" s="158">
        <f>IF(ISNUMBER('Corrected energy balance step 1'!BB26),'Corrected energy balance step 1'!BB26,0)</f>
        <v>0</v>
      </c>
      <c r="BC26" s="158">
        <f>IF(ISNUMBER('Corrected energy balance step 1'!BC26),'Corrected energy balance step 1'!BC26,0)</f>
        <v>0</v>
      </c>
      <c r="BD26" s="158">
        <f>IF(ISNUMBER('Corrected energy balance step 1'!BD26),'Corrected energy balance step 1'!BD26,0)</f>
        <v>0</v>
      </c>
      <c r="BE26" s="158">
        <f>IF(ISNUMBER('Corrected energy balance step 1'!BE26),'Corrected energy balance step 1'!BE26,0)</f>
        <v>0</v>
      </c>
      <c r="BF26" s="158">
        <f>IF(ISNUMBER('Corrected energy balance step 1'!BF26),'Corrected energy balance step 1'!BF26,0)</f>
        <v>0</v>
      </c>
      <c r="BG26" s="158">
        <f>IF(ISNUMBER('Corrected energy balance step 1'!BG26),'Corrected energy balance step 1'!BG26,0)</f>
        <v>0</v>
      </c>
      <c r="BH26" s="158">
        <f>IF(ISNUMBER('Corrected energy balance step 1'!BH26),'Corrected energy balance step 1'!BH26,0)</f>
        <v>0</v>
      </c>
      <c r="BI26" s="158">
        <f>IF(ISNUMBER('Corrected energy balance step 1'!BI26),'Corrected energy balance step 1'!BI26,0)</f>
        <v>0</v>
      </c>
      <c r="BJ26" s="158">
        <f>IF(ISNUMBER('Corrected energy balance step 1'!BJ26),'Corrected energy balance step 1'!BJ26,0)</f>
        <v>0</v>
      </c>
      <c r="BK26" s="158">
        <f>IF(ISNUMBER('Corrected energy balance step 1'!BK26),'Corrected energy balance step 1'!BK26,0)</f>
        <v>0</v>
      </c>
      <c r="BL26" s="158">
        <f>IF(ISNUMBER('Corrected energy balance step 1'!BL26),'Corrected energy balance step 1'!BL26,0)</f>
        <v>0</v>
      </c>
      <c r="BM26" s="158">
        <f>IF(ISNUMBER('Corrected energy balance step 1'!BM26),'Corrected energy balance step 1'!BM26,0)</f>
        <v>0</v>
      </c>
      <c r="BN26" s="156">
        <f t="shared" si="58"/>
        <v>0</v>
      </c>
      <c r="BO26" s="159">
        <f>'Corrected energy balance step 1'!BO26</f>
        <v>0</v>
      </c>
    </row>
    <row r="27" spans="2:69" x14ac:dyDescent="0.2">
      <c r="B27" s="32" t="s">
        <v>69</v>
      </c>
      <c r="C27" s="158">
        <f>IF(ISNUMBER('Corrected energy balance step 1'!C27),'Corrected energy balance step 1'!C27,0)</f>
        <v>0</v>
      </c>
      <c r="D27" s="158">
        <f>IF(ISNUMBER('Corrected energy balance step 1'!D27),'Corrected energy balance step 1'!D27,0)</f>
        <v>0</v>
      </c>
      <c r="E27" s="158">
        <f>IF(ISNUMBER('Corrected energy balance step 1'!E27),'Corrected energy balance step 1'!E27,0)</f>
        <v>0</v>
      </c>
      <c r="F27" s="158">
        <f>IF(ISNUMBER('Corrected energy balance step 1'!F27),'Corrected energy balance step 1'!F27,0)</f>
        <v>0</v>
      </c>
      <c r="G27" s="158">
        <f>IF(ISNUMBER('Corrected energy balance step 1'!G27),'Corrected energy balance step 1'!G27,0)</f>
        <v>0</v>
      </c>
      <c r="H27" s="158">
        <f>IF(ISNUMBER('Corrected energy balance step 1'!H27),'Corrected energy balance step 1'!H27,0)</f>
        <v>0</v>
      </c>
      <c r="I27" s="158">
        <f>IF(ISNUMBER('Corrected energy balance step 1'!I27),'Corrected energy balance step 1'!I27,0)</f>
        <v>0</v>
      </c>
      <c r="J27" s="158">
        <f>IF(ISNUMBER('Corrected energy balance step 1'!J27),'Corrected energy balance step 1'!J27,0)</f>
        <v>0</v>
      </c>
      <c r="K27" s="158">
        <f>IF(ISNUMBER('Corrected energy balance step 1'!K27),'Corrected energy balance step 1'!K27,0)</f>
        <v>0</v>
      </c>
      <c r="L27" s="158">
        <f>IF(ISNUMBER('Corrected energy balance step 1'!L27),'Corrected energy balance step 1'!L27,0)</f>
        <v>0</v>
      </c>
      <c r="M27" s="158">
        <f>IF(ISNUMBER('Corrected energy balance step 1'!M27),'Corrected energy balance step 1'!M27,0)</f>
        <v>0</v>
      </c>
      <c r="N27" s="158">
        <f>IF(ISNUMBER('Corrected energy balance step 1'!N27),'Corrected energy balance step 1'!N27,0)</f>
        <v>0</v>
      </c>
      <c r="O27" s="158">
        <f>IF(ISNUMBER('Corrected energy balance step 1'!O27),'Corrected energy balance step 1'!O27,0)</f>
        <v>0</v>
      </c>
      <c r="P27" s="158">
        <f>IF(ISNUMBER('Corrected energy balance step 1'!P27),'Corrected energy balance step 1'!P27,0)</f>
        <v>0</v>
      </c>
      <c r="Q27" s="158">
        <f>IF(ISNUMBER('Corrected energy balance step 1'!Q27),'Corrected energy balance step 1'!Q27,0)</f>
        <v>0</v>
      </c>
      <c r="R27" s="158">
        <f>IF(ISNUMBER('Corrected energy balance step 1'!R27),'Corrected energy balance step 1'!R27,0)</f>
        <v>0</v>
      </c>
      <c r="S27" s="158">
        <f>IF(ISNUMBER('Corrected energy balance step 1'!S27),'Corrected energy balance step 1'!S27,0)</f>
        <v>0</v>
      </c>
      <c r="T27" s="158">
        <f>IF(ISNUMBER('Corrected energy balance step 1'!T27),'Corrected energy balance step 1'!T27,0)</f>
        <v>0</v>
      </c>
      <c r="U27" s="158">
        <f>IF(ISNUMBER('Corrected energy balance step 1'!U27),'Corrected energy balance step 1'!U27,0)</f>
        <v>0</v>
      </c>
      <c r="V27" s="158">
        <f>IF(ISNUMBER('Corrected energy balance step 1'!V27),'Corrected energy balance step 1'!V27,0)</f>
        <v>0</v>
      </c>
      <c r="W27" s="158">
        <f>IF(ISNUMBER('Corrected energy balance step 1'!W27),'Corrected energy balance step 1'!W27,0)</f>
        <v>0</v>
      </c>
      <c r="X27" s="158">
        <f>IF(ISNUMBER('Corrected energy balance step 1'!X27),'Corrected energy balance step 1'!X27,0)</f>
        <v>0</v>
      </c>
      <c r="Y27" s="158">
        <f>IF(ISNUMBER('Corrected energy balance step 1'!Y27),'Corrected energy balance step 1'!Y27,0)</f>
        <v>0</v>
      </c>
      <c r="Z27" s="158">
        <f>IF(ISNUMBER('Corrected energy balance step 1'!Z27),'Corrected energy balance step 1'!Z27,0)</f>
        <v>0</v>
      </c>
      <c r="AA27" s="158">
        <f>IF(ISNUMBER('Corrected energy balance step 1'!AA27),'Corrected energy balance step 1'!AA27,0)</f>
        <v>0</v>
      </c>
      <c r="AB27" s="158">
        <f>IF(ISNUMBER('Corrected energy balance step 1'!AB27),'Corrected energy balance step 1'!AB27,0)</f>
        <v>0</v>
      </c>
      <c r="AC27" s="158">
        <f>IF(ISNUMBER('Corrected energy balance step 1'!AC27),'Corrected energy balance step 1'!AC27,0)</f>
        <v>0</v>
      </c>
      <c r="AD27" s="158">
        <f>IF(ISNUMBER('Corrected energy balance step 1'!AD27),'Corrected energy balance step 1'!AD27,0)</f>
        <v>0</v>
      </c>
      <c r="AE27" s="158">
        <f>IF(ISNUMBER('Corrected energy balance step 1'!AE27),'Corrected energy balance step 1'!AE27,0)</f>
        <v>0</v>
      </c>
      <c r="AF27" s="158">
        <f>IF(ISNUMBER('Corrected energy balance step 1'!AF27),'Corrected energy balance step 1'!AF27,0)</f>
        <v>0</v>
      </c>
      <c r="AG27" s="158">
        <f>IF(ISNUMBER('Corrected energy balance step 1'!AG27),'Corrected energy balance step 1'!AG27,0)</f>
        <v>0</v>
      </c>
      <c r="AH27" s="158">
        <f>IF(ISNUMBER('Corrected energy balance step 1'!AH27),'Corrected energy balance step 1'!AH27,0)</f>
        <v>0</v>
      </c>
      <c r="AI27" s="158">
        <f>IF(ISNUMBER('Corrected energy balance step 1'!AI27),'Corrected energy balance step 1'!AI27,0)</f>
        <v>0</v>
      </c>
      <c r="AJ27" s="158">
        <f>IF(ISNUMBER('Corrected energy balance step 1'!AJ27),'Corrected energy balance step 1'!AJ27,0)</f>
        <v>0</v>
      </c>
      <c r="AK27" s="158">
        <f>IF(ISNUMBER('Corrected energy balance step 1'!AK27),'Corrected energy balance step 1'!AK27,0)</f>
        <v>0</v>
      </c>
      <c r="AL27" s="158">
        <f>IF(ISNUMBER('Corrected energy balance step 1'!AL27),'Corrected energy balance step 1'!AL27,0)</f>
        <v>0</v>
      </c>
      <c r="AM27" s="158">
        <f>IF(ISNUMBER('Corrected energy balance step 1'!AM27),'Corrected energy balance step 1'!AM27,0)</f>
        <v>0</v>
      </c>
      <c r="AN27" s="158">
        <f>IF(ISNUMBER('Corrected energy balance step 1'!AN27),'Corrected energy balance step 1'!AN27,0)</f>
        <v>0</v>
      </c>
      <c r="AO27" s="158">
        <f>IF(ISNUMBER('Corrected energy balance step 1'!AO27),'Corrected energy balance step 1'!AO27,0)</f>
        <v>0</v>
      </c>
      <c r="AP27" s="158">
        <f>IF(ISNUMBER('Corrected energy balance step 1'!AP27),'Corrected energy balance step 1'!AP27,0)</f>
        <v>0</v>
      </c>
      <c r="AQ27" s="158">
        <f>IF(ISNUMBER('Corrected energy balance step 1'!AQ27),'Corrected energy balance step 1'!AQ27,0)</f>
        <v>0</v>
      </c>
      <c r="AR27" s="158">
        <f>IF(ISNUMBER('Corrected energy balance step 1'!AR27),'Corrected energy balance step 1'!AR27,0)</f>
        <v>0</v>
      </c>
      <c r="AS27" s="158">
        <f>IF(ISNUMBER('Corrected energy balance step 1'!AS27),'Corrected energy balance step 1'!AS27,0)</f>
        <v>0</v>
      </c>
      <c r="AT27" s="158">
        <f>IF(ISNUMBER('Corrected energy balance step 1'!AT27),'Corrected energy balance step 1'!AT27,0)</f>
        <v>0</v>
      </c>
      <c r="AU27" s="158">
        <f>IF(ISNUMBER('Corrected energy balance step 1'!AU27),'Corrected energy balance step 1'!AU27,0)</f>
        <v>0</v>
      </c>
      <c r="AV27" s="158">
        <f>IF(ISNUMBER('Corrected energy balance step 1'!AV27),'Corrected energy balance step 1'!AV27,0)</f>
        <v>0</v>
      </c>
      <c r="AW27" s="158">
        <f>IF(ISNUMBER('Corrected energy balance step 1'!AW27),'Corrected energy balance step 1'!AW27,0)</f>
        <v>0</v>
      </c>
      <c r="AX27" s="158">
        <f>IF(ISNUMBER('Corrected energy balance step 1'!AX27),'Corrected energy balance step 1'!AX27,0)</f>
        <v>0</v>
      </c>
      <c r="AY27" s="158">
        <f>IF(ISNUMBER('Corrected energy balance step 1'!AY27),'Corrected energy balance step 1'!AY27,0)</f>
        <v>0</v>
      </c>
      <c r="AZ27" s="158">
        <f>IF(ISNUMBER('Corrected energy balance step 1'!AZ27),'Corrected energy balance step 1'!AZ27,0)</f>
        <v>0</v>
      </c>
      <c r="BA27" s="158">
        <f>IF(ISNUMBER('Corrected energy balance step 1'!BA27),'Corrected energy balance step 1'!BA27,0)</f>
        <v>0</v>
      </c>
      <c r="BB27" s="158">
        <f>IF(ISNUMBER('Corrected energy balance step 1'!BB27),'Corrected energy balance step 1'!BB27,0)</f>
        <v>0</v>
      </c>
      <c r="BC27" s="158">
        <f>IF(ISNUMBER('Corrected energy balance step 1'!BC27),'Corrected energy balance step 1'!BC27,0)</f>
        <v>0</v>
      </c>
      <c r="BD27" s="158">
        <f>IF(ISNUMBER('Corrected energy balance step 1'!BD27),'Corrected energy balance step 1'!BD27,0)</f>
        <v>0</v>
      </c>
      <c r="BE27" s="158">
        <f>IF(ISNUMBER('Corrected energy balance step 1'!BE27),'Corrected energy balance step 1'!BE27,0)</f>
        <v>0</v>
      </c>
      <c r="BF27" s="158">
        <f>IF(ISNUMBER('Corrected energy balance step 1'!BF27),'Corrected energy balance step 1'!BF27,0)</f>
        <v>0</v>
      </c>
      <c r="BG27" s="158">
        <f>IF(ISNUMBER('Corrected energy balance step 1'!BG27),'Corrected energy balance step 1'!BG27,0)</f>
        <v>0</v>
      </c>
      <c r="BH27" s="158">
        <f>IF(ISNUMBER('Corrected energy balance step 1'!BH27),'Corrected energy balance step 1'!BH27,0)</f>
        <v>0</v>
      </c>
      <c r="BI27" s="158">
        <f>IF(ISNUMBER('Corrected energy balance step 1'!BI27),'Corrected energy balance step 1'!BI27,0)</f>
        <v>0</v>
      </c>
      <c r="BJ27" s="158">
        <f>IF(ISNUMBER('Corrected energy balance step 1'!BJ27),'Corrected energy balance step 1'!BJ27,0)</f>
        <v>0</v>
      </c>
      <c r="BK27" s="158">
        <f>IF(ISNUMBER('Corrected energy balance step 1'!BK27),'Corrected energy balance step 1'!BK27,0)</f>
        <v>0</v>
      </c>
      <c r="BL27" s="158">
        <f>IF(ISNUMBER('Corrected energy balance step 1'!BL27),'Corrected energy balance step 1'!BL27,0)</f>
        <v>0</v>
      </c>
      <c r="BM27" s="158">
        <f>IF(ISNUMBER('Corrected energy balance step 1'!BM27),'Corrected energy balance step 1'!BM27,0)</f>
        <v>0</v>
      </c>
      <c r="BN27" s="156">
        <f t="shared" si="58"/>
        <v>0</v>
      </c>
      <c r="BO27" s="159">
        <f>'Corrected energy balance step 1'!BO27</f>
        <v>0</v>
      </c>
    </row>
    <row r="28" spans="2:69" x14ac:dyDescent="0.2">
      <c r="B28" s="32" t="s">
        <v>70</v>
      </c>
      <c r="C28" s="158">
        <f>IF(ISNUMBER('Corrected energy balance step 1'!C28),'Corrected energy balance step 1'!C28,0)</f>
        <v>0</v>
      </c>
      <c r="D28" s="158">
        <f>IF(ISNUMBER('Corrected energy balance step 1'!D28),'Corrected energy balance step 1'!D28,0)</f>
        <v>0</v>
      </c>
      <c r="E28" s="158">
        <f>IF(ISNUMBER('Corrected energy balance step 1'!E28),'Corrected energy balance step 1'!E28,0)</f>
        <v>0</v>
      </c>
      <c r="F28" s="158">
        <f>IF(ISNUMBER('Corrected energy balance step 1'!F28),'Corrected energy balance step 1'!F28,0)</f>
        <v>0</v>
      </c>
      <c r="G28" s="158">
        <f>IF(ISNUMBER('Corrected energy balance step 1'!G28),'Corrected energy balance step 1'!G28,0)</f>
        <v>0</v>
      </c>
      <c r="H28" s="158">
        <f>IF(ISNUMBER('Corrected energy balance step 1'!H28),'Corrected energy balance step 1'!H28,0)</f>
        <v>0</v>
      </c>
      <c r="I28" s="158">
        <f>IF(ISNUMBER('Corrected energy balance step 1'!I28),'Corrected energy balance step 1'!I28,0)</f>
        <v>0</v>
      </c>
      <c r="J28" s="158">
        <f>IF(ISNUMBER('Corrected energy balance step 1'!J28),'Corrected energy balance step 1'!J28,0)</f>
        <v>0</v>
      </c>
      <c r="K28" s="158">
        <f>IF(ISNUMBER('Corrected energy balance step 1'!K28),'Corrected energy balance step 1'!K28,0)</f>
        <v>0</v>
      </c>
      <c r="L28" s="158">
        <f>IF(ISNUMBER('Corrected energy balance step 1'!L28),'Corrected energy balance step 1'!L28,0)</f>
        <v>0</v>
      </c>
      <c r="M28" s="158">
        <f>IF(ISNUMBER('Corrected energy balance step 1'!M28),'Corrected energy balance step 1'!M28,0)</f>
        <v>0</v>
      </c>
      <c r="N28" s="158">
        <f>IF(ISNUMBER('Corrected energy balance step 1'!N28),'Corrected energy balance step 1'!N28,0)</f>
        <v>0</v>
      </c>
      <c r="O28" s="158">
        <f>IF(ISNUMBER('Corrected energy balance step 1'!O28),'Corrected energy balance step 1'!O28,0)</f>
        <v>0</v>
      </c>
      <c r="P28" s="158">
        <f>IF(ISNUMBER('Corrected energy balance step 1'!P28),'Corrected energy balance step 1'!P28,0)</f>
        <v>0</v>
      </c>
      <c r="Q28" s="158">
        <f>IF(ISNUMBER('Corrected energy balance step 1'!Q28),'Corrected energy balance step 1'!Q28,0)</f>
        <v>0</v>
      </c>
      <c r="R28" s="158">
        <f>IF(ISNUMBER('Corrected energy balance step 1'!R28),'Corrected energy balance step 1'!R28,0)</f>
        <v>0</v>
      </c>
      <c r="S28" s="158">
        <f>IF(ISNUMBER('Corrected energy balance step 1'!S28),'Corrected energy balance step 1'!S28,0)</f>
        <v>0</v>
      </c>
      <c r="T28" s="158">
        <f>IF(ISNUMBER('Corrected energy balance step 1'!T28),'Corrected energy balance step 1'!T28,0)</f>
        <v>0</v>
      </c>
      <c r="U28" s="158">
        <f>IF(ISNUMBER('Corrected energy balance step 1'!U28),'Corrected energy balance step 1'!U28,0)</f>
        <v>0</v>
      </c>
      <c r="V28" s="158">
        <f>IF(ISNUMBER('Corrected energy balance step 1'!V28),'Corrected energy balance step 1'!V28,0)</f>
        <v>0</v>
      </c>
      <c r="W28" s="158">
        <f>IF(ISNUMBER('Corrected energy balance step 1'!W28),'Corrected energy balance step 1'!W28,0)</f>
        <v>0</v>
      </c>
      <c r="X28" s="158">
        <f>IF(ISNUMBER('Corrected energy balance step 1'!X28),'Corrected energy balance step 1'!X28,0)</f>
        <v>0</v>
      </c>
      <c r="Y28" s="158">
        <f>IF(ISNUMBER('Corrected energy balance step 1'!Y28),'Corrected energy balance step 1'!Y28,0)</f>
        <v>0</v>
      </c>
      <c r="Z28" s="158">
        <f>IF(ISNUMBER('Corrected energy balance step 1'!Z28),'Corrected energy balance step 1'!Z28,0)</f>
        <v>0</v>
      </c>
      <c r="AA28" s="158">
        <f>IF(ISNUMBER('Corrected energy balance step 1'!AA28),'Corrected energy balance step 1'!AA28,0)</f>
        <v>0</v>
      </c>
      <c r="AB28" s="158">
        <f>IF(ISNUMBER('Corrected energy balance step 1'!AB28),'Corrected energy balance step 1'!AB28,0)</f>
        <v>0</v>
      </c>
      <c r="AC28" s="158">
        <f>IF(ISNUMBER('Corrected energy balance step 1'!AC28),'Corrected energy balance step 1'!AC28,0)</f>
        <v>0</v>
      </c>
      <c r="AD28" s="158">
        <f>IF(ISNUMBER('Corrected energy balance step 1'!AD28),'Corrected energy balance step 1'!AD28,0)</f>
        <v>0</v>
      </c>
      <c r="AE28" s="158">
        <f>IF(ISNUMBER('Corrected energy balance step 1'!AE28),'Corrected energy balance step 1'!AE28,0)</f>
        <v>0</v>
      </c>
      <c r="AF28" s="158">
        <f>IF(ISNUMBER('Corrected energy balance step 1'!AF28),'Corrected energy balance step 1'!AF28,0)</f>
        <v>0</v>
      </c>
      <c r="AG28" s="158">
        <f>IF(ISNUMBER('Corrected energy balance step 1'!AG28),'Corrected energy balance step 1'!AG28,0)</f>
        <v>0</v>
      </c>
      <c r="AH28" s="158">
        <f>IF(ISNUMBER('Corrected energy balance step 1'!AH28),'Corrected energy balance step 1'!AH28,0)</f>
        <v>0</v>
      </c>
      <c r="AI28" s="158">
        <f>IF(ISNUMBER('Corrected energy balance step 1'!AI28),'Corrected energy balance step 1'!AI28,0)</f>
        <v>0</v>
      </c>
      <c r="AJ28" s="158">
        <f>IF(ISNUMBER('Corrected energy balance step 1'!AJ28),'Corrected energy balance step 1'!AJ28,0)</f>
        <v>0</v>
      </c>
      <c r="AK28" s="158">
        <f>IF(ISNUMBER('Corrected energy balance step 1'!AK28),'Corrected energy balance step 1'!AK28,0)</f>
        <v>0</v>
      </c>
      <c r="AL28" s="158">
        <f>IF(ISNUMBER('Corrected energy balance step 1'!AL28),'Corrected energy balance step 1'!AL28,0)</f>
        <v>0</v>
      </c>
      <c r="AM28" s="158">
        <f>IF(ISNUMBER('Corrected energy balance step 1'!AM28),'Corrected energy balance step 1'!AM28,0)</f>
        <v>0</v>
      </c>
      <c r="AN28" s="158">
        <f>IF(ISNUMBER('Corrected energy balance step 1'!AN28),'Corrected energy balance step 1'!AN28,0)</f>
        <v>0</v>
      </c>
      <c r="AO28" s="158">
        <f>IF(ISNUMBER('Corrected energy balance step 1'!AO28),'Corrected energy balance step 1'!AO28,0)</f>
        <v>0</v>
      </c>
      <c r="AP28" s="158">
        <f>IF(ISNUMBER('Corrected energy balance step 1'!AP28),'Corrected energy balance step 1'!AP28,0)</f>
        <v>0</v>
      </c>
      <c r="AQ28" s="158">
        <f>IF(ISNUMBER('Corrected energy balance step 1'!AQ28),'Corrected energy balance step 1'!AQ28,0)</f>
        <v>0</v>
      </c>
      <c r="AR28" s="158">
        <f>IF(ISNUMBER('Corrected energy balance step 1'!AR28),'Corrected energy balance step 1'!AR28,0)</f>
        <v>0</v>
      </c>
      <c r="AS28" s="158">
        <f>IF(ISNUMBER('Corrected energy balance step 1'!AS28),'Corrected energy balance step 1'!AS28,0)</f>
        <v>0</v>
      </c>
      <c r="AT28" s="158">
        <f>IF(ISNUMBER('Corrected energy balance step 1'!AT28),'Corrected energy balance step 1'!AT28,0)</f>
        <v>0</v>
      </c>
      <c r="AU28" s="158">
        <f>IF(ISNUMBER('Corrected energy balance step 1'!AU28),'Corrected energy balance step 1'!AU28,0)</f>
        <v>0</v>
      </c>
      <c r="AV28" s="158">
        <f>IF(ISNUMBER('Corrected energy balance step 1'!AV28),'Corrected energy balance step 1'!AV28,0)</f>
        <v>0</v>
      </c>
      <c r="AW28" s="158">
        <f>IF(ISNUMBER('Corrected energy balance step 1'!AW28),'Corrected energy balance step 1'!AW28,0)</f>
        <v>0</v>
      </c>
      <c r="AX28" s="158">
        <f>IF(ISNUMBER('Corrected energy balance step 1'!AX28),'Corrected energy balance step 1'!AX28,0)</f>
        <v>0</v>
      </c>
      <c r="AY28" s="158">
        <f>IF(ISNUMBER('Corrected energy balance step 1'!AY28),'Corrected energy balance step 1'!AY28,0)</f>
        <v>0</v>
      </c>
      <c r="AZ28" s="158">
        <f>IF(ISNUMBER('Corrected energy balance step 1'!AZ28),'Corrected energy balance step 1'!AZ28,0)</f>
        <v>0</v>
      </c>
      <c r="BA28" s="158">
        <f>IF(ISNUMBER('Corrected energy balance step 1'!BA28),'Corrected energy balance step 1'!BA28,0)</f>
        <v>0</v>
      </c>
      <c r="BB28" s="158">
        <f>IF(ISNUMBER('Corrected energy balance step 1'!BB28),'Corrected energy balance step 1'!BB28,0)</f>
        <v>0</v>
      </c>
      <c r="BC28" s="158">
        <f>IF(ISNUMBER('Corrected energy balance step 1'!BC28),'Corrected energy balance step 1'!BC28,0)</f>
        <v>0</v>
      </c>
      <c r="BD28" s="158">
        <f>IF(ISNUMBER('Corrected energy balance step 1'!BD28),'Corrected energy balance step 1'!BD28,0)</f>
        <v>0</v>
      </c>
      <c r="BE28" s="158">
        <f>IF(ISNUMBER('Corrected energy balance step 1'!BE28),'Corrected energy balance step 1'!BE28,0)</f>
        <v>0</v>
      </c>
      <c r="BF28" s="158">
        <f>IF(ISNUMBER('Corrected energy balance step 1'!BF28),'Corrected energy balance step 1'!BF28,0)</f>
        <v>0</v>
      </c>
      <c r="BG28" s="158">
        <f>IF(ISNUMBER('Corrected energy balance step 1'!BG28),'Corrected energy balance step 1'!BG28,0)</f>
        <v>0</v>
      </c>
      <c r="BH28" s="158">
        <f>IF(ISNUMBER('Corrected energy balance step 1'!BH28),'Corrected energy balance step 1'!BH28,0)</f>
        <v>0</v>
      </c>
      <c r="BI28" s="158">
        <f>IF(ISNUMBER('Corrected energy balance step 1'!BI28),'Corrected energy balance step 1'!BI28,0)</f>
        <v>0</v>
      </c>
      <c r="BJ28" s="158">
        <f>IF(ISNUMBER('Corrected energy balance step 1'!BJ28),'Corrected energy balance step 1'!BJ28,0)</f>
        <v>0</v>
      </c>
      <c r="BK28" s="158">
        <f>IF(ISNUMBER('Corrected energy balance step 1'!BK28),'Corrected energy balance step 1'!BK28,0)</f>
        <v>0</v>
      </c>
      <c r="BL28" s="158">
        <f>IF(ISNUMBER('Corrected energy balance step 1'!BL28),'Corrected energy balance step 1'!BL28,0)</f>
        <v>0</v>
      </c>
      <c r="BM28" s="158">
        <f>IF(ISNUMBER('Corrected energy balance step 1'!BM28),'Corrected energy balance step 1'!BM28,0)</f>
        <v>0</v>
      </c>
      <c r="BN28" s="156">
        <f t="shared" si="58"/>
        <v>0</v>
      </c>
      <c r="BO28" s="159">
        <f>'Corrected energy balance step 1'!BO28</f>
        <v>0</v>
      </c>
    </row>
    <row r="29" spans="2:69" x14ac:dyDescent="0.2">
      <c r="B29" s="32" t="s">
        <v>71</v>
      </c>
      <c r="C29" s="158">
        <f>IF(ISNUMBER('Corrected energy balance step 1'!C29),'Corrected energy balance step 1'!C29,0)</f>
        <v>0</v>
      </c>
      <c r="D29" s="158">
        <f>IF(ISNUMBER('Corrected energy balance step 1'!D29),'Corrected energy balance step 1'!D29,0)</f>
        <v>0</v>
      </c>
      <c r="E29" s="158">
        <f>IF(ISNUMBER('Corrected energy balance step 1'!E29),'Corrected energy balance step 1'!E29,0)</f>
        <v>0</v>
      </c>
      <c r="F29" s="158">
        <f>IF(ISNUMBER('Corrected energy balance step 1'!F29),'Corrected energy balance step 1'!F29,0)</f>
        <v>0</v>
      </c>
      <c r="G29" s="158">
        <f>IF(ISNUMBER('Corrected energy balance step 1'!G29),'Corrected energy balance step 1'!G29,0)</f>
        <v>0</v>
      </c>
      <c r="H29" s="158">
        <f>IF(ISNUMBER('Corrected energy balance step 1'!H29),'Corrected energy balance step 1'!H29,0)</f>
        <v>0</v>
      </c>
      <c r="I29" s="158">
        <f>IF(ISNUMBER('Corrected energy balance step 1'!I29),'Corrected energy balance step 1'!I29,0)</f>
        <v>0</v>
      </c>
      <c r="J29" s="158">
        <f>IF(ISNUMBER('Corrected energy balance step 1'!J29),'Corrected energy balance step 1'!J29,0)</f>
        <v>0</v>
      </c>
      <c r="K29" s="158">
        <f>IF(ISNUMBER('Corrected energy balance step 1'!K29),'Corrected energy balance step 1'!K29,0)</f>
        <v>0</v>
      </c>
      <c r="L29" s="158">
        <f>IF(ISNUMBER('Corrected energy balance step 1'!L29),'Corrected energy balance step 1'!L29,0)</f>
        <v>0</v>
      </c>
      <c r="M29" s="158">
        <f>IF(ISNUMBER('Corrected energy balance step 1'!M29),'Corrected energy balance step 1'!M29,0)</f>
        <v>0</v>
      </c>
      <c r="N29" s="158">
        <f>IF(ISNUMBER('Corrected energy balance step 1'!N29),'Corrected energy balance step 1'!N29,0)</f>
        <v>0</v>
      </c>
      <c r="O29" s="158">
        <f>IF(ISNUMBER('Corrected energy balance step 1'!O29),'Corrected energy balance step 1'!O29,0)</f>
        <v>0</v>
      </c>
      <c r="P29" s="158">
        <f>IF(ISNUMBER('Corrected energy balance step 1'!P29),'Corrected energy balance step 1'!P29,0)</f>
        <v>0</v>
      </c>
      <c r="Q29" s="158">
        <f>IF(ISNUMBER('Corrected energy balance step 1'!Q29),'Corrected energy balance step 1'!Q29,0)</f>
        <v>0</v>
      </c>
      <c r="R29" s="158">
        <f>IF(ISNUMBER('Corrected energy balance step 1'!R29),'Corrected energy balance step 1'!R29,0)</f>
        <v>0</v>
      </c>
      <c r="S29" s="158">
        <f>IF(ISNUMBER('Corrected energy balance step 1'!S29),'Corrected energy balance step 1'!S29,0)</f>
        <v>0</v>
      </c>
      <c r="T29" s="158">
        <f>IF(ISNUMBER('Corrected energy balance step 1'!T29),'Corrected energy balance step 1'!T29,0)</f>
        <v>0</v>
      </c>
      <c r="U29" s="158">
        <f>IF(ISNUMBER('Corrected energy balance step 1'!U29),'Corrected energy balance step 1'!U29,0)</f>
        <v>0</v>
      </c>
      <c r="V29" s="158">
        <f>IF(ISNUMBER('Corrected energy balance step 1'!V29),'Corrected energy balance step 1'!V29,0)</f>
        <v>0</v>
      </c>
      <c r="W29" s="158">
        <f>IF(ISNUMBER('Corrected energy balance step 1'!W29),'Corrected energy balance step 1'!W29,0)</f>
        <v>0</v>
      </c>
      <c r="X29" s="158">
        <f>IF(ISNUMBER('Corrected energy balance step 1'!X29),'Corrected energy balance step 1'!X29,0)</f>
        <v>0</v>
      </c>
      <c r="Y29" s="158">
        <f>IF(ISNUMBER('Corrected energy balance step 1'!Y29),'Corrected energy balance step 1'!Y29,0)</f>
        <v>0</v>
      </c>
      <c r="Z29" s="158">
        <f>IF(ISNUMBER('Corrected energy balance step 1'!Z29),'Corrected energy balance step 1'!Z29,0)</f>
        <v>0</v>
      </c>
      <c r="AA29" s="158">
        <f>IF(ISNUMBER('Corrected energy balance step 1'!AA29),'Corrected energy balance step 1'!AA29,0)</f>
        <v>0</v>
      </c>
      <c r="AB29" s="158">
        <f>IF(ISNUMBER('Corrected energy balance step 1'!AB29),'Corrected energy balance step 1'!AB29,0)</f>
        <v>0</v>
      </c>
      <c r="AC29" s="158">
        <f>IF(ISNUMBER('Corrected energy balance step 1'!AC29),'Corrected energy balance step 1'!AC29,0)</f>
        <v>0</v>
      </c>
      <c r="AD29" s="158">
        <f>IF(ISNUMBER('Corrected energy balance step 1'!AD29),'Corrected energy balance step 1'!AD29,0)</f>
        <v>0</v>
      </c>
      <c r="AE29" s="158">
        <f>IF(ISNUMBER('Corrected energy balance step 1'!AE29),'Corrected energy balance step 1'!AE29,0)</f>
        <v>0</v>
      </c>
      <c r="AF29" s="158">
        <f>IF(ISNUMBER('Corrected energy balance step 1'!AF29),'Corrected energy balance step 1'!AF29,0)</f>
        <v>0</v>
      </c>
      <c r="AG29" s="158">
        <f>IF(ISNUMBER('Corrected energy balance step 1'!AG29),'Corrected energy balance step 1'!AG29,0)</f>
        <v>0</v>
      </c>
      <c r="AH29" s="158">
        <f>IF(ISNUMBER('Corrected energy balance step 1'!AH29),'Corrected energy balance step 1'!AH29,0)</f>
        <v>0</v>
      </c>
      <c r="AI29" s="158">
        <f>IF(ISNUMBER('Corrected energy balance step 1'!AI29),'Corrected energy balance step 1'!AI29,0)</f>
        <v>0</v>
      </c>
      <c r="AJ29" s="158">
        <f>IF(ISNUMBER('Corrected energy balance step 1'!AJ29),'Corrected energy balance step 1'!AJ29,0)</f>
        <v>0</v>
      </c>
      <c r="AK29" s="158">
        <f>IF(ISNUMBER('Corrected energy balance step 1'!AK29),'Corrected energy balance step 1'!AK29,0)</f>
        <v>0</v>
      </c>
      <c r="AL29" s="158">
        <f>IF(ISNUMBER('Corrected energy balance step 1'!AL29),'Corrected energy balance step 1'!AL29,0)</f>
        <v>0</v>
      </c>
      <c r="AM29" s="158">
        <f>IF(ISNUMBER('Corrected energy balance step 1'!AM29),'Corrected energy balance step 1'!AM29,0)</f>
        <v>0</v>
      </c>
      <c r="AN29" s="158">
        <f>IF(ISNUMBER('Corrected energy balance step 1'!AN29),'Corrected energy balance step 1'!AN29,0)</f>
        <v>0</v>
      </c>
      <c r="AO29" s="158">
        <f>IF(ISNUMBER('Corrected energy balance step 1'!AO29),'Corrected energy balance step 1'!AO29,0)</f>
        <v>0</v>
      </c>
      <c r="AP29" s="158">
        <f>IF(ISNUMBER('Corrected energy balance step 1'!AP29),'Corrected energy balance step 1'!AP29,0)</f>
        <v>0</v>
      </c>
      <c r="AQ29" s="158">
        <f>IF(ISNUMBER('Corrected energy balance step 1'!AQ29),'Corrected energy balance step 1'!AQ29,0)</f>
        <v>0</v>
      </c>
      <c r="AR29" s="158">
        <f>IF(ISNUMBER('Corrected energy balance step 1'!AR29),'Corrected energy balance step 1'!AR29,0)</f>
        <v>0</v>
      </c>
      <c r="AS29" s="158">
        <f>IF(ISNUMBER('Corrected energy balance step 1'!AS29),'Corrected energy balance step 1'!AS29,0)</f>
        <v>0</v>
      </c>
      <c r="AT29" s="158">
        <f>IF(ISNUMBER('Corrected energy balance step 1'!AT29),'Corrected energy balance step 1'!AT29,0)</f>
        <v>0</v>
      </c>
      <c r="AU29" s="158">
        <f>IF(ISNUMBER('Corrected energy balance step 1'!AU29),'Corrected energy balance step 1'!AU29,0)</f>
        <v>0</v>
      </c>
      <c r="AV29" s="158">
        <f>IF(ISNUMBER('Corrected energy balance step 1'!AV29),'Corrected energy balance step 1'!AV29,0)</f>
        <v>0</v>
      </c>
      <c r="AW29" s="158">
        <f>IF(ISNUMBER('Corrected energy balance step 1'!AW29),'Corrected energy balance step 1'!AW29,0)</f>
        <v>0</v>
      </c>
      <c r="AX29" s="158">
        <f>IF(ISNUMBER('Corrected energy balance step 1'!AX29),'Corrected energy balance step 1'!AX29,0)</f>
        <v>0</v>
      </c>
      <c r="AY29" s="158">
        <f>IF(ISNUMBER('Corrected energy balance step 1'!AY29),'Corrected energy balance step 1'!AY29,0)</f>
        <v>0</v>
      </c>
      <c r="AZ29" s="158">
        <f>IF(ISNUMBER('Corrected energy balance step 1'!AZ29),'Corrected energy balance step 1'!AZ29,0)</f>
        <v>0</v>
      </c>
      <c r="BA29" s="158">
        <f>IF(ISNUMBER('Corrected energy balance step 1'!BA29),'Corrected energy balance step 1'!BA29,0)</f>
        <v>0</v>
      </c>
      <c r="BB29" s="158">
        <f>IF(ISNUMBER('Corrected energy balance step 1'!BB29),'Corrected energy balance step 1'!BB29,0)</f>
        <v>0</v>
      </c>
      <c r="BC29" s="158">
        <f>IF(ISNUMBER('Corrected energy balance step 1'!BC29),'Corrected energy balance step 1'!BC29,0)</f>
        <v>0</v>
      </c>
      <c r="BD29" s="158">
        <f>IF(ISNUMBER('Corrected energy balance step 1'!BD29),'Corrected energy balance step 1'!BD29,0)</f>
        <v>0</v>
      </c>
      <c r="BE29" s="158">
        <f>IF(ISNUMBER('Corrected energy balance step 1'!BE29),'Corrected energy balance step 1'!BE29,0)</f>
        <v>0</v>
      </c>
      <c r="BF29" s="158">
        <f>IF(ISNUMBER('Corrected energy balance step 1'!BF29),'Corrected energy balance step 1'!BF29,0)</f>
        <v>0</v>
      </c>
      <c r="BG29" s="158">
        <f>IF(ISNUMBER('Corrected energy balance step 1'!BG29),'Corrected energy balance step 1'!BG29,0)</f>
        <v>0</v>
      </c>
      <c r="BH29" s="158">
        <f>IF(ISNUMBER('Corrected energy balance step 1'!BH29),'Corrected energy balance step 1'!BH29,0)</f>
        <v>0</v>
      </c>
      <c r="BI29" s="158">
        <f>IF(ISNUMBER('Corrected energy balance step 1'!BI29),'Corrected energy balance step 1'!BI29,0)</f>
        <v>0</v>
      </c>
      <c r="BJ29" s="158">
        <f>IF(ISNUMBER('Corrected energy balance step 1'!BJ29),'Corrected energy balance step 1'!BJ29,0)</f>
        <v>0</v>
      </c>
      <c r="BK29" s="158">
        <f>IF(ISNUMBER('Corrected energy balance step 1'!BK29),'Corrected energy balance step 1'!BK29,0)</f>
        <v>0</v>
      </c>
      <c r="BL29" s="158">
        <f>IF(ISNUMBER('Corrected energy balance step 1'!BL29),'Corrected energy balance step 1'!BL29,0)</f>
        <v>0</v>
      </c>
      <c r="BM29" s="158">
        <f>IF(ISNUMBER('Corrected energy balance step 1'!BM29),'Corrected energy balance step 1'!BM29,0)</f>
        <v>0</v>
      </c>
      <c r="BN29" s="156">
        <f t="shared" si="58"/>
        <v>0</v>
      </c>
      <c r="BO29" s="159">
        <f>'Corrected energy balance step 1'!BO29</f>
        <v>0</v>
      </c>
    </row>
    <row r="30" spans="2:69" x14ac:dyDescent="0.2">
      <c r="B30" s="32" t="s">
        <v>72</v>
      </c>
      <c r="C30" s="158">
        <f>IF(ISNUMBER('Corrected energy balance step 1'!C30),'Corrected energy balance step 1'!C30,0)</f>
        <v>0</v>
      </c>
      <c r="D30" s="158">
        <f>IF(ISNUMBER('Corrected energy balance step 1'!D30),'Corrected energy balance step 1'!D30,0)</f>
        <v>0</v>
      </c>
      <c r="E30" s="158">
        <f>IF(ISNUMBER('Corrected energy balance step 1'!E30),'Corrected energy balance step 1'!E30,0)</f>
        <v>0</v>
      </c>
      <c r="F30" s="158">
        <f>IF(ISNUMBER('Corrected energy balance step 1'!F30),'Corrected energy balance step 1'!F30,0)</f>
        <v>0</v>
      </c>
      <c r="G30" s="158">
        <f>IF(ISNUMBER('Corrected energy balance step 1'!G30),'Corrected energy balance step 1'!G30,0)</f>
        <v>0</v>
      </c>
      <c r="H30" s="158">
        <f>IF(ISNUMBER('Corrected energy balance step 1'!H30),'Corrected energy balance step 1'!H30,0)</f>
        <v>0</v>
      </c>
      <c r="I30" s="158">
        <f>IF(ISNUMBER('Corrected energy balance step 1'!I30),'Corrected energy balance step 1'!I30,0)</f>
        <v>0</v>
      </c>
      <c r="J30" s="158">
        <f>IF(ISNUMBER('Corrected energy balance step 1'!J30),'Corrected energy balance step 1'!J30,0)</f>
        <v>0</v>
      </c>
      <c r="K30" s="158">
        <f>IF(ISNUMBER('Corrected energy balance step 1'!K30),'Corrected energy balance step 1'!K30,0)</f>
        <v>0</v>
      </c>
      <c r="L30" s="158">
        <f>IF(ISNUMBER('Corrected energy balance step 1'!L30),'Corrected energy balance step 1'!L30,0)</f>
        <v>0</v>
      </c>
      <c r="M30" s="158">
        <f>IF(ISNUMBER('Corrected energy balance step 1'!M30),'Corrected energy balance step 1'!M30,0)</f>
        <v>0</v>
      </c>
      <c r="N30" s="158">
        <f>IF(ISNUMBER('Corrected energy balance step 1'!N30),'Corrected energy balance step 1'!N30,0)</f>
        <v>0</v>
      </c>
      <c r="O30" s="158">
        <f>IF(ISNUMBER('Corrected energy balance step 1'!O30),'Corrected energy balance step 1'!O30,0)</f>
        <v>0</v>
      </c>
      <c r="P30" s="158">
        <f>IF(ISNUMBER('Corrected energy balance step 1'!P30),'Corrected energy balance step 1'!P30,0)</f>
        <v>0</v>
      </c>
      <c r="Q30" s="158">
        <f>IF(ISNUMBER('Corrected energy balance step 1'!Q30),'Corrected energy balance step 1'!Q30,0)</f>
        <v>0</v>
      </c>
      <c r="R30" s="158">
        <f>IF(ISNUMBER('Corrected energy balance step 1'!R30),'Corrected energy balance step 1'!R30,0)</f>
        <v>0</v>
      </c>
      <c r="S30" s="158">
        <f>IF(ISNUMBER('Corrected energy balance step 1'!S30),'Corrected energy balance step 1'!S30,0)</f>
        <v>0</v>
      </c>
      <c r="T30" s="158">
        <f>IF(ISNUMBER('Corrected energy balance step 1'!T30),'Corrected energy balance step 1'!T30,0)</f>
        <v>0</v>
      </c>
      <c r="U30" s="158">
        <f>IF(ISNUMBER('Corrected energy balance step 1'!U30),'Corrected energy balance step 1'!U30,0)</f>
        <v>0</v>
      </c>
      <c r="V30" s="158">
        <f>IF(ISNUMBER('Corrected energy balance step 1'!V30),'Corrected energy balance step 1'!V30,0)</f>
        <v>0</v>
      </c>
      <c r="W30" s="158">
        <f>IF(ISNUMBER('Corrected energy balance step 1'!W30),'Corrected energy balance step 1'!W30,0)</f>
        <v>0</v>
      </c>
      <c r="X30" s="158">
        <f>IF(ISNUMBER('Corrected energy balance step 1'!X30),'Corrected energy balance step 1'!X30,0)</f>
        <v>0</v>
      </c>
      <c r="Y30" s="158">
        <f>IF(ISNUMBER('Corrected energy balance step 1'!Y30),'Corrected energy balance step 1'!Y30,0)</f>
        <v>0</v>
      </c>
      <c r="Z30" s="158">
        <f>IF(ISNUMBER('Corrected energy balance step 1'!Z30),'Corrected energy balance step 1'!Z30,0)</f>
        <v>0</v>
      </c>
      <c r="AA30" s="158">
        <f>IF(ISNUMBER('Corrected energy balance step 1'!AA30),'Corrected energy balance step 1'!AA30,0)</f>
        <v>0</v>
      </c>
      <c r="AB30" s="158">
        <f>IF(ISNUMBER('Corrected energy balance step 1'!AB30),'Corrected energy balance step 1'!AB30,0)</f>
        <v>0</v>
      </c>
      <c r="AC30" s="158">
        <f>IF(ISNUMBER('Corrected energy balance step 1'!AC30),'Corrected energy balance step 1'!AC30,0)</f>
        <v>0</v>
      </c>
      <c r="AD30" s="158">
        <f>IF(ISNUMBER('Corrected energy balance step 1'!AD30),'Corrected energy balance step 1'!AD30,0)</f>
        <v>0</v>
      </c>
      <c r="AE30" s="158">
        <f>IF(ISNUMBER('Corrected energy balance step 1'!AE30),'Corrected energy balance step 1'!AE30,0)</f>
        <v>0</v>
      </c>
      <c r="AF30" s="158">
        <f>IF(ISNUMBER('Corrected energy balance step 1'!AF30),'Corrected energy balance step 1'!AF30,0)</f>
        <v>0</v>
      </c>
      <c r="AG30" s="158">
        <f>IF(ISNUMBER('Corrected energy balance step 1'!AG30),'Corrected energy balance step 1'!AG30,0)</f>
        <v>0</v>
      </c>
      <c r="AH30" s="158">
        <f>IF(ISNUMBER('Corrected energy balance step 1'!AH30),'Corrected energy balance step 1'!AH30,0)</f>
        <v>0</v>
      </c>
      <c r="AI30" s="158">
        <f>IF(ISNUMBER('Corrected energy balance step 1'!AI30),'Corrected energy balance step 1'!AI30,0)</f>
        <v>0</v>
      </c>
      <c r="AJ30" s="158">
        <f>IF(ISNUMBER('Corrected energy balance step 1'!AJ30),'Corrected energy balance step 1'!AJ30,0)</f>
        <v>0</v>
      </c>
      <c r="AK30" s="158">
        <f>IF(ISNUMBER('Corrected energy balance step 1'!AK30),'Corrected energy balance step 1'!AK30,0)</f>
        <v>0</v>
      </c>
      <c r="AL30" s="158">
        <f>IF(ISNUMBER('Corrected energy balance step 1'!AL30),'Corrected energy balance step 1'!AL30,0)</f>
        <v>0</v>
      </c>
      <c r="AM30" s="158">
        <f>IF(ISNUMBER('Corrected energy balance step 1'!AM30),'Corrected energy balance step 1'!AM30,0)</f>
        <v>0</v>
      </c>
      <c r="AN30" s="158">
        <f>IF(ISNUMBER('Corrected energy balance step 1'!AN30),'Corrected energy balance step 1'!AN30,0)</f>
        <v>0</v>
      </c>
      <c r="AO30" s="158">
        <f>IF(ISNUMBER('Corrected energy balance step 1'!AO30),'Corrected energy balance step 1'!AO30,0)</f>
        <v>0</v>
      </c>
      <c r="AP30" s="158">
        <f>IF(ISNUMBER('Corrected energy balance step 1'!AP30),'Corrected energy balance step 1'!AP30,0)</f>
        <v>0</v>
      </c>
      <c r="AQ30" s="158">
        <f>IF(ISNUMBER('Corrected energy balance step 1'!AQ30),'Corrected energy balance step 1'!AQ30,0)</f>
        <v>0</v>
      </c>
      <c r="AR30" s="158">
        <f>IF(ISNUMBER('Corrected energy balance step 1'!AR30),'Corrected energy balance step 1'!AR30,0)</f>
        <v>0</v>
      </c>
      <c r="AS30" s="158">
        <f>IF(ISNUMBER('Corrected energy balance step 1'!AS30),'Corrected energy balance step 1'!AS30,0)</f>
        <v>0</v>
      </c>
      <c r="AT30" s="158">
        <f>IF(ISNUMBER('Corrected energy balance step 1'!AT30),'Corrected energy balance step 1'!AT30,0)</f>
        <v>0</v>
      </c>
      <c r="AU30" s="158">
        <f>IF(ISNUMBER('Corrected energy balance step 1'!AU30),'Corrected energy balance step 1'!AU30,0)</f>
        <v>0</v>
      </c>
      <c r="AV30" s="158">
        <f>IF(ISNUMBER('Corrected energy balance step 1'!AV30),'Corrected energy balance step 1'!AV30,0)</f>
        <v>0</v>
      </c>
      <c r="AW30" s="158">
        <f>IF(ISNUMBER('Corrected energy balance step 1'!AW30),'Corrected energy balance step 1'!AW30,0)</f>
        <v>0</v>
      </c>
      <c r="AX30" s="158">
        <f>IF(ISNUMBER('Corrected energy balance step 1'!AX30),'Corrected energy balance step 1'!AX30,0)</f>
        <v>0</v>
      </c>
      <c r="AY30" s="158">
        <f>IF(ISNUMBER('Corrected energy balance step 1'!AY30),'Corrected energy balance step 1'!AY30,0)</f>
        <v>0</v>
      </c>
      <c r="AZ30" s="158">
        <f>IF(ISNUMBER('Corrected energy balance step 1'!AZ30),'Corrected energy balance step 1'!AZ30,0)</f>
        <v>0</v>
      </c>
      <c r="BA30" s="158">
        <f>IF(ISNUMBER('Corrected energy balance step 1'!BA30),'Corrected energy balance step 1'!BA30,0)</f>
        <v>0</v>
      </c>
      <c r="BB30" s="158">
        <f>IF(ISNUMBER('Corrected energy balance step 1'!BB30),'Corrected energy balance step 1'!BB30,0)</f>
        <v>0</v>
      </c>
      <c r="BC30" s="158">
        <f>IF(ISNUMBER('Corrected energy balance step 1'!BC30),'Corrected energy balance step 1'!BC30,0)</f>
        <v>0</v>
      </c>
      <c r="BD30" s="158">
        <f>IF(ISNUMBER('Corrected energy balance step 1'!BD30),'Corrected energy balance step 1'!BD30,0)</f>
        <v>0</v>
      </c>
      <c r="BE30" s="158">
        <f>IF(ISNUMBER('Corrected energy balance step 1'!BE30),'Corrected energy balance step 1'!BE30,0)</f>
        <v>0</v>
      </c>
      <c r="BF30" s="158">
        <f>IF(ISNUMBER('Corrected energy balance step 1'!BF30),'Corrected energy balance step 1'!BF30,0)</f>
        <v>0</v>
      </c>
      <c r="BG30" s="158">
        <f>IF(ISNUMBER('Corrected energy balance step 1'!BG30),'Corrected energy balance step 1'!BG30,0)</f>
        <v>0</v>
      </c>
      <c r="BH30" s="158">
        <f>IF(ISNUMBER('Corrected energy balance step 1'!BH30),'Corrected energy balance step 1'!BH30,0)</f>
        <v>0</v>
      </c>
      <c r="BI30" s="158">
        <f>IF(ISNUMBER('Corrected energy balance step 1'!BI30),'Corrected energy balance step 1'!BI30,0)</f>
        <v>0</v>
      </c>
      <c r="BJ30" s="158">
        <f>IF(ISNUMBER('Corrected energy balance step 1'!BJ30),'Corrected energy balance step 1'!BJ30,0)</f>
        <v>0</v>
      </c>
      <c r="BK30" s="158">
        <f>IF(ISNUMBER('Corrected energy balance step 1'!BK30),'Corrected energy balance step 1'!BK30,0)</f>
        <v>0</v>
      </c>
      <c r="BL30" s="158">
        <f>IF(ISNUMBER('Corrected energy balance step 1'!BL30),'Corrected energy balance step 1'!BL30,0)</f>
        <v>0</v>
      </c>
      <c r="BM30" s="158">
        <f>IF(ISNUMBER('Corrected energy balance step 1'!BM30),'Corrected energy balance step 1'!BM30,0)</f>
        <v>0</v>
      </c>
      <c r="BN30" s="156">
        <f t="shared" si="58"/>
        <v>0</v>
      </c>
      <c r="BO30" s="159">
        <f>'Corrected energy balance step 1'!BO30</f>
        <v>0</v>
      </c>
    </row>
    <row r="31" spans="2:69" x14ac:dyDescent="0.2">
      <c r="B31" s="32" t="s">
        <v>73</v>
      </c>
      <c r="C31" s="158">
        <f>IF(ISNUMBER('Corrected energy balance step 1'!C31),'Corrected energy balance step 1'!C31,0)</f>
        <v>0</v>
      </c>
      <c r="D31" s="158">
        <f>IF(ISNUMBER('Corrected energy balance step 1'!D31),'Corrected energy balance step 1'!D31,0)</f>
        <v>0</v>
      </c>
      <c r="E31" s="158">
        <f>IF(ISNUMBER('Corrected energy balance step 1'!E31),'Corrected energy balance step 1'!E31,0)</f>
        <v>0</v>
      </c>
      <c r="F31" s="158">
        <f>IF(ISNUMBER('Corrected energy balance step 1'!F31),'Corrected energy balance step 1'!F31,0)</f>
        <v>0</v>
      </c>
      <c r="G31" s="158">
        <f>IF(ISNUMBER('Corrected energy balance step 1'!G31),'Corrected energy balance step 1'!G31,0)</f>
        <v>0</v>
      </c>
      <c r="H31" s="158">
        <f>IF(ISNUMBER('Corrected energy balance step 1'!H31),'Corrected energy balance step 1'!H31,0)</f>
        <v>0</v>
      </c>
      <c r="I31" s="158">
        <f>IF(ISNUMBER('Corrected energy balance step 1'!I31),'Corrected energy balance step 1'!I31,0)</f>
        <v>0</v>
      </c>
      <c r="J31" s="158">
        <f>IF(ISNUMBER('Corrected energy balance step 1'!J31),'Corrected energy balance step 1'!J31,0)</f>
        <v>0</v>
      </c>
      <c r="K31" s="158">
        <f>IF(ISNUMBER('Corrected energy balance step 1'!K31),'Corrected energy balance step 1'!K31,0)</f>
        <v>0</v>
      </c>
      <c r="L31" s="158">
        <f>IF(ISNUMBER('Corrected energy balance step 1'!L31),'Corrected energy balance step 1'!L31,0)</f>
        <v>0</v>
      </c>
      <c r="M31" s="158">
        <f>IF(ISNUMBER('Corrected energy balance step 1'!M31),'Corrected energy balance step 1'!M31,0)</f>
        <v>0</v>
      </c>
      <c r="N31" s="158">
        <f>IF(ISNUMBER('Corrected energy balance step 1'!N31),'Corrected energy balance step 1'!N31,0)</f>
        <v>0</v>
      </c>
      <c r="O31" s="158">
        <f>IF(ISNUMBER('Corrected energy balance step 1'!O31),'Corrected energy balance step 1'!O31,0)</f>
        <v>0</v>
      </c>
      <c r="P31" s="158">
        <f>IF(ISNUMBER('Corrected energy balance step 1'!P31),'Corrected energy balance step 1'!P31,0)</f>
        <v>0</v>
      </c>
      <c r="Q31" s="158">
        <f>IF(ISNUMBER('Corrected energy balance step 1'!Q31),'Corrected energy balance step 1'!Q31,0)</f>
        <v>0</v>
      </c>
      <c r="R31" s="158">
        <f>IF(ISNUMBER('Corrected energy balance step 1'!R31),'Corrected energy balance step 1'!R31,0)</f>
        <v>0</v>
      </c>
      <c r="S31" s="158">
        <f>IF(ISNUMBER('Corrected energy balance step 1'!S31),'Corrected energy balance step 1'!S31,0)</f>
        <v>0</v>
      </c>
      <c r="T31" s="158">
        <f>IF(ISNUMBER('Corrected energy balance step 1'!T31),'Corrected energy balance step 1'!T31,0)</f>
        <v>0</v>
      </c>
      <c r="U31" s="158">
        <f>IF(ISNUMBER('Corrected energy balance step 1'!U31),'Corrected energy balance step 1'!U31,0)</f>
        <v>0</v>
      </c>
      <c r="V31" s="158">
        <f>IF(ISNUMBER('Corrected energy balance step 1'!V31),'Corrected energy balance step 1'!V31,0)</f>
        <v>0</v>
      </c>
      <c r="W31" s="158">
        <f>IF(ISNUMBER('Corrected energy balance step 1'!W31),'Corrected energy balance step 1'!W31,0)</f>
        <v>0</v>
      </c>
      <c r="X31" s="158">
        <f>IF(ISNUMBER('Corrected energy balance step 1'!X31),'Corrected energy balance step 1'!X31,0)</f>
        <v>0</v>
      </c>
      <c r="Y31" s="158">
        <f>IF(ISNUMBER('Corrected energy balance step 1'!Y31),'Corrected energy balance step 1'!Y31,0)</f>
        <v>0</v>
      </c>
      <c r="Z31" s="158">
        <f>IF(ISNUMBER('Corrected energy balance step 1'!Z31),'Corrected energy balance step 1'!Z31,0)</f>
        <v>0</v>
      </c>
      <c r="AA31" s="158">
        <f>IF(ISNUMBER('Corrected energy balance step 1'!AA31),'Corrected energy balance step 1'!AA31,0)</f>
        <v>0</v>
      </c>
      <c r="AB31" s="158">
        <f>IF(ISNUMBER('Corrected energy balance step 1'!AB31),'Corrected energy balance step 1'!AB31,0)</f>
        <v>0</v>
      </c>
      <c r="AC31" s="158">
        <f>IF(ISNUMBER('Corrected energy balance step 1'!AC31),'Corrected energy balance step 1'!AC31,0)</f>
        <v>0</v>
      </c>
      <c r="AD31" s="158">
        <f>IF(ISNUMBER('Corrected energy balance step 1'!AD31),'Corrected energy balance step 1'!AD31,0)</f>
        <v>0</v>
      </c>
      <c r="AE31" s="158">
        <f>IF(ISNUMBER('Corrected energy balance step 1'!AE31),'Corrected energy balance step 1'!AE31,0)</f>
        <v>0</v>
      </c>
      <c r="AF31" s="158">
        <f>IF(ISNUMBER('Corrected energy balance step 1'!AF31),'Corrected energy balance step 1'!AF31,0)</f>
        <v>0</v>
      </c>
      <c r="AG31" s="158">
        <f>IF(ISNUMBER('Corrected energy balance step 1'!AG31),'Corrected energy balance step 1'!AG31,0)</f>
        <v>0</v>
      </c>
      <c r="AH31" s="158">
        <f>IF(ISNUMBER('Corrected energy balance step 1'!AH31),'Corrected energy balance step 1'!AH31,0)</f>
        <v>0</v>
      </c>
      <c r="AI31" s="158">
        <f>IF(ISNUMBER('Corrected energy balance step 1'!AI31),'Corrected energy balance step 1'!AI31,0)</f>
        <v>0</v>
      </c>
      <c r="AJ31" s="158">
        <f>IF(ISNUMBER('Corrected energy balance step 1'!AJ31),'Corrected energy balance step 1'!AJ31,0)</f>
        <v>0</v>
      </c>
      <c r="AK31" s="158">
        <f>IF(ISNUMBER('Corrected energy balance step 1'!AK31),'Corrected energy balance step 1'!AK31,0)</f>
        <v>0</v>
      </c>
      <c r="AL31" s="158">
        <f>IF(ISNUMBER('Corrected energy balance step 1'!AL31),'Corrected energy balance step 1'!AL31,0)</f>
        <v>0</v>
      </c>
      <c r="AM31" s="158">
        <f>IF(ISNUMBER('Corrected energy balance step 1'!AM31),'Corrected energy balance step 1'!AM31,0)</f>
        <v>0</v>
      </c>
      <c r="AN31" s="158">
        <f>IF(ISNUMBER('Corrected energy balance step 1'!AN31),'Corrected energy balance step 1'!AN31,0)</f>
        <v>0</v>
      </c>
      <c r="AO31" s="158">
        <f>IF(ISNUMBER('Corrected energy balance step 1'!AO31),'Corrected energy balance step 1'!AO31,0)</f>
        <v>0</v>
      </c>
      <c r="AP31" s="158">
        <f>IF(ISNUMBER('Corrected energy balance step 1'!AP31),'Corrected energy balance step 1'!AP31,0)</f>
        <v>0</v>
      </c>
      <c r="AQ31" s="158">
        <f>IF(ISNUMBER('Corrected energy balance step 1'!AQ31),'Corrected energy balance step 1'!AQ31,0)</f>
        <v>0</v>
      </c>
      <c r="AR31" s="158">
        <f>IF(ISNUMBER('Corrected energy balance step 1'!AR31),'Corrected energy balance step 1'!AR31,0)</f>
        <v>0</v>
      </c>
      <c r="AS31" s="158">
        <f>IF(ISNUMBER('Corrected energy balance step 1'!AS31),'Corrected energy balance step 1'!AS31,0)</f>
        <v>0</v>
      </c>
      <c r="AT31" s="158">
        <f>IF(ISNUMBER('Corrected energy balance step 1'!AT31),'Corrected energy balance step 1'!AT31,0)</f>
        <v>0</v>
      </c>
      <c r="AU31" s="158">
        <f>IF(ISNUMBER('Corrected energy balance step 1'!AU31),'Corrected energy balance step 1'!AU31,0)</f>
        <v>0</v>
      </c>
      <c r="AV31" s="158">
        <f>IF(ISNUMBER('Corrected energy balance step 1'!AV31),'Corrected energy balance step 1'!AV31,0)</f>
        <v>0</v>
      </c>
      <c r="AW31" s="158">
        <f>IF(ISNUMBER('Corrected energy balance step 1'!AW31),'Corrected energy balance step 1'!AW31,0)</f>
        <v>0</v>
      </c>
      <c r="AX31" s="158">
        <f>IF(ISNUMBER('Corrected energy balance step 1'!AX31),'Corrected energy balance step 1'!AX31,0)</f>
        <v>0</v>
      </c>
      <c r="AY31" s="158">
        <f>IF(ISNUMBER('Corrected energy balance step 1'!AY31),'Corrected energy balance step 1'!AY31,0)</f>
        <v>0</v>
      </c>
      <c r="AZ31" s="158">
        <f>IF(ISNUMBER('Corrected energy balance step 1'!AZ31),'Corrected energy balance step 1'!AZ31,0)</f>
        <v>0</v>
      </c>
      <c r="BA31" s="158">
        <f>IF(ISNUMBER('Corrected energy balance step 1'!BA31),'Corrected energy balance step 1'!BA31,0)</f>
        <v>0</v>
      </c>
      <c r="BB31" s="158">
        <f>IF(ISNUMBER('Corrected energy balance step 1'!BB31),'Corrected energy balance step 1'!BB31,0)</f>
        <v>0</v>
      </c>
      <c r="BC31" s="158">
        <f>IF(ISNUMBER('Corrected energy balance step 1'!BC31),'Corrected energy balance step 1'!BC31,0)</f>
        <v>0</v>
      </c>
      <c r="BD31" s="158">
        <f>IF(ISNUMBER('Corrected energy balance step 1'!BD31),'Corrected energy balance step 1'!BD31,0)</f>
        <v>0</v>
      </c>
      <c r="BE31" s="158">
        <f>IF(ISNUMBER('Corrected energy balance step 1'!BE31),'Corrected energy balance step 1'!BE31,0)</f>
        <v>0</v>
      </c>
      <c r="BF31" s="158">
        <f>IF(ISNUMBER('Corrected energy balance step 1'!BF31),'Corrected energy balance step 1'!BF31,0)</f>
        <v>0</v>
      </c>
      <c r="BG31" s="158">
        <f>IF(ISNUMBER('Corrected energy balance step 1'!BG31),'Corrected energy balance step 1'!BG31,0)</f>
        <v>0</v>
      </c>
      <c r="BH31" s="158">
        <f>IF(ISNUMBER('Corrected energy balance step 1'!BH31),'Corrected energy balance step 1'!BH31,0)</f>
        <v>0</v>
      </c>
      <c r="BI31" s="158">
        <f>IF(ISNUMBER('Corrected energy balance step 1'!BI31),'Corrected energy balance step 1'!BI31,0)</f>
        <v>0</v>
      </c>
      <c r="BJ31" s="158">
        <f>IF(ISNUMBER('Corrected energy balance step 1'!BJ31),'Corrected energy balance step 1'!BJ31,0)</f>
        <v>0</v>
      </c>
      <c r="BK31" s="158">
        <f>IF(ISNUMBER('Corrected energy balance step 1'!BK31),'Corrected energy balance step 1'!BK31,0)</f>
        <v>0</v>
      </c>
      <c r="BL31" s="158">
        <f>IF(ISNUMBER('Corrected energy balance step 1'!BL31),'Corrected energy balance step 1'!BL31,0)</f>
        <v>0</v>
      </c>
      <c r="BM31" s="158">
        <f>IF(ISNUMBER('Corrected energy balance step 1'!BM31),'Corrected energy balance step 1'!BM31,0)</f>
        <v>0</v>
      </c>
      <c r="BN31" s="156">
        <f t="shared" si="58"/>
        <v>0</v>
      </c>
      <c r="BO31" s="159">
        <f>'Corrected energy balance step 1'!BO31</f>
        <v>0</v>
      </c>
    </row>
    <row r="32" spans="2:69" x14ac:dyDescent="0.2">
      <c r="B32" s="32" t="s">
        <v>74</v>
      </c>
      <c r="C32" s="158">
        <f>IF(ISNUMBER('Corrected energy balance step 1'!C32),'Corrected energy balance step 1'!C32,0)</f>
        <v>0</v>
      </c>
      <c r="D32" s="158">
        <f>IF(ISNUMBER('Corrected energy balance step 1'!D32),'Corrected energy balance step 1'!D32,0)</f>
        <v>0</v>
      </c>
      <c r="E32" s="158">
        <f>IF(ISNUMBER('Corrected energy balance step 1'!E32),'Corrected energy balance step 1'!E32,0)</f>
        <v>0</v>
      </c>
      <c r="F32" s="158">
        <f>IF(ISNUMBER('Corrected energy balance step 1'!F32),'Corrected energy balance step 1'!F32,0)</f>
        <v>0</v>
      </c>
      <c r="G32" s="158">
        <f>IF(ISNUMBER('Corrected energy balance step 1'!G32),'Corrected energy balance step 1'!G32,0)</f>
        <v>0</v>
      </c>
      <c r="H32" s="158">
        <f>IF(ISNUMBER('Corrected energy balance step 1'!H32),'Corrected energy balance step 1'!H32,0)</f>
        <v>0</v>
      </c>
      <c r="I32" s="158">
        <f>IF(ISNUMBER('Corrected energy balance step 1'!I32),'Corrected energy balance step 1'!I32,0)</f>
        <v>0</v>
      </c>
      <c r="J32" s="158">
        <f>IF(ISNUMBER('Corrected energy balance step 1'!J32),'Corrected energy balance step 1'!J32,0)</f>
        <v>0</v>
      </c>
      <c r="K32" s="158">
        <f>IF(ISNUMBER('Corrected energy balance step 1'!K32),'Corrected energy balance step 1'!K32,0)</f>
        <v>0</v>
      </c>
      <c r="L32" s="158">
        <f>IF(ISNUMBER('Corrected energy balance step 1'!L32),'Corrected energy balance step 1'!L32,0)</f>
        <v>0</v>
      </c>
      <c r="M32" s="158">
        <f>IF(ISNUMBER('Corrected energy balance step 1'!M32),'Corrected energy balance step 1'!M32,0)</f>
        <v>0</v>
      </c>
      <c r="N32" s="158">
        <f>IF(ISNUMBER('Corrected energy balance step 1'!N32),'Corrected energy balance step 1'!N32,0)</f>
        <v>0</v>
      </c>
      <c r="O32" s="158">
        <f>IF(ISNUMBER('Corrected energy balance step 1'!O32),'Corrected energy balance step 1'!O32,0)</f>
        <v>0</v>
      </c>
      <c r="P32" s="158">
        <f>IF(ISNUMBER('Corrected energy balance step 1'!P32),'Corrected energy balance step 1'!P32,0)</f>
        <v>0</v>
      </c>
      <c r="Q32" s="158">
        <f>IF(ISNUMBER('Corrected energy balance step 1'!Q32),'Corrected energy balance step 1'!Q32,0)</f>
        <v>0</v>
      </c>
      <c r="R32" s="158">
        <f>IF(ISNUMBER('Corrected energy balance step 1'!R32),'Corrected energy balance step 1'!R32,0)</f>
        <v>0</v>
      </c>
      <c r="S32" s="158">
        <f>IF(ISNUMBER('Corrected energy balance step 1'!S32),'Corrected energy balance step 1'!S32,0)</f>
        <v>0</v>
      </c>
      <c r="T32" s="158">
        <f>IF(ISNUMBER('Corrected energy balance step 1'!T32),'Corrected energy balance step 1'!T32,0)</f>
        <v>0</v>
      </c>
      <c r="U32" s="158">
        <f>IF(ISNUMBER('Corrected energy balance step 1'!U32),'Corrected energy balance step 1'!U32,0)</f>
        <v>0</v>
      </c>
      <c r="V32" s="158">
        <f>IF(ISNUMBER('Corrected energy balance step 1'!V32),'Corrected energy balance step 1'!V32,0)</f>
        <v>0</v>
      </c>
      <c r="W32" s="158">
        <f>IF(ISNUMBER('Corrected energy balance step 1'!W32),'Corrected energy balance step 1'!W32,0)</f>
        <v>0</v>
      </c>
      <c r="X32" s="158">
        <f>IF(ISNUMBER('Corrected energy balance step 1'!X32),'Corrected energy balance step 1'!X32,0)</f>
        <v>0</v>
      </c>
      <c r="Y32" s="158">
        <f>IF(ISNUMBER('Corrected energy balance step 1'!Y32),'Corrected energy balance step 1'!Y32,0)</f>
        <v>0</v>
      </c>
      <c r="Z32" s="158">
        <f>IF(ISNUMBER('Corrected energy balance step 1'!Z32),'Corrected energy balance step 1'!Z32,0)</f>
        <v>0</v>
      </c>
      <c r="AA32" s="158">
        <f>IF(ISNUMBER('Corrected energy balance step 1'!AA32),'Corrected energy balance step 1'!AA32,0)</f>
        <v>0</v>
      </c>
      <c r="AB32" s="158">
        <f>IF(ISNUMBER('Corrected energy balance step 1'!AB32),'Corrected energy balance step 1'!AB32,0)</f>
        <v>0</v>
      </c>
      <c r="AC32" s="158">
        <f>IF(ISNUMBER('Corrected energy balance step 1'!AC32),'Corrected energy balance step 1'!AC32,0)</f>
        <v>0</v>
      </c>
      <c r="AD32" s="158">
        <f>IF(ISNUMBER('Corrected energy balance step 1'!AD32),'Corrected energy balance step 1'!AD32,0)</f>
        <v>0</v>
      </c>
      <c r="AE32" s="158">
        <f>IF(ISNUMBER('Corrected energy balance step 1'!AE32),'Corrected energy balance step 1'!AE32,0)</f>
        <v>0</v>
      </c>
      <c r="AF32" s="158">
        <f>IF(ISNUMBER('Corrected energy balance step 1'!AF32),'Corrected energy balance step 1'!AF32,0)</f>
        <v>0</v>
      </c>
      <c r="AG32" s="158">
        <f>IF(ISNUMBER('Corrected energy balance step 1'!AG32),'Corrected energy balance step 1'!AG32,0)</f>
        <v>0</v>
      </c>
      <c r="AH32" s="158">
        <f>IF(ISNUMBER('Corrected energy balance step 1'!AH32),'Corrected energy balance step 1'!AH32,0)</f>
        <v>0</v>
      </c>
      <c r="AI32" s="158">
        <f>IF(ISNUMBER('Corrected energy balance step 1'!AI32),'Corrected energy balance step 1'!AI32,0)</f>
        <v>0</v>
      </c>
      <c r="AJ32" s="158">
        <f>IF(ISNUMBER('Corrected energy balance step 1'!AJ32),'Corrected energy balance step 1'!AJ32,0)</f>
        <v>0</v>
      </c>
      <c r="AK32" s="158">
        <f>IF(ISNUMBER('Corrected energy balance step 1'!AK32),'Corrected energy balance step 1'!AK32,0)</f>
        <v>0</v>
      </c>
      <c r="AL32" s="158">
        <f>IF(ISNUMBER('Corrected energy balance step 1'!AL32),'Corrected energy balance step 1'!AL32,0)</f>
        <v>0</v>
      </c>
      <c r="AM32" s="158">
        <f>IF(ISNUMBER('Corrected energy balance step 1'!AM32),'Corrected energy balance step 1'!AM32,0)</f>
        <v>0</v>
      </c>
      <c r="AN32" s="158">
        <f>IF(ISNUMBER('Corrected energy balance step 1'!AN32),'Corrected energy balance step 1'!AN32,0)</f>
        <v>0</v>
      </c>
      <c r="AO32" s="158">
        <f>IF(ISNUMBER('Corrected energy balance step 1'!AO32),'Corrected energy balance step 1'!AO32,0)</f>
        <v>0</v>
      </c>
      <c r="AP32" s="158">
        <f>IF(ISNUMBER('Corrected energy balance step 1'!AP32),'Corrected energy balance step 1'!AP32,0)</f>
        <v>0</v>
      </c>
      <c r="AQ32" s="158">
        <f>IF(ISNUMBER('Corrected energy balance step 1'!AQ32),'Corrected energy balance step 1'!AQ32,0)</f>
        <v>0</v>
      </c>
      <c r="AR32" s="158">
        <f>IF(ISNUMBER('Corrected energy balance step 1'!AR32),'Corrected energy balance step 1'!AR32,0)</f>
        <v>0</v>
      </c>
      <c r="AS32" s="158">
        <f>IF(ISNUMBER('Corrected energy balance step 1'!AS32),'Corrected energy balance step 1'!AS32,0)</f>
        <v>0</v>
      </c>
      <c r="AT32" s="158">
        <f>IF(ISNUMBER('Corrected energy balance step 1'!AT32),'Corrected energy balance step 1'!AT32,0)</f>
        <v>0</v>
      </c>
      <c r="AU32" s="158">
        <f>IF(ISNUMBER('Corrected energy balance step 1'!AU32),'Corrected energy balance step 1'!AU32,0)</f>
        <v>0</v>
      </c>
      <c r="AV32" s="158">
        <f>IF(ISNUMBER('Corrected energy balance step 1'!AV32),'Corrected energy balance step 1'!AV32,0)</f>
        <v>0</v>
      </c>
      <c r="AW32" s="158">
        <f>IF(ISNUMBER('Corrected energy balance step 1'!AW32),'Corrected energy balance step 1'!AW32,0)</f>
        <v>0</v>
      </c>
      <c r="AX32" s="158">
        <f>IF(ISNUMBER('Corrected energy balance step 1'!AX32),'Corrected energy balance step 1'!AX32,0)</f>
        <v>0</v>
      </c>
      <c r="AY32" s="158">
        <f>IF(ISNUMBER('Corrected energy balance step 1'!AY32),'Corrected energy balance step 1'!AY32,0)</f>
        <v>0</v>
      </c>
      <c r="AZ32" s="158">
        <f>IF(ISNUMBER('Corrected energy balance step 1'!AZ32),'Corrected energy balance step 1'!AZ32,0)</f>
        <v>0</v>
      </c>
      <c r="BA32" s="158">
        <f>IF(ISNUMBER('Corrected energy balance step 1'!BA32),'Corrected energy balance step 1'!BA32,0)</f>
        <v>0</v>
      </c>
      <c r="BB32" s="158">
        <f>IF(ISNUMBER('Corrected energy balance step 1'!BB32),'Corrected energy balance step 1'!BB32,0)</f>
        <v>0</v>
      </c>
      <c r="BC32" s="158">
        <f>IF(ISNUMBER('Corrected energy balance step 1'!BC32),'Corrected energy balance step 1'!BC32,0)</f>
        <v>0</v>
      </c>
      <c r="BD32" s="158">
        <f>IF(ISNUMBER('Corrected energy balance step 1'!BD32),'Corrected energy balance step 1'!BD32,0)</f>
        <v>0</v>
      </c>
      <c r="BE32" s="158">
        <f>IF(ISNUMBER('Corrected energy balance step 1'!BE32),'Corrected energy balance step 1'!BE32,0)</f>
        <v>0</v>
      </c>
      <c r="BF32" s="158">
        <f>IF(ISNUMBER('Corrected energy balance step 1'!BF32),'Corrected energy balance step 1'!BF32,0)</f>
        <v>0</v>
      </c>
      <c r="BG32" s="158">
        <f>IF(ISNUMBER('Corrected energy balance step 1'!BG32),'Corrected energy balance step 1'!BG32,0)</f>
        <v>0</v>
      </c>
      <c r="BH32" s="158">
        <f>IF(ISNUMBER('Corrected energy balance step 1'!BH32),'Corrected energy balance step 1'!BH32,0)</f>
        <v>0</v>
      </c>
      <c r="BI32" s="158">
        <f>IF(ISNUMBER('Corrected energy balance step 1'!BI32),'Corrected energy balance step 1'!BI32,0)</f>
        <v>0</v>
      </c>
      <c r="BJ32" s="158">
        <f>IF(ISNUMBER('Corrected energy balance step 1'!BJ32),'Corrected energy balance step 1'!BJ32,0)</f>
        <v>0</v>
      </c>
      <c r="BK32" s="158">
        <f>IF(ISNUMBER('Corrected energy balance step 1'!BK32),'Corrected energy balance step 1'!BK32,0)</f>
        <v>0</v>
      </c>
      <c r="BL32" s="158">
        <f>IF(ISNUMBER('Corrected energy balance step 1'!BL32),'Corrected energy balance step 1'!BL32,0)</f>
        <v>0</v>
      </c>
      <c r="BM32" s="158">
        <f>IF(ISNUMBER('Corrected energy balance step 1'!BM32),'Corrected energy balance step 1'!BM32,0)</f>
        <v>0</v>
      </c>
      <c r="BN32" s="156">
        <f t="shared" si="58"/>
        <v>0</v>
      </c>
      <c r="BO32" s="159">
        <f>'Corrected energy balance step 1'!BO32</f>
        <v>0</v>
      </c>
    </row>
    <row r="33" spans="2:67" x14ac:dyDescent="0.2">
      <c r="B33" s="32" t="s">
        <v>75</v>
      </c>
      <c r="C33" s="158">
        <f>IF(ISNUMBER('Corrected energy balance step 1'!C33),'Corrected energy balance step 1'!C33,0)</f>
        <v>0</v>
      </c>
      <c r="D33" s="158">
        <f>IF(ISNUMBER('Corrected energy balance step 1'!D33),'Corrected energy balance step 1'!D33,0)</f>
        <v>0</v>
      </c>
      <c r="E33" s="158">
        <f>IF(ISNUMBER('Corrected energy balance step 1'!E33),'Corrected energy balance step 1'!E33,0)</f>
        <v>0</v>
      </c>
      <c r="F33" s="158">
        <f>IF(ISNUMBER('Corrected energy balance step 1'!F33),'Corrected energy balance step 1'!F33,0)</f>
        <v>0</v>
      </c>
      <c r="G33" s="158">
        <f>IF(ISNUMBER('Corrected energy balance step 1'!G33),'Corrected energy balance step 1'!G33,0)</f>
        <v>0</v>
      </c>
      <c r="H33" s="158">
        <f>IF(ISNUMBER('Corrected energy balance step 1'!H33),'Corrected energy balance step 1'!H33,0)</f>
        <v>0</v>
      </c>
      <c r="I33" s="158">
        <f>IF(ISNUMBER('Corrected energy balance step 1'!I33),'Corrected energy balance step 1'!I33,0)</f>
        <v>0</v>
      </c>
      <c r="J33" s="158">
        <f>IF(ISNUMBER('Corrected energy balance step 1'!J33),'Corrected energy balance step 1'!J33,0)</f>
        <v>0</v>
      </c>
      <c r="K33" s="158">
        <f>IF(ISNUMBER('Corrected energy balance step 1'!K33),'Corrected energy balance step 1'!K33,0)</f>
        <v>0</v>
      </c>
      <c r="L33" s="158">
        <f>IF(ISNUMBER('Corrected energy balance step 1'!L33),'Corrected energy balance step 1'!L33,0)</f>
        <v>0</v>
      </c>
      <c r="M33" s="158">
        <f>IF(ISNUMBER('Corrected energy balance step 1'!M33),'Corrected energy balance step 1'!M33,0)</f>
        <v>0</v>
      </c>
      <c r="N33" s="158">
        <f>IF(ISNUMBER('Corrected energy balance step 1'!N33),'Corrected energy balance step 1'!N33,0)</f>
        <v>0</v>
      </c>
      <c r="O33" s="158">
        <f>IF(ISNUMBER('Corrected energy balance step 1'!O33),'Corrected energy balance step 1'!O33,0)</f>
        <v>0</v>
      </c>
      <c r="P33" s="158">
        <f>IF(ISNUMBER('Corrected energy balance step 1'!P33),'Corrected energy balance step 1'!P33,0)</f>
        <v>0</v>
      </c>
      <c r="Q33" s="158">
        <f>IF(ISNUMBER('Corrected energy balance step 1'!Q33),'Corrected energy balance step 1'!Q33,0)</f>
        <v>0</v>
      </c>
      <c r="R33" s="158">
        <f>IF(ISNUMBER('Corrected energy balance step 1'!R33),'Corrected energy balance step 1'!R33,0)</f>
        <v>0</v>
      </c>
      <c r="S33" s="158">
        <f>IF(ISNUMBER('Corrected energy balance step 1'!S33),'Corrected energy balance step 1'!S33,0)</f>
        <v>0</v>
      </c>
      <c r="T33" s="158">
        <f>IF(ISNUMBER('Corrected energy balance step 1'!T33),'Corrected energy balance step 1'!T33,0)</f>
        <v>0</v>
      </c>
      <c r="U33" s="158">
        <f>IF(ISNUMBER('Corrected energy balance step 1'!U33),'Corrected energy balance step 1'!U33,0)</f>
        <v>0</v>
      </c>
      <c r="V33" s="158">
        <f>IF(ISNUMBER('Corrected energy balance step 1'!V33),'Corrected energy balance step 1'!V33,0)</f>
        <v>0</v>
      </c>
      <c r="W33" s="158">
        <f>IF(ISNUMBER('Corrected energy balance step 1'!W33),'Corrected energy balance step 1'!W33,0)</f>
        <v>0</v>
      </c>
      <c r="X33" s="158">
        <f>IF(ISNUMBER('Corrected energy balance step 1'!X33),'Corrected energy balance step 1'!X33,0)</f>
        <v>0</v>
      </c>
      <c r="Y33" s="158">
        <f>IF(ISNUMBER('Corrected energy balance step 1'!Y33),'Corrected energy balance step 1'!Y33,0)</f>
        <v>0</v>
      </c>
      <c r="Z33" s="158">
        <f>IF(ISNUMBER('Corrected energy balance step 1'!Z33),'Corrected energy balance step 1'!Z33,0)</f>
        <v>0</v>
      </c>
      <c r="AA33" s="158">
        <f>IF(ISNUMBER('Corrected energy balance step 1'!AA33),'Corrected energy balance step 1'!AA33,0)</f>
        <v>0</v>
      </c>
      <c r="AB33" s="158">
        <f>IF(ISNUMBER('Corrected energy balance step 1'!AB33),'Corrected energy balance step 1'!AB33,0)</f>
        <v>0</v>
      </c>
      <c r="AC33" s="158">
        <f>IF(ISNUMBER('Corrected energy balance step 1'!AC33),'Corrected energy balance step 1'!AC33,0)</f>
        <v>0</v>
      </c>
      <c r="AD33" s="158">
        <f>IF(ISNUMBER('Corrected energy balance step 1'!AD33),'Corrected energy balance step 1'!AD33,0)</f>
        <v>0</v>
      </c>
      <c r="AE33" s="158">
        <f>IF(ISNUMBER('Corrected energy balance step 1'!AE33),'Corrected energy balance step 1'!AE33,0)</f>
        <v>0</v>
      </c>
      <c r="AF33" s="158">
        <f>IF(ISNUMBER('Corrected energy balance step 1'!AF33),'Corrected energy balance step 1'!AF33,0)</f>
        <v>0</v>
      </c>
      <c r="AG33" s="158">
        <f>IF(ISNUMBER('Corrected energy balance step 1'!AG33),'Corrected energy balance step 1'!AG33,0)</f>
        <v>0</v>
      </c>
      <c r="AH33" s="158">
        <f>IF(ISNUMBER('Corrected energy balance step 1'!AH33),'Corrected energy balance step 1'!AH33,0)</f>
        <v>0</v>
      </c>
      <c r="AI33" s="158">
        <f>IF(ISNUMBER('Corrected energy balance step 1'!AI33),'Corrected energy balance step 1'!AI33,0)</f>
        <v>0</v>
      </c>
      <c r="AJ33" s="158">
        <f>IF(ISNUMBER('Corrected energy balance step 1'!AJ33),'Corrected energy balance step 1'!AJ33,0)</f>
        <v>0</v>
      </c>
      <c r="AK33" s="158">
        <f>IF(ISNUMBER('Corrected energy balance step 1'!AK33),'Corrected energy balance step 1'!AK33,0)</f>
        <v>0</v>
      </c>
      <c r="AL33" s="158">
        <f>IF(ISNUMBER('Corrected energy balance step 1'!AL33),'Corrected energy balance step 1'!AL33,0)</f>
        <v>0</v>
      </c>
      <c r="AM33" s="158">
        <f>IF(ISNUMBER('Corrected energy balance step 1'!AM33),'Corrected energy balance step 1'!AM33,0)</f>
        <v>0</v>
      </c>
      <c r="AN33" s="158">
        <f>IF(ISNUMBER('Corrected energy balance step 1'!AN33),'Corrected energy balance step 1'!AN33,0)</f>
        <v>0</v>
      </c>
      <c r="AO33" s="158">
        <f>IF(ISNUMBER('Corrected energy balance step 1'!AO33),'Corrected energy balance step 1'!AO33,0)</f>
        <v>0</v>
      </c>
      <c r="AP33" s="158">
        <f>IF(ISNUMBER('Corrected energy balance step 1'!AP33),'Corrected energy balance step 1'!AP33,0)</f>
        <v>0</v>
      </c>
      <c r="AQ33" s="158">
        <f>IF(ISNUMBER('Corrected energy balance step 1'!AQ33),'Corrected energy balance step 1'!AQ33,0)</f>
        <v>0</v>
      </c>
      <c r="AR33" s="158">
        <f>IF(ISNUMBER('Corrected energy balance step 1'!AR33),'Corrected energy balance step 1'!AR33,0)</f>
        <v>0</v>
      </c>
      <c r="AS33" s="158">
        <f>IF(ISNUMBER('Corrected energy balance step 1'!AS33),'Corrected energy balance step 1'!AS33,0)</f>
        <v>0</v>
      </c>
      <c r="AT33" s="158">
        <f>IF(ISNUMBER('Corrected energy balance step 1'!AT33),'Corrected energy balance step 1'!AT33,0)</f>
        <v>0</v>
      </c>
      <c r="AU33" s="158">
        <f>IF(ISNUMBER('Corrected energy balance step 1'!AU33),'Corrected energy balance step 1'!AU33,0)</f>
        <v>0</v>
      </c>
      <c r="AV33" s="158">
        <f>IF(ISNUMBER('Corrected energy balance step 1'!AV33),'Corrected energy balance step 1'!AV33,0)</f>
        <v>0</v>
      </c>
      <c r="AW33" s="158">
        <f>IF(ISNUMBER('Corrected energy balance step 1'!AW33),'Corrected energy balance step 1'!AW33,0)</f>
        <v>0</v>
      </c>
      <c r="AX33" s="158">
        <f>IF(ISNUMBER('Corrected energy balance step 1'!AX33),'Corrected energy balance step 1'!AX33,0)</f>
        <v>0</v>
      </c>
      <c r="AY33" s="158">
        <f>IF(ISNUMBER('Corrected energy balance step 1'!AY33),'Corrected energy balance step 1'!AY33,0)</f>
        <v>0</v>
      </c>
      <c r="AZ33" s="158">
        <f>IF(ISNUMBER('Corrected energy balance step 1'!AZ33),'Corrected energy balance step 1'!AZ33,0)</f>
        <v>0</v>
      </c>
      <c r="BA33" s="158">
        <f>IF(ISNUMBER('Corrected energy balance step 1'!BA33),'Corrected energy balance step 1'!BA33,0)</f>
        <v>0</v>
      </c>
      <c r="BB33" s="158">
        <f>IF(ISNUMBER('Corrected energy balance step 1'!BB33),'Corrected energy balance step 1'!BB33,0)</f>
        <v>0</v>
      </c>
      <c r="BC33" s="158">
        <f>IF(ISNUMBER('Corrected energy balance step 1'!BC33),'Corrected energy balance step 1'!BC33,0)</f>
        <v>0</v>
      </c>
      <c r="BD33" s="158">
        <f>IF(ISNUMBER('Corrected energy balance step 1'!BD33),'Corrected energy balance step 1'!BD33,0)</f>
        <v>0</v>
      </c>
      <c r="BE33" s="158">
        <f>IF(ISNUMBER('Corrected energy balance step 1'!BE33),'Corrected energy balance step 1'!BE33,0)</f>
        <v>0</v>
      </c>
      <c r="BF33" s="158">
        <f>IF(ISNUMBER('Corrected energy balance step 1'!BF33),'Corrected energy balance step 1'!BF33,0)</f>
        <v>0</v>
      </c>
      <c r="BG33" s="158">
        <f>IF(ISNUMBER('Corrected energy balance step 1'!BG33),'Corrected energy balance step 1'!BG33,0)</f>
        <v>0</v>
      </c>
      <c r="BH33" s="158">
        <f>IF(ISNUMBER('Corrected energy balance step 1'!BH33),'Corrected energy balance step 1'!BH33,0)</f>
        <v>0</v>
      </c>
      <c r="BI33" s="158">
        <f>IF(ISNUMBER('Corrected energy balance step 1'!BI33),'Corrected energy balance step 1'!BI33,0)</f>
        <v>0</v>
      </c>
      <c r="BJ33" s="158">
        <f>IF(ISNUMBER('Corrected energy balance step 1'!BJ33),'Corrected energy balance step 1'!BJ33,0)</f>
        <v>0</v>
      </c>
      <c r="BK33" s="158">
        <f>IF(ISNUMBER('Corrected energy balance step 1'!BK33),'Corrected energy balance step 1'!BK33,0)</f>
        <v>0</v>
      </c>
      <c r="BL33" s="158">
        <f>IF(ISNUMBER('Corrected energy balance step 1'!BL33),'Corrected energy balance step 1'!BL33,0)</f>
        <v>0</v>
      </c>
      <c r="BM33" s="158">
        <f>IF(ISNUMBER('Corrected energy balance step 1'!BM33),'Corrected energy balance step 1'!BM33,0)</f>
        <v>0</v>
      </c>
      <c r="BN33" s="156">
        <f t="shared" si="58"/>
        <v>0</v>
      </c>
      <c r="BO33" s="159">
        <f>'Corrected energy balance step 1'!BO33</f>
        <v>0</v>
      </c>
    </row>
    <row r="34" spans="2:67" x14ac:dyDescent="0.2">
      <c r="B34" s="32" t="s">
        <v>76</v>
      </c>
      <c r="C34" s="158">
        <f>IF(ISNUMBER('Corrected energy balance step 1'!C34),'Corrected energy balance step 1'!C34,0)</f>
        <v>0</v>
      </c>
      <c r="D34" s="158">
        <f>IF(ISNUMBER('Corrected energy balance step 1'!D34),'Corrected energy balance step 1'!D34,0)</f>
        <v>0</v>
      </c>
      <c r="E34" s="158">
        <f>IF(ISNUMBER('Corrected energy balance step 1'!E34),'Corrected energy balance step 1'!E34,0)</f>
        <v>0</v>
      </c>
      <c r="F34" s="158">
        <f>IF(ISNUMBER('Corrected energy balance step 1'!F34),'Corrected energy balance step 1'!F34,0)</f>
        <v>0</v>
      </c>
      <c r="G34" s="158">
        <f>IF(ISNUMBER('Corrected energy balance step 1'!G34),'Corrected energy balance step 1'!G34,0)</f>
        <v>0</v>
      </c>
      <c r="H34" s="158">
        <f>IF(ISNUMBER('Corrected energy balance step 1'!H34),'Corrected energy balance step 1'!H34,0)</f>
        <v>0</v>
      </c>
      <c r="I34" s="158">
        <f>IF(ISNUMBER('Corrected energy balance step 1'!I34),'Corrected energy balance step 1'!I34,0)</f>
        <v>0</v>
      </c>
      <c r="J34" s="158">
        <f>IF(ISNUMBER('Corrected energy balance step 1'!J34),'Corrected energy balance step 1'!J34,0)</f>
        <v>0</v>
      </c>
      <c r="K34" s="158">
        <f>IF(ISNUMBER('Corrected energy balance step 1'!K34),'Corrected energy balance step 1'!K34,0)</f>
        <v>0</v>
      </c>
      <c r="L34" s="158">
        <f>IF(ISNUMBER('Corrected energy balance step 1'!L34),'Corrected energy balance step 1'!L34,0)</f>
        <v>0</v>
      </c>
      <c r="M34" s="158">
        <f>IF(ISNUMBER('Corrected energy balance step 1'!M34),'Corrected energy balance step 1'!M34,0)</f>
        <v>0</v>
      </c>
      <c r="N34" s="158">
        <f>IF(ISNUMBER('Corrected energy balance step 1'!N34),'Corrected energy balance step 1'!N34,0)</f>
        <v>0</v>
      </c>
      <c r="O34" s="158">
        <f>IF(ISNUMBER('Corrected energy balance step 1'!O34),'Corrected energy balance step 1'!O34,0)</f>
        <v>0</v>
      </c>
      <c r="P34" s="158">
        <f>IF(ISNUMBER('Corrected energy balance step 1'!P34),'Corrected energy balance step 1'!P34,0)</f>
        <v>0</v>
      </c>
      <c r="Q34" s="158">
        <f>IF(ISNUMBER('Corrected energy balance step 1'!Q34),'Corrected energy balance step 1'!Q34,0)</f>
        <v>0</v>
      </c>
      <c r="R34" s="158">
        <f>IF(ISNUMBER('Corrected energy balance step 1'!R34),'Corrected energy balance step 1'!R34,0)</f>
        <v>0</v>
      </c>
      <c r="S34" s="158">
        <f>IF(ISNUMBER('Corrected energy balance step 1'!S34),'Corrected energy balance step 1'!S34,0)</f>
        <v>0</v>
      </c>
      <c r="T34" s="158">
        <f>IF(ISNUMBER('Corrected energy balance step 1'!T34),'Corrected energy balance step 1'!T34,0)</f>
        <v>0</v>
      </c>
      <c r="U34" s="158">
        <f>IF(ISNUMBER('Corrected energy balance step 1'!U34),'Corrected energy balance step 1'!U34,0)</f>
        <v>0</v>
      </c>
      <c r="V34" s="158">
        <f>IF(ISNUMBER('Corrected energy balance step 1'!V34),'Corrected energy balance step 1'!V34,0)</f>
        <v>0</v>
      </c>
      <c r="W34" s="158">
        <f>IF(ISNUMBER('Corrected energy balance step 1'!W34),'Corrected energy balance step 1'!W34,0)</f>
        <v>0</v>
      </c>
      <c r="X34" s="158">
        <f>IF(ISNUMBER('Corrected energy balance step 1'!X34),'Corrected energy balance step 1'!X34,0)</f>
        <v>0</v>
      </c>
      <c r="Y34" s="158">
        <f>IF(ISNUMBER('Corrected energy balance step 1'!Y34),'Corrected energy balance step 1'!Y34,0)</f>
        <v>0</v>
      </c>
      <c r="Z34" s="158">
        <f>IF(ISNUMBER('Corrected energy balance step 1'!Z34),'Corrected energy balance step 1'!Z34,0)</f>
        <v>0</v>
      </c>
      <c r="AA34" s="158">
        <f>IF(ISNUMBER('Corrected energy balance step 1'!AA34),'Corrected energy balance step 1'!AA34,0)</f>
        <v>0</v>
      </c>
      <c r="AB34" s="158">
        <f>IF(ISNUMBER('Corrected energy balance step 1'!AB34),'Corrected energy balance step 1'!AB34,0)</f>
        <v>0</v>
      </c>
      <c r="AC34" s="158">
        <f>IF(ISNUMBER('Corrected energy balance step 1'!AC34),'Corrected energy balance step 1'!AC34,0)</f>
        <v>0</v>
      </c>
      <c r="AD34" s="158">
        <f>IF(ISNUMBER('Corrected energy balance step 1'!AD34),'Corrected energy balance step 1'!AD34,0)</f>
        <v>0</v>
      </c>
      <c r="AE34" s="158">
        <f>IF(ISNUMBER('Corrected energy balance step 1'!AE34),'Corrected energy balance step 1'!AE34,0)</f>
        <v>0</v>
      </c>
      <c r="AF34" s="158">
        <f>IF(ISNUMBER('Corrected energy balance step 1'!AF34),'Corrected energy balance step 1'!AF34,0)</f>
        <v>0</v>
      </c>
      <c r="AG34" s="158">
        <f>IF(ISNUMBER('Corrected energy balance step 1'!AG34),'Corrected energy balance step 1'!AG34,0)</f>
        <v>0</v>
      </c>
      <c r="AH34" s="158">
        <f>IF(ISNUMBER('Corrected energy balance step 1'!AH34),'Corrected energy balance step 1'!AH34,0)</f>
        <v>0</v>
      </c>
      <c r="AI34" s="158">
        <f>IF(ISNUMBER('Corrected energy balance step 1'!AI34),'Corrected energy balance step 1'!AI34,0)</f>
        <v>0</v>
      </c>
      <c r="AJ34" s="158">
        <f>IF(ISNUMBER('Corrected energy balance step 1'!AJ34),'Corrected energy balance step 1'!AJ34,0)</f>
        <v>0</v>
      </c>
      <c r="AK34" s="158">
        <f>IF(ISNUMBER('Corrected energy balance step 1'!AK34),'Corrected energy balance step 1'!AK34,0)</f>
        <v>0</v>
      </c>
      <c r="AL34" s="158">
        <f>IF(ISNUMBER('Corrected energy balance step 1'!AL34),'Corrected energy balance step 1'!AL34,0)</f>
        <v>0</v>
      </c>
      <c r="AM34" s="158">
        <f>IF(ISNUMBER('Corrected energy balance step 1'!AM34),'Corrected energy balance step 1'!AM34,0)</f>
        <v>0</v>
      </c>
      <c r="AN34" s="158">
        <f>IF(ISNUMBER('Corrected energy balance step 1'!AN34),'Corrected energy balance step 1'!AN34,0)</f>
        <v>0</v>
      </c>
      <c r="AO34" s="158">
        <f>IF(ISNUMBER('Corrected energy balance step 1'!AO34),'Corrected energy balance step 1'!AO34,0)</f>
        <v>0</v>
      </c>
      <c r="AP34" s="158">
        <f>IF(ISNUMBER('Corrected energy balance step 1'!AP34),'Corrected energy balance step 1'!AP34,0)</f>
        <v>0</v>
      </c>
      <c r="AQ34" s="158">
        <f>IF(ISNUMBER('Corrected energy balance step 1'!AQ34),'Corrected energy balance step 1'!AQ34,0)</f>
        <v>0</v>
      </c>
      <c r="AR34" s="158">
        <f>IF(ISNUMBER('Corrected energy balance step 1'!AR34),'Corrected energy balance step 1'!AR34,0)</f>
        <v>0</v>
      </c>
      <c r="AS34" s="158">
        <f>IF(ISNUMBER('Corrected energy balance step 1'!AS34),'Corrected energy balance step 1'!AS34,0)</f>
        <v>0</v>
      </c>
      <c r="AT34" s="158">
        <f>IF(ISNUMBER('Corrected energy balance step 1'!AT34),'Corrected energy balance step 1'!AT34,0)</f>
        <v>0</v>
      </c>
      <c r="AU34" s="158">
        <f>IF(ISNUMBER('Corrected energy balance step 1'!AU34),'Corrected energy balance step 1'!AU34,0)</f>
        <v>0</v>
      </c>
      <c r="AV34" s="158">
        <f>IF(ISNUMBER('Corrected energy balance step 1'!AV34),'Corrected energy balance step 1'!AV34,0)</f>
        <v>0</v>
      </c>
      <c r="AW34" s="158">
        <f>IF(ISNUMBER('Corrected energy balance step 1'!AW34),'Corrected energy balance step 1'!AW34,0)</f>
        <v>0</v>
      </c>
      <c r="AX34" s="158">
        <f>IF(ISNUMBER('Corrected energy balance step 1'!AX34),'Corrected energy balance step 1'!AX34,0)</f>
        <v>0</v>
      </c>
      <c r="AY34" s="158">
        <f>IF(ISNUMBER('Corrected energy balance step 1'!AY34),'Corrected energy balance step 1'!AY34,0)</f>
        <v>0</v>
      </c>
      <c r="AZ34" s="158">
        <f>IF(ISNUMBER('Corrected energy balance step 1'!AZ34),'Corrected energy balance step 1'!AZ34,0)</f>
        <v>0</v>
      </c>
      <c r="BA34" s="158">
        <f>IF(ISNUMBER('Corrected energy balance step 1'!BA34),'Corrected energy balance step 1'!BA34,0)</f>
        <v>0</v>
      </c>
      <c r="BB34" s="158">
        <f>IF(ISNUMBER('Corrected energy balance step 1'!BB34),'Corrected energy balance step 1'!BB34,0)</f>
        <v>0</v>
      </c>
      <c r="BC34" s="158">
        <f>IF(ISNUMBER('Corrected energy balance step 1'!BC34),'Corrected energy balance step 1'!BC34,0)</f>
        <v>0</v>
      </c>
      <c r="BD34" s="158">
        <f>IF(ISNUMBER('Corrected energy balance step 1'!BD34),'Corrected energy balance step 1'!BD34,0)</f>
        <v>0</v>
      </c>
      <c r="BE34" s="158">
        <f>IF(ISNUMBER('Corrected energy balance step 1'!BE34),'Corrected energy balance step 1'!BE34,0)</f>
        <v>0</v>
      </c>
      <c r="BF34" s="158">
        <f>IF(ISNUMBER('Corrected energy balance step 1'!BF34),'Corrected energy balance step 1'!BF34,0)</f>
        <v>0</v>
      </c>
      <c r="BG34" s="158">
        <f>IF(ISNUMBER('Corrected energy balance step 1'!BG34),'Corrected energy balance step 1'!BG34,0)</f>
        <v>0</v>
      </c>
      <c r="BH34" s="158">
        <f>IF(ISNUMBER('Corrected energy balance step 1'!BH34),'Corrected energy balance step 1'!BH34,0)</f>
        <v>0</v>
      </c>
      <c r="BI34" s="158">
        <f>IF(ISNUMBER('Corrected energy balance step 1'!BI34),'Corrected energy balance step 1'!BI34,0)</f>
        <v>0</v>
      </c>
      <c r="BJ34" s="158">
        <f>IF(ISNUMBER('Corrected energy balance step 1'!BJ34),'Corrected energy balance step 1'!BJ34,0)</f>
        <v>0</v>
      </c>
      <c r="BK34" s="158">
        <f>IF(ISNUMBER('Corrected energy balance step 1'!BK34),'Corrected energy balance step 1'!BK34,0)</f>
        <v>0</v>
      </c>
      <c r="BL34" s="158">
        <f>IF(ISNUMBER('Corrected energy balance step 1'!BL34),'Corrected energy balance step 1'!BL34,0)</f>
        <v>0</v>
      </c>
      <c r="BM34" s="158">
        <f>IF(ISNUMBER('Corrected energy balance step 1'!BM34),'Corrected energy balance step 1'!BM34,0)</f>
        <v>0</v>
      </c>
      <c r="BN34" s="156">
        <f t="shared" si="58"/>
        <v>0</v>
      </c>
      <c r="BO34" s="159">
        <f>'Corrected energy balance step 1'!BO34</f>
        <v>0</v>
      </c>
    </row>
    <row r="35" spans="2:67" x14ac:dyDescent="0.2">
      <c r="B35" s="32" t="s">
        <v>77</v>
      </c>
      <c r="C35" s="158">
        <f>IF(ISNUMBER('Corrected energy balance step 1'!C35),'Corrected energy balance step 1'!C35,0)</f>
        <v>0</v>
      </c>
      <c r="D35" s="158">
        <f>IF(ISNUMBER('Corrected energy balance step 1'!D35),'Corrected energy balance step 1'!D35,0)</f>
        <v>0</v>
      </c>
      <c r="E35" s="158">
        <f>IF(ISNUMBER('Corrected energy balance step 1'!E35),'Corrected energy balance step 1'!E35,0)</f>
        <v>0</v>
      </c>
      <c r="F35" s="158">
        <f>IF(ISNUMBER('Corrected energy balance step 1'!F35),'Corrected energy balance step 1'!F35,0)</f>
        <v>0</v>
      </c>
      <c r="G35" s="158">
        <f>IF(ISNUMBER('Corrected energy balance step 1'!G35),'Corrected energy balance step 1'!G35,0)</f>
        <v>0</v>
      </c>
      <c r="H35" s="158">
        <f>IF(ISNUMBER('Corrected energy balance step 1'!H35),'Corrected energy balance step 1'!H35,0)</f>
        <v>0</v>
      </c>
      <c r="I35" s="158">
        <f>IF(ISNUMBER('Corrected energy balance step 1'!I35),'Corrected energy balance step 1'!I35,0)</f>
        <v>0</v>
      </c>
      <c r="J35" s="158">
        <f>IF(ISNUMBER('Corrected energy balance step 1'!J35),'Corrected energy balance step 1'!J35,0)</f>
        <v>0</v>
      </c>
      <c r="K35" s="158">
        <f>IF(ISNUMBER('Corrected energy balance step 1'!K35),'Corrected energy balance step 1'!K35,0)</f>
        <v>0</v>
      </c>
      <c r="L35" s="158">
        <f>IF(ISNUMBER('Corrected energy balance step 1'!L35),'Corrected energy balance step 1'!L35,0)</f>
        <v>0</v>
      </c>
      <c r="M35" s="158">
        <f>IF(ISNUMBER('Corrected energy balance step 1'!M35),'Corrected energy balance step 1'!M35,0)</f>
        <v>0</v>
      </c>
      <c r="N35" s="158">
        <f>IF(ISNUMBER('Corrected energy balance step 1'!N35),'Corrected energy balance step 1'!N35,0)</f>
        <v>0</v>
      </c>
      <c r="O35" s="158">
        <f>IF(ISNUMBER('Corrected energy balance step 1'!O35),'Corrected energy balance step 1'!O35,0)</f>
        <v>0</v>
      </c>
      <c r="P35" s="158">
        <f>IF(ISNUMBER('Corrected energy balance step 1'!P35),'Corrected energy balance step 1'!P35,0)</f>
        <v>0</v>
      </c>
      <c r="Q35" s="158">
        <f>IF(ISNUMBER('Corrected energy balance step 1'!Q35),'Corrected energy balance step 1'!Q35,0)</f>
        <v>0</v>
      </c>
      <c r="R35" s="158">
        <f>IF(ISNUMBER('Corrected energy balance step 1'!R35),'Corrected energy balance step 1'!R35,0)</f>
        <v>0</v>
      </c>
      <c r="S35" s="158">
        <f>IF(ISNUMBER('Corrected energy balance step 1'!S35),'Corrected energy balance step 1'!S35,0)</f>
        <v>0</v>
      </c>
      <c r="T35" s="158">
        <f>IF(ISNUMBER('Corrected energy balance step 1'!T35),'Corrected energy balance step 1'!T35,0)</f>
        <v>0</v>
      </c>
      <c r="U35" s="158">
        <f>IF(ISNUMBER('Corrected energy balance step 1'!U35),'Corrected energy balance step 1'!U35,0)</f>
        <v>0</v>
      </c>
      <c r="V35" s="158">
        <f>IF(ISNUMBER('Corrected energy balance step 1'!V35),'Corrected energy balance step 1'!V35,0)</f>
        <v>0</v>
      </c>
      <c r="W35" s="158">
        <f>IF(ISNUMBER('Corrected energy balance step 1'!W35),'Corrected energy balance step 1'!W35,0)</f>
        <v>0</v>
      </c>
      <c r="X35" s="158">
        <f>IF(ISNUMBER('Corrected energy balance step 1'!X35),'Corrected energy balance step 1'!X35,0)</f>
        <v>0</v>
      </c>
      <c r="Y35" s="158">
        <f>IF(ISNUMBER('Corrected energy balance step 1'!Y35),'Corrected energy balance step 1'!Y35,0)</f>
        <v>0</v>
      </c>
      <c r="Z35" s="158">
        <f>IF(ISNUMBER('Corrected energy balance step 1'!Z35),'Corrected energy balance step 1'!Z35,0)</f>
        <v>0</v>
      </c>
      <c r="AA35" s="158">
        <f>IF(ISNUMBER('Corrected energy balance step 1'!AA35),'Corrected energy balance step 1'!AA35,0)</f>
        <v>0</v>
      </c>
      <c r="AB35" s="158">
        <f>IF(ISNUMBER('Corrected energy balance step 1'!AB35),'Corrected energy balance step 1'!AB35,0)</f>
        <v>0</v>
      </c>
      <c r="AC35" s="158">
        <f>IF(ISNUMBER('Corrected energy balance step 1'!AC35),'Corrected energy balance step 1'!AC35,0)</f>
        <v>0</v>
      </c>
      <c r="AD35" s="158">
        <f>IF(ISNUMBER('Corrected energy balance step 1'!AD35),'Corrected energy balance step 1'!AD35,0)</f>
        <v>0</v>
      </c>
      <c r="AE35" s="158">
        <f>IF(ISNUMBER('Corrected energy balance step 1'!AE35),'Corrected energy balance step 1'!AE35,0)</f>
        <v>0</v>
      </c>
      <c r="AF35" s="158">
        <f>IF(ISNUMBER('Corrected energy balance step 1'!AF35),'Corrected energy balance step 1'!AF35,0)</f>
        <v>0</v>
      </c>
      <c r="AG35" s="158">
        <f>IF(ISNUMBER('Corrected energy balance step 1'!AG35),'Corrected energy balance step 1'!AG35,0)</f>
        <v>0</v>
      </c>
      <c r="AH35" s="158">
        <f>IF(ISNUMBER('Corrected energy balance step 1'!AH35),'Corrected energy balance step 1'!AH35,0)</f>
        <v>0</v>
      </c>
      <c r="AI35" s="158">
        <f>IF(ISNUMBER('Corrected energy balance step 1'!AI35),'Corrected energy balance step 1'!AI35,0)</f>
        <v>0</v>
      </c>
      <c r="AJ35" s="158">
        <f>IF(ISNUMBER('Corrected energy balance step 1'!AJ35),'Corrected energy balance step 1'!AJ35,0)</f>
        <v>0</v>
      </c>
      <c r="AK35" s="158">
        <f>IF(ISNUMBER('Corrected energy balance step 1'!AK35),'Corrected energy balance step 1'!AK35,0)</f>
        <v>0</v>
      </c>
      <c r="AL35" s="158">
        <f>IF(ISNUMBER('Corrected energy balance step 1'!AL35),'Corrected energy balance step 1'!AL35,0)</f>
        <v>0</v>
      </c>
      <c r="AM35" s="158">
        <f>IF(ISNUMBER('Corrected energy balance step 1'!AM35),'Corrected energy balance step 1'!AM35,0)</f>
        <v>0</v>
      </c>
      <c r="AN35" s="158">
        <f>IF(ISNUMBER('Corrected energy balance step 1'!AN35),'Corrected energy balance step 1'!AN35,0)</f>
        <v>0</v>
      </c>
      <c r="AO35" s="158">
        <f>IF(ISNUMBER('Corrected energy balance step 1'!AO35),'Corrected energy balance step 1'!AO35,0)</f>
        <v>0</v>
      </c>
      <c r="AP35" s="158">
        <f>IF(ISNUMBER('Corrected energy balance step 1'!AP35),'Corrected energy balance step 1'!AP35,0)</f>
        <v>0</v>
      </c>
      <c r="AQ35" s="158">
        <f>IF(ISNUMBER('Corrected energy balance step 1'!AQ35),'Corrected energy balance step 1'!AQ35,0)</f>
        <v>0</v>
      </c>
      <c r="AR35" s="158">
        <f>IF(ISNUMBER('Corrected energy balance step 1'!AR35),'Corrected energy balance step 1'!AR35,0)</f>
        <v>0</v>
      </c>
      <c r="AS35" s="158">
        <f>IF(ISNUMBER('Corrected energy balance step 1'!AS35),'Corrected energy balance step 1'!AS35,0)</f>
        <v>0</v>
      </c>
      <c r="AT35" s="158">
        <f>IF(ISNUMBER('Corrected energy balance step 1'!AT35),'Corrected energy balance step 1'!AT35,0)</f>
        <v>0</v>
      </c>
      <c r="AU35" s="158">
        <f>IF(ISNUMBER('Corrected energy balance step 1'!AU35),'Corrected energy balance step 1'!AU35,0)</f>
        <v>0</v>
      </c>
      <c r="AV35" s="158">
        <f>IF(ISNUMBER('Corrected energy balance step 1'!AV35),'Corrected energy balance step 1'!AV35,0)</f>
        <v>0</v>
      </c>
      <c r="AW35" s="158">
        <f>IF(ISNUMBER('Corrected energy balance step 1'!AW35),'Corrected energy balance step 1'!AW35,0)</f>
        <v>0</v>
      </c>
      <c r="AX35" s="158">
        <f>IF(ISNUMBER('Corrected energy balance step 1'!AX35),'Corrected energy balance step 1'!AX35,0)</f>
        <v>0</v>
      </c>
      <c r="AY35" s="158">
        <f>IF(ISNUMBER('Corrected energy balance step 1'!AY35),'Corrected energy balance step 1'!AY35,0)</f>
        <v>0</v>
      </c>
      <c r="AZ35" s="158">
        <f>IF(ISNUMBER('Corrected energy balance step 1'!AZ35),'Corrected energy balance step 1'!AZ35,0)</f>
        <v>0</v>
      </c>
      <c r="BA35" s="158">
        <f>IF(ISNUMBER('Corrected energy balance step 1'!BA35),'Corrected energy balance step 1'!BA35,0)</f>
        <v>0</v>
      </c>
      <c r="BB35" s="158">
        <f>IF(ISNUMBER('Corrected energy balance step 1'!BB35),'Corrected energy balance step 1'!BB35,0)</f>
        <v>0</v>
      </c>
      <c r="BC35" s="158">
        <f>IF(ISNUMBER('Corrected energy balance step 1'!BC35),'Corrected energy balance step 1'!BC35,0)</f>
        <v>0</v>
      </c>
      <c r="BD35" s="158">
        <f>IF(ISNUMBER('Corrected energy balance step 1'!BD35),'Corrected energy balance step 1'!BD35,0)</f>
        <v>0</v>
      </c>
      <c r="BE35" s="158">
        <f>IF(ISNUMBER('Corrected energy balance step 1'!BE35),'Corrected energy balance step 1'!BE35,0)</f>
        <v>0</v>
      </c>
      <c r="BF35" s="158">
        <f>IF(ISNUMBER('Corrected energy balance step 1'!BF35),'Corrected energy balance step 1'!BF35,0)</f>
        <v>0</v>
      </c>
      <c r="BG35" s="158">
        <f>IF(ISNUMBER('Corrected energy balance step 1'!BG35),'Corrected energy balance step 1'!BG35,0)</f>
        <v>0</v>
      </c>
      <c r="BH35" s="158">
        <f>IF(ISNUMBER('Corrected energy balance step 1'!BH35),'Corrected energy balance step 1'!BH35,0)</f>
        <v>0</v>
      </c>
      <c r="BI35" s="158">
        <f>IF(ISNUMBER('Corrected energy balance step 1'!BI35),'Corrected energy balance step 1'!BI35,0)</f>
        <v>0</v>
      </c>
      <c r="BJ35" s="158">
        <f>IF(ISNUMBER('Corrected energy balance step 1'!BJ35),'Corrected energy balance step 1'!BJ35,0)</f>
        <v>0</v>
      </c>
      <c r="BK35" s="158">
        <f>IF(ISNUMBER('Corrected energy balance step 1'!BK35),'Corrected energy balance step 1'!BK35,0)</f>
        <v>0</v>
      </c>
      <c r="BL35" s="158">
        <f>IF(ISNUMBER('Corrected energy balance step 1'!BL35),'Corrected energy balance step 1'!BL35,0)</f>
        <v>0</v>
      </c>
      <c r="BM35" s="158">
        <f>IF(ISNUMBER('Corrected energy balance step 1'!BM35),'Corrected energy balance step 1'!BM35,0)</f>
        <v>0</v>
      </c>
      <c r="BN35" s="156">
        <f t="shared" si="58"/>
        <v>0</v>
      </c>
      <c r="BO35" s="159">
        <f>'Corrected energy balance step 1'!BO35</f>
        <v>0</v>
      </c>
    </row>
    <row r="36" spans="2:67" x14ac:dyDescent="0.2">
      <c r="B36" s="32" t="s">
        <v>78</v>
      </c>
      <c r="C36" s="158">
        <f>IF(ISNUMBER('Corrected energy balance step 1'!C36),'Corrected energy balance step 1'!C36,0)</f>
        <v>0</v>
      </c>
      <c r="D36" s="158">
        <f>IF(ISNUMBER('Corrected energy balance step 1'!D36),'Corrected energy balance step 1'!D36,0)</f>
        <v>0</v>
      </c>
      <c r="E36" s="158">
        <f>IF(ISNUMBER('Corrected energy balance step 1'!E36),'Corrected energy balance step 1'!E36,0)</f>
        <v>0</v>
      </c>
      <c r="F36" s="158">
        <f>IF(ISNUMBER('Corrected energy balance step 1'!F36),'Corrected energy balance step 1'!F36,0)</f>
        <v>0</v>
      </c>
      <c r="G36" s="158">
        <f>IF(ISNUMBER('Corrected energy balance step 1'!G36),'Corrected energy balance step 1'!G36,0)</f>
        <v>0</v>
      </c>
      <c r="H36" s="158">
        <f>IF(ISNUMBER('Corrected energy balance step 1'!H36),'Corrected energy balance step 1'!H36,0)</f>
        <v>0</v>
      </c>
      <c r="I36" s="158">
        <f>IF(ISNUMBER('Corrected energy balance step 1'!I36),'Corrected energy balance step 1'!I36,0)</f>
        <v>0</v>
      </c>
      <c r="J36" s="158">
        <f>IF(ISNUMBER('Corrected energy balance step 1'!J36),'Corrected energy balance step 1'!J36,0)</f>
        <v>0</v>
      </c>
      <c r="K36" s="158">
        <f>IF(ISNUMBER('Corrected energy balance step 1'!K36),'Corrected energy balance step 1'!K36,0)</f>
        <v>0</v>
      </c>
      <c r="L36" s="158">
        <f>IF(ISNUMBER('Corrected energy balance step 1'!L36),'Corrected energy balance step 1'!L36,0)</f>
        <v>0</v>
      </c>
      <c r="M36" s="158">
        <f>IF(ISNUMBER('Corrected energy balance step 1'!M36),'Corrected energy balance step 1'!M36,0)</f>
        <v>0</v>
      </c>
      <c r="N36" s="158">
        <f>IF(ISNUMBER('Corrected energy balance step 1'!N36),'Corrected energy balance step 1'!N36,0)</f>
        <v>0</v>
      </c>
      <c r="O36" s="158">
        <f>IF(ISNUMBER('Corrected energy balance step 1'!O36),'Corrected energy balance step 1'!O36,0)</f>
        <v>0</v>
      </c>
      <c r="P36" s="158">
        <f>IF(ISNUMBER('Corrected energy balance step 1'!P36),'Corrected energy balance step 1'!P36,0)</f>
        <v>0</v>
      </c>
      <c r="Q36" s="158">
        <f>IF(ISNUMBER('Corrected energy balance step 1'!Q36),'Corrected energy balance step 1'!Q36,0)</f>
        <v>0</v>
      </c>
      <c r="R36" s="158">
        <f>IF(ISNUMBER('Corrected energy balance step 1'!R36),'Corrected energy balance step 1'!R36,0)</f>
        <v>0</v>
      </c>
      <c r="S36" s="158">
        <f>IF(ISNUMBER('Corrected energy balance step 1'!S36),'Corrected energy balance step 1'!S36,0)</f>
        <v>0</v>
      </c>
      <c r="T36" s="158">
        <f>IF(ISNUMBER('Corrected energy balance step 1'!T36),'Corrected energy balance step 1'!T36,0)</f>
        <v>0</v>
      </c>
      <c r="U36" s="158">
        <f>IF(ISNUMBER('Corrected energy balance step 1'!U36),'Corrected energy balance step 1'!U36,0)</f>
        <v>0</v>
      </c>
      <c r="V36" s="158">
        <f>IF(ISNUMBER('Corrected energy balance step 1'!V36),'Corrected energy balance step 1'!V36,0)</f>
        <v>0</v>
      </c>
      <c r="W36" s="158">
        <f>IF(ISNUMBER('Corrected energy balance step 1'!W36),'Corrected energy balance step 1'!W36,0)</f>
        <v>0</v>
      </c>
      <c r="X36" s="158">
        <f>IF(ISNUMBER('Corrected energy balance step 1'!X36),'Corrected energy balance step 1'!X36,0)</f>
        <v>0</v>
      </c>
      <c r="Y36" s="158">
        <f>IF(ISNUMBER('Corrected energy balance step 1'!Y36),'Corrected energy balance step 1'!Y36,0)</f>
        <v>0</v>
      </c>
      <c r="Z36" s="158">
        <f>IF(ISNUMBER('Corrected energy balance step 1'!Z36),'Corrected energy balance step 1'!Z36,0)</f>
        <v>0</v>
      </c>
      <c r="AA36" s="158">
        <f>IF(ISNUMBER('Corrected energy balance step 1'!AA36),'Corrected energy balance step 1'!AA36,0)</f>
        <v>0</v>
      </c>
      <c r="AB36" s="158">
        <f>IF(ISNUMBER('Corrected energy balance step 1'!AB36),'Corrected energy balance step 1'!AB36,0)</f>
        <v>0</v>
      </c>
      <c r="AC36" s="158">
        <f>IF(ISNUMBER('Corrected energy balance step 1'!AC36),'Corrected energy balance step 1'!AC36,0)</f>
        <v>0</v>
      </c>
      <c r="AD36" s="158">
        <f>IF(ISNUMBER('Corrected energy balance step 1'!AD36),'Corrected energy balance step 1'!AD36,0)</f>
        <v>0</v>
      </c>
      <c r="AE36" s="158">
        <f>IF(ISNUMBER('Corrected energy balance step 1'!AE36),'Corrected energy balance step 1'!AE36,0)</f>
        <v>0</v>
      </c>
      <c r="AF36" s="158">
        <f>IF(ISNUMBER('Corrected energy balance step 1'!AF36),'Corrected energy balance step 1'!AF36,0)</f>
        <v>0</v>
      </c>
      <c r="AG36" s="158">
        <f>IF(ISNUMBER('Corrected energy balance step 1'!AG36),'Corrected energy balance step 1'!AG36,0)</f>
        <v>0</v>
      </c>
      <c r="AH36" s="158">
        <f>IF(ISNUMBER('Corrected energy balance step 1'!AH36),'Corrected energy balance step 1'!AH36,0)</f>
        <v>0</v>
      </c>
      <c r="AI36" s="158">
        <f>IF(ISNUMBER('Corrected energy balance step 1'!AI36),'Corrected energy balance step 1'!AI36,0)</f>
        <v>0</v>
      </c>
      <c r="AJ36" s="158">
        <f>IF(ISNUMBER('Corrected energy balance step 1'!AJ36),'Corrected energy balance step 1'!AJ36,0)</f>
        <v>0</v>
      </c>
      <c r="AK36" s="158">
        <f>IF(ISNUMBER('Corrected energy balance step 1'!AK36),'Corrected energy balance step 1'!AK36,0)</f>
        <v>0</v>
      </c>
      <c r="AL36" s="158">
        <f>IF(ISNUMBER('Corrected energy balance step 1'!AL36),'Corrected energy balance step 1'!AL36,0)</f>
        <v>0</v>
      </c>
      <c r="AM36" s="158">
        <f>IF(ISNUMBER('Corrected energy balance step 1'!AM36),'Corrected energy balance step 1'!AM36,0)</f>
        <v>0</v>
      </c>
      <c r="AN36" s="158">
        <f>IF(ISNUMBER('Corrected energy balance step 1'!AN36),'Corrected energy balance step 1'!AN36,0)</f>
        <v>0</v>
      </c>
      <c r="AO36" s="158">
        <f>IF(ISNUMBER('Corrected energy balance step 1'!AO36),'Corrected energy balance step 1'!AO36,0)</f>
        <v>0</v>
      </c>
      <c r="AP36" s="158">
        <f>IF(ISNUMBER('Corrected energy balance step 1'!AP36),'Corrected energy balance step 1'!AP36,0)</f>
        <v>0</v>
      </c>
      <c r="AQ36" s="158">
        <f>IF(ISNUMBER('Corrected energy balance step 1'!AQ36),'Corrected energy balance step 1'!AQ36,0)</f>
        <v>0</v>
      </c>
      <c r="AR36" s="158">
        <f>IF(ISNUMBER('Corrected energy balance step 1'!AR36),'Corrected energy balance step 1'!AR36,0)</f>
        <v>0</v>
      </c>
      <c r="AS36" s="158">
        <f>IF(ISNUMBER('Corrected energy balance step 1'!AS36),'Corrected energy balance step 1'!AS36,0)</f>
        <v>0</v>
      </c>
      <c r="AT36" s="158">
        <f>IF(ISNUMBER('Corrected energy balance step 1'!AT36),'Corrected energy balance step 1'!AT36,0)</f>
        <v>0</v>
      </c>
      <c r="AU36" s="158">
        <f>IF(ISNUMBER('Corrected energy balance step 1'!AU36),'Corrected energy balance step 1'!AU36,0)</f>
        <v>0</v>
      </c>
      <c r="AV36" s="158">
        <f>IF(ISNUMBER('Corrected energy balance step 1'!AV36),'Corrected energy balance step 1'!AV36,0)</f>
        <v>0</v>
      </c>
      <c r="AW36" s="158">
        <f>IF(ISNUMBER('Corrected energy balance step 1'!AW36),'Corrected energy balance step 1'!AW36,0)</f>
        <v>0</v>
      </c>
      <c r="AX36" s="158">
        <f>IF(ISNUMBER('Corrected energy balance step 1'!AX36),'Corrected energy balance step 1'!AX36,0)</f>
        <v>0</v>
      </c>
      <c r="AY36" s="158">
        <f>IF(ISNUMBER('Corrected energy balance step 1'!AY36),'Corrected energy balance step 1'!AY36,0)</f>
        <v>0</v>
      </c>
      <c r="AZ36" s="158">
        <f>IF(ISNUMBER('Corrected energy balance step 1'!AZ36),'Corrected energy balance step 1'!AZ36,0)</f>
        <v>0</v>
      </c>
      <c r="BA36" s="158">
        <f>IF(ISNUMBER('Corrected energy balance step 1'!BA36),'Corrected energy balance step 1'!BA36,0)</f>
        <v>0</v>
      </c>
      <c r="BB36" s="158">
        <f>IF(ISNUMBER('Corrected energy balance step 1'!BB36),'Corrected energy balance step 1'!BB36,0)</f>
        <v>0</v>
      </c>
      <c r="BC36" s="158">
        <f>IF(ISNUMBER('Corrected energy balance step 1'!BC36),'Corrected energy balance step 1'!BC36,0)</f>
        <v>0</v>
      </c>
      <c r="BD36" s="158">
        <f>IF(ISNUMBER('Corrected energy balance step 1'!BD36),'Corrected energy balance step 1'!BD36,0)</f>
        <v>0</v>
      </c>
      <c r="BE36" s="158">
        <f>IF(ISNUMBER('Corrected energy balance step 1'!BE36),'Corrected energy balance step 1'!BE36,0)</f>
        <v>0</v>
      </c>
      <c r="BF36" s="158">
        <f>IF(ISNUMBER('Corrected energy balance step 1'!BF36),'Corrected energy balance step 1'!BF36,0)</f>
        <v>0</v>
      </c>
      <c r="BG36" s="158">
        <f>IF(ISNUMBER('Corrected energy balance step 1'!BG36),'Corrected energy balance step 1'!BG36,0)</f>
        <v>0</v>
      </c>
      <c r="BH36" s="158">
        <f>IF(ISNUMBER('Corrected energy balance step 1'!BH36),'Corrected energy balance step 1'!BH36,0)</f>
        <v>0</v>
      </c>
      <c r="BI36" s="158">
        <f>IF(ISNUMBER('Corrected energy balance step 1'!BI36),'Corrected energy balance step 1'!BI36,0)</f>
        <v>0</v>
      </c>
      <c r="BJ36" s="158">
        <f>IF(ISNUMBER('Corrected energy balance step 1'!BJ36),'Corrected energy balance step 1'!BJ36,0)</f>
        <v>0</v>
      </c>
      <c r="BK36" s="158">
        <f>IF(ISNUMBER('Corrected energy balance step 1'!BK36),'Corrected energy balance step 1'!BK36,0)</f>
        <v>0</v>
      </c>
      <c r="BL36" s="158">
        <f>IF(ISNUMBER('Corrected energy balance step 1'!BL36),'Corrected energy balance step 1'!BL36,0)</f>
        <v>0</v>
      </c>
      <c r="BM36" s="158">
        <f>IF(ISNUMBER('Corrected energy balance step 1'!BM36),'Corrected energy balance step 1'!BM36,0)</f>
        <v>0</v>
      </c>
      <c r="BN36" s="156">
        <f t="shared" si="58"/>
        <v>0</v>
      </c>
      <c r="BO36" s="159">
        <f>'Corrected energy balance step 1'!BO36</f>
        <v>0</v>
      </c>
    </row>
    <row r="37" spans="2:67" x14ac:dyDescent="0.2">
      <c r="B37" s="32" t="s">
        <v>79</v>
      </c>
      <c r="C37" s="158">
        <f>IF(ISNUMBER('Corrected energy balance step 1'!C37),'Corrected energy balance step 1'!C37,0)</f>
        <v>0</v>
      </c>
      <c r="D37" s="158">
        <f>IF(ISNUMBER('Corrected energy balance step 1'!D37),'Corrected energy balance step 1'!D37,0)</f>
        <v>0</v>
      </c>
      <c r="E37" s="158">
        <f>IF(ISNUMBER('Corrected energy balance step 1'!E37),'Corrected energy balance step 1'!E37,0)</f>
        <v>0</v>
      </c>
      <c r="F37" s="158">
        <f>IF(ISNUMBER('Corrected energy balance step 1'!F37),'Corrected energy balance step 1'!F37,0)</f>
        <v>0</v>
      </c>
      <c r="G37" s="158">
        <f>IF(ISNUMBER('Corrected energy balance step 1'!G37),'Corrected energy balance step 1'!G37,0)</f>
        <v>0</v>
      </c>
      <c r="H37" s="158">
        <f>IF(ISNUMBER('Corrected energy balance step 1'!H37),'Corrected energy balance step 1'!H37,0)</f>
        <v>0</v>
      </c>
      <c r="I37" s="158">
        <f>IF(ISNUMBER('Corrected energy balance step 1'!I37),'Corrected energy balance step 1'!I37,0)</f>
        <v>0</v>
      </c>
      <c r="J37" s="158">
        <f>IF(ISNUMBER('Corrected energy balance step 1'!J37),'Corrected energy balance step 1'!J37,0)</f>
        <v>0</v>
      </c>
      <c r="K37" s="158">
        <f>IF(ISNUMBER('Corrected energy balance step 1'!K37),'Corrected energy balance step 1'!K37,0)</f>
        <v>0</v>
      </c>
      <c r="L37" s="158">
        <f>IF(ISNUMBER('Corrected energy balance step 1'!L37),'Corrected energy balance step 1'!L37,0)</f>
        <v>0</v>
      </c>
      <c r="M37" s="158">
        <f>IF(ISNUMBER('Corrected energy balance step 1'!M37),'Corrected energy balance step 1'!M37,0)</f>
        <v>0</v>
      </c>
      <c r="N37" s="158">
        <f>IF(ISNUMBER('Corrected energy balance step 1'!N37),'Corrected energy balance step 1'!N37,0)</f>
        <v>0</v>
      </c>
      <c r="O37" s="158">
        <f>IF(ISNUMBER('Corrected energy balance step 1'!O37),'Corrected energy balance step 1'!O37,0)</f>
        <v>0</v>
      </c>
      <c r="P37" s="158">
        <f>IF(ISNUMBER('Corrected energy balance step 1'!P37),'Corrected energy balance step 1'!P37,0)</f>
        <v>0</v>
      </c>
      <c r="Q37" s="158">
        <f>IF(ISNUMBER('Corrected energy balance step 1'!Q37),'Corrected energy balance step 1'!Q37,0)</f>
        <v>0</v>
      </c>
      <c r="R37" s="158">
        <f>IF(ISNUMBER('Corrected energy balance step 1'!R37),'Corrected energy balance step 1'!R37,0)</f>
        <v>0</v>
      </c>
      <c r="S37" s="158">
        <f>IF(ISNUMBER('Corrected energy balance step 1'!S37),'Corrected energy balance step 1'!S37,0)</f>
        <v>0</v>
      </c>
      <c r="T37" s="158">
        <f>IF(ISNUMBER('Corrected energy balance step 1'!T37),'Corrected energy balance step 1'!T37,0)</f>
        <v>0</v>
      </c>
      <c r="U37" s="158">
        <f>IF(ISNUMBER('Corrected energy balance step 1'!U37),'Corrected energy balance step 1'!U37,0)</f>
        <v>0</v>
      </c>
      <c r="V37" s="158">
        <f>IF(ISNUMBER('Corrected energy balance step 1'!V37),'Corrected energy balance step 1'!V37,0)</f>
        <v>0</v>
      </c>
      <c r="W37" s="158">
        <f>IF(ISNUMBER('Corrected energy balance step 1'!W37),'Corrected energy balance step 1'!W37,0)</f>
        <v>0</v>
      </c>
      <c r="X37" s="158">
        <f>IF(ISNUMBER('Corrected energy balance step 1'!X37),'Corrected energy balance step 1'!X37,0)</f>
        <v>0</v>
      </c>
      <c r="Y37" s="158">
        <f>IF(ISNUMBER('Corrected energy balance step 1'!Y37),'Corrected energy balance step 1'!Y37,0)</f>
        <v>0</v>
      </c>
      <c r="Z37" s="158">
        <f>IF(ISNUMBER('Corrected energy balance step 1'!Z37),'Corrected energy balance step 1'!Z37,0)</f>
        <v>0</v>
      </c>
      <c r="AA37" s="158">
        <f>IF(ISNUMBER('Corrected energy balance step 1'!AA37),'Corrected energy balance step 1'!AA37,0)</f>
        <v>0</v>
      </c>
      <c r="AB37" s="158">
        <f>IF(ISNUMBER('Corrected energy balance step 1'!AB37),'Corrected energy balance step 1'!AB37,0)</f>
        <v>0</v>
      </c>
      <c r="AC37" s="158">
        <f>IF(ISNUMBER('Corrected energy balance step 1'!AC37),'Corrected energy balance step 1'!AC37,0)</f>
        <v>0</v>
      </c>
      <c r="AD37" s="158">
        <f>IF(ISNUMBER('Corrected energy balance step 1'!AD37),'Corrected energy balance step 1'!AD37,0)</f>
        <v>0</v>
      </c>
      <c r="AE37" s="158">
        <f>IF(ISNUMBER('Corrected energy balance step 1'!AE37),'Corrected energy balance step 1'!AE37,0)</f>
        <v>0</v>
      </c>
      <c r="AF37" s="158">
        <f>IF(ISNUMBER('Corrected energy balance step 1'!AF37),'Corrected energy balance step 1'!AF37,0)</f>
        <v>0</v>
      </c>
      <c r="AG37" s="158">
        <f>IF(ISNUMBER('Corrected energy balance step 1'!AG37),'Corrected energy balance step 1'!AG37,0)</f>
        <v>0</v>
      </c>
      <c r="AH37" s="158">
        <f>IF(ISNUMBER('Corrected energy balance step 1'!AH37),'Corrected energy balance step 1'!AH37,0)</f>
        <v>0</v>
      </c>
      <c r="AI37" s="158">
        <f>IF(ISNUMBER('Corrected energy balance step 1'!AI37),'Corrected energy balance step 1'!AI37,0)</f>
        <v>0</v>
      </c>
      <c r="AJ37" s="158">
        <f>IF(ISNUMBER('Corrected energy balance step 1'!AJ37),'Corrected energy balance step 1'!AJ37,0)</f>
        <v>0</v>
      </c>
      <c r="AK37" s="158">
        <f>IF(ISNUMBER('Corrected energy balance step 1'!AK37),'Corrected energy balance step 1'!AK37,0)</f>
        <v>0</v>
      </c>
      <c r="AL37" s="158">
        <f>IF(ISNUMBER('Corrected energy balance step 1'!AL37),'Corrected energy balance step 1'!AL37,0)</f>
        <v>0</v>
      </c>
      <c r="AM37" s="158">
        <f>IF(ISNUMBER('Corrected energy balance step 1'!AM37),'Corrected energy balance step 1'!AM37,0)</f>
        <v>0</v>
      </c>
      <c r="AN37" s="158">
        <f>IF(ISNUMBER('Corrected energy balance step 1'!AN37),'Corrected energy balance step 1'!AN37,0)</f>
        <v>0</v>
      </c>
      <c r="AO37" s="158">
        <f>IF(ISNUMBER('Corrected energy balance step 1'!AO37),'Corrected energy balance step 1'!AO37,0)</f>
        <v>0</v>
      </c>
      <c r="AP37" s="158">
        <f>IF(ISNUMBER('Corrected energy balance step 1'!AP37),'Corrected energy balance step 1'!AP37,0)</f>
        <v>0</v>
      </c>
      <c r="AQ37" s="158">
        <f>IF(ISNUMBER('Corrected energy balance step 1'!AQ37),'Corrected energy balance step 1'!AQ37,0)</f>
        <v>0</v>
      </c>
      <c r="AR37" s="158">
        <f>IF(ISNUMBER('Corrected energy balance step 1'!AR37),'Corrected energy balance step 1'!AR37,0)</f>
        <v>0</v>
      </c>
      <c r="AS37" s="158">
        <f>IF(ISNUMBER('Corrected energy balance step 1'!AS37),'Corrected energy balance step 1'!AS37,0)</f>
        <v>0</v>
      </c>
      <c r="AT37" s="158">
        <f>IF(ISNUMBER('Corrected energy balance step 1'!AT37),'Corrected energy balance step 1'!AT37,0)</f>
        <v>0</v>
      </c>
      <c r="AU37" s="158">
        <f>IF(ISNUMBER('Corrected energy balance step 1'!AU37),'Corrected energy balance step 1'!AU37,0)</f>
        <v>0</v>
      </c>
      <c r="AV37" s="158">
        <f>IF(ISNUMBER('Corrected energy balance step 1'!AV37),'Corrected energy balance step 1'!AV37,0)</f>
        <v>0</v>
      </c>
      <c r="AW37" s="158">
        <f>IF(ISNUMBER('Corrected energy balance step 1'!AW37),'Corrected energy balance step 1'!AW37,0)</f>
        <v>0</v>
      </c>
      <c r="AX37" s="158">
        <f>IF(ISNUMBER('Corrected energy balance step 1'!AX37),'Corrected energy balance step 1'!AX37,0)</f>
        <v>0</v>
      </c>
      <c r="AY37" s="158">
        <f>IF(ISNUMBER('Corrected energy balance step 1'!AY37),'Corrected energy balance step 1'!AY37,0)</f>
        <v>0</v>
      </c>
      <c r="AZ37" s="158">
        <f>IF(ISNUMBER('Corrected energy balance step 1'!AZ37),'Corrected energy balance step 1'!AZ37,0)</f>
        <v>0</v>
      </c>
      <c r="BA37" s="158">
        <f>IF(ISNUMBER('Corrected energy balance step 1'!BA37),'Corrected energy balance step 1'!BA37,0)</f>
        <v>0</v>
      </c>
      <c r="BB37" s="158">
        <f>IF(ISNUMBER('Corrected energy balance step 1'!BB37),'Corrected energy balance step 1'!BB37,0)</f>
        <v>0</v>
      </c>
      <c r="BC37" s="158">
        <f>IF(ISNUMBER('Corrected energy balance step 1'!BC37),'Corrected energy balance step 1'!BC37,0)</f>
        <v>0</v>
      </c>
      <c r="BD37" s="158">
        <f>IF(ISNUMBER('Corrected energy balance step 1'!BD37),'Corrected energy balance step 1'!BD37,0)</f>
        <v>0</v>
      </c>
      <c r="BE37" s="158">
        <f>IF(ISNUMBER('Corrected energy balance step 1'!BE37),'Corrected energy balance step 1'!BE37,0)</f>
        <v>0</v>
      </c>
      <c r="BF37" s="158">
        <f>IF(ISNUMBER('Corrected energy balance step 1'!BF37),'Corrected energy balance step 1'!BF37,0)</f>
        <v>0</v>
      </c>
      <c r="BG37" s="158">
        <f>IF(ISNUMBER('Corrected energy balance step 1'!BG37),'Corrected energy balance step 1'!BG37,0)</f>
        <v>0</v>
      </c>
      <c r="BH37" s="158">
        <f>IF(ISNUMBER('Corrected energy balance step 1'!BH37),'Corrected energy balance step 1'!BH37,0)</f>
        <v>0</v>
      </c>
      <c r="BI37" s="158">
        <f>IF(ISNUMBER('Corrected energy balance step 1'!BI37),'Corrected energy balance step 1'!BI37,0)</f>
        <v>0</v>
      </c>
      <c r="BJ37" s="158">
        <f>IF(ISNUMBER('Corrected energy balance step 1'!BJ37),'Corrected energy balance step 1'!BJ37,0)</f>
        <v>0</v>
      </c>
      <c r="BK37" s="158">
        <f>IF(ISNUMBER('Corrected energy balance step 1'!BK37),'Corrected energy balance step 1'!BK37,0)</f>
        <v>0</v>
      </c>
      <c r="BL37" s="158">
        <f>IF(ISNUMBER('Corrected energy balance step 1'!BL37),'Corrected energy balance step 1'!BL37,0)</f>
        <v>0</v>
      </c>
      <c r="BM37" s="158">
        <f>IF(ISNUMBER('Corrected energy balance step 1'!BM37),'Corrected energy balance step 1'!BM37,0)</f>
        <v>0</v>
      </c>
      <c r="BN37" s="156">
        <f t="shared" si="58"/>
        <v>0</v>
      </c>
      <c r="BO37" s="159">
        <f>'Corrected energy balance step 1'!BO37</f>
        <v>0</v>
      </c>
    </row>
    <row r="38" spans="2:67" x14ac:dyDescent="0.2">
      <c r="B38" s="32" t="s">
        <v>80</v>
      </c>
      <c r="C38" s="158">
        <f>IF(ISNUMBER('Corrected energy balance step 1'!C38),'Corrected energy balance step 1'!C38,0)</f>
        <v>0</v>
      </c>
      <c r="D38" s="158">
        <f>IF(ISNUMBER('Corrected energy balance step 1'!D38),'Corrected energy balance step 1'!D38,0)</f>
        <v>0</v>
      </c>
      <c r="E38" s="158">
        <f>IF(ISNUMBER('Corrected energy balance step 1'!E38),'Corrected energy balance step 1'!E38,0)</f>
        <v>0</v>
      </c>
      <c r="F38" s="158">
        <f>IF(ISNUMBER('Corrected energy balance step 1'!F38),'Corrected energy balance step 1'!F38,0)</f>
        <v>0</v>
      </c>
      <c r="G38" s="158">
        <f>IF(ISNUMBER('Corrected energy balance step 1'!G38),'Corrected energy balance step 1'!G38,0)</f>
        <v>0</v>
      </c>
      <c r="H38" s="158">
        <f>IF(ISNUMBER('Corrected energy balance step 1'!H38),'Corrected energy balance step 1'!H38,0)</f>
        <v>0</v>
      </c>
      <c r="I38" s="158">
        <f>IF(ISNUMBER('Corrected energy balance step 1'!I38),'Corrected energy balance step 1'!I38,0)</f>
        <v>0</v>
      </c>
      <c r="J38" s="158">
        <f>IF(ISNUMBER('Corrected energy balance step 1'!J38),'Corrected energy balance step 1'!J38,0)</f>
        <v>0</v>
      </c>
      <c r="K38" s="158">
        <f>IF(ISNUMBER('Corrected energy balance step 1'!K38),'Corrected energy balance step 1'!K38,0)</f>
        <v>0</v>
      </c>
      <c r="L38" s="158">
        <f>IF(ISNUMBER('Corrected energy balance step 1'!L38),'Corrected energy balance step 1'!L38,0)</f>
        <v>0</v>
      </c>
      <c r="M38" s="158">
        <f>IF(ISNUMBER('Corrected energy balance step 1'!M38),'Corrected energy balance step 1'!M38,0)</f>
        <v>0</v>
      </c>
      <c r="N38" s="158">
        <f>IF(ISNUMBER('Corrected energy balance step 1'!N38),'Corrected energy balance step 1'!N38,0)</f>
        <v>0</v>
      </c>
      <c r="O38" s="158">
        <f>IF(ISNUMBER('Corrected energy balance step 1'!O38),'Corrected energy balance step 1'!O38,0)</f>
        <v>0</v>
      </c>
      <c r="P38" s="158">
        <f>IF(ISNUMBER('Corrected energy balance step 1'!P38),'Corrected energy balance step 1'!P38,0)</f>
        <v>0</v>
      </c>
      <c r="Q38" s="158">
        <f>IF(ISNUMBER('Corrected energy balance step 1'!Q38),'Corrected energy balance step 1'!Q38,0)</f>
        <v>0</v>
      </c>
      <c r="R38" s="158">
        <f>IF(ISNUMBER('Corrected energy balance step 1'!R38),'Corrected energy balance step 1'!R38,0)</f>
        <v>0</v>
      </c>
      <c r="S38" s="158">
        <f>IF(ISNUMBER('Corrected energy balance step 1'!S38),'Corrected energy balance step 1'!S38,0)</f>
        <v>0</v>
      </c>
      <c r="T38" s="158">
        <f>IF(ISNUMBER('Corrected energy balance step 1'!T38),'Corrected energy balance step 1'!T38,0)</f>
        <v>0</v>
      </c>
      <c r="U38" s="158">
        <f>IF(ISNUMBER('Corrected energy balance step 1'!U38),'Corrected energy balance step 1'!U38,0)</f>
        <v>0</v>
      </c>
      <c r="V38" s="158">
        <f>IF(ISNUMBER('Corrected energy balance step 1'!V38),'Corrected energy balance step 1'!V38,0)</f>
        <v>0</v>
      </c>
      <c r="W38" s="158">
        <f>IF(ISNUMBER('Corrected energy balance step 1'!W38),'Corrected energy balance step 1'!W38,0)</f>
        <v>0</v>
      </c>
      <c r="X38" s="158">
        <f>IF(ISNUMBER('Corrected energy balance step 1'!X38),'Corrected energy balance step 1'!X38,0)</f>
        <v>0</v>
      </c>
      <c r="Y38" s="158">
        <f>IF(ISNUMBER('Corrected energy balance step 1'!Y38),'Corrected energy balance step 1'!Y38,0)</f>
        <v>0</v>
      </c>
      <c r="Z38" s="158">
        <f>IF(ISNUMBER('Corrected energy balance step 1'!Z38),'Corrected energy balance step 1'!Z38,0)</f>
        <v>0</v>
      </c>
      <c r="AA38" s="158">
        <f>IF(ISNUMBER('Corrected energy balance step 1'!AA38),'Corrected energy balance step 1'!AA38,0)</f>
        <v>0</v>
      </c>
      <c r="AB38" s="158">
        <f>IF(ISNUMBER('Corrected energy balance step 1'!AB38),'Corrected energy balance step 1'!AB38,0)</f>
        <v>0</v>
      </c>
      <c r="AC38" s="158">
        <f>IF(ISNUMBER('Corrected energy balance step 1'!AC38),'Corrected energy balance step 1'!AC38,0)</f>
        <v>0</v>
      </c>
      <c r="AD38" s="158">
        <f>IF(ISNUMBER('Corrected energy balance step 1'!AD38),'Corrected energy balance step 1'!AD38,0)</f>
        <v>0</v>
      </c>
      <c r="AE38" s="158">
        <f>IF(ISNUMBER('Corrected energy balance step 1'!AE38),'Corrected energy balance step 1'!AE38,0)</f>
        <v>0</v>
      </c>
      <c r="AF38" s="158">
        <f>IF(ISNUMBER('Corrected energy balance step 1'!AF38),'Corrected energy balance step 1'!AF38,0)</f>
        <v>0</v>
      </c>
      <c r="AG38" s="158">
        <f>IF(ISNUMBER('Corrected energy balance step 1'!AG38),'Corrected energy balance step 1'!AG38,0)</f>
        <v>0</v>
      </c>
      <c r="AH38" s="158">
        <f>IF(ISNUMBER('Corrected energy balance step 1'!AH38),'Corrected energy balance step 1'!AH38,0)</f>
        <v>0</v>
      </c>
      <c r="AI38" s="158">
        <f>IF(ISNUMBER('Corrected energy balance step 1'!AI38),'Corrected energy balance step 1'!AI38,0)</f>
        <v>0</v>
      </c>
      <c r="AJ38" s="158">
        <f>IF(ISNUMBER('Corrected energy balance step 1'!AJ38),'Corrected energy balance step 1'!AJ38,0)</f>
        <v>0</v>
      </c>
      <c r="AK38" s="158">
        <f>IF(ISNUMBER('Corrected energy balance step 1'!AK38),'Corrected energy balance step 1'!AK38,0)</f>
        <v>0</v>
      </c>
      <c r="AL38" s="158">
        <f>IF(ISNUMBER('Corrected energy balance step 1'!AL38),'Corrected energy balance step 1'!AL38,0)</f>
        <v>0</v>
      </c>
      <c r="AM38" s="158">
        <f>IF(ISNUMBER('Corrected energy balance step 1'!AM38),'Corrected energy balance step 1'!AM38,0)</f>
        <v>0</v>
      </c>
      <c r="AN38" s="158">
        <f>IF(ISNUMBER('Corrected energy balance step 1'!AN38),'Corrected energy balance step 1'!AN38,0)</f>
        <v>0</v>
      </c>
      <c r="AO38" s="158">
        <f>IF(ISNUMBER('Corrected energy balance step 1'!AO38),'Corrected energy balance step 1'!AO38,0)</f>
        <v>0</v>
      </c>
      <c r="AP38" s="158">
        <f>IF(ISNUMBER('Corrected energy balance step 1'!AP38),'Corrected energy balance step 1'!AP38,0)</f>
        <v>0</v>
      </c>
      <c r="AQ38" s="158">
        <f>IF(ISNUMBER('Corrected energy balance step 1'!AQ38),'Corrected energy balance step 1'!AQ38,0)</f>
        <v>0</v>
      </c>
      <c r="AR38" s="158">
        <f>IF(ISNUMBER('Corrected energy balance step 1'!AR38),'Corrected energy balance step 1'!AR38,0)</f>
        <v>0</v>
      </c>
      <c r="AS38" s="158">
        <f>IF(ISNUMBER('Corrected energy balance step 1'!AS38),'Corrected energy balance step 1'!AS38,0)</f>
        <v>0</v>
      </c>
      <c r="AT38" s="158">
        <f>IF(ISNUMBER('Corrected energy balance step 1'!AT38),'Corrected energy balance step 1'!AT38,0)</f>
        <v>0</v>
      </c>
      <c r="AU38" s="158">
        <f>IF(ISNUMBER('Corrected energy balance step 1'!AU38),'Corrected energy balance step 1'!AU38,0)</f>
        <v>0</v>
      </c>
      <c r="AV38" s="158">
        <f>IF(ISNUMBER('Corrected energy balance step 1'!AV38),'Corrected energy balance step 1'!AV38,0)</f>
        <v>0</v>
      </c>
      <c r="AW38" s="158">
        <f>IF(ISNUMBER('Corrected energy balance step 1'!AW38),'Corrected energy balance step 1'!AW38,0)</f>
        <v>0</v>
      </c>
      <c r="AX38" s="158">
        <f>IF(ISNUMBER('Corrected energy balance step 1'!AX38),'Corrected energy balance step 1'!AX38,0)</f>
        <v>0</v>
      </c>
      <c r="AY38" s="158">
        <f>IF(ISNUMBER('Corrected energy balance step 1'!AY38),'Corrected energy balance step 1'!AY38,0)</f>
        <v>0</v>
      </c>
      <c r="AZ38" s="158">
        <f>IF(ISNUMBER('Corrected energy balance step 1'!AZ38),'Corrected energy balance step 1'!AZ38,0)</f>
        <v>0</v>
      </c>
      <c r="BA38" s="158">
        <f>IF(ISNUMBER('Corrected energy balance step 1'!BA38),'Corrected energy balance step 1'!BA38,0)</f>
        <v>0</v>
      </c>
      <c r="BB38" s="158">
        <f>IF(ISNUMBER('Corrected energy balance step 1'!BB38),'Corrected energy balance step 1'!BB38,0)</f>
        <v>0</v>
      </c>
      <c r="BC38" s="158">
        <f>IF(ISNUMBER('Corrected energy balance step 1'!BC38),'Corrected energy balance step 1'!BC38,0)</f>
        <v>0</v>
      </c>
      <c r="BD38" s="158">
        <f>IF(ISNUMBER('Corrected energy balance step 1'!BD38),'Corrected energy balance step 1'!BD38,0)</f>
        <v>0</v>
      </c>
      <c r="BE38" s="158">
        <f>IF(ISNUMBER('Corrected energy balance step 1'!BE38),'Corrected energy balance step 1'!BE38,0)</f>
        <v>0</v>
      </c>
      <c r="BF38" s="158">
        <f>IF(ISNUMBER('Corrected energy balance step 1'!BF38),'Corrected energy balance step 1'!BF38,0)</f>
        <v>0</v>
      </c>
      <c r="BG38" s="158">
        <f>IF(ISNUMBER('Corrected energy balance step 1'!BG38),'Corrected energy balance step 1'!BG38,0)</f>
        <v>0</v>
      </c>
      <c r="BH38" s="158">
        <f>IF(ISNUMBER('Corrected energy balance step 1'!BH38),'Corrected energy balance step 1'!BH38,0)</f>
        <v>0</v>
      </c>
      <c r="BI38" s="158">
        <f>IF(ISNUMBER('Corrected energy balance step 1'!BI38),'Corrected energy balance step 1'!BI38,0)</f>
        <v>0</v>
      </c>
      <c r="BJ38" s="158">
        <f>IF(ISNUMBER('Corrected energy balance step 1'!BJ38),'Corrected energy balance step 1'!BJ38,0)</f>
        <v>0</v>
      </c>
      <c r="BK38" s="158">
        <f>IF(ISNUMBER('Corrected energy balance step 1'!BK38),'Corrected energy balance step 1'!BK38,0)</f>
        <v>0</v>
      </c>
      <c r="BL38" s="158">
        <f>IF(ISNUMBER('Corrected energy balance step 1'!BL38),'Corrected energy balance step 1'!BL38,0)</f>
        <v>0</v>
      </c>
      <c r="BM38" s="158">
        <f>IF(ISNUMBER('Corrected energy balance step 1'!BM38),'Corrected energy balance step 1'!BM38,0)</f>
        <v>0</v>
      </c>
      <c r="BN38" s="156">
        <f t="shared" si="58"/>
        <v>0</v>
      </c>
      <c r="BO38" s="159">
        <f>'Corrected energy balance step 1'!BO38</f>
        <v>0</v>
      </c>
    </row>
    <row r="39" spans="2:67" ht="17" thickBot="1" x14ac:dyDescent="0.25">
      <c r="B39" s="32" t="s">
        <v>81</v>
      </c>
      <c r="C39" s="158">
        <f>IF(ISNUMBER('Corrected energy balance step 1'!C39),'Corrected energy balance step 1'!C39,0)</f>
        <v>0</v>
      </c>
      <c r="D39" s="158">
        <f>IF(ISNUMBER('Corrected energy balance step 1'!D39),'Corrected energy balance step 1'!D39,0)</f>
        <v>0</v>
      </c>
      <c r="E39" s="158">
        <f>IF(ISNUMBER('Corrected energy balance step 1'!E39),'Corrected energy balance step 1'!E39,0)</f>
        <v>0</v>
      </c>
      <c r="F39" s="158">
        <f>IF(ISNUMBER('Corrected energy balance step 1'!F39),'Corrected energy balance step 1'!F39,0)</f>
        <v>0</v>
      </c>
      <c r="G39" s="158">
        <f>IF(ISNUMBER('Corrected energy balance step 1'!G39),'Corrected energy balance step 1'!G39,0)</f>
        <v>0</v>
      </c>
      <c r="H39" s="158">
        <f>IF(ISNUMBER('Corrected energy balance step 1'!H39),'Corrected energy balance step 1'!H39,0)</f>
        <v>0</v>
      </c>
      <c r="I39" s="158">
        <f>IF(ISNUMBER('Corrected energy balance step 1'!I39),'Corrected energy balance step 1'!I39,0)</f>
        <v>0</v>
      </c>
      <c r="J39" s="158">
        <f>IF(ISNUMBER('Corrected energy balance step 1'!J39),'Corrected energy balance step 1'!J39,0)</f>
        <v>0</v>
      </c>
      <c r="K39" s="158">
        <f>IF(ISNUMBER('Corrected energy balance step 1'!K39),'Corrected energy balance step 1'!K39,0)</f>
        <v>0</v>
      </c>
      <c r="L39" s="158">
        <f>IF(ISNUMBER('Corrected energy balance step 1'!L39),'Corrected energy balance step 1'!L39,0)</f>
        <v>0</v>
      </c>
      <c r="M39" s="158">
        <f>IF(ISNUMBER('Corrected energy balance step 1'!M39),'Corrected energy balance step 1'!M39,0)</f>
        <v>0</v>
      </c>
      <c r="N39" s="158">
        <f>IF(ISNUMBER('Corrected energy balance step 1'!N39),'Corrected energy balance step 1'!N39,0)</f>
        <v>0</v>
      </c>
      <c r="O39" s="158">
        <f>IF(ISNUMBER('Corrected energy balance step 1'!O39),'Corrected energy balance step 1'!O39,0)</f>
        <v>0</v>
      </c>
      <c r="P39" s="158">
        <f>IF(ISNUMBER('Corrected energy balance step 1'!P39),'Corrected energy balance step 1'!P39,0)</f>
        <v>0</v>
      </c>
      <c r="Q39" s="158">
        <f>IF(ISNUMBER('Corrected energy balance step 1'!Q39),'Corrected energy balance step 1'!Q39,0)</f>
        <v>0</v>
      </c>
      <c r="R39" s="158">
        <f>IF(ISNUMBER('Corrected energy balance step 1'!R39),'Corrected energy balance step 1'!R39,0)</f>
        <v>0</v>
      </c>
      <c r="S39" s="158">
        <f>IF(ISNUMBER('Corrected energy balance step 1'!S39),'Corrected energy balance step 1'!S39,0)</f>
        <v>0</v>
      </c>
      <c r="T39" s="158">
        <f>IF(ISNUMBER('Corrected energy balance step 1'!T39),'Corrected energy balance step 1'!T39,0)</f>
        <v>0</v>
      </c>
      <c r="U39" s="158">
        <f>IF(ISNUMBER('Corrected energy balance step 1'!U39),'Corrected energy balance step 1'!U39,0)</f>
        <v>0</v>
      </c>
      <c r="V39" s="158">
        <f>IF(ISNUMBER('Corrected energy balance step 1'!V39),'Corrected energy balance step 1'!V39,0)</f>
        <v>0</v>
      </c>
      <c r="W39" s="158">
        <f>IF(ISNUMBER('Corrected energy balance step 1'!W39),'Corrected energy balance step 1'!W39,0)</f>
        <v>0</v>
      </c>
      <c r="X39" s="158">
        <f>IF(ISNUMBER('Corrected energy balance step 1'!X39),'Corrected energy balance step 1'!X39,0)</f>
        <v>0</v>
      </c>
      <c r="Y39" s="158">
        <f>IF(ISNUMBER('Corrected energy balance step 1'!Y39),'Corrected energy balance step 1'!Y39,0)</f>
        <v>0</v>
      </c>
      <c r="Z39" s="158">
        <f>IF(ISNUMBER('Corrected energy balance step 1'!Z39),'Corrected energy balance step 1'!Z39,0)</f>
        <v>0</v>
      </c>
      <c r="AA39" s="158">
        <f>IF(ISNUMBER('Corrected energy balance step 1'!AA39),'Corrected energy balance step 1'!AA39,0)</f>
        <v>0</v>
      </c>
      <c r="AB39" s="158">
        <f>IF(ISNUMBER('Corrected energy balance step 1'!AB39),'Corrected energy balance step 1'!AB39,0)</f>
        <v>0</v>
      </c>
      <c r="AC39" s="158">
        <f>IF(ISNUMBER('Corrected energy balance step 1'!AC39),'Corrected energy balance step 1'!AC39,0)</f>
        <v>0</v>
      </c>
      <c r="AD39" s="158">
        <f>IF(ISNUMBER('Corrected energy balance step 1'!AD39),'Corrected energy balance step 1'!AD39,0)</f>
        <v>0</v>
      </c>
      <c r="AE39" s="158">
        <f>IF(ISNUMBER('Corrected energy balance step 1'!AE39),'Corrected energy balance step 1'!AE39,0)</f>
        <v>0</v>
      </c>
      <c r="AF39" s="158">
        <f>IF(ISNUMBER('Corrected energy balance step 1'!AF39),'Corrected energy balance step 1'!AF39,0)</f>
        <v>0</v>
      </c>
      <c r="AG39" s="158">
        <f>IF(ISNUMBER('Corrected energy balance step 1'!AG39),'Corrected energy balance step 1'!AG39,0)</f>
        <v>0</v>
      </c>
      <c r="AH39" s="158">
        <f>IF(ISNUMBER('Corrected energy balance step 1'!AH39),'Corrected energy balance step 1'!AH39,0)</f>
        <v>0</v>
      </c>
      <c r="AI39" s="158">
        <f>IF(ISNUMBER('Corrected energy balance step 1'!AI39),'Corrected energy balance step 1'!AI39,0)</f>
        <v>0</v>
      </c>
      <c r="AJ39" s="158">
        <f>IF(ISNUMBER('Corrected energy balance step 1'!AJ39),'Corrected energy balance step 1'!AJ39,0)</f>
        <v>0</v>
      </c>
      <c r="AK39" s="158">
        <f>IF(ISNUMBER('Corrected energy balance step 1'!AK39),'Corrected energy balance step 1'!AK39,0)</f>
        <v>0</v>
      </c>
      <c r="AL39" s="158">
        <f>IF(ISNUMBER('Corrected energy balance step 1'!AL39),'Corrected energy balance step 1'!AL39,0)</f>
        <v>0</v>
      </c>
      <c r="AM39" s="158">
        <f>IF(ISNUMBER('Corrected energy balance step 1'!AM39),'Corrected energy balance step 1'!AM39,0)</f>
        <v>0</v>
      </c>
      <c r="AN39" s="158">
        <f>IF(ISNUMBER('Corrected energy balance step 1'!AN39),'Corrected energy balance step 1'!AN39,0)</f>
        <v>0</v>
      </c>
      <c r="AO39" s="158">
        <f>IF(ISNUMBER('Corrected energy balance step 1'!AO39),'Corrected energy balance step 1'!AO39,0)</f>
        <v>0</v>
      </c>
      <c r="AP39" s="158">
        <f>IF(ISNUMBER('Corrected energy balance step 1'!AP39),'Corrected energy balance step 1'!AP39,0)</f>
        <v>0</v>
      </c>
      <c r="AQ39" s="158">
        <f>IF(ISNUMBER('Corrected energy balance step 1'!AQ39),'Corrected energy balance step 1'!AQ39,0)</f>
        <v>0</v>
      </c>
      <c r="AR39" s="158">
        <f>IF(ISNUMBER('Corrected energy balance step 1'!AR39),'Corrected energy balance step 1'!AR39,0)</f>
        <v>0</v>
      </c>
      <c r="AS39" s="158">
        <f>IF(ISNUMBER('Corrected energy balance step 1'!AS39),'Corrected energy balance step 1'!AS39,0)</f>
        <v>0</v>
      </c>
      <c r="AT39" s="158">
        <f>IF(ISNUMBER('Corrected energy balance step 1'!AT39),'Corrected energy balance step 1'!AT39,0)</f>
        <v>0</v>
      </c>
      <c r="AU39" s="158">
        <f>IF(ISNUMBER('Corrected energy balance step 1'!AU39),'Corrected energy balance step 1'!AU39,0)</f>
        <v>0</v>
      </c>
      <c r="AV39" s="158">
        <f>IF(ISNUMBER('Corrected energy balance step 1'!AV39),'Corrected energy balance step 1'!AV39,0)</f>
        <v>0</v>
      </c>
      <c r="AW39" s="158">
        <f>IF(ISNUMBER('Corrected energy balance step 1'!AW39),'Corrected energy balance step 1'!AW39,0)</f>
        <v>0</v>
      </c>
      <c r="AX39" s="158">
        <f>IF(ISNUMBER('Corrected energy balance step 1'!AX39),'Corrected energy balance step 1'!AX39,0)</f>
        <v>0</v>
      </c>
      <c r="AY39" s="158">
        <f>IF(ISNUMBER('Corrected energy balance step 1'!AY39),'Corrected energy balance step 1'!AY39,0)</f>
        <v>0</v>
      </c>
      <c r="AZ39" s="158">
        <f>IF(ISNUMBER('Corrected energy balance step 1'!AZ39),'Corrected energy balance step 1'!AZ39,0)</f>
        <v>0</v>
      </c>
      <c r="BA39" s="158">
        <f>IF(ISNUMBER('Corrected energy balance step 1'!BA39),'Corrected energy balance step 1'!BA39,0)</f>
        <v>0</v>
      </c>
      <c r="BB39" s="158">
        <f>IF(ISNUMBER('Corrected energy balance step 1'!BB39),'Corrected energy balance step 1'!BB39,0)</f>
        <v>0</v>
      </c>
      <c r="BC39" s="158">
        <f>IF(ISNUMBER('Corrected energy balance step 1'!BC39),'Corrected energy balance step 1'!BC39,0)</f>
        <v>0</v>
      </c>
      <c r="BD39" s="158">
        <f>IF(ISNUMBER('Corrected energy balance step 1'!BD39),'Corrected energy balance step 1'!BD39,0)</f>
        <v>0</v>
      </c>
      <c r="BE39" s="158">
        <f>IF(ISNUMBER('Corrected energy balance step 1'!BE39),'Corrected energy balance step 1'!BE39,0)</f>
        <v>0</v>
      </c>
      <c r="BF39" s="158">
        <f>IF(ISNUMBER('Corrected energy balance step 1'!BF39),'Corrected energy balance step 1'!BF39,0)</f>
        <v>0</v>
      </c>
      <c r="BG39" s="158">
        <f>IF(ISNUMBER('Corrected energy balance step 1'!BG39),'Corrected energy balance step 1'!BG39,0)</f>
        <v>0</v>
      </c>
      <c r="BH39" s="158">
        <f>IF(ISNUMBER('Corrected energy balance step 1'!BH39),'Corrected energy balance step 1'!BH39,0)</f>
        <v>0</v>
      </c>
      <c r="BI39" s="158">
        <f>IF(ISNUMBER('Corrected energy balance step 1'!BI39),'Corrected energy balance step 1'!BI39,0)</f>
        <v>0</v>
      </c>
      <c r="BJ39" s="158">
        <f>IF(ISNUMBER('Corrected energy balance step 1'!BJ39),'Corrected energy balance step 1'!BJ39,0)</f>
        <v>0</v>
      </c>
      <c r="BK39" s="158">
        <f>IF(ISNUMBER('Corrected energy balance step 1'!BK39),'Corrected energy balance step 1'!BK39,0)</f>
        <v>0</v>
      </c>
      <c r="BL39" s="158">
        <f>IF(ISNUMBER('Corrected energy balance step 1'!BL39),'Corrected energy balance step 1'!BL39,0)</f>
        <v>0</v>
      </c>
      <c r="BM39" s="158">
        <f>IF(ISNUMBER('Corrected energy balance step 1'!BM39),'Corrected energy balance step 1'!BM39,0)</f>
        <v>0</v>
      </c>
      <c r="BN39" s="166">
        <f t="shared" si="58"/>
        <v>0</v>
      </c>
      <c r="BO39" s="159">
        <f>'Corrected energy balance step 1'!BO39</f>
        <v>0</v>
      </c>
    </row>
    <row r="40" spans="2:67" ht="17" thickBot="1" x14ac:dyDescent="0.25">
      <c r="B40" s="40" t="s">
        <v>82</v>
      </c>
      <c r="C40" s="163">
        <f>SUM(C41:C57)</f>
        <v>0</v>
      </c>
      <c r="D40" s="153">
        <f t="shared" ref="D40:BM40" si="59">SUM(D41:D57)</f>
        <v>0</v>
      </c>
      <c r="E40" s="163">
        <f t="shared" si="59"/>
        <v>0</v>
      </c>
      <c r="F40" s="163">
        <f t="shared" si="59"/>
        <v>0</v>
      </c>
      <c r="G40" s="163">
        <f t="shared" si="59"/>
        <v>0</v>
      </c>
      <c r="H40" s="163">
        <f t="shared" si="59"/>
        <v>0</v>
      </c>
      <c r="I40" s="163">
        <f t="shared" si="59"/>
        <v>0</v>
      </c>
      <c r="J40" s="163">
        <f t="shared" si="59"/>
        <v>0</v>
      </c>
      <c r="K40" s="163">
        <f t="shared" si="59"/>
        <v>0</v>
      </c>
      <c r="L40" s="163">
        <f t="shared" si="59"/>
        <v>0</v>
      </c>
      <c r="M40" s="163">
        <f t="shared" si="59"/>
        <v>0</v>
      </c>
      <c r="N40" s="163">
        <f t="shared" si="59"/>
        <v>0</v>
      </c>
      <c r="O40" s="163">
        <f t="shared" si="59"/>
        <v>0</v>
      </c>
      <c r="P40" s="163">
        <f t="shared" si="59"/>
        <v>0</v>
      </c>
      <c r="Q40" s="163">
        <f t="shared" si="59"/>
        <v>0</v>
      </c>
      <c r="R40" s="163">
        <f t="shared" si="59"/>
        <v>0</v>
      </c>
      <c r="S40" s="163">
        <f t="shared" si="59"/>
        <v>0</v>
      </c>
      <c r="T40" s="163">
        <f t="shared" si="59"/>
        <v>0</v>
      </c>
      <c r="U40" s="153">
        <f t="shared" si="59"/>
        <v>0</v>
      </c>
      <c r="V40" s="163">
        <f t="shared" si="59"/>
        <v>0</v>
      </c>
      <c r="W40" s="163">
        <f t="shared" si="59"/>
        <v>0</v>
      </c>
      <c r="X40" s="163">
        <f t="shared" si="59"/>
        <v>0</v>
      </c>
      <c r="Y40" s="163">
        <f t="shared" si="59"/>
        <v>0</v>
      </c>
      <c r="Z40" s="163">
        <f t="shared" si="59"/>
        <v>0</v>
      </c>
      <c r="AA40" s="163">
        <f t="shared" si="59"/>
        <v>0</v>
      </c>
      <c r="AB40" s="163">
        <f t="shared" si="59"/>
        <v>0</v>
      </c>
      <c r="AC40" s="163">
        <f t="shared" si="59"/>
        <v>0</v>
      </c>
      <c r="AD40" s="163">
        <f t="shared" si="59"/>
        <v>0</v>
      </c>
      <c r="AE40" s="163">
        <f t="shared" si="59"/>
        <v>0</v>
      </c>
      <c r="AF40" s="163">
        <f t="shared" si="59"/>
        <v>0</v>
      </c>
      <c r="AG40" s="163">
        <f t="shared" si="59"/>
        <v>0</v>
      </c>
      <c r="AH40" s="163">
        <f t="shared" si="59"/>
        <v>0</v>
      </c>
      <c r="AI40" s="163">
        <f t="shared" si="59"/>
        <v>0</v>
      </c>
      <c r="AJ40" s="163">
        <f t="shared" si="59"/>
        <v>0</v>
      </c>
      <c r="AK40" s="163">
        <f t="shared" si="59"/>
        <v>0</v>
      </c>
      <c r="AL40" s="163">
        <f t="shared" si="59"/>
        <v>0</v>
      </c>
      <c r="AM40" s="163">
        <f t="shared" si="59"/>
        <v>0</v>
      </c>
      <c r="AN40" s="163">
        <f t="shared" si="59"/>
        <v>0</v>
      </c>
      <c r="AO40" s="163">
        <f t="shared" si="59"/>
        <v>0</v>
      </c>
      <c r="AP40" s="163">
        <f t="shared" si="59"/>
        <v>0</v>
      </c>
      <c r="AQ40" s="163">
        <f t="shared" si="59"/>
        <v>0</v>
      </c>
      <c r="AR40" s="163">
        <f t="shared" si="59"/>
        <v>0</v>
      </c>
      <c r="AS40" s="163">
        <f t="shared" si="59"/>
        <v>0</v>
      </c>
      <c r="AT40" s="163">
        <f t="shared" si="59"/>
        <v>0</v>
      </c>
      <c r="AU40" s="163">
        <f t="shared" si="59"/>
        <v>0</v>
      </c>
      <c r="AV40" s="163">
        <f t="shared" si="59"/>
        <v>0</v>
      </c>
      <c r="AW40" s="163">
        <f t="shared" si="59"/>
        <v>0</v>
      </c>
      <c r="AX40" s="163">
        <f t="shared" si="59"/>
        <v>0</v>
      </c>
      <c r="AY40" s="163">
        <f t="shared" si="59"/>
        <v>0</v>
      </c>
      <c r="AZ40" s="163">
        <f t="shared" si="59"/>
        <v>0</v>
      </c>
      <c r="BA40" s="163">
        <f t="shared" si="59"/>
        <v>0</v>
      </c>
      <c r="BB40" s="163">
        <f t="shared" si="59"/>
        <v>0</v>
      </c>
      <c r="BC40" s="163">
        <f t="shared" si="59"/>
        <v>0</v>
      </c>
      <c r="BD40" s="163">
        <f t="shared" si="59"/>
        <v>0</v>
      </c>
      <c r="BE40" s="163">
        <f t="shared" si="59"/>
        <v>0</v>
      </c>
      <c r="BF40" s="163">
        <f t="shared" si="59"/>
        <v>0</v>
      </c>
      <c r="BG40" s="163">
        <f t="shared" si="59"/>
        <v>0</v>
      </c>
      <c r="BH40" s="163">
        <f t="shared" si="59"/>
        <v>0</v>
      </c>
      <c r="BI40" s="163">
        <f t="shared" si="59"/>
        <v>0</v>
      </c>
      <c r="BJ40" s="163">
        <f t="shared" si="59"/>
        <v>0</v>
      </c>
      <c r="BK40" s="163">
        <f t="shared" si="59"/>
        <v>0</v>
      </c>
      <c r="BL40" s="163">
        <f t="shared" si="59"/>
        <v>0</v>
      </c>
      <c r="BM40" s="163">
        <f t="shared" si="59"/>
        <v>0</v>
      </c>
      <c r="BN40" s="164">
        <f>SUM(C40:BM40)</f>
        <v>0</v>
      </c>
      <c r="BO40" s="165">
        <f>'Corrected energy balance step 1'!BO40</f>
        <v>0</v>
      </c>
    </row>
    <row r="41" spans="2:67" x14ac:dyDescent="0.2">
      <c r="B41" s="32" t="s">
        <v>83</v>
      </c>
      <c r="C41" s="158">
        <f>IF(ISNUMBER('Corrected energy balance step 1'!C41),'Corrected energy balance step 1'!C41,0)</f>
        <v>0</v>
      </c>
      <c r="D41" s="158">
        <f>IF(ISNUMBER('Corrected energy balance step 1'!D41),'Corrected energy balance step 1'!D41,0)</f>
        <v>0</v>
      </c>
      <c r="E41" s="158">
        <f>IF(ISNUMBER('Corrected energy balance step 1'!E41),'Corrected energy balance step 1'!E41,0)</f>
        <v>0</v>
      </c>
      <c r="F41" s="158">
        <f>IF(ISNUMBER('Corrected energy balance step 1'!F41),'Corrected energy balance step 1'!F41,0)</f>
        <v>0</v>
      </c>
      <c r="G41" s="158">
        <f>IF(ISNUMBER('Corrected energy balance step 1'!G41),'Corrected energy balance step 1'!G41,0)</f>
        <v>0</v>
      </c>
      <c r="H41" s="158">
        <f>IF(ISNUMBER('Corrected energy balance step 1'!H41),'Corrected energy balance step 1'!H41,0)</f>
        <v>0</v>
      </c>
      <c r="I41" s="158">
        <f>IF(ISNUMBER('Corrected energy balance step 1'!I41),'Corrected energy balance step 1'!I41,0)</f>
        <v>0</v>
      </c>
      <c r="J41" s="158">
        <f>IF(ISNUMBER('Corrected energy balance step 1'!J41),'Corrected energy balance step 1'!J41,0)</f>
        <v>0</v>
      </c>
      <c r="K41" s="158">
        <f>IF(ISNUMBER('Corrected energy balance step 1'!K41),'Corrected energy balance step 1'!K41,0)</f>
        <v>0</v>
      </c>
      <c r="L41" s="158">
        <f>IF(ISNUMBER('Corrected energy balance step 1'!L41),'Corrected energy balance step 1'!L41,0)</f>
        <v>0</v>
      </c>
      <c r="M41" s="158">
        <f>IF(ISNUMBER('Corrected energy balance step 1'!M41),'Corrected energy balance step 1'!M41,0)</f>
        <v>0</v>
      </c>
      <c r="N41" s="158">
        <f>IF(ISNUMBER('Corrected energy balance step 1'!N41),'Corrected energy balance step 1'!N41,0)</f>
        <v>0</v>
      </c>
      <c r="O41" s="158">
        <f>IF(ISNUMBER('Corrected energy balance step 1'!O41),'Corrected energy balance step 1'!O41,0)</f>
        <v>0</v>
      </c>
      <c r="P41" s="158">
        <f>IF(ISNUMBER('Corrected energy balance step 1'!P41),'Corrected energy balance step 1'!P41,0)</f>
        <v>0</v>
      </c>
      <c r="Q41" s="158">
        <f>IF(ISNUMBER('Corrected energy balance step 1'!Q41),'Corrected energy balance step 1'!Q41,0)</f>
        <v>0</v>
      </c>
      <c r="R41" s="158">
        <f>IF(ISNUMBER('Corrected energy balance step 1'!R41),'Corrected energy balance step 1'!R41,0)</f>
        <v>0</v>
      </c>
      <c r="S41" s="158">
        <f>IF(ISNUMBER('Corrected energy balance step 1'!S41),'Corrected energy balance step 1'!S41,0)</f>
        <v>0</v>
      </c>
      <c r="T41" s="158">
        <f>IF(ISNUMBER('Corrected energy balance step 1'!T41),'Corrected energy balance step 1'!T41,0)</f>
        <v>0</v>
      </c>
      <c r="U41" s="158">
        <f>IF(ISNUMBER('Corrected energy balance step 1'!U41),'Corrected energy balance step 1'!U41,0)</f>
        <v>0</v>
      </c>
      <c r="V41" s="158">
        <f>IF(ISNUMBER('Corrected energy balance step 1'!V41),'Corrected energy balance step 1'!V41,0)</f>
        <v>0</v>
      </c>
      <c r="W41" s="158">
        <f>IF(ISNUMBER('Corrected energy balance step 1'!W41),'Corrected energy balance step 1'!W41,0)</f>
        <v>0</v>
      </c>
      <c r="X41" s="158">
        <f>IF(ISNUMBER('Corrected energy balance step 1'!X41),'Corrected energy balance step 1'!X41,0)</f>
        <v>0</v>
      </c>
      <c r="Y41" s="158">
        <f>IF(ISNUMBER('Corrected energy balance step 1'!Y41),'Corrected energy balance step 1'!Y41,0)</f>
        <v>0</v>
      </c>
      <c r="Z41" s="158">
        <f>IF(ISNUMBER('Corrected energy balance step 1'!Z41),'Corrected energy balance step 1'!Z41,0)</f>
        <v>0</v>
      </c>
      <c r="AA41" s="158">
        <f>IF(ISNUMBER('Corrected energy balance step 1'!AA41),'Corrected energy balance step 1'!AA41,0)</f>
        <v>0</v>
      </c>
      <c r="AB41" s="158">
        <f>IF(ISNUMBER('Corrected energy balance step 1'!AB41),'Corrected energy balance step 1'!AB41,0)</f>
        <v>0</v>
      </c>
      <c r="AC41" s="158">
        <f>IF(ISNUMBER('Corrected energy balance step 1'!AC41),'Corrected energy balance step 1'!AC41,0)</f>
        <v>0</v>
      </c>
      <c r="AD41" s="158">
        <f>IF(ISNUMBER('Corrected energy balance step 1'!AD41),'Corrected energy balance step 1'!AD41,0)</f>
        <v>0</v>
      </c>
      <c r="AE41" s="158">
        <f>IF(ISNUMBER('Corrected energy balance step 1'!AE41),'Corrected energy balance step 1'!AE41,0)</f>
        <v>0</v>
      </c>
      <c r="AF41" s="158">
        <f>IF(ISNUMBER('Corrected energy balance step 1'!AF41),'Corrected energy balance step 1'!AF41,0)</f>
        <v>0</v>
      </c>
      <c r="AG41" s="158">
        <f>IF(ISNUMBER('Corrected energy balance step 1'!AG41),'Corrected energy balance step 1'!AG41,0)</f>
        <v>0</v>
      </c>
      <c r="AH41" s="158">
        <f>IF(ISNUMBER('Corrected energy balance step 1'!AH41),'Corrected energy balance step 1'!AH41,0)</f>
        <v>0</v>
      </c>
      <c r="AI41" s="158">
        <f>IF(ISNUMBER('Corrected energy balance step 1'!AI41),'Corrected energy balance step 1'!AI41,0)</f>
        <v>0</v>
      </c>
      <c r="AJ41" s="158">
        <f>IF(ISNUMBER('Corrected energy balance step 1'!AJ41),'Corrected energy balance step 1'!AJ41,0)</f>
        <v>0</v>
      </c>
      <c r="AK41" s="158">
        <f>IF(ISNUMBER('Corrected energy balance step 1'!AK41),'Corrected energy balance step 1'!AK41,0)</f>
        <v>0</v>
      </c>
      <c r="AL41" s="158">
        <f>IF(ISNUMBER('Corrected energy balance step 1'!AL41),'Corrected energy balance step 1'!AL41,0)</f>
        <v>0</v>
      </c>
      <c r="AM41" s="158">
        <f>IF(ISNUMBER('Corrected energy balance step 1'!AM41),'Corrected energy balance step 1'!AM41,0)</f>
        <v>0</v>
      </c>
      <c r="AN41" s="158">
        <f>IF(ISNUMBER('Corrected energy balance step 1'!AN41),'Corrected energy balance step 1'!AN41,0)</f>
        <v>0</v>
      </c>
      <c r="AO41" s="158">
        <f>IF(ISNUMBER('Corrected energy balance step 1'!AO41),'Corrected energy balance step 1'!AO41,0)</f>
        <v>0</v>
      </c>
      <c r="AP41" s="158">
        <f>IF(ISNUMBER('Corrected energy balance step 1'!AP41),'Corrected energy balance step 1'!AP41,0)</f>
        <v>0</v>
      </c>
      <c r="AQ41" s="158">
        <f>IF(ISNUMBER('Corrected energy balance step 1'!AQ41),'Corrected energy balance step 1'!AQ41,0)</f>
        <v>0</v>
      </c>
      <c r="AR41" s="158">
        <f>IF(ISNUMBER('Corrected energy balance step 1'!AR41),'Corrected energy balance step 1'!AR41,0)</f>
        <v>0</v>
      </c>
      <c r="AS41" s="158">
        <f>IF(ISNUMBER('Corrected energy balance step 1'!AS41),'Corrected energy balance step 1'!AS41,0)</f>
        <v>0</v>
      </c>
      <c r="AT41" s="158">
        <f>IF(ISNUMBER('Corrected energy balance step 1'!AT41),'Corrected energy balance step 1'!AT41,0)</f>
        <v>0</v>
      </c>
      <c r="AU41" s="158">
        <f>IF(ISNUMBER('Corrected energy balance step 1'!AU41),'Corrected energy balance step 1'!AU41,0)</f>
        <v>0</v>
      </c>
      <c r="AV41" s="158">
        <f>IF(ISNUMBER('Corrected energy balance step 1'!AV41),'Corrected energy balance step 1'!AV41,0)</f>
        <v>0</v>
      </c>
      <c r="AW41" s="158">
        <f>IF(ISNUMBER('Corrected energy balance step 1'!AW41),'Corrected energy balance step 1'!AW41,0)</f>
        <v>0</v>
      </c>
      <c r="AX41" s="158">
        <f>IF(ISNUMBER('Corrected energy balance step 1'!AX41),'Corrected energy balance step 1'!AX41,0)</f>
        <v>0</v>
      </c>
      <c r="AY41" s="158">
        <f>IF(ISNUMBER('Corrected energy balance step 1'!AY41),'Corrected energy balance step 1'!AY41,0)</f>
        <v>0</v>
      </c>
      <c r="AZ41" s="158">
        <f>IF(ISNUMBER('Corrected energy balance step 1'!AZ41),'Corrected energy balance step 1'!AZ41,0)</f>
        <v>0</v>
      </c>
      <c r="BA41" s="158">
        <f>IF(ISNUMBER('Corrected energy balance step 1'!BA41),'Corrected energy balance step 1'!BA41,0)</f>
        <v>0</v>
      </c>
      <c r="BB41" s="158">
        <f>IF(ISNUMBER('Corrected energy balance step 1'!BB41),'Corrected energy balance step 1'!BB41,0)</f>
        <v>0</v>
      </c>
      <c r="BC41" s="158">
        <f>IF(ISNUMBER('Corrected energy balance step 1'!BC41),'Corrected energy balance step 1'!BC41,0)</f>
        <v>0</v>
      </c>
      <c r="BD41" s="158">
        <f>IF(ISNUMBER('Corrected energy balance step 1'!BD41),'Corrected energy balance step 1'!BD41,0)</f>
        <v>0</v>
      </c>
      <c r="BE41" s="158">
        <f>IF(ISNUMBER('Corrected energy balance step 1'!BE41),'Corrected energy balance step 1'!BE41,0)</f>
        <v>0</v>
      </c>
      <c r="BF41" s="158">
        <f>IF(ISNUMBER('Corrected energy balance step 1'!BF41),'Corrected energy balance step 1'!BF41,0)</f>
        <v>0</v>
      </c>
      <c r="BG41" s="158">
        <f>IF(ISNUMBER('Corrected energy balance step 1'!BG41),'Corrected energy balance step 1'!BG41,0)</f>
        <v>0</v>
      </c>
      <c r="BH41" s="158">
        <f>IF(ISNUMBER('Corrected energy balance step 1'!BH41),'Corrected energy balance step 1'!BH41,0)</f>
        <v>0</v>
      </c>
      <c r="BI41" s="158">
        <f>IF(ISNUMBER('Corrected energy balance step 1'!BI41),'Corrected energy balance step 1'!BI41,0)</f>
        <v>0</v>
      </c>
      <c r="BJ41" s="158">
        <f>IF(ISNUMBER('Corrected energy balance step 1'!BJ41),'Corrected energy balance step 1'!BJ41,0)</f>
        <v>0</v>
      </c>
      <c r="BK41" s="158">
        <f>IF(ISNUMBER('Corrected energy balance step 1'!BK41),'Corrected energy balance step 1'!BK41,0)</f>
        <v>0</v>
      </c>
      <c r="BL41" s="158">
        <f>IF(ISNUMBER('Corrected energy balance step 1'!BL41),'Corrected energy balance step 1'!BL41,0)</f>
        <v>0</v>
      </c>
      <c r="BM41" s="158">
        <f>IF(ISNUMBER('Corrected energy balance step 1'!BM41),'Corrected energy balance step 1'!BM41,0)</f>
        <v>0</v>
      </c>
      <c r="BN41" s="156">
        <f>SUM(C41:BM41)</f>
        <v>0</v>
      </c>
      <c r="BO41" s="162">
        <f>'Corrected energy balance step 1'!BO41</f>
        <v>0</v>
      </c>
    </row>
    <row r="42" spans="2:67" x14ac:dyDescent="0.2">
      <c r="B42" s="32" t="s">
        <v>84</v>
      </c>
      <c r="C42" s="158">
        <f>IF(ISNUMBER('Corrected energy balance step 1'!C42),'Corrected energy balance step 1'!C42,0)</f>
        <v>0</v>
      </c>
      <c r="D42" s="158">
        <f>IF(ISNUMBER('Corrected energy balance step 1'!D42),'Corrected energy balance step 1'!D42,0)</f>
        <v>0</v>
      </c>
      <c r="E42" s="158">
        <f>IF(ISNUMBER('Corrected energy balance step 1'!E42),'Corrected energy balance step 1'!E42,0)</f>
        <v>0</v>
      </c>
      <c r="F42" s="158">
        <f>IF(ISNUMBER('Corrected energy balance step 1'!F42),'Corrected energy balance step 1'!F42,0)</f>
        <v>0</v>
      </c>
      <c r="G42" s="158">
        <f>IF(ISNUMBER('Corrected energy balance step 1'!G42),'Corrected energy balance step 1'!G42,0)</f>
        <v>0</v>
      </c>
      <c r="H42" s="158">
        <f>IF(ISNUMBER('Corrected energy balance step 1'!H42),'Corrected energy balance step 1'!H42,0)</f>
        <v>0</v>
      </c>
      <c r="I42" s="158">
        <f>IF(ISNUMBER('Corrected energy balance step 1'!I42),'Corrected energy balance step 1'!I42,0)</f>
        <v>0</v>
      </c>
      <c r="J42" s="158">
        <f>IF(ISNUMBER('Corrected energy balance step 1'!J42),'Corrected energy balance step 1'!J42,0)</f>
        <v>0</v>
      </c>
      <c r="K42" s="158">
        <f>IF(ISNUMBER('Corrected energy balance step 1'!K42),'Corrected energy balance step 1'!K42,0)</f>
        <v>0</v>
      </c>
      <c r="L42" s="158">
        <f>IF(ISNUMBER('Corrected energy balance step 1'!L42),'Corrected energy balance step 1'!L42,0)</f>
        <v>0</v>
      </c>
      <c r="M42" s="158">
        <f>IF(ISNUMBER('Corrected energy balance step 1'!M42),'Corrected energy balance step 1'!M42,0)</f>
        <v>0</v>
      </c>
      <c r="N42" s="158">
        <f>IF(ISNUMBER('Corrected energy balance step 1'!N42),'Corrected energy balance step 1'!N42,0)</f>
        <v>0</v>
      </c>
      <c r="O42" s="158">
        <f>IF(ISNUMBER('Corrected energy balance step 1'!O42),'Corrected energy balance step 1'!O42,0)</f>
        <v>0</v>
      </c>
      <c r="P42" s="158">
        <f>IF(ISNUMBER('Corrected energy balance step 1'!P42),'Corrected energy balance step 1'!P42,0)</f>
        <v>0</v>
      </c>
      <c r="Q42" s="158">
        <f>IF(ISNUMBER('Corrected energy balance step 1'!Q42),'Corrected energy balance step 1'!Q42,0)</f>
        <v>0</v>
      </c>
      <c r="R42" s="158">
        <f>IF(ISNUMBER('Corrected energy balance step 1'!R42),'Corrected energy balance step 1'!R42,0)</f>
        <v>0</v>
      </c>
      <c r="S42" s="158">
        <f>IF(ISNUMBER('Corrected energy balance step 1'!S42),'Corrected energy balance step 1'!S42,0)</f>
        <v>0</v>
      </c>
      <c r="T42" s="158">
        <f>IF(ISNUMBER('Corrected energy balance step 1'!T42),'Corrected energy balance step 1'!T42,0)</f>
        <v>0</v>
      </c>
      <c r="U42" s="158">
        <f>IF(ISNUMBER('Corrected energy balance step 1'!U42),'Corrected energy balance step 1'!U42,0)</f>
        <v>0</v>
      </c>
      <c r="V42" s="158">
        <f>IF(ISNUMBER('Corrected energy balance step 1'!V42),'Corrected energy balance step 1'!V42,0)</f>
        <v>0</v>
      </c>
      <c r="W42" s="158">
        <f>IF(ISNUMBER('Corrected energy balance step 1'!W42),'Corrected energy balance step 1'!W42,0)</f>
        <v>0</v>
      </c>
      <c r="X42" s="158">
        <f>IF(ISNUMBER('Corrected energy balance step 1'!X42),'Corrected energy balance step 1'!X42,0)</f>
        <v>0</v>
      </c>
      <c r="Y42" s="158">
        <f>IF(ISNUMBER('Corrected energy balance step 1'!Y42),'Corrected energy balance step 1'!Y42,0)</f>
        <v>0</v>
      </c>
      <c r="Z42" s="158">
        <f>IF(ISNUMBER('Corrected energy balance step 1'!Z42),'Corrected energy balance step 1'!Z42,0)</f>
        <v>0</v>
      </c>
      <c r="AA42" s="158">
        <f>IF(ISNUMBER('Corrected energy balance step 1'!AA42),'Corrected energy balance step 1'!AA42,0)</f>
        <v>0</v>
      </c>
      <c r="AB42" s="158">
        <f>IF(ISNUMBER('Corrected energy balance step 1'!AB42),'Corrected energy balance step 1'!AB42,0)</f>
        <v>0</v>
      </c>
      <c r="AC42" s="158">
        <f>IF(ISNUMBER('Corrected energy balance step 1'!AC42),'Corrected energy balance step 1'!AC42,0)</f>
        <v>0</v>
      </c>
      <c r="AD42" s="158">
        <f>IF(ISNUMBER('Corrected energy balance step 1'!AD42),'Corrected energy balance step 1'!AD42,0)</f>
        <v>0</v>
      </c>
      <c r="AE42" s="158">
        <f>IF(ISNUMBER('Corrected energy balance step 1'!AE42),'Corrected energy balance step 1'!AE42,0)</f>
        <v>0</v>
      </c>
      <c r="AF42" s="158">
        <f>IF(ISNUMBER('Corrected energy balance step 1'!AF42),'Corrected energy balance step 1'!AF42,0)</f>
        <v>0</v>
      </c>
      <c r="AG42" s="158">
        <f>IF(ISNUMBER('Corrected energy balance step 1'!AG42),'Corrected energy balance step 1'!AG42,0)</f>
        <v>0</v>
      </c>
      <c r="AH42" s="158">
        <f>IF(ISNUMBER('Corrected energy balance step 1'!AH42),'Corrected energy balance step 1'!AH42,0)</f>
        <v>0</v>
      </c>
      <c r="AI42" s="158">
        <f>IF(ISNUMBER('Corrected energy balance step 1'!AI42),'Corrected energy balance step 1'!AI42,0)</f>
        <v>0</v>
      </c>
      <c r="AJ42" s="158">
        <f>IF(ISNUMBER('Corrected energy balance step 1'!AJ42),'Corrected energy balance step 1'!AJ42,0)</f>
        <v>0</v>
      </c>
      <c r="AK42" s="158">
        <f>IF(ISNUMBER('Corrected energy balance step 1'!AK42),'Corrected energy balance step 1'!AK42,0)</f>
        <v>0</v>
      </c>
      <c r="AL42" s="158">
        <f>IF(ISNUMBER('Corrected energy balance step 1'!AL42),'Corrected energy balance step 1'!AL42,0)</f>
        <v>0</v>
      </c>
      <c r="AM42" s="158">
        <f>IF(ISNUMBER('Corrected energy balance step 1'!AM42),'Corrected energy balance step 1'!AM42,0)</f>
        <v>0</v>
      </c>
      <c r="AN42" s="158">
        <f>IF(ISNUMBER('Corrected energy balance step 1'!AN42),'Corrected energy balance step 1'!AN42,0)</f>
        <v>0</v>
      </c>
      <c r="AO42" s="158">
        <f>IF(ISNUMBER('Corrected energy balance step 1'!AO42),'Corrected energy balance step 1'!AO42,0)</f>
        <v>0</v>
      </c>
      <c r="AP42" s="158">
        <f>IF(ISNUMBER('Corrected energy balance step 1'!AP42),'Corrected energy balance step 1'!AP42,0)</f>
        <v>0</v>
      </c>
      <c r="AQ42" s="158">
        <f>IF(ISNUMBER('Corrected energy balance step 1'!AQ42),'Corrected energy balance step 1'!AQ42,0)</f>
        <v>0</v>
      </c>
      <c r="AR42" s="158">
        <f>IF(ISNUMBER('Corrected energy balance step 1'!AR42),'Corrected energy balance step 1'!AR42,0)</f>
        <v>0</v>
      </c>
      <c r="AS42" s="158">
        <f>IF(ISNUMBER('Corrected energy balance step 1'!AS42),'Corrected energy balance step 1'!AS42,0)</f>
        <v>0</v>
      </c>
      <c r="AT42" s="158">
        <f>IF(ISNUMBER('Corrected energy balance step 1'!AT42),'Corrected energy balance step 1'!AT42,0)</f>
        <v>0</v>
      </c>
      <c r="AU42" s="158">
        <f>IF(ISNUMBER('Corrected energy balance step 1'!AU42),'Corrected energy balance step 1'!AU42,0)</f>
        <v>0</v>
      </c>
      <c r="AV42" s="158">
        <f>IF(ISNUMBER('Corrected energy balance step 1'!AV42),'Corrected energy balance step 1'!AV42,0)</f>
        <v>0</v>
      </c>
      <c r="AW42" s="158">
        <f>IF(ISNUMBER('Corrected energy balance step 1'!AW42),'Corrected energy balance step 1'!AW42,0)</f>
        <v>0</v>
      </c>
      <c r="AX42" s="158">
        <f>IF(ISNUMBER('Corrected energy balance step 1'!AX42),'Corrected energy balance step 1'!AX42,0)</f>
        <v>0</v>
      </c>
      <c r="AY42" s="158">
        <f>IF(ISNUMBER('Corrected energy balance step 1'!AY42),'Corrected energy balance step 1'!AY42,0)</f>
        <v>0</v>
      </c>
      <c r="AZ42" s="158">
        <f>IF(ISNUMBER('Corrected energy balance step 1'!AZ42),'Corrected energy balance step 1'!AZ42,0)</f>
        <v>0</v>
      </c>
      <c r="BA42" s="158">
        <f>IF(ISNUMBER('Corrected energy balance step 1'!BA42),'Corrected energy balance step 1'!BA42,0)</f>
        <v>0</v>
      </c>
      <c r="BB42" s="158">
        <f>IF(ISNUMBER('Corrected energy balance step 1'!BB42),'Corrected energy balance step 1'!BB42,0)</f>
        <v>0</v>
      </c>
      <c r="BC42" s="158">
        <f>IF(ISNUMBER('Corrected energy balance step 1'!BC42),'Corrected energy balance step 1'!BC42,0)</f>
        <v>0</v>
      </c>
      <c r="BD42" s="158">
        <f>IF(ISNUMBER('Corrected energy balance step 1'!BD42),'Corrected energy balance step 1'!BD42,0)</f>
        <v>0</v>
      </c>
      <c r="BE42" s="158">
        <f>IF(ISNUMBER('Corrected energy balance step 1'!BE42),'Corrected energy balance step 1'!BE42,0)</f>
        <v>0</v>
      </c>
      <c r="BF42" s="158">
        <f>IF(ISNUMBER('Corrected energy balance step 1'!BF42),'Corrected energy balance step 1'!BF42,0)</f>
        <v>0</v>
      </c>
      <c r="BG42" s="158">
        <f>IF(ISNUMBER('Corrected energy balance step 1'!BG42),'Corrected energy balance step 1'!BG42,0)</f>
        <v>0</v>
      </c>
      <c r="BH42" s="158">
        <f>IF(ISNUMBER('Corrected energy balance step 1'!BH42),'Corrected energy balance step 1'!BH42,0)</f>
        <v>0</v>
      </c>
      <c r="BI42" s="158">
        <f>IF(ISNUMBER('Corrected energy balance step 1'!BI42),'Corrected energy balance step 1'!BI42,0)</f>
        <v>0</v>
      </c>
      <c r="BJ42" s="158">
        <f>IF(ISNUMBER('Corrected energy balance step 1'!BJ42),'Corrected energy balance step 1'!BJ42,0)</f>
        <v>0</v>
      </c>
      <c r="BK42" s="158">
        <f>IF(ISNUMBER('Corrected energy balance step 1'!BK42),'Corrected energy balance step 1'!BK42,0)</f>
        <v>0</v>
      </c>
      <c r="BL42" s="158">
        <f>IF(ISNUMBER('Corrected energy balance step 1'!BL42),'Corrected energy balance step 1'!BL42,0)</f>
        <v>0</v>
      </c>
      <c r="BM42" s="158">
        <f>IF(ISNUMBER('Corrected energy balance step 1'!BM42),'Corrected energy balance step 1'!BM42,0)</f>
        <v>0</v>
      </c>
      <c r="BN42" s="156">
        <f t="shared" ref="BN42:BN91" si="60">SUM(C42:BM42)</f>
        <v>0</v>
      </c>
      <c r="BO42" s="162">
        <f>'Corrected energy balance step 1'!BO42</f>
        <v>0</v>
      </c>
    </row>
    <row r="43" spans="2:67" x14ac:dyDescent="0.2">
      <c r="B43" s="32" t="s">
        <v>70</v>
      </c>
      <c r="C43" s="158">
        <f>IF(ISNUMBER('Corrected energy balance step 1'!C43),'Corrected energy balance step 1'!C43,0)</f>
        <v>0</v>
      </c>
      <c r="D43" s="158">
        <f>IF(ISNUMBER('Corrected energy balance step 1'!D43),'Corrected energy balance step 1'!D43,0)</f>
        <v>0</v>
      </c>
      <c r="E43" s="158">
        <f>IF(ISNUMBER('Corrected energy balance step 1'!E43),'Corrected energy balance step 1'!E43,0)</f>
        <v>0</v>
      </c>
      <c r="F43" s="158">
        <f>IF(ISNUMBER('Corrected energy balance step 1'!F43),'Corrected energy balance step 1'!F43,0)</f>
        <v>0</v>
      </c>
      <c r="G43" s="158">
        <f>IF(ISNUMBER('Corrected energy balance step 1'!G43),'Corrected energy balance step 1'!G43,0)</f>
        <v>0</v>
      </c>
      <c r="H43" s="158">
        <f>IF(ISNUMBER('Corrected energy balance step 1'!H43),'Corrected energy balance step 1'!H43,0)</f>
        <v>0</v>
      </c>
      <c r="I43" s="158">
        <f>IF(ISNUMBER('Corrected energy balance step 1'!I43),'Corrected energy balance step 1'!I43,0)</f>
        <v>0</v>
      </c>
      <c r="J43" s="158">
        <f>IF(ISNUMBER('Corrected energy balance step 1'!J43),'Corrected energy balance step 1'!J43,0)</f>
        <v>0</v>
      </c>
      <c r="K43" s="158">
        <f>IF(ISNUMBER('Corrected energy balance step 1'!K43),'Corrected energy balance step 1'!K43,0)</f>
        <v>0</v>
      </c>
      <c r="L43" s="158">
        <f>IF(ISNUMBER('Corrected energy balance step 1'!L43),'Corrected energy balance step 1'!L43,0)</f>
        <v>0</v>
      </c>
      <c r="M43" s="158">
        <f>IF(ISNUMBER('Corrected energy balance step 1'!M43),'Corrected energy balance step 1'!M43,0)</f>
        <v>0</v>
      </c>
      <c r="N43" s="158">
        <f>IF(ISNUMBER('Corrected energy balance step 1'!N43),'Corrected energy balance step 1'!N43,0)</f>
        <v>0</v>
      </c>
      <c r="O43" s="158">
        <f>IF(ISNUMBER('Corrected energy balance step 1'!O43),'Corrected energy balance step 1'!O43,0)</f>
        <v>0</v>
      </c>
      <c r="P43" s="158">
        <f>IF(ISNUMBER('Corrected energy balance step 1'!P43),'Corrected energy balance step 1'!P43,0)</f>
        <v>0</v>
      </c>
      <c r="Q43" s="158">
        <f>IF(ISNUMBER('Corrected energy balance step 1'!Q43),'Corrected energy balance step 1'!Q43,0)</f>
        <v>0</v>
      </c>
      <c r="R43" s="158">
        <f>IF(ISNUMBER('Corrected energy balance step 1'!R43),'Corrected energy balance step 1'!R43,0)</f>
        <v>0</v>
      </c>
      <c r="S43" s="158">
        <f>IF(ISNUMBER('Corrected energy balance step 1'!S43),'Corrected energy balance step 1'!S43,0)</f>
        <v>0</v>
      </c>
      <c r="T43" s="158">
        <f>IF(ISNUMBER('Corrected energy balance step 1'!T43),'Corrected energy balance step 1'!T43,0)</f>
        <v>0</v>
      </c>
      <c r="U43" s="158">
        <f>IF(ISNUMBER('Corrected energy balance step 1'!U43),'Corrected energy balance step 1'!U43,0)</f>
        <v>0</v>
      </c>
      <c r="V43" s="158">
        <f>IF(ISNUMBER('Corrected energy balance step 1'!V43),'Corrected energy balance step 1'!V43,0)</f>
        <v>0</v>
      </c>
      <c r="W43" s="158">
        <f>IF(ISNUMBER('Corrected energy balance step 1'!W43),'Corrected energy balance step 1'!W43,0)</f>
        <v>0</v>
      </c>
      <c r="X43" s="158">
        <f>IF(ISNUMBER('Corrected energy balance step 1'!X43),'Corrected energy balance step 1'!X43,0)</f>
        <v>0</v>
      </c>
      <c r="Y43" s="158">
        <f>IF(ISNUMBER('Corrected energy balance step 1'!Y43),'Corrected energy balance step 1'!Y43,0)</f>
        <v>0</v>
      </c>
      <c r="Z43" s="158">
        <f>IF(ISNUMBER('Corrected energy balance step 1'!Z43),'Corrected energy balance step 1'!Z43,0)</f>
        <v>0</v>
      </c>
      <c r="AA43" s="158">
        <f>IF(ISNUMBER('Corrected energy balance step 1'!AA43),'Corrected energy balance step 1'!AA43,0)</f>
        <v>0</v>
      </c>
      <c r="AB43" s="158">
        <f>IF(ISNUMBER('Corrected energy balance step 1'!AB43),'Corrected energy balance step 1'!AB43,0)</f>
        <v>0</v>
      </c>
      <c r="AC43" s="158">
        <f>IF(ISNUMBER('Corrected energy balance step 1'!AC43),'Corrected energy balance step 1'!AC43,0)</f>
        <v>0</v>
      </c>
      <c r="AD43" s="158">
        <f>IF(ISNUMBER('Corrected energy balance step 1'!AD43),'Corrected energy balance step 1'!AD43,0)</f>
        <v>0</v>
      </c>
      <c r="AE43" s="158">
        <f>IF(ISNUMBER('Corrected energy balance step 1'!AE43),'Corrected energy balance step 1'!AE43,0)</f>
        <v>0</v>
      </c>
      <c r="AF43" s="158">
        <f>IF(ISNUMBER('Corrected energy balance step 1'!AF43),'Corrected energy balance step 1'!AF43,0)</f>
        <v>0</v>
      </c>
      <c r="AG43" s="158">
        <f>IF(ISNUMBER('Corrected energy balance step 1'!AG43),'Corrected energy balance step 1'!AG43,0)</f>
        <v>0</v>
      </c>
      <c r="AH43" s="158">
        <f>IF(ISNUMBER('Corrected energy balance step 1'!AH43),'Corrected energy balance step 1'!AH43,0)</f>
        <v>0</v>
      </c>
      <c r="AI43" s="158">
        <f>IF(ISNUMBER('Corrected energy balance step 1'!AI43),'Corrected energy balance step 1'!AI43,0)</f>
        <v>0</v>
      </c>
      <c r="AJ43" s="158">
        <f>IF(ISNUMBER('Corrected energy balance step 1'!AJ43),'Corrected energy balance step 1'!AJ43,0)</f>
        <v>0</v>
      </c>
      <c r="AK43" s="158">
        <f>IF(ISNUMBER('Corrected energy balance step 1'!AK43),'Corrected energy balance step 1'!AK43,0)</f>
        <v>0</v>
      </c>
      <c r="AL43" s="158">
        <f>IF(ISNUMBER('Corrected energy balance step 1'!AL43),'Corrected energy balance step 1'!AL43,0)</f>
        <v>0</v>
      </c>
      <c r="AM43" s="158">
        <f>IF(ISNUMBER('Corrected energy balance step 1'!AM43),'Corrected energy balance step 1'!AM43,0)</f>
        <v>0</v>
      </c>
      <c r="AN43" s="158">
        <f>IF(ISNUMBER('Corrected energy balance step 1'!AN43),'Corrected energy balance step 1'!AN43,0)</f>
        <v>0</v>
      </c>
      <c r="AO43" s="158">
        <f>IF(ISNUMBER('Corrected energy balance step 1'!AO43),'Corrected energy balance step 1'!AO43,0)</f>
        <v>0</v>
      </c>
      <c r="AP43" s="158">
        <f>IF(ISNUMBER('Corrected energy balance step 1'!AP43),'Corrected energy balance step 1'!AP43,0)</f>
        <v>0</v>
      </c>
      <c r="AQ43" s="158">
        <f>IF(ISNUMBER('Corrected energy balance step 1'!AQ43),'Corrected energy balance step 1'!AQ43,0)</f>
        <v>0</v>
      </c>
      <c r="AR43" s="158">
        <f>IF(ISNUMBER('Corrected energy balance step 1'!AR43),'Corrected energy balance step 1'!AR43,0)</f>
        <v>0</v>
      </c>
      <c r="AS43" s="158">
        <f>IF(ISNUMBER('Corrected energy balance step 1'!AS43),'Corrected energy balance step 1'!AS43,0)</f>
        <v>0</v>
      </c>
      <c r="AT43" s="158">
        <f>IF(ISNUMBER('Corrected energy balance step 1'!AT43),'Corrected energy balance step 1'!AT43,0)</f>
        <v>0</v>
      </c>
      <c r="AU43" s="158">
        <f>IF(ISNUMBER('Corrected energy balance step 1'!AU43),'Corrected energy balance step 1'!AU43,0)</f>
        <v>0</v>
      </c>
      <c r="AV43" s="158">
        <f>IF(ISNUMBER('Corrected energy balance step 1'!AV43),'Corrected energy balance step 1'!AV43,0)</f>
        <v>0</v>
      </c>
      <c r="AW43" s="158">
        <f>IF(ISNUMBER('Corrected energy balance step 1'!AW43),'Corrected energy balance step 1'!AW43,0)</f>
        <v>0</v>
      </c>
      <c r="AX43" s="158">
        <f>IF(ISNUMBER('Corrected energy balance step 1'!AX43),'Corrected energy balance step 1'!AX43,0)</f>
        <v>0</v>
      </c>
      <c r="AY43" s="158">
        <f>IF(ISNUMBER('Corrected energy balance step 1'!AY43),'Corrected energy balance step 1'!AY43,0)</f>
        <v>0</v>
      </c>
      <c r="AZ43" s="158">
        <f>IF(ISNUMBER('Corrected energy balance step 1'!AZ43),'Corrected energy balance step 1'!AZ43,0)</f>
        <v>0</v>
      </c>
      <c r="BA43" s="158">
        <f>IF(ISNUMBER('Corrected energy balance step 1'!BA43),'Corrected energy balance step 1'!BA43,0)</f>
        <v>0</v>
      </c>
      <c r="BB43" s="158">
        <f>IF(ISNUMBER('Corrected energy balance step 1'!BB43),'Corrected energy balance step 1'!BB43,0)</f>
        <v>0</v>
      </c>
      <c r="BC43" s="158">
        <f>IF(ISNUMBER('Corrected energy balance step 1'!BC43),'Corrected energy balance step 1'!BC43,0)</f>
        <v>0</v>
      </c>
      <c r="BD43" s="158">
        <f>IF(ISNUMBER('Corrected energy balance step 1'!BD43),'Corrected energy balance step 1'!BD43,0)</f>
        <v>0</v>
      </c>
      <c r="BE43" s="158">
        <f>IF(ISNUMBER('Corrected energy balance step 1'!BE43),'Corrected energy balance step 1'!BE43,0)</f>
        <v>0</v>
      </c>
      <c r="BF43" s="158">
        <f>IF(ISNUMBER('Corrected energy balance step 1'!BF43),'Corrected energy balance step 1'!BF43,0)</f>
        <v>0</v>
      </c>
      <c r="BG43" s="158">
        <f>IF(ISNUMBER('Corrected energy balance step 1'!BG43),'Corrected energy balance step 1'!BG43,0)</f>
        <v>0</v>
      </c>
      <c r="BH43" s="158">
        <f>IF(ISNUMBER('Corrected energy balance step 1'!BH43),'Corrected energy balance step 1'!BH43,0)</f>
        <v>0</v>
      </c>
      <c r="BI43" s="158">
        <f>IF(ISNUMBER('Corrected energy balance step 1'!BI43),'Corrected energy balance step 1'!BI43,0)</f>
        <v>0</v>
      </c>
      <c r="BJ43" s="158">
        <f>IF(ISNUMBER('Corrected energy balance step 1'!BJ43),'Corrected energy balance step 1'!BJ43,0)</f>
        <v>0</v>
      </c>
      <c r="BK43" s="158">
        <f>IF(ISNUMBER('Corrected energy balance step 1'!BK43),'Corrected energy balance step 1'!BK43,0)</f>
        <v>0</v>
      </c>
      <c r="BL43" s="158">
        <f>IF(ISNUMBER('Corrected energy balance step 1'!BL43),'Corrected energy balance step 1'!BL43,0)</f>
        <v>0</v>
      </c>
      <c r="BM43" s="158">
        <f>IF(ISNUMBER('Corrected energy balance step 1'!BM43),'Corrected energy balance step 1'!BM43,0)</f>
        <v>0</v>
      </c>
      <c r="BN43" s="156">
        <f t="shared" si="60"/>
        <v>0</v>
      </c>
      <c r="BO43" s="162">
        <f>'Corrected energy balance step 1'!BO43</f>
        <v>0</v>
      </c>
    </row>
    <row r="44" spans="2:67" x14ac:dyDescent="0.2">
      <c r="B44" s="32" t="s">
        <v>71</v>
      </c>
      <c r="C44" s="158">
        <f>IF(ISNUMBER('Corrected energy balance step 1'!C44),'Corrected energy balance step 1'!C44,0)</f>
        <v>0</v>
      </c>
      <c r="D44" s="158">
        <f>IF(ISNUMBER('Corrected energy balance step 1'!D44),'Corrected energy balance step 1'!D44,0)</f>
        <v>0</v>
      </c>
      <c r="E44" s="158">
        <f>IF(ISNUMBER('Corrected energy balance step 1'!E44),'Corrected energy balance step 1'!E44,0)</f>
        <v>0</v>
      </c>
      <c r="F44" s="158">
        <f>IF(ISNUMBER('Corrected energy balance step 1'!F44),'Corrected energy balance step 1'!F44,0)</f>
        <v>0</v>
      </c>
      <c r="G44" s="158">
        <f>IF(ISNUMBER('Corrected energy balance step 1'!G44),'Corrected energy balance step 1'!G44,0)</f>
        <v>0</v>
      </c>
      <c r="H44" s="158">
        <f>IF(ISNUMBER('Corrected energy balance step 1'!H44),'Corrected energy balance step 1'!H44,0)</f>
        <v>0</v>
      </c>
      <c r="I44" s="158">
        <f>IF(ISNUMBER('Corrected energy balance step 1'!I44),'Corrected energy balance step 1'!I44,0)</f>
        <v>0</v>
      </c>
      <c r="J44" s="158">
        <f>IF(ISNUMBER('Corrected energy balance step 1'!J44),'Corrected energy balance step 1'!J44,0)</f>
        <v>0</v>
      </c>
      <c r="K44" s="158">
        <f>IF(ISNUMBER('Corrected energy balance step 1'!K44),'Corrected energy balance step 1'!K44,0)</f>
        <v>0</v>
      </c>
      <c r="L44" s="158">
        <f>IF(ISNUMBER('Corrected energy balance step 1'!L44),'Corrected energy balance step 1'!L44,0)</f>
        <v>0</v>
      </c>
      <c r="M44" s="158">
        <f>IF(ISNUMBER('Corrected energy balance step 1'!M44),'Corrected energy balance step 1'!M44,0)</f>
        <v>0</v>
      </c>
      <c r="N44" s="158">
        <f>IF(ISNUMBER('Corrected energy balance step 1'!N44),'Corrected energy balance step 1'!N44,0)</f>
        <v>0</v>
      </c>
      <c r="O44" s="158">
        <f>IF(ISNUMBER('Corrected energy balance step 1'!O44),'Corrected energy balance step 1'!O44,0)</f>
        <v>0</v>
      </c>
      <c r="P44" s="158">
        <f>IF(ISNUMBER('Corrected energy balance step 1'!P44),'Corrected energy balance step 1'!P44,0)</f>
        <v>0</v>
      </c>
      <c r="Q44" s="158">
        <f>IF(ISNUMBER('Corrected energy balance step 1'!Q44),'Corrected energy balance step 1'!Q44,0)</f>
        <v>0</v>
      </c>
      <c r="R44" s="158">
        <f>IF(ISNUMBER('Corrected energy balance step 1'!R44),'Corrected energy balance step 1'!R44,0)</f>
        <v>0</v>
      </c>
      <c r="S44" s="158">
        <f>IF(ISNUMBER('Corrected energy balance step 1'!S44),'Corrected energy balance step 1'!S44,0)</f>
        <v>0</v>
      </c>
      <c r="T44" s="158">
        <f>IF(ISNUMBER('Corrected energy balance step 1'!T44),'Corrected energy balance step 1'!T44,0)</f>
        <v>0</v>
      </c>
      <c r="U44" s="158">
        <f>IF(ISNUMBER('Corrected energy balance step 1'!U44),'Corrected energy balance step 1'!U44,0)</f>
        <v>0</v>
      </c>
      <c r="V44" s="158">
        <f>IF(ISNUMBER('Corrected energy balance step 1'!V44),'Corrected energy balance step 1'!V44,0)</f>
        <v>0</v>
      </c>
      <c r="W44" s="158">
        <f>IF(ISNUMBER('Corrected energy balance step 1'!W44),'Corrected energy balance step 1'!W44,0)</f>
        <v>0</v>
      </c>
      <c r="X44" s="158">
        <f>IF(ISNUMBER('Corrected energy balance step 1'!X44),'Corrected energy balance step 1'!X44,0)</f>
        <v>0</v>
      </c>
      <c r="Y44" s="158">
        <f>IF(ISNUMBER('Corrected energy balance step 1'!Y44),'Corrected energy balance step 1'!Y44,0)</f>
        <v>0</v>
      </c>
      <c r="Z44" s="158">
        <f>IF(ISNUMBER('Corrected energy balance step 1'!Z44),'Corrected energy balance step 1'!Z44,0)</f>
        <v>0</v>
      </c>
      <c r="AA44" s="158">
        <f>IF(ISNUMBER('Corrected energy balance step 1'!AA44),'Corrected energy balance step 1'!AA44,0)</f>
        <v>0</v>
      </c>
      <c r="AB44" s="158">
        <f>IF(ISNUMBER('Corrected energy balance step 1'!AB44),'Corrected energy balance step 1'!AB44,0)</f>
        <v>0</v>
      </c>
      <c r="AC44" s="158">
        <f>IF(ISNUMBER('Corrected energy balance step 1'!AC44),'Corrected energy balance step 1'!AC44,0)</f>
        <v>0</v>
      </c>
      <c r="AD44" s="158">
        <f>IF(ISNUMBER('Corrected energy balance step 1'!AD44),'Corrected energy balance step 1'!AD44,0)</f>
        <v>0</v>
      </c>
      <c r="AE44" s="158">
        <f>IF(ISNUMBER('Corrected energy balance step 1'!AE44),'Corrected energy balance step 1'!AE44,0)</f>
        <v>0</v>
      </c>
      <c r="AF44" s="158">
        <f>IF(ISNUMBER('Corrected energy balance step 1'!AF44),'Corrected energy balance step 1'!AF44,0)</f>
        <v>0</v>
      </c>
      <c r="AG44" s="158">
        <f>IF(ISNUMBER('Corrected energy balance step 1'!AG44),'Corrected energy balance step 1'!AG44,0)</f>
        <v>0</v>
      </c>
      <c r="AH44" s="158">
        <f>IF(ISNUMBER('Corrected energy balance step 1'!AH44),'Corrected energy balance step 1'!AH44,0)</f>
        <v>0</v>
      </c>
      <c r="AI44" s="158">
        <f>IF(ISNUMBER('Corrected energy balance step 1'!AI44),'Corrected energy balance step 1'!AI44,0)</f>
        <v>0</v>
      </c>
      <c r="AJ44" s="158">
        <f>IF(ISNUMBER('Corrected energy balance step 1'!AJ44),'Corrected energy balance step 1'!AJ44,0)</f>
        <v>0</v>
      </c>
      <c r="AK44" s="158">
        <f>IF(ISNUMBER('Corrected energy balance step 1'!AK44),'Corrected energy balance step 1'!AK44,0)</f>
        <v>0</v>
      </c>
      <c r="AL44" s="158">
        <f>IF(ISNUMBER('Corrected energy balance step 1'!AL44),'Corrected energy balance step 1'!AL44,0)</f>
        <v>0</v>
      </c>
      <c r="AM44" s="158">
        <f>IF(ISNUMBER('Corrected energy balance step 1'!AM44),'Corrected energy balance step 1'!AM44,0)</f>
        <v>0</v>
      </c>
      <c r="AN44" s="158">
        <f>IF(ISNUMBER('Corrected energy balance step 1'!AN44),'Corrected energy balance step 1'!AN44,0)</f>
        <v>0</v>
      </c>
      <c r="AO44" s="158">
        <f>IF(ISNUMBER('Corrected energy balance step 1'!AO44),'Corrected energy balance step 1'!AO44,0)</f>
        <v>0</v>
      </c>
      <c r="AP44" s="158">
        <f>IF(ISNUMBER('Corrected energy balance step 1'!AP44),'Corrected energy balance step 1'!AP44,0)</f>
        <v>0</v>
      </c>
      <c r="AQ44" s="158">
        <f>IF(ISNUMBER('Corrected energy balance step 1'!AQ44),'Corrected energy balance step 1'!AQ44,0)</f>
        <v>0</v>
      </c>
      <c r="AR44" s="158">
        <f>IF(ISNUMBER('Corrected energy balance step 1'!AR44),'Corrected energy balance step 1'!AR44,0)</f>
        <v>0</v>
      </c>
      <c r="AS44" s="158">
        <f>IF(ISNUMBER('Corrected energy balance step 1'!AS44),'Corrected energy balance step 1'!AS44,0)</f>
        <v>0</v>
      </c>
      <c r="AT44" s="158">
        <f>IF(ISNUMBER('Corrected energy balance step 1'!AT44),'Corrected energy balance step 1'!AT44,0)</f>
        <v>0</v>
      </c>
      <c r="AU44" s="158">
        <f>IF(ISNUMBER('Corrected energy balance step 1'!AU44),'Corrected energy balance step 1'!AU44,0)</f>
        <v>0</v>
      </c>
      <c r="AV44" s="158">
        <f>IF(ISNUMBER('Corrected energy balance step 1'!AV44),'Corrected energy balance step 1'!AV44,0)</f>
        <v>0</v>
      </c>
      <c r="AW44" s="158">
        <f>IF(ISNUMBER('Corrected energy balance step 1'!AW44),'Corrected energy balance step 1'!AW44,0)</f>
        <v>0</v>
      </c>
      <c r="AX44" s="158">
        <f>IF(ISNUMBER('Corrected energy balance step 1'!AX44),'Corrected energy balance step 1'!AX44,0)</f>
        <v>0</v>
      </c>
      <c r="AY44" s="158">
        <f>IF(ISNUMBER('Corrected energy balance step 1'!AY44),'Corrected energy balance step 1'!AY44,0)</f>
        <v>0</v>
      </c>
      <c r="AZ44" s="158">
        <f>IF(ISNUMBER('Corrected energy balance step 1'!AZ44),'Corrected energy balance step 1'!AZ44,0)</f>
        <v>0</v>
      </c>
      <c r="BA44" s="158">
        <f>IF(ISNUMBER('Corrected energy balance step 1'!BA44),'Corrected energy balance step 1'!BA44,0)</f>
        <v>0</v>
      </c>
      <c r="BB44" s="158">
        <f>IF(ISNUMBER('Corrected energy balance step 1'!BB44),'Corrected energy balance step 1'!BB44,0)</f>
        <v>0</v>
      </c>
      <c r="BC44" s="158">
        <f>IF(ISNUMBER('Corrected energy balance step 1'!BC44),'Corrected energy balance step 1'!BC44,0)</f>
        <v>0</v>
      </c>
      <c r="BD44" s="158">
        <f>IF(ISNUMBER('Corrected energy balance step 1'!BD44),'Corrected energy balance step 1'!BD44,0)</f>
        <v>0</v>
      </c>
      <c r="BE44" s="158">
        <f>IF(ISNUMBER('Corrected energy balance step 1'!BE44),'Corrected energy balance step 1'!BE44,0)</f>
        <v>0</v>
      </c>
      <c r="BF44" s="158">
        <f>IF(ISNUMBER('Corrected energy balance step 1'!BF44),'Corrected energy balance step 1'!BF44,0)</f>
        <v>0</v>
      </c>
      <c r="BG44" s="158">
        <f>IF(ISNUMBER('Corrected energy balance step 1'!BG44),'Corrected energy balance step 1'!BG44,0)</f>
        <v>0</v>
      </c>
      <c r="BH44" s="158">
        <f>IF(ISNUMBER('Corrected energy balance step 1'!BH44),'Corrected energy balance step 1'!BH44,0)</f>
        <v>0</v>
      </c>
      <c r="BI44" s="158">
        <f>IF(ISNUMBER('Corrected energy balance step 1'!BI44),'Corrected energy balance step 1'!BI44,0)</f>
        <v>0</v>
      </c>
      <c r="BJ44" s="158">
        <f>IF(ISNUMBER('Corrected energy balance step 1'!BJ44),'Corrected energy balance step 1'!BJ44,0)</f>
        <v>0</v>
      </c>
      <c r="BK44" s="158">
        <f>IF(ISNUMBER('Corrected energy balance step 1'!BK44),'Corrected energy balance step 1'!BK44,0)</f>
        <v>0</v>
      </c>
      <c r="BL44" s="158">
        <f>IF(ISNUMBER('Corrected energy balance step 1'!BL44),'Corrected energy balance step 1'!BL44,0)</f>
        <v>0</v>
      </c>
      <c r="BM44" s="158">
        <f>IF(ISNUMBER('Corrected energy balance step 1'!BM44),'Corrected energy balance step 1'!BM44,0)</f>
        <v>0</v>
      </c>
      <c r="BN44" s="156">
        <f t="shared" si="60"/>
        <v>0</v>
      </c>
      <c r="BO44" s="162">
        <f>'Corrected energy balance step 1'!BO44</f>
        <v>0</v>
      </c>
    </row>
    <row r="45" spans="2:67" x14ac:dyDescent="0.2">
      <c r="B45" s="32" t="s">
        <v>85</v>
      </c>
      <c r="C45" s="158">
        <f>IF(ISNUMBER('Corrected energy balance step 1'!C45),'Corrected energy balance step 1'!C45,0)</f>
        <v>0</v>
      </c>
      <c r="D45" s="158">
        <f>IF(ISNUMBER('Corrected energy balance step 1'!D45),'Corrected energy balance step 1'!D45,0)</f>
        <v>0</v>
      </c>
      <c r="E45" s="158">
        <f>IF(ISNUMBER('Corrected energy balance step 1'!E45),'Corrected energy balance step 1'!E45,0)</f>
        <v>0</v>
      </c>
      <c r="F45" s="158">
        <f>IF(ISNUMBER('Corrected energy balance step 1'!F45),'Corrected energy balance step 1'!F45,0)</f>
        <v>0</v>
      </c>
      <c r="G45" s="158">
        <f>IF(ISNUMBER('Corrected energy balance step 1'!G45),'Corrected energy balance step 1'!G45,0)</f>
        <v>0</v>
      </c>
      <c r="H45" s="158">
        <f>IF(ISNUMBER('Corrected energy balance step 1'!H45),'Corrected energy balance step 1'!H45,0)</f>
        <v>0</v>
      </c>
      <c r="I45" s="158">
        <f>IF(ISNUMBER('Corrected energy balance step 1'!I45),'Corrected energy balance step 1'!I45,0)</f>
        <v>0</v>
      </c>
      <c r="J45" s="158">
        <f>IF(ISNUMBER('Corrected energy balance step 1'!J45),'Corrected energy balance step 1'!J45,0)</f>
        <v>0</v>
      </c>
      <c r="K45" s="158">
        <f>IF(ISNUMBER('Corrected energy balance step 1'!K45),'Corrected energy balance step 1'!K45,0)</f>
        <v>0</v>
      </c>
      <c r="L45" s="158">
        <f>IF(ISNUMBER('Corrected energy balance step 1'!L45),'Corrected energy balance step 1'!L45,0)</f>
        <v>0</v>
      </c>
      <c r="M45" s="158">
        <f>IF(ISNUMBER('Corrected energy balance step 1'!M45),'Corrected energy balance step 1'!M45,0)</f>
        <v>0</v>
      </c>
      <c r="N45" s="158">
        <f>IF(ISNUMBER('Corrected energy balance step 1'!N45),'Corrected energy balance step 1'!N45,0)</f>
        <v>0</v>
      </c>
      <c r="O45" s="158">
        <f>IF(ISNUMBER('Corrected energy balance step 1'!O45),'Corrected energy balance step 1'!O45,0)</f>
        <v>0</v>
      </c>
      <c r="P45" s="158">
        <f>IF(ISNUMBER('Corrected energy balance step 1'!P45),'Corrected energy balance step 1'!P45,0)</f>
        <v>0</v>
      </c>
      <c r="Q45" s="158">
        <f>IF(ISNUMBER('Corrected energy balance step 1'!Q45),'Corrected energy balance step 1'!Q45,0)</f>
        <v>0</v>
      </c>
      <c r="R45" s="158">
        <f>IF(ISNUMBER('Corrected energy balance step 1'!R45),'Corrected energy balance step 1'!R45,0)</f>
        <v>0</v>
      </c>
      <c r="S45" s="158">
        <f>IF(ISNUMBER('Corrected energy balance step 1'!S45),'Corrected energy balance step 1'!S45,0)</f>
        <v>0</v>
      </c>
      <c r="T45" s="158">
        <f>IF(ISNUMBER('Corrected energy balance step 1'!T45),'Corrected energy balance step 1'!T45,0)</f>
        <v>0</v>
      </c>
      <c r="U45" s="158">
        <f>IF(ISNUMBER('Corrected energy balance step 1'!U45),'Corrected energy balance step 1'!U45,0)</f>
        <v>0</v>
      </c>
      <c r="V45" s="158">
        <f>IF(ISNUMBER('Corrected energy balance step 1'!V45),'Corrected energy balance step 1'!V45,0)</f>
        <v>0</v>
      </c>
      <c r="W45" s="158">
        <f>IF(ISNUMBER('Corrected energy balance step 1'!W45),'Corrected energy balance step 1'!W45,0)</f>
        <v>0</v>
      </c>
      <c r="X45" s="158">
        <f>IF(ISNUMBER('Corrected energy balance step 1'!X45),'Corrected energy balance step 1'!X45,0)</f>
        <v>0</v>
      </c>
      <c r="Y45" s="158">
        <f>IF(ISNUMBER('Corrected energy balance step 1'!Y45),'Corrected energy balance step 1'!Y45,0)</f>
        <v>0</v>
      </c>
      <c r="Z45" s="158">
        <f>IF(ISNUMBER('Corrected energy balance step 1'!Z45),'Corrected energy balance step 1'!Z45,0)</f>
        <v>0</v>
      </c>
      <c r="AA45" s="158">
        <f>IF(ISNUMBER('Corrected energy balance step 1'!AA45),'Corrected energy balance step 1'!AA45,0)</f>
        <v>0</v>
      </c>
      <c r="AB45" s="158">
        <f>IF(ISNUMBER('Corrected energy balance step 1'!AB45),'Corrected energy balance step 1'!AB45,0)</f>
        <v>0</v>
      </c>
      <c r="AC45" s="158">
        <f>IF(ISNUMBER('Corrected energy balance step 1'!AC45),'Corrected energy balance step 1'!AC45,0)</f>
        <v>0</v>
      </c>
      <c r="AD45" s="158">
        <f>IF(ISNUMBER('Corrected energy balance step 1'!AD45),'Corrected energy balance step 1'!AD45,0)</f>
        <v>0</v>
      </c>
      <c r="AE45" s="158">
        <f>IF(ISNUMBER('Corrected energy balance step 1'!AE45),'Corrected energy balance step 1'!AE45,0)</f>
        <v>0</v>
      </c>
      <c r="AF45" s="158">
        <f>IF(ISNUMBER('Corrected energy balance step 1'!AF45),'Corrected energy balance step 1'!AF45,0)</f>
        <v>0</v>
      </c>
      <c r="AG45" s="158">
        <f>IF(ISNUMBER('Corrected energy balance step 1'!AG45),'Corrected energy balance step 1'!AG45,0)</f>
        <v>0</v>
      </c>
      <c r="AH45" s="158">
        <f>IF(ISNUMBER('Corrected energy balance step 1'!AH45),'Corrected energy balance step 1'!AH45,0)</f>
        <v>0</v>
      </c>
      <c r="AI45" s="158">
        <f>IF(ISNUMBER('Corrected energy balance step 1'!AI45),'Corrected energy balance step 1'!AI45,0)</f>
        <v>0</v>
      </c>
      <c r="AJ45" s="158">
        <f>IF(ISNUMBER('Corrected energy balance step 1'!AJ45),'Corrected energy balance step 1'!AJ45,0)</f>
        <v>0</v>
      </c>
      <c r="AK45" s="158">
        <f>IF(ISNUMBER('Corrected energy balance step 1'!AK45),'Corrected energy balance step 1'!AK45,0)</f>
        <v>0</v>
      </c>
      <c r="AL45" s="158">
        <f>IF(ISNUMBER('Corrected energy balance step 1'!AL45),'Corrected energy balance step 1'!AL45,0)</f>
        <v>0</v>
      </c>
      <c r="AM45" s="158">
        <f>IF(ISNUMBER('Corrected energy balance step 1'!AM45),'Corrected energy balance step 1'!AM45,0)</f>
        <v>0</v>
      </c>
      <c r="AN45" s="158">
        <f>IF(ISNUMBER('Corrected energy balance step 1'!AN45),'Corrected energy balance step 1'!AN45,0)</f>
        <v>0</v>
      </c>
      <c r="AO45" s="158">
        <f>IF(ISNUMBER('Corrected energy balance step 1'!AO45),'Corrected energy balance step 1'!AO45,0)</f>
        <v>0</v>
      </c>
      <c r="AP45" s="158">
        <f>IF(ISNUMBER('Corrected energy balance step 1'!AP45),'Corrected energy balance step 1'!AP45,0)</f>
        <v>0</v>
      </c>
      <c r="AQ45" s="158">
        <f>IF(ISNUMBER('Corrected energy balance step 1'!AQ45),'Corrected energy balance step 1'!AQ45,0)</f>
        <v>0</v>
      </c>
      <c r="AR45" s="158">
        <f>IF(ISNUMBER('Corrected energy balance step 1'!AR45),'Corrected energy balance step 1'!AR45,0)</f>
        <v>0</v>
      </c>
      <c r="AS45" s="158">
        <f>IF(ISNUMBER('Corrected energy balance step 1'!AS45),'Corrected energy balance step 1'!AS45,0)</f>
        <v>0</v>
      </c>
      <c r="AT45" s="158">
        <f>IF(ISNUMBER('Corrected energy balance step 1'!AT45),'Corrected energy balance step 1'!AT45,0)</f>
        <v>0</v>
      </c>
      <c r="AU45" s="158">
        <f>IF(ISNUMBER('Corrected energy balance step 1'!AU45),'Corrected energy balance step 1'!AU45,0)</f>
        <v>0</v>
      </c>
      <c r="AV45" s="158">
        <f>IF(ISNUMBER('Corrected energy balance step 1'!AV45),'Corrected energy balance step 1'!AV45,0)</f>
        <v>0</v>
      </c>
      <c r="AW45" s="158">
        <f>IF(ISNUMBER('Corrected energy balance step 1'!AW45),'Corrected energy balance step 1'!AW45,0)</f>
        <v>0</v>
      </c>
      <c r="AX45" s="158">
        <f>IF(ISNUMBER('Corrected energy balance step 1'!AX45),'Corrected energy balance step 1'!AX45,0)</f>
        <v>0</v>
      </c>
      <c r="AY45" s="158">
        <f>IF(ISNUMBER('Corrected energy balance step 1'!AY45),'Corrected energy balance step 1'!AY45,0)</f>
        <v>0</v>
      </c>
      <c r="AZ45" s="158">
        <f>IF(ISNUMBER('Corrected energy balance step 1'!AZ45),'Corrected energy balance step 1'!AZ45,0)</f>
        <v>0</v>
      </c>
      <c r="BA45" s="158">
        <f>IF(ISNUMBER('Corrected energy balance step 1'!BA45),'Corrected energy balance step 1'!BA45,0)</f>
        <v>0</v>
      </c>
      <c r="BB45" s="158">
        <f>IF(ISNUMBER('Corrected energy balance step 1'!BB45),'Corrected energy balance step 1'!BB45,0)</f>
        <v>0</v>
      </c>
      <c r="BC45" s="158">
        <f>IF(ISNUMBER('Corrected energy balance step 1'!BC45),'Corrected energy balance step 1'!BC45,0)</f>
        <v>0</v>
      </c>
      <c r="BD45" s="158">
        <f>IF(ISNUMBER('Corrected energy balance step 1'!BD45),'Corrected energy balance step 1'!BD45,0)</f>
        <v>0</v>
      </c>
      <c r="BE45" s="158">
        <f>IF(ISNUMBER('Corrected energy balance step 1'!BE45),'Corrected energy balance step 1'!BE45,0)</f>
        <v>0</v>
      </c>
      <c r="BF45" s="158">
        <f>IF(ISNUMBER('Corrected energy balance step 1'!BF45),'Corrected energy balance step 1'!BF45,0)</f>
        <v>0</v>
      </c>
      <c r="BG45" s="158">
        <f>IF(ISNUMBER('Corrected energy balance step 1'!BG45),'Corrected energy balance step 1'!BG45,0)</f>
        <v>0</v>
      </c>
      <c r="BH45" s="158">
        <f>IF(ISNUMBER('Corrected energy balance step 1'!BH45),'Corrected energy balance step 1'!BH45,0)</f>
        <v>0</v>
      </c>
      <c r="BI45" s="158">
        <f>IF(ISNUMBER('Corrected energy balance step 1'!BI45),'Corrected energy balance step 1'!BI45,0)</f>
        <v>0</v>
      </c>
      <c r="BJ45" s="158">
        <f>IF(ISNUMBER('Corrected energy balance step 1'!BJ45),'Corrected energy balance step 1'!BJ45,0)</f>
        <v>0</v>
      </c>
      <c r="BK45" s="158">
        <f>IF(ISNUMBER('Corrected energy balance step 1'!BK45),'Corrected energy balance step 1'!BK45,0)</f>
        <v>0</v>
      </c>
      <c r="BL45" s="158">
        <f>IF(ISNUMBER('Corrected energy balance step 1'!BL45),'Corrected energy balance step 1'!BL45,0)</f>
        <v>0</v>
      </c>
      <c r="BM45" s="158">
        <f>IF(ISNUMBER('Corrected energy balance step 1'!BM45),'Corrected energy balance step 1'!BM45,0)</f>
        <v>0</v>
      </c>
      <c r="BN45" s="156">
        <f t="shared" si="60"/>
        <v>0</v>
      </c>
      <c r="BO45" s="162">
        <f>'Corrected energy balance step 1'!BO45</f>
        <v>0</v>
      </c>
    </row>
    <row r="46" spans="2:67" x14ac:dyDescent="0.2">
      <c r="B46" s="32" t="s">
        <v>72</v>
      </c>
      <c r="C46" s="158">
        <f>IF(ISNUMBER('Corrected energy balance step 1'!C46),'Corrected energy balance step 1'!C46,0)</f>
        <v>0</v>
      </c>
      <c r="D46" s="158">
        <f>IF(ISNUMBER('Corrected energy balance step 1'!D46),'Corrected energy balance step 1'!D46,0)</f>
        <v>0</v>
      </c>
      <c r="E46" s="158">
        <f>IF(ISNUMBER('Corrected energy balance step 1'!E46),'Corrected energy balance step 1'!E46,0)</f>
        <v>0</v>
      </c>
      <c r="F46" s="158">
        <f>IF(ISNUMBER('Corrected energy balance step 1'!F46),'Corrected energy balance step 1'!F46,0)</f>
        <v>0</v>
      </c>
      <c r="G46" s="158">
        <f>IF(ISNUMBER('Corrected energy balance step 1'!G46),'Corrected energy balance step 1'!G46,0)</f>
        <v>0</v>
      </c>
      <c r="H46" s="158">
        <f>IF(ISNUMBER('Corrected energy balance step 1'!H46),'Corrected energy balance step 1'!H46,0)</f>
        <v>0</v>
      </c>
      <c r="I46" s="158">
        <f>IF(ISNUMBER('Corrected energy balance step 1'!I46),'Corrected energy balance step 1'!I46,0)</f>
        <v>0</v>
      </c>
      <c r="J46" s="158">
        <f>IF(ISNUMBER('Corrected energy balance step 1'!J46),'Corrected energy balance step 1'!J46,0)</f>
        <v>0</v>
      </c>
      <c r="K46" s="158">
        <f>IF(ISNUMBER('Corrected energy balance step 1'!K46),'Corrected energy balance step 1'!K46,0)</f>
        <v>0</v>
      </c>
      <c r="L46" s="158">
        <f>IF(ISNUMBER('Corrected energy balance step 1'!L46),'Corrected energy balance step 1'!L46,0)</f>
        <v>0</v>
      </c>
      <c r="M46" s="158">
        <f>IF(ISNUMBER('Corrected energy balance step 1'!M46),'Corrected energy balance step 1'!M46,0)</f>
        <v>0</v>
      </c>
      <c r="N46" s="158">
        <f>IF(ISNUMBER('Corrected energy balance step 1'!N46),'Corrected energy balance step 1'!N46,0)</f>
        <v>0</v>
      </c>
      <c r="O46" s="158">
        <f>IF(ISNUMBER('Corrected energy balance step 1'!O46),'Corrected energy balance step 1'!O46,0)</f>
        <v>0</v>
      </c>
      <c r="P46" s="158">
        <f>IF(ISNUMBER('Corrected energy balance step 1'!P46),'Corrected energy balance step 1'!P46,0)</f>
        <v>0</v>
      </c>
      <c r="Q46" s="158">
        <f>IF(ISNUMBER('Corrected energy balance step 1'!Q46),'Corrected energy balance step 1'!Q46,0)</f>
        <v>0</v>
      </c>
      <c r="R46" s="158">
        <f>IF(ISNUMBER('Corrected energy balance step 1'!R46),'Corrected energy balance step 1'!R46,0)</f>
        <v>0</v>
      </c>
      <c r="S46" s="158">
        <f>IF(ISNUMBER('Corrected energy balance step 1'!S46),'Corrected energy balance step 1'!S46,0)</f>
        <v>0</v>
      </c>
      <c r="T46" s="158">
        <f>IF(ISNUMBER('Corrected energy balance step 1'!T46),'Corrected energy balance step 1'!T46,0)</f>
        <v>0</v>
      </c>
      <c r="U46" s="158">
        <f>IF(ISNUMBER('Corrected energy balance step 1'!U46),'Corrected energy balance step 1'!U46,0)</f>
        <v>0</v>
      </c>
      <c r="V46" s="158">
        <f>IF(ISNUMBER('Corrected energy balance step 1'!V46),'Corrected energy balance step 1'!V46,0)</f>
        <v>0</v>
      </c>
      <c r="W46" s="158">
        <f>IF(ISNUMBER('Corrected energy balance step 1'!W46),'Corrected energy balance step 1'!W46,0)</f>
        <v>0</v>
      </c>
      <c r="X46" s="158">
        <f>IF(ISNUMBER('Corrected energy balance step 1'!X46),'Corrected energy balance step 1'!X46,0)</f>
        <v>0</v>
      </c>
      <c r="Y46" s="158">
        <f>IF(ISNUMBER('Corrected energy balance step 1'!Y46),'Corrected energy balance step 1'!Y46,0)</f>
        <v>0</v>
      </c>
      <c r="Z46" s="158">
        <f>IF(ISNUMBER('Corrected energy balance step 1'!Z46),'Corrected energy balance step 1'!Z46,0)</f>
        <v>0</v>
      </c>
      <c r="AA46" s="158">
        <f>IF(ISNUMBER('Corrected energy balance step 1'!AA46),'Corrected energy balance step 1'!AA46,0)</f>
        <v>0</v>
      </c>
      <c r="AB46" s="158">
        <f>IF(ISNUMBER('Corrected energy balance step 1'!AB46),'Corrected energy balance step 1'!AB46,0)</f>
        <v>0</v>
      </c>
      <c r="AC46" s="158">
        <f>IF(ISNUMBER('Corrected energy balance step 1'!AC46),'Corrected energy balance step 1'!AC46,0)</f>
        <v>0</v>
      </c>
      <c r="AD46" s="158">
        <f>IF(ISNUMBER('Corrected energy balance step 1'!AD46),'Corrected energy balance step 1'!AD46,0)</f>
        <v>0</v>
      </c>
      <c r="AE46" s="158">
        <f>IF(ISNUMBER('Corrected energy balance step 1'!AE46),'Corrected energy balance step 1'!AE46,0)</f>
        <v>0</v>
      </c>
      <c r="AF46" s="158">
        <f>IF(ISNUMBER('Corrected energy balance step 1'!AF46),'Corrected energy balance step 1'!AF46,0)</f>
        <v>0</v>
      </c>
      <c r="AG46" s="158">
        <f>IF(ISNUMBER('Corrected energy balance step 1'!AG46),'Corrected energy balance step 1'!AG46,0)</f>
        <v>0</v>
      </c>
      <c r="AH46" s="158">
        <f>IF(ISNUMBER('Corrected energy balance step 1'!AH46),'Corrected energy balance step 1'!AH46,0)</f>
        <v>0</v>
      </c>
      <c r="AI46" s="158">
        <f>IF(ISNUMBER('Corrected energy balance step 1'!AI46),'Corrected energy balance step 1'!AI46,0)</f>
        <v>0</v>
      </c>
      <c r="AJ46" s="158">
        <f>IF(ISNUMBER('Corrected energy balance step 1'!AJ46),'Corrected energy balance step 1'!AJ46,0)</f>
        <v>0</v>
      </c>
      <c r="AK46" s="158">
        <f>IF(ISNUMBER('Corrected energy balance step 1'!AK46),'Corrected energy balance step 1'!AK46,0)</f>
        <v>0</v>
      </c>
      <c r="AL46" s="158">
        <f>IF(ISNUMBER('Corrected energy balance step 1'!AL46),'Corrected energy balance step 1'!AL46,0)</f>
        <v>0</v>
      </c>
      <c r="AM46" s="158">
        <f>IF(ISNUMBER('Corrected energy balance step 1'!AM46),'Corrected energy balance step 1'!AM46,0)</f>
        <v>0</v>
      </c>
      <c r="AN46" s="158">
        <f>IF(ISNUMBER('Corrected energy balance step 1'!AN46),'Corrected energy balance step 1'!AN46,0)</f>
        <v>0</v>
      </c>
      <c r="AO46" s="158">
        <f>IF(ISNUMBER('Corrected energy balance step 1'!AO46),'Corrected energy balance step 1'!AO46,0)</f>
        <v>0</v>
      </c>
      <c r="AP46" s="158">
        <f>IF(ISNUMBER('Corrected energy balance step 1'!AP46),'Corrected energy balance step 1'!AP46,0)</f>
        <v>0</v>
      </c>
      <c r="AQ46" s="158">
        <f>IF(ISNUMBER('Corrected energy balance step 1'!AQ46),'Corrected energy balance step 1'!AQ46,0)</f>
        <v>0</v>
      </c>
      <c r="AR46" s="158">
        <f>IF(ISNUMBER('Corrected energy balance step 1'!AR46),'Corrected energy balance step 1'!AR46,0)</f>
        <v>0</v>
      </c>
      <c r="AS46" s="158">
        <f>IF(ISNUMBER('Corrected energy balance step 1'!AS46),'Corrected energy balance step 1'!AS46,0)</f>
        <v>0</v>
      </c>
      <c r="AT46" s="158">
        <f>IF(ISNUMBER('Corrected energy balance step 1'!AT46),'Corrected energy balance step 1'!AT46,0)</f>
        <v>0</v>
      </c>
      <c r="AU46" s="158">
        <f>IF(ISNUMBER('Corrected energy balance step 1'!AU46),'Corrected energy balance step 1'!AU46,0)</f>
        <v>0</v>
      </c>
      <c r="AV46" s="158">
        <f>IF(ISNUMBER('Corrected energy balance step 1'!AV46),'Corrected energy balance step 1'!AV46,0)</f>
        <v>0</v>
      </c>
      <c r="AW46" s="158">
        <f>IF(ISNUMBER('Corrected energy balance step 1'!AW46),'Corrected energy balance step 1'!AW46,0)</f>
        <v>0</v>
      </c>
      <c r="AX46" s="158">
        <f>IF(ISNUMBER('Corrected energy balance step 1'!AX46),'Corrected energy balance step 1'!AX46,0)</f>
        <v>0</v>
      </c>
      <c r="AY46" s="158">
        <f>IF(ISNUMBER('Corrected energy balance step 1'!AY46),'Corrected energy balance step 1'!AY46,0)</f>
        <v>0</v>
      </c>
      <c r="AZ46" s="158">
        <f>IF(ISNUMBER('Corrected energy balance step 1'!AZ46),'Corrected energy balance step 1'!AZ46,0)</f>
        <v>0</v>
      </c>
      <c r="BA46" s="158">
        <f>IF(ISNUMBER('Corrected energy balance step 1'!BA46),'Corrected energy balance step 1'!BA46,0)</f>
        <v>0</v>
      </c>
      <c r="BB46" s="158">
        <f>IF(ISNUMBER('Corrected energy balance step 1'!BB46),'Corrected energy balance step 1'!BB46,0)</f>
        <v>0</v>
      </c>
      <c r="BC46" s="158">
        <f>IF(ISNUMBER('Corrected energy balance step 1'!BC46),'Corrected energy balance step 1'!BC46,0)</f>
        <v>0</v>
      </c>
      <c r="BD46" s="158">
        <f>IF(ISNUMBER('Corrected energy balance step 1'!BD46),'Corrected energy balance step 1'!BD46,0)</f>
        <v>0</v>
      </c>
      <c r="BE46" s="158">
        <f>IF(ISNUMBER('Corrected energy balance step 1'!BE46),'Corrected energy balance step 1'!BE46,0)</f>
        <v>0</v>
      </c>
      <c r="BF46" s="158">
        <f>IF(ISNUMBER('Corrected energy balance step 1'!BF46),'Corrected energy balance step 1'!BF46,0)</f>
        <v>0</v>
      </c>
      <c r="BG46" s="158">
        <f>IF(ISNUMBER('Corrected energy balance step 1'!BG46),'Corrected energy balance step 1'!BG46,0)</f>
        <v>0</v>
      </c>
      <c r="BH46" s="158">
        <f>IF(ISNUMBER('Corrected energy balance step 1'!BH46),'Corrected energy balance step 1'!BH46,0)</f>
        <v>0</v>
      </c>
      <c r="BI46" s="158">
        <f>IF(ISNUMBER('Corrected energy balance step 1'!BI46),'Corrected energy balance step 1'!BI46,0)</f>
        <v>0</v>
      </c>
      <c r="BJ46" s="158">
        <f>IF(ISNUMBER('Corrected energy balance step 1'!BJ46),'Corrected energy balance step 1'!BJ46,0)</f>
        <v>0</v>
      </c>
      <c r="BK46" s="158">
        <f>IF(ISNUMBER('Corrected energy balance step 1'!BK46),'Corrected energy balance step 1'!BK46,0)</f>
        <v>0</v>
      </c>
      <c r="BL46" s="158">
        <f>IF(ISNUMBER('Corrected energy balance step 1'!BL46),'Corrected energy balance step 1'!BL46,0)</f>
        <v>0</v>
      </c>
      <c r="BM46" s="158">
        <f>IF(ISNUMBER('Corrected energy balance step 1'!BM46),'Corrected energy balance step 1'!BM46,0)</f>
        <v>0</v>
      </c>
      <c r="BN46" s="156">
        <f t="shared" si="60"/>
        <v>0</v>
      </c>
      <c r="BO46" s="162">
        <f>'Corrected energy balance step 1'!BO46</f>
        <v>0</v>
      </c>
    </row>
    <row r="47" spans="2:67" x14ac:dyDescent="0.2">
      <c r="B47" s="32" t="s">
        <v>73</v>
      </c>
      <c r="C47" s="158">
        <f>IF(ISNUMBER('Corrected energy balance step 1'!C47),'Corrected energy balance step 1'!C47,0)</f>
        <v>0</v>
      </c>
      <c r="D47" s="158">
        <f>IF(ISNUMBER('Corrected energy balance step 1'!D47),'Corrected energy balance step 1'!D47,0)</f>
        <v>0</v>
      </c>
      <c r="E47" s="158">
        <f>IF(ISNUMBER('Corrected energy balance step 1'!E47),'Corrected energy balance step 1'!E47,0)</f>
        <v>0</v>
      </c>
      <c r="F47" s="158">
        <f>IF(ISNUMBER('Corrected energy balance step 1'!F47),'Corrected energy balance step 1'!F47,0)</f>
        <v>0</v>
      </c>
      <c r="G47" s="158">
        <f>IF(ISNUMBER('Corrected energy balance step 1'!G47),'Corrected energy balance step 1'!G47,0)</f>
        <v>0</v>
      </c>
      <c r="H47" s="158">
        <f>IF(ISNUMBER('Corrected energy balance step 1'!H47),'Corrected energy balance step 1'!H47,0)</f>
        <v>0</v>
      </c>
      <c r="I47" s="158">
        <f>IF(ISNUMBER('Corrected energy balance step 1'!I47),'Corrected energy balance step 1'!I47,0)</f>
        <v>0</v>
      </c>
      <c r="J47" s="158">
        <f>IF(ISNUMBER('Corrected energy balance step 1'!J47),'Corrected energy balance step 1'!J47,0)</f>
        <v>0</v>
      </c>
      <c r="K47" s="158">
        <f>IF(ISNUMBER('Corrected energy balance step 1'!K47),'Corrected energy balance step 1'!K47,0)</f>
        <v>0</v>
      </c>
      <c r="L47" s="158">
        <f>IF(ISNUMBER('Corrected energy balance step 1'!L47),'Corrected energy balance step 1'!L47,0)</f>
        <v>0</v>
      </c>
      <c r="M47" s="158">
        <f>IF(ISNUMBER('Corrected energy balance step 1'!M47),'Corrected energy balance step 1'!M47,0)</f>
        <v>0</v>
      </c>
      <c r="N47" s="158">
        <f>IF(ISNUMBER('Corrected energy balance step 1'!N47),'Corrected energy balance step 1'!N47,0)</f>
        <v>0</v>
      </c>
      <c r="O47" s="158">
        <f>IF(ISNUMBER('Corrected energy balance step 1'!O47),'Corrected energy balance step 1'!O47,0)</f>
        <v>0</v>
      </c>
      <c r="P47" s="158">
        <f>IF(ISNUMBER('Corrected energy balance step 1'!P47),'Corrected energy balance step 1'!P47,0)</f>
        <v>0</v>
      </c>
      <c r="Q47" s="158">
        <f>IF(ISNUMBER('Corrected energy balance step 1'!Q47),'Corrected energy balance step 1'!Q47,0)</f>
        <v>0</v>
      </c>
      <c r="R47" s="158">
        <f>IF(ISNUMBER('Corrected energy balance step 1'!R47),'Corrected energy balance step 1'!R47,0)</f>
        <v>0</v>
      </c>
      <c r="S47" s="158">
        <f>IF(ISNUMBER('Corrected energy balance step 1'!S47),'Corrected energy balance step 1'!S47,0)</f>
        <v>0</v>
      </c>
      <c r="T47" s="158">
        <f>IF(ISNUMBER('Corrected energy balance step 1'!T47),'Corrected energy balance step 1'!T47,0)</f>
        <v>0</v>
      </c>
      <c r="U47" s="158">
        <f>IF(ISNUMBER('Corrected energy balance step 1'!U47),'Corrected energy balance step 1'!U47,0)</f>
        <v>0</v>
      </c>
      <c r="V47" s="158">
        <f>IF(ISNUMBER('Corrected energy balance step 1'!V47),'Corrected energy balance step 1'!V47,0)</f>
        <v>0</v>
      </c>
      <c r="W47" s="158">
        <f>IF(ISNUMBER('Corrected energy balance step 1'!W47),'Corrected energy balance step 1'!W47,0)</f>
        <v>0</v>
      </c>
      <c r="X47" s="158">
        <f>IF(ISNUMBER('Corrected energy balance step 1'!X47),'Corrected energy balance step 1'!X47,0)</f>
        <v>0</v>
      </c>
      <c r="Y47" s="158">
        <f>IF(ISNUMBER('Corrected energy balance step 1'!Y47),'Corrected energy balance step 1'!Y47,0)</f>
        <v>0</v>
      </c>
      <c r="Z47" s="158">
        <f>IF(ISNUMBER('Corrected energy balance step 1'!Z47),'Corrected energy balance step 1'!Z47,0)</f>
        <v>0</v>
      </c>
      <c r="AA47" s="158">
        <f>IF(ISNUMBER('Corrected energy balance step 1'!AA47),'Corrected energy balance step 1'!AA47,0)</f>
        <v>0</v>
      </c>
      <c r="AB47" s="158">
        <f>IF(ISNUMBER('Corrected energy balance step 1'!AB47),'Corrected energy balance step 1'!AB47,0)</f>
        <v>0</v>
      </c>
      <c r="AC47" s="158">
        <f>IF(ISNUMBER('Corrected energy balance step 1'!AC47),'Corrected energy balance step 1'!AC47,0)</f>
        <v>0</v>
      </c>
      <c r="AD47" s="158">
        <f>IF(ISNUMBER('Corrected energy balance step 1'!AD47),'Corrected energy balance step 1'!AD47,0)</f>
        <v>0</v>
      </c>
      <c r="AE47" s="158">
        <f>IF(ISNUMBER('Corrected energy balance step 1'!AE47),'Corrected energy balance step 1'!AE47,0)</f>
        <v>0</v>
      </c>
      <c r="AF47" s="158">
        <f>IF(ISNUMBER('Corrected energy balance step 1'!AF47),'Corrected energy balance step 1'!AF47,0)</f>
        <v>0</v>
      </c>
      <c r="AG47" s="158">
        <f>IF(ISNUMBER('Corrected energy balance step 1'!AG47),'Corrected energy balance step 1'!AG47,0)</f>
        <v>0</v>
      </c>
      <c r="AH47" s="158">
        <f>IF(ISNUMBER('Corrected energy balance step 1'!AH47),'Corrected energy balance step 1'!AH47,0)</f>
        <v>0</v>
      </c>
      <c r="AI47" s="158">
        <f>IF(ISNUMBER('Corrected energy balance step 1'!AI47),'Corrected energy balance step 1'!AI47,0)</f>
        <v>0</v>
      </c>
      <c r="AJ47" s="158">
        <f>IF(ISNUMBER('Corrected energy balance step 1'!AJ47),'Corrected energy balance step 1'!AJ47,0)</f>
        <v>0</v>
      </c>
      <c r="AK47" s="158">
        <f>IF(ISNUMBER('Corrected energy balance step 1'!AK47),'Corrected energy balance step 1'!AK47,0)</f>
        <v>0</v>
      </c>
      <c r="AL47" s="158">
        <f>IF(ISNUMBER('Corrected energy balance step 1'!AL47),'Corrected energy balance step 1'!AL47,0)</f>
        <v>0</v>
      </c>
      <c r="AM47" s="158">
        <f>IF(ISNUMBER('Corrected energy balance step 1'!AM47),'Corrected energy balance step 1'!AM47,0)</f>
        <v>0</v>
      </c>
      <c r="AN47" s="158">
        <f>IF(ISNUMBER('Corrected energy balance step 1'!AN47),'Corrected energy balance step 1'!AN47,0)</f>
        <v>0</v>
      </c>
      <c r="AO47" s="158">
        <f>IF(ISNUMBER('Corrected energy balance step 1'!AO47),'Corrected energy balance step 1'!AO47,0)</f>
        <v>0</v>
      </c>
      <c r="AP47" s="158">
        <f>IF(ISNUMBER('Corrected energy balance step 1'!AP47),'Corrected energy balance step 1'!AP47,0)</f>
        <v>0</v>
      </c>
      <c r="AQ47" s="158">
        <f>IF(ISNUMBER('Corrected energy balance step 1'!AQ47),'Corrected energy balance step 1'!AQ47,0)</f>
        <v>0</v>
      </c>
      <c r="AR47" s="158">
        <f>IF(ISNUMBER('Corrected energy balance step 1'!AR47),'Corrected energy balance step 1'!AR47,0)</f>
        <v>0</v>
      </c>
      <c r="AS47" s="158">
        <f>IF(ISNUMBER('Corrected energy balance step 1'!AS47),'Corrected energy balance step 1'!AS47,0)</f>
        <v>0</v>
      </c>
      <c r="AT47" s="158">
        <f>IF(ISNUMBER('Corrected energy balance step 1'!AT47),'Corrected energy balance step 1'!AT47,0)</f>
        <v>0</v>
      </c>
      <c r="AU47" s="158">
        <f>IF(ISNUMBER('Corrected energy balance step 1'!AU47),'Corrected energy balance step 1'!AU47,0)</f>
        <v>0</v>
      </c>
      <c r="AV47" s="158">
        <f>IF(ISNUMBER('Corrected energy balance step 1'!AV47),'Corrected energy balance step 1'!AV47,0)</f>
        <v>0</v>
      </c>
      <c r="AW47" s="158">
        <f>IF(ISNUMBER('Corrected energy balance step 1'!AW47),'Corrected energy balance step 1'!AW47,0)</f>
        <v>0</v>
      </c>
      <c r="AX47" s="158">
        <f>IF(ISNUMBER('Corrected energy balance step 1'!AX47),'Corrected energy balance step 1'!AX47,0)</f>
        <v>0</v>
      </c>
      <c r="AY47" s="158">
        <f>IF(ISNUMBER('Corrected energy balance step 1'!AY47),'Corrected energy balance step 1'!AY47,0)</f>
        <v>0</v>
      </c>
      <c r="AZ47" s="158">
        <f>IF(ISNUMBER('Corrected energy balance step 1'!AZ47),'Corrected energy balance step 1'!AZ47,0)</f>
        <v>0</v>
      </c>
      <c r="BA47" s="158">
        <f>IF(ISNUMBER('Corrected energy balance step 1'!BA47),'Corrected energy balance step 1'!BA47,0)</f>
        <v>0</v>
      </c>
      <c r="BB47" s="158">
        <f>IF(ISNUMBER('Corrected energy balance step 1'!BB47),'Corrected energy balance step 1'!BB47,0)</f>
        <v>0</v>
      </c>
      <c r="BC47" s="158">
        <f>IF(ISNUMBER('Corrected energy balance step 1'!BC47),'Corrected energy balance step 1'!BC47,0)</f>
        <v>0</v>
      </c>
      <c r="BD47" s="158">
        <f>IF(ISNUMBER('Corrected energy balance step 1'!BD47),'Corrected energy balance step 1'!BD47,0)</f>
        <v>0</v>
      </c>
      <c r="BE47" s="158">
        <f>IF(ISNUMBER('Corrected energy balance step 1'!BE47),'Corrected energy balance step 1'!BE47,0)</f>
        <v>0</v>
      </c>
      <c r="BF47" s="158">
        <f>IF(ISNUMBER('Corrected energy balance step 1'!BF47),'Corrected energy balance step 1'!BF47,0)</f>
        <v>0</v>
      </c>
      <c r="BG47" s="158">
        <f>IF(ISNUMBER('Corrected energy balance step 1'!BG47),'Corrected energy balance step 1'!BG47,0)</f>
        <v>0</v>
      </c>
      <c r="BH47" s="158">
        <f>IF(ISNUMBER('Corrected energy balance step 1'!BH47),'Corrected energy balance step 1'!BH47,0)</f>
        <v>0</v>
      </c>
      <c r="BI47" s="158">
        <f>IF(ISNUMBER('Corrected energy balance step 1'!BI47),'Corrected energy balance step 1'!BI47,0)</f>
        <v>0</v>
      </c>
      <c r="BJ47" s="158">
        <f>IF(ISNUMBER('Corrected energy balance step 1'!BJ47),'Corrected energy balance step 1'!BJ47,0)</f>
        <v>0</v>
      </c>
      <c r="BK47" s="158">
        <f>IF(ISNUMBER('Corrected energy balance step 1'!BK47),'Corrected energy balance step 1'!BK47,0)</f>
        <v>0</v>
      </c>
      <c r="BL47" s="158">
        <f>IF(ISNUMBER('Corrected energy balance step 1'!BL47),'Corrected energy balance step 1'!BL47,0)</f>
        <v>0</v>
      </c>
      <c r="BM47" s="158">
        <f>IF(ISNUMBER('Corrected energy balance step 1'!BM47),'Corrected energy balance step 1'!BM47,0)</f>
        <v>0</v>
      </c>
      <c r="BN47" s="156">
        <f t="shared" si="60"/>
        <v>0</v>
      </c>
      <c r="BO47" s="162">
        <f>'Corrected energy balance step 1'!BO47</f>
        <v>0</v>
      </c>
    </row>
    <row r="48" spans="2:67" x14ac:dyDescent="0.2">
      <c r="B48" s="32" t="s">
        <v>74</v>
      </c>
      <c r="C48" s="158">
        <f>IF(ISNUMBER('Corrected energy balance step 1'!C48),'Corrected energy balance step 1'!C48,0)</f>
        <v>0</v>
      </c>
      <c r="D48" s="158">
        <f>IF(ISNUMBER('Corrected energy balance step 1'!D48),'Corrected energy balance step 1'!D48,0)</f>
        <v>0</v>
      </c>
      <c r="E48" s="158">
        <f>IF(ISNUMBER('Corrected energy balance step 1'!E48),'Corrected energy balance step 1'!E48,0)</f>
        <v>0</v>
      </c>
      <c r="F48" s="158">
        <f>IF(ISNUMBER('Corrected energy balance step 1'!F48),'Corrected energy balance step 1'!F48,0)</f>
        <v>0</v>
      </c>
      <c r="G48" s="158">
        <f>IF(ISNUMBER('Corrected energy balance step 1'!G48),'Corrected energy balance step 1'!G48,0)</f>
        <v>0</v>
      </c>
      <c r="H48" s="158">
        <f>IF(ISNUMBER('Corrected energy balance step 1'!H48),'Corrected energy balance step 1'!H48,0)</f>
        <v>0</v>
      </c>
      <c r="I48" s="158">
        <f>IF(ISNUMBER('Corrected energy balance step 1'!I48),'Corrected energy balance step 1'!I48,0)</f>
        <v>0</v>
      </c>
      <c r="J48" s="158">
        <f>IF(ISNUMBER('Corrected energy balance step 1'!J48),'Corrected energy balance step 1'!J48,0)</f>
        <v>0</v>
      </c>
      <c r="K48" s="158">
        <f>IF(ISNUMBER('Corrected energy balance step 1'!K48),'Corrected energy balance step 1'!K48,0)</f>
        <v>0</v>
      </c>
      <c r="L48" s="158">
        <f>IF(ISNUMBER('Corrected energy balance step 1'!L48),'Corrected energy balance step 1'!L48,0)</f>
        <v>0</v>
      </c>
      <c r="M48" s="158">
        <f>IF(ISNUMBER('Corrected energy balance step 1'!M48),'Corrected energy balance step 1'!M48,0)</f>
        <v>0</v>
      </c>
      <c r="N48" s="158">
        <f>IF(ISNUMBER('Corrected energy balance step 1'!N48),'Corrected energy balance step 1'!N48,0)</f>
        <v>0</v>
      </c>
      <c r="O48" s="158">
        <f>IF(ISNUMBER('Corrected energy balance step 1'!O48),'Corrected energy balance step 1'!O48,0)</f>
        <v>0</v>
      </c>
      <c r="P48" s="158">
        <f>IF(ISNUMBER('Corrected energy balance step 1'!P48),'Corrected energy balance step 1'!P48,0)</f>
        <v>0</v>
      </c>
      <c r="Q48" s="158">
        <f>IF(ISNUMBER('Corrected energy balance step 1'!Q48),'Corrected energy balance step 1'!Q48,0)</f>
        <v>0</v>
      </c>
      <c r="R48" s="158">
        <f>IF(ISNUMBER('Corrected energy balance step 1'!R48),'Corrected energy balance step 1'!R48,0)</f>
        <v>0</v>
      </c>
      <c r="S48" s="158">
        <f>IF(ISNUMBER('Corrected energy balance step 1'!S48),'Corrected energy balance step 1'!S48,0)</f>
        <v>0</v>
      </c>
      <c r="T48" s="158">
        <f>IF(ISNUMBER('Corrected energy balance step 1'!T48),'Corrected energy balance step 1'!T48,0)</f>
        <v>0</v>
      </c>
      <c r="U48" s="158">
        <f>IF(ISNUMBER('Corrected energy balance step 1'!U48),'Corrected energy balance step 1'!U48,0)</f>
        <v>0</v>
      </c>
      <c r="V48" s="158">
        <f>IF(ISNUMBER('Corrected energy balance step 1'!V48),'Corrected energy balance step 1'!V48,0)</f>
        <v>0</v>
      </c>
      <c r="W48" s="158">
        <f>IF(ISNUMBER('Corrected energy balance step 1'!W48),'Corrected energy balance step 1'!W48,0)</f>
        <v>0</v>
      </c>
      <c r="X48" s="158">
        <f>IF(ISNUMBER('Corrected energy balance step 1'!X48),'Corrected energy balance step 1'!X48,0)</f>
        <v>0</v>
      </c>
      <c r="Y48" s="158">
        <f>IF(ISNUMBER('Corrected energy balance step 1'!Y48),'Corrected energy balance step 1'!Y48,0)</f>
        <v>0</v>
      </c>
      <c r="Z48" s="158">
        <f>IF(ISNUMBER('Corrected energy balance step 1'!Z48),'Corrected energy balance step 1'!Z48,0)</f>
        <v>0</v>
      </c>
      <c r="AA48" s="158">
        <f>IF(ISNUMBER('Corrected energy balance step 1'!AA48),'Corrected energy balance step 1'!AA48,0)</f>
        <v>0</v>
      </c>
      <c r="AB48" s="158">
        <f>IF(ISNUMBER('Corrected energy balance step 1'!AB48),'Corrected energy balance step 1'!AB48,0)</f>
        <v>0</v>
      </c>
      <c r="AC48" s="158">
        <f>IF(ISNUMBER('Corrected energy balance step 1'!AC48),'Corrected energy balance step 1'!AC48,0)</f>
        <v>0</v>
      </c>
      <c r="AD48" s="158">
        <f>IF(ISNUMBER('Corrected energy balance step 1'!AD48),'Corrected energy balance step 1'!AD48,0)</f>
        <v>0</v>
      </c>
      <c r="AE48" s="158">
        <f>IF(ISNUMBER('Corrected energy balance step 1'!AE48),'Corrected energy balance step 1'!AE48,0)</f>
        <v>0</v>
      </c>
      <c r="AF48" s="158">
        <f>IF(ISNUMBER('Corrected energy balance step 1'!AF48),'Corrected energy balance step 1'!AF48,0)</f>
        <v>0</v>
      </c>
      <c r="AG48" s="158">
        <f>IF(ISNUMBER('Corrected energy balance step 1'!AG48),'Corrected energy balance step 1'!AG48,0)</f>
        <v>0</v>
      </c>
      <c r="AH48" s="158">
        <f>IF(ISNUMBER('Corrected energy balance step 1'!AH48),'Corrected energy balance step 1'!AH48,0)</f>
        <v>0</v>
      </c>
      <c r="AI48" s="158">
        <f>IF(ISNUMBER('Corrected energy balance step 1'!AI48),'Corrected energy balance step 1'!AI48,0)</f>
        <v>0</v>
      </c>
      <c r="AJ48" s="158">
        <f>IF(ISNUMBER('Corrected energy balance step 1'!AJ48),'Corrected energy balance step 1'!AJ48,0)</f>
        <v>0</v>
      </c>
      <c r="AK48" s="158">
        <f>IF(ISNUMBER('Corrected energy balance step 1'!AK48),'Corrected energy balance step 1'!AK48,0)</f>
        <v>0</v>
      </c>
      <c r="AL48" s="158">
        <f>IF(ISNUMBER('Corrected energy balance step 1'!AL48),'Corrected energy balance step 1'!AL48,0)</f>
        <v>0</v>
      </c>
      <c r="AM48" s="158">
        <f>IF(ISNUMBER('Corrected energy balance step 1'!AM48),'Corrected energy balance step 1'!AM48,0)</f>
        <v>0</v>
      </c>
      <c r="AN48" s="158">
        <f>IF(ISNUMBER('Corrected energy balance step 1'!AN48),'Corrected energy balance step 1'!AN48,0)</f>
        <v>0</v>
      </c>
      <c r="AO48" s="158">
        <f>IF(ISNUMBER('Corrected energy balance step 1'!AO48),'Corrected energy balance step 1'!AO48,0)</f>
        <v>0</v>
      </c>
      <c r="AP48" s="158">
        <f>IF(ISNUMBER('Corrected energy balance step 1'!AP48),'Corrected energy balance step 1'!AP48,0)</f>
        <v>0</v>
      </c>
      <c r="AQ48" s="158">
        <f>IF(ISNUMBER('Corrected energy balance step 1'!AQ48),'Corrected energy balance step 1'!AQ48,0)</f>
        <v>0</v>
      </c>
      <c r="AR48" s="158">
        <f>IF(ISNUMBER('Corrected energy balance step 1'!AR48),'Corrected energy balance step 1'!AR48,0)</f>
        <v>0</v>
      </c>
      <c r="AS48" s="158">
        <f>IF(ISNUMBER('Corrected energy balance step 1'!AS48),'Corrected energy balance step 1'!AS48,0)</f>
        <v>0</v>
      </c>
      <c r="AT48" s="158">
        <f>IF(ISNUMBER('Corrected energy balance step 1'!AT48),'Corrected energy balance step 1'!AT48,0)</f>
        <v>0</v>
      </c>
      <c r="AU48" s="158">
        <f>IF(ISNUMBER('Corrected energy balance step 1'!AU48),'Corrected energy balance step 1'!AU48,0)</f>
        <v>0</v>
      </c>
      <c r="AV48" s="158">
        <f>IF(ISNUMBER('Corrected energy balance step 1'!AV48),'Corrected energy balance step 1'!AV48,0)</f>
        <v>0</v>
      </c>
      <c r="AW48" s="158">
        <f>IF(ISNUMBER('Corrected energy balance step 1'!AW48),'Corrected energy balance step 1'!AW48,0)</f>
        <v>0</v>
      </c>
      <c r="AX48" s="158">
        <f>IF(ISNUMBER('Corrected energy balance step 1'!AX48),'Corrected energy balance step 1'!AX48,0)</f>
        <v>0</v>
      </c>
      <c r="AY48" s="158">
        <f>IF(ISNUMBER('Corrected energy balance step 1'!AY48),'Corrected energy balance step 1'!AY48,0)</f>
        <v>0</v>
      </c>
      <c r="AZ48" s="158">
        <f>IF(ISNUMBER('Corrected energy balance step 1'!AZ48),'Corrected energy balance step 1'!AZ48,0)</f>
        <v>0</v>
      </c>
      <c r="BA48" s="158">
        <f>IF(ISNUMBER('Corrected energy balance step 1'!BA48),'Corrected energy balance step 1'!BA48,0)</f>
        <v>0</v>
      </c>
      <c r="BB48" s="158">
        <f>IF(ISNUMBER('Corrected energy balance step 1'!BB48),'Corrected energy balance step 1'!BB48,0)</f>
        <v>0</v>
      </c>
      <c r="BC48" s="158">
        <f>IF(ISNUMBER('Corrected energy balance step 1'!BC48),'Corrected energy balance step 1'!BC48,0)</f>
        <v>0</v>
      </c>
      <c r="BD48" s="158">
        <f>IF(ISNUMBER('Corrected energy balance step 1'!BD48),'Corrected energy balance step 1'!BD48,0)</f>
        <v>0</v>
      </c>
      <c r="BE48" s="158">
        <f>IF(ISNUMBER('Corrected energy balance step 1'!BE48),'Corrected energy balance step 1'!BE48,0)</f>
        <v>0</v>
      </c>
      <c r="BF48" s="158">
        <f>IF(ISNUMBER('Corrected energy balance step 1'!BF48),'Corrected energy balance step 1'!BF48,0)</f>
        <v>0</v>
      </c>
      <c r="BG48" s="158">
        <f>IF(ISNUMBER('Corrected energy balance step 1'!BG48),'Corrected energy balance step 1'!BG48,0)</f>
        <v>0</v>
      </c>
      <c r="BH48" s="158">
        <f>IF(ISNUMBER('Corrected energy balance step 1'!BH48),'Corrected energy balance step 1'!BH48,0)</f>
        <v>0</v>
      </c>
      <c r="BI48" s="158">
        <f>IF(ISNUMBER('Corrected energy balance step 1'!BI48),'Corrected energy balance step 1'!BI48,0)</f>
        <v>0</v>
      </c>
      <c r="BJ48" s="158">
        <f>IF(ISNUMBER('Corrected energy balance step 1'!BJ48),'Corrected energy balance step 1'!BJ48,0)</f>
        <v>0</v>
      </c>
      <c r="BK48" s="158">
        <f>IF(ISNUMBER('Corrected energy balance step 1'!BK48),'Corrected energy balance step 1'!BK48,0)</f>
        <v>0</v>
      </c>
      <c r="BL48" s="158">
        <f>IF(ISNUMBER('Corrected energy balance step 1'!BL48),'Corrected energy balance step 1'!BL48,0)</f>
        <v>0</v>
      </c>
      <c r="BM48" s="158">
        <f>IF(ISNUMBER('Corrected energy balance step 1'!BM48),'Corrected energy balance step 1'!BM48,0)</f>
        <v>0</v>
      </c>
      <c r="BN48" s="156">
        <f t="shared" si="60"/>
        <v>0</v>
      </c>
      <c r="BO48" s="162">
        <f>'Corrected energy balance step 1'!BO48</f>
        <v>0</v>
      </c>
    </row>
    <row r="49" spans="2:69" x14ac:dyDescent="0.2">
      <c r="B49" s="32" t="s">
        <v>75</v>
      </c>
      <c r="C49" s="158">
        <f>IF(ISNUMBER('Corrected energy balance step 1'!C49),'Corrected energy balance step 1'!C49,0)</f>
        <v>0</v>
      </c>
      <c r="D49" s="158">
        <f>IF(ISNUMBER('Corrected energy balance step 1'!D49),'Corrected energy balance step 1'!D49,0)</f>
        <v>0</v>
      </c>
      <c r="E49" s="158">
        <f>IF(ISNUMBER('Corrected energy balance step 1'!E49),'Corrected energy balance step 1'!E49,0)</f>
        <v>0</v>
      </c>
      <c r="F49" s="158">
        <f>IF(ISNUMBER('Corrected energy balance step 1'!F49),'Corrected energy balance step 1'!F49,0)</f>
        <v>0</v>
      </c>
      <c r="G49" s="158">
        <f>IF(ISNUMBER('Corrected energy balance step 1'!G49),'Corrected energy balance step 1'!G49,0)</f>
        <v>0</v>
      </c>
      <c r="H49" s="158">
        <f>IF(ISNUMBER('Corrected energy balance step 1'!H49),'Corrected energy balance step 1'!H49,0)</f>
        <v>0</v>
      </c>
      <c r="I49" s="158">
        <f>IF(ISNUMBER('Corrected energy balance step 1'!I49),'Corrected energy balance step 1'!I49,0)</f>
        <v>0</v>
      </c>
      <c r="J49" s="158">
        <f>IF(ISNUMBER('Corrected energy balance step 1'!J49),'Corrected energy balance step 1'!J49,0)</f>
        <v>0</v>
      </c>
      <c r="K49" s="158">
        <f>IF(ISNUMBER('Corrected energy balance step 1'!K49),'Corrected energy balance step 1'!K49,0)</f>
        <v>0</v>
      </c>
      <c r="L49" s="158">
        <f>IF(ISNUMBER('Corrected energy balance step 1'!L49),'Corrected energy balance step 1'!L49,0)</f>
        <v>0</v>
      </c>
      <c r="M49" s="158">
        <f>IF(ISNUMBER('Corrected energy balance step 1'!M49),'Corrected energy balance step 1'!M49,0)</f>
        <v>0</v>
      </c>
      <c r="N49" s="158">
        <f>IF(ISNUMBER('Corrected energy balance step 1'!N49),'Corrected energy balance step 1'!N49,0)</f>
        <v>0</v>
      </c>
      <c r="O49" s="158">
        <f>IF(ISNUMBER('Corrected energy balance step 1'!O49),'Corrected energy balance step 1'!O49,0)</f>
        <v>0</v>
      </c>
      <c r="P49" s="158">
        <f>IF(ISNUMBER('Corrected energy balance step 1'!P49),'Corrected energy balance step 1'!P49,0)</f>
        <v>0</v>
      </c>
      <c r="Q49" s="158">
        <f>IF(ISNUMBER('Corrected energy balance step 1'!Q49),'Corrected energy balance step 1'!Q49,0)</f>
        <v>0</v>
      </c>
      <c r="R49" s="158">
        <f>IF(ISNUMBER('Corrected energy balance step 1'!R49),'Corrected energy balance step 1'!R49,0)</f>
        <v>0</v>
      </c>
      <c r="S49" s="158">
        <f>IF(ISNUMBER('Corrected energy balance step 1'!S49),'Corrected energy balance step 1'!S49,0)</f>
        <v>0</v>
      </c>
      <c r="T49" s="158">
        <f>IF(ISNUMBER('Corrected energy balance step 1'!T49),'Corrected energy balance step 1'!T49,0)</f>
        <v>0</v>
      </c>
      <c r="U49" s="158">
        <f>IF(ISNUMBER('Corrected energy balance step 1'!U49),'Corrected energy balance step 1'!U49,0)</f>
        <v>0</v>
      </c>
      <c r="V49" s="158">
        <f>IF(ISNUMBER('Corrected energy balance step 1'!V49),'Corrected energy balance step 1'!V49,0)</f>
        <v>0</v>
      </c>
      <c r="W49" s="158">
        <f>IF(ISNUMBER('Corrected energy balance step 1'!W49),'Corrected energy balance step 1'!W49,0)</f>
        <v>0</v>
      </c>
      <c r="X49" s="158">
        <f>IF(ISNUMBER('Corrected energy balance step 1'!X49),'Corrected energy balance step 1'!X49,0)</f>
        <v>0</v>
      </c>
      <c r="Y49" s="158">
        <f>IF(ISNUMBER('Corrected energy balance step 1'!Y49),'Corrected energy balance step 1'!Y49,0)</f>
        <v>0</v>
      </c>
      <c r="Z49" s="158">
        <f>IF(ISNUMBER('Corrected energy balance step 1'!Z49),'Corrected energy balance step 1'!Z49,0)</f>
        <v>0</v>
      </c>
      <c r="AA49" s="158">
        <f>IF(ISNUMBER('Corrected energy balance step 1'!AA49),'Corrected energy balance step 1'!AA49,0)</f>
        <v>0</v>
      </c>
      <c r="AB49" s="158">
        <f>IF(ISNUMBER('Corrected energy balance step 1'!AB49),'Corrected energy balance step 1'!AB49,0)</f>
        <v>0</v>
      </c>
      <c r="AC49" s="158">
        <f>IF(ISNUMBER('Corrected energy balance step 1'!AC49),'Corrected energy balance step 1'!AC49,0)</f>
        <v>0</v>
      </c>
      <c r="AD49" s="158">
        <f>IF(ISNUMBER('Corrected energy balance step 1'!AD49),'Corrected energy balance step 1'!AD49,0)</f>
        <v>0</v>
      </c>
      <c r="AE49" s="158">
        <f>IF(ISNUMBER('Corrected energy balance step 1'!AE49),'Corrected energy balance step 1'!AE49,0)</f>
        <v>0</v>
      </c>
      <c r="AF49" s="158">
        <f>IF(ISNUMBER('Corrected energy balance step 1'!AF49),'Corrected energy balance step 1'!AF49,0)</f>
        <v>0</v>
      </c>
      <c r="AG49" s="158">
        <f>IF(ISNUMBER('Corrected energy balance step 1'!AG49),'Corrected energy balance step 1'!AG49,0)</f>
        <v>0</v>
      </c>
      <c r="AH49" s="158">
        <f>IF(ISNUMBER('Corrected energy balance step 1'!AH49),'Corrected energy balance step 1'!AH49,0)</f>
        <v>0</v>
      </c>
      <c r="AI49" s="158">
        <f>IF(ISNUMBER('Corrected energy balance step 1'!AI49),'Corrected energy balance step 1'!AI49,0)</f>
        <v>0</v>
      </c>
      <c r="AJ49" s="158">
        <f>IF(ISNUMBER('Corrected energy balance step 1'!AJ49),'Corrected energy balance step 1'!AJ49,0)</f>
        <v>0</v>
      </c>
      <c r="AK49" s="158">
        <f>IF(ISNUMBER('Corrected energy balance step 1'!AK49),'Corrected energy balance step 1'!AK49,0)</f>
        <v>0</v>
      </c>
      <c r="AL49" s="158">
        <f>IF(ISNUMBER('Corrected energy balance step 1'!AL49),'Corrected energy balance step 1'!AL49,0)</f>
        <v>0</v>
      </c>
      <c r="AM49" s="158">
        <f>IF(ISNUMBER('Corrected energy balance step 1'!AM49),'Corrected energy balance step 1'!AM49,0)</f>
        <v>0</v>
      </c>
      <c r="AN49" s="158">
        <f>IF(ISNUMBER('Corrected energy balance step 1'!AN49),'Corrected energy balance step 1'!AN49,0)</f>
        <v>0</v>
      </c>
      <c r="AO49" s="158">
        <f>IF(ISNUMBER('Corrected energy balance step 1'!AO49),'Corrected energy balance step 1'!AO49,0)</f>
        <v>0</v>
      </c>
      <c r="AP49" s="158">
        <f>IF(ISNUMBER('Corrected energy balance step 1'!AP49),'Corrected energy balance step 1'!AP49,0)</f>
        <v>0</v>
      </c>
      <c r="AQ49" s="158">
        <f>IF(ISNUMBER('Corrected energy balance step 1'!AQ49),'Corrected energy balance step 1'!AQ49,0)</f>
        <v>0</v>
      </c>
      <c r="AR49" s="158">
        <f>IF(ISNUMBER('Corrected energy balance step 1'!AR49),'Corrected energy balance step 1'!AR49,0)</f>
        <v>0</v>
      </c>
      <c r="AS49" s="158">
        <f>IF(ISNUMBER('Corrected energy balance step 1'!AS49),'Corrected energy balance step 1'!AS49,0)</f>
        <v>0</v>
      </c>
      <c r="AT49" s="158">
        <f>IF(ISNUMBER('Corrected energy balance step 1'!AT49),'Corrected energy balance step 1'!AT49,0)</f>
        <v>0</v>
      </c>
      <c r="AU49" s="158">
        <f>IF(ISNUMBER('Corrected energy balance step 1'!AU49),'Corrected energy balance step 1'!AU49,0)</f>
        <v>0</v>
      </c>
      <c r="AV49" s="158">
        <f>IF(ISNUMBER('Corrected energy balance step 1'!AV49),'Corrected energy balance step 1'!AV49,0)</f>
        <v>0</v>
      </c>
      <c r="AW49" s="158">
        <f>IF(ISNUMBER('Corrected energy balance step 1'!AW49),'Corrected energy balance step 1'!AW49,0)</f>
        <v>0</v>
      </c>
      <c r="AX49" s="158">
        <f>IF(ISNUMBER('Corrected energy balance step 1'!AX49),'Corrected energy balance step 1'!AX49,0)</f>
        <v>0</v>
      </c>
      <c r="AY49" s="158">
        <f>IF(ISNUMBER('Corrected energy balance step 1'!AY49),'Corrected energy balance step 1'!AY49,0)</f>
        <v>0</v>
      </c>
      <c r="AZ49" s="158">
        <f>IF(ISNUMBER('Corrected energy balance step 1'!AZ49),'Corrected energy balance step 1'!AZ49,0)</f>
        <v>0</v>
      </c>
      <c r="BA49" s="158">
        <f>IF(ISNUMBER('Corrected energy balance step 1'!BA49),'Corrected energy balance step 1'!BA49,0)</f>
        <v>0</v>
      </c>
      <c r="BB49" s="158">
        <f>IF(ISNUMBER('Corrected energy balance step 1'!BB49),'Corrected energy balance step 1'!BB49,0)</f>
        <v>0</v>
      </c>
      <c r="BC49" s="158">
        <f>IF(ISNUMBER('Corrected energy balance step 1'!BC49),'Corrected energy balance step 1'!BC49,0)</f>
        <v>0</v>
      </c>
      <c r="BD49" s="158">
        <f>IF(ISNUMBER('Corrected energy balance step 1'!BD49),'Corrected energy balance step 1'!BD49,0)</f>
        <v>0</v>
      </c>
      <c r="BE49" s="158">
        <f>IF(ISNUMBER('Corrected energy balance step 1'!BE49),'Corrected energy balance step 1'!BE49,0)</f>
        <v>0</v>
      </c>
      <c r="BF49" s="158">
        <f>IF(ISNUMBER('Corrected energy balance step 1'!BF49),'Corrected energy balance step 1'!BF49,0)</f>
        <v>0</v>
      </c>
      <c r="BG49" s="158">
        <f>IF(ISNUMBER('Corrected energy balance step 1'!BG49),'Corrected energy balance step 1'!BG49,0)</f>
        <v>0</v>
      </c>
      <c r="BH49" s="158">
        <f>IF(ISNUMBER('Corrected energy balance step 1'!BH49),'Corrected energy balance step 1'!BH49,0)</f>
        <v>0</v>
      </c>
      <c r="BI49" s="158">
        <f>IF(ISNUMBER('Corrected energy balance step 1'!BI49),'Corrected energy balance step 1'!BI49,0)</f>
        <v>0</v>
      </c>
      <c r="BJ49" s="158">
        <f>IF(ISNUMBER('Corrected energy balance step 1'!BJ49),'Corrected energy balance step 1'!BJ49,0)</f>
        <v>0</v>
      </c>
      <c r="BK49" s="158">
        <f>IF(ISNUMBER('Corrected energy balance step 1'!BK49),'Corrected energy balance step 1'!BK49,0)</f>
        <v>0</v>
      </c>
      <c r="BL49" s="158">
        <f>IF(ISNUMBER('Corrected energy balance step 1'!BL49),'Corrected energy balance step 1'!BL49,0)</f>
        <v>0</v>
      </c>
      <c r="BM49" s="158">
        <f>IF(ISNUMBER('Corrected energy balance step 1'!BM49),'Corrected energy balance step 1'!BM49,0)</f>
        <v>0</v>
      </c>
      <c r="BN49" s="156">
        <f t="shared" si="60"/>
        <v>0</v>
      </c>
      <c r="BO49" s="162">
        <f>'Corrected energy balance step 1'!BO49</f>
        <v>0</v>
      </c>
    </row>
    <row r="50" spans="2:69" x14ac:dyDescent="0.2">
      <c r="B50" s="32" t="s">
        <v>77</v>
      </c>
      <c r="C50" s="158">
        <f>IF(ISNUMBER('Corrected energy balance step 1'!C50),'Corrected energy balance step 1'!C50,0)</f>
        <v>0</v>
      </c>
      <c r="D50" s="158">
        <f>IF(ISNUMBER('Corrected energy balance step 1'!D50),'Corrected energy balance step 1'!D50,0)</f>
        <v>0</v>
      </c>
      <c r="E50" s="158">
        <f>IF(ISNUMBER('Corrected energy balance step 1'!E50),'Corrected energy balance step 1'!E50,0)</f>
        <v>0</v>
      </c>
      <c r="F50" s="158">
        <f>IF(ISNUMBER('Corrected energy balance step 1'!F50),'Corrected energy balance step 1'!F50,0)</f>
        <v>0</v>
      </c>
      <c r="G50" s="158">
        <f>IF(ISNUMBER('Corrected energy balance step 1'!G50),'Corrected energy balance step 1'!G50,0)</f>
        <v>0</v>
      </c>
      <c r="H50" s="158">
        <f>IF(ISNUMBER('Corrected energy balance step 1'!H50),'Corrected energy balance step 1'!H50,0)</f>
        <v>0</v>
      </c>
      <c r="I50" s="158">
        <f>IF(ISNUMBER('Corrected energy balance step 1'!I50),'Corrected energy balance step 1'!I50,0)</f>
        <v>0</v>
      </c>
      <c r="J50" s="158">
        <f>IF(ISNUMBER('Corrected energy balance step 1'!J50),'Corrected energy balance step 1'!J50,0)</f>
        <v>0</v>
      </c>
      <c r="K50" s="158">
        <f>IF(ISNUMBER('Corrected energy balance step 1'!K50),'Corrected energy balance step 1'!K50,0)</f>
        <v>0</v>
      </c>
      <c r="L50" s="158">
        <f>IF(ISNUMBER('Corrected energy balance step 1'!L50),'Corrected energy balance step 1'!L50,0)</f>
        <v>0</v>
      </c>
      <c r="M50" s="158">
        <f>IF(ISNUMBER('Corrected energy balance step 1'!M50),'Corrected energy balance step 1'!M50,0)</f>
        <v>0</v>
      </c>
      <c r="N50" s="158">
        <f>IF(ISNUMBER('Corrected energy balance step 1'!N50),'Corrected energy balance step 1'!N50,0)</f>
        <v>0</v>
      </c>
      <c r="O50" s="158">
        <f>IF(ISNUMBER('Corrected energy balance step 1'!O50),'Corrected energy balance step 1'!O50,0)</f>
        <v>0</v>
      </c>
      <c r="P50" s="158">
        <f>IF(ISNUMBER('Corrected energy balance step 1'!P50),'Corrected energy balance step 1'!P50,0)</f>
        <v>0</v>
      </c>
      <c r="Q50" s="158">
        <f>IF(ISNUMBER('Corrected energy balance step 1'!Q50),'Corrected energy balance step 1'!Q50,0)</f>
        <v>0</v>
      </c>
      <c r="R50" s="158">
        <f>IF(ISNUMBER('Corrected energy balance step 1'!R50),'Corrected energy balance step 1'!R50,0)</f>
        <v>0</v>
      </c>
      <c r="S50" s="158">
        <f>IF(ISNUMBER('Corrected energy balance step 1'!S50),'Corrected energy balance step 1'!S50,0)</f>
        <v>0</v>
      </c>
      <c r="T50" s="158">
        <f>IF(ISNUMBER('Corrected energy balance step 1'!T50),'Corrected energy balance step 1'!T50,0)</f>
        <v>0</v>
      </c>
      <c r="U50" s="158">
        <f>IF(ISNUMBER('Corrected energy balance step 1'!U50),'Corrected energy balance step 1'!U50,0)</f>
        <v>0</v>
      </c>
      <c r="V50" s="158">
        <f>IF(ISNUMBER('Corrected energy balance step 1'!V50),'Corrected energy balance step 1'!V50,0)</f>
        <v>0</v>
      </c>
      <c r="W50" s="158">
        <f>IF(ISNUMBER('Corrected energy balance step 1'!W50),'Corrected energy balance step 1'!W50,0)</f>
        <v>0</v>
      </c>
      <c r="X50" s="158">
        <f>IF(ISNUMBER('Corrected energy balance step 1'!X50),'Corrected energy balance step 1'!X50,0)</f>
        <v>0</v>
      </c>
      <c r="Y50" s="158">
        <f>IF(ISNUMBER('Corrected energy balance step 1'!Y50),'Corrected energy balance step 1'!Y50,0)</f>
        <v>0</v>
      </c>
      <c r="Z50" s="158">
        <f>IF(ISNUMBER('Corrected energy balance step 1'!Z50),'Corrected energy balance step 1'!Z50,0)</f>
        <v>0</v>
      </c>
      <c r="AA50" s="158">
        <f>IF(ISNUMBER('Corrected energy balance step 1'!AA50),'Corrected energy balance step 1'!AA50,0)</f>
        <v>0</v>
      </c>
      <c r="AB50" s="158">
        <f>IF(ISNUMBER('Corrected energy balance step 1'!AB50),'Corrected energy balance step 1'!AB50,0)</f>
        <v>0</v>
      </c>
      <c r="AC50" s="158">
        <f>IF(ISNUMBER('Corrected energy balance step 1'!AC50),'Corrected energy balance step 1'!AC50,0)</f>
        <v>0</v>
      </c>
      <c r="AD50" s="158">
        <f>IF(ISNUMBER('Corrected energy balance step 1'!AD50),'Corrected energy balance step 1'!AD50,0)</f>
        <v>0</v>
      </c>
      <c r="AE50" s="158">
        <f>IF(ISNUMBER('Corrected energy balance step 1'!AE50),'Corrected energy balance step 1'!AE50,0)</f>
        <v>0</v>
      </c>
      <c r="AF50" s="158">
        <f>IF(ISNUMBER('Corrected energy balance step 1'!AF50),'Corrected energy balance step 1'!AF50,0)</f>
        <v>0</v>
      </c>
      <c r="AG50" s="158">
        <f>IF(ISNUMBER('Corrected energy balance step 1'!AG50),'Corrected energy balance step 1'!AG50,0)</f>
        <v>0</v>
      </c>
      <c r="AH50" s="158">
        <f>IF(ISNUMBER('Corrected energy balance step 1'!AH50),'Corrected energy balance step 1'!AH50,0)</f>
        <v>0</v>
      </c>
      <c r="AI50" s="158">
        <f>IF(ISNUMBER('Corrected energy balance step 1'!AI50),'Corrected energy balance step 1'!AI50,0)</f>
        <v>0</v>
      </c>
      <c r="AJ50" s="158">
        <f>IF(ISNUMBER('Corrected energy balance step 1'!AJ50),'Corrected energy balance step 1'!AJ50,0)</f>
        <v>0</v>
      </c>
      <c r="AK50" s="158">
        <f>IF(ISNUMBER('Corrected energy balance step 1'!AK50),'Corrected energy balance step 1'!AK50,0)</f>
        <v>0</v>
      </c>
      <c r="AL50" s="158">
        <f>IF(ISNUMBER('Corrected energy balance step 1'!AL50),'Corrected energy balance step 1'!AL50,0)</f>
        <v>0</v>
      </c>
      <c r="AM50" s="158">
        <f>IF(ISNUMBER('Corrected energy balance step 1'!AM50),'Corrected energy balance step 1'!AM50,0)</f>
        <v>0</v>
      </c>
      <c r="AN50" s="158">
        <f>IF(ISNUMBER('Corrected energy balance step 1'!AN50),'Corrected energy balance step 1'!AN50,0)</f>
        <v>0</v>
      </c>
      <c r="AO50" s="158">
        <f>IF(ISNUMBER('Corrected energy balance step 1'!AO50),'Corrected energy balance step 1'!AO50,0)</f>
        <v>0</v>
      </c>
      <c r="AP50" s="158">
        <f>IF(ISNUMBER('Corrected energy balance step 1'!AP50),'Corrected energy balance step 1'!AP50,0)</f>
        <v>0</v>
      </c>
      <c r="AQ50" s="158">
        <f>IF(ISNUMBER('Corrected energy balance step 1'!AQ50),'Corrected energy balance step 1'!AQ50,0)</f>
        <v>0</v>
      </c>
      <c r="AR50" s="158">
        <f>IF(ISNUMBER('Corrected energy balance step 1'!AR50),'Corrected energy balance step 1'!AR50,0)</f>
        <v>0</v>
      </c>
      <c r="AS50" s="158">
        <f>IF(ISNUMBER('Corrected energy balance step 1'!AS50),'Corrected energy balance step 1'!AS50,0)</f>
        <v>0</v>
      </c>
      <c r="AT50" s="158">
        <f>IF(ISNUMBER('Corrected energy balance step 1'!AT50),'Corrected energy balance step 1'!AT50,0)</f>
        <v>0</v>
      </c>
      <c r="AU50" s="158">
        <f>IF(ISNUMBER('Corrected energy balance step 1'!AU50),'Corrected energy balance step 1'!AU50,0)</f>
        <v>0</v>
      </c>
      <c r="AV50" s="158">
        <f>IF(ISNUMBER('Corrected energy balance step 1'!AV50),'Corrected energy balance step 1'!AV50,0)</f>
        <v>0</v>
      </c>
      <c r="AW50" s="158">
        <f>IF(ISNUMBER('Corrected energy balance step 1'!AW50),'Corrected energy balance step 1'!AW50,0)</f>
        <v>0</v>
      </c>
      <c r="AX50" s="158">
        <f>IF(ISNUMBER('Corrected energy balance step 1'!AX50),'Corrected energy balance step 1'!AX50,0)</f>
        <v>0</v>
      </c>
      <c r="AY50" s="158">
        <f>IF(ISNUMBER('Corrected energy balance step 1'!AY50),'Corrected energy balance step 1'!AY50,0)</f>
        <v>0</v>
      </c>
      <c r="AZ50" s="158">
        <f>IF(ISNUMBER('Corrected energy balance step 1'!AZ50),'Corrected energy balance step 1'!AZ50,0)</f>
        <v>0</v>
      </c>
      <c r="BA50" s="158">
        <f>IF(ISNUMBER('Corrected energy balance step 1'!BA50),'Corrected energy balance step 1'!BA50,0)</f>
        <v>0</v>
      </c>
      <c r="BB50" s="158">
        <f>IF(ISNUMBER('Corrected energy balance step 1'!BB50),'Corrected energy balance step 1'!BB50,0)</f>
        <v>0</v>
      </c>
      <c r="BC50" s="158">
        <f>IF(ISNUMBER('Corrected energy balance step 1'!BC50),'Corrected energy balance step 1'!BC50,0)</f>
        <v>0</v>
      </c>
      <c r="BD50" s="158">
        <f>IF(ISNUMBER('Corrected energy balance step 1'!BD50),'Corrected energy balance step 1'!BD50,0)</f>
        <v>0</v>
      </c>
      <c r="BE50" s="158">
        <f>IF(ISNUMBER('Corrected energy balance step 1'!BE50),'Corrected energy balance step 1'!BE50,0)</f>
        <v>0</v>
      </c>
      <c r="BF50" s="158">
        <f>IF(ISNUMBER('Corrected energy balance step 1'!BF50),'Corrected energy balance step 1'!BF50,0)</f>
        <v>0</v>
      </c>
      <c r="BG50" s="158">
        <f>IF(ISNUMBER('Corrected energy balance step 1'!BG50),'Corrected energy balance step 1'!BG50,0)</f>
        <v>0</v>
      </c>
      <c r="BH50" s="158">
        <f>IF(ISNUMBER('Corrected energy balance step 1'!BH50),'Corrected energy balance step 1'!BH50,0)</f>
        <v>0</v>
      </c>
      <c r="BI50" s="158">
        <f>IF(ISNUMBER('Corrected energy balance step 1'!BI50),'Corrected energy balance step 1'!BI50,0)</f>
        <v>0</v>
      </c>
      <c r="BJ50" s="158">
        <f>IF(ISNUMBER('Corrected energy balance step 1'!BJ50),'Corrected energy balance step 1'!BJ50,0)</f>
        <v>0</v>
      </c>
      <c r="BK50" s="158">
        <f>IF(ISNUMBER('Corrected energy balance step 1'!BK50),'Corrected energy balance step 1'!BK50,0)</f>
        <v>0</v>
      </c>
      <c r="BL50" s="158">
        <f>IF(ISNUMBER('Corrected energy balance step 1'!BL50),'Corrected energy balance step 1'!BL50,0)</f>
        <v>0</v>
      </c>
      <c r="BM50" s="158">
        <f>IF(ISNUMBER('Corrected energy balance step 1'!BM50),'Corrected energy balance step 1'!BM50,0)</f>
        <v>0</v>
      </c>
      <c r="BN50" s="156">
        <f t="shared" si="60"/>
        <v>0</v>
      </c>
      <c r="BO50" s="162">
        <f>'Corrected energy balance step 1'!BO50</f>
        <v>0</v>
      </c>
    </row>
    <row r="51" spans="2:69" x14ac:dyDescent="0.2">
      <c r="B51" s="32" t="s">
        <v>86</v>
      </c>
      <c r="C51" s="158">
        <f>IF(ISNUMBER('Corrected energy balance step 1'!C51),'Corrected energy balance step 1'!C51,0)</f>
        <v>0</v>
      </c>
      <c r="D51" s="158">
        <f>IF(ISNUMBER('Corrected energy balance step 1'!D51),'Corrected energy balance step 1'!D51,0)</f>
        <v>0</v>
      </c>
      <c r="E51" s="158">
        <f>IF(ISNUMBER('Corrected energy balance step 1'!E51),'Corrected energy balance step 1'!E51,0)</f>
        <v>0</v>
      </c>
      <c r="F51" s="158">
        <f>IF(ISNUMBER('Corrected energy balance step 1'!F51),'Corrected energy balance step 1'!F51,0)</f>
        <v>0</v>
      </c>
      <c r="G51" s="158">
        <f>IF(ISNUMBER('Corrected energy balance step 1'!G51),'Corrected energy balance step 1'!G51,0)</f>
        <v>0</v>
      </c>
      <c r="H51" s="158">
        <f>IF(ISNUMBER('Corrected energy balance step 1'!H51),'Corrected energy balance step 1'!H51,0)</f>
        <v>0</v>
      </c>
      <c r="I51" s="158">
        <f>IF(ISNUMBER('Corrected energy balance step 1'!I51),'Corrected energy balance step 1'!I51,0)</f>
        <v>0</v>
      </c>
      <c r="J51" s="158">
        <f>IF(ISNUMBER('Corrected energy balance step 1'!J51),'Corrected energy balance step 1'!J51,0)</f>
        <v>0</v>
      </c>
      <c r="K51" s="158">
        <f>IF(ISNUMBER('Corrected energy balance step 1'!K51),'Corrected energy balance step 1'!K51,0)</f>
        <v>0</v>
      </c>
      <c r="L51" s="158">
        <f>IF(ISNUMBER('Corrected energy balance step 1'!L51),'Corrected energy balance step 1'!L51,0)</f>
        <v>0</v>
      </c>
      <c r="M51" s="158">
        <f>IF(ISNUMBER('Corrected energy balance step 1'!M51),'Corrected energy balance step 1'!M51,0)</f>
        <v>0</v>
      </c>
      <c r="N51" s="158">
        <f>IF(ISNUMBER('Corrected energy balance step 1'!N51),'Corrected energy balance step 1'!N51,0)</f>
        <v>0</v>
      </c>
      <c r="O51" s="158">
        <f>IF(ISNUMBER('Corrected energy balance step 1'!O51),'Corrected energy balance step 1'!O51,0)</f>
        <v>0</v>
      </c>
      <c r="P51" s="158">
        <f>IF(ISNUMBER('Corrected energy balance step 1'!P51),'Corrected energy balance step 1'!P51,0)</f>
        <v>0</v>
      </c>
      <c r="Q51" s="158">
        <f>IF(ISNUMBER('Corrected energy balance step 1'!Q51),'Corrected energy balance step 1'!Q51,0)</f>
        <v>0</v>
      </c>
      <c r="R51" s="158">
        <f>IF(ISNUMBER('Corrected energy balance step 1'!R51),'Corrected energy balance step 1'!R51,0)</f>
        <v>0</v>
      </c>
      <c r="S51" s="158">
        <f>IF(ISNUMBER('Corrected energy balance step 1'!S51),'Corrected energy balance step 1'!S51,0)</f>
        <v>0</v>
      </c>
      <c r="T51" s="158">
        <f>IF(ISNUMBER('Corrected energy balance step 1'!T51),'Corrected energy balance step 1'!T51,0)</f>
        <v>0</v>
      </c>
      <c r="U51" s="158">
        <f>IF(ISNUMBER('Corrected energy balance step 1'!U51),'Corrected energy balance step 1'!U51,0)</f>
        <v>0</v>
      </c>
      <c r="V51" s="158">
        <f>IF(ISNUMBER('Corrected energy balance step 1'!V51),'Corrected energy balance step 1'!V51,0)</f>
        <v>0</v>
      </c>
      <c r="W51" s="158">
        <f>IF(ISNUMBER('Corrected energy balance step 1'!W51),'Corrected energy balance step 1'!W51,0)</f>
        <v>0</v>
      </c>
      <c r="X51" s="158">
        <f>IF(ISNUMBER('Corrected energy balance step 1'!X51),'Corrected energy balance step 1'!X51,0)</f>
        <v>0</v>
      </c>
      <c r="Y51" s="158">
        <f>IF(ISNUMBER('Corrected energy balance step 1'!Y51),'Corrected energy balance step 1'!Y51,0)</f>
        <v>0</v>
      </c>
      <c r="Z51" s="158">
        <f>IF(ISNUMBER('Corrected energy balance step 1'!Z51),'Corrected energy balance step 1'!Z51,0)</f>
        <v>0</v>
      </c>
      <c r="AA51" s="158">
        <f>IF(ISNUMBER('Corrected energy balance step 1'!AA51),'Corrected energy balance step 1'!AA51,0)</f>
        <v>0</v>
      </c>
      <c r="AB51" s="158">
        <f>IF(ISNUMBER('Corrected energy balance step 1'!AB51),'Corrected energy balance step 1'!AB51,0)</f>
        <v>0</v>
      </c>
      <c r="AC51" s="158">
        <f>IF(ISNUMBER('Corrected energy balance step 1'!AC51),'Corrected energy balance step 1'!AC51,0)</f>
        <v>0</v>
      </c>
      <c r="AD51" s="158">
        <f>IF(ISNUMBER('Corrected energy balance step 1'!AD51),'Corrected energy balance step 1'!AD51,0)</f>
        <v>0</v>
      </c>
      <c r="AE51" s="158">
        <f>IF(ISNUMBER('Corrected energy balance step 1'!AE51),'Corrected energy balance step 1'!AE51,0)</f>
        <v>0</v>
      </c>
      <c r="AF51" s="158">
        <f>IF(ISNUMBER('Corrected energy balance step 1'!AF51),'Corrected energy balance step 1'!AF51,0)</f>
        <v>0</v>
      </c>
      <c r="AG51" s="158">
        <f>IF(ISNUMBER('Corrected energy balance step 1'!AG51),'Corrected energy balance step 1'!AG51,0)</f>
        <v>0</v>
      </c>
      <c r="AH51" s="158">
        <f>IF(ISNUMBER('Corrected energy balance step 1'!AH51),'Corrected energy balance step 1'!AH51,0)</f>
        <v>0</v>
      </c>
      <c r="AI51" s="158">
        <f>IF(ISNUMBER('Corrected energy balance step 1'!AI51),'Corrected energy balance step 1'!AI51,0)</f>
        <v>0</v>
      </c>
      <c r="AJ51" s="158">
        <f>IF(ISNUMBER('Corrected energy balance step 1'!AJ51),'Corrected energy balance step 1'!AJ51,0)</f>
        <v>0</v>
      </c>
      <c r="AK51" s="158">
        <f>IF(ISNUMBER('Corrected energy balance step 1'!AK51),'Corrected energy balance step 1'!AK51,0)</f>
        <v>0</v>
      </c>
      <c r="AL51" s="158">
        <f>IF(ISNUMBER('Corrected energy balance step 1'!AL51),'Corrected energy balance step 1'!AL51,0)</f>
        <v>0</v>
      </c>
      <c r="AM51" s="158">
        <f>IF(ISNUMBER('Corrected energy balance step 1'!AM51),'Corrected energy balance step 1'!AM51,0)</f>
        <v>0</v>
      </c>
      <c r="AN51" s="158">
        <f>IF(ISNUMBER('Corrected energy balance step 1'!AN51),'Corrected energy balance step 1'!AN51,0)</f>
        <v>0</v>
      </c>
      <c r="AO51" s="158">
        <f>IF(ISNUMBER('Corrected energy balance step 1'!AO51),'Corrected energy balance step 1'!AO51,0)</f>
        <v>0</v>
      </c>
      <c r="AP51" s="158">
        <f>IF(ISNUMBER('Corrected energy balance step 1'!AP51),'Corrected energy balance step 1'!AP51,0)</f>
        <v>0</v>
      </c>
      <c r="AQ51" s="158">
        <f>IF(ISNUMBER('Corrected energy balance step 1'!AQ51),'Corrected energy balance step 1'!AQ51,0)</f>
        <v>0</v>
      </c>
      <c r="AR51" s="158">
        <f>IF(ISNUMBER('Corrected energy balance step 1'!AR51),'Corrected energy balance step 1'!AR51,0)</f>
        <v>0</v>
      </c>
      <c r="AS51" s="158">
        <f>IF(ISNUMBER('Corrected energy balance step 1'!AS51),'Corrected energy balance step 1'!AS51,0)</f>
        <v>0</v>
      </c>
      <c r="AT51" s="158">
        <f>IF(ISNUMBER('Corrected energy balance step 1'!AT51),'Corrected energy balance step 1'!AT51,0)</f>
        <v>0</v>
      </c>
      <c r="AU51" s="158">
        <f>IF(ISNUMBER('Corrected energy balance step 1'!AU51),'Corrected energy balance step 1'!AU51,0)</f>
        <v>0</v>
      </c>
      <c r="AV51" s="158">
        <f>IF(ISNUMBER('Corrected energy balance step 1'!AV51),'Corrected energy balance step 1'!AV51,0)</f>
        <v>0</v>
      </c>
      <c r="AW51" s="158">
        <f>IF(ISNUMBER('Corrected energy balance step 1'!AW51),'Corrected energy balance step 1'!AW51,0)</f>
        <v>0</v>
      </c>
      <c r="AX51" s="158">
        <f>IF(ISNUMBER('Corrected energy balance step 1'!AX51),'Corrected energy balance step 1'!AX51,0)</f>
        <v>0</v>
      </c>
      <c r="AY51" s="158">
        <f>IF(ISNUMBER('Corrected energy balance step 1'!AY51),'Corrected energy balance step 1'!AY51,0)</f>
        <v>0</v>
      </c>
      <c r="AZ51" s="158">
        <f>IF(ISNUMBER('Corrected energy balance step 1'!AZ51),'Corrected energy balance step 1'!AZ51,0)</f>
        <v>0</v>
      </c>
      <c r="BA51" s="158">
        <f>IF(ISNUMBER('Corrected energy balance step 1'!BA51),'Corrected energy balance step 1'!BA51,0)</f>
        <v>0</v>
      </c>
      <c r="BB51" s="158">
        <f>IF(ISNUMBER('Corrected energy balance step 1'!BB51),'Corrected energy balance step 1'!BB51,0)</f>
        <v>0</v>
      </c>
      <c r="BC51" s="158">
        <f>IF(ISNUMBER('Corrected energy balance step 1'!BC51),'Corrected energy balance step 1'!BC51,0)</f>
        <v>0</v>
      </c>
      <c r="BD51" s="158">
        <f>IF(ISNUMBER('Corrected energy balance step 1'!BD51),'Corrected energy balance step 1'!BD51,0)</f>
        <v>0</v>
      </c>
      <c r="BE51" s="158">
        <f>IF(ISNUMBER('Corrected energy balance step 1'!BE51),'Corrected energy balance step 1'!BE51,0)</f>
        <v>0</v>
      </c>
      <c r="BF51" s="158">
        <f>IF(ISNUMBER('Corrected energy balance step 1'!BF51),'Corrected energy balance step 1'!BF51,0)</f>
        <v>0</v>
      </c>
      <c r="BG51" s="158">
        <f>IF(ISNUMBER('Corrected energy balance step 1'!BG51),'Corrected energy balance step 1'!BG51,0)</f>
        <v>0</v>
      </c>
      <c r="BH51" s="158">
        <f>IF(ISNUMBER('Corrected energy balance step 1'!BH51),'Corrected energy balance step 1'!BH51,0)</f>
        <v>0</v>
      </c>
      <c r="BI51" s="158">
        <f>IF(ISNUMBER('Corrected energy balance step 1'!BI51),'Corrected energy balance step 1'!BI51,0)</f>
        <v>0</v>
      </c>
      <c r="BJ51" s="158">
        <f>IF(ISNUMBER('Corrected energy balance step 1'!BJ51),'Corrected energy balance step 1'!BJ51,0)</f>
        <v>0</v>
      </c>
      <c r="BK51" s="158">
        <f>IF(ISNUMBER('Corrected energy balance step 1'!BK51),'Corrected energy balance step 1'!BK51,0)</f>
        <v>0</v>
      </c>
      <c r="BL51" s="158">
        <f>IF(ISNUMBER('Corrected energy balance step 1'!BL51),'Corrected energy balance step 1'!BL51,0)</f>
        <v>0</v>
      </c>
      <c r="BM51" s="158">
        <f>IF(ISNUMBER('Corrected energy balance step 1'!BM51),'Corrected energy balance step 1'!BM51,0)</f>
        <v>0</v>
      </c>
      <c r="BN51" s="156">
        <f t="shared" si="60"/>
        <v>0</v>
      </c>
      <c r="BO51" s="162">
        <f>'Corrected energy balance step 1'!BO51</f>
        <v>0</v>
      </c>
    </row>
    <row r="52" spans="2:69" x14ac:dyDescent="0.2">
      <c r="B52" s="32" t="s">
        <v>78</v>
      </c>
      <c r="C52" s="158">
        <f>IF(ISNUMBER('Corrected energy balance step 1'!C52),'Corrected energy balance step 1'!C52,0)</f>
        <v>0</v>
      </c>
      <c r="D52" s="158">
        <f>IF(ISNUMBER('Corrected energy balance step 1'!D52),'Corrected energy balance step 1'!D52,0)</f>
        <v>0</v>
      </c>
      <c r="E52" s="158">
        <f>IF(ISNUMBER('Corrected energy balance step 1'!E52),'Corrected energy balance step 1'!E52,0)</f>
        <v>0</v>
      </c>
      <c r="F52" s="158">
        <f>IF(ISNUMBER('Corrected energy balance step 1'!F52),'Corrected energy balance step 1'!F52,0)</f>
        <v>0</v>
      </c>
      <c r="G52" s="158">
        <f>IF(ISNUMBER('Corrected energy balance step 1'!G52),'Corrected energy balance step 1'!G52,0)</f>
        <v>0</v>
      </c>
      <c r="H52" s="158">
        <f>IF(ISNUMBER('Corrected energy balance step 1'!H52),'Corrected energy balance step 1'!H52,0)</f>
        <v>0</v>
      </c>
      <c r="I52" s="158">
        <f>IF(ISNUMBER('Corrected energy balance step 1'!I52),'Corrected energy balance step 1'!I52,0)</f>
        <v>0</v>
      </c>
      <c r="J52" s="158">
        <f>IF(ISNUMBER('Corrected energy balance step 1'!J52),'Corrected energy balance step 1'!J52,0)</f>
        <v>0</v>
      </c>
      <c r="K52" s="158">
        <f>IF(ISNUMBER('Corrected energy balance step 1'!K52),'Corrected energy balance step 1'!K52,0)</f>
        <v>0</v>
      </c>
      <c r="L52" s="158">
        <f>IF(ISNUMBER('Corrected energy balance step 1'!L52),'Corrected energy balance step 1'!L52,0)</f>
        <v>0</v>
      </c>
      <c r="M52" s="158">
        <f>IF(ISNUMBER('Corrected energy balance step 1'!M52),'Corrected energy balance step 1'!M52,0)</f>
        <v>0</v>
      </c>
      <c r="N52" s="158">
        <f>IF(ISNUMBER('Corrected energy balance step 1'!N52),'Corrected energy balance step 1'!N52,0)</f>
        <v>0</v>
      </c>
      <c r="O52" s="158">
        <f>IF(ISNUMBER('Corrected energy balance step 1'!O52),'Corrected energy balance step 1'!O52,0)</f>
        <v>0</v>
      </c>
      <c r="P52" s="158">
        <f>IF(ISNUMBER('Corrected energy balance step 1'!P52),'Corrected energy balance step 1'!P52,0)</f>
        <v>0</v>
      </c>
      <c r="Q52" s="158">
        <f>IF(ISNUMBER('Corrected energy balance step 1'!Q52),'Corrected energy balance step 1'!Q52,0)</f>
        <v>0</v>
      </c>
      <c r="R52" s="158">
        <f>IF(ISNUMBER('Corrected energy balance step 1'!R52),'Corrected energy balance step 1'!R52,0)</f>
        <v>0</v>
      </c>
      <c r="S52" s="158">
        <f>IF(ISNUMBER('Corrected energy balance step 1'!S52),'Corrected energy balance step 1'!S52,0)</f>
        <v>0</v>
      </c>
      <c r="T52" s="158">
        <f>IF(ISNUMBER('Corrected energy balance step 1'!T52),'Corrected energy balance step 1'!T52,0)</f>
        <v>0</v>
      </c>
      <c r="U52" s="158">
        <f>IF(ISNUMBER('Corrected energy balance step 1'!U52),'Corrected energy balance step 1'!U52,0)</f>
        <v>0</v>
      </c>
      <c r="V52" s="158">
        <f>IF(ISNUMBER('Corrected energy balance step 1'!V52),'Corrected energy balance step 1'!V52,0)</f>
        <v>0</v>
      </c>
      <c r="W52" s="158">
        <f>IF(ISNUMBER('Corrected energy balance step 1'!W52),'Corrected energy balance step 1'!W52,0)</f>
        <v>0</v>
      </c>
      <c r="X52" s="158">
        <f>IF(ISNUMBER('Corrected energy balance step 1'!X52),'Corrected energy balance step 1'!X52,0)</f>
        <v>0</v>
      </c>
      <c r="Y52" s="158">
        <f>IF(ISNUMBER('Corrected energy balance step 1'!Y52),'Corrected energy balance step 1'!Y52,0)</f>
        <v>0</v>
      </c>
      <c r="Z52" s="158">
        <f>IF(ISNUMBER('Corrected energy balance step 1'!Z52),'Corrected energy balance step 1'!Z52,0)</f>
        <v>0</v>
      </c>
      <c r="AA52" s="158">
        <f>IF(ISNUMBER('Corrected energy balance step 1'!AA52),'Corrected energy balance step 1'!AA52,0)</f>
        <v>0</v>
      </c>
      <c r="AB52" s="158">
        <f>IF(ISNUMBER('Corrected energy balance step 1'!AB52),'Corrected energy balance step 1'!AB52,0)</f>
        <v>0</v>
      </c>
      <c r="AC52" s="158">
        <f>IF(ISNUMBER('Corrected energy balance step 1'!AC52),'Corrected energy balance step 1'!AC52,0)</f>
        <v>0</v>
      </c>
      <c r="AD52" s="158">
        <f>IF(ISNUMBER('Corrected energy balance step 1'!AD52),'Corrected energy balance step 1'!AD52,0)</f>
        <v>0</v>
      </c>
      <c r="AE52" s="158">
        <f>IF(ISNUMBER('Corrected energy balance step 1'!AE52),'Corrected energy balance step 1'!AE52,0)</f>
        <v>0</v>
      </c>
      <c r="AF52" s="158">
        <f>IF(ISNUMBER('Corrected energy balance step 1'!AF52),'Corrected energy balance step 1'!AF52,0)</f>
        <v>0</v>
      </c>
      <c r="AG52" s="158">
        <f>IF(ISNUMBER('Corrected energy balance step 1'!AG52),'Corrected energy balance step 1'!AG52,0)</f>
        <v>0</v>
      </c>
      <c r="AH52" s="158">
        <f>IF(ISNUMBER('Corrected energy balance step 1'!AH52),'Corrected energy balance step 1'!AH52,0)</f>
        <v>0</v>
      </c>
      <c r="AI52" s="158">
        <f>IF(ISNUMBER('Corrected energy balance step 1'!AI52),'Corrected energy balance step 1'!AI52,0)</f>
        <v>0</v>
      </c>
      <c r="AJ52" s="158">
        <f>IF(ISNUMBER('Corrected energy balance step 1'!AJ52),'Corrected energy balance step 1'!AJ52,0)</f>
        <v>0</v>
      </c>
      <c r="AK52" s="158">
        <f>IF(ISNUMBER('Corrected energy balance step 1'!AK52),'Corrected energy balance step 1'!AK52,0)</f>
        <v>0</v>
      </c>
      <c r="AL52" s="158">
        <f>IF(ISNUMBER('Corrected energy balance step 1'!AL52),'Corrected energy balance step 1'!AL52,0)</f>
        <v>0</v>
      </c>
      <c r="AM52" s="158">
        <f>IF(ISNUMBER('Corrected energy balance step 1'!AM52),'Corrected energy balance step 1'!AM52,0)</f>
        <v>0</v>
      </c>
      <c r="AN52" s="158">
        <f>IF(ISNUMBER('Corrected energy balance step 1'!AN52),'Corrected energy balance step 1'!AN52,0)</f>
        <v>0</v>
      </c>
      <c r="AO52" s="158">
        <f>IF(ISNUMBER('Corrected energy balance step 1'!AO52),'Corrected energy balance step 1'!AO52,0)</f>
        <v>0</v>
      </c>
      <c r="AP52" s="158">
        <f>IF(ISNUMBER('Corrected energy balance step 1'!AP52),'Corrected energy balance step 1'!AP52,0)</f>
        <v>0</v>
      </c>
      <c r="AQ52" s="158">
        <f>IF(ISNUMBER('Corrected energy balance step 1'!AQ52),'Corrected energy balance step 1'!AQ52,0)</f>
        <v>0</v>
      </c>
      <c r="AR52" s="158">
        <f>IF(ISNUMBER('Corrected energy balance step 1'!AR52),'Corrected energy balance step 1'!AR52,0)</f>
        <v>0</v>
      </c>
      <c r="AS52" s="158">
        <f>IF(ISNUMBER('Corrected energy balance step 1'!AS52),'Corrected energy balance step 1'!AS52,0)</f>
        <v>0</v>
      </c>
      <c r="AT52" s="158">
        <f>IF(ISNUMBER('Corrected energy balance step 1'!AT52),'Corrected energy balance step 1'!AT52,0)</f>
        <v>0</v>
      </c>
      <c r="AU52" s="158">
        <f>IF(ISNUMBER('Corrected energy balance step 1'!AU52),'Corrected energy balance step 1'!AU52,0)</f>
        <v>0</v>
      </c>
      <c r="AV52" s="158">
        <f>IF(ISNUMBER('Corrected energy balance step 1'!AV52),'Corrected energy balance step 1'!AV52,0)</f>
        <v>0</v>
      </c>
      <c r="AW52" s="158">
        <f>IF(ISNUMBER('Corrected energy balance step 1'!AW52),'Corrected energy balance step 1'!AW52,0)</f>
        <v>0</v>
      </c>
      <c r="AX52" s="158">
        <f>IF(ISNUMBER('Corrected energy balance step 1'!AX52),'Corrected energy balance step 1'!AX52,0)</f>
        <v>0</v>
      </c>
      <c r="AY52" s="158">
        <f>IF(ISNUMBER('Corrected energy balance step 1'!AY52),'Corrected energy balance step 1'!AY52,0)</f>
        <v>0</v>
      </c>
      <c r="AZ52" s="158">
        <f>IF(ISNUMBER('Corrected energy balance step 1'!AZ52),'Corrected energy balance step 1'!AZ52,0)</f>
        <v>0</v>
      </c>
      <c r="BA52" s="158">
        <f>IF(ISNUMBER('Corrected energy balance step 1'!BA52),'Corrected energy balance step 1'!BA52,0)</f>
        <v>0</v>
      </c>
      <c r="BB52" s="158">
        <f>IF(ISNUMBER('Corrected energy balance step 1'!BB52),'Corrected energy balance step 1'!BB52,0)</f>
        <v>0</v>
      </c>
      <c r="BC52" s="158">
        <f>IF(ISNUMBER('Corrected energy balance step 1'!BC52),'Corrected energy balance step 1'!BC52,0)</f>
        <v>0</v>
      </c>
      <c r="BD52" s="158">
        <f>IF(ISNUMBER('Corrected energy balance step 1'!BD52),'Corrected energy balance step 1'!BD52,0)</f>
        <v>0</v>
      </c>
      <c r="BE52" s="158">
        <f>IF(ISNUMBER('Corrected energy balance step 1'!BE52),'Corrected energy balance step 1'!BE52,0)</f>
        <v>0</v>
      </c>
      <c r="BF52" s="158">
        <f>IF(ISNUMBER('Corrected energy balance step 1'!BF52),'Corrected energy balance step 1'!BF52,0)</f>
        <v>0</v>
      </c>
      <c r="BG52" s="158">
        <f>IF(ISNUMBER('Corrected energy balance step 1'!BG52),'Corrected energy balance step 1'!BG52,0)</f>
        <v>0</v>
      </c>
      <c r="BH52" s="158">
        <f>IF(ISNUMBER('Corrected energy balance step 1'!BH52),'Corrected energy balance step 1'!BH52,0)</f>
        <v>0</v>
      </c>
      <c r="BI52" s="158">
        <f>IF(ISNUMBER('Corrected energy balance step 1'!BI52),'Corrected energy balance step 1'!BI52,0)</f>
        <v>0</v>
      </c>
      <c r="BJ52" s="158">
        <f>IF(ISNUMBER('Corrected energy balance step 1'!BJ52),'Corrected energy balance step 1'!BJ52,0)</f>
        <v>0</v>
      </c>
      <c r="BK52" s="158">
        <f>IF(ISNUMBER('Corrected energy balance step 1'!BK52),'Corrected energy balance step 1'!BK52,0)</f>
        <v>0</v>
      </c>
      <c r="BL52" s="158">
        <f>IF(ISNUMBER('Corrected energy balance step 1'!BL52),'Corrected energy balance step 1'!BL52,0)</f>
        <v>0</v>
      </c>
      <c r="BM52" s="158">
        <f>IF(ISNUMBER('Corrected energy balance step 1'!BM52),'Corrected energy balance step 1'!BM52,0)</f>
        <v>0</v>
      </c>
      <c r="BN52" s="156">
        <f t="shared" si="60"/>
        <v>0</v>
      </c>
      <c r="BO52" s="162">
        <f>'Corrected energy balance step 1'!BO52</f>
        <v>0</v>
      </c>
    </row>
    <row r="53" spans="2:69" x14ac:dyDescent="0.2">
      <c r="B53" s="32" t="s">
        <v>87</v>
      </c>
      <c r="C53" s="158">
        <f>IF(ISNUMBER('Corrected energy balance step 1'!C53),'Corrected energy balance step 1'!C53,0)</f>
        <v>0</v>
      </c>
      <c r="D53" s="158">
        <f>IF(ISNUMBER('Corrected energy balance step 1'!D53),'Corrected energy balance step 1'!D53,0)</f>
        <v>0</v>
      </c>
      <c r="E53" s="158">
        <f>IF(ISNUMBER('Corrected energy balance step 1'!E53),'Corrected energy balance step 1'!E53,0)</f>
        <v>0</v>
      </c>
      <c r="F53" s="158">
        <f>IF(ISNUMBER('Corrected energy balance step 1'!F53),'Corrected energy balance step 1'!F53,0)</f>
        <v>0</v>
      </c>
      <c r="G53" s="158">
        <f>IF(ISNUMBER('Corrected energy balance step 1'!G53),'Corrected energy balance step 1'!G53,0)</f>
        <v>0</v>
      </c>
      <c r="H53" s="158">
        <f>IF(ISNUMBER('Corrected energy balance step 1'!H53),'Corrected energy balance step 1'!H53,0)</f>
        <v>0</v>
      </c>
      <c r="I53" s="158">
        <f>IF(ISNUMBER('Corrected energy balance step 1'!I53),'Corrected energy balance step 1'!I53,0)</f>
        <v>0</v>
      </c>
      <c r="J53" s="158">
        <f>IF(ISNUMBER('Corrected energy balance step 1'!J53),'Corrected energy balance step 1'!J53,0)</f>
        <v>0</v>
      </c>
      <c r="K53" s="158">
        <f>IF(ISNUMBER('Corrected energy balance step 1'!K53),'Corrected energy balance step 1'!K53,0)</f>
        <v>0</v>
      </c>
      <c r="L53" s="158">
        <f>IF(ISNUMBER('Corrected energy balance step 1'!L53),'Corrected energy balance step 1'!L53,0)</f>
        <v>0</v>
      </c>
      <c r="M53" s="158">
        <f>IF(ISNUMBER('Corrected energy balance step 1'!M53),'Corrected energy balance step 1'!M53,0)</f>
        <v>0</v>
      </c>
      <c r="N53" s="158">
        <f>IF(ISNUMBER('Corrected energy balance step 1'!N53),'Corrected energy balance step 1'!N53,0)</f>
        <v>0</v>
      </c>
      <c r="O53" s="158">
        <f>IF(ISNUMBER('Corrected energy balance step 1'!O53),'Corrected energy balance step 1'!O53,0)</f>
        <v>0</v>
      </c>
      <c r="P53" s="158">
        <f>IF(ISNUMBER('Corrected energy balance step 1'!P53),'Corrected energy balance step 1'!P53,0)</f>
        <v>0</v>
      </c>
      <c r="Q53" s="158">
        <f>IF(ISNUMBER('Corrected energy balance step 1'!Q53),'Corrected energy balance step 1'!Q53,0)</f>
        <v>0</v>
      </c>
      <c r="R53" s="158">
        <f>IF(ISNUMBER('Corrected energy balance step 1'!R53),'Corrected energy balance step 1'!R53,0)</f>
        <v>0</v>
      </c>
      <c r="S53" s="158">
        <f>IF(ISNUMBER('Corrected energy balance step 1'!S53),'Corrected energy balance step 1'!S53,0)</f>
        <v>0</v>
      </c>
      <c r="T53" s="158">
        <f>IF(ISNUMBER('Corrected energy balance step 1'!T53),'Corrected energy balance step 1'!T53,0)</f>
        <v>0</v>
      </c>
      <c r="U53" s="158">
        <f>IF(ISNUMBER('Corrected energy balance step 1'!U53),'Corrected energy balance step 1'!U53,0)</f>
        <v>0</v>
      </c>
      <c r="V53" s="158">
        <f>IF(ISNUMBER('Corrected energy balance step 1'!V53),'Corrected energy balance step 1'!V53,0)</f>
        <v>0</v>
      </c>
      <c r="W53" s="158">
        <f>IF(ISNUMBER('Corrected energy balance step 1'!W53),'Corrected energy balance step 1'!W53,0)</f>
        <v>0</v>
      </c>
      <c r="X53" s="158">
        <f>IF(ISNUMBER('Corrected energy balance step 1'!X53),'Corrected energy balance step 1'!X53,0)</f>
        <v>0</v>
      </c>
      <c r="Y53" s="158">
        <f>IF(ISNUMBER('Corrected energy balance step 1'!Y53),'Corrected energy balance step 1'!Y53,0)</f>
        <v>0</v>
      </c>
      <c r="Z53" s="158">
        <f>IF(ISNUMBER('Corrected energy balance step 1'!Z53),'Corrected energy balance step 1'!Z53,0)</f>
        <v>0</v>
      </c>
      <c r="AA53" s="158">
        <f>IF(ISNUMBER('Corrected energy balance step 1'!AA53),'Corrected energy balance step 1'!AA53,0)</f>
        <v>0</v>
      </c>
      <c r="AB53" s="158">
        <f>IF(ISNUMBER('Corrected energy balance step 1'!AB53),'Corrected energy balance step 1'!AB53,0)</f>
        <v>0</v>
      </c>
      <c r="AC53" s="158">
        <f>IF(ISNUMBER('Corrected energy balance step 1'!AC53),'Corrected energy balance step 1'!AC53,0)</f>
        <v>0</v>
      </c>
      <c r="AD53" s="158">
        <f>IF(ISNUMBER('Corrected energy balance step 1'!AD53),'Corrected energy balance step 1'!AD53,0)</f>
        <v>0</v>
      </c>
      <c r="AE53" s="158">
        <f>IF(ISNUMBER('Corrected energy balance step 1'!AE53),'Corrected energy balance step 1'!AE53,0)</f>
        <v>0</v>
      </c>
      <c r="AF53" s="158">
        <f>IF(ISNUMBER('Corrected energy balance step 1'!AF53),'Corrected energy balance step 1'!AF53,0)</f>
        <v>0</v>
      </c>
      <c r="AG53" s="158">
        <f>IF(ISNUMBER('Corrected energy balance step 1'!AG53),'Corrected energy balance step 1'!AG53,0)</f>
        <v>0</v>
      </c>
      <c r="AH53" s="158">
        <f>IF(ISNUMBER('Corrected energy balance step 1'!AH53),'Corrected energy balance step 1'!AH53,0)</f>
        <v>0</v>
      </c>
      <c r="AI53" s="158">
        <f>IF(ISNUMBER('Corrected energy balance step 1'!AI53),'Corrected energy balance step 1'!AI53,0)</f>
        <v>0</v>
      </c>
      <c r="AJ53" s="158">
        <f>IF(ISNUMBER('Corrected energy balance step 1'!AJ53),'Corrected energy balance step 1'!AJ53,0)</f>
        <v>0</v>
      </c>
      <c r="AK53" s="158">
        <f>IF(ISNUMBER('Corrected energy balance step 1'!AK53),'Corrected energy balance step 1'!AK53,0)</f>
        <v>0</v>
      </c>
      <c r="AL53" s="158">
        <f>IF(ISNUMBER('Corrected energy balance step 1'!AL53),'Corrected energy balance step 1'!AL53,0)</f>
        <v>0</v>
      </c>
      <c r="AM53" s="158">
        <f>IF(ISNUMBER('Corrected energy balance step 1'!AM53),'Corrected energy balance step 1'!AM53,0)</f>
        <v>0</v>
      </c>
      <c r="AN53" s="158">
        <f>IF(ISNUMBER('Corrected energy balance step 1'!AN53),'Corrected energy balance step 1'!AN53,0)</f>
        <v>0</v>
      </c>
      <c r="AO53" s="158">
        <f>IF(ISNUMBER('Corrected energy balance step 1'!AO53),'Corrected energy balance step 1'!AO53,0)</f>
        <v>0</v>
      </c>
      <c r="AP53" s="158">
        <f>IF(ISNUMBER('Corrected energy balance step 1'!AP53),'Corrected energy balance step 1'!AP53,0)</f>
        <v>0</v>
      </c>
      <c r="AQ53" s="158">
        <f>IF(ISNUMBER('Corrected energy balance step 1'!AQ53),'Corrected energy balance step 1'!AQ53,0)</f>
        <v>0</v>
      </c>
      <c r="AR53" s="158">
        <f>IF(ISNUMBER('Corrected energy balance step 1'!AR53),'Corrected energy balance step 1'!AR53,0)</f>
        <v>0</v>
      </c>
      <c r="AS53" s="158">
        <f>IF(ISNUMBER('Corrected energy balance step 1'!AS53),'Corrected energy balance step 1'!AS53,0)</f>
        <v>0</v>
      </c>
      <c r="AT53" s="158">
        <f>IF(ISNUMBER('Corrected energy balance step 1'!AT53),'Corrected energy balance step 1'!AT53,0)</f>
        <v>0</v>
      </c>
      <c r="AU53" s="158">
        <f>IF(ISNUMBER('Corrected energy balance step 1'!AU53),'Corrected energy balance step 1'!AU53,0)</f>
        <v>0</v>
      </c>
      <c r="AV53" s="158">
        <f>IF(ISNUMBER('Corrected energy balance step 1'!AV53),'Corrected energy balance step 1'!AV53,0)</f>
        <v>0</v>
      </c>
      <c r="AW53" s="158">
        <f>IF(ISNUMBER('Corrected energy balance step 1'!AW53),'Corrected energy balance step 1'!AW53,0)</f>
        <v>0</v>
      </c>
      <c r="AX53" s="158">
        <f>IF(ISNUMBER('Corrected energy balance step 1'!AX53),'Corrected energy balance step 1'!AX53,0)</f>
        <v>0</v>
      </c>
      <c r="AY53" s="158">
        <f>IF(ISNUMBER('Corrected energy balance step 1'!AY53),'Corrected energy balance step 1'!AY53,0)</f>
        <v>0</v>
      </c>
      <c r="AZ53" s="158">
        <f>IF(ISNUMBER('Corrected energy balance step 1'!AZ53),'Corrected energy balance step 1'!AZ53,0)</f>
        <v>0</v>
      </c>
      <c r="BA53" s="158">
        <f>IF(ISNUMBER('Corrected energy balance step 1'!BA53),'Corrected energy balance step 1'!BA53,0)</f>
        <v>0</v>
      </c>
      <c r="BB53" s="158">
        <f>IF(ISNUMBER('Corrected energy balance step 1'!BB53),'Corrected energy balance step 1'!BB53,0)</f>
        <v>0</v>
      </c>
      <c r="BC53" s="158">
        <f>IF(ISNUMBER('Corrected energy balance step 1'!BC53),'Corrected energy balance step 1'!BC53,0)</f>
        <v>0</v>
      </c>
      <c r="BD53" s="158">
        <f>IF(ISNUMBER('Corrected energy balance step 1'!BD53),'Corrected energy balance step 1'!BD53,0)</f>
        <v>0</v>
      </c>
      <c r="BE53" s="158">
        <f>IF(ISNUMBER('Corrected energy balance step 1'!BE53),'Corrected energy balance step 1'!BE53,0)</f>
        <v>0</v>
      </c>
      <c r="BF53" s="158">
        <f>IF(ISNUMBER('Corrected energy balance step 1'!BF53),'Corrected energy balance step 1'!BF53,0)</f>
        <v>0</v>
      </c>
      <c r="BG53" s="158">
        <f>IF(ISNUMBER('Corrected energy balance step 1'!BG53),'Corrected energy balance step 1'!BG53,0)</f>
        <v>0</v>
      </c>
      <c r="BH53" s="158">
        <f>IF(ISNUMBER('Corrected energy balance step 1'!BH53),'Corrected energy balance step 1'!BH53,0)</f>
        <v>0</v>
      </c>
      <c r="BI53" s="158">
        <f>IF(ISNUMBER('Corrected energy balance step 1'!BI53),'Corrected energy balance step 1'!BI53,0)</f>
        <v>0</v>
      </c>
      <c r="BJ53" s="158">
        <f>IF(ISNUMBER('Corrected energy balance step 1'!BJ53),'Corrected energy balance step 1'!BJ53,0)</f>
        <v>0</v>
      </c>
      <c r="BK53" s="158">
        <f>IF(ISNUMBER('Corrected energy balance step 1'!BK53),'Corrected energy balance step 1'!BK53,0)</f>
        <v>0</v>
      </c>
      <c r="BL53" s="158">
        <f>IF(ISNUMBER('Corrected energy balance step 1'!BL53),'Corrected energy balance step 1'!BL53,0)</f>
        <v>0</v>
      </c>
      <c r="BM53" s="158">
        <f>IF(ISNUMBER('Corrected energy balance step 1'!BM53),'Corrected energy balance step 1'!BM53,0)</f>
        <v>0</v>
      </c>
      <c r="BN53" s="156">
        <f t="shared" si="60"/>
        <v>0</v>
      </c>
      <c r="BO53" s="162">
        <f>'Corrected energy balance step 1'!BO53</f>
        <v>0</v>
      </c>
    </row>
    <row r="54" spans="2:69" x14ac:dyDescent="0.2">
      <c r="B54" s="32" t="s">
        <v>88</v>
      </c>
      <c r="C54" s="158">
        <f>IF(ISNUMBER('Corrected energy balance step 1'!C54),'Corrected energy balance step 1'!C54,0)</f>
        <v>0</v>
      </c>
      <c r="D54" s="158">
        <f>IF(ISNUMBER('Corrected energy balance step 1'!D54),'Corrected energy balance step 1'!D54,0)</f>
        <v>0</v>
      </c>
      <c r="E54" s="158">
        <f>IF(ISNUMBER('Corrected energy balance step 1'!E54),'Corrected energy balance step 1'!E54,0)</f>
        <v>0</v>
      </c>
      <c r="F54" s="158">
        <f>IF(ISNUMBER('Corrected energy balance step 1'!F54),'Corrected energy balance step 1'!F54,0)</f>
        <v>0</v>
      </c>
      <c r="G54" s="158">
        <f>IF(ISNUMBER('Corrected energy balance step 1'!G54),'Corrected energy balance step 1'!G54,0)</f>
        <v>0</v>
      </c>
      <c r="H54" s="158">
        <f>IF(ISNUMBER('Corrected energy balance step 1'!H54),'Corrected energy balance step 1'!H54,0)</f>
        <v>0</v>
      </c>
      <c r="I54" s="158">
        <f>IF(ISNUMBER('Corrected energy balance step 1'!I54),'Corrected energy balance step 1'!I54,0)</f>
        <v>0</v>
      </c>
      <c r="J54" s="158">
        <f>IF(ISNUMBER('Corrected energy balance step 1'!J54),'Corrected energy balance step 1'!J54,0)</f>
        <v>0</v>
      </c>
      <c r="K54" s="158">
        <f>IF(ISNUMBER('Corrected energy balance step 1'!K54),'Corrected energy balance step 1'!K54,0)</f>
        <v>0</v>
      </c>
      <c r="L54" s="158">
        <f>IF(ISNUMBER('Corrected energy balance step 1'!L54),'Corrected energy balance step 1'!L54,0)</f>
        <v>0</v>
      </c>
      <c r="M54" s="158">
        <f>IF(ISNUMBER('Corrected energy balance step 1'!M54),'Corrected energy balance step 1'!M54,0)</f>
        <v>0</v>
      </c>
      <c r="N54" s="158">
        <f>IF(ISNUMBER('Corrected energy balance step 1'!N54),'Corrected energy balance step 1'!N54,0)</f>
        <v>0</v>
      </c>
      <c r="O54" s="158">
        <f>IF(ISNUMBER('Corrected energy balance step 1'!O54),'Corrected energy balance step 1'!O54,0)</f>
        <v>0</v>
      </c>
      <c r="P54" s="158">
        <f>IF(ISNUMBER('Corrected energy balance step 1'!P54),'Corrected energy balance step 1'!P54,0)</f>
        <v>0</v>
      </c>
      <c r="Q54" s="158">
        <f>IF(ISNUMBER('Corrected energy balance step 1'!Q54),'Corrected energy balance step 1'!Q54,0)</f>
        <v>0</v>
      </c>
      <c r="R54" s="158">
        <f>IF(ISNUMBER('Corrected energy balance step 1'!R54),'Corrected energy balance step 1'!R54,0)</f>
        <v>0</v>
      </c>
      <c r="S54" s="158">
        <f>IF(ISNUMBER('Corrected energy balance step 1'!S54),'Corrected energy balance step 1'!S54,0)</f>
        <v>0</v>
      </c>
      <c r="T54" s="158">
        <f>IF(ISNUMBER('Corrected energy balance step 1'!T54),'Corrected energy balance step 1'!T54,0)</f>
        <v>0</v>
      </c>
      <c r="U54" s="158">
        <f>IF(ISNUMBER('Corrected energy balance step 1'!U54),'Corrected energy balance step 1'!U54,0)</f>
        <v>0</v>
      </c>
      <c r="V54" s="158">
        <f>IF(ISNUMBER('Corrected energy balance step 1'!V54),'Corrected energy balance step 1'!V54,0)</f>
        <v>0</v>
      </c>
      <c r="W54" s="158">
        <f>IF(ISNUMBER('Corrected energy balance step 1'!W54),'Corrected energy balance step 1'!W54,0)</f>
        <v>0</v>
      </c>
      <c r="X54" s="158">
        <f>IF(ISNUMBER('Corrected energy balance step 1'!X54),'Corrected energy balance step 1'!X54,0)</f>
        <v>0</v>
      </c>
      <c r="Y54" s="158">
        <f>IF(ISNUMBER('Corrected energy balance step 1'!Y54),'Corrected energy balance step 1'!Y54,0)</f>
        <v>0</v>
      </c>
      <c r="Z54" s="158">
        <f>IF(ISNUMBER('Corrected energy balance step 1'!Z54),'Corrected energy balance step 1'!Z54,0)</f>
        <v>0</v>
      </c>
      <c r="AA54" s="158">
        <f>IF(ISNUMBER('Corrected energy balance step 1'!AA54),'Corrected energy balance step 1'!AA54,0)</f>
        <v>0</v>
      </c>
      <c r="AB54" s="158">
        <f>IF(ISNUMBER('Corrected energy balance step 1'!AB54),'Corrected energy balance step 1'!AB54,0)</f>
        <v>0</v>
      </c>
      <c r="AC54" s="158">
        <f>IF(ISNUMBER('Corrected energy balance step 1'!AC54),'Corrected energy balance step 1'!AC54,0)</f>
        <v>0</v>
      </c>
      <c r="AD54" s="158">
        <f>IF(ISNUMBER('Corrected energy balance step 1'!AD54),'Corrected energy balance step 1'!AD54,0)</f>
        <v>0</v>
      </c>
      <c r="AE54" s="158">
        <f>IF(ISNUMBER('Corrected energy balance step 1'!AE54),'Corrected energy balance step 1'!AE54,0)</f>
        <v>0</v>
      </c>
      <c r="AF54" s="158">
        <f>IF(ISNUMBER('Corrected energy balance step 1'!AF54),'Corrected energy balance step 1'!AF54,0)</f>
        <v>0</v>
      </c>
      <c r="AG54" s="158">
        <f>IF(ISNUMBER('Corrected energy balance step 1'!AG54),'Corrected energy balance step 1'!AG54,0)</f>
        <v>0</v>
      </c>
      <c r="AH54" s="158">
        <f>IF(ISNUMBER('Corrected energy balance step 1'!AH54),'Corrected energy balance step 1'!AH54,0)</f>
        <v>0</v>
      </c>
      <c r="AI54" s="158">
        <f>IF(ISNUMBER('Corrected energy balance step 1'!AI54),'Corrected energy balance step 1'!AI54,0)</f>
        <v>0</v>
      </c>
      <c r="AJ54" s="158">
        <f>IF(ISNUMBER('Corrected energy balance step 1'!AJ54),'Corrected energy balance step 1'!AJ54,0)</f>
        <v>0</v>
      </c>
      <c r="AK54" s="158">
        <f>IF(ISNUMBER('Corrected energy balance step 1'!AK54),'Corrected energy balance step 1'!AK54,0)</f>
        <v>0</v>
      </c>
      <c r="AL54" s="158">
        <f>IF(ISNUMBER('Corrected energy balance step 1'!AL54),'Corrected energy balance step 1'!AL54,0)</f>
        <v>0</v>
      </c>
      <c r="AM54" s="158">
        <f>IF(ISNUMBER('Corrected energy balance step 1'!AM54),'Corrected energy balance step 1'!AM54,0)</f>
        <v>0</v>
      </c>
      <c r="AN54" s="158">
        <f>IF(ISNUMBER('Corrected energy balance step 1'!AN54),'Corrected energy balance step 1'!AN54,0)</f>
        <v>0</v>
      </c>
      <c r="AO54" s="158">
        <f>IF(ISNUMBER('Corrected energy balance step 1'!AO54),'Corrected energy balance step 1'!AO54,0)</f>
        <v>0</v>
      </c>
      <c r="AP54" s="158">
        <f>IF(ISNUMBER('Corrected energy balance step 1'!AP54),'Corrected energy balance step 1'!AP54,0)</f>
        <v>0</v>
      </c>
      <c r="AQ54" s="158">
        <f>IF(ISNUMBER('Corrected energy balance step 1'!AQ54),'Corrected energy balance step 1'!AQ54,0)</f>
        <v>0</v>
      </c>
      <c r="AR54" s="158">
        <f>IF(ISNUMBER('Corrected energy balance step 1'!AR54),'Corrected energy balance step 1'!AR54,0)</f>
        <v>0</v>
      </c>
      <c r="AS54" s="158">
        <f>IF(ISNUMBER('Corrected energy balance step 1'!AS54),'Corrected energy balance step 1'!AS54,0)</f>
        <v>0</v>
      </c>
      <c r="AT54" s="158">
        <f>IF(ISNUMBER('Corrected energy balance step 1'!AT54),'Corrected energy balance step 1'!AT54,0)</f>
        <v>0</v>
      </c>
      <c r="AU54" s="158">
        <f>IF(ISNUMBER('Corrected energy balance step 1'!AU54),'Corrected energy balance step 1'!AU54,0)</f>
        <v>0</v>
      </c>
      <c r="AV54" s="158">
        <f>IF(ISNUMBER('Corrected energy balance step 1'!AV54),'Corrected energy balance step 1'!AV54,0)</f>
        <v>0</v>
      </c>
      <c r="AW54" s="158">
        <f>IF(ISNUMBER('Corrected energy balance step 1'!AW54),'Corrected energy balance step 1'!AW54,0)</f>
        <v>0</v>
      </c>
      <c r="AX54" s="158">
        <f>IF(ISNUMBER('Corrected energy balance step 1'!AX54),'Corrected energy balance step 1'!AX54,0)</f>
        <v>0</v>
      </c>
      <c r="AY54" s="158">
        <f>IF(ISNUMBER('Corrected energy balance step 1'!AY54),'Corrected energy balance step 1'!AY54,0)</f>
        <v>0</v>
      </c>
      <c r="AZ54" s="158">
        <f>IF(ISNUMBER('Corrected energy balance step 1'!AZ54),'Corrected energy balance step 1'!AZ54,0)</f>
        <v>0</v>
      </c>
      <c r="BA54" s="158">
        <f>IF(ISNUMBER('Corrected energy balance step 1'!BA54),'Corrected energy balance step 1'!BA54,0)</f>
        <v>0</v>
      </c>
      <c r="BB54" s="158">
        <f>IF(ISNUMBER('Corrected energy balance step 1'!BB54),'Corrected energy balance step 1'!BB54,0)</f>
        <v>0</v>
      </c>
      <c r="BC54" s="158">
        <f>IF(ISNUMBER('Corrected energy balance step 1'!BC54),'Corrected energy balance step 1'!BC54,0)</f>
        <v>0</v>
      </c>
      <c r="BD54" s="158">
        <f>IF(ISNUMBER('Corrected energy balance step 1'!BD54),'Corrected energy balance step 1'!BD54,0)</f>
        <v>0</v>
      </c>
      <c r="BE54" s="158">
        <f>IF(ISNUMBER('Corrected energy balance step 1'!BE54),'Corrected energy balance step 1'!BE54,0)</f>
        <v>0</v>
      </c>
      <c r="BF54" s="158">
        <f>IF(ISNUMBER('Corrected energy balance step 1'!BF54),'Corrected energy balance step 1'!BF54,0)</f>
        <v>0</v>
      </c>
      <c r="BG54" s="158">
        <f>IF(ISNUMBER('Corrected energy balance step 1'!BG54),'Corrected energy balance step 1'!BG54,0)</f>
        <v>0</v>
      </c>
      <c r="BH54" s="158">
        <f>IF(ISNUMBER('Corrected energy balance step 1'!BH54),'Corrected energy balance step 1'!BH54,0)</f>
        <v>0</v>
      </c>
      <c r="BI54" s="158">
        <f>IF(ISNUMBER('Corrected energy balance step 1'!BI54),'Corrected energy balance step 1'!BI54,0)</f>
        <v>0</v>
      </c>
      <c r="BJ54" s="158">
        <f>IF(ISNUMBER('Corrected energy balance step 1'!BJ54),'Corrected energy balance step 1'!BJ54,0)</f>
        <v>0</v>
      </c>
      <c r="BK54" s="158">
        <f>IF(ISNUMBER('Corrected energy balance step 1'!BK54),'Corrected energy balance step 1'!BK54,0)</f>
        <v>0</v>
      </c>
      <c r="BL54" s="158">
        <f>IF(ISNUMBER('Corrected energy balance step 1'!BL54),'Corrected energy balance step 1'!BL54,0)</f>
        <v>0</v>
      </c>
      <c r="BM54" s="158">
        <f>IF(ISNUMBER('Corrected energy balance step 1'!BM54),'Corrected energy balance step 1'!BM54,0)</f>
        <v>0</v>
      </c>
      <c r="BN54" s="156">
        <f t="shared" si="60"/>
        <v>0</v>
      </c>
      <c r="BO54" s="162">
        <f>'Corrected energy balance step 1'!BO54</f>
        <v>0</v>
      </c>
    </row>
    <row r="55" spans="2:69" x14ac:dyDescent="0.2">
      <c r="B55" s="32" t="s">
        <v>89</v>
      </c>
      <c r="C55" s="158">
        <f>IF(ISNUMBER('Corrected energy balance step 1'!C55),'Corrected energy balance step 1'!C55,0)</f>
        <v>0</v>
      </c>
      <c r="D55" s="158">
        <f>IF(ISNUMBER('Corrected energy balance step 1'!D55),'Corrected energy balance step 1'!D55,0)</f>
        <v>0</v>
      </c>
      <c r="E55" s="158">
        <f>IF(ISNUMBER('Corrected energy balance step 1'!E55),'Corrected energy balance step 1'!E55,0)</f>
        <v>0</v>
      </c>
      <c r="F55" s="158">
        <f>IF(ISNUMBER('Corrected energy balance step 1'!F55),'Corrected energy balance step 1'!F55,0)</f>
        <v>0</v>
      </c>
      <c r="G55" s="158">
        <f>IF(ISNUMBER('Corrected energy balance step 1'!G55),'Corrected energy balance step 1'!G55,0)</f>
        <v>0</v>
      </c>
      <c r="H55" s="158">
        <f>IF(ISNUMBER('Corrected energy balance step 1'!H55),'Corrected energy balance step 1'!H55,0)</f>
        <v>0</v>
      </c>
      <c r="I55" s="158">
        <f>IF(ISNUMBER('Corrected energy balance step 1'!I55),'Corrected energy balance step 1'!I55,0)</f>
        <v>0</v>
      </c>
      <c r="J55" s="158">
        <f>IF(ISNUMBER('Corrected energy balance step 1'!J55),'Corrected energy balance step 1'!J55,0)</f>
        <v>0</v>
      </c>
      <c r="K55" s="158">
        <f>IF(ISNUMBER('Corrected energy balance step 1'!K55),'Corrected energy balance step 1'!K55,0)</f>
        <v>0</v>
      </c>
      <c r="L55" s="158">
        <f>IF(ISNUMBER('Corrected energy balance step 1'!L55),'Corrected energy balance step 1'!L55,0)</f>
        <v>0</v>
      </c>
      <c r="M55" s="158">
        <f>IF(ISNUMBER('Corrected energy balance step 1'!M55),'Corrected energy balance step 1'!M55,0)</f>
        <v>0</v>
      </c>
      <c r="N55" s="158">
        <f>IF(ISNUMBER('Corrected energy balance step 1'!N55),'Corrected energy balance step 1'!N55,0)</f>
        <v>0</v>
      </c>
      <c r="O55" s="158">
        <f>IF(ISNUMBER('Corrected energy balance step 1'!O55),'Corrected energy balance step 1'!O55,0)</f>
        <v>0</v>
      </c>
      <c r="P55" s="158">
        <f>IF(ISNUMBER('Corrected energy balance step 1'!P55),'Corrected energy balance step 1'!P55,0)</f>
        <v>0</v>
      </c>
      <c r="Q55" s="158">
        <f>IF(ISNUMBER('Corrected energy balance step 1'!Q55),'Corrected energy balance step 1'!Q55,0)</f>
        <v>0</v>
      </c>
      <c r="R55" s="158">
        <f>IF(ISNUMBER('Corrected energy balance step 1'!R55),'Corrected energy balance step 1'!R55,0)</f>
        <v>0</v>
      </c>
      <c r="S55" s="158">
        <f>IF(ISNUMBER('Corrected energy balance step 1'!S55),'Corrected energy balance step 1'!S55,0)</f>
        <v>0</v>
      </c>
      <c r="T55" s="158">
        <f>IF(ISNUMBER('Corrected energy balance step 1'!T55),'Corrected energy balance step 1'!T55,0)</f>
        <v>0</v>
      </c>
      <c r="U55" s="158">
        <f>IF(ISNUMBER('Corrected energy balance step 1'!U55),'Corrected energy balance step 1'!U55,0)</f>
        <v>0</v>
      </c>
      <c r="V55" s="158">
        <f>IF(ISNUMBER('Corrected energy balance step 1'!V55),'Corrected energy balance step 1'!V55,0)</f>
        <v>0</v>
      </c>
      <c r="W55" s="158">
        <f>IF(ISNUMBER('Corrected energy balance step 1'!W55),'Corrected energy balance step 1'!W55,0)</f>
        <v>0</v>
      </c>
      <c r="X55" s="158">
        <f>IF(ISNUMBER('Corrected energy balance step 1'!X55),'Corrected energy balance step 1'!X55,0)</f>
        <v>0</v>
      </c>
      <c r="Y55" s="158">
        <f>IF(ISNUMBER('Corrected energy balance step 1'!Y55),'Corrected energy balance step 1'!Y55,0)</f>
        <v>0</v>
      </c>
      <c r="Z55" s="158">
        <f>IF(ISNUMBER('Corrected energy balance step 1'!Z55),'Corrected energy balance step 1'!Z55,0)</f>
        <v>0</v>
      </c>
      <c r="AA55" s="158">
        <f>IF(ISNUMBER('Corrected energy balance step 1'!AA55),'Corrected energy balance step 1'!AA55,0)</f>
        <v>0</v>
      </c>
      <c r="AB55" s="158">
        <f>IF(ISNUMBER('Corrected energy balance step 1'!AB55),'Corrected energy balance step 1'!AB55,0)</f>
        <v>0</v>
      </c>
      <c r="AC55" s="158">
        <f>IF(ISNUMBER('Corrected energy balance step 1'!AC55),'Corrected energy balance step 1'!AC55,0)</f>
        <v>0</v>
      </c>
      <c r="AD55" s="158">
        <f>IF(ISNUMBER('Corrected energy balance step 1'!AD55),'Corrected energy balance step 1'!AD55,0)</f>
        <v>0</v>
      </c>
      <c r="AE55" s="158">
        <f>IF(ISNUMBER('Corrected energy balance step 1'!AE55),'Corrected energy balance step 1'!AE55,0)</f>
        <v>0</v>
      </c>
      <c r="AF55" s="158">
        <f>IF(ISNUMBER('Corrected energy balance step 1'!AF55),'Corrected energy balance step 1'!AF55,0)</f>
        <v>0</v>
      </c>
      <c r="AG55" s="158">
        <f>IF(ISNUMBER('Corrected energy balance step 1'!AG55),'Corrected energy balance step 1'!AG55,0)</f>
        <v>0</v>
      </c>
      <c r="AH55" s="158">
        <f>IF(ISNUMBER('Corrected energy balance step 1'!AH55),'Corrected energy balance step 1'!AH55,0)</f>
        <v>0</v>
      </c>
      <c r="AI55" s="158">
        <f>IF(ISNUMBER('Corrected energy balance step 1'!AI55),'Corrected energy balance step 1'!AI55,0)</f>
        <v>0</v>
      </c>
      <c r="AJ55" s="158">
        <f>IF(ISNUMBER('Corrected energy balance step 1'!AJ55),'Corrected energy balance step 1'!AJ55,0)</f>
        <v>0</v>
      </c>
      <c r="AK55" s="158">
        <f>IF(ISNUMBER('Corrected energy balance step 1'!AK55),'Corrected energy balance step 1'!AK55,0)</f>
        <v>0</v>
      </c>
      <c r="AL55" s="158">
        <f>IF(ISNUMBER('Corrected energy balance step 1'!AL55),'Corrected energy balance step 1'!AL55,0)</f>
        <v>0</v>
      </c>
      <c r="AM55" s="158">
        <f>IF(ISNUMBER('Corrected energy balance step 1'!AM55),'Corrected energy balance step 1'!AM55,0)</f>
        <v>0</v>
      </c>
      <c r="AN55" s="158">
        <f>IF(ISNUMBER('Corrected energy balance step 1'!AN55),'Corrected energy balance step 1'!AN55,0)</f>
        <v>0</v>
      </c>
      <c r="AO55" s="158">
        <f>IF(ISNUMBER('Corrected energy balance step 1'!AO55),'Corrected energy balance step 1'!AO55,0)</f>
        <v>0</v>
      </c>
      <c r="AP55" s="158">
        <f>IF(ISNUMBER('Corrected energy balance step 1'!AP55),'Corrected energy balance step 1'!AP55,0)</f>
        <v>0</v>
      </c>
      <c r="AQ55" s="158">
        <f>IF(ISNUMBER('Corrected energy balance step 1'!AQ55),'Corrected energy balance step 1'!AQ55,0)</f>
        <v>0</v>
      </c>
      <c r="AR55" s="158">
        <f>IF(ISNUMBER('Corrected energy balance step 1'!AR55),'Corrected energy balance step 1'!AR55,0)</f>
        <v>0</v>
      </c>
      <c r="AS55" s="158">
        <f>IF(ISNUMBER('Corrected energy balance step 1'!AS55),'Corrected energy balance step 1'!AS55,0)</f>
        <v>0</v>
      </c>
      <c r="AT55" s="158">
        <f>IF(ISNUMBER('Corrected energy balance step 1'!AT55),'Corrected energy balance step 1'!AT55,0)</f>
        <v>0</v>
      </c>
      <c r="AU55" s="158">
        <f>IF(ISNUMBER('Corrected energy balance step 1'!AU55),'Corrected energy balance step 1'!AU55,0)</f>
        <v>0</v>
      </c>
      <c r="AV55" s="158">
        <f>IF(ISNUMBER('Corrected energy balance step 1'!AV55),'Corrected energy balance step 1'!AV55,0)</f>
        <v>0</v>
      </c>
      <c r="AW55" s="158">
        <f>IF(ISNUMBER('Corrected energy balance step 1'!AW55),'Corrected energy balance step 1'!AW55,0)</f>
        <v>0</v>
      </c>
      <c r="AX55" s="158">
        <f>IF(ISNUMBER('Corrected energy balance step 1'!AX55),'Corrected energy balance step 1'!AX55,0)</f>
        <v>0</v>
      </c>
      <c r="AY55" s="158">
        <f>IF(ISNUMBER('Corrected energy balance step 1'!AY55),'Corrected energy balance step 1'!AY55,0)</f>
        <v>0</v>
      </c>
      <c r="AZ55" s="158">
        <f>IF(ISNUMBER('Corrected energy balance step 1'!AZ55),'Corrected energy balance step 1'!AZ55,0)</f>
        <v>0</v>
      </c>
      <c r="BA55" s="158">
        <f>IF(ISNUMBER('Corrected energy balance step 1'!BA55),'Corrected energy balance step 1'!BA55,0)</f>
        <v>0</v>
      </c>
      <c r="BB55" s="158">
        <f>IF(ISNUMBER('Corrected energy balance step 1'!BB55),'Corrected energy balance step 1'!BB55,0)</f>
        <v>0</v>
      </c>
      <c r="BC55" s="158">
        <f>IF(ISNUMBER('Corrected energy balance step 1'!BC55),'Corrected energy balance step 1'!BC55,0)</f>
        <v>0</v>
      </c>
      <c r="BD55" s="158">
        <f>IF(ISNUMBER('Corrected energy balance step 1'!BD55),'Corrected energy balance step 1'!BD55,0)</f>
        <v>0</v>
      </c>
      <c r="BE55" s="158">
        <f>IF(ISNUMBER('Corrected energy balance step 1'!BE55),'Corrected energy balance step 1'!BE55,0)</f>
        <v>0</v>
      </c>
      <c r="BF55" s="158">
        <f>IF(ISNUMBER('Corrected energy balance step 1'!BF55),'Corrected energy balance step 1'!BF55,0)</f>
        <v>0</v>
      </c>
      <c r="BG55" s="158">
        <f>IF(ISNUMBER('Corrected energy balance step 1'!BG55),'Corrected energy balance step 1'!BG55,0)</f>
        <v>0</v>
      </c>
      <c r="BH55" s="158">
        <f>IF(ISNUMBER('Corrected energy balance step 1'!BH55),'Corrected energy balance step 1'!BH55,0)</f>
        <v>0</v>
      </c>
      <c r="BI55" s="158">
        <f>IF(ISNUMBER('Corrected energy balance step 1'!BI55),'Corrected energy balance step 1'!BI55,0)</f>
        <v>0</v>
      </c>
      <c r="BJ55" s="158">
        <f>IF(ISNUMBER('Corrected energy balance step 1'!BJ55),'Corrected energy balance step 1'!BJ55,0)</f>
        <v>0</v>
      </c>
      <c r="BK55" s="158">
        <f>IF(ISNUMBER('Corrected energy balance step 1'!BK55),'Corrected energy balance step 1'!BK55,0)</f>
        <v>0</v>
      </c>
      <c r="BL55" s="158">
        <f>IF(ISNUMBER('Corrected energy balance step 1'!BL55),'Corrected energy balance step 1'!BL55,0)</f>
        <v>0</v>
      </c>
      <c r="BM55" s="158">
        <f>IF(ISNUMBER('Corrected energy balance step 1'!BM55),'Corrected energy balance step 1'!BM55,0)</f>
        <v>0</v>
      </c>
      <c r="BN55" s="156">
        <f t="shared" si="60"/>
        <v>0</v>
      </c>
      <c r="BO55" s="162">
        <f>'Corrected energy balance step 1'!BO55</f>
        <v>0</v>
      </c>
    </row>
    <row r="56" spans="2:69" x14ac:dyDescent="0.2">
      <c r="B56" s="32" t="s">
        <v>80</v>
      </c>
      <c r="C56" s="158">
        <f>IF(ISNUMBER('Corrected energy balance step 1'!C56),'Corrected energy balance step 1'!C56,0)</f>
        <v>0</v>
      </c>
      <c r="D56" s="158">
        <f>IF(ISNUMBER('Corrected energy balance step 1'!D56),'Corrected energy balance step 1'!D56,0)</f>
        <v>0</v>
      </c>
      <c r="E56" s="158">
        <f>IF(ISNUMBER('Corrected energy balance step 1'!E56),'Corrected energy balance step 1'!E56,0)</f>
        <v>0</v>
      </c>
      <c r="F56" s="158">
        <f>IF(ISNUMBER('Corrected energy balance step 1'!F56),'Corrected energy balance step 1'!F56,0)</f>
        <v>0</v>
      </c>
      <c r="G56" s="158">
        <f>IF(ISNUMBER('Corrected energy balance step 1'!G56),'Corrected energy balance step 1'!G56,0)</f>
        <v>0</v>
      </c>
      <c r="H56" s="158">
        <f>IF(ISNUMBER('Corrected energy balance step 1'!H56),'Corrected energy balance step 1'!H56,0)</f>
        <v>0</v>
      </c>
      <c r="I56" s="158">
        <f>IF(ISNUMBER('Corrected energy balance step 1'!I56),'Corrected energy balance step 1'!I56,0)</f>
        <v>0</v>
      </c>
      <c r="J56" s="158">
        <f>IF(ISNUMBER('Corrected energy balance step 1'!J56),'Corrected energy balance step 1'!J56,0)</f>
        <v>0</v>
      </c>
      <c r="K56" s="158">
        <f>IF(ISNUMBER('Corrected energy balance step 1'!K56),'Corrected energy balance step 1'!K56,0)</f>
        <v>0</v>
      </c>
      <c r="L56" s="158">
        <f>IF(ISNUMBER('Corrected energy balance step 1'!L56),'Corrected energy balance step 1'!L56,0)</f>
        <v>0</v>
      </c>
      <c r="M56" s="158">
        <f>IF(ISNUMBER('Corrected energy balance step 1'!M56),'Corrected energy balance step 1'!M56,0)</f>
        <v>0</v>
      </c>
      <c r="N56" s="158">
        <f>IF(ISNUMBER('Corrected energy balance step 1'!N56),'Corrected energy balance step 1'!N56,0)</f>
        <v>0</v>
      </c>
      <c r="O56" s="158">
        <f>IF(ISNUMBER('Corrected energy balance step 1'!O56),'Corrected energy balance step 1'!O56,0)</f>
        <v>0</v>
      </c>
      <c r="P56" s="158">
        <f>IF(ISNUMBER('Corrected energy balance step 1'!P56),'Corrected energy balance step 1'!P56,0)</f>
        <v>0</v>
      </c>
      <c r="Q56" s="158">
        <f>IF(ISNUMBER('Corrected energy balance step 1'!Q56),'Corrected energy balance step 1'!Q56,0)</f>
        <v>0</v>
      </c>
      <c r="R56" s="158">
        <f>IF(ISNUMBER('Corrected energy balance step 1'!R56),'Corrected energy balance step 1'!R56,0)</f>
        <v>0</v>
      </c>
      <c r="S56" s="158">
        <f>IF(ISNUMBER('Corrected energy balance step 1'!S56),'Corrected energy balance step 1'!S56,0)</f>
        <v>0</v>
      </c>
      <c r="T56" s="158">
        <f>IF(ISNUMBER('Corrected energy balance step 1'!T56),'Corrected energy balance step 1'!T56,0)</f>
        <v>0</v>
      </c>
      <c r="U56" s="158">
        <f>IF(ISNUMBER('Corrected energy balance step 1'!U56),'Corrected energy balance step 1'!U56,0)</f>
        <v>0</v>
      </c>
      <c r="V56" s="158">
        <f>IF(ISNUMBER('Corrected energy balance step 1'!V56),'Corrected energy balance step 1'!V56,0)</f>
        <v>0</v>
      </c>
      <c r="W56" s="158">
        <f>IF(ISNUMBER('Corrected energy balance step 1'!W56),'Corrected energy balance step 1'!W56,0)</f>
        <v>0</v>
      </c>
      <c r="X56" s="158">
        <f>IF(ISNUMBER('Corrected energy balance step 1'!X56),'Corrected energy balance step 1'!X56,0)</f>
        <v>0</v>
      </c>
      <c r="Y56" s="158">
        <f>IF(ISNUMBER('Corrected energy balance step 1'!Y56),'Corrected energy balance step 1'!Y56,0)</f>
        <v>0</v>
      </c>
      <c r="Z56" s="158">
        <f>IF(ISNUMBER('Corrected energy balance step 1'!Z56),'Corrected energy balance step 1'!Z56,0)</f>
        <v>0</v>
      </c>
      <c r="AA56" s="158">
        <f>IF(ISNUMBER('Corrected energy balance step 1'!AA56),'Corrected energy balance step 1'!AA56,0)</f>
        <v>0</v>
      </c>
      <c r="AB56" s="158">
        <f>IF(ISNUMBER('Corrected energy balance step 1'!AB56),'Corrected energy balance step 1'!AB56,0)</f>
        <v>0</v>
      </c>
      <c r="AC56" s="158">
        <f>IF(ISNUMBER('Corrected energy balance step 1'!AC56),'Corrected energy balance step 1'!AC56,0)</f>
        <v>0</v>
      </c>
      <c r="AD56" s="158">
        <f>IF(ISNUMBER('Corrected energy balance step 1'!AD56),'Corrected energy balance step 1'!AD56,0)</f>
        <v>0</v>
      </c>
      <c r="AE56" s="158">
        <f>IF(ISNUMBER('Corrected energy balance step 1'!AE56),'Corrected energy balance step 1'!AE56,0)</f>
        <v>0</v>
      </c>
      <c r="AF56" s="158">
        <f>IF(ISNUMBER('Corrected energy balance step 1'!AF56),'Corrected energy balance step 1'!AF56,0)</f>
        <v>0</v>
      </c>
      <c r="AG56" s="158">
        <f>IF(ISNUMBER('Corrected energy balance step 1'!AG56),'Corrected energy balance step 1'!AG56,0)</f>
        <v>0</v>
      </c>
      <c r="AH56" s="158">
        <f>IF(ISNUMBER('Corrected energy balance step 1'!AH56),'Corrected energy balance step 1'!AH56,0)</f>
        <v>0</v>
      </c>
      <c r="AI56" s="158">
        <f>IF(ISNUMBER('Corrected energy balance step 1'!AI56),'Corrected energy balance step 1'!AI56,0)</f>
        <v>0</v>
      </c>
      <c r="AJ56" s="158">
        <f>IF(ISNUMBER('Corrected energy balance step 1'!AJ56),'Corrected energy balance step 1'!AJ56,0)</f>
        <v>0</v>
      </c>
      <c r="AK56" s="158">
        <f>IF(ISNUMBER('Corrected energy balance step 1'!AK56),'Corrected energy balance step 1'!AK56,0)</f>
        <v>0</v>
      </c>
      <c r="AL56" s="158">
        <f>IF(ISNUMBER('Corrected energy balance step 1'!AL56),'Corrected energy balance step 1'!AL56,0)</f>
        <v>0</v>
      </c>
      <c r="AM56" s="158">
        <f>IF(ISNUMBER('Corrected energy balance step 1'!AM56),'Corrected energy balance step 1'!AM56,0)</f>
        <v>0</v>
      </c>
      <c r="AN56" s="158">
        <f>IF(ISNUMBER('Corrected energy balance step 1'!AN56),'Corrected energy balance step 1'!AN56,0)</f>
        <v>0</v>
      </c>
      <c r="AO56" s="158">
        <f>IF(ISNUMBER('Corrected energy balance step 1'!AO56),'Corrected energy balance step 1'!AO56,0)</f>
        <v>0</v>
      </c>
      <c r="AP56" s="158">
        <f>IF(ISNUMBER('Corrected energy balance step 1'!AP56),'Corrected energy balance step 1'!AP56,0)</f>
        <v>0</v>
      </c>
      <c r="AQ56" s="158">
        <f>IF(ISNUMBER('Corrected energy balance step 1'!AQ56),'Corrected energy balance step 1'!AQ56,0)</f>
        <v>0</v>
      </c>
      <c r="AR56" s="158">
        <f>IF(ISNUMBER('Corrected energy balance step 1'!AR56),'Corrected energy balance step 1'!AR56,0)</f>
        <v>0</v>
      </c>
      <c r="AS56" s="158">
        <f>IF(ISNUMBER('Corrected energy balance step 1'!AS56),'Corrected energy balance step 1'!AS56,0)</f>
        <v>0</v>
      </c>
      <c r="AT56" s="158">
        <f>IF(ISNUMBER('Corrected energy balance step 1'!AT56),'Corrected energy balance step 1'!AT56,0)</f>
        <v>0</v>
      </c>
      <c r="AU56" s="158">
        <f>IF(ISNUMBER('Corrected energy balance step 1'!AU56),'Corrected energy balance step 1'!AU56,0)</f>
        <v>0</v>
      </c>
      <c r="AV56" s="158">
        <f>IF(ISNUMBER('Corrected energy balance step 1'!AV56),'Corrected energy balance step 1'!AV56,0)</f>
        <v>0</v>
      </c>
      <c r="AW56" s="158">
        <f>IF(ISNUMBER('Corrected energy balance step 1'!AW56),'Corrected energy balance step 1'!AW56,0)</f>
        <v>0</v>
      </c>
      <c r="AX56" s="158">
        <f>IF(ISNUMBER('Corrected energy balance step 1'!AX56),'Corrected energy balance step 1'!AX56,0)</f>
        <v>0</v>
      </c>
      <c r="AY56" s="158">
        <f>IF(ISNUMBER('Corrected energy balance step 1'!AY56),'Corrected energy balance step 1'!AY56,0)</f>
        <v>0</v>
      </c>
      <c r="AZ56" s="158">
        <f>IF(ISNUMBER('Corrected energy balance step 1'!AZ56),'Corrected energy balance step 1'!AZ56,0)</f>
        <v>0</v>
      </c>
      <c r="BA56" s="158">
        <f>IF(ISNUMBER('Corrected energy balance step 1'!BA56),'Corrected energy balance step 1'!BA56,0)</f>
        <v>0</v>
      </c>
      <c r="BB56" s="158">
        <f>IF(ISNUMBER('Corrected energy balance step 1'!BB56),'Corrected energy balance step 1'!BB56,0)</f>
        <v>0</v>
      </c>
      <c r="BC56" s="158">
        <f>IF(ISNUMBER('Corrected energy balance step 1'!BC56),'Corrected energy balance step 1'!BC56,0)</f>
        <v>0</v>
      </c>
      <c r="BD56" s="158">
        <f>IF(ISNUMBER('Corrected energy balance step 1'!BD56),'Corrected energy balance step 1'!BD56,0)</f>
        <v>0</v>
      </c>
      <c r="BE56" s="158">
        <f>IF(ISNUMBER('Corrected energy balance step 1'!BE56),'Corrected energy balance step 1'!BE56,0)</f>
        <v>0</v>
      </c>
      <c r="BF56" s="158">
        <f>IF(ISNUMBER('Corrected energy balance step 1'!BF56),'Corrected energy balance step 1'!BF56,0)</f>
        <v>0</v>
      </c>
      <c r="BG56" s="158">
        <f>IF(ISNUMBER('Corrected energy balance step 1'!BG56),'Corrected energy balance step 1'!BG56,0)</f>
        <v>0</v>
      </c>
      <c r="BH56" s="158">
        <f>IF(ISNUMBER('Corrected energy balance step 1'!BH56),'Corrected energy balance step 1'!BH56,0)</f>
        <v>0</v>
      </c>
      <c r="BI56" s="158">
        <f>IF(ISNUMBER('Corrected energy balance step 1'!BI56),'Corrected energy balance step 1'!BI56,0)</f>
        <v>0</v>
      </c>
      <c r="BJ56" s="158">
        <f>IF(ISNUMBER('Corrected energy balance step 1'!BJ56),'Corrected energy balance step 1'!BJ56,0)</f>
        <v>0</v>
      </c>
      <c r="BK56" s="158">
        <f>IF(ISNUMBER('Corrected energy balance step 1'!BK56),'Corrected energy balance step 1'!BK56,0)</f>
        <v>0</v>
      </c>
      <c r="BL56" s="158">
        <f>IF(ISNUMBER('Corrected energy balance step 1'!BL56),'Corrected energy balance step 1'!BL56,0)</f>
        <v>0</v>
      </c>
      <c r="BM56" s="158">
        <f>IF(ISNUMBER('Corrected energy balance step 1'!BM56),'Corrected energy balance step 1'!BM56,0)</f>
        <v>0</v>
      </c>
      <c r="BN56" s="156">
        <f t="shared" si="60"/>
        <v>0</v>
      </c>
      <c r="BO56" s="162">
        <f>'Corrected energy balance step 1'!BO56</f>
        <v>0</v>
      </c>
    </row>
    <row r="57" spans="2:69" x14ac:dyDescent="0.2">
      <c r="B57" s="32" t="s">
        <v>90</v>
      </c>
      <c r="C57" s="158">
        <f>IF(ISNUMBER('Corrected energy balance step 1'!C57),'Corrected energy balance step 1'!C57,0)</f>
        <v>0</v>
      </c>
      <c r="D57" s="158">
        <f>IF(ISNUMBER('Corrected energy balance step 1'!D57),'Corrected energy balance step 1'!D57,0)</f>
        <v>0</v>
      </c>
      <c r="E57" s="158">
        <f>IF(ISNUMBER('Corrected energy balance step 1'!E57),'Corrected energy balance step 1'!E57,0)</f>
        <v>0</v>
      </c>
      <c r="F57" s="158">
        <f>IF(ISNUMBER('Corrected energy balance step 1'!F57),'Corrected energy balance step 1'!F57,0)</f>
        <v>0</v>
      </c>
      <c r="G57" s="158">
        <f>IF(ISNUMBER('Corrected energy balance step 1'!G57),'Corrected energy balance step 1'!G57,0)</f>
        <v>0</v>
      </c>
      <c r="H57" s="158">
        <f>IF(ISNUMBER('Corrected energy balance step 1'!H57),'Corrected energy balance step 1'!H57,0)</f>
        <v>0</v>
      </c>
      <c r="I57" s="158">
        <f>IF(ISNUMBER('Corrected energy balance step 1'!I57),'Corrected energy balance step 1'!I57,0)</f>
        <v>0</v>
      </c>
      <c r="J57" s="158">
        <f>IF(ISNUMBER('Corrected energy balance step 1'!J57),'Corrected energy balance step 1'!J57,0)</f>
        <v>0</v>
      </c>
      <c r="K57" s="158">
        <f>IF(ISNUMBER('Corrected energy balance step 1'!K57),'Corrected energy balance step 1'!K57,0)</f>
        <v>0</v>
      </c>
      <c r="L57" s="158">
        <f>IF(ISNUMBER('Corrected energy balance step 1'!L57),'Corrected energy balance step 1'!L57,0)</f>
        <v>0</v>
      </c>
      <c r="M57" s="158">
        <f>IF(ISNUMBER('Corrected energy balance step 1'!M57),'Corrected energy balance step 1'!M57,0)</f>
        <v>0</v>
      </c>
      <c r="N57" s="158">
        <f>IF(ISNUMBER('Corrected energy balance step 1'!N57),'Corrected energy balance step 1'!N57,0)</f>
        <v>0</v>
      </c>
      <c r="O57" s="158">
        <f>IF(ISNUMBER('Corrected energy balance step 1'!O57),'Corrected energy balance step 1'!O57,0)</f>
        <v>0</v>
      </c>
      <c r="P57" s="158">
        <f>IF(ISNUMBER('Corrected energy balance step 1'!P57),'Corrected energy balance step 1'!P57,0)</f>
        <v>0</v>
      </c>
      <c r="Q57" s="158">
        <f>IF(ISNUMBER('Corrected energy balance step 1'!Q57),'Corrected energy balance step 1'!Q57,0)</f>
        <v>0</v>
      </c>
      <c r="R57" s="158">
        <f>IF(ISNUMBER('Corrected energy balance step 1'!R57),'Corrected energy balance step 1'!R57,0)</f>
        <v>0</v>
      </c>
      <c r="S57" s="158">
        <f>IF(ISNUMBER('Corrected energy balance step 1'!S57),'Corrected energy balance step 1'!S57,0)</f>
        <v>0</v>
      </c>
      <c r="T57" s="158">
        <f>IF(ISNUMBER('Corrected energy balance step 1'!T57),'Corrected energy balance step 1'!T57,0)</f>
        <v>0</v>
      </c>
      <c r="U57" s="158">
        <f>IF(ISNUMBER('Corrected energy balance step 1'!U57),'Corrected energy balance step 1'!U57,0)</f>
        <v>0</v>
      </c>
      <c r="V57" s="158">
        <f>IF(ISNUMBER('Corrected energy balance step 1'!V57),'Corrected energy balance step 1'!V57,0)</f>
        <v>0</v>
      </c>
      <c r="W57" s="158">
        <f>IF(ISNUMBER('Corrected energy balance step 1'!W57),'Corrected energy balance step 1'!W57,0)</f>
        <v>0</v>
      </c>
      <c r="X57" s="158">
        <f>IF(ISNUMBER('Corrected energy balance step 1'!X57),'Corrected energy balance step 1'!X57,0)</f>
        <v>0</v>
      </c>
      <c r="Y57" s="158">
        <f>IF(ISNUMBER('Corrected energy balance step 1'!Y57),'Corrected energy balance step 1'!Y57,0)</f>
        <v>0</v>
      </c>
      <c r="Z57" s="158">
        <f>IF(ISNUMBER('Corrected energy balance step 1'!Z57),'Corrected energy balance step 1'!Z57,0)</f>
        <v>0</v>
      </c>
      <c r="AA57" s="158">
        <f>IF(ISNUMBER('Corrected energy balance step 1'!AA57),'Corrected energy balance step 1'!AA57,0)</f>
        <v>0</v>
      </c>
      <c r="AB57" s="158">
        <f>IF(ISNUMBER('Corrected energy balance step 1'!AB57),'Corrected energy balance step 1'!AB57,0)</f>
        <v>0</v>
      </c>
      <c r="AC57" s="158">
        <f>IF(ISNUMBER('Corrected energy balance step 1'!AC57),'Corrected energy balance step 1'!AC57,0)</f>
        <v>0</v>
      </c>
      <c r="AD57" s="158">
        <f>IF(ISNUMBER('Corrected energy balance step 1'!AD57),'Corrected energy balance step 1'!AD57,0)</f>
        <v>0</v>
      </c>
      <c r="AE57" s="158">
        <f>IF(ISNUMBER('Corrected energy balance step 1'!AE57),'Corrected energy balance step 1'!AE57,0)</f>
        <v>0</v>
      </c>
      <c r="AF57" s="158">
        <f>IF(ISNUMBER('Corrected energy balance step 1'!AF57),'Corrected energy balance step 1'!AF57,0)</f>
        <v>0</v>
      </c>
      <c r="AG57" s="158">
        <f>IF(ISNUMBER('Corrected energy balance step 1'!AG57),'Corrected energy balance step 1'!AG57,0)</f>
        <v>0</v>
      </c>
      <c r="AH57" s="158">
        <f>IF(ISNUMBER('Corrected energy balance step 1'!AH57),'Corrected energy balance step 1'!AH57,0)</f>
        <v>0</v>
      </c>
      <c r="AI57" s="158">
        <f>IF(ISNUMBER('Corrected energy balance step 1'!AI57),'Corrected energy balance step 1'!AI57,0)</f>
        <v>0</v>
      </c>
      <c r="AJ57" s="158">
        <f>IF(ISNUMBER('Corrected energy balance step 1'!AJ57),'Corrected energy balance step 1'!AJ57,0)</f>
        <v>0</v>
      </c>
      <c r="AK57" s="158">
        <f>IF(ISNUMBER('Corrected energy balance step 1'!AK57),'Corrected energy balance step 1'!AK57,0)</f>
        <v>0</v>
      </c>
      <c r="AL57" s="158">
        <f>IF(ISNUMBER('Corrected energy balance step 1'!AL57),'Corrected energy balance step 1'!AL57,0)</f>
        <v>0</v>
      </c>
      <c r="AM57" s="158">
        <f>IF(ISNUMBER('Corrected energy balance step 1'!AM57),'Corrected energy balance step 1'!AM57,0)</f>
        <v>0</v>
      </c>
      <c r="AN57" s="158">
        <f>IF(ISNUMBER('Corrected energy balance step 1'!AN57),'Corrected energy balance step 1'!AN57,0)</f>
        <v>0</v>
      </c>
      <c r="AO57" s="158">
        <f>IF(ISNUMBER('Corrected energy balance step 1'!AO57),'Corrected energy balance step 1'!AO57,0)</f>
        <v>0</v>
      </c>
      <c r="AP57" s="158">
        <f>IF(ISNUMBER('Corrected energy balance step 1'!AP57),'Corrected energy balance step 1'!AP57,0)</f>
        <v>0</v>
      </c>
      <c r="AQ57" s="158">
        <f>IF(ISNUMBER('Corrected energy balance step 1'!AQ57),'Corrected energy balance step 1'!AQ57,0)</f>
        <v>0</v>
      </c>
      <c r="AR57" s="158">
        <f>IF(ISNUMBER('Corrected energy balance step 1'!AR57),'Corrected energy balance step 1'!AR57,0)</f>
        <v>0</v>
      </c>
      <c r="AS57" s="158">
        <f>IF(ISNUMBER('Corrected energy balance step 1'!AS57),'Corrected energy balance step 1'!AS57,0)</f>
        <v>0</v>
      </c>
      <c r="AT57" s="158">
        <f>IF(ISNUMBER('Corrected energy balance step 1'!AT57),'Corrected energy balance step 1'!AT57,0)</f>
        <v>0</v>
      </c>
      <c r="AU57" s="158">
        <f>IF(ISNUMBER('Corrected energy balance step 1'!AU57),'Corrected energy balance step 1'!AU57,0)</f>
        <v>0</v>
      </c>
      <c r="AV57" s="158">
        <f>IF(ISNUMBER('Corrected energy balance step 1'!AV57),'Corrected energy balance step 1'!AV57,0)</f>
        <v>0</v>
      </c>
      <c r="AW57" s="158">
        <f>IF(ISNUMBER('Corrected energy balance step 1'!AW57),'Corrected energy balance step 1'!AW57,0)</f>
        <v>0</v>
      </c>
      <c r="AX57" s="158">
        <f>IF(ISNUMBER('Corrected energy balance step 1'!AX57),'Corrected energy balance step 1'!AX57,0)</f>
        <v>0</v>
      </c>
      <c r="AY57" s="158">
        <f>IF(ISNUMBER('Corrected energy balance step 1'!AY57),'Corrected energy balance step 1'!AY57,0)</f>
        <v>0</v>
      </c>
      <c r="AZ57" s="158">
        <f>IF(ISNUMBER('Corrected energy balance step 1'!AZ57),'Corrected energy balance step 1'!AZ57,0)</f>
        <v>0</v>
      </c>
      <c r="BA57" s="158">
        <f>IF(ISNUMBER('Corrected energy balance step 1'!BA57),'Corrected energy balance step 1'!BA57,0)</f>
        <v>0</v>
      </c>
      <c r="BB57" s="158">
        <f>IF(ISNUMBER('Corrected energy balance step 1'!BB57),'Corrected energy balance step 1'!BB57,0)</f>
        <v>0</v>
      </c>
      <c r="BC57" s="158">
        <f>IF(ISNUMBER('Corrected energy balance step 1'!BC57),'Corrected energy balance step 1'!BC57,0)</f>
        <v>0</v>
      </c>
      <c r="BD57" s="158">
        <f>IF(ISNUMBER('Corrected energy balance step 1'!BD57),'Corrected energy balance step 1'!BD57,0)</f>
        <v>0</v>
      </c>
      <c r="BE57" s="158">
        <f>IF(ISNUMBER('Corrected energy balance step 1'!BE57),'Corrected energy balance step 1'!BE57,0)</f>
        <v>0</v>
      </c>
      <c r="BF57" s="158">
        <f>IF(ISNUMBER('Corrected energy balance step 1'!BF57),'Corrected energy balance step 1'!BF57,0)</f>
        <v>0</v>
      </c>
      <c r="BG57" s="158">
        <f>IF(ISNUMBER('Corrected energy balance step 1'!BG57),'Corrected energy balance step 1'!BG57,0)</f>
        <v>0</v>
      </c>
      <c r="BH57" s="158">
        <f>IF(ISNUMBER('Corrected energy balance step 1'!BH57),'Corrected energy balance step 1'!BH57,0)</f>
        <v>0</v>
      </c>
      <c r="BI57" s="158">
        <f>IF(ISNUMBER('Corrected energy balance step 1'!BI57),'Corrected energy balance step 1'!BI57,0)</f>
        <v>0</v>
      </c>
      <c r="BJ57" s="158">
        <f>IF(ISNUMBER('Corrected energy balance step 1'!BJ57),'Corrected energy balance step 1'!BJ57,0)</f>
        <v>0</v>
      </c>
      <c r="BK57" s="158">
        <f>IF(ISNUMBER('Corrected energy balance step 1'!BK57),'Corrected energy balance step 1'!BK57,0)</f>
        <v>0</v>
      </c>
      <c r="BL57" s="158">
        <f>IF(ISNUMBER('Corrected energy balance step 1'!BL57),'Corrected energy balance step 1'!BL57,0)</f>
        <v>0</v>
      </c>
      <c r="BM57" s="158">
        <f>IF(ISNUMBER('Corrected energy balance step 1'!BM57),'Corrected energy balance step 1'!BM57,0)</f>
        <v>0</v>
      </c>
      <c r="BN57" s="156">
        <f t="shared" si="60"/>
        <v>0</v>
      </c>
      <c r="BO57" s="162">
        <f>'Corrected energy balance step 1'!BO57</f>
        <v>0</v>
      </c>
    </row>
    <row r="58" spans="2:69" ht="17" thickBot="1" x14ac:dyDescent="0.25">
      <c r="B58" s="32" t="s">
        <v>91</v>
      </c>
      <c r="C58" s="158">
        <f>IF(ISNUMBER('Corrected energy balance step 1'!C58),'Corrected energy balance step 1'!C58,0)</f>
        <v>0</v>
      </c>
      <c r="D58" s="158">
        <f>IF(ISNUMBER('Corrected energy balance step 1'!D58),'Corrected energy balance step 1'!D58,0)</f>
        <v>0</v>
      </c>
      <c r="E58" s="158">
        <f>IF(ISNUMBER('Corrected energy balance step 1'!E58),'Corrected energy balance step 1'!E58,0)</f>
        <v>0</v>
      </c>
      <c r="F58" s="158">
        <f>IF(ISNUMBER('Corrected energy balance step 1'!F58),'Corrected energy balance step 1'!F58,0)</f>
        <v>0</v>
      </c>
      <c r="G58" s="158">
        <f>IF(ISNUMBER('Corrected energy balance step 1'!G58),'Corrected energy balance step 1'!G58,0)</f>
        <v>0</v>
      </c>
      <c r="H58" s="158">
        <f>IF(ISNUMBER('Corrected energy balance step 1'!H58),'Corrected energy balance step 1'!H58,0)</f>
        <v>0</v>
      </c>
      <c r="I58" s="158">
        <f>IF(ISNUMBER('Corrected energy balance step 1'!I58),'Corrected energy balance step 1'!I58,0)</f>
        <v>0</v>
      </c>
      <c r="J58" s="158">
        <f>IF(ISNUMBER('Corrected energy balance step 1'!J58),'Corrected energy balance step 1'!J58,0)</f>
        <v>0</v>
      </c>
      <c r="K58" s="158">
        <f>IF(ISNUMBER('Corrected energy balance step 1'!K58),'Corrected energy balance step 1'!K58,0)</f>
        <v>0</v>
      </c>
      <c r="L58" s="158">
        <f>IF(ISNUMBER('Corrected energy balance step 1'!L58),'Corrected energy balance step 1'!L58,0)</f>
        <v>0</v>
      </c>
      <c r="M58" s="158">
        <f>IF(ISNUMBER('Corrected energy balance step 1'!M58),'Corrected energy balance step 1'!M58,0)</f>
        <v>0</v>
      </c>
      <c r="N58" s="158">
        <f>IF(ISNUMBER('Corrected energy balance step 1'!N58),'Corrected energy balance step 1'!N58,0)</f>
        <v>0</v>
      </c>
      <c r="O58" s="158">
        <f>IF(ISNUMBER('Corrected energy balance step 1'!O58),'Corrected energy balance step 1'!O58,0)</f>
        <v>0</v>
      </c>
      <c r="P58" s="158">
        <f>IF(ISNUMBER('Corrected energy balance step 1'!P58),'Corrected energy balance step 1'!P58,0)</f>
        <v>0</v>
      </c>
      <c r="Q58" s="158">
        <f>IF(ISNUMBER('Corrected energy balance step 1'!Q58),'Corrected energy balance step 1'!Q58,0)</f>
        <v>0</v>
      </c>
      <c r="R58" s="158">
        <f>IF(ISNUMBER('Corrected energy balance step 1'!R58),'Corrected energy balance step 1'!R58,0)</f>
        <v>0</v>
      </c>
      <c r="S58" s="158">
        <f>IF(ISNUMBER('Corrected energy balance step 1'!S58),'Corrected energy balance step 1'!S58,0)</f>
        <v>0</v>
      </c>
      <c r="T58" s="158">
        <f>IF(ISNUMBER('Corrected energy balance step 1'!T58),'Corrected energy balance step 1'!T58,0)</f>
        <v>0</v>
      </c>
      <c r="U58" s="158">
        <f>IF(ISNUMBER('Corrected energy balance step 1'!U58),'Corrected energy balance step 1'!U58,0)</f>
        <v>0</v>
      </c>
      <c r="V58" s="158">
        <f>IF(ISNUMBER('Corrected energy balance step 1'!V58),'Corrected energy balance step 1'!V58,0)</f>
        <v>0</v>
      </c>
      <c r="W58" s="158">
        <f>IF(ISNUMBER('Corrected energy balance step 1'!W58),'Corrected energy balance step 1'!W58,0)</f>
        <v>0</v>
      </c>
      <c r="X58" s="158">
        <f>IF(ISNUMBER('Corrected energy balance step 1'!X58),'Corrected energy balance step 1'!X58,0)</f>
        <v>0</v>
      </c>
      <c r="Y58" s="158">
        <f>IF(ISNUMBER('Corrected energy balance step 1'!Y58),'Corrected energy balance step 1'!Y58,0)</f>
        <v>0</v>
      </c>
      <c r="Z58" s="158">
        <f>IF(ISNUMBER('Corrected energy balance step 1'!Z58),'Corrected energy balance step 1'!Z58,0)</f>
        <v>0</v>
      </c>
      <c r="AA58" s="158">
        <f>IF(ISNUMBER('Corrected energy balance step 1'!AA58),'Corrected energy balance step 1'!AA58,0)</f>
        <v>0</v>
      </c>
      <c r="AB58" s="158">
        <f>IF(ISNUMBER('Corrected energy balance step 1'!AB58),'Corrected energy balance step 1'!AB58,0)</f>
        <v>0</v>
      </c>
      <c r="AC58" s="158">
        <f>IF(ISNUMBER('Corrected energy balance step 1'!AC58),'Corrected energy balance step 1'!AC58,0)</f>
        <v>0</v>
      </c>
      <c r="AD58" s="158">
        <f>IF(ISNUMBER('Corrected energy balance step 1'!AD58),'Corrected energy balance step 1'!AD58,0)</f>
        <v>0</v>
      </c>
      <c r="AE58" s="158">
        <f>IF(ISNUMBER('Corrected energy balance step 1'!AE58),'Corrected energy balance step 1'!AE58,0)</f>
        <v>0</v>
      </c>
      <c r="AF58" s="158">
        <f>IF(ISNUMBER('Corrected energy balance step 1'!AF58),'Corrected energy balance step 1'!AF58,0)</f>
        <v>0</v>
      </c>
      <c r="AG58" s="158">
        <f>IF(ISNUMBER('Corrected energy balance step 1'!AG58),'Corrected energy balance step 1'!AG58,0)</f>
        <v>0</v>
      </c>
      <c r="AH58" s="158">
        <f>IF(ISNUMBER('Corrected energy balance step 1'!AH58),'Corrected energy balance step 1'!AH58,0)</f>
        <v>0</v>
      </c>
      <c r="AI58" s="158">
        <f>IF(ISNUMBER('Corrected energy balance step 1'!AI58),'Corrected energy balance step 1'!AI58,0)</f>
        <v>0</v>
      </c>
      <c r="AJ58" s="158">
        <f>IF(ISNUMBER('Corrected energy balance step 1'!AJ58),'Corrected energy balance step 1'!AJ58,0)</f>
        <v>0</v>
      </c>
      <c r="AK58" s="158">
        <f>IF(ISNUMBER('Corrected energy balance step 1'!AK58),'Corrected energy balance step 1'!AK58,0)</f>
        <v>0</v>
      </c>
      <c r="AL58" s="158">
        <f>IF(ISNUMBER('Corrected energy balance step 1'!AL58),'Corrected energy balance step 1'!AL58,0)</f>
        <v>0</v>
      </c>
      <c r="AM58" s="158">
        <f>IF(ISNUMBER('Corrected energy balance step 1'!AM58),'Corrected energy balance step 1'!AM58,0)</f>
        <v>0</v>
      </c>
      <c r="AN58" s="158">
        <f>IF(ISNUMBER('Corrected energy balance step 1'!AN58),'Corrected energy balance step 1'!AN58,0)</f>
        <v>0</v>
      </c>
      <c r="AO58" s="158">
        <f>IF(ISNUMBER('Corrected energy balance step 1'!AO58),'Corrected energy balance step 1'!AO58,0)</f>
        <v>0</v>
      </c>
      <c r="AP58" s="158">
        <f>IF(ISNUMBER('Corrected energy balance step 1'!AP58),'Corrected energy balance step 1'!AP58,0)</f>
        <v>0</v>
      </c>
      <c r="AQ58" s="158">
        <f>IF(ISNUMBER('Corrected energy balance step 1'!AQ58),'Corrected energy balance step 1'!AQ58,0)</f>
        <v>0</v>
      </c>
      <c r="AR58" s="158">
        <f>IF(ISNUMBER('Corrected energy balance step 1'!AR58),'Corrected energy balance step 1'!AR58,0)</f>
        <v>0</v>
      </c>
      <c r="AS58" s="158">
        <f>IF(ISNUMBER('Corrected energy balance step 1'!AS58),'Corrected energy balance step 1'!AS58,0)</f>
        <v>0</v>
      </c>
      <c r="AT58" s="158">
        <f>IF(ISNUMBER('Corrected energy balance step 1'!AT58),'Corrected energy balance step 1'!AT58,0)</f>
        <v>0</v>
      </c>
      <c r="AU58" s="158">
        <f>IF(ISNUMBER('Corrected energy balance step 1'!AU58),'Corrected energy balance step 1'!AU58,0)</f>
        <v>0</v>
      </c>
      <c r="AV58" s="158">
        <f>IF(ISNUMBER('Corrected energy balance step 1'!AV58),'Corrected energy balance step 1'!AV58,0)</f>
        <v>0</v>
      </c>
      <c r="AW58" s="158">
        <f>IF(ISNUMBER('Corrected energy balance step 1'!AW58),'Corrected energy balance step 1'!AW58,0)</f>
        <v>0</v>
      </c>
      <c r="AX58" s="158">
        <f>IF(ISNUMBER('Corrected energy balance step 1'!AX58),'Corrected energy balance step 1'!AX58,0)</f>
        <v>0</v>
      </c>
      <c r="AY58" s="158">
        <f>IF(ISNUMBER('Corrected energy balance step 1'!AY58),'Corrected energy balance step 1'!AY58,0)</f>
        <v>0</v>
      </c>
      <c r="AZ58" s="158">
        <f>IF(ISNUMBER('Corrected energy balance step 1'!AZ58),'Corrected energy balance step 1'!AZ58,0)</f>
        <v>0</v>
      </c>
      <c r="BA58" s="158">
        <f>IF(ISNUMBER('Corrected energy balance step 1'!BA58),'Corrected energy balance step 1'!BA58,0)</f>
        <v>0</v>
      </c>
      <c r="BB58" s="158">
        <f>IF(ISNUMBER('Corrected energy balance step 1'!BB58),'Corrected energy balance step 1'!BB58,0)</f>
        <v>0</v>
      </c>
      <c r="BC58" s="158">
        <f>IF(ISNUMBER('Corrected energy balance step 1'!BC58),'Corrected energy balance step 1'!BC58,0)</f>
        <v>0</v>
      </c>
      <c r="BD58" s="158">
        <f>IF(ISNUMBER('Corrected energy balance step 1'!BD58),'Corrected energy balance step 1'!BD58,0)</f>
        <v>0</v>
      </c>
      <c r="BE58" s="158">
        <f>IF(ISNUMBER('Corrected energy balance step 1'!BE58),'Corrected energy balance step 1'!BE58,0)</f>
        <v>0</v>
      </c>
      <c r="BF58" s="158">
        <f>IF(ISNUMBER('Corrected energy balance step 1'!BF58),'Corrected energy balance step 1'!BF58,0)</f>
        <v>0</v>
      </c>
      <c r="BG58" s="158">
        <f>IF(ISNUMBER('Corrected energy balance step 1'!BG58),'Corrected energy balance step 1'!BG58,0)</f>
        <v>0</v>
      </c>
      <c r="BH58" s="158">
        <f>IF(ISNUMBER('Corrected energy balance step 1'!BH58),'Corrected energy balance step 1'!BH58,0)</f>
        <v>0</v>
      </c>
      <c r="BI58" s="158">
        <f>IF(ISNUMBER('Corrected energy balance step 1'!BI58),'Corrected energy balance step 1'!BI58,0)</f>
        <v>0</v>
      </c>
      <c r="BJ58" s="158">
        <f>IF(ISNUMBER('Corrected energy balance step 1'!BJ58),'Corrected energy balance step 1'!BJ58,0)</f>
        <v>0</v>
      </c>
      <c r="BK58" s="158">
        <f>IF(ISNUMBER('Corrected energy balance step 1'!BK58),'Corrected energy balance step 1'!BK58,0)</f>
        <v>0</v>
      </c>
      <c r="BL58" s="158">
        <f>IF(ISNUMBER('Corrected energy balance step 1'!BL58),'Corrected energy balance step 1'!BL58,0)</f>
        <v>0</v>
      </c>
      <c r="BM58" s="158">
        <f>IF(ISNUMBER('Corrected energy balance step 1'!BM58),'Corrected energy balance step 1'!BM58,0)</f>
        <v>0</v>
      </c>
      <c r="BN58" s="156">
        <f t="shared" si="60"/>
        <v>0</v>
      </c>
      <c r="BO58" s="162">
        <f>'Corrected energy balance step 1'!BO58</f>
        <v>0</v>
      </c>
    </row>
    <row r="59" spans="2:69" ht="17" thickBot="1" x14ac:dyDescent="0.25">
      <c r="B59" s="40" t="s">
        <v>92</v>
      </c>
      <c r="C59" s="153">
        <f>SUM(C60,C74,C81,C87)</f>
        <v>0</v>
      </c>
      <c r="D59" s="153">
        <f t="shared" ref="D59:BK59" si="61">SUM(D60,D74,D81,D87)</f>
        <v>0</v>
      </c>
      <c r="E59" s="163">
        <f t="shared" si="61"/>
        <v>0</v>
      </c>
      <c r="F59" s="163">
        <f t="shared" si="61"/>
        <v>0</v>
      </c>
      <c r="G59" s="163">
        <f t="shared" si="61"/>
        <v>0</v>
      </c>
      <c r="H59" s="163">
        <f t="shared" si="61"/>
        <v>0</v>
      </c>
      <c r="I59" s="163">
        <f t="shared" si="61"/>
        <v>0</v>
      </c>
      <c r="J59" s="163">
        <f t="shared" si="61"/>
        <v>0</v>
      </c>
      <c r="K59" s="163">
        <f t="shared" si="61"/>
        <v>0</v>
      </c>
      <c r="L59" s="163">
        <f t="shared" si="61"/>
        <v>0</v>
      </c>
      <c r="M59" s="163">
        <f t="shared" si="61"/>
        <v>0</v>
      </c>
      <c r="N59" s="163">
        <f t="shared" si="61"/>
        <v>0</v>
      </c>
      <c r="O59" s="163">
        <f t="shared" si="61"/>
        <v>0</v>
      </c>
      <c r="P59" s="163">
        <f t="shared" si="61"/>
        <v>0</v>
      </c>
      <c r="Q59" s="163">
        <f t="shared" si="61"/>
        <v>0</v>
      </c>
      <c r="R59" s="163">
        <f t="shared" si="61"/>
        <v>0</v>
      </c>
      <c r="S59" s="163">
        <f t="shared" si="61"/>
        <v>0</v>
      </c>
      <c r="T59" s="163">
        <f t="shared" si="61"/>
        <v>0</v>
      </c>
      <c r="U59" s="153">
        <f t="shared" si="61"/>
        <v>0</v>
      </c>
      <c r="V59" s="163">
        <f t="shared" si="61"/>
        <v>0</v>
      </c>
      <c r="W59" s="163">
        <f t="shared" si="61"/>
        <v>0</v>
      </c>
      <c r="X59" s="163">
        <f t="shared" si="61"/>
        <v>0</v>
      </c>
      <c r="Y59" s="163">
        <f t="shared" si="61"/>
        <v>0</v>
      </c>
      <c r="Z59" s="163">
        <f t="shared" si="61"/>
        <v>0</v>
      </c>
      <c r="AA59" s="163">
        <f t="shared" si="61"/>
        <v>0</v>
      </c>
      <c r="AB59" s="163">
        <f t="shared" si="61"/>
        <v>0</v>
      </c>
      <c r="AC59" s="163">
        <f t="shared" si="61"/>
        <v>0</v>
      </c>
      <c r="AD59" s="163">
        <f t="shared" si="61"/>
        <v>0</v>
      </c>
      <c r="AE59" s="163">
        <f t="shared" si="61"/>
        <v>0</v>
      </c>
      <c r="AF59" s="163">
        <f t="shared" si="61"/>
        <v>0</v>
      </c>
      <c r="AG59" s="163">
        <f t="shared" si="61"/>
        <v>0</v>
      </c>
      <c r="AH59" s="163">
        <f t="shared" si="61"/>
        <v>0</v>
      </c>
      <c r="AI59" s="163">
        <f t="shared" si="61"/>
        <v>0</v>
      </c>
      <c r="AJ59" s="163">
        <f t="shared" si="61"/>
        <v>0</v>
      </c>
      <c r="AK59" s="163">
        <f t="shared" si="61"/>
        <v>0</v>
      </c>
      <c r="AL59" s="163">
        <f t="shared" si="61"/>
        <v>0</v>
      </c>
      <c r="AM59" s="163">
        <f t="shared" si="61"/>
        <v>0</v>
      </c>
      <c r="AN59" s="163">
        <f t="shared" si="61"/>
        <v>0</v>
      </c>
      <c r="AO59" s="163">
        <f t="shared" si="61"/>
        <v>0</v>
      </c>
      <c r="AP59" s="163">
        <f t="shared" si="61"/>
        <v>0</v>
      </c>
      <c r="AQ59" s="163">
        <f t="shared" ref="AQ59" si="62">SUM(AQ60,AQ74,AQ81,AQ87)</f>
        <v>0</v>
      </c>
      <c r="AR59" s="163">
        <f>SUM(AR60,AR74,AR81,AR87)</f>
        <v>0</v>
      </c>
      <c r="AS59" s="163">
        <f t="shared" si="61"/>
        <v>0</v>
      </c>
      <c r="AT59" s="163">
        <f t="shared" si="61"/>
        <v>0</v>
      </c>
      <c r="AU59" s="163">
        <f t="shared" si="61"/>
        <v>0</v>
      </c>
      <c r="AV59" s="163">
        <f t="shared" si="61"/>
        <v>0</v>
      </c>
      <c r="AW59" s="163">
        <f t="shared" si="61"/>
        <v>0</v>
      </c>
      <c r="AX59" s="163">
        <f t="shared" ref="AX59" si="63">SUM(AX60,AX74,AX81,AX87)</f>
        <v>0</v>
      </c>
      <c r="AY59" s="163">
        <f t="shared" si="61"/>
        <v>0</v>
      </c>
      <c r="AZ59" s="163">
        <f t="shared" si="61"/>
        <v>0</v>
      </c>
      <c r="BA59" s="163">
        <f t="shared" si="61"/>
        <v>0</v>
      </c>
      <c r="BB59" s="163">
        <f t="shared" si="61"/>
        <v>0</v>
      </c>
      <c r="BC59" s="163">
        <f t="shared" si="61"/>
        <v>0</v>
      </c>
      <c r="BD59" s="163">
        <f t="shared" si="61"/>
        <v>0</v>
      </c>
      <c r="BE59" s="163">
        <f t="shared" si="61"/>
        <v>0</v>
      </c>
      <c r="BF59" s="163">
        <f t="shared" si="61"/>
        <v>0</v>
      </c>
      <c r="BG59" s="163">
        <f t="shared" si="61"/>
        <v>0</v>
      </c>
      <c r="BH59" s="163">
        <f t="shared" si="61"/>
        <v>0</v>
      </c>
      <c r="BI59" s="163">
        <f t="shared" si="61"/>
        <v>0</v>
      </c>
      <c r="BJ59" s="163">
        <f t="shared" si="61"/>
        <v>0</v>
      </c>
      <c r="BK59" s="163">
        <f t="shared" si="61"/>
        <v>0</v>
      </c>
      <c r="BL59" s="163">
        <f>SUM(BL60,BL74,BL81,BL87)</f>
        <v>0</v>
      </c>
      <c r="BM59" s="163">
        <f>SUM(BM60,BM74,BM81,BM87)</f>
        <v>0</v>
      </c>
      <c r="BN59" s="163">
        <f>SUM(BN60,BN74,BN81,BN87)</f>
        <v>0</v>
      </c>
      <c r="BO59" s="165">
        <f>'Corrected energy balance step 1'!BO59</f>
        <v>0</v>
      </c>
    </row>
    <row r="60" spans="2:69" ht="17" thickBot="1" x14ac:dyDescent="0.25">
      <c r="B60" s="40" t="s">
        <v>48</v>
      </c>
      <c r="C60" s="163">
        <f>SUM(C61:C73)</f>
        <v>0</v>
      </c>
      <c r="D60" s="163">
        <f t="shared" ref="D60:BM60" si="64">SUM(D61:D73)</f>
        <v>0</v>
      </c>
      <c r="E60" s="163">
        <f t="shared" si="64"/>
        <v>0</v>
      </c>
      <c r="F60" s="163">
        <f t="shared" si="64"/>
        <v>0</v>
      </c>
      <c r="G60" s="163">
        <f t="shared" si="64"/>
        <v>0</v>
      </c>
      <c r="H60" s="163">
        <f t="shared" si="64"/>
        <v>0</v>
      </c>
      <c r="I60" s="163">
        <f t="shared" si="64"/>
        <v>0</v>
      </c>
      <c r="J60" s="163">
        <f t="shared" si="64"/>
        <v>0</v>
      </c>
      <c r="K60" s="163">
        <f t="shared" si="64"/>
        <v>0</v>
      </c>
      <c r="L60" s="163">
        <f t="shared" si="64"/>
        <v>0</v>
      </c>
      <c r="M60" s="163">
        <f t="shared" si="64"/>
        <v>0</v>
      </c>
      <c r="N60" s="163">
        <f t="shared" si="64"/>
        <v>0</v>
      </c>
      <c r="O60" s="163">
        <f t="shared" si="64"/>
        <v>0</v>
      </c>
      <c r="P60" s="163">
        <f t="shared" si="64"/>
        <v>0</v>
      </c>
      <c r="Q60" s="163">
        <f t="shared" si="64"/>
        <v>0</v>
      </c>
      <c r="R60" s="163">
        <f t="shared" si="64"/>
        <v>0</v>
      </c>
      <c r="S60" s="163">
        <f t="shared" si="64"/>
        <v>0</v>
      </c>
      <c r="T60" s="163">
        <f>SUM(T61:T73)</f>
        <v>0</v>
      </c>
      <c r="U60" s="163">
        <f t="shared" si="64"/>
        <v>0</v>
      </c>
      <c r="V60" s="163">
        <f t="shared" si="64"/>
        <v>0</v>
      </c>
      <c r="W60" s="163">
        <f t="shared" si="64"/>
        <v>0</v>
      </c>
      <c r="X60" s="163">
        <f t="shared" si="64"/>
        <v>0</v>
      </c>
      <c r="Y60" s="163">
        <f t="shared" si="64"/>
        <v>0</v>
      </c>
      <c r="Z60" s="163">
        <f t="shared" si="64"/>
        <v>0</v>
      </c>
      <c r="AA60" s="163">
        <f t="shared" si="64"/>
        <v>0</v>
      </c>
      <c r="AB60" s="163">
        <f t="shared" si="64"/>
        <v>0</v>
      </c>
      <c r="AC60" s="163">
        <f t="shared" si="64"/>
        <v>0</v>
      </c>
      <c r="AD60" s="163">
        <f t="shared" si="64"/>
        <v>0</v>
      </c>
      <c r="AE60" s="163">
        <f t="shared" si="64"/>
        <v>0</v>
      </c>
      <c r="AF60" s="163">
        <f t="shared" si="64"/>
        <v>0</v>
      </c>
      <c r="AG60" s="163">
        <f t="shared" si="64"/>
        <v>0</v>
      </c>
      <c r="AH60" s="163">
        <f t="shared" si="64"/>
        <v>0</v>
      </c>
      <c r="AI60" s="163">
        <f t="shared" si="64"/>
        <v>0</v>
      </c>
      <c r="AJ60" s="163">
        <f t="shared" si="64"/>
        <v>0</v>
      </c>
      <c r="AK60" s="163">
        <f t="shared" si="64"/>
        <v>0</v>
      </c>
      <c r="AL60" s="163">
        <f t="shared" si="64"/>
        <v>0</v>
      </c>
      <c r="AM60" s="163">
        <f t="shared" si="64"/>
        <v>0</v>
      </c>
      <c r="AN60" s="163">
        <f t="shared" si="64"/>
        <v>0</v>
      </c>
      <c r="AO60" s="163">
        <f t="shared" si="64"/>
        <v>0</v>
      </c>
      <c r="AP60" s="163">
        <f t="shared" si="64"/>
        <v>0</v>
      </c>
      <c r="AQ60" s="163">
        <f t="shared" ref="AQ60" si="65">SUM(AQ61:AQ73)</f>
        <v>0</v>
      </c>
      <c r="AR60" s="163">
        <f t="shared" si="64"/>
        <v>0</v>
      </c>
      <c r="AS60" s="163">
        <f t="shared" si="64"/>
        <v>0</v>
      </c>
      <c r="AT60" s="163">
        <f t="shared" si="64"/>
        <v>0</v>
      </c>
      <c r="AU60" s="163">
        <f t="shared" si="64"/>
        <v>0</v>
      </c>
      <c r="AV60" s="163">
        <f t="shared" si="64"/>
        <v>0</v>
      </c>
      <c r="AW60" s="163">
        <f t="shared" si="64"/>
        <v>0</v>
      </c>
      <c r="AX60" s="163">
        <f t="shared" ref="AX60:AY60" si="66">SUM(AX61:AX73)</f>
        <v>0</v>
      </c>
      <c r="AY60" s="163">
        <f t="shared" si="66"/>
        <v>0</v>
      </c>
      <c r="AZ60" s="163">
        <f t="shared" si="64"/>
        <v>0</v>
      </c>
      <c r="BA60" s="163">
        <f t="shared" si="64"/>
        <v>0</v>
      </c>
      <c r="BB60" s="163">
        <f t="shared" si="64"/>
        <v>0</v>
      </c>
      <c r="BC60" s="163">
        <f t="shared" si="64"/>
        <v>0</v>
      </c>
      <c r="BD60" s="163">
        <f t="shared" si="64"/>
        <v>0</v>
      </c>
      <c r="BE60" s="163">
        <f t="shared" si="64"/>
        <v>0</v>
      </c>
      <c r="BF60" s="163">
        <f t="shared" si="64"/>
        <v>0</v>
      </c>
      <c r="BG60" s="163">
        <f t="shared" si="64"/>
        <v>0</v>
      </c>
      <c r="BH60" s="163">
        <f t="shared" si="64"/>
        <v>0</v>
      </c>
      <c r="BI60" s="163">
        <f t="shared" si="64"/>
        <v>0</v>
      </c>
      <c r="BJ60" s="163">
        <f t="shared" si="64"/>
        <v>0</v>
      </c>
      <c r="BK60" s="163">
        <f t="shared" si="64"/>
        <v>0</v>
      </c>
      <c r="BL60" s="163">
        <f t="shared" si="64"/>
        <v>0</v>
      </c>
      <c r="BM60" s="163">
        <f t="shared" si="64"/>
        <v>0</v>
      </c>
      <c r="BN60" s="164">
        <f t="shared" si="60"/>
        <v>0</v>
      </c>
      <c r="BO60" s="165">
        <f>'Corrected energy balance step 1'!BO60</f>
        <v>0</v>
      </c>
      <c r="BQ60" s="172"/>
    </row>
    <row r="61" spans="2:69" x14ac:dyDescent="0.2">
      <c r="B61" s="32" t="s">
        <v>93</v>
      </c>
      <c r="C61" s="158">
        <f>IF(ISNUMBER('Corrected energy balance step 1'!C61),'Corrected energy balance step 1'!C61,0)</f>
        <v>0</v>
      </c>
      <c r="D61" s="158">
        <f>IF(ISNUMBER('Corrected energy balance step 1'!D61),'Corrected energy balance step 1'!D61,0)</f>
        <v>0</v>
      </c>
      <c r="E61" s="158">
        <f>IF(ISNUMBER('Corrected energy balance step 1'!E61),'Corrected energy balance step 1'!E61,0)</f>
        <v>0</v>
      </c>
      <c r="F61" s="158">
        <f>IF(ISNUMBER('Corrected energy balance step 1'!F61),'Corrected energy balance step 1'!F61,0)</f>
        <v>0</v>
      </c>
      <c r="G61" s="158">
        <f>IF(ISNUMBER('Corrected energy balance step 1'!G61),'Corrected energy balance step 1'!G61,0)</f>
        <v>0</v>
      </c>
      <c r="H61" s="158">
        <f>IF(ISNUMBER('Corrected energy balance step 1'!H61),'Corrected energy balance step 1'!H61,0)</f>
        <v>0</v>
      </c>
      <c r="I61" s="158">
        <f>IF(ISNUMBER('Corrected energy balance step 1'!I61),'Corrected energy balance step 1'!I61,0)</f>
        <v>0</v>
      </c>
      <c r="J61" s="158">
        <f>IF(ISNUMBER('Corrected energy balance step 1'!J61),'Corrected energy balance step 1'!J61,0)</f>
        <v>0</v>
      </c>
      <c r="K61" s="158">
        <f>IF(ISNUMBER('Corrected energy balance step 1'!K61),'Corrected energy balance step 1'!K61,0)</f>
        <v>0</v>
      </c>
      <c r="L61" s="158">
        <f>IF(ISNUMBER('Corrected energy balance step 1'!L61),'Corrected energy balance step 1'!L61,0)</f>
        <v>0</v>
      </c>
      <c r="M61" s="158">
        <f>IF(ISNUMBER('Corrected energy balance step 1'!M61),'Corrected energy balance step 1'!M61,0)</f>
        <v>0</v>
      </c>
      <c r="N61" s="158">
        <f>IF(ISNUMBER('Corrected energy balance step 1'!N61),'Corrected energy balance step 1'!N61,0)</f>
        <v>0</v>
      </c>
      <c r="O61" s="158">
        <f>IF(ISNUMBER('Corrected energy balance step 1'!O61),'Corrected energy balance step 1'!O61,0)</f>
        <v>0</v>
      </c>
      <c r="P61" s="158">
        <f>IF(ISNUMBER('Corrected energy balance step 1'!P61),'Corrected energy balance step 1'!P61,0)</f>
        <v>0</v>
      </c>
      <c r="Q61" s="158">
        <f>IF(ISNUMBER('Corrected energy balance step 1'!Q61),'Corrected energy balance step 1'!Q61,0)</f>
        <v>0</v>
      </c>
      <c r="R61" s="158">
        <f>IF(ISNUMBER('Corrected energy balance step 1'!R61),'Corrected energy balance step 1'!R61,0)</f>
        <v>0</v>
      </c>
      <c r="S61" s="158">
        <f>IF(ISNUMBER('Corrected energy balance step 1'!S61),'Corrected energy balance step 1'!S61,0)</f>
        <v>0</v>
      </c>
      <c r="T61" s="158">
        <f>IF(ISNUMBER('Corrected energy balance step 1'!T61),'Corrected energy balance step 1'!T61,0)</f>
        <v>0</v>
      </c>
      <c r="U61" s="158">
        <f>IF(ISNUMBER('Corrected energy balance step 1'!U61),'Corrected energy balance step 1'!U61,0)</f>
        <v>0</v>
      </c>
      <c r="V61" s="158">
        <f>IF(ISNUMBER('Corrected energy balance step 1'!V61),'Corrected energy balance step 1'!V61,0)</f>
        <v>0</v>
      </c>
      <c r="W61" s="158">
        <f>IF(ISNUMBER('Corrected energy balance step 1'!W61),'Corrected energy balance step 1'!W61,0)</f>
        <v>0</v>
      </c>
      <c r="X61" s="158">
        <f>IF(ISNUMBER('Corrected energy balance step 1'!X61),'Corrected energy balance step 1'!X61,0)</f>
        <v>0</v>
      </c>
      <c r="Y61" s="158">
        <f>IF(ISNUMBER('Corrected energy balance step 1'!Y61),'Corrected energy balance step 1'!Y61,0)</f>
        <v>0</v>
      </c>
      <c r="Z61" s="158">
        <f>IF(ISNUMBER('Corrected energy balance step 1'!Z61),'Corrected energy balance step 1'!Z61,0)</f>
        <v>0</v>
      </c>
      <c r="AA61" s="158">
        <f>IF(ISNUMBER('Corrected energy balance step 1'!AA61),'Corrected energy balance step 1'!AA61,0)</f>
        <v>0</v>
      </c>
      <c r="AB61" s="158">
        <f>IF(ISNUMBER('Corrected energy balance step 1'!AB61),'Corrected energy balance step 1'!AB61,0)</f>
        <v>0</v>
      </c>
      <c r="AC61" s="157">
        <f>INDEX('Mobile machinery'!$C$54:$J$77,MATCH('Corrected energy balance step 2'!$B61,'Mobile machinery'!$C$54:$C$77,0),MATCH('Corrected energy balance step 2'!AC$7,'Mobile machinery'!$C$54:$J$54,0))</f>
        <v>0</v>
      </c>
      <c r="AD61" s="158">
        <f>IF(ISNUMBER('Corrected energy balance step 1'!AD61),'Corrected energy balance step 1'!AD61,0)</f>
        <v>0</v>
      </c>
      <c r="AE61" s="158">
        <f>IF(ISNUMBER('Corrected energy balance step 1'!AE61),'Corrected energy balance step 1'!AE61,0)</f>
        <v>0</v>
      </c>
      <c r="AF61" s="158">
        <f>IF(ISNUMBER('Corrected energy balance step 1'!AF61),'Corrected energy balance step 1'!AF61,0)</f>
        <v>0</v>
      </c>
      <c r="AG61" s="158">
        <f>IF(ISNUMBER('Corrected energy balance step 1'!AG61),'Corrected energy balance step 1'!AG61,0)</f>
        <v>0</v>
      </c>
      <c r="AH61" s="157">
        <f>INDEX('Mobile machinery'!$C$54:$J$77,MATCH('Corrected energy balance step 2'!$B61,'Mobile machinery'!$C$54:$C$77,0),MATCH('Corrected energy balance step 2'!AH$7,'Mobile machinery'!$C$54:$J$54,0))</f>
        <v>0</v>
      </c>
      <c r="AI61" s="157">
        <f>INDEX('Mobile machinery'!$C$54:$J$77,MATCH('Corrected energy balance step 2'!$B61,'Mobile machinery'!$C$54:$C$77,0),MATCH('Corrected energy balance step 2'!AI$7,'Mobile machinery'!$C$54:$J$54,0))</f>
        <v>0</v>
      </c>
      <c r="AJ61" s="158">
        <f>IF(ISNUMBER('Corrected energy balance step 1'!AJ61),'Corrected energy balance step 1'!AJ61,0)</f>
        <v>0</v>
      </c>
      <c r="AK61" s="158">
        <f>IF(ISNUMBER('Corrected energy balance step 1'!AK61),'Corrected energy balance step 1'!AK61,0)</f>
        <v>0</v>
      </c>
      <c r="AL61" s="158">
        <f>IF(ISNUMBER('Corrected energy balance step 1'!AL61),'Corrected energy balance step 1'!AL61,0)</f>
        <v>0</v>
      </c>
      <c r="AM61" s="158">
        <f>IF(ISNUMBER('Corrected energy balance step 1'!AM61),'Corrected energy balance step 1'!AM61,0)</f>
        <v>0</v>
      </c>
      <c r="AN61" s="158">
        <f>IF(ISNUMBER('Corrected energy balance step 1'!AN61),'Corrected energy balance step 1'!AN61,0)</f>
        <v>0</v>
      </c>
      <c r="AO61" s="158">
        <f>IF(ISNUMBER('Corrected energy balance step 1'!AO61),'Corrected energy balance step 1'!AO61,0)</f>
        <v>0</v>
      </c>
      <c r="AP61" s="158">
        <f>IF(ISNUMBER('Corrected energy balance step 1'!AP61),'Corrected energy balance step 1'!AP61,0)</f>
        <v>0</v>
      </c>
      <c r="AQ61" s="158">
        <f>IF(ISNUMBER('Corrected energy balance step 1'!AQ61),'Corrected energy balance step 1'!AQ61,0)</f>
        <v>0</v>
      </c>
      <c r="AR61" s="158">
        <f>IF(ISNUMBER('Corrected energy balance step 1'!AR61),'Corrected energy balance step 1'!AR61,0)</f>
        <v>0</v>
      </c>
      <c r="AS61" s="158">
        <f>IF(ISNUMBER('Corrected energy balance step 1'!AS61),'Corrected energy balance step 1'!AS61,0)</f>
        <v>0</v>
      </c>
      <c r="AT61" s="158">
        <f>IF(ISNUMBER('Corrected energy balance step 1'!AT61),'Corrected energy balance step 1'!AT61,0)</f>
        <v>0</v>
      </c>
      <c r="AU61" s="158">
        <f>IF(ISNUMBER('Corrected energy balance step 1'!AU61),'Corrected energy balance step 1'!AU61,0)</f>
        <v>0</v>
      </c>
      <c r="AV61" s="158">
        <f>IF(ISNUMBER('Corrected energy balance step 1'!AV61),'Corrected energy balance step 1'!AV61,0)</f>
        <v>0</v>
      </c>
      <c r="AW61" s="157">
        <f>INDEX('Mobile machinery'!$C$54:$J$77,MATCH('Corrected energy balance step 2'!$B61,'Mobile machinery'!$C$54:$C$77,0),MATCH('Corrected energy balance step 2'!AW$7,'Mobile machinery'!$C$54:$J$54,0))</f>
        <v>0</v>
      </c>
      <c r="AX61" s="157">
        <f>INDEX('Mobile machinery'!$C$54:$J$77,MATCH('Corrected energy balance step 2'!$B61,'Mobile machinery'!$C$54:$C$77,0),MATCH('Corrected energy balance step 2'!AX$7,'Mobile machinery'!$C$54:$J$54,0))</f>
        <v>0</v>
      </c>
      <c r="AY61" s="157">
        <f>INDEX('Mobile machinery'!$C$54:$J$77,MATCH('Corrected energy balance step 2'!$B61,'Mobile machinery'!$C$54:$C$77,0),MATCH('Corrected energy balance step 2'!AY$7,'Mobile machinery'!$C$54:$J$54,0))</f>
        <v>0</v>
      </c>
      <c r="AZ61" s="158">
        <f>IF(ISNUMBER('Corrected energy balance step 1'!AZ61),'Corrected energy balance step 1'!AZ61,0)</f>
        <v>0</v>
      </c>
      <c r="BA61" s="158">
        <f>IF(ISNUMBER('Corrected energy balance step 1'!BA61),'Corrected energy balance step 1'!BA61,0)</f>
        <v>0</v>
      </c>
      <c r="BB61" s="158">
        <f>IF(ISNUMBER('Corrected energy balance step 1'!BB61),'Corrected energy balance step 1'!BB61,0)</f>
        <v>0</v>
      </c>
      <c r="BC61" s="158">
        <f>IF(ISNUMBER('Corrected energy balance step 1'!BC61),'Corrected energy balance step 1'!BC61,0)</f>
        <v>0</v>
      </c>
      <c r="BD61" s="158">
        <f>IF(ISNUMBER('Corrected energy balance step 1'!BD61),'Corrected energy balance step 1'!BD61,0)</f>
        <v>0</v>
      </c>
      <c r="BE61" s="158">
        <f>IF(ISNUMBER('Corrected energy balance step 1'!BE61),'Corrected energy balance step 1'!BE61,0)</f>
        <v>0</v>
      </c>
      <c r="BF61" s="158">
        <f>IF(ISNUMBER('Corrected energy balance step 1'!BF61),'Corrected energy balance step 1'!BF61,0)</f>
        <v>0</v>
      </c>
      <c r="BG61" s="158">
        <f>IF(ISNUMBER('Corrected energy balance step 1'!BG61),'Corrected energy balance step 1'!BG61,0)</f>
        <v>0</v>
      </c>
      <c r="BH61" s="158">
        <f>IF(ISNUMBER('Corrected energy balance step 1'!BH61),'Corrected energy balance step 1'!BH61,0)</f>
        <v>0</v>
      </c>
      <c r="BI61" s="158">
        <f>IF(ISNUMBER('Corrected energy balance step 1'!BI61),'Corrected energy balance step 1'!BI61,0)</f>
        <v>0</v>
      </c>
      <c r="BJ61" s="158">
        <f>IF(ISNUMBER('Corrected energy balance step 1'!BJ61),'Corrected energy balance step 1'!BJ61,0)</f>
        <v>0</v>
      </c>
      <c r="BK61" s="158">
        <f>IF(ISNUMBER('Corrected energy balance step 1'!BK61),'Corrected energy balance step 1'!BK61,0)</f>
        <v>0</v>
      </c>
      <c r="BL61" s="158">
        <f>IF(ISNUMBER('Corrected energy balance step 1'!BL61),'Corrected energy balance step 1'!BL61,0)</f>
        <v>0</v>
      </c>
      <c r="BM61" s="158">
        <f>IF(ISNUMBER('Corrected energy balance step 1'!BM61),'Corrected energy balance step 1'!BM61,0)</f>
        <v>0</v>
      </c>
      <c r="BN61" s="156">
        <f t="shared" si="60"/>
        <v>0</v>
      </c>
      <c r="BO61" s="162">
        <f>'Corrected energy balance step 1'!BO61</f>
        <v>0</v>
      </c>
    </row>
    <row r="62" spans="2:69" x14ac:dyDescent="0.2">
      <c r="B62" s="32" t="s">
        <v>94</v>
      </c>
      <c r="C62" s="158">
        <f>IF(ISNUMBER('Corrected energy balance step 1'!C62),'Corrected energy balance step 1'!C62,0)</f>
        <v>0</v>
      </c>
      <c r="D62" s="158">
        <f>IF(ISNUMBER('Corrected energy balance step 1'!D62),'Corrected energy balance step 1'!D62,0)</f>
        <v>0</v>
      </c>
      <c r="E62" s="158">
        <f>IF(ISNUMBER('Corrected energy balance step 1'!E62),'Corrected energy balance step 1'!E62,0)</f>
        <v>0</v>
      </c>
      <c r="F62" s="158">
        <f>IF(ISNUMBER('Corrected energy balance step 1'!F62),'Corrected energy balance step 1'!F62,0)</f>
        <v>0</v>
      </c>
      <c r="G62" s="158">
        <f>IF(ISNUMBER('Corrected energy balance step 1'!G62),'Corrected energy balance step 1'!G62,0)</f>
        <v>0</v>
      </c>
      <c r="H62" s="158">
        <f>IF(ISNUMBER('Corrected energy balance step 1'!H62),'Corrected energy balance step 1'!H62,0)</f>
        <v>0</v>
      </c>
      <c r="I62" s="158">
        <f>IF(ISNUMBER('Corrected energy balance step 1'!I62),'Corrected energy balance step 1'!I62,0)</f>
        <v>0</v>
      </c>
      <c r="J62" s="158">
        <f>IF(ISNUMBER('Corrected energy balance step 1'!J62),'Corrected energy balance step 1'!J62,0)</f>
        <v>0</v>
      </c>
      <c r="K62" s="158">
        <f>IF(ISNUMBER('Corrected energy balance step 1'!K62),'Corrected energy balance step 1'!K62,0)</f>
        <v>0</v>
      </c>
      <c r="L62" s="158">
        <f>IF(ISNUMBER('Corrected energy balance step 1'!L62),'Corrected energy balance step 1'!L62,0)</f>
        <v>0</v>
      </c>
      <c r="M62" s="158">
        <f>IF(ISNUMBER('Corrected energy balance step 1'!M62),'Corrected energy balance step 1'!M62,0)</f>
        <v>0</v>
      </c>
      <c r="N62" s="158">
        <f>IF(ISNUMBER('Corrected energy balance step 1'!N62),'Corrected energy balance step 1'!N62,0)</f>
        <v>0</v>
      </c>
      <c r="O62" s="158">
        <f>IF(ISNUMBER('Corrected energy balance step 1'!O62),'Corrected energy balance step 1'!O62,0)</f>
        <v>0</v>
      </c>
      <c r="P62" s="158">
        <f>IF(ISNUMBER('Corrected energy balance step 1'!P62),'Corrected energy balance step 1'!P62,0)</f>
        <v>0</v>
      </c>
      <c r="Q62" s="158">
        <f>IF(ISNUMBER('Corrected energy balance step 1'!Q62),'Corrected energy balance step 1'!Q62,0)</f>
        <v>0</v>
      </c>
      <c r="R62" s="158">
        <f>IF(ISNUMBER('Corrected energy balance step 1'!R62),'Corrected energy balance step 1'!R62,0)</f>
        <v>0</v>
      </c>
      <c r="S62" s="158">
        <f>IF(ISNUMBER('Corrected energy balance step 1'!S62),'Corrected energy balance step 1'!S62,0)</f>
        <v>0</v>
      </c>
      <c r="T62" s="158">
        <f>IF(ISNUMBER('Corrected energy balance step 1'!T62),'Corrected energy balance step 1'!T62,0)</f>
        <v>0</v>
      </c>
      <c r="U62" s="158">
        <f>IF(ISNUMBER('Corrected energy balance step 1'!U62),'Corrected energy balance step 1'!U62,0)</f>
        <v>0</v>
      </c>
      <c r="V62" s="158">
        <f>IF(ISNUMBER('Corrected energy balance step 1'!V62),'Corrected energy balance step 1'!V62,0)</f>
        <v>0</v>
      </c>
      <c r="W62" s="158">
        <f>IF(ISNUMBER('Corrected energy balance step 1'!W62),'Corrected energy balance step 1'!W62,0)</f>
        <v>0</v>
      </c>
      <c r="X62" s="158">
        <f>IF(ISNUMBER('Corrected energy balance step 1'!X62),'Corrected energy balance step 1'!X62,0)</f>
        <v>0</v>
      </c>
      <c r="Y62" s="158">
        <f>IF(ISNUMBER('Corrected energy balance step 1'!Y62),'Corrected energy balance step 1'!Y62,0)</f>
        <v>0</v>
      </c>
      <c r="Z62" s="158">
        <f>IF(ISNUMBER('Corrected energy balance step 1'!Z62),'Corrected energy balance step 1'!Z62,0)</f>
        <v>0</v>
      </c>
      <c r="AA62" s="158">
        <f>IF(ISNUMBER('Corrected energy balance step 1'!AA62),'Corrected energy balance step 1'!AA62,0)</f>
        <v>0</v>
      </c>
      <c r="AB62" s="158">
        <f>IF(ISNUMBER('Corrected energy balance step 1'!AB62),'Corrected energy balance step 1'!AB62,0)</f>
        <v>0</v>
      </c>
      <c r="AC62" s="157">
        <f>INDEX('Mobile machinery'!$C$54:$J$77,MATCH('Corrected energy balance step 2'!$B62,'Mobile machinery'!$C$54:$C$77,0),MATCH('Corrected energy balance step 2'!AC$7,'Mobile machinery'!$C$54:$J$54,0))</f>
        <v>0</v>
      </c>
      <c r="AD62" s="158">
        <f>IF(ISNUMBER('Corrected energy balance step 1'!AD62),'Corrected energy balance step 1'!AD62,0)</f>
        <v>0</v>
      </c>
      <c r="AE62" s="158">
        <f>IF(ISNUMBER('Corrected energy balance step 1'!AE62),'Corrected energy balance step 1'!AE62,0)</f>
        <v>0</v>
      </c>
      <c r="AF62" s="158">
        <f>IF(ISNUMBER('Corrected energy balance step 1'!AF62),'Corrected energy balance step 1'!AF62,0)</f>
        <v>0</v>
      </c>
      <c r="AG62" s="158">
        <f>IF(ISNUMBER('Corrected energy balance step 1'!AG62),'Corrected energy balance step 1'!AG62,0)</f>
        <v>0</v>
      </c>
      <c r="AH62" s="157">
        <f>INDEX('Mobile machinery'!$C$54:$J$77,MATCH('Corrected energy balance step 2'!$B62,'Mobile machinery'!$C$54:$C$77,0),MATCH('Corrected energy balance step 2'!AH$7,'Mobile machinery'!$C$54:$J$54,0))</f>
        <v>0</v>
      </c>
      <c r="AI62" s="157">
        <f>INDEX('Mobile machinery'!$C$54:$J$77,MATCH('Corrected energy balance step 2'!$B62,'Mobile machinery'!$C$54:$C$77,0),MATCH('Corrected energy balance step 2'!AI$7,'Mobile machinery'!$C$54:$J$54,0))</f>
        <v>0</v>
      </c>
      <c r="AJ62" s="158">
        <f>IF(ISNUMBER('Corrected energy balance step 1'!AJ62),'Corrected energy balance step 1'!AJ62,0)</f>
        <v>0</v>
      </c>
      <c r="AK62" s="158">
        <f>IF(ISNUMBER('Corrected energy balance step 1'!AK62),'Corrected energy balance step 1'!AK62,0)</f>
        <v>0</v>
      </c>
      <c r="AL62" s="158">
        <f>IF(ISNUMBER('Corrected energy balance step 1'!AL62),'Corrected energy balance step 1'!AL62,0)</f>
        <v>0</v>
      </c>
      <c r="AM62" s="158">
        <f>IF(ISNUMBER('Corrected energy balance step 1'!AM62),'Corrected energy balance step 1'!AM62,0)</f>
        <v>0</v>
      </c>
      <c r="AN62" s="158">
        <f>IF(ISNUMBER('Corrected energy balance step 1'!AN62),'Corrected energy balance step 1'!AN62,0)</f>
        <v>0</v>
      </c>
      <c r="AO62" s="158">
        <f>IF(ISNUMBER('Corrected energy balance step 1'!AO62),'Corrected energy balance step 1'!AO62,0)</f>
        <v>0</v>
      </c>
      <c r="AP62" s="158">
        <f>IF(ISNUMBER('Corrected energy balance step 1'!AP62),'Corrected energy balance step 1'!AP62,0)</f>
        <v>0</v>
      </c>
      <c r="AQ62" s="158">
        <f>IF(ISNUMBER('Corrected energy balance step 1'!AQ62),'Corrected energy balance step 1'!AQ62,0)</f>
        <v>0</v>
      </c>
      <c r="AR62" s="158">
        <f>IF(ISNUMBER('Corrected energy balance step 1'!AR62),'Corrected energy balance step 1'!AR62,0)</f>
        <v>0</v>
      </c>
      <c r="AS62" s="158">
        <f>IF(ISNUMBER('Corrected energy balance step 1'!AS62),'Corrected energy balance step 1'!AS62,0)</f>
        <v>0</v>
      </c>
      <c r="AT62" s="158">
        <f>IF(ISNUMBER('Corrected energy balance step 1'!AT62),'Corrected energy balance step 1'!AT62,0)</f>
        <v>0</v>
      </c>
      <c r="AU62" s="158">
        <f>IF(ISNUMBER('Corrected energy balance step 1'!AU62),'Corrected energy balance step 1'!AU62,0)</f>
        <v>0</v>
      </c>
      <c r="AV62" s="158">
        <f>IF(ISNUMBER('Corrected energy balance step 1'!AV62),'Corrected energy balance step 1'!AV62,0)</f>
        <v>0</v>
      </c>
      <c r="AW62" s="157">
        <f>INDEX('Mobile machinery'!$C$54:$J$77,MATCH('Corrected energy balance step 2'!$B62,'Mobile machinery'!$C$54:$C$77,0),MATCH('Corrected energy balance step 2'!AW$7,'Mobile machinery'!$C$54:$J$54,0))</f>
        <v>0</v>
      </c>
      <c r="AX62" s="157">
        <f>INDEX('Mobile machinery'!$C$54:$J$77,MATCH('Corrected energy balance step 2'!$B62,'Mobile machinery'!$C$54:$C$77,0),MATCH('Corrected energy balance step 2'!AX$7,'Mobile machinery'!$C$54:$J$54,0))</f>
        <v>0</v>
      </c>
      <c r="AY62" s="157">
        <f>INDEX('Mobile machinery'!$C$54:$J$77,MATCH('Corrected energy balance step 2'!$B62,'Mobile machinery'!$C$54:$C$77,0),MATCH('Corrected energy balance step 2'!AY$7,'Mobile machinery'!$C$54:$J$54,0))</f>
        <v>0</v>
      </c>
      <c r="AZ62" s="158">
        <f>IF(ISNUMBER('Corrected energy balance step 1'!AZ62),'Corrected energy balance step 1'!AZ62,0)</f>
        <v>0</v>
      </c>
      <c r="BA62" s="158">
        <f>IF(ISNUMBER('Corrected energy balance step 1'!BA62),'Corrected energy balance step 1'!BA62,0)</f>
        <v>0</v>
      </c>
      <c r="BB62" s="158">
        <f>IF(ISNUMBER('Corrected energy balance step 1'!BB62),'Corrected energy balance step 1'!BB62,0)</f>
        <v>0</v>
      </c>
      <c r="BC62" s="158">
        <f>IF(ISNUMBER('Corrected energy balance step 1'!BC62),'Corrected energy balance step 1'!BC62,0)</f>
        <v>0</v>
      </c>
      <c r="BD62" s="158">
        <f>IF(ISNUMBER('Corrected energy balance step 1'!BD62),'Corrected energy balance step 1'!BD62,0)</f>
        <v>0</v>
      </c>
      <c r="BE62" s="158">
        <f>IF(ISNUMBER('Corrected energy balance step 1'!BE62),'Corrected energy balance step 1'!BE62,0)</f>
        <v>0</v>
      </c>
      <c r="BF62" s="158">
        <f>IF(ISNUMBER('Corrected energy balance step 1'!BF62),'Corrected energy balance step 1'!BF62,0)</f>
        <v>0</v>
      </c>
      <c r="BG62" s="158">
        <f>IF(ISNUMBER('Corrected energy balance step 1'!BG62),'Corrected energy balance step 1'!BG62,0)</f>
        <v>0</v>
      </c>
      <c r="BH62" s="158">
        <f>IF(ISNUMBER('Corrected energy balance step 1'!BH62),'Corrected energy balance step 1'!BH62,0)</f>
        <v>0</v>
      </c>
      <c r="BI62" s="158">
        <f>IF(ISNUMBER('Corrected energy balance step 1'!BI62),'Corrected energy balance step 1'!BI62,0)</f>
        <v>0</v>
      </c>
      <c r="BJ62" s="158">
        <f>IF(ISNUMBER('Corrected energy balance step 1'!BJ62),'Corrected energy balance step 1'!BJ62,0)</f>
        <v>0</v>
      </c>
      <c r="BK62" s="158">
        <f>IF(ISNUMBER('Corrected energy balance step 1'!BK62),'Corrected energy balance step 1'!BK62,0)</f>
        <v>0</v>
      </c>
      <c r="BL62" s="158">
        <f>IF(ISNUMBER('Corrected energy balance step 1'!BL62),'Corrected energy balance step 1'!BL62,0)</f>
        <v>0</v>
      </c>
      <c r="BM62" s="158">
        <f>IF(ISNUMBER('Corrected energy balance step 1'!BM62),'Corrected energy balance step 1'!BM62,0)</f>
        <v>0</v>
      </c>
      <c r="BN62" s="156">
        <f t="shared" si="60"/>
        <v>0</v>
      </c>
      <c r="BO62" s="162">
        <f>'Corrected energy balance step 1'!BO62</f>
        <v>0</v>
      </c>
    </row>
    <row r="63" spans="2:69" x14ac:dyDescent="0.2">
      <c r="B63" s="32" t="s">
        <v>95</v>
      </c>
      <c r="C63" s="158">
        <f>IF(ISNUMBER('Corrected energy balance step 1'!C63),'Corrected energy balance step 1'!C63,0)</f>
        <v>0</v>
      </c>
      <c r="D63" s="158">
        <f>IF(ISNUMBER('Corrected energy balance step 1'!D63),'Corrected energy balance step 1'!D63,0)</f>
        <v>0</v>
      </c>
      <c r="E63" s="158">
        <f>IF(ISNUMBER('Corrected energy balance step 1'!E63),'Corrected energy balance step 1'!E63,0)</f>
        <v>0</v>
      </c>
      <c r="F63" s="158">
        <f>IF(ISNUMBER('Corrected energy balance step 1'!F63),'Corrected energy balance step 1'!F63,0)</f>
        <v>0</v>
      </c>
      <c r="G63" s="158">
        <f>IF(ISNUMBER('Corrected energy balance step 1'!G63),'Corrected energy balance step 1'!G63,0)</f>
        <v>0</v>
      </c>
      <c r="H63" s="158">
        <f>IF(ISNUMBER('Corrected energy balance step 1'!H63),'Corrected energy balance step 1'!H63,0)</f>
        <v>0</v>
      </c>
      <c r="I63" s="158">
        <f>IF(ISNUMBER('Corrected energy balance step 1'!I63),'Corrected energy balance step 1'!I63,0)</f>
        <v>0</v>
      </c>
      <c r="J63" s="158">
        <f>IF(ISNUMBER('Corrected energy balance step 1'!J63),'Corrected energy balance step 1'!J63,0)</f>
        <v>0</v>
      </c>
      <c r="K63" s="158">
        <f>IF(ISNUMBER('Corrected energy balance step 1'!K63),'Corrected energy balance step 1'!K63,0)</f>
        <v>0</v>
      </c>
      <c r="L63" s="158">
        <f>IF(ISNUMBER('Corrected energy balance step 1'!L63),'Corrected energy balance step 1'!L63,0)</f>
        <v>0</v>
      </c>
      <c r="M63" s="158">
        <f>IF(ISNUMBER('Corrected energy balance step 1'!M63),'Corrected energy balance step 1'!M63,0)</f>
        <v>0</v>
      </c>
      <c r="N63" s="158">
        <f>IF(ISNUMBER('Corrected energy balance step 1'!N63),'Corrected energy balance step 1'!N63,0)</f>
        <v>0</v>
      </c>
      <c r="O63" s="158">
        <f>IF(ISNUMBER('Corrected energy balance step 1'!O63),'Corrected energy balance step 1'!O63,0)</f>
        <v>0</v>
      </c>
      <c r="P63" s="158">
        <f>IF(ISNUMBER('Corrected energy balance step 1'!P63),'Corrected energy balance step 1'!P63,0)</f>
        <v>0</v>
      </c>
      <c r="Q63" s="158">
        <f>IF(ISNUMBER('Corrected energy balance step 1'!Q63),'Corrected energy balance step 1'!Q63,0)</f>
        <v>0</v>
      </c>
      <c r="R63" s="158">
        <f>IF(ISNUMBER('Corrected energy balance step 1'!R63),'Corrected energy balance step 1'!R63,0)</f>
        <v>0</v>
      </c>
      <c r="S63" s="158">
        <f>IF(ISNUMBER('Corrected energy balance step 1'!S63),'Corrected energy balance step 1'!S63,0)</f>
        <v>0</v>
      </c>
      <c r="T63" s="158">
        <f>IF(ISNUMBER('Corrected energy balance step 1'!T63),'Corrected energy balance step 1'!T63,0)</f>
        <v>0</v>
      </c>
      <c r="U63" s="158">
        <f>IF(ISNUMBER('Corrected energy balance step 1'!U63),'Corrected energy balance step 1'!U63,0)</f>
        <v>0</v>
      </c>
      <c r="V63" s="158">
        <f>IF(ISNUMBER('Corrected energy balance step 1'!V63),'Corrected energy balance step 1'!V63,0)</f>
        <v>0</v>
      </c>
      <c r="W63" s="158">
        <f>IF(ISNUMBER('Corrected energy balance step 1'!W63),'Corrected energy balance step 1'!W63,0)</f>
        <v>0</v>
      </c>
      <c r="X63" s="158">
        <f>IF(ISNUMBER('Corrected energy balance step 1'!X63),'Corrected energy balance step 1'!X63,0)</f>
        <v>0</v>
      </c>
      <c r="Y63" s="158">
        <f>IF(ISNUMBER('Corrected energy balance step 1'!Y63),'Corrected energy balance step 1'!Y63,0)</f>
        <v>0</v>
      </c>
      <c r="Z63" s="158">
        <f>IF(ISNUMBER('Corrected energy balance step 1'!Z63),'Corrected energy balance step 1'!Z63,0)</f>
        <v>0</v>
      </c>
      <c r="AA63" s="158">
        <f>IF(ISNUMBER('Corrected energy balance step 1'!AA63),'Corrected energy balance step 1'!AA63,0)</f>
        <v>0</v>
      </c>
      <c r="AB63" s="158">
        <f>IF(ISNUMBER('Corrected energy balance step 1'!AB63),'Corrected energy balance step 1'!AB63,0)</f>
        <v>0</v>
      </c>
      <c r="AC63" s="157">
        <f>INDEX('Mobile machinery'!$C$54:$J$77,MATCH('Corrected energy balance step 2'!$B63,'Mobile machinery'!$C$54:$C$77,0),MATCH('Corrected energy balance step 2'!AC$7,'Mobile machinery'!$C$54:$J$54,0))</f>
        <v>0</v>
      </c>
      <c r="AD63" s="158">
        <f>IF(ISNUMBER('Corrected energy balance step 1'!AD63),'Corrected energy balance step 1'!AD63,0)</f>
        <v>0</v>
      </c>
      <c r="AE63" s="158">
        <f>IF(ISNUMBER('Corrected energy balance step 1'!AE63),'Corrected energy balance step 1'!AE63,0)</f>
        <v>0</v>
      </c>
      <c r="AF63" s="158">
        <f>IF(ISNUMBER('Corrected energy balance step 1'!AF63),'Corrected energy balance step 1'!AF63,0)</f>
        <v>0</v>
      </c>
      <c r="AG63" s="158">
        <f>IF(ISNUMBER('Corrected energy balance step 1'!AG63),'Corrected energy balance step 1'!AG63,0)</f>
        <v>0</v>
      </c>
      <c r="AH63" s="157">
        <f>INDEX('Mobile machinery'!$C$54:$J$77,MATCH('Corrected energy balance step 2'!$B63,'Mobile machinery'!$C$54:$C$77,0),MATCH('Corrected energy balance step 2'!AH$7,'Mobile machinery'!$C$54:$J$54,0))</f>
        <v>0</v>
      </c>
      <c r="AI63" s="157">
        <f>INDEX('Mobile machinery'!$C$54:$J$77,MATCH('Corrected energy balance step 2'!$B63,'Mobile machinery'!$C$54:$C$77,0),MATCH('Corrected energy balance step 2'!AI$7,'Mobile machinery'!$C$54:$J$54,0))</f>
        <v>0</v>
      </c>
      <c r="AJ63" s="158">
        <f>IF(ISNUMBER('Corrected energy balance step 1'!AJ63),'Corrected energy balance step 1'!AJ63,0)</f>
        <v>0</v>
      </c>
      <c r="AK63" s="158">
        <f>IF(ISNUMBER('Corrected energy balance step 1'!AK63),'Corrected energy balance step 1'!AK63,0)</f>
        <v>0</v>
      </c>
      <c r="AL63" s="158">
        <f>IF(ISNUMBER('Corrected energy balance step 1'!AL63),'Corrected energy balance step 1'!AL63,0)</f>
        <v>0</v>
      </c>
      <c r="AM63" s="158">
        <f>IF(ISNUMBER('Corrected energy balance step 1'!AM63),'Corrected energy balance step 1'!AM63,0)</f>
        <v>0</v>
      </c>
      <c r="AN63" s="158">
        <f>IF(ISNUMBER('Corrected energy balance step 1'!AN63),'Corrected energy balance step 1'!AN63,0)</f>
        <v>0</v>
      </c>
      <c r="AO63" s="158">
        <f>IF(ISNUMBER('Corrected energy balance step 1'!AO63),'Corrected energy balance step 1'!AO63,0)</f>
        <v>0</v>
      </c>
      <c r="AP63" s="158">
        <f>IF(ISNUMBER('Corrected energy balance step 1'!AP63),'Corrected energy balance step 1'!AP63,0)</f>
        <v>0</v>
      </c>
      <c r="AQ63" s="158">
        <f>IF(ISNUMBER('Corrected energy balance step 1'!AQ63),'Corrected energy balance step 1'!AQ63,0)</f>
        <v>0</v>
      </c>
      <c r="AR63" s="158">
        <f>IF(ISNUMBER('Corrected energy balance step 1'!AR63),'Corrected energy balance step 1'!AR63,0)</f>
        <v>0</v>
      </c>
      <c r="AS63" s="158">
        <f>IF(ISNUMBER('Corrected energy balance step 1'!AS63),'Corrected energy balance step 1'!AS63,0)</f>
        <v>0</v>
      </c>
      <c r="AT63" s="158">
        <f>IF(ISNUMBER('Corrected energy balance step 1'!AT63),'Corrected energy balance step 1'!AT63,0)</f>
        <v>0</v>
      </c>
      <c r="AU63" s="158">
        <f>IF(ISNUMBER('Corrected energy balance step 1'!AU63),'Corrected energy balance step 1'!AU63,0)</f>
        <v>0</v>
      </c>
      <c r="AV63" s="158">
        <f>IF(ISNUMBER('Corrected energy balance step 1'!AV63),'Corrected energy balance step 1'!AV63,0)</f>
        <v>0</v>
      </c>
      <c r="AW63" s="157">
        <f>INDEX('Mobile machinery'!$C$54:$J$77,MATCH('Corrected energy balance step 2'!$B63,'Mobile machinery'!$C$54:$C$77,0),MATCH('Corrected energy balance step 2'!AW$7,'Mobile machinery'!$C$54:$J$54,0))</f>
        <v>0</v>
      </c>
      <c r="AX63" s="157">
        <f>INDEX('Mobile machinery'!$C$54:$J$77,MATCH('Corrected energy balance step 2'!$B63,'Mobile machinery'!$C$54:$C$77,0),MATCH('Corrected energy balance step 2'!AX$7,'Mobile machinery'!$C$54:$J$54,0))</f>
        <v>0</v>
      </c>
      <c r="AY63" s="157">
        <f>INDEX('Mobile machinery'!$C$54:$J$77,MATCH('Corrected energy balance step 2'!$B63,'Mobile machinery'!$C$54:$C$77,0),MATCH('Corrected energy balance step 2'!AY$7,'Mobile machinery'!$C$54:$J$54,0))</f>
        <v>0</v>
      </c>
      <c r="AZ63" s="158">
        <f>IF(ISNUMBER('Corrected energy balance step 1'!AZ63),'Corrected energy balance step 1'!AZ63,0)</f>
        <v>0</v>
      </c>
      <c r="BA63" s="158">
        <f>IF(ISNUMBER('Corrected energy balance step 1'!BA63),'Corrected energy balance step 1'!BA63,0)</f>
        <v>0</v>
      </c>
      <c r="BB63" s="158">
        <f>IF(ISNUMBER('Corrected energy balance step 1'!BB63),'Corrected energy balance step 1'!BB63,0)</f>
        <v>0</v>
      </c>
      <c r="BC63" s="158">
        <f>IF(ISNUMBER('Corrected energy balance step 1'!BC63),'Corrected energy balance step 1'!BC63,0)</f>
        <v>0</v>
      </c>
      <c r="BD63" s="158">
        <f>IF(ISNUMBER('Corrected energy balance step 1'!BD63),'Corrected energy balance step 1'!BD63,0)</f>
        <v>0</v>
      </c>
      <c r="BE63" s="158">
        <f>IF(ISNUMBER('Corrected energy balance step 1'!BE63),'Corrected energy balance step 1'!BE63,0)</f>
        <v>0</v>
      </c>
      <c r="BF63" s="158">
        <f>IF(ISNUMBER('Corrected energy balance step 1'!BF63),'Corrected energy balance step 1'!BF63,0)</f>
        <v>0</v>
      </c>
      <c r="BG63" s="158">
        <f>IF(ISNUMBER('Corrected energy balance step 1'!BG63),'Corrected energy balance step 1'!BG63,0)</f>
        <v>0</v>
      </c>
      <c r="BH63" s="158">
        <f>IF(ISNUMBER('Corrected energy balance step 1'!BH63),'Corrected energy balance step 1'!BH63,0)</f>
        <v>0</v>
      </c>
      <c r="BI63" s="158">
        <f>IF(ISNUMBER('Corrected energy balance step 1'!BI63),'Corrected energy balance step 1'!BI63,0)</f>
        <v>0</v>
      </c>
      <c r="BJ63" s="158">
        <f>IF(ISNUMBER('Corrected energy balance step 1'!BJ63),'Corrected energy balance step 1'!BJ63,0)</f>
        <v>0</v>
      </c>
      <c r="BK63" s="158">
        <f>IF(ISNUMBER('Corrected energy balance step 1'!BK63),'Corrected energy balance step 1'!BK63,0)</f>
        <v>0</v>
      </c>
      <c r="BL63" s="158">
        <f>IF(ISNUMBER('Corrected energy balance step 1'!BL63),'Corrected energy balance step 1'!BL63,0)</f>
        <v>0</v>
      </c>
      <c r="BM63" s="158">
        <f>IF(ISNUMBER('Corrected energy balance step 1'!BM63),'Corrected energy balance step 1'!BM63,0)</f>
        <v>0</v>
      </c>
      <c r="BN63" s="156">
        <f t="shared" si="60"/>
        <v>0</v>
      </c>
      <c r="BO63" s="162">
        <f>'Corrected energy balance step 1'!BO63</f>
        <v>0</v>
      </c>
    </row>
    <row r="64" spans="2:69" x14ac:dyDescent="0.2">
      <c r="B64" s="32" t="s">
        <v>96</v>
      </c>
      <c r="C64" s="158">
        <f>IF(ISNUMBER('Corrected energy balance step 1'!C64),'Corrected energy balance step 1'!C64,0)</f>
        <v>0</v>
      </c>
      <c r="D64" s="158">
        <f>IF(ISNUMBER('Corrected energy balance step 1'!D64),'Corrected energy balance step 1'!D64,0)</f>
        <v>0</v>
      </c>
      <c r="E64" s="158">
        <f>IF(ISNUMBER('Corrected energy balance step 1'!E64),'Corrected energy balance step 1'!E64,0)</f>
        <v>0</v>
      </c>
      <c r="F64" s="158">
        <f>IF(ISNUMBER('Corrected energy balance step 1'!F64),'Corrected energy balance step 1'!F64,0)</f>
        <v>0</v>
      </c>
      <c r="G64" s="158">
        <f>IF(ISNUMBER('Corrected energy balance step 1'!G64),'Corrected energy balance step 1'!G64,0)</f>
        <v>0</v>
      </c>
      <c r="H64" s="158">
        <f>IF(ISNUMBER('Corrected energy balance step 1'!H64),'Corrected energy balance step 1'!H64,0)</f>
        <v>0</v>
      </c>
      <c r="I64" s="158">
        <f>IF(ISNUMBER('Corrected energy balance step 1'!I64),'Corrected energy balance step 1'!I64,0)</f>
        <v>0</v>
      </c>
      <c r="J64" s="158">
        <f>IF(ISNUMBER('Corrected energy balance step 1'!J64),'Corrected energy balance step 1'!J64,0)</f>
        <v>0</v>
      </c>
      <c r="K64" s="158">
        <f>IF(ISNUMBER('Corrected energy balance step 1'!K64),'Corrected energy balance step 1'!K64,0)</f>
        <v>0</v>
      </c>
      <c r="L64" s="158">
        <f>IF(ISNUMBER('Corrected energy balance step 1'!L64),'Corrected energy balance step 1'!L64,0)</f>
        <v>0</v>
      </c>
      <c r="M64" s="158">
        <f>IF(ISNUMBER('Corrected energy balance step 1'!M64),'Corrected energy balance step 1'!M64,0)</f>
        <v>0</v>
      </c>
      <c r="N64" s="158">
        <f>IF(ISNUMBER('Corrected energy balance step 1'!N64),'Corrected energy balance step 1'!N64,0)</f>
        <v>0</v>
      </c>
      <c r="O64" s="158">
        <f>IF(ISNUMBER('Corrected energy balance step 1'!O64),'Corrected energy balance step 1'!O64,0)</f>
        <v>0</v>
      </c>
      <c r="P64" s="158">
        <f>IF(ISNUMBER('Corrected energy balance step 1'!P64),'Corrected energy balance step 1'!P64,0)</f>
        <v>0</v>
      </c>
      <c r="Q64" s="158">
        <f>IF(ISNUMBER('Corrected energy balance step 1'!Q64),'Corrected energy balance step 1'!Q64,0)</f>
        <v>0</v>
      </c>
      <c r="R64" s="158">
        <f>IF(ISNUMBER('Corrected energy balance step 1'!R64),'Corrected energy balance step 1'!R64,0)</f>
        <v>0</v>
      </c>
      <c r="S64" s="158">
        <f>IF(ISNUMBER('Corrected energy balance step 1'!S64),'Corrected energy balance step 1'!S64,0)</f>
        <v>0</v>
      </c>
      <c r="T64" s="158">
        <f>IF(ISNUMBER('Corrected energy balance step 1'!T64),'Corrected energy balance step 1'!T64,0)</f>
        <v>0</v>
      </c>
      <c r="U64" s="158">
        <f>IF(ISNUMBER('Corrected energy balance step 1'!U64),'Corrected energy balance step 1'!U64,0)</f>
        <v>0</v>
      </c>
      <c r="V64" s="158">
        <f>IF(ISNUMBER('Corrected energy balance step 1'!V64),'Corrected energy balance step 1'!V64,0)</f>
        <v>0</v>
      </c>
      <c r="W64" s="158">
        <f>IF(ISNUMBER('Corrected energy balance step 1'!W64),'Corrected energy balance step 1'!W64,0)</f>
        <v>0</v>
      </c>
      <c r="X64" s="158">
        <f>IF(ISNUMBER('Corrected energy balance step 1'!X64),'Corrected energy balance step 1'!X64,0)</f>
        <v>0</v>
      </c>
      <c r="Y64" s="158">
        <f>IF(ISNUMBER('Corrected energy balance step 1'!Y64),'Corrected energy balance step 1'!Y64,0)</f>
        <v>0</v>
      </c>
      <c r="Z64" s="158">
        <f>IF(ISNUMBER('Corrected energy balance step 1'!Z64),'Corrected energy balance step 1'!Z64,0)</f>
        <v>0</v>
      </c>
      <c r="AA64" s="158">
        <f>IF(ISNUMBER('Corrected energy balance step 1'!AA64),'Corrected energy balance step 1'!AA64,0)</f>
        <v>0</v>
      </c>
      <c r="AB64" s="158">
        <f>IF(ISNUMBER('Corrected energy balance step 1'!AB64),'Corrected energy balance step 1'!AB64,0)</f>
        <v>0</v>
      </c>
      <c r="AC64" s="157">
        <f>INDEX('Mobile machinery'!$C$54:$J$77,MATCH('Corrected energy balance step 2'!$B64,'Mobile machinery'!$C$54:$C$77,0),MATCH('Corrected energy balance step 2'!AC$7,'Mobile machinery'!$C$54:$J$54,0))</f>
        <v>0</v>
      </c>
      <c r="AD64" s="158">
        <f>IF(ISNUMBER('Corrected energy balance step 1'!AD64),'Corrected energy balance step 1'!AD64,0)</f>
        <v>0</v>
      </c>
      <c r="AE64" s="158">
        <f>IF(ISNUMBER('Corrected energy balance step 1'!AE64),'Corrected energy balance step 1'!AE64,0)</f>
        <v>0</v>
      </c>
      <c r="AF64" s="158">
        <f>IF(ISNUMBER('Corrected energy balance step 1'!AF64),'Corrected energy balance step 1'!AF64,0)</f>
        <v>0</v>
      </c>
      <c r="AG64" s="158">
        <f>IF(ISNUMBER('Corrected energy balance step 1'!AG64),'Corrected energy balance step 1'!AG64,0)</f>
        <v>0</v>
      </c>
      <c r="AH64" s="157">
        <f>INDEX('Mobile machinery'!$C$54:$J$77,MATCH('Corrected energy balance step 2'!$B64,'Mobile machinery'!$C$54:$C$77,0),MATCH('Corrected energy balance step 2'!AH$7,'Mobile machinery'!$C$54:$J$54,0))</f>
        <v>0</v>
      </c>
      <c r="AI64" s="157">
        <f>INDEX('Mobile machinery'!$C$54:$J$77,MATCH('Corrected energy balance step 2'!$B64,'Mobile machinery'!$C$54:$C$77,0),MATCH('Corrected energy balance step 2'!AI$7,'Mobile machinery'!$C$54:$J$54,0))</f>
        <v>0</v>
      </c>
      <c r="AJ64" s="158">
        <f>IF(ISNUMBER('Corrected energy balance step 1'!AJ64),'Corrected energy balance step 1'!AJ64,0)</f>
        <v>0</v>
      </c>
      <c r="AK64" s="158">
        <f>IF(ISNUMBER('Corrected energy balance step 1'!AK64),'Corrected energy balance step 1'!AK64,0)</f>
        <v>0</v>
      </c>
      <c r="AL64" s="158">
        <f>IF(ISNUMBER('Corrected energy balance step 1'!AL64),'Corrected energy balance step 1'!AL64,0)</f>
        <v>0</v>
      </c>
      <c r="AM64" s="158">
        <f>IF(ISNUMBER('Corrected energy balance step 1'!AM64),'Corrected energy balance step 1'!AM64,0)</f>
        <v>0</v>
      </c>
      <c r="AN64" s="158">
        <f>IF(ISNUMBER('Corrected energy balance step 1'!AN64),'Corrected energy balance step 1'!AN64,0)</f>
        <v>0</v>
      </c>
      <c r="AO64" s="158">
        <f>IF(ISNUMBER('Corrected energy balance step 1'!AO64),'Corrected energy balance step 1'!AO64,0)</f>
        <v>0</v>
      </c>
      <c r="AP64" s="158">
        <f>IF(ISNUMBER('Corrected energy balance step 1'!AP64),'Corrected energy balance step 1'!AP64,0)</f>
        <v>0</v>
      </c>
      <c r="AQ64" s="158">
        <f>IF(ISNUMBER('Corrected energy balance step 1'!AQ64),'Corrected energy balance step 1'!AQ64,0)</f>
        <v>0</v>
      </c>
      <c r="AR64" s="158">
        <f>IF(ISNUMBER('Corrected energy balance step 1'!AR64),'Corrected energy balance step 1'!AR64,0)</f>
        <v>0</v>
      </c>
      <c r="AS64" s="158">
        <f>IF(ISNUMBER('Corrected energy balance step 1'!AS64),'Corrected energy balance step 1'!AS64,0)</f>
        <v>0</v>
      </c>
      <c r="AT64" s="158">
        <f>IF(ISNUMBER('Corrected energy balance step 1'!AT64),'Corrected energy balance step 1'!AT64,0)</f>
        <v>0</v>
      </c>
      <c r="AU64" s="158">
        <f>IF(ISNUMBER('Corrected energy balance step 1'!AU64),'Corrected energy balance step 1'!AU64,0)</f>
        <v>0</v>
      </c>
      <c r="AV64" s="158">
        <f>IF(ISNUMBER('Corrected energy balance step 1'!AV64),'Corrected energy balance step 1'!AV64,0)</f>
        <v>0</v>
      </c>
      <c r="AW64" s="157">
        <f>INDEX('Mobile machinery'!$C$54:$J$77,MATCH('Corrected energy balance step 2'!$B64,'Mobile machinery'!$C$54:$C$77,0),MATCH('Corrected energy balance step 2'!AW$7,'Mobile machinery'!$C$54:$J$54,0))</f>
        <v>0</v>
      </c>
      <c r="AX64" s="157">
        <f>INDEX('Mobile machinery'!$C$54:$J$77,MATCH('Corrected energy balance step 2'!$B64,'Mobile machinery'!$C$54:$C$77,0),MATCH('Corrected energy balance step 2'!AX$7,'Mobile machinery'!$C$54:$J$54,0))</f>
        <v>0</v>
      </c>
      <c r="AY64" s="157">
        <f>INDEX('Mobile machinery'!$C$54:$J$77,MATCH('Corrected energy balance step 2'!$B64,'Mobile machinery'!$C$54:$C$77,0),MATCH('Corrected energy balance step 2'!AY$7,'Mobile machinery'!$C$54:$J$54,0))</f>
        <v>0</v>
      </c>
      <c r="AZ64" s="158">
        <f>IF(ISNUMBER('Corrected energy balance step 1'!AZ64),'Corrected energy balance step 1'!AZ64,0)</f>
        <v>0</v>
      </c>
      <c r="BA64" s="158">
        <f>IF(ISNUMBER('Corrected energy balance step 1'!BA64),'Corrected energy balance step 1'!BA64,0)</f>
        <v>0</v>
      </c>
      <c r="BB64" s="158">
        <f>IF(ISNUMBER('Corrected energy balance step 1'!BB64),'Corrected energy balance step 1'!BB64,0)</f>
        <v>0</v>
      </c>
      <c r="BC64" s="158">
        <f>IF(ISNUMBER('Corrected energy balance step 1'!BC64),'Corrected energy balance step 1'!BC64,0)</f>
        <v>0</v>
      </c>
      <c r="BD64" s="158">
        <f>IF(ISNUMBER('Corrected energy balance step 1'!BD64),'Corrected energy balance step 1'!BD64,0)</f>
        <v>0</v>
      </c>
      <c r="BE64" s="158">
        <f>IF(ISNUMBER('Corrected energy balance step 1'!BE64),'Corrected energy balance step 1'!BE64,0)</f>
        <v>0</v>
      </c>
      <c r="BF64" s="158">
        <f>IF(ISNUMBER('Corrected energy balance step 1'!BF64),'Corrected energy balance step 1'!BF64,0)</f>
        <v>0</v>
      </c>
      <c r="BG64" s="158">
        <f>IF(ISNUMBER('Corrected energy balance step 1'!BG64),'Corrected energy balance step 1'!BG64,0)</f>
        <v>0</v>
      </c>
      <c r="BH64" s="158">
        <f>IF(ISNUMBER('Corrected energy balance step 1'!BH64),'Corrected energy balance step 1'!BH64,0)</f>
        <v>0</v>
      </c>
      <c r="BI64" s="158">
        <f>IF(ISNUMBER('Corrected energy balance step 1'!BI64),'Corrected energy balance step 1'!BI64,0)</f>
        <v>0</v>
      </c>
      <c r="BJ64" s="158">
        <f>IF(ISNUMBER('Corrected energy balance step 1'!BJ64),'Corrected energy balance step 1'!BJ64,0)</f>
        <v>0</v>
      </c>
      <c r="BK64" s="158">
        <f>IF(ISNUMBER('Corrected energy balance step 1'!BK64),'Corrected energy balance step 1'!BK64,0)</f>
        <v>0</v>
      </c>
      <c r="BL64" s="158">
        <f>IF(ISNUMBER('Corrected energy balance step 1'!BL64),'Corrected energy balance step 1'!BL64,0)</f>
        <v>0</v>
      </c>
      <c r="BM64" s="158">
        <f>IF(ISNUMBER('Corrected energy balance step 1'!BM64),'Corrected energy balance step 1'!BM64,0)</f>
        <v>0</v>
      </c>
      <c r="BN64" s="156">
        <f t="shared" si="60"/>
        <v>0</v>
      </c>
      <c r="BO64" s="162">
        <f>'Corrected energy balance step 1'!BO64</f>
        <v>0</v>
      </c>
    </row>
    <row r="65" spans="2:67" x14ac:dyDescent="0.2">
      <c r="B65" s="32" t="s">
        <v>97</v>
      </c>
      <c r="C65" s="158">
        <f>IF(ISNUMBER('Corrected energy balance step 1'!C65),'Corrected energy balance step 1'!C65,0)</f>
        <v>0</v>
      </c>
      <c r="D65" s="158">
        <f>IF(ISNUMBER('Corrected energy balance step 1'!D65),'Corrected energy balance step 1'!D65,0)</f>
        <v>0</v>
      </c>
      <c r="E65" s="158">
        <f>IF(ISNUMBER('Corrected energy balance step 1'!E65),'Corrected energy balance step 1'!E65,0)</f>
        <v>0</v>
      </c>
      <c r="F65" s="158">
        <f>IF(ISNUMBER('Corrected energy balance step 1'!F65),'Corrected energy balance step 1'!F65,0)</f>
        <v>0</v>
      </c>
      <c r="G65" s="158">
        <f>IF(ISNUMBER('Corrected energy balance step 1'!G65),'Corrected energy balance step 1'!G65,0)</f>
        <v>0</v>
      </c>
      <c r="H65" s="158">
        <f>IF(ISNUMBER('Corrected energy balance step 1'!H65),'Corrected energy balance step 1'!H65,0)</f>
        <v>0</v>
      </c>
      <c r="I65" s="158">
        <f>IF(ISNUMBER('Corrected energy balance step 1'!I65),'Corrected energy balance step 1'!I65,0)</f>
        <v>0</v>
      </c>
      <c r="J65" s="158">
        <f>IF(ISNUMBER('Corrected energy balance step 1'!J65),'Corrected energy balance step 1'!J65,0)</f>
        <v>0</v>
      </c>
      <c r="K65" s="158">
        <f>IF(ISNUMBER('Corrected energy balance step 1'!K65),'Corrected energy balance step 1'!K65,0)</f>
        <v>0</v>
      </c>
      <c r="L65" s="158">
        <f>IF(ISNUMBER('Corrected energy balance step 1'!L65),'Corrected energy balance step 1'!L65,0)</f>
        <v>0</v>
      </c>
      <c r="M65" s="158">
        <f>IF(ISNUMBER('Corrected energy balance step 1'!M65),'Corrected energy balance step 1'!M65,0)</f>
        <v>0</v>
      </c>
      <c r="N65" s="158">
        <f>IF(ISNUMBER('Corrected energy balance step 1'!N65),'Corrected energy balance step 1'!N65,0)</f>
        <v>0</v>
      </c>
      <c r="O65" s="158">
        <f>IF(ISNUMBER('Corrected energy balance step 1'!O65),'Corrected energy balance step 1'!O65,0)</f>
        <v>0</v>
      </c>
      <c r="P65" s="158">
        <f>IF(ISNUMBER('Corrected energy balance step 1'!P65),'Corrected energy balance step 1'!P65,0)</f>
        <v>0</v>
      </c>
      <c r="Q65" s="158">
        <f>IF(ISNUMBER('Corrected energy balance step 1'!Q65),'Corrected energy balance step 1'!Q65,0)</f>
        <v>0</v>
      </c>
      <c r="R65" s="158">
        <f>IF(ISNUMBER('Corrected energy balance step 1'!R65),'Corrected energy balance step 1'!R65,0)</f>
        <v>0</v>
      </c>
      <c r="S65" s="158">
        <f>IF(ISNUMBER('Corrected energy balance step 1'!S65),'Corrected energy balance step 1'!S65,0)</f>
        <v>0</v>
      </c>
      <c r="T65" s="158">
        <f>IF(ISNUMBER('Corrected energy balance step 1'!T65),'Corrected energy balance step 1'!T65,0)</f>
        <v>0</v>
      </c>
      <c r="U65" s="158">
        <f>IF(ISNUMBER('Corrected energy balance step 1'!U65),'Corrected energy balance step 1'!U65,0)</f>
        <v>0</v>
      </c>
      <c r="V65" s="158">
        <f>IF(ISNUMBER('Corrected energy balance step 1'!V65),'Corrected energy balance step 1'!V65,0)</f>
        <v>0</v>
      </c>
      <c r="W65" s="158">
        <f>IF(ISNUMBER('Corrected energy balance step 1'!W65),'Corrected energy balance step 1'!W65,0)</f>
        <v>0</v>
      </c>
      <c r="X65" s="158">
        <f>IF(ISNUMBER('Corrected energy balance step 1'!X65),'Corrected energy balance step 1'!X65,0)</f>
        <v>0</v>
      </c>
      <c r="Y65" s="158">
        <f>IF(ISNUMBER('Corrected energy balance step 1'!Y65),'Corrected energy balance step 1'!Y65,0)</f>
        <v>0</v>
      </c>
      <c r="Z65" s="158">
        <f>IF(ISNUMBER('Corrected energy balance step 1'!Z65),'Corrected energy balance step 1'!Z65,0)</f>
        <v>0</v>
      </c>
      <c r="AA65" s="158">
        <f>IF(ISNUMBER('Corrected energy balance step 1'!AA65),'Corrected energy balance step 1'!AA65,0)</f>
        <v>0</v>
      </c>
      <c r="AB65" s="158">
        <f>IF(ISNUMBER('Corrected energy balance step 1'!AB65),'Corrected energy balance step 1'!AB65,0)</f>
        <v>0</v>
      </c>
      <c r="AC65" s="157">
        <f>INDEX('Mobile machinery'!$C$54:$J$77,MATCH('Corrected energy balance step 2'!$B65,'Mobile machinery'!$C$54:$C$77,0),MATCH('Corrected energy balance step 2'!AC$7,'Mobile machinery'!$C$54:$J$54,0))</f>
        <v>0</v>
      </c>
      <c r="AD65" s="158">
        <f>IF(ISNUMBER('Corrected energy balance step 1'!AD65),'Corrected energy balance step 1'!AD65,0)</f>
        <v>0</v>
      </c>
      <c r="AE65" s="158">
        <f>IF(ISNUMBER('Corrected energy balance step 1'!AE65),'Corrected energy balance step 1'!AE65,0)</f>
        <v>0</v>
      </c>
      <c r="AF65" s="158">
        <f>IF(ISNUMBER('Corrected energy balance step 1'!AF65),'Corrected energy balance step 1'!AF65,0)</f>
        <v>0</v>
      </c>
      <c r="AG65" s="158">
        <f>IF(ISNUMBER('Corrected energy balance step 1'!AG65),'Corrected energy balance step 1'!AG65,0)</f>
        <v>0</v>
      </c>
      <c r="AH65" s="157">
        <f>INDEX('Mobile machinery'!$C$54:$J$77,MATCH('Corrected energy balance step 2'!$B65,'Mobile machinery'!$C$54:$C$77,0),MATCH('Corrected energy balance step 2'!AH$7,'Mobile machinery'!$C$54:$J$54,0))</f>
        <v>0</v>
      </c>
      <c r="AI65" s="157">
        <f>INDEX('Mobile machinery'!$C$54:$J$77,MATCH('Corrected energy balance step 2'!$B65,'Mobile machinery'!$C$54:$C$77,0),MATCH('Corrected energy balance step 2'!AI$7,'Mobile machinery'!$C$54:$J$54,0))</f>
        <v>0</v>
      </c>
      <c r="AJ65" s="158">
        <f>IF(ISNUMBER('Corrected energy balance step 1'!AJ65),'Corrected energy balance step 1'!AJ65,0)</f>
        <v>0</v>
      </c>
      <c r="AK65" s="158">
        <f>IF(ISNUMBER('Corrected energy balance step 1'!AK65),'Corrected energy balance step 1'!AK65,0)</f>
        <v>0</v>
      </c>
      <c r="AL65" s="158">
        <f>IF(ISNUMBER('Corrected energy balance step 1'!AL65),'Corrected energy balance step 1'!AL65,0)</f>
        <v>0</v>
      </c>
      <c r="AM65" s="158">
        <f>IF(ISNUMBER('Corrected energy balance step 1'!AM65),'Corrected energy balance step 1'!AM65,0)</f>
        <v>0</v>
      </c>
      <c r="AN65" s="158">
        <f>IF(ISNUMBER('Corrected energy balance step 1'!AN65),'Corrected energy balance step 1'!AN65,0)</f>
        <v>0</v>
      </c>
      <c r="AO65" s="158">
        <f>IF(ISNUMBER('Corrected energy balance step 1'!AO65),'Corrected energy balance step 1'!AO65,0)</f>
        <v>0</v>
      </c>
      <c r="AP65" s="158">
        <f>IF(ISNUMBER('Corrected energy balance step 1'!AP65),'Corrected energy balance step 1'!AP65,0)</f>
        <v>0</v>
      </c>
      <c r="AQ65" s="158">
        <f>IF(ISNUMBER('Corrected energy balance step 1'!AQ65),'Corrected energy balance step 1'!AQ65,0)</f>
        <v>0</v>
      </c>
      <c r="AR65" s="158">
        <f>IF(ISNUMBER('Corrected energy balance step 1'!AR65),'Corrected energy balance step 1'!AR65,0)</f>
        <v>0</v>
      </c>
      <c r="AS65" s="158">
        <f>IF(ISNUMBER('Corrected energy balance step 1'!AS65),'Corrected energy balance step 1'!AS65,0)</f>
        <v>0</v>
      </c>
      <c r="AT65" s="158">
        <f>IF(ISNUMBER('Corrected energy balance step 1'!AT65),'Corrected energy balance step 1'!AT65,0)</f>
        <v>0</v>
      </c>
      <c r="AU65" s="158">
        <f>IF(ISNUMBER('Corrected energy balance step 1'!AU65),'Corrected energy balance step 1'!AU65,0)</f>
        <v>0</v>
      </c>
      <c r="AV65" s="158">
        <f>IF(ISNUMBER('Corrected energy balance step 1'!AV65),'Corrected energy balance step 1'!AV65,0)</f>
        <v>0</v>
      </c>
      <c r="AW65" s="157">
        <f>INDEX('Mobile machinery'!$C$54:$J$77,MATCH('Corrected energy balance step 2'!$B65,'Mobile machinery'!$C$54:$C$77,0),MATCH('Corrected energy balance step 2'!AW$7,'Mobile machinery'!$C$54:$J$54,0))</f>
        <v>0</v>
      </c>
      <c r="AX65" s="157">
        <f>INDEX('Mobile machinery'!$C$54:$J$77,MATCH('Corrected energy balance step 2'!$B65,'Mobile machinery'!$C$54:$C$77,0),MATCH('Corrected energy balance step 2'!AX$7,'Mobile machinery'!$C$54:$J$54,0))</f>
        <v>0</v>
      </c>
      <c r="AY65" s="157">
        <f>INDEX('Mobile machinery'!$C$54:$J$77,MATCH('Corrected energy balance step 2'!$B65,'Mobile machinery'!$C$54:$C$77,0),MATCH('Corrected energy balance step 2'!AY$7,'Mobile machinery'!$C$54:$J$54,0))</f>
        <v>0</v>
      </c>
      <c r="AZ65" s="158">
        <f>IF(ISNUMBER('Corrected energy balance step 1'!AZ65),'Corrected energy balance step 1'!AZ65,0)</f>
        <v>0</v>
      </c>
      <c r="BA65" s="158">
        <f>IF(ISNUMBER('Corrected energy balance step 1'!BA65),'Corrected energy balance step 1'!BA65,0)</f>
        <v>0</v>
      </c>
      <c r="BB65" s="158">
        <f>IF(ISNUMBER('Corrected energy balance step 1'!BB65),'Corrected energy balance step 1'!BB65,0)</f>
        <v>0</v>
      </c>
      <c r="BC65" s="158">
        <f>IF(ISNUMBER('Corrected energy balance step 1'!BC65),'Corrected energy balance step 1'!BC65,0)</f>
        <v>0</v>
      </c>
      <c r="BD65" s="158">
        <f>IF(ISNUMBER('Corrected energy balance step 1'!BD65),'Corrected energy balance step 1'!BD65,0)</f>
        <v>0</v>
      </c>
      <c r="BE65" s="158">
        <f>IF(ISNUMBER('Corrected energy balance step 1'!BE65),'Corrected energy balance step 1'!BE65,0)</f>
        <v>0</v>
      </c>
      <c r="BF65" s="158">
        <f>IF(ISNUMBER('Corrected energy balance step 1'!BF65),'Corrected energy balance step 1'!BF65,0)</f>
        <v>0</v>
      </c>
      <c r="BG65" s="158">
        <f>IF(ISNUMBER('Corrected energy balance step 1'!BG65),'Corrected energy balance step 1'!BG65,0)</f>
        <v>0</v>
      </c>
      <c r="BH65" s="158">
        <f>IF(ISNUMBER('Corrected energy balance step 1'!BH65),'Corrected energy balance step 1'!BH65,0)</f>
        <v>0</v>
      </c>
      <c r="BI65" s="158">
        <f>IF(ISNUMBER('Corrected energy balance step 1'!BI65),'Corrected energy balance step 1'!BI65,0)</f>
        <v>0</v>
      </c>
      <c r="BJ65" s="158">
        <f>IF(ISNUMBER('Corrected energy balance step 1'!BJ65),'Corrected energy balance step 1'!BJ65,0)</f>
        <v>0</v>
      </c>
      <c r="BK65" s="158">
        <f>IF(ISNUMBER('Corrected energy balance step 1'!BK65),'Corrected energy balance step 1'!BK65,0)</f>
        <v>0</v>
      </c>
      <c r="BL65" s="158">
        <f>IF(ISNUMBER('Corrected energy balance step 1'!BL65),'Corrected energy balance step 1'!BL65,0)</f>
        <v>0</v>
      </c>
      <c r="BM65" s="158">
        <f>IF(ISNUMBER('Corrected energy balance step 1'!BM65),'Corrected energy balance step 1'!BM65,0)</f>
        <v>0</v>
      </c>
      <c r="BN65" s="156">
        <f t="shared" si="60"/>
        <v>0</v>
      </c>
      <c r="BO65" s="162">
        <f>'Corrected energy balance step 1'!BO65</f>
        <v>0</v>
      </c>
    </row>
    <row r="66" spans="2:67" x14ac:dyDescent="0.2">
      <c r="B66" s="32" t="s">
        <v>98</v>
      </c>
      <c r="C66" s="158">
        <f>IF(ISNUMBER('Corrected energy balance step 1'!C66),'Corrected energy balance step 1'!C66,0)</f>
        <v>0</v>
      </c>
      <c r="D66" s="158">
        <f>IF(ISNUMBER('Corrected energy balance step 1'!D66),'Corrected energy balance step 1'!D66,0)</f>
        <v>0</v>
      </c>
      <c r="E66" s="158">
        <f>IF(ISNUMBER('Corrected energy balance step 1'!E66),'Corrected energy balance step 1'!E66,0)</f>
        <v>0</v>
      </c>
      <c r="F66" s="158">
        <f>IF(ISNUMBER('Corrected energy balance step 1'!F66),'Corrected energy balance step 1'!F66,0)</f>
        <v>0</v>
      </c>
      <c r="G66" s="158">
        <f>IF(ISNUMBER('Corrected energy balance step 1'!G66),'Corrected energy balance step 1'!G66,0)</f>
        <v>0</v>
      </c>
      <c r="H66" s="158">
        <f>IF(ISNUMBER('Corrected energy balance step 1'!H66),'Corrected energy balance step 1'!H66,0)</f>
        <v>0</v>
      </c>
      <c r="I66" s="158">
        <f>IF(ISNUMBER('Corrected energy balance step 1'!I66),'Corrected energy balance step 1'!I66,0)</f>
        <v>0</v>
      </c>
      <c r="J66" s="158">
        <f>IF(ISNUMBER('Corrected energy balance step 1'!J66),'Corrected energy balance step 1'!J66,0)</f>
        <v>0</v>
      </c>
      <c r="K66" s="158">
        <f>IF(ISNUMBER('Corrected energy balance step 1'!K66),'Corrected energy balance step 1'!K66,0)</f>
        <v>0</v>
      </c>
      <c r="L66" s="158">
        <f>IF(ISNUMBER('Corrected energy balance step 1'!L66),'Corrected energy balance step 1'!L66,0)</f>
        <v>0</v>
      </c>
      <c r="M66" s="158">
        <f>IF(ISNUMBER('Corrected energy balance step 1'!M66),'Corrected energy balance step 1'!M66,0)</f>
        <v>0</v>
      </c>
      <c r="N66" s="158">
        <f>IF(ISNUMBER('Corrected energy balance step 1'!N66),'Corrected energy balance step 1'!N66,0)</f>
        <v>0</v>
      </c>
      <c r="O66" s="158">
        <f>IF(ISNUMBER('Corrected energy balance step 1'!O66),'Corrected energy balance step 1'!O66,0)</f>
        <v>0</v>
      </c>
      <c r="P66" s="158">
        <f>IF(ISNUMBER('Corrected energy balance step 1'!P66),'Corrected energy balance step 1'!P66,0)</f>
        <v>0</v>
      </c>
      <c r="Q66" s="158">
        <f>IF(ISNUMBER('Corrected energy balance step 1'!Q66),'Corrected energy balance step 1'!Q66,0)</f>
        <v>0</v>
      </c>
      <c r="R66" s="158">
        <f>IF(ISNUMBER('Corrected energy balance step 1'!R66),'Corrected energy balance step 1'!R66,0)</f>
        <v>0</v>
      </c>
      <c r="S66" s="158">
        <f>IF(ISNUMBER('Corrected energy balance step 1'!S66),'Corrected energy balance step 1'!S66,0)</f>
        <v>0</v>
      </c>
      <c r="T66" s="158">
        <f>IF(ISNUMBER('Corrected energy balance step 1'!T66),'Corrected energy balance step 1'!T66,0)</f>
        <v>0</v>
      </c>
      <c r="U66" s="158">
        <f>IF(ISNUMBER('Corrected energy balance step 1'!U66),'Corrected energy balance step 1'!U66,0)</f>
        <v>0</v>
      </c>
      <c r="V66" s="158">
        <f>IF(ISNUMBER('Corrected energy balance step 1'!V66),'Corrected energy balance step 1'!V66,0)</f>
        <v>0</v>
      </c>
      <c r="W66" s="158">
        <f>IF(ISNUMBER('Corrected energy balance step 1'!W66),'Corrected energy balance step 1'!W66,0)</f>
        <v>0</v>
      </c>
      <c r="X66" s="158">
        <f>IF(ISNUMBER('Corrected energy balance step 1'!X66),'Corrected energy balance step 1'!X66,0)</f>
        <v>0</v>
      </c>
      <c r="Y66" s="158">
        <f>IF(ISNUMBER('Corrected energy balance step 1'!Y66),'Corrected energy balance step 1'!Y66,0)</f>
        <v>0</v>
      </c>
      <c r="Z66" s="158">
        <f>IF(ISNUMBER('Corrected energy balance step 1'!Z66),'Corrected energy balance step 1'!Z66,0)</f>
        <v>0</v>
      </c>
      <c r="AA66" s="158">
        <f>IF(ISNUMBER('Corrected energy balance step 1'!AA66),'Corrected energy balance step 1'!AA66,0)</f>
        <v>0</v>
      </c>
      <c r="AB66" s="158">
        <f>IF(ISNUMBER('Corrected energy balance step 1'!AB66),'Corrected energy balance step 1'!AB66,0)</f>
        <v>0</v>
      </c>
      <c r="AC66" s="157">
        <f>INDEX('Mobile machinery'!$C$54:$J$77,MATCH('Corrected energy balance step 2'!$B66,'Mobile machinery'!$C$54:$C$77,0),MATCH('Corrected energy balance step 2'!AC$7,'Mobile machinery'!$C$54:$J$54,0))</f>
        <v>0</v>
      </c>
      <c r="AD66" s="158">
        <f>IF(ISNUMBER('Corrected energy balance step 1'!AD66),'Corrected energy balance step 1'!AD66,0)</f>
        <v>0</v>
      </c>
      <c r="AE66" s="158">
        <f>IF(ISNUMBER('Corrected energy balance step 1'!AE66),'Corrected energy balance step 1'!AE66,0)</f>
        <v>0</v>
      </c>
      <c r="AF66" s="158">
        <f>IF(ISNUMBER('Corrected energy balance step 1'!AF66),'Corrected energy balance step 1'!AF66,0)</f>
        <v>0</v>
      </c>
      <c r="AG66" s="158">
        <f>IF(ISNUMBER('Corrected energy balance step 1'!AG66),'Corrected energy balance step 1'!AG66,0)</f>
        <v>0</v>
      </c>
      <c r="AH66" s="157">
        <f>INDEX('Mobile machinery'!$C$54:$J$77,MATCH('Corrected energy balance step 2'!$B66,'Mobile machinery'!$C$54:$C$77,0),MATCH('Corrected energy balance step 2'!AH$7,'Mobile machinery'!$C$54:$J$54,0))</f>
        <v>0</v>
      </c>
      <c r="AI66" s="157">
        <f>INDEX('Mobile machinery'!$C$54:$J$77,MATCH('Corrected energy balance step 2'!$B66,'Mobile machinery'!$C$54:$C$77,0),MATCH('Corrected energy balance step 2'!AI$7,'Mobile machinery'!$C$54:$J$54,0))</f>
        <v>0</v>
      </c>
      <c r="AJ66" s="158">
        <f>IF(ISNUMBER('Corrected energy balance step 1'!AJ66),'Corrected energy balance step 1'!AJ66,0)</f>
        <v>0</v>
      </c>
      <c r="AK66" s="158">
        <f>IF(ISNUMBER('Corrected energy balance step 1'!AK66),'Corrected energy balance step 1'!AK66,0)</f>
        <v>0</v>
      </c>
      <c r="AL66" s="158">
        <f>IF(ISNUMBER('Corrected energy balance step 1'!AL66),'Corrected energy balance step 1'!AL66,0)</f>
        <v>0</v>
      </c>
      <c r="AM66" s="158">
        <f>IF(ISNUMBER('Corrected energy balance step 1'!AM66),'Corrected energy balance step 1'!AM66,0)</f>
        <v>0</v>
      </c>
      <c r="AN66" s="158">
        <f>IF(ISNUMBER('Corrected energy balance step 1'!AN66),'Corrected energy balance step 1'!AN66,0)</f>
        <v>0</v>
      </c>
      <c r="AO66" s="158">
        <f>IF(ISNUMBER('Corrected energy balance step 1'!AO66),'Corrected energy balance step 1'!AO66,0)</f>
        <v>0</v>
      </c>
      <c r="AP66" s="158">
        <f>IF(ISNUMBER('Corrected energy balance step 1'!AP66),'Corrected energy balance step 1'!AP66,0)</f>
        <v>0</v>
      </c>
      <c r="AQ66" s="158">
        <f>IF(ISNUMBER('Corrected energy balance step 1'!AQ66),'Corrected energy balance step 1'!AQ66,0)</f>
        <v>0</v>
      </c>
      <c r="AR66" s="158">
        <f>IF(ISNUMBER('Corrected energy balance step 1'!AR66),'Corrected energy balance step 1'!AR66,0)</f>
        <v>0</v>
      </c>
      <c r="AS66" s="158">
        <f>IF(ISNUMBER('Corrected energy balance step 1'!AS66),'Corrected energy balance step 1'!AS66,0)</f>
        <v>0</v>
      </c>
      <c r="AT66" s="158">
        <f>IF(ISNUMBER('Corrected energy balance step 1'!AT66),'Corrected energy balance step 1'!AT66,0)</f>
        <v>0</v>
      </c>
      <c r="AU66" s="158">
        <f>IF(ISNUMBER('Corrected energy balance step 1'!AU66),'Corrected energy balance step 1'!AU66,0)</f>
        <v>0</v>
      </c>
      <c r="AV66" s="158">
        <f>IF(ISNUMBER('Corrected energy balance step 1'!AV66),'Corrected energy balance step 1'!AV66,0)</f>
        <v>0</v>
      </c>
      <c r="AW66" s="157">
        <f>INDEX('Mobile machinery'!$C$54:$J$77,MATCH('Corrected energy balance step 2'!$B66,'Mobile machinery'!$C$54:$C$77,0),MATCH('Corrected energy balance step 2'!AW$7,'Mobile machinery'!$C$54:$J$54,0))</f>
        <v>0</v>
      </c>
      <c r="AX66" s="157">
        <f>INDEX('Mobile machinery'!$C$54:$J$77,MATCH('Corrected energy balance step 2'!$B66,'Mobile machinery'!$C$54:$C$77,0),MATCH('Corrected energy balance step 2'!AX$7,'Mobile machinery'!$C$54:$J$54,0))</f>
        <v>0</v>
      </c>
      <c r="AY66" s="157">
        <f>INDEX('Mobile machinery'!$C$54:$J$77,MATCH('Corrected energy balance step 2'!$B66,'Mobile machinery'!$C$54:$C$77,0),MATCH('Corrected energy balance step 2'!AY$7,'Mobile machinery'!$C$54:$J$54,0))</f>
        <v>0</v>
      </c>
      <c r="AZ66" s="158">
        <f>IF(ISNUMBER('Corrected energy balance step 1'!AZ66),'Corrected energy balance step 1'!AZ66,0)</f>
        <v>0</v>
      </c>
      <c r="BA66" s="158">
        <f>IF(ISNUMBER('Corrected energy balance step 1'!BA66),'Corrected energy balance step 1'!BA66,0)</f>
        <v>0</v>
      </c>
      <c r="BB66" s="158">
        <f>IF(ISNUMBER('Corrected energy balance step 1'!BB66),'Corrected energy balance step 1'!BB66,0)</f>
        <v>0</v>
      </c>
      <c r="BC66" s="158">
        <f>IF(ISNUMBER('Corrected energy balance step 1'!BC66),'Corrected energy balance step 1'!BC66,0)</f>
        <v>0</v>
      </c>
      <c r="BD66" s="158">
        <f>IF(ISNUMBER('Corrected energy balance step 1'!BD66),'Corrected energy balance step 1'!BD66,0)</f>
        <v>0</v>
      </c>
      <c r="BE66" s="158">
        <f>IF(ISNUMBER('Corrected energy balance step 1'!BE66),'Corrected energy balance step 1'!BE66,0)</f>
        <v>0</v>
      </c>
      <c r="BF66" s="158">
        <f>IF(ISNUMBER('Corrected energy balance step 1'!BF66),'Corrected energy balance step 1'!BF66,0)</f>
        <v>0</v>
      </c>
      <c r="BG66" s="158">
        <f>IF(ISNUMBER('Corrected energy balance step 1'!BG66),'Corrected energy balance step 1'!BG66,0)</f>
        <v>0</v>
      </c>
      <c r="BH66" s="158">
        <f>IF(ISNUMBER('Corrected energy balance step 1'!BH66),'Corrected energy balance step 1'!BH66,0)</f>
        <v>0</v>
      </c>
      <c r="BI66" s="158">
        <f>IF(ISNUMBER('Corrected energy balance step 1'!BI66),'Corrected energy balance step 1'!BI66,0)</f>
        <v>0</v>
      </c>
      <c r="BJ66" s="158">
        <f>IF(ISNUMBER('Corrected energy balance step 1'!BJ66),'Corrected energy balance step 1'!BJ66,0)</f>
        <v>0</v>
      </c>
      <c r="BK66" s="158">
        <f>IF(ISNUMBER('Corrected energy balance step 1'!BK66),'Corrected energy balance step 1'!BK66,0)</f>
        <v>0</v>
      </c>
      <c r="BL66" s="158">
        <f>IF(ISNUMBER('Corrected energy balance step 1'!BL66),'Corrected energy balance step 1'!BL66,0)</f>
        <v>0</v>
      </c>
      <c r="BM66" s="158">
        <f>IF(ISNUMBER('Corrected energy balance step 1'!BM66),'Corrected energy balance step 1'!BM66,0)</f>
        <v>0</v>
      </c>
      <c r="BN66" s="156">
        <f t="shared" si="60"/>
        <v>0</v>
      </c>
      <c r="BO66" s="162">
        <f>'Corrected energy balance step 1'!BO66</f>
        <v>0</v>
      </c>
    </row>
    <row r="67" spans="2:67" x14ac:dyDescent="0.2">
      <c r="B67" s="32" t="s">
        <v>99</v>
      </c>
      <c r="C67" s="158">
        <f>IF(ISNUMBER('Corrected energy balance step 1'!C67),'Corrected energy balance step 1'!C67,0)</f>
        <v>0</v>
      </c>
      <c r="D67" s="158">
        <f>IF(ISNUMBER('Corrected energy balance step 1'!D67),'Corrected energy balance step 1'!D67,0)</f>
        <v>0</v>
      </c>
      <c r="E67" s="158">
        <f>IF(ISNUMBER('Corrected energy balance step 1'!E67),'Corrected energy balance step 1'!E67,0)</f>
        <v>0</v>
      </c>
      <c r="F67" s="158">
        <f>IF(ISNUMBER('Corrected energy balance step 1'!F67),'Corrected energy balance step 1'!F67,0)</f>
        <v>0</v>
      </c>
      <c r="G67" s="158">
        <f>IF(ISNUMBER('Corrected energy balance step 1'!G67),'Corrected energy balance step 1'!G67,0)</f>
        <v>0</v>
      </c>
      <c r="H67" s="158">
        <f>IF(ISNUMBER('Corrected energy balance step 1'!H67),'Corrected energy balance step 1'!H67,0)</f>
        <v>0</v>
      </c>
      <c r="I67" s="158">
        <f>IF(ISNUMBER('Corrected energy balance step 1'!I67),'Corrected energy balance step 1'!I67,0)</f>
        <v>0</v>
      </c>
      <c r="J67" s="158">
        <f>IF(ISNUMBER('Corrected energy balance step 1'!J67),'Corrected energy balance step 1'!J67,0)</f>
        <v>0</v>
      </c>
      <c r="K67" s="158">
        <f>IF(ISNUMBER('Corrected energy balance step 1'!K67),'Corrected energy balance step 1'!K67,0)</f>
        <v>0</v>
      </c>
      <c r="L67" s="158">
        <f>IF(ISNUMBER('Corrected energy balance step 1'!L67),'Corrected energy balance step 1'!L67,0)</f>
        <v>0</v>
      </c>
      <c r="M67" s="158">
        <f>IF(ISNUMBER('Corrected energy balance step 1'!M67),'Corrected energy balance step 1'!M67,0)</f>
        <v>0</v>
      </c>
      <c r="N67" s="158">
        <f>IF(ISNUMBER('Corrected energy balance step 1'!N67),'Corrected energy balance step 1'!N67,0)</f>
        <v>0</v>
      </c>
      <c r="O67" s="158">
        <f>IF(ISNUMBER('Corrected energy balance step 1'!O67),'Corrected energy balance step 1'!O67,0)</f>
        <v>0</v>
      </c>
      <c r="P67" s="158">
        <f>IF(ISNUMBER('Corrected energy balance step 1'!P67),'Corrected energy balance step 1'!P67,0)</f>
        <v>0</v>
      </c>
      <c r="Q67" s="158">
        <f>IF(ISNUMBER('Corrected energy balance step 1'!Q67),'Corrected energy balance step 1'!Q67,0)</f>
        <v>0</v>
      </c>
      <c r="R67" s="158">
        <f>IF(ISNUMBER('Corrected energy balance step 1'!R67),'Corrected energy balance step 1'!R67,0)</f>
        <v>0</v>
      </c>
      <c r="S67" s="158">
        <f>IF(ISNUMBER('Corrected energy balance step 1'!S67),'Corrected energy balance step 1'!S67,0)</f>
        <v>0</v>
      </c>
      <c r="T67" s="158">
        <f>IF(ISNUMBER('Corrected energy balance step 1'!T67),'Corrected energy balance step 1'!T67,0)</f>
        <v>0</v>
      </c>
      <c r="U67" s="158">
        <f>IF(ISNUMBER('Corrected energy balance step 1'!U67),'Corrected energy balance step 1'!U67,0)</f>
        <v>0</v>
      </c>
      <c r="V67" s="158">
        <f>IF(ISNUMBER('Corrected energy balance step 1'!V67),'Corrected energy balance step 1'!V67,0)</f>
        <v>0</v>
      </c>
      <c r="W67" s="158">
        <f>IF(ISNUMBER('Corrected energy balance step 1'!W67),'Corrected energy balance step 1'!W67,0)</f>
        <v>0</v>
      </c>
      <c r="X67" s="158">
        <f>IF(ISNUMBER('Corrected energy balance step 1'!X67),'Corrected energy balance step 1'!X67,0)</f>
        <v>0</v>
      </c>
      <c r="Y67" s="158">
        <f>IF(ISNUMBER('Corrected energy balance step 1'!Y67),'Corrected energy balance step 1'!Y67,0)</f>
        <v>0</v>
      </c>
      <c r="Z67" s="158">
        <f>IF(ISNUMBER('Corrected energy balance step 1'!Z67),'Corrected energy balance step 1'!Z67,0)</f>
        <v>0</v>
      </c>
      <c r="AA67" s="158">
        <f>IF(ISNUMBER('Corrected energy balance step 1'!AA67),'Corrected energy balance step 1'!AA67,0)</f>
        <v>0</v>
      </c>
      <c r="AB67" s="158">
        <f>IF(ISNUMBER('Corrected energy balance step 1'!AB67),'Corrected energy balance step 1'!AB67,0)</f>
        <v>0</v>
      </c>
      <c r="AC67" s="157">
        <f>INDEX('Mobile machinery'!$C$54:$J$77,MATCH('Corrected energy balance step 2'!$B67,'Mobile machinery'!$C$54:$C$77,0),MATCH('Corrected energy balance step 2'!AC$7,'Mobile machinery'!$C$54:$J$54,0))</f>
        <v>0</v>
      </c>
      <c r="AD67" s="158">
        <f>IF(ISNUMBER('Corrected energy balance step 1'!AD67),'Corrected energy balance step 1'!AD67,0)</f>
        <v>0</v>
      </c>
      <c r="AE67" s="158">
        <f>IF(ISNUMBER('Corrected energy balance step 1'!AE67),'Corrected energy balance step 1'!AE67,0)</f>
        <v>0</v>
      </c>
      <c r="AF67" s="158">
        <f>IF(ISNUMBER('Corrected energy balance step 1'!AF67),'Corrected energy balance step 1'!AF67,0)</f>
        <v>0</v>
      </c>
      <c r="AG67" s="158">
        <f>IF(ISNUMBER('Corrected energy balance step 1'!AG67),'Corrected energy balance step 1'!AG67,0)</f>
        <v>0</v>
      </c>
      <c r="AH67" s="157">
        <f>INDEX('Mobile machinery'!$C$54:$J$77,MATCH('Corrected energy balance step 2'!$B67,'Mobile machinery'!$C$54:$C$77,0),MATCH('Corrected energy balance step 2'!AH$7,'Mobile machinery'!$C$54:$J$54,0))</f>
        <v>0</v>
      </c>
      <c r="AI67" s="157">
        <f>INDEX('Mobile machinery'!$C$54:$J$77,MATCH('Corrected energy balance step 2'!$B67,'Mobile machinery'!$C$54:$C$77,0),MATCH('Corrected energy balance step 2'!AI$7,'Mobile machinery'!$C$54:$J$54,0))</f>
        <v>0</v>
      </c>
      <c r="AJ67" s="158">
        <f>IF(ISNUMBER('Corrected energy balance step 1'!AJ67),'Corrected energy balance step 1'!AJ67,0)</f>
        <v>0</v>
      </c>
      <c r="AK67" s="158">
        <f>IF(ISNUMBER('Corrected energy balance step 1'!AK67),'Corrected energy balance step 1'!AK67,0)</f>
        <v>0</v>
      </c>
      <c r="AL67" s="158">
        <f>IF(ISNUMBER('Corrected energy balance step 1'!AL67),'Corrected energy balance step 1'!AL67,0)</f>
        <v>0</v>
      </c>
      <c r="AM67" s="158">
        <f>IF(ISNUMBER('Corrected energy balance step 1'!AM67),'Corrected energy balance step 1'!AM67,0)</f>
        <v>0</v>
      </c>
      <c r="AN67" s="158">
        <f>IF(ISNUMBER('Corrected energy balance step 1'!AN67),'Corrected energy balance step 1'!AN67,0)</f>
        <v>0</v>
      </c>
      <c r="AO67" s="158">
        <f>IF(ISNUMBER('Corrected energy balance step 1'!AO67),'Corrected energy balance step 1'!AO67,0)</f>
        <v>0</v>
      </c>
      <c r="AP67" s="158">
        <f>IF(ISNUMBER('Corrected energy balance step 1'!AP67),'Corrected energy balance step 1'!AP67,0)</f>
        <v>0</v>
      </c>
      <c r="AQ67" s="158">
        <f>IF(ISNUMBER('Corrected energy balance step 1'!AQ67),'Corrected energy balance step 1'!AQ67,0)</f>
        <v>0</v>
      </c>
      <c r="AR67" s="158">
        <f>IF(ISNUMBER('Corrected energy balance step 1'!AR67),'Corrected energy balance step 1'!AR67,0)</f>
        <v>0</v>
      </c>
      <c r="AS67" s="158">
        <f>IF(ISNUMBER('Corrected energy balance step 1'!AS67),'Corrected energy balance step 1'!AS67,0)</f>
        <v>0</v>
      </c>
      <c r="AT67" s="158">
        <f>IF(ISNUMBER('Corrected energy balance step 1'!AT67),'Corrected energy balance step 1'!AT67,0)</f>
        <v>0</v>
      </c>
      <c r="AU67" s="158">
        <f>IF(ISNUMBER('Corrected energy balance step 1'!AU67),'Corrected energy balance step 1'!AU67,0)</f>
        <v>0</v>
      </c>
      <c r="AV67" s="158">
        <f>IF(ISNUMBER('Corrected energy balance step 1'!AV67),'Corrected energy balance step 1'!AV67,0)</f>
        <v>0</v>
      </c>
      <c r="AW67" s="157">
        <f>INDEX('Mobile machinery'!$C$54:$J$77,MATCH('Corrected energy balance step 2'!$B67,'Mobile machinery'!$C$54:$C$77,0),MATCH('Corrected energy balance step 2'!AW$7,'Mobile machinery'!$C$54:$J$54,0))</f>
        <v>0</v>
      </c>
      <c r="AX67" s="157">
        <f>INDEX('Mobile machinery'!$C$54:$J$77,MATCH('Corrected energy balance step 2'!$B67,'Mobile machinery'!$C$54:$C$77,0),MATCH('Corrected energy balance step 2'!AX$7,'Mobile machinery'!$C$54:$J$54,0))</f>
        <v>0</v>
      </c>
      <c r="AY67" s="157">
        <f>INDEX('Mobile machinery'!$C$54:$J$77,MATCH('Corrected energy balance step 2'!$B67,'Mobile machinery'!$C$54:$C$77,0),MATCH('Corrected energy balance step 2'!AY$7,'Mobile machinery'!$C$54:$J$54,0))</f>
        <v>0</v>
      </c>
      <c r="AZ67" s="158">
        <f>IF(ISNUMBER('Corrected energy balance step 1'!AZ67),'Corrected energy balance step 1'!AZ67,0)</f>
        <v>0</v>
      </c>
      <c r="BA67" s="158">
        <f>IF(ISNUMBER('Corrected energy balance step 1'!BA67),'Corrected energy balance step 1'!BA67,0)</f>
        <v>0</v>
      </c>
      <c r="BB67" s="158">
        <f>IF(ISNUMBER('Corrected energy balance step 1'!BB67),'Corrected energy balance step 1'!BB67,0)</f>
        <v>0</v>
      </c>
      <c r="BC67" s="158">
        <f>IF(ISNUMBER('Corrected energy balance step 1'!BC67),'Corrected energy balance step 1'!BC67,0)</f>
        <v>0</v>
      </c>
      <c r="BD67" s="158">
        <f>IF(ISNUMBER('Corrected energy balance step 1'!BD67),'Corrected energy balance step 1'!BD67,0)</f>
        <v>0</v>
      </c>
      <c r="BE67" s="158">
        <f>IF(ISNUMBER('Corrected energy balance step 1'!BE67),'Corrected energy balance step 1'!BE67,0)</f>
        <v>0</v>
      </c>
      <c r="BF67" s="158">
        <f>IF(ISNUMBER('Corrected energy balance step 1'!BF67),'Corrected energy balance step 1'!BF67,0)</f>
        <v>0</v>
      </c>
      <c r="BG67" s="158">
        <f>IF(ISNUMBER('Corrected energy balance step 1'!BG67),'Corrected energy balance step 1'!BG67,0)</f>
        <v>0</v>
      </c>
      <c r="BH67" s="158">
        <f>IF(ISNUMBER('Corrected energy balance step 1'!BH67),'Corrected energy balance step 1'!BH67,0)</f>
        <v>0</v>
      </c>
      <c r="BI67" s="158">
        <f>IF(ISNUMBER('Corrected energy balance step 1'!BI67),'Corrected energy balance step 1'!BI67,0)</f>
        <v>0</v>
      </c>
      <c r="BJ67" s="158">
        <f>IF(ISNUMBER('Corrected energy balance step 1'!BJ67),'Corrected energy balance step 1'!BJ67,0)</f>
        <v>0</v>
      </c>
      <c r="BK67" s="158">
        <f>IF(ISNUMBER('Corrected energy balance step 1'!BK67),'Corrected energy balance step 1'!BK67,0)</f>
        <v>0</v>
      </c>
      <c r="BL67" s="158">
        <f>IF(ISNUMBER('Corrected energy balance step 1'!BL67),'Corrected energy balance step 1'!BL67,0)</f>
        <v>0</v>
      </c>
      <c r="BM67" s="158">
        <f>IF(ISNUMBER('Corrected energy balance step 1'!BM67),'Corrected energy balance step 1'!BM67,0)</f>
        <v>0</v>
      </c>
      <c r="BN67" s="156">
        <f t="shared" si="60"/>
        <v>0</v>
      </c>
      <c r="BO67" s="162">
        <f>'Corrected energy balance step 1'!BO67</f>
        <v>0</v>
      </c>
    </row>
    <row r="68" spans="2:67" x14ac:dyDescent="0.2">
      <c r="B68" s="32" t="s">
        <v>100</v>
      </c>
      <c r="C68" s="158">
        <f>IF(ISNUMBER('Corrected energy balance step 1'!C68),'Corrected energy balance step 1'!C68,0)</f>
        <v>0</v>
      </c>
      <c r="D68" s="158">
        <f>IF(ISNUMBER('Corrected energy balance step 1'!D68),'Corrected energy balance step 1'!D68,0)</f>
        <v>0</v>
      </c>
      <c r="E68" s="158">
        <f>IF(ISNUMBER('Corrected energy balance step 1'!E68),'Corrected energy balance step 1'!E68,0)</f>
        <v>0</v>
      </c>
      <c r="F68" s="158">
        <f>IF(ISNUMBER('Corrected energy balance step 1'!F68),'Corrected energy balance step 1'!F68,0)</f>
        <v>0</v>
      </c>
      <c r="G68" s="158">
        <f>IF(ISNUMBER('Corrected energy balance step 1'!G68),'Corrected energy balance step 1'!G68,0)</f>
        <v>0</v>
      </c>
      <c r="H68" s="158">
        <f>IF(ISNUMBER('Corrected energy balance step 1'!H68),'Corrected energy balance step 1'!H68,0)</f>
        <v>0</v>
      </c>
      <c r="I68" s="158">
        <f>IF(ISNUMBER('Corrected energy balance step 1'!I68),'Corrected energy balance step 1'!I68,0)</f>
        <v>0</v>
      </c>
      <c r="J68" s="158">
        <f>IF(ISNUMBER('Corrected energy balance step 1'!J68),'Corrected energy balance step 1'!J68,0)</f>
        <v>0</v>
      </c>
      <c r="K68" s="158">
        <f>IF(ISNUMBER('Corrected energy balance step 1'!K68),'Corrected energy balance step 1'!K68,0)</f>
        <v>0</v>
      </c>
      <c r="L68" s="158">
        <f>IF(ISNUMBER('Corrected energy balance step 1'!L68),'Corrected energy balance step 1'!L68,0)</f>
        <v>0</v>
      </c>
      <c r="M68" s="158">
        <f>IF(ISNUMBER('Corrected energy balance step 1'!M68),'Corrected energy balance step 1'!M68,0)</f>
        <v>0</v>
      </c>
      <c r="N68" s="158">
        <f>IF(ISNUMBER('Corrected energy balance step 1'!N68),'Corrected energy balance step 1'!N68,0)</f>
        <v>0</v>
      </c>
      <c r="O68" s="158">
        <f>IF(ISNUMBER('Corrected energy balance step 1'!O68),'Corrected energy balance step 1'!O68,0)</f>
        <v>0</v>
      </c>
      <c r="P68" s="158">
        <f>IF(ISNUMBER('Corrected energy balance step 1'!P68),'Corrected energy balance step 1'!P68,0)</f>
        <v>0</v>
      </c>
      <c r="Q68" s="158">
        <f>IF(ISNUMBER('Corrected energy balance step 1'!Q68),'Corrected energy balance step 1'!Q68,0)</f>
        <v>0</v>
      </c>
      <c r="R68" s="158">
        <f>IF(ISNUMBER('Corrected energy balance step 1'!R68),'Corrected energy balance step 1'!R68,0)</f>
        <v>0</v>
      </c>
      <c r="S68" s="158">
        <f>IF(ISNUMBER('Corrected energy balance step 1'!S68),'Corrected energy balance step 1'!S68,0)</f>
        <v>0</v>
      </c>
      <c r="T68" s="158">
        <f>IF(ISNUMBER('Corrected energy balance step 1'!T68),'Corrected energy balance step 1'!T68,0)</f>
        <v>0</v>
      </c>
      <c r="U68" s="158">
        <f>IF(ISNUMBER('Corrected energy balance step 1'!U68),'Corrected energy balance step 1'!U68,0)</f>
        <v>0</v>
      </c>
      <c r="V68" s="158">
        <f>IF(ISNUMBER('Corrected energy balance step 1'!V68),'Corrected energy balance step 1'!V68,0)</f>
        <v>0</v>
      </c>
      <c r="W68" s="158">
        <f>IF(ISNUMBER('Corrected energy balance step 1'!W68),'Corrected energy balance step 1'!W68,0)</f>
        <v>0</v>
      </c>
      <c r="X68" s="158">
        <f>IF(ISNUMBER('Corrected energy balance step 1'!X68),'Corrected energy balance step 1'!X68,0)</f>
        <v>0</v>
      </c>
      <c r="Y68" s="158">
        <f>IF(ISNUMBER('Corrected energy balance step 1'!Y68),'Corrected energy balance step 1'!Y68,0)</f>
        <v>0</v>
      </c>
      <c r="Z68" s="158">
        <f>IF(ISNUMBER('Corrected energy balance step 1'!Z68),'Corrected energy balance step 1'!Z68,0)</f>
        <v>0</v>
      </c>
      <c r="AA68" s="158">
        <f>IF(ISNUMBER('Corrected energy balance step 1'!AA68),'Corrected energy balance step 1'!AA68,0)</f>
        <v>0</v>
      </c>
      <c r="AB68" s="158">
        <f>IF(ISNUMBER('Corrected energy balance step 1'!AB68),'Corrected energy balance step 1'!AB68,0)</f>
        <v>0</v>
      </c>
      <c r="AC68" s="157">
        <f>INDEX('Mobile machinery'!$C$54:$J$77,MATCH('Corrected energy balance step 2'!$B68,'Mobile machinery'!$C$54:$C$77,0),MATCH('Corrected energy balance step 2'!AC$7,'Mobile machinery'!$C$54:$J$54,0))</f>
        <v>0</v>
      </c>
      <c r="AD68" s="158">
        <f>IF(ISNUMBER('Corrected energy balance step 1'!AD68),'Corrected energy balance step 1'!AD68,0)</f>
        <v>0</v>
      </c>
      <c r="AE68" s="158">
        <f>IF(ISNUMBER('Corrected energy balance step 1'!AE68),'Corrected energy balance step 1'!AE68,0)</f>
        <v>0</v>
      </c>
      <c r="AF68" s="158">
        <f>IF(ISNUMBER('Corrected energy balance step 1'!AF68),'Corrected energy balance step 1'!AF68,0)</f>
        <v>0</v>
      </c>
      <c r="AG68" s="158">
        <f>IF(ISNUMBER('Corrected energy balance step 1'!AG68),'Corrected energy balance step 1'!AG68,0)</f>
        <v>0</v>
      </c>
      <c r="AH68" s="157">
        <f>INDEX('Mobile machinery'!$C$54:$J$77,MATCH('Corrected energy balance step 2'!$B68,'Mobile machinery'!$C$54:$C$77,0),MATCH('Corrected energy balance step 2'!AH$7,'Mobile machinery'!$C$54:$J$54,0))</f>
        <v>0</v>
      </c>
      <c r="AI68" s="157">
        <f>INDEX('Mobile machinery'!$C$54:$J$77,MATCH('Corrected energy balance step 2'!$B68,'Mobile machinery'!$C$54:$C$77,0),MATCH('Corrected energy balance step 2'!AI$7,'Mobile machinery'!$C$54:$J$54,0))</f>
        <v>0</v>
      </c>
      <c r="AJ68" s="158">
        <f>IF(ISNUMBER('Corrected energy balance step 1'!AJ68),'Corrected energy balance step 1'!AJ68,0)</f>
        <v>0</v>
      </c>
      <c r="AK68" s="158">
        <f>IF(ISNUMBER('Corrected energy balance step 1'!AK68),'Corrected energy balance step 1'!AK68,0)</f>
        <v>0</v>
      </c>
      <c r="AL68" s="158">
        <f>IF(ISNUMBER('Corrected energy balance step 1'!AL68),'Corrected energy balance step 1'!AL68,0)</f>
        <v>0</v>
      </c>
      <c r="AM68" s="158">
        <f>IF(ISNUMBER('Corrected energy balance step 1'!AM68),'Corrected energy balance step 1'!AM68,0)</f>
        <v>0</v>
      </c>
      <c r="AN68" s="158">
        <f>IF(ISNUMBER('Corrected energy balance step 1'!AN68),'Corrected energy balance step 1'!AN68,0)</f>
        <v>0</v>
      </c>
      <c r="AO68" s="158">
        <f>IF(ISNUMBER('Corrected energy balance step 1'!AO68),'Corrected energy balance step 1'!AO68,0)</f>
        <v>0</v>
      </c>
      <c r="AP68" s="158">
        <f>IF(ISNUMBER('Corrected energy balance step 1'!AP68),'Corrected energy balance step 1'!AP68,0)</f>
        <v>0</v>
      </c>
      <c r="AQ68" s="158">
        <f>IF(ISNUMBER('Corrected energy balance step 1'!AQ68),'Corrected energy balance step 1'!AQ68,0)</f>
        <v>0</v>
      </c>
      <c r="AR68" s="158">
        <f>IF(ISNUMBER('Corrected energy balance step 1'!AR68),'Corrected energy balance step 1'!AR68,0)</f>
        <v>0</v>
      </c>
      <c r="AS68" s="158">
        <f>IF(ISNUMBER('Corrected energy balance step 1'!AS68),'Corrected energy balance step 1'!AS68,0)</f>
        <v>0</v>
      </c>
      <c r="AT68" s="158">
        <f>IF(ISNUMBER('Corrected energy balance step 1'!AT68),'Corrected energy balance step 1'!AT68,0)</f>
        <v>0</v>
      </c>
      <c r="AU68" s="158">
        <f>IF(ISNUMBER('Corrected energy balance step 1'!AU68),'Corrected energy balance step 1'!AU68,0)</f>
        <v>0</v>
      </c>
      <c r="AV68" s="158">
        <f>IF(ISNUMBER('Corrected energy balance step 1'!AV68),'Corrected energy balance step 1'!AV68,0)</f>
        <v>0</v>
      </c>
      <c r="AW68" s="157">
        <f>INDEX('Mobile machinery'!$C$54:$J$77,MATCH('Corrected energy balance step 2'!$B68,'Mobile machinery'!$C$54:$C$77,0),MATCH('Corrected energy balance step 2'!AW$7,'Mobile machinery'!$C$54:$J$54,0))</f>
        <v>0</v>
      </c>
      <c r="AX68" s="157">
        <f>INDEX('Mobile machinery'!$C$54:$J$77,MATCH('Corrected energy balance step 2'!$B68,'Mobile machinery'!$C$54:$C$77,0),MATCH('Corrected energy balance step 2'!AX$7,'Mobile machinery'!$C$54:$J$54,0))</f>
        <v>0</v>
      </c>
      <c r="AY68" s="157">
        <f>INDEX('Mobile machinery'!$C$54:$J$77,MATCH('Corrected energy balance step 2'!$B68,'Mobile machinery'!$C$54:$C$77,0),MATCH('Corrected energy balance step 2'!AY$7,'Mobile machinery'!$C$54:$J$54,0))</f>
        <v>0</v>
      </c>
      <c r="AZ68" s="158">
        <f>IF(ISNUMBER('Corrected energy balance step 1'!AZ68),'Corrected energy balance step 1'!AZ68,0)</f>
        <v>0</v>
      </c>
      <c r="BA68" s="158">
        <f>IF(ISNUMBER('Corrected energy balance step 1'!BA68),'Corrected energy balance step 1'!BA68,0)</f>
        <v>0</v>
      </c>
      <c r="BB68" s="158">
        <f>IF(ISNUMBER('Corrected energy balance step 1'!BB68),'Corrected energy balance step 1'!BB68,0)</f>
        <v>0</v>
      </c>
      <c r="BC68" s="158">
        <f>IF(ISNUMBER('Corrected energy balance step 1'!BC68),'Corrected energy balance step 1'!BC68,0)</f>
        <v>0</v>
      </c>
      <c r="BD68" s="158">
        <f>IF(ISNUMBER('Corrected energy balance step 1'!BD68),'Corrected energy balance step 1'!BD68,0)</f>
        <v>0</v>
      </c>
      <c r="BE68" s="158">
        <f>IF(ISNUMBER('Corrected energy balance step 1'!BE68),'Corrected energy balance step 1'!BE68,0)</f>
        <v>0</v>
      </c>
      <c r="BF68" s="158">
        <f>IF(ISNUMBER('Corrected energy balance step 1'!BF68),'Corrected energy balance step 1'!BF68,0)</f>
        <v>0</v>
      </c>
      <c r="BG68" s="158">
        <f>IF(ISNUMBER('Corrected energy balance step 1'!BG68),'Corrected energy balance step 1'!BG68,0)</f>
        <v>0</v>
      </c>
      <c r="BH68" s="158">
        <f>IF(ISNUMBER('Corrected energy balance step 1'!BH68),'Corrected energy balance step 1'!BH68,0)</f>
        <v>0</v>
      </c>
      <c r="BI68" s="158">
        <f>IF(ISNUMBER('Corrected energy balance step 1'!BI68),'Corrected energy balance step 1'!BI68,0)</f>
        <v>0</v>
      </c>
      <c r="BJ68" s="158">
        <f>IF(ISNUMBER('Corrected energy balance step 1'!BJ68),'Corrected energy balance step 1'!BJ68,0)</f>
        <v>0</v>
      </c>
      <c r="BK68" s="158">
        <f>IF(ISNUMBER('Corrected energy balance step 1'!BK68),'Corrected energy balance step 1'!BK68,0)</f>
        <v>0</v>
      </c>
      <c r="BL68" s="158">
        <f>IF(ISNUMBER('Corrected energy balance step 1'!BL68),'Corrected energy balance step 1'!BL68,0)</f>
        <v>0</v>
      </c>
      <c r="BM68" s="158">
        <f>IF(ISNUMBER('Corrected energy balance step 1'!BM68),'Corrected energy balance step 1'!BM68,0)</f>
        <v>0</v>
      </c>
      <c r="BN68" s="156">
        <f t="shared" si="60"/>
        <v>0</v>
      </c>
      <c r="BO68" s="162">
        <f>'Corrected energy balance step 1'!BO68</f>
        <v>0</v>
      </c>
    </row>
    <row r="69" spans="2:67" x14ac:dyDescent="0.2">
      <c r="B69" s="32" t="s">
        <v>101</v>
      </c>
      <c r="C69" s="158">
        <f>IF(ISNUMBER('Corrected energy balance step 1'!C69),'Corrected energy balance step 1'!C69,0)</f>
        <v>0</v>
      </c>
      <c r="D69" s="158">
        <f>IF(ISNUMBER('Corrected energy balance step 1'!D69),'Corrected energy balance step 1'!D69,0)</f>
        <v>0</v>
      </c>
      <c r="E69" s="158">
        <f>IF(ISNUMBER('Corrected energy balance step 1'!E69),'Corrected energy balance step 1'!E69,0)</f>
        <v>0</v>
      </c>
      <c r="F69" s="158">
        <f>IF(ISNUMBER('Corrected energy balance step 1'!F69),'Corrected energy balance step 1'!F69,0)</f>
        <v>0</v>
      </c>
      <c r="G69" s="158">
        <f>IF(ISNUMBER('Corrected energy balance step 1'!G69),'Corrected energy balance step 1'!G69,0)</f>
        <v>0</v>
      </c>
      <c r="H69" s="158">
        <f>IF(ISNUMBER('Corrected energy balance step 1'!H69),'Corrected energy balance step 1'!H69,0)</f>
        <v>0</v>
      </c>
      <c r="I69" s="158">
        <f>IF(ISNUMBER('Corrected energy balance step 1'!I69),'Corrected energy balance step 1'!I69,0)</f>
        <v>0</v>
      </c>
      <c r="J69" s="158">
        <f>IF(ISNUMBER('Corrected energy balance step 1'!J69),'Corrected energy balance step 1'!J69,0)</f>
        <v>0</v>
      </c>
      <c r="K69" s="158">
        <f>IF(ISNUMBER('Corrected energy balance step 1'!K69),'Corrected energy balance step 1'!K69,0)</f>
        <v>0</v>
      </c>
      <c r="L69" s="158">
        <f>IF(ISNUMBER('Corrected energy balance step 1'!L69),'Corrected energy balance step 1'!L69,0)</f>
        <v>0</v>
      </c>
      <c r="M69" s="158">
        <f>IF(ISNUMBER('Corrected energy balance step 1'!M69),'Corrected energy balance step 1'!M69,0)</f>
        <v>0</v>
      </c>
      <c r="N69" s="158">
        <f>IF(ISNUMBER('Corrected energy balance step 1'!N69),'Corrected energy balance step 1'!N69,0)</f>
        <v>0</v>
      </c>
      <c r="O69" s="158">
        <f>IF(ISNUMBER('Corrected energy balance step 1'!O69),'Corrected energy balance step 1'!O69,0)</f>
        <v>0</v>
      </c>
      <c r="P69" s="158">
        <f>IF(ISNUMBER('Corrected energy balance step 1'!P69),'Corrected energy balance step 1'!P69,0)</f>
        <v>0</v>
      </c>
      <c r="Q69" s="158">
        <f>IF(ISNUMBER('Corrected energy balance step 1'!Q69),'Corrected energy balance step 1'!Q69,0)</f>
        <v>0</v>
      </c>
      <c r="R69" s="158">
        <f>IF(ISNUMBER('Corrected energy balance step 1'!R69),'Corrected energy balance step 1'!R69,0)</f>
        <v>0</v>
      </c>
      <c r="S69" s="158">
        <f>IF(ISNUMBER('Corrected energy balance step 1'!S69),'Corrected energy balance step 1'!S69,0)</f>
        <v>0</v>
      </c>
      <c r="T69" s="158">
        <f>IF(ISNUMBER('Corrected energy balance step 1'!T69),'Corrected energy balance step 1'!T69,0)</f>
        <v>0</v>
      </c>
      <c r="U69" s="158">
        <f>IF(ISNUMBER('Corrected energy balance step 1'!U69),'Corrected energy balance step 1'!U69,0)</f>
        <v>0</v>
      </c>
      <c r="V69" s="158">
        <f>IF(ISNUMBER('Corrected energy balance step 1'!V69),'Corrected energy balance step 1'!V69,0)</f>
        <v>0</v>
      </c>
      <c r="W69" s="158">
        <f>IF(ISNUMBER('Corrected energy balance step 1'!W69),'Corrected energy balance step 1'!W69,0)</f>
        <v>0</v>
      </c>
      <c r="X69" s="158">
        <f>IF(ISNUMBER('Corrected energy balance step 1'!X69),'Corrected energy balance step 1'!X69,0)</f>
        <v>0</v>
      </c>
      <c r="Y69" s="158">
        <f>IF(ISNUMBER('Corrected energy balance step 1'!Y69),'Corrected energy balance step 1'!Y69,0)</f>
        <v>0</v>
      </c>
      <c r="Z69" s="158">
        <f>IF(ISNUMBER('Corrected energy balance step 1'!Z69),'Corrected energy balance step 1'!Z69,0)</f>
        <v>0</v>
      </c>
      <c r="AA69" s="158">
        <f>IF(ISNUMBER('Corrected energy balance step 1'!AA69),'Corrected energy balance step 1'!AA69,0)</f>
        <v>0</v>
      </c>
      <c r="AB69" s="158">
        <f>IF(ISNUMBER('Corrected energy balance step 1'!AB69),'Corrected energy balance step 1'!AB69,0)</f>
        <v>0</v>
      </c>
      <c r="AC69" s="157">
        <f>INDEX('Mobile machinery'!$C$54:$J$77,MATCH('Corrected energy balance step 2'!$B69,'Mobile machinery'!$C$54:$C$77,0),MATCH('Corrected energy balance step 2'!AC$7,'Mobile machinery'!$C$54:$J$54,0))</f>
        <v>0</v>
      </c>
      <c r="AD69" s="158">
        <f>IF(ISNUMBER('Corrected energy balance step 1'!AD69),'Corrected energy balance step 1'!AD69,0)</f>
        <v>0</v>
      </c>
      <c r="AE69" s="158">
        <f>IF(ISNUMBER('Corrected energy balance step 1'!AE69),'Corrected energy balance step 1'!AE69,0)</f>
        <v>0</v>
      </c>
      <c r="AF69" s="158">
        <f>IF(ISNUMBER('Corrected energy balance step 1'!AF69),'Corrected energy balance step 1'!AF69,0)</f>
        <v>0</v>
      </c>
      <c r="AG69" s="158">
        <f>IF(ISNUMBER('Corrected energy balance step 1'!AG69),'Corrected energy balance step 1'!AG69,0)</f>
        <v>0</v>
      </c>
      <c r="AH69" s="157">
        <f>INDEX('Mobile machinery'!$C$54:$J$77,MATCH('Corrected energy balance step 2'!$B69,'Mobile machinery'!$C$54:$C$77,0),MATCH('Corrected energy balance step 2'!AH$7,'Mobile machinery'!$C$54:$J$54,0))</f>
        <v>0</v>
      </c>
      <c r="AI69" s="157">
        <f>INDEX('Mobile machinery'!$C$54:$J$77,MATCH('Corrected energy balance step 2'!$B69,'Mobile machinery'!$C$54:$C$77,0),MATCH('Corrected energy balance step 2'!AI$7,'Mobile machinery'!$C$54:$J$54,0))</f>
        <v>0</v>
      </c>
      <c r="AJ69" s="158">
        <f>IF(ISNUMBER('Corrected energy balance step 1'!AJ69),'Corrected energy balance step 1'!AJ69,0)</f>
        <v>0</v>
      </c>
      <c r="AK69" s="158">
        <f>IF(ISNUMBER('Corrected energy balance step 1'!AK69),'Corrected energy balance step 1'!AK69,0)</f>
        <v>0</v>
      </c>
      <c r="AL69" s="158">
        <f>IF(ISNUMBER('Corrected energy balance step 1'!AL69),'Corrected energy balance step 1'!AL69,0)</f>
        <v>0</v>
      </c>
      <c r="AM69" s="158">
        <f>IF(ISNUMBER('Corrected energy balance step 1'!AM69),'Corrected energy balance step 1'!AM69,0)</f>
        <v>0</v>
      </c>
      <c r="AN69" s="158">
        <f>IF(ISNUMBER('Corrected energy balance step 1'!AN69),'Corrected energy balance step 1'!AN69,0)</f>
        <v>0</v>
      </c>
      <c r="AO69" s="158">
        <f>IF(ISNUMBER('Corrected energy balance step 1'!AO69),'Corrected energy balance step 1'!AO69,0)</f>
        <v>0</v>
      </c>
      <c r="AP69" s="158">
        <f>IF(ISNUMBER('Corrected energy balance step 1'!AP69),'Corrected energy balance step 1'!AP69,0)</f>
        <v>0</v>
      </c>
      <c r="AQ69" s="158">
        <f>IF(ISNUMBER('Corrected energy balance step 1'!AQ69),'Corrected energy balance step 1'!AQ69,0)</f>
        <v>0</v>
      </c>
      <c r="AR69" s="158">
        <f>IF(ISNUMBER('Corrected energy balance step 1'!AR69),'Corrected energy balance step 1'!AR69,0)</f>
        <v>0</v>
      </c>
      <c r="AS69" s="158">
        <f>IF(ISNUMBER('Corrected energy balance step 1'!AS69),'Corrected energy balance step 1'!AS69,0)</f>
        <v>0</v>
      </c>
      <c r="AT69" s="158">
        <f>IF(ISNUMBER('Corrected energy balance step 1'!AT69),'Corrected energy balance step 1'!AT69,0)</f>
        <v>0</v>
      </c>
      <c r="AU69" s="158">
        <f>IF(ISNUMBER('Corrected energy balance step 1'!AU69),'Corrected energy balance step 1'!AU69,0)</f>
        <v>0</v>
      </c>
      <c r="AV69" s="158">
        <f>IF(ISNUMBER('Corrected energy balance step 1'!AV69),'Corrected energy balance step 1'!AV69,0)</f>
        <v>0</v>
      </c>
      <c r="AW69" s="157">
        <f>INDEX('Mobile machinery'!$C$54:$J$77,MATCH('Corrected energy balance step 2'!$B69,'Mobile machinery'!$C$54:$C$77,0),MATCH('Corrected energy balance step 2'!AW$7,'Mobile machinery'!$C$54:$J$54,0))</f>
        <v>0</v>
      </c>
      <c r="AX69" s="157">
        <f>INDEX('Mobile machinery'!$C$54:$J$77,MATCH('Corrected energy balance step 2'!$B69,'Mobile machinery'!$C$54:$C$77,0),MATCH('Corrected energy balance step 2'!AX$7,'Mobile machinery'!$C$54:$J$54,0))</f>
        <v>0</v>
      </c>
      <c r="AY69" s="157">
        <f>INDEX('Mobile machinery'!$C$54:$J$77,MATCH('Corrected energy balance step 2'!$B69,'Mobile machinery'!$C$54:$C$77,0),MATCH('Corrected energy balance step 2'!AY$7,'Mobile machinery'!$C$54:$J$54,0))</f>
        <v>0</v>
      </c>
      <c r="AZ69" s="158">
        <f>IF(ISNUMBER('Corrected energy balance step 1'!AZ69),'Corrected energy balance step 1'!AZ69,0)</f>
        <v>0</v>
      </c>
      <c r="BA69" s="158">
        <f>IF(ISNUMBER('Corrected energy balance step 1'!BA69),'Corrected energy balance step 1'!BA69,0)</f>
        <v>0</v>
      </c>
      <c r="BB69" s="158">
        <f>IF(ISNUMBER('Corrected energy balance step 1'!BB69),'Corrected energy balance step 1'!BB69,0)</f>
        <v>0</v>
      </c>
      <c r="BC69" s="158">
        <f>IF(ISNUMBER('Corrected energy balance step 1'!BC69),'Corrected energy balance step 1'!BC69,0)</f>
        <v>0</v>
      </c>
      <c r="BD69" s="158">
        <f>IF(ISNUMBER('Corrected energy balance step 1'!BD69),'Corrected energy balance step 1'!BD69,0)</f>
        <v>0</v>
      </c>
      <c r="BE69" s="158">
        <f>IF(ISNUMBER('Corrected energy balance step 1'!BE69),'Corrected energy balance step 1'!BE69,0)</f>
        <v>0</v>
      </c>
      <c r="BF69" s="158">
        <f>IF(ISNUMBER('Corrected energy balance step 1'!BF69),'Corrected energy balance step 1'!BF69,0)</f>
        <v>0</v>
      </c>
      <c r="BG69" s="158">
        <f>IF(ISNUMBER('Corrected energy balance step 1'!BG69),'Corrected energy balance step 1'!BG69,0)</f>
        <v>0</v>
      </c>
      <c r="BH69" s="158">
        <f>IF(ISNUMBER('Corrected energy balance step 1'!BH69),'Corrected energy balance step 1'!BH69,0)</f>
        <v>0</v>
      </c>
      <c r="BI69" s="158">
        <f>IF(ISNUMBER('Corrected energy balance step 1'!BI69),'Corrected energy balance step 1'!BI69,0)</f>
        <v>0</v>
      </c>
      <c r="BJ69" s="158">
        <f>IF(ISNUMBER('Corrected energy balance step 1'!BJ69),'Corrected energy balance step 1'!BJ69,0)</f>
        <v>0</v>
      </c>
      <c r="BK69" s="158">
        <f>IF(ISNUMBER('Corrected energy balance step 1'!BK69),'Corrected energy balance step 1'!BK69,0)</f>
        <v>0</v>
      </c>
      <c r="BL69" s="158">
        <f>IF(ISNUMBER('Corrected energy balance step 1'!BL69),'Corrected energy balance step 1'!BL69,0)</f>
        <v>0</v>
      </c>
      <c r="BM69" s="158">
        <f>IF(ISNUMBER('Corrected energy balance step 1'!BM69),'Corrected energy balance step 1'!BM69,0)</f>
        <v>0</v>
      </c>
      <c r="BN69" s="156">
        <f t="shared" si="60"/>
        <v>0</v>
      </c>
      <c r="BO69" s="162">
        <f>'Corrected energy balance step 1'!BO69</f>
        <v>0</v>
      </c>
    </row>
    <row r="70" spans="2:67" x14ac:dyDescent="0.2">
      <c r="B70" s="32" t="s">
        <v>102</v>
      </c>
      <c r="C70" s="158">
        <f>IF(ISNUMBER('Corrected energy balance step 1'!C70),'Corrected energy balance step 1'!C70,0)</f>
        <v>0</v>
      </c>
      <c r="D70" s="158">
        <f>IF(ISNUMBER('Corrected energy balance step 1'!D70),'Corrected energy balance step 1'!D70,0)</f>
        <v>0</v>
      </c>
      <c r="E70" s="158">
        <f>IF(ISNUMBER('Corrected energy balance step 1'!E70),'Corrected energy balance step 1'!E70,0)</f>
        <v>0</v>
      </c>
      <c r="F70" s="158">
        <f>IF(ISNUMBER('Corrected energy balance step 1'!F70),'Corrected energy balance step 1'!F70,0)</f>
        <v>0</v>
      </c>
      <c r="G70" s="158">
        <f>IF(ISNUMBER('Corrected energy balance step 1'!G70),'Corrected energy balance step 1'!G70,0)</f>
        <v>0</v>
      </c>
      <c r="H70" s="158">
        <f>IF(ISNUMBER('Corrected energy balance step 1'!H70),'Corrected energy balance step 1'!H70,0)</f>
        <v>0</v>
      </c>
      <c r="I70" s="158">
        <f>IF(ISNUMBER('Corrected energy balance step 1'!I70),'Corrected energy balance step 1'!I70,0)</f>
        <v>0</v>
      </c>
      <c r="J70" s="158">
        <f>IF(ISNUMBER('Corrected energy balance step 1'!J70),'Corrected energy balance step 1'!J70,0)</f>
        <v>0</v>
      </c>
      <c r="K70" s="158">
        <f>IF(ISNUMBER('Corrected energy balance step 1'!K70),'Corrected energy balance step 1'!K70,0)</f>
        <v>0</v>
      </c>
      <c r="L70" s="158">
        <f>IF(ISNUMBER('Corrected energy balance step 1'!L70),'Corrected energy balance step 1'!L70,0)</f>
        <v>0</v>
      </c>
      <c r="M70" s="158">
        <f>IF(ISNUMBER('Corrected energy balance step 1'!M70),'Corrected energy balance step 1'!M70,0)</f>
        <v>0</v>
      </c>
      <c r="N70" s="158">
        <f>IF(ISNUMBER('Corrected energy balance step 1'!N70),'Corrected energy balance step 1'!N70,0)</f>
        <v>0</v>
      </c>
      <c r="O70" s="158">
        <f>IF(ISNUMBER('Corrected energy balance step 1'!O70),'Corrected energy balance step 1'!O70,0)</f>
        <v>0</v>
      </c>
      <c r="P70" s="158">
        <f>IF(ISNUMBER('Corrected energy balance step 1'!P70),'Corrected energy balance step 1'!P70,0)</f>
        <v>0</v>
      </c>
      <c r="Q70" s="158">
        <f>IF(ISNUMBER('Corrected energy balance step 1'!Q70),'Corrected energy balance step 1'!Q70,0)</f>
        <v>0</v>
      </c>
      <c r="R70" s="158">
        <f>IF(ISNUMBER('Corrected energy balance step 1'!R70),'Corrected energy balance step 1'!R70,0)</f>
        <v>0</v>
      </c>
      <c r="S70" s="158">
        <f>IF(ISNUMBER('Corrected energy balance step 1'!S70),'Corrected energy balance step 1'!S70,0)</f>
        <v>0</v>
      </c>
      <c r="T70" s="158">
        <f>IF(ISNUMBER('Corrected energy balance step 1'!T70),'Corrected energy balance step 1'!T70,0)</f>
        <v>0</v>
      </c>
      <c r="U70" s="158">
        <f>IF(ISNUMBER('Corrected energy balance step 1'!U70),'Corrected energy balance step 1'!U70,0)</f>
        <v>0</v>
      </c>
      <c r="V70" s="158">
        <f>IF(ISNUMBER('Corrected energy balance step 1'!V70),'Corrected energy balance step 1'!V70,0)</f>
        <v>0</v>
      </c>
      <c r="W70" s="158">
        <f>IF(ISNUMBER('Corrected energy balance step 1'!W70),'Corrected energy balance step 1'!W70,0)</f>
        <v>0</v>
      </c>
      <c r="X70" s="158">
        <f>IF(ISNUMBER('Corrected energy balance step 1'!X70),'Corrected energy balance step 1'!X70,0)</f>
        <v>0</v>
      </c>
      <c r="Y70" s="158">
        <f>IF(ISNUMBER('Corrected energy balance step 1'!Y70),'Corrected energy balance step 1'!Y70,0)</f>
        <v>0</v>
      </c>
      <c r="Z70" s="158">
        <f>IF(ISNUMBER('Corrected energy balance step 1'!Z70),'Corrected energy balance step 1'!Z70,0)</f>
        <v>0</v>
      </c>
      <c r="AA70" s="158">
        <f>IF(ISNUMBER('Corrected energy balance step 1'!AA70),'Corrected energy balance step 1'!AA70,0)</f>
        <v>0</v>
      </c>
      <c r="AB70" s="158">
        <f>IF(ISNUMBER('Corrected energy balance step 1'!AB70),'Corrected energy balance step 1'!AB70,0)</f>
        <v>0</v>
      </c>
      <c r="AC70" s="157">
        <f>INDEX('Mobile machinery'!$C$54:$J$77,MATCH('Corrected energy balance step 2'!$B70,'Mobile machinery'!$C$54:$C$77,0),MATCH('Corrected energy balance step 2'!AC$7,'Mobile machinery'!$C$54:$J$54,0))</f>
        <v>0</v>
      </c>
      <c r="AD70" s="158">
        <f>IF(ISNUMBER('Corrected energy balance step 1'!AD70),'Corrected energy balance step 1'!AD70,0)</f>
        <v>0</v>
      </c>
      <c r="AE70" s="158">
        <f>IF(ISNUMBER('Corrected energy balance step 1'!AE70),'Corrected energy balance step 1'!AE70,0)</f>
        <v>0</v>
      </c>
      <c r="AF70" s="158">
        <f>IF(ISNUMBER('Corrected energy balance step 1'!AF70),'Corrected energy balance step 1'!AF70,0)</f>
        <v>0</v>
      </c>
      <c r="AG70" s="158">
        <f>IF(ISNUMBER('Corrected energy balance step 1'!AG70),'Corrected energy balance step 1'!AG70,0)</f>
        <v>0</v>
      </c>
      <c r="AH70" s="157">
        <f>INDEX('Mobile machinery'!$C$54:$J$77,MATCH('Corrected energy balance step 2'!$B70,'Mobile machinery'!$C$54:$C$77,0),MATCH('Corrected energy balance step 2'!AH$7,'Mobile machinery'!$C$54:$J$54,0))</f>
        <v>0</v>
      </c>
      <c r="AI70" s="157">
        <f>INDEX('Mobile machinery'!$C$54:$J$77,MATCH('Corrected energy balance step 2'!$B70,'Mobile machinery'!$C$54:$C$77,0),MATCH('Corrected energy balance step 2'!AI$7,'Mobile machinery'!$C$54:$J$54,0))</f>
        <v>0</v>
      </c>
      <c r="AJ70" s="158">
        <f>IF(ISNUMBER('Corrected energy balance step 1'!AJ70),'Corrected energy balance step 1'!AJ70,0)</f>
        <v>0</v>
      </c>
      <c r="AK70" s="158">
        <f>IF(ISNUMBER('Corrected energy balance step 1'!AK70),'Corrected energy balance step 1'!AK70,0)</f>
        <v>0</v>
      </c>
      <c r="AL70" s="158">
        <f>IF(ISNUMBER('Corrected energy balance step 1'!AL70),'Corrected energy balance step 1'!AL70,0)</f>
        <v>0</v>
      </c>
      <c r="AM70" s="158">
        <f>IF(ISNUMBER('Corrected energy balance step 1'!AM70),'Corrected energy balance step 1'!AM70,0)</f>
        <v>0</v>
      </c>
      <c r="AN70" s="158">
        <f>IF(ISNUMBER('Corrected energy balance step 1'!AN70),'Corrected energy balance step 1'!AN70,0)</f>
        <v>0</v>
      </c>
      <c r="AO70" s="158">
        <f>IF(ISNUMBER('Corrected energy balance step 1'!AO70),'Corrected energy balance step 1'!AO70,0)</f>
        <v>0</v>
      </c>
      <c r="AP70" s="158">
        <f>IF(ISNUMBER('Corrected energy balance step 1'!AP70),'Corrected energy balance step 1'!AP70,0)</f>
        <v>0</v>
      </c>
      <c r="AQ70" s="158">
        <f>IF(ISNUMBER('Corrected energy balance step 1'!AQ70),'Corrected energy balance step 1'!AQ70,0)</f>
        <v>0</v>
      </c>
      <c r="AR70" s="158">
        <f>IF(ISNUMBER('Corrected energy balance step 1'!AR70),'Corrected energy balance step 1'!AR70,0)</f>
        <v>0</v>
      </c>
      <c r="AS70" s="158">
        <f>IF(ISNUMBER('Corrected energy balance step 1'!AS70),'Corrected energy balance step 1'!AS70,0)</f>
        <v>0</v>
      </c>
      <c r="AT70" s="158">
        <f>IF(ISNUMBER('Corrected energy balance step 1'!AT70),'Corrected energy balance step 1'!AT70,0)</f>
        <v>0</v>
      </c>
      <c r="AU70" s="158">
        <f>IF(ISNUMBER('Corrected energy balance step 1'!AU70),'Corrected energy balance step 1'!AU70,0)</f>
        <v>0</v>
      </c>
      <c r="AV70" s="158">
        <f>IF(ISNUMBER('Corrected energy balance step 1'!AV70),'Corrected energy balance step 1'!AV70,0)</f>
        <v>0</v>
      </c>
      <c r="AW70" s="157">
        <f>INDEX('Mobile machinery'!$C$54:$J$77,MATCH('Corrected energy balance step 2'!$B70,'Mobile machinery'!$C$54:$C$77,0),MATCH('Corrected energy balance step 2'!AW$7,'Mobile machinery'!$C$54:$J$54,0))</f>
        <v>0</v>
      </c>
      <c r="AX70" s="157">
        <f>INDEX('Mobile machinery'!$C$54:$J$77,MATCH('Corrected energy balance step 2'!$B70,'Mobile machinery'!$C$54:$C$77,0),MATCH('Corrected energy balance step 2'!AX$7,'Mobile machinery'!$C$54:$J$54,0))</f>
        <v>0</v>
      </c>
      <c r="AY70" s="157">
        <f>INDEX('Mobile machinery'!$C$54:$J$77,MATCH('Corrected energy balance step 2'!$B70,'Mobile machinery'!$C$54:$C$77,0),MATCH('Corrected energy balance step 2'!AY$7,'Mobile machinery'!$C$54:$J$54,0))</f>
        <v>0</v>
      </c>
      <c r="AZ70" s="158">
        <f>IF(ISNUMBER('Corrected energy balance step 1'!AZ70),'Corrected energy balance step 1'!AZ70,0)</f>
        <v>0</v>
      </c>
      <c r="BA70" s="158">
        <f>IF(ISNUMBER('Corrected energy balance step 1'!BA70),'Corrected energy balance step 1'!BA70,0)</f>
        <v>0</v>
      </c>
      <c r="BB70" s="158">
        <f>IF(ISNUMBER('Corrected energy balance step 1'!BB70),'Corrected energy balance step 1'!BB70,0)</f>
        <v>0</v>
      </c>
      <c r="BC70" s="158">
        <f>IF(ISNUMBER('Corrected energy balance step 1'!BC70),'Corrected energy balance step 1'!BC70,0)</f>
        <v>0</v>
      </c>
      <c r="BD70" s="158">
        <f>IF(ISNUMBER('Corrected energy balance step 1'!BD70),'Corrected energy balance step 1'!BD70,0)</f>
        <v>0</v>
      </c>
      <c r="BE70" s="158">
        <f>IF(ISNUMBER('Corrected energy balance step 1'!BE70),'Corrected energy balance step 1'!BE70,0)</f>
        <v>0</v>
      </c>
      <c r="BF70" s="158">
        <f>IF(ISNUMBER('Corrected energy balance step 1'!BF70),'Corrected energy balance step 1'!BF70,0)</f>
        <v>0</v>
      </c>
      <c r="BG70" s="158">
        <f>IF(ISNUMBER('Corrected energy balance step 1'!BG70),'Corrected energy balance step 1'!BG70,0)</f>
        <v>0</v>
      </c>
      <c r="BH70" s="158">
        <f>IF(ISNUMBER('Corrected energy balance step 1'!BH70),'Corrected energy balance step 1'!BH70,0)</f>
        <v>0</v>
      </c>
      <c r="BI70" s="158">
        <f>IF(ISNUMBER('Corrected energy balance step 1'!BI70),'Corrected energy balance step 1'!BI70,0)</f>
        <v>0</v>
      </c>
      <c r="BJ70" s="158">
        <f>IF(ISNUMBER('Corrected energy balance step 1'!BJ70),'Corrected energy balance step 1'!BJ70,0)</f>
        <v>0</v>
      </c>
      <c r="BK70" s="158">
        <f>IF(ISNUMBER('Corrected energy balance step 1'!BK70),'Corrected energy balance step 1'!BK70,0)</f>
        <v>0</v>
      </c>
      <c r="BL70" s="158">
        <f>IF(ISNUMBER('Corrected energy balance step 1'!BL70),'Corrected energy balance step 1'!BL70,0)</f>
        <v>0</v>
      </c>
      <c r="BM70" s="158">
        <f>IF(ISNUMBER('Corrected energy balance step 1'!BM70),'Corrected energy balance step 1'!BM70,0)</f>
        <v>0</v>
      </c>
      <c r="BN70" s="156">
        <f t="shared" si="60"/>
        <v>0</v>
      </c>
      <c r="BO70" s="162">
        <f>'Corrected energy balance step 1'!BO70</f>
        <v>0</v>
      </c>
    </row>
    <row r="71" spans="2:67" x14ac:dyDescent="0.2">
      <c r="B71" s="32" t="s">
        <v>103</v>
      </c>
      <c r="C71" s="158">
        <f>IF(ISNUMBER('Corrected energy balance step 1'!C71),'Corrected energy balance step 1'!C71,0)</f>
        <v>0</v>
      </c>
      <c r="D71" s="158">
        <f>IF(ISNUMBER('Corrected energy balance step 1'!D71),'Corrected energy balance step 1'!D71,0)</f>
        <v>0</v>
      </c>
      <c r="E71" s="158">
        <f>IF(ISNUMBER('Corrected energy balance step 1'!E71),'Corrected energy balance step 1'!E71,0)</f>
        <v>0</v>
      </c>
      <c r="F71" s="158">
        <f>IF(ISNUMBER('Corrected energy balance step 1'!F71),'Corrected energy balance step 1'!F71,0)</f>
        <v>0</v>
      </c>
      <c r="G71" s="158">
        <f>IF(ISNUMBER('Corrected energy balance step 1'!G71),'Corrected energy balance step 1'!G71,0)</f>
        <v>0</v>
      </c>
      <c r="H71" s="158">
        <f>IF(ISNUMBER('Corrected energy balance step 1'!H71),'Corrected energy balance step 1'!H71,0)</f>
        <v>0</v>
      </c>
      <c r="I71" s="158">
        <f>IF(ISNUMBER('Corrected energy balance step 1'!I71),'Corrected energy balance step 1'!I71,0)</f>
        <v>0</v>
      </c>
      <c r="J71" s="158">
        <f>IF(ISNUMBER('Corrected energy balance step 1'!J71),'Corrected energy balance step 1'!J71,0)</f>
        <v>0</v>
      </c>
      <c r="K71" s="158">
        <f>IF(ISNUMBER('Corrected energy balance step 1'!K71),'Corrected energy balance step 1'!K71,0)</f>
        <v>0</v>
      </c>
      <c r="L71" s="158">
        <f>IF(ISNUMBER('Corrected energy balance step 1'!L71),'Corrected energy balance step 1'!L71,0)</f>
        <v>0</v>
      </c>
      <c r="M71" s="158">
        <f>IF(ISNUMBER('Corrected energy balance step 1'!M71),'Corrected energy balance step 1'!M71,0)</f>
        <v>0</v>
      </c>
      <c r="N71" s="158">
        <f>IF(ISNUMBER('Corrected energy balance step 1'!N71),'Corrected energy balance step 1'!N71,0)</f>
        <v>0</v>
      </c>
      <c r="O71" s="158">
        <f>IF(ISNUMBER('Corrected energy balance step 1'!O71),'Corrected energy balance step 1'!O71,0)</f>
        <v>0</v>
      </c>
      <c r="P71" s="158">
        <f>IF(ISNUMBER('Corrected energy balance step 1'!P71),'Corrected energy balance step 1'!P71,0)</f>
        <v>0</v>
      </c>
      <c r="Q71" s="158">
        <f>IF(ISNUMBER('Corrected energy balance step 1'!Q71),'Corrected energy balance step 1'!Q71,0)</f>
        <v>0</v>
      </c>
      <c r="R71" s="158">
        <f>IF(ISNUMBER('Corrected energy balance step 1'!R71),'Corrected energy balance step 1'!R71,0)</f>
        <v>0</v>
      </c>
      <c r="S71" s="158">
        <f>IF(ISNUMBER('Corrected energy balance step 1'!S71),'Corrected energy balance step 1'!S71,0)</f>
        <v>0</v>
      </c>
      <c r="T71" s="158">
        <f>IF(ISNUMBER('Corrected energy balance step 1'!T71),'Corrected energy balance step 1'!T71,0)</f>
        <v>0</v>
      </c>
      <c r="U71" s="158">
        <f>IF(ISNUMBER('Corrected energy balance step 1'!U71),'Corrected energy balance step 1'!U71,0)</f>
        <v>0</v>
      </c>
      <c r="V71" s="158">
        <f>IF(ISNUMBER('Corrected energy balance step 1'!V71),'Corrected energy balance step 1'!V71,0)</f>
        <v>0</v>
      </c>
      <c r="W71" s="158">
        <f>IF(ISNUMBER('Corrected energy balance step 1'!W71),'Corrected energy balance step 1'!W71,0)</f>
        <v>0</v>
      </c>
      <c r="X71" s="158">
        <f>IF(ISNUMBER('Corrected energy balance step 1'!X71),'Corrected energy balance step 1'!X71,0)</f>
        <v>0</v>
      </c>
      <c r="Y71" s="158">
        <f>IF(ISNUMBER('Corrected energy balance step 1'!Y71),'Corrected energy balance step 1'!Y71,0)</f>
        <v>0</v>
      </c>
      <c r="Z71" s="158">
        <f>IF(ISNUMBER('Corrected energy balance step 1'!Z71),'Corrected energy balance step 1'!Z71,0)</f>
        <v>0</v>
      </c>
      <c r="AA71" s="158">
        <f>IF(ISNUMBER('Corrected energy balance step 1'!AA71),'Corrected energy balance step 1'!AA71,0)</f>
        <v>0</v>
      </c>
      <c r="AB71" s="158">
        <f>IF(ISNUMBER('Corrected energy balance step 1'!AB71),'Corrected energy balance step 1'!AB71,0)</f>
        <v>0</v>
      </c>
      <c r="AC71" s="157">
        <f>INDEX('Mobile machinery'!$C$54:$J$77,MATCH('Corrected energy balance step 2'!$B71,'Mobile machinery'!$C$54:$C$77,0),MATCH('Corrected energy balance step 2'!AC$7,'Mobile machinery'!$C$54:$J$54,0))</f>
        <v>0</v>
      </c>
      <c r="AD71" s="158">
        <f>IF(ISNUMBER('Corrected energy balance step 1'!AD71),'Corrected energy balance step 1'!AD71,0)</f>
        <v>0</v>
      </c>
      <c r="AE71" s="158">
        <f>IF(ISNUMBER('Corrected energy balance step 1'!AE71),'Corrected energy balance step 1'!AE71,0)</f>
        <v>0</v>
      </c>
      <c r="AF71" s="158">
        <f>IF(ISNUMBER('Corrected energy balance step 1'!AF71),'Corrected energy balance step 1'!AF71,0)</f>
        <v>0</v>
      </c>
      <c r="AG71" s="158">
        <f>IF(ISNUMBER('Corrected energy balance step 1'!AG71),'Corrected energy balance step 1'!AG71,0)</f>
        <v>0</v>
      </c>
      <c r="AH71" s="157">
        <f>INDEX('Mobile machinery'!$C$54:$J$77,MATCH('Corrected energy balance step 2'!$B71,'Mobile machinery'!$C$54:$C$77,0),MATCH('Corrected energy balance step 2'!AH$7,'Mobile machinery'!$C$54:$J$54,0))</f>
        <v>0</v>
      </c>
      <c r="AI71" s="157">
        <f>INDEX('Mobile machinery'!$C$54:$J$77,MATCH('Corrected energy balance step 2'!$B71,'Mobile machinery'!$C$54:$C$77,0),MATCH('Corrected energy balance step 2'!AI$7,'Mobile machinery'!$C$54:$J$54,0))</f>
        <v>0</v>
      </c>
      <c r="AJ71" s="158">
        <f>IF(ISNUMBER('Corrected energy balance step 1'!AJ71),'Corrected energy balance step 1'!AJ71,0)</f>
        <v>0</v>
      </c>
      <c r="AK71" s="158">
        <f>IF(ISNUMBER('Corrected energy balance step 1'!AK71),'Corrected energy balance step 1'!AK71,0)</f>
        <v>0</v>
      </c>
      <c r="AL71" s="158">
        <f>IF(ISNUMBER('Corrected energy balance step 1'!AL71),'Corrected energy balance step 1'!AL71,0)</f>
        <v>0</v>
      </c>
      <c r="AM71" s="158">
        <f>IF(ISNUMBER('Corrected energy balance step 1'!AM71),'Corrected energy balance step 1'!AM71,0)</f>
        <v>0</v>
      </c>
      <c r="AN71" s="158">
        <f>IF(ISNUMBER('Corrected energy balance step 1'!AN71),'Corrected energy balance step 1'!AN71,0)</f>
        <v>0</v>
      </c>
      <c r="AO71" s="158">
        <f>IF(ISNUMBER('Corrected energy balance step 1'!AO71),'Corrected energy balance step 1'!AO71,0)</f>
        <v>0</v>
      </c>
      <c r="AP71" s="158">
        <f>IF(ISNUMBER('Corrected energy balance step 1'!AP71),'Corrected energy balance step 1'!AP71,0)</f>
        <v>0</v>
      </c>
      <c r="AQ71" s="158">
        <f>IF(ISNUMBER('Corrected energy balance step 1'!AQ71),'Corrected energy balance step 1'!AQ71,0)</f>
        <v>0</v>
      </c>
      <c r="AR71" s="158">
        <f>IF(ISNUMBER('Corrected energy balance step 1'!AR71),'Corrected energy balance step 1'!AR71,0)</f>
        <v>0</v>
      </c>
      <c r="AS71" s="158">
        <f>IF(ISNUMBER('Corrected energy balance step 1'!AS71),'Corrected energy balance step 1'!AS71,0)</f>
        <v>0</v>
      </c>
      <c r="AT71" s="158">
        <f>IF(ISNUMBER('Corrected energy balance step 1'!AT71),'Corrected energy balance step 1'!AT71,0)</f>
        <v>0</v>
      </c>
      <c r="AU71" s="158">
        <f>IF(ISNUMBER('Corrected energy balance step 1'!AU71),'Corrected energy balance step 1'!AU71,0)</f>
        <v>0</v>
      </c>
      <c r="AV71" s="158">
        <f>IF(ISNUMBER('Corrected energy balance step 1'!AV71),'Corrected energy balance step 1'!AV71,0)</f>
        <v>0</v>
      </c>
      <c r="AW71" s="157">
        <f>INDEX('Mobile machinery'!$C$54:$J$77,MATCH('Corrected energy balance step 2'!$B71,'Mobile machinery'!$C$54:$C$77,0),MATCH('Corrected energy balance step 2'!AW$7,'Mobile machinery'!$C$54:$J$54,0))</f>
        <v>0</v>
      </c>
      <c r="AX71" s="157">
        <f>INDEX('Mobile machinery'!$C$54:$J$77,MATCH('Corrected energy balance step 2'!$B71,'Mobile machinery'!$C$54:$C$77,0),MATCH('Corrected energy balance step 2'!AX$7,'Mobile machinery'!$C$54:$J$54,0))</f>
        <v>0</v>
      </c>
      <c r="AY71" s="157">
        <f>INDEX('Mobile machinery'!$C$54:$J$77,MATCH('Corrected energy balance step 2'!$B71,'Mobile machinery'!$C$54:$C$77,0),MATCH('Corrected energy balance step 2'!AY$7,'Mobile machinery'!$C$54:$J$54,0))</f>
        <v>0</v>
      </c>
      <c r="AZ71" s="158">
        <f>IF(ISNUMBER('Corrected energy balance step 1'!AZ71),'Corrected energy balance step 1'!AZ71,0)</f>
        <v>0</v>
      </c>
      <c r="BA71" s="158">
        <f>IF(ISNUMBER('Corrected energy balance step 1'!BA71),'Corrected energy balance step 1'!BA71,0)</f>
        <v>0</v>
      </c>
      <c r="BB71" s="158">
        <f>IF(ISNUMBER('Corrected energy balance step 1'!BB71),'Corrected energy balance step 1'!BB71,0)</f>
        <v>0</v>
      </c>
      <c r="BC71" s="158">
        <f>IF(ISNUMBER('Corrected energy balance step 1'!BC71),'Corrected energy balance step 1'!BC71,0)</f>
        <v>0</v>
      </c>
      <c r="BD71" s="158">
        <f>IF(ISNUMBER('Corrected energy balance step 1'!BD71),'Corrected energy balance step 1'!BD71,0)</f>
        <v>0</v>
      </c>
      <c r="BE71" s="158">
        <f>IF(ISNUMBER('Corrected energy balance step 1'!BE71),'Corrected energy balance step 1'!BE71,0)</f>
        <v>0</v>
      </c>
      <c r="BF71" s="158">
        <f>IF(ISNUMBER('Corrected energy balance step 1'!BF71),'Corrected energy balance step 1'!BF71,0)</f>
        <v>0</v>
      </c>
      <c r="BG71" s="158">
        <f>IF(ISNUMBER('Corrected energy balance step 1'!BG71),'Corrected energy balance step 1'!BG71,0)</f>
        <v>0</v>
      </c>
      <c r="BH71" s="158">
        <f>IF(ISNUMBER('Corrected energy balance step 1'!BH71),'Corrected energy balance step 1'!BH71,0)</f>
        <v>0</v>
      </c>
      <c r="BI71" s="158">
        <f>IF(ISNUMBER('Corrected energy balance step 1'!BI71),'Corrected energy balance step 1'!BI71,0)</f>
        <v>0</v>
      </c>
      <c r="BJ71" s="158">
        <f>IF(ISNUMBER('Corrected energy balance step 1'!BJ71),'Corrected energy balance step 1'!BJ71,0)</f>
        <v>0</v>
      </c>
      <c r="BK71" s="158">
        <f>IF(ISNUMBER('Corrected energy balance step 1'!BK71),'Corrected energy balance step 1'!BK71,0)</f>
        <v>0</v>
      </c>
      <c r="BL71" s="158">
        <f>IF(ISNUMBER('Corrected energy balance step 1'!BL71),'Corrected energy balance step 1'!BL71,0)</f>
        <v>0</v>
      </c>
      <c r="BM71" s="158">
        <f>IF(ISNUMBER('Corrected energy balance step 1'!BM71),'Corrected energy balance step 1'!BM71,0)</f>
        <v>0</v>
      </c>
      <c r="BN71" s="156">
        <f t="shared" si="60"/>
        <v>0</v>
      </c>
      <c r="BO71" s="162">
        <f>'Corrected energy balance step 1'!BO71</f>
        <v>0</v>
      </c>
    </row>
    <row r="72" spans="2:67" x14ac:dyDescent="0.2">
      <c r="B72" s="32" t="s">
        <v>104</v>
      </c>
      <c r="C72" s="158">
        <f>IF(ISNUMBER('Corrected energy balance step 1'!C72),'Corrected energy balance step 1'!C72,0)</f>
        <v>0</v>
      </c>
      <c r="D72" s="158">
        <f>IF(ISNUMBER('Corrected energy balance step 1'!D72),'Corrected energy balance step 1'!D72,0)</f>
        <v>0</v>
      </c>
      <c r="E72" s="158">
        <f>IF(ISNUMBER('Corrected energy balance step 1'!E72),'Corrected energy balance step 1'!E72,0)</f>
        <v>0</v>
      </c>
      <c r="F72" s="158">
        <f>IF(ISNUMBER('Corrected energy balance step 1'!F72),'Corrected energy balance step 1'!F72,0)</f>
        <v>0</v>
      </c>
      <c r="G72" s="158">
        <f>IF(ISNUMBER('Corrected energy balance step 1'!G72),'Corrected energy balance step 1'!G72,0)</f>
        <v>0</v>
      </c>
      <c r="H72" s="158">
        <f>IF(ISNUMBER('Corrected energy balance step 1'!H72),'Corrected energy balance step 1'!H72,0)</f>
        <v>0</v>
      </c>
      <c r="I72" s="158">
        <f>IF(ISNUMBER('Corrected energy balance step 1'!I72),'Corrected energy balance step 1'!I72,0)</f>
        <v>0</v>
      </c>
      <c r="J72" s="158">
        <f>IF(ISNUMBER('Corrected energy balance step 1'!J72),'Corrected energy balance step 1'!J72,0)</f>
        <v>0</v>
      </c>
      <c r="K72" s="158">
        <f>IF(ISNUMBER('Corrected energy balance step 1'!K72),'Corrected energy balance step 1'!K72,0)</f>
        <v>0</v>
      </c>
      <c r="L72" s="158">
        <f>IF(ISNUMBER('Corrected energy balance step 1'!L72),'Corrected energy balance step 1'!L72,0)</f>
        <v>0</v>
      </c>
      <c r="M72" s="158">
        <f>IF(ISNUMBER('Corrected energy balance step 1'!M72),'Corrected energy balance step 1'!M72,0)</f>
        <v>0</v>
      </c>
      <c r="N72" s="158">
        <f>IF(ISNUMBER('Corrected energy balance step 1'!N72),'Corrected energy balance step 1'!N72,0)</f>
        <v>0</v>
      </c>
      <c r="O72" s="158">
        <f>IF(ISNUMBER('Corrected energy balance step 1'!O72),'Corrected energy balance step 1'!O72,0)</f>
        <v>0</v>
      </c>
      <c r="P72" s="158">
        <f>IF(ISNUMBER('Corrected energy balance step 1'!P72),'Corrected energy balance step 1'!P72,0)</f>
        <v>0</v>
      </c>
      <c r="Q72" s="158">
        <f>IF(ISNUMBER('Corrected energy balance step 1'!Q72),'Corrected energy balance step 1'!Q72,0)</f>
        <v>0</v>
      </c>
      <c r="R72" s="158">
        <f>IF(ISNUMBER('Corrected energy balance step 1'!R72),'Corrected energy balance step 1'!R72,0)</f>
        <v>0</v>
      </c>
      <c r="S72" s="158">
        <f>IF(ISNUMBER('Corrected energy balance step 1'!S72),'Corrected energy balance step 1'!S72,0)</f>
        <v>0</v>
      </c>
      <c r="T72" s="158">
        <f>IF(ISNUMBER('Corrected energy balance step 1'!T72),'Corrected energy balance step 1'!T72,0)</f>
        <v>0</v>
      </c>
      <c r="U72" s="158">
        <f>IF(ISNUMBER('Corrected energy balance step 1'!U72),'Corrected energy balance step 1'!U72,0)</f>
        <v>0</v>
      </c>
      <c r="V72" s="158">
        <f>IF(ISNUMBER('Corrected energy balance step 1'!V72),'Corrected energy balance step 1'!V72,0)</f>
        <v>0</v>
      </c>
      <c r="W72" s="158">
        <f>IF(ISNUMBER('Corrected energy balance step 1'!W72),'Corrected energy balance step 1'!W72,0)</f>
        <v>0</v>
      </c>
      <c r="X72" s="158">
        <f>IF(ISNUMBER('Corrected energy balance step 1'!X72),'Corrected energy balance step 1'!X72,0)</f>
        <v>0</v>
      </c>
      <c r="Y72" s="158">
        <f>IF(ISNUMBER('Corrected energy balance step 1'!Y72),'Corrected energy balance step 1'!Y72,0)</f>
        <v>0</v>
      </c>
      <c r="Z72" s="158">
        <f>IF(ISNUMBER('Corrected energy balance step 1'!Z72),'Corrected energy balance step 1'!Z72,0)</f>
        <v>0</v>
      </c>
      <c r="AA72" s="158">
        <f>IF(ISNUMBER('Corrected energy balance step 1'!AA72),'Corrected energy balance step 1'!AA72,0)</f>
        <v>0</v>
      </c>
      <c r="AB72" s="158">
        <f>IF(ISNUMBER('Corrected energy balance step 1'!AB72),'Corrected energy balance step 1'!AB72,0)</f>
        <v>0</v>
      </c>
      <c r="AC72" s="157">
        <f>INDEX('Mobile machinery'!$C$54:$J$77,MATCH('Corrected energy balance step 2'!$B72,'Mobile machinery'!$C$54:$C$77,0),MATCH('Corrected energy balance step 2'!AC$7,'Mobile machinery'!$C$54:$J$54,0))</f>
        <v>0</v>
      </c>
      <c r="AD72" s="158">
        <f>IF(ISNUMBER('Corrected energy balance step 1'!AD72),'Corrected energy balance step 1'!AD72,0)</f>
        <v>0</v>
      </c>
      <c r="AE72" s="158">
        <f>IF(ISNUMBER('Corrected energy balance step 1'!AE72),'Corrected energy balance step 1'!AE72,0)</f>
        <v>0</v>
      </c>
      <c r="AF72" s="158">
        <f>IF(ISNUMBER('Corrected energy balance step 1'!AF72),'Corrected energy balance step 1'!AF72,0)</f>
        <v>0</v>
      </c>
      <c r="AG72" s="158">
        <f>IF(ISNUMBER('Corrected energy balance step 1'!AG72),'Corrected energy balance step 1'!AG72,0)</f>
        <v>0</v>
      </c>
      <c r="AH72" s="157">
        <f>INDEX('Mobile machinery'!$C$54:$J$77,MATCH('Corrected energy balance step 2'!$B72,'Mobile machinery'!$C$54:$C$77,0),MATCH('Corrected energy balance step 2'!AH$7,'Mobile machinery'!$C$54:$J$54,0))</f>
        <v>0</v>
      </c>
      <c r="AI72" s="157">
        <f>INDEX('Mobile machinery'!$C$54:$J$77,MATCH('Corrected energy balance step 2'!$B72,'Mobile machinery'!$C$54:$C$77,0),MATCH('Corrected energy balance step 2'!AI$7,'Mobile machinery'!$C$54:$J$54,0))</f>
        <v>0</v>
      </c>
      <c r="AJ72" s="158">
        <f>IF(ISNUMBER('Corrected energy balance step 1'!AJ72),'Corrected energy balance step 1'!AJ72,0)</f>
        <v>0</v>
      </c>
      <c r="AK72" s="158">
        <f>IF(ISNUMBER('Corrected energy balance step 1'!AK72),'Corrected energy balance step 1'!AK72,0)</f>
        <v>0</v>
      </c>
      <c r="AL72" s="158">
        <f>IF(ISNUMBER('Corrected energy balance step 1'!AL72),'Corrected energy balance step 1'!AL72,0)</f>
        <v>0</v>
      </c>
      <c r="AM72" s="158">
        <f>IF(ISNUMBER('Corrected energy balance step 1'!AM72),'Corrected energy balance step 1'!AM72,0)</f>
        <v>0</v>
      </c>
      <c r="AN72" s="158">
        <f>IF(ISNUMBER('Corrected energy balance step 1'!AN72),'Corrected energy balance step 1'!AN72,0)</f>
        <v>0</v>
      </c>
      <c r="AO72" s="158">
        <f>IF(ISNUMBER('Corrected energy balance step 1'!AO72),'Corrected energy balance step 1'!AO72,0)</f>
        <v>0</v>
      </c>
      <c r="AP72" s="158">
        <f>IF(ISNUMBER('Corrected energy balance step 1'!AP72),'Corrected energy balance step 1'!AP72,0)</f>
        <v>0</v>
      </c>
      <c r="AQ72" s="158">
        <f>IF(ISNUMBER('Corrected energy balance step 1'!AQ72),'Corrected energy balance step 1'!AQ72,0)</f>
        <v>0</v>
      </c>
      <c r="AR72" s="158">
        <f>IF(ISNUMBER('Corrected energy balance step 1'!AR72),'Corrected energy balance step 1'!AR72,0)</f>
        <v>0</v>
      </c>
      <c r="AS72" s="158">
        <f>IF(ISNUMBER('Corrected energy balance step 1'!AS72),'Corrected energy balance step 1'!AS72,0)</f>
        <v>0</v>
      </c>
      <c r="AT72" s="158">
        <f>IF(ISNUMBER('Corrected energy balance step 1'!AT72),'Corrected energy balance step 1'!AT72,0)</f>
        <v>0</v>
      </c>
      <c r="AU72" s="158">
        <f>IF(ISNUMBER('Corrected energy balance step 1'!AU72),'Corrected energy balance step 1'!AU72,0)</f>
        <v>0</v>
      </c>
      <c r="AV72" s="158">
        <f>IF(ISNUMBER('Corrected energy balance step 1'!AV72),'Corrected energy balance step 1'!AV72,0)</f>
        <v>0</v>
      </c>
      <c r="AW72" s="157">
        <f>INDEX('Mobile machinery'!$C$54:$J$77,MATCH('Corrected energy balance step 2'!$B72,'Mobile machinery'!$C$54:$C$77,0),MATCH('Corrected energy balance step 2'!AW$7,'Mobile machinery'!$C$54:$J$54,0))</f>
        <v>0</v>
      </c>
      <c r="AX72" s="157">
        <f>INDEX('Mobile machinery'!$C$54:$J$77,MATCH('Corrected energy balance step 2'!$B72,'Mobile machinery'!$C$54:$C$77,0),MATCH('Corrected energy balance step 2'!AX$7,'Mobile machinery'!$C$54:$J$54,0))</f>
        <v>0</v>
      </c>
      <c r="AY72" s="157">
        <f>INDEX('Mobile machinery'!$C$54:$J$77,MATCH('Corrected energy balance step 2'!$B72,'Mobile machinery'!$C$54:$C$77,0),MATCH('Corrected energy balance step 2'!AY$7,'Mobile machinery'!$C$54:$J$54,0))</f>
        <v>0</v>
      </c>
      <c r="AZ72" s="158">
        <f>IF(ISNUMBER('Corrected energy balance step 1'!AZ72),'Corrected energy balance step 1'!AZ72,0)</f>
        <v>0</v>
      </c>
      <c r="BA72" s="158">
        <f>IF(ISNUMBER('Corrected energy balance step 1'!BA72),'Corrected energy balance step 1'!BA72,0)</f>
        <v>0</v>
      </c>
      <c r="BB72" s="158">
        <f>IF(ISNUMBER('Corrected energy balance step 1'!BB72),'Corrected energy balance step 1'!BB72,0)</f>
        <v>0</v>
      </c>
      <c r="BC72" s="158">
        <f>IF(ISNUMBER('Corrected energy balance step 1'!BC72),'Corrected energy balance step 1'!BC72,0)</f>
        <v>0</v>
      </c>
      <c r="BD72" s="158">
        <f>IF(ISNUMBER('Corrected energy balance step 1'!BD72),'Corrected energy balance step 1'!BD72,0)</f>
        <v>0</v>
      </c>
      <c r="BE72" s="158">
        <f>IF(ISNUMBER('Corrected energy balance step 1'!BE72),'Corrected energy balance step 1'!BE72,0)</f>
        <v>0</v>
      </c>
      <c r="BF72" s="158">
        <f>IF(ISNUMBER('Corrected energy balance step 1'!BF72),'Corrected energy balance step 1'!BF72,0)</f>
        <v>0</v>
      </c>
      <c r="BG72" s="158">
        <f>IF(ISNUMBER('Corrected energy balance step 1'!BG72),'Corrected energy balance step 1'!BG72,0)</f>
        <v>0</v>
      </c>
      <c r="BH72" s="158">
        <f>IF(ISNUMBER('Corrected energy balance step 1'!BH72),'Corrected energy balance step 1'!BH72,0)</f>
        <v>0</v>
      </c>
      <c r="BI72" s="158">
        <f>IF(ISNUMBER('Corrected energy balance step 1'!BI72),'Corrected energy balance step 1'!BI72,0)</f>
        <v>0</v>
      </c>
      <c r="BJ72" s="158">
        <f>IF(ISNUMBER('Corrected energy balance step 1'!BJ72),'Corrected energy balance step 1'!BJ72,0)</f>
        <v>0</v>
      </c>
      <c r="BK72" s="158">
        <f>IF(ISNUMBER('Corrected energy balance step 1'!BK72),'Corrected energy balance step 1'!BK72,0)</f>
        <v>0</v>
      </c>
      <c r="BL72" s="158">
        <f>IF(ISNUMBER('Corrected energy balance step 1'!BL72),'Corrected energy balance step 1'!BL72,0)</f>
        <v>0</v>
      </c>
      <c r="BM72" s="158">
        <f>IF(ISNUMBER('Corrected energy balance step 1'!BM72),'Corrected energy balance step 1'!BM72,0)</f>
        <v>0</v>
      </c>
      <c r="BN72" s="156">
        <f t="shared" si="60"/>
        <v>0</v>
      </c>
      <c r="BO72" s="162">
        <f>'Corrected energy balance step 1'!BO72</f>
        <v>0</v>
      </c>
    </row>
    <row r="73" spans="2:67" ht="17" thickBot="1" x14ac:dyDescent="0.25">
      <c r="B73" s="32" t="s">
        <v>105</v>
      </c>
      <c r="C73" s="158">
        <f>IF(ISNUMBER('Corrected energy balance step 1'!C73),'Corrected energy balance step 1'!C73,0)</f>
        <v>0</v>
      </c>
      <c r="D73" s="158">
        <f>IF(ISNUMBER('Corrected energy balance step 1'!D73),'Corrected energy balance step 1'!D73,0)</f>
        <v>0</v>
      </c>
      <c r="E73" s="158">
        <f>IF(ISNUMBER('Corrected energy balance step 1'!E73),'Corrected energy balance step 1'!E73,0)</f>
        <v>0</v>
      </c>
      <c r="F73" s="158">
        <f>IF(ISNUMBER('Corrected energy balance step 1'!F73),'Corrected energy balance step 1'!F73,0)</f>
        <v>0</v>
      </c>
      <c r="G73" s="158">
        <f>IF(ISNUMBER('Corrected energy balance step 1'!G73),'Corrected energy balance step 1'!G73,0)</f>
        <v>0</v>
      </c>
      <c r="H73" s="158">
        <f>IF(ISNUMBER('Corrected energy balance step 1'!H73),'Corrected energy balance step 1'!H73,0)</f>
        <v>0</v>
      </c>
      <c r="I73" s="158">
        <f>IF(ISNUMBER('Corrected energy balance step 1'!I73),'Corrected energy balance step 1'!I73,0)</f>
        <v>0</v>
      </c>
      <c r="J73" s="158">
        <f>IF(ISNUMBER('Corrected energy balance step 1'!J73),'Corrected energy balance step 1'!J73,0)</f>
        <v>0</v>
      </c>
      <c r="K73" s="158">
        <f>IF(ISNUMBER('Corrected energy balance step 1'!K73),'Corrected energy balance step 1'!K73,0)</f>
        <v>0</v>
      </c>
      <c r="L73" s="158">
        <f>IF(ISNUMBER('Corrected energy balance step 1'!L73),'Corrected energy balance step 1'!L73,0)</f>
        <v>0</v>
      </c>
      <c r="M73" s="158">
        <f>IF(ISNUMBER('Corrected energy balance step 1'!M73),'Corrected energy balance step 1'!M73,0)</f>
        <v>0</v>
      </c>
      <c r="N73" s="158">
        <f>IF(ISNUMBER('Corrected energy balance step 1'!N73),'Corrected energy balance step 1'!N73,0)</f>
        <v>0</v>
      </c>
      <c r="O73" s="158">
        <f>IF(ISNUMBER('Corrected energy balance step 1'!O73),'Corrected energy balance step 1'!O73,0)</f>
        <v>0</v>
      </c>
      <c r="P73" s="158">
        <f>IF(ISNUMBER('Corrected energy balance step 1'!P73),'Corrected energy balance step 1'!P73,0)</f>
        <v>0</v>
      </c>
      <c r="Q73" s="158">
        <f>IF(ISNUMBER('Corrected energy balance step 1'!Q73),'Corrected energy balance step 1'!Q73,0)</f>
        <v>0</v>
      </c>
      <c r="R73" s="158">
        <f>IF(ISNUMBER('Corrected energy balance step 1'!R73),'Corrected energy balance step 1'!R73,0)</f>
        <v>0</v>
      </c>
      <c r="S73" s="158">
        <f>IF(ISNUMBER('Corrected energy balance step 1'!S73),'Corrected energy balance step 1'!S73,0)</f>
        <v>0</v>
      </c>
      <c r="T73" s="158">
        <f>IF(ISNUMBER('Corrected energy balance step 1'!T73),'Corrected energy balance step 1'!T73,0)</f>
        <v>0</v>
      </c>
      <c r="U73" s="158">
        <f>IF(ISNUMBER('Corrected energy balance step 1'!U73),'Corrected energy balance step 1'!U73,0)</f>
        <v>0</v>
      </c>
      <c r="V73" s="158">
        <f>IF(ISNUMBER('Corrected energy balance step 1'!V73),'Corrected energy balance step 1'!V73,0)</f>
        <v>0</v>
      </c>
      <c r="W73" s="158">
        <f>IF(ISNUMBER('Corrected energy balance step 1'!W73),'Corrected energy balance step 1'!W73,0)</f>
        <v>0</v>
      </c>
      <c r="X73" s="158">
        <f>IF(ISNUMBER('Corrected energy balance step 1'!X73),'Corrected energy balance step 1'!X73,0)</f>
        <v>0</v>
      </c>
      <c r="Y73" s="158">
        <f>IF(ISNUMBER('Corrected energy balance step 1'!Y73),'Corrected energy balance step 1'!Y73,0)</f>
        <v>0</v>
      </c>
      <c r="Z73" s="158">
        <f>IF(ISNUMBER('Corrected energy balance step 1'!Z73),'Corrected energy balance step 1'!Z73,0)</f>
        <v>0</v>
      </c>
      <c r="AA73" s="158">
        <f>IF(ISNUMBER('Corrected energy balance step 1'!AA73),'Corrected energy balance step 1'!AA73,0)</f>
        <v>0</v>
      </c>
      <c r="AB73" s="158">
        <f>IF(ISNUMBER('Corrected energy balance step 1'!AB73),'Corrected energy balance step 1'!AB73,0)</f>
        <v>0</v>
      </c>
      <c r="AC73" s="157">
        <f>INDEX('Mobile machinery'!$C$54:$J$77,MATCH('Corrected energy balance step 2'!$B73,'Mobile machinery'!$C$54:$C$77,0),MATCH('Corrected energy balance step 2'!AC$7,'Mobile machinery'!$C$54:$J$54,0))</f>
        <v>0</v>
      </c>
      <c r="AD73" s="158">
        <f>IF(ISNUMBER('Corrected energy balance step 1'!AD73),'Corrected energy balance step 1'!AD73,0)</f>
        <v>0</v>
      </c>
      <c r="AE73" s="158">
        <f>IF(ISNUMBER('Corrected energy balance step 1'!AE73),'Corrected energy balance step 1'!AE73,0)</f>
        <v>0</v>
      </c>
      <c r="AF73" s="158">
        <f>IF(ISNUMBER('Corrected energy balance step 1'!AF73),'Corrected energy balance step 1'!AF73,0)</f>
        <v>0</v>
      </c>
      <c r="AG73" s="158">
        <f>IF(ISNUMBER('Corrected energy balance step 1'!AG73),'Corrected energy balance step 1'!AG73,0)</f>
        <v>0</v>
      </c>
      <c r="AH73" s="157">
        <f>INDEX('Mobile machinery'!$C$54:$J$77,MATCH('Corrected energy balance step 2'!$B73,'Mobile machinery'!$C$54:$C$77,0),MATCH('Corrected energy balance step 2'!AH$7,'Mobile machinery'!$C$54:$J$54,0))</f>
        <v>0</v>
      </c>
      <c r="AI73" s="157">
        <f>INDEX('Mobile machinery'!$C$54:$J$77,MATCH('Corrected energy balance step 2'!$B73,'Mobile machinery'!$C$54:$C$77,0),MATCH('Corrected energy balance step 2'!AI$7,'Mobile machinery'!$C$54:$J$54,0))</f>
        <v>0</v>
      </c>
      <c r="AJ73" s="158">
        <f>IF(ISNUMBER('Corrected energy balance step 1'!AJ73),'Corrected energy balance step 1'!AJ73,0)</f>
        <v>0</v>
      </c>
      <c r="AK73" s="158">
        <f>IF(ISNUMBER('Corrected energy balance step 1'!AK73),'Corrected energy balance step 1'!AK73,0)</f>
        <v>0</v>
      </c>
      <c r="AL73" s="158">
        <f>IF(ISNUMBER('Corrected energy balance step 1'!AL73),'Corrected energy balance step 1'!AL73,0)</f>
        <v>0</v>
      </c>
      <c r="AM73" s="158">
        <f>IF(ISNUMBER('Corrected energy balance step 1'!AM73),'Corrected energy balance step 1'!AM73,0)</f>
        <v>0</v>
      </c>
      <c r="AN73" s="158">
        <f>IF(ISNUMBER('Corrected energy balance step 1'!AN73),'Corrected energy balance step 1'!AN73,0)</f>
        <v>0</v>
      </c>
      <c r="AO73" s="158">
        <f>IF(ISNUMBER('Corrected energy balance step 1'!AO73),'Corrected energy balance step 1'!AO73,0)</f>
        <v>0</v>
      </c>
      <c r="AP73" s="158">
        <f>IF(ISNUMBER('Corrected energy balance step 1'!AP73),'Corrected energy balance step 1'!AP73,0)</f>
        <v>0</v>
      </c>
      <c r="AQ73" s="158">
        <f>IF(ISNUMBER('Corrected energy balance step 1'!AQ73),'Corrected energy balance step 1'!AQ73,0)</f>
        <v>0</v>
      </c>
      <c r="AR73" s="158">
        <f>IF(ISNUMBER('Corrected energy balance step 1'!AR73),'Corrected energy balance step 1'!AR73,0)</f>
        <v>0</v>
      </c>
      <c r="AS73" s="158">
        <f>IF(ISNUMBER('Corrected energy balance step 1'!AS73),'Corrected energy balance step 1'!AS73,0)</f>
        <v>0</v>
      </c>
      <c r="AT73" s="158">
        <f>IF(ISNUMBER('Corrected energy balance step 1'!AT73),'Corrected energy balance step 1'!AT73,0)</f>
        <v>0</v>
      </c>
      <c r="AU73" s="158">
        <f>IF(ISNUMBER('Corrected energy balance step 1'!AU73),'Corrected energy balance step 1'!AU73,0)</f>
        <v>0</v>
      </c>
      <c r="AV73" s="158">
        <f>IF(ISNUMBER('Corrected energy balance step 1'!AV73),'Corrected energy balance step 1'!AV73,0)</f>
        <v>0</v>
      </c>
      <c r="AW73" s="157">
        <f>INDEX('Mobile machinery'!$C$54:$J$77,MATCH('Corrected energy balance step 2'!$B73,'Mobile machinery'!$C$54:$C$77,0),MATCH('Corrected energy balance step 2'!AW$7,'Mobile machinery'!$C$54:$J$54,0))</f>
        <v>0</v>
      </c>
      <c r="AX73" s="157">
        <f>INDEX('Mobile machinery'!$C$54:$J$77,MATCH('Corrected energy balance step 2'!$B73,'Mobile machinery'!$C$54:$C$77,0),MATCH('Corrected energy balance step 2'!AX$7,'Mobile machinery'!$C$54:$J$54,0))</f>
        <v>0</v>
      </c>
      <c r="AY73" s="157">
        <f>INDEX('Mobile machinery'!$C$54:$J$77,MATCH('Corrected energy balance step 2'!$B73,'Mobile machinery'!$C$54:$C$77,0),MATCH('Corrected energy balance step 2'!AY$7,'Mobile machinery'!$C$54:$J$54,0))</f>
        <v>0</v>
      </c>
      <c r="AZ73" s="158">
        <f>IF(ISNUMBER('Corrected energy balance step 1'!AZ73),'Corrected energy balance step 1'!AZ73,0)</f>
        <v>0</v>
      </c>
      <c r="BA73" s="158">
        <f>IF(ISNUMBER('Corrected energy balance step 1'!BA73),'Corrected energy balance step 1'!BA73,0)</f>
        <v>0</v>
      </c>
      <c r="BB73" s="158">
        <f>IF(ISNUMBER('Corrected energy balance step 1'!BB73),'Corrected energy balance step 1'!BB73,0)</f>
        <v>0</v>
      </c>
      <c r="BC73" s="158">
        <f>IF(ISNUMBER('Corrected energy balance step 1'!BC73),'Corrected energy balance step 1'!BC73,0)</f>
        <v>0</v>
      </c>
      <c r="BD73" s="158">
        <f>IF(ISNUMBER('Corrected energy balance step 1'!BD73),'Corrected energy balance step 1'!BD73,0)</f>
        <v>0</v>
      </c>
      <c r="BE73" s="158">
        <f>IF(ISNUMBER('Corrected energy balance step 1'!BE73),'Corrected energy balance step 1'!BE73,0)</f>
        <v>0</v>
      </c>
      <c r="BF73" s="158">
        <f>IF(ISNUMBER('Corrected energy balance step 1'!BF73),'Corrected energy balance step 1'!BF73,0)</f>
        <v>0</v>
      </c>
      <c r="BG73" s="158">
        <f>IF(ISNUMBER('Corrected energy balance step 1'!BG73),'Corrected energy balance step 1'!BG73,0)</f>
        <v>0</v>
      </c>
      <c r="BH73" s="158">
        <f>IF(ISNUMBER('Corrected energy balance step 1'!BH73),'Corrected energy balance step 1'!BH73,0)</f>
        <v>0</v>
      </c>
      <c r="BI73" s="158">
        <f>IF(ISNUMBER('Corrected energy balance step 1'!BI73),'Corrected energy balance step 1'!BI73,0)</f>
        <v>0</v>
      </c>
      <c r="BJ73" s="158">
        <f>IF(ISNUMBER('Corrected energy balance step 1'!BJ73),'Corrected energy balance step 1'!BJ73,0)</f>
        <v>0</v>
      </c>
      <c r="BK73" s="158">
        <f>IF(ISNUMBER('Corrected energy balance step 1'!BK73),'Corrected energy balance step 1'!BK73,0)</f>
        <v>0</v>
      </c>
      <c r="BL73" s="158">
        <f>IF(ISNUMBER('Corrected energy balance step 1'!BL73),'Corrected energy balance step 1'!BL73,0)</f>
        <v>0</v>
      </c>
      <c r="BM73" s="158">
        <f>IF(ISNUMBER('Corrected energy balance step 1'!BM73),'Corrected energy balance step 1'!BM73,0)</f>
        <v>0</v>
      </c>
      <c r="BN73" s="156">
        <f t="shared" si="60"/>
        <v>0</v>
      </c>
      <c r="BO73" s="162">
        <f>'Corrected energy balance step 1'!BO73</f>
        <v>0</v>
      </c>
    </row>
    <row r="74" spans="2:67" ht="17" thickBot="1" x14ac:dyDescent="0.25">
      <c r="B74" s="40" t="s">
        <v>106</v>
      </c>
      <c r="C74" s="163">
        <f>SUM(C75:C80)</f>
        <v>0</v>
      </c>
      <c r="D74" s="163">
        <f t="shared" ref="D74:BM74" si="67">SUM(D75:D80)</f>
        <v>0</v>
      </c>
      <c r="E74" s="163">
        <f t="shared" si="67"/>
        <v>0</v>
      </c>
      <c r="F74" s="163">
        <f t="shared" si="67"/>
        <v>0</v>
      </c>
      <c r="G74" s="163">
        <f t="shared" si="67"/>
        <v>0</v>
      </c>
      <c r="H74" s="163">
        <f t="shared" si="67"/>
        <v>0</v>
      </c>
      <c r="I74" s="163">
        <f t="shared" si="67"/>
        <v>0</v>
      </c>
      <c r="J74" s="163">
        <f t="shared" si="67"/>
        <v>0</v>
      </c>
      <c r="K74" s="163">
        <f t="shared" si="67"/>
        <v>0</v>
      </c>
      <c r="L74" s="163">
        <f t="shared" si="67"/>
        <v>0</v>
      </c>
      <c r="M74" s="163">
        <f t="shared" si="67"/>
        <v>0</v>
      </c>
      <c r="N74" s="163">
        <f t="shared" si="67"/>
        <v>0</v>
      </c>
      <c r="O74" s="163">
        <f t="shared" si="67"/>
        <v>0</v>
      </c>
      <c r="P74" s="163">
        <f t="shared" si="67"/>
        <v>0</v>
      </c>
      <c r="Q74" s="163">
        <f t="shared" si="67"/>
        <v>0</v>
      </c>
      <c r="R74" s="163">
        <f t="shared" si="67"/>
        <v>0</v>
      </c>
      <c r="S74" s="163">
        <f t="shared" si="67"/>
        <v>0</v>
      </c>
      <c r="T74" s="163">
        <f t="shared" si="67"/>
        <v>0</v>
      </c>
      <c r="U74" s="163">
        <f t="shared" si="67"/>
        <v>0</v>
      </c>
      <c r="V74" s="163">
        <f t="shared" si="67"/>
        <v>0</v>
      </c>
      <c r="W74" s="163">
        <f t="shared" si="67"/>
        <v>0</v>
      </c>
      <c r="X74" s="163">
        <f t="shared" si="67"/>
        <v>0</v>
      </c>
      <c r="Y74" s="163">
        <f t="shared" si="67"/>
        <v>0</v>
      </c>
      <c r="Z74" s="163">
        <f t="shared" si="67"/>
        <v>0</v>
      </c>
      <c r="AA74" s="163">
        <f t="shared" si="67"/>
        <v>0</v>
      </c>
      <c r="AB74" s="163">
        <f t="shared" si="67"/>
        <v>0</v>
      </c>
      <c r="AC74" s="163">
        <f t="shared" si="67"/>
        <v>0</v>
      </c>
      <c r="AD74" s="163">
        <f t="shared" si="67"/>
        <v>0</v>
      </c>
      <c r="AE74" s="163">
        <f t="shared" si="67"/>
        <v>0</v>
      </c>
      <c r="AF74" s="163">
        <f t="shared" si="67"/>
        <v>0</v>
      </c>
      <c r="AG74" s="163">
        <f t="shared" si="67"/>
        <v>0</v>
      </c>
      <c r="AH74" s="163">
        <f t="shared" si="67"/>
        <v>0</v>
      </c>
      <c r="AI74" s="163">
        <f t="shared" si="67"/>
        <v>0</v>
      </c>
      <c r="AJ74" s="163">
        <f t="shared" si="67"/>
        <v>0</v>
      </c>
      <c r="AK74" s="163">
        <f t="shared" si="67"/>
        <v>0</v>
      </c>
      <c r="AL74" s="163">
        <f t="shared" si="67"/>
        <v>0</v>
      </c>
      <c r="AM74" s="163">
        <f t="shared" si="67"/>
        <v>0</v>
      </c>
      <c r="AN74" s="163">
        <f t="shared" si="67"/>
        <v>0</v>
      </c>
      <c r="AO74" s="163">
        <f t="shared" si="67"/>
        <v>0</v>
      </c>
      <c r="AP74" s="163">
        <f t="shared" si="67"/>
        <v>0</v>
      </c>
      <c r="AQ74" s="163">
        <f t="shared" ref="AQ74" si="68">SUM(AQ75:AQ80)</f>
        <v>0</v>
      </c>
      <c r="AR74" s="163">
        <f t="shared" si="67"/>
        <v>0</v>
      </c>
      <c r="AS74" s="163">
        <f t="shared" si="67"/>
        <v>0</v>
      </c>
      <c r="AT74" s="163">
        <f t="shared" si="67"/>
        <v>0</v>
      </c>
      <c r="AU74" s="163">
        <f t="shared" si="67"/>
        <v>0</v>
      </c>
      <c r="AV74" s="163">
        <f t="shared" si="67"/>
        <v>0</v>
      </c>
      <c r="AW74" s="163">
        <f t="shared" si="67"/>
        <v>0</v>
      </c>
      <c r="AX74" s="163">
        <f t="shared" ref="AX74:AY74" si="69">SUM(AX75:AX80)</f>
        <v>0</v>
      </c>
      <c r="AY74" s="163">
        <f t="shared" si="69"/>
        <v>0</v>
      </c>
      <c r="AZ74" s="163">
        <f t="shared" si="67"/>
        <v>0</v>
      </c>
      <c r="BA74" s="163">
        <f t="shared" si="67"/>
        <v>0</v>
      </c>
      <c r="BB74" s="163">
        <f t="shared" si="67"/>
        <v>0</v>
      </c>
      <c r="BC74" s="163">
        <f t="shared" si="67"/>
        <v>0</v>
      </c>
      <c r="BD74" s="163">
        <f t="shared" si="67"/>
        <v>0</v>
      </c>
      <c r="BE74" s="163">
        <f t="shared" si="67"/>
        <v>0</v>
      </c>
      <c r="BF74" s="163">
        <f t="shared" si="67"/>
        <v>0</v>
      </c>
      <c r="BG74" s="163">
        <f t="shared" si="67"/>
        <v>0</v>
      </c>
      <c r="BH74" s="163">
        <f t="shared" si="67"/>
        <v>0</v>
      </c>
      <c r="BI74" s="163">
        <f t="shared" si="67"/>
        <v>0</v>
      </c>
      <c r="BJ74" s="163">
        <f t="shared" si="67"/>
        <v>0</v>
      </c>
      <c r="BK74" s="163">
        <f t="shared" si="67"/>
        <v>0</v>
      </c>
      <c r="BL74" s="163">
        <f t="shared" si="67"/>
        <v>0</v>
      </c>
      <c r="BM74" s="163">
        <f t="shared" si="67"/>
        <v>0</v>
      </c>
      <c r="BN74" s="164">
        <f t="shared" si="60"/>
        <v>0</v>
      </c>
      <c r="BO74" s="168">
        <f>'Corrected energy balance step 1'!BO74</f>
        <v>0</v>
      </c>
    </row>
    <row r="75" spans="2:67" x14ac:dyDescent="0.2">
      <c r="B75" s="32" t="s">
        <v>107</v>
      </c>
      <c r="C75" s="158">
        <f>IF(ISNUMBER('Corrected energy balance step 1'!C75),'Corrected energy balance step 1'!C75,0)</f>
        <v>0</v>
      </c>
      <c r="D75" s="158">
        <f>IF(ISNUMBER('Corrected energy balance step 1'!D75),'Corrected energy balance step 1'!D75,0)</f>
        <v>0</v>
      </c>
      <c r="E75" s="158">
        <f>IF(ISNUMBER('Corrected energy balance step 1'!E75),'Corrected energy balance step 1'!E75,0)</f>
        <v>0</v>
      </c>
      <c r="F75" s="158">
        <f>IF(ISNUMBER('Corrected energy balance step 1'!F75),'Corrected energy balance step 1'!F75,0)</f>
        <v>0</v>
      </c>
      <c r="G75" s="158">
        <f>IF(ISNUMBER('Corrected energy balance step 1'!G75),'Corrected energy balance step 1'!G75,0)</f>
        <v>0</v>
      </c>
      <c r="H75" s="158">
        <f>IF(ISNUMBER('Corrected energy balance step 1'!H75),'Corrected energy balance step 1'!H75,0)</f>
        <v>0</v>
      </c>
      <c r="I75" s="158">
        <f>IF(ISNUMBER('Corrected energy balance step 1'!I75),'Corrected energy balance step 1'!I75,0)</f>
        <v>0</v>
      </c>
      <c r="J75" s="158">
        <f>IF(ISNUMBER('Corrected energy balance step 1'!J75),'Corrected energy balance step 1'!J75,0)</f>
        <v>0</v>
      </c>
      <c r="K75" s="158">
        <f>IF(ISNUMBER('Corrected energy balance step 1'!K75),'Corrected energy balance step 1'!K75,0)</f>
        <v>0</v>
      </c>
      <c r="L75" s="158">
        <f>IF(ISNUMBER('Corrected energy balance step 1'!L75),'Corrected energy balance step 1'!L75,0)</f>
        <v>0</v>
      </c>
      <c r="M75" s="158">
        <f>IF(ISNUMBER('Corrected energy balance step 1'!M75),'Corrected energy balance step 1'!M75,0)</f>
        <v>0</v>
      </c>
      <c r="N75" s="158">
        <f>IF(ISNUMBER('Corrected energy balance step 1'!N75),'Corrected energy balance step 1'!N75,0)</f>
        <v>0</v>
      </c>
      <c r="O75" s="158">
        <f>IF(ISNUMBER('Corrected energy balance step 1'!O75),'Corrected energy balance step 1'!O75,0)</f>
        <v>0</v>
      </c>
      <c r="P75" s="158">
        <f>IF(ISNUMBER('Corrected energy balance step 1'!P75),'Corrected energy balance step 1'!P75,0)</f>
        <v>0</v>
      </c>
      <c r="Q75" s="158">
        <f>IF(ISNUMBER('Corrected energy balance step 1'!Q75),'Corrected energy balance step 1'!Q75,0)</f>
        <v>0</v>
      </c>
      <c r="R75" s="158">
        <f>IF(ISNUMBER('Corrected energy balance step 1'!R75),'Corrected energy balance step 1'!R75,0)</f>
        <v>0</v>
      </c>
      <c r="S75" s="158">
        <f>IF(ISNUMBER('Corrected energy balance step 1'!S75),'Corrected energy balance step 1'!S75,0)</f>
        <v>0</v>
      </c>
      <c r="T75" s="158">
        <f>IF(ISNUMBER('Corrected energy balance step 1'!T75),'Corrected energy balance step 1'!T75,0)</f>
        <v>0</v>
      </c>
      <c r="U75" s="158">
        <f>IF(ISNUMBER('Corrected energy balance step 1'!U75),'Corrected energy balance step 1'!U75,0)</f>
        <v>0</v>
      </c>
      <c r="V75" s="158">
        <f>IF(ISNUMBER('Corrected energy balance step 1'!V75),'Corrected energy balance step 1'!V75,0)</f>
        <v>0</v>
      </c>
      <c r="W75" s="158">
        <f>IF(ISNUMBER('Corrected energy balance step 1'!W75),'Corrected energy balance step 1'!W75,0)</f>
        <v>0</v>
      </c>
      <c r="X75" s="158">
        <f>IF(ISNUMBER('Corrected energy balance step 1'!X75),'Corrected energy balance step 1'!X75,0)</f>
        <v>0</v>
      </c>
      <c r="Y75" s="158">
        <f>IF(ISNUMBER('Corrected energy balance step 1'!Y75),'Corrected energy balance step 1'!Y75,0)</f>
        <v>0</v>
      </c>
      <c r="Z75" s="158">
        <f>IF(ISNUMBER('Corrected energy balance step 1'!Z75),'Corrected energy balance step 1'!Z75,0)</f>
        <v>0</v>
      </c>
      <c r="AA75" s="158">
        <f>IF(ISNUMBER('Corrected energy balance step 1'!AA75),'Corrected energy balance step 1'!AA75,0)</f>
        <v>0</v>
      </c>
      <c r="AB75" s="158">
        <f>IF(ISNUMBER('Corrected energy balance step 1'!AB75),'Corrected energy balance step 1'!AB75,0)</f>
        <v>0</v>
      </c>
      <c r="AC75" s="158">
        <f>IF(ISNUMBER('Corrected energy balance step 1'!AC75),'Corrected energy balance step 1'!AC75,0)</f>
        <v>0</v>
      </c>
      <c r="AD75" s="158">
        <f>IF(ISNUMBER('Corrected energy balance step 1'!AD75),'Corrected energy balance step 1'!AD75,0)</f>
        <v>0</v>
      </c>
      <c r="AE75" s="158">
        <f>IF(ISNUMBER('Corrected energy balance step 1'!AE75),'Corrected energy balance step 1'!AE75,0)</f>
        <v>0</v>
      </c>
      <c r="AF75" s="158">
        <f>IF(ISNUMBER('Corrected energy balance step 1'!AF75),'Corrected energy balance step 1'!AF75,0)</f>
        <v>0</v>
      </c>
      <c r="AG75" s="158">
        <f>IF(ISNUMBER('Corrected energy balance step 1'!AG75),'Corrected energy balance step 1'!AG75,0)</f>
        <v>0</v>
      </c>
      <c r="AH75" s="158">
        <f>IF(ISNUMBER('Corrected energy balance step 1'!AH75),'Corrected energy balance step 1'!AH75,0)</f>
        <v>0</v>
      </c>
      <c r="AI75" s="158">
        <f>IF(ISNUMBER('Corrected energy balance step 1'!AI75),'Corrected energy balance step 1'!AI75,0)</f>
        <v>0</v>
      </c>
      <c r="AJ75" s="158">
        <f>IF(ISNUMBER('Corrected energy balance step 1'!AJ75),'Corrected energy balance step 1'!AJ75,0)</f>
        <v>0</v>
      </c>
      <c r="AK75" s="158">
        <f>IF(ISNUMBER('Corrected energy balance step 1'!AK75),'Corrected energy balance step 1'!AK75,0)</f>
        <v>0</v>
      </c>
      <c r="AL75" s="158">
        <f>IF(ISNUMBER('Corrected energy balance step 1'!AL75),'Corrected energy balance step 1'!AL75,0)</f>
        <v>0</v>
      </c>
      <c r="AM75" s="158">
        <f>IF(ISNUMBER('Corrected energy balance step 1'!AM75),'Corrected energy balance step 1'!AM75,0)</f>
        <v>0</v>
      </c>
      <c r="AN75" s="158">
        <f>IF(ISNUMBER('Corrected energy balance step 1'!AN75),'Corrected energy balance step 1'!AN75,0)</f>
        <v>0</v>
      </c>
      <c r="AO75" s="158">
        <f>IF(ISNUMBER('Corrected energy balance step 1'!AO75),'Corrected energy balance step 1'!AO75,0)</f>
        <v>0</v>
      </c>
      <c r="AP75" s="158">
        <f>IF(ISNUMBER('Corrected energy balance step 1'!AP75),'Corrected energy balance step 1'!AP75,0)</f>
        <v>0</v>
      </c>
      <c r="AQ75" s="158">
        <f>IF(ISNUMBER('Corrected energy balance step 1'!AQ75),'Corrected energy balance step 1'!AQ75,0)</f>
        <v>0</v>
      </c>
      <c r="AR75" s="158">
        <f>IF(ISNUMBER('Corrected energy balance step 1'!AR75),'Corrected energy balance step 1'!AR75,0)</f>
        <v>0</v>
      </c>
      <c r="AS75" s="158">
        <f>IF(ISNUMBER('Corrected energy balance step 1'!AS75),'Corrected energy balance step 1'!AS75,0)</f>
        <v>0</v>
      </c>
      <c r="AT75" s="158">
        <f>IF(ISNUMBER('Corrected energy balance step 1'!AT75),'Corrected energy balance step 1'!AT75,0)</f>
        <v>0</v>
      </c>
      <c r="AU75" s="158">
        <f>IF(ISNUMBER('Corrected energy balance step 1'!AU75),'Corrected energy balance step 1'!AU75,0)</f>
        <v>0</v>
      </c>
      <c r="AV75" s="158">
        <f>IF(ISNUMBER('Corrected energy balance step 1'!AV75),'Corrected energy balance step 1'!AV75,0)</f>
        <v>0</v>
      </c>
      <c r="AW75" s="158">
        <f>IF(ISNUMBER('Corrected energy balance step 1'!AW75),'Corrected energy balance step 1'!AW75,0)</f>
        <v>0</v>
      </c>
      <c r="AX75" s="158">
        <f>IF(ISNUMBER('Corrected energy balance step 1'!AX75),'Corrected energy balance step 1'!AX75,0)</f>
        <v>0</v>
      </c>
      <c r="AY75" s="158">
        <f>IF(ISNUMBER('Corrected energy balance step 1'!AY75),'Corrected energy balance step 1'!AY75,0)</f>
        <v>0</v>
      </c>
      <c r="AZ75" s="158">
        <f>IF(ISNUMBER('Corrected energy balance step 1'!AZ75),'Corrected energy balance step 1'!AZ75,0)</f>
        <v>0</v>
      </c>
      <c r="BA75" s="158">
        <f>IF(ISNUMBER('Corrected energy balance step 1'!BA75),'Corrected energy balance step 1'!BA75,0)</f>
        <v>0</v>
      </c>
      <c r="BB75" s="158">
        <f>IF(ISNUMBER('Corrected energy balance step 1'!BB75),'Corrected energy balance step 1'!BB75,0)</f>
        <v>0</v>
      </c>
      <c r="BC75" s="158">
        <f>IF(ISNUMBER('Corrected energy balance step 1'!BC75),'Corrected energy balance step 1'!BC75,0)</f>
        <v>0</v>
      </c>
      <c r="BD75" s="158">
        <f>IF(ISNUMBER('Corrected energy balance step 1'!BD75),'Corrected energy balance step 1'!BD75,0)</f>
        <v>0</v>
      </c>
      <c r="BE75" s="158">
        <f>IF(ISNUMBER('Corrected energy balance step 1'!BE75),'Corrected energy balance step 1'!BE75,0)</f>
        <v>0</v>
      </c>
      <c r="BF75" s="158">
        <f>IF(ISNUMBER('Corrected energy balance step 1'!BF75),'Corrected energy balance step 1'!BF75,0)</f>
        <v>0</v>
      </c>
      <c r="BG75" s="158">
        <f>IF(ISNUMBER('Corrected energy balance step 1'!BG75),'Corrected energy balance step 1'!BG75,0)</f>
        <v>0</v>
      </c>
      <c r="BH75" s="158">
        <f>IF(ISNUMBER('Corrected energy balance step 1'!BH75),'Corrected energy balance step 1'!BH75,0)</f>
        <v>0</v>
      </c>
      <c r="BI75" s="158">
        <f>IF(ISNUMBER('Corrected energy balance step 1'!BI75),'Corrected energy balance step 1'!BI75,0)</f>
        <v>0</v>
      </c>
      <c r="BJ75" s="158">
        <f>IF(ISNUMBER('Corrected energy balance step 1'!BJ75),'Corrected energy balance step 1'!BJ75,0)</f>
        <v>0</v>
      </c>
      <c r="BK75" s="158">
        <f>IF(ISNUMBER('Corrected energy balance step 1'!BK75),'Corrected energy balance step 1'!BK75,0)</f>
        <v>0</v>
      </c>
      <c r="BL75" s="158">
        <f>IF(ISNUMBER('Corrected energy balance step 1'!BL75),'Corrected energy balance step 1'!BL75,0)</f>
        <v>0</v>
      </c>
      <c r="BM75" s="158">
        <f>IF(ISNUMBER('Corrected energy balance step 1'!BM75),'Corrected energy balance step 1'!BM75,0)</f>
        <v>0</v>
      </c>
      <c r="BN75" s="156">
        <f t="shared" si="60"/>
        <v>0</v>
      </c>
      <c r="BO75" s="159">
        <f>'Corrected energy balance step 1'!BO75</f>
        <v>0</v>
      </c>
    </row>
    <row r="76" spans="2:67" x14ac:dyDescent="0.2">
      <c r="B76" s="32" t="s">
        <v>108</v>
      </c>
      <c r="C76" s="158">
        <f>IF(ISNUMBER('Corrected energy balance step 1'!C76),'Corrected energy balance step 1'!C76,0)</f>
        <v>0</v>
      </c>
      <c r="D76" s="158">
        <f>IF(ISNUMBER('Corrected energy balance step 1'!D76),'Corrected energy balance step 1'!D76,0)</f>
        <v>0</v>
      </c>
      <c r="E76" s="158">
        <f>IF(ISNUMBER('Corrected energy balance step 1'!E76),'Corrected energy balance step 1'!E76,0)</f>
        <v>0</v>
      </c>
      <c r="F76" s="158">
        <f>IF(ISNUMBER('Corrected energy balance step 1'!F76),'Corrected energy balance step 1'!F76,0)</f>
        <v>0</v>
      </c>
      <c r="G76" s="158">
        <f>IF(ISNUMBER('Corrected energy balance step 1'!G76),'Corrected energy balance step 1'!G76,0)</f>
        <v>0</v>
      </c>
      <c r="H76" s="158">
        <f>IF(ISNUMBER('Corrected energy balance step 1'!H76),'Corrected energy balance step 1'!H76,0)</f>
        <v>0</v>
      </c>
      <c r="I76" s="158">
        <f>IF(ISNUMBER('Corrected energy balance step 1'!I76),'Corrected energy balance step 1'!I76,0)</f>
        <v>0</v>
      </c>
      <c r="J76" s="158">
        <f>IF(ISNUMBER('Corrected energy balance step 1'!J76),'Corrected energy balance step 1'!J76,0)</f>
        <v>0</v>
      </c>
      <c r="K76" s="158">
        <f>IF(ISNUMBER('Corrected energy balance step 1'!K76),'Corrected energy balance step 1'!K76,0)</f>
        <v>0</v>
      </c>
      <c r="L76" s="158">
        <f>IF(ISNUMBER('Corrected energy balance step 1'!L76),'Corrected energy balance step 1'!L76,0)</f>
        <v>0</v>
      </c>
      <c r="M76" s="158">
        <f>IF(ISNUMBER('Corrected energy balance step 1'!M76),'Corrected energy balance step 1'!M76,0)</f>
        <v>0</v>
      </c>
      <c r="N76" s="158">
        <f>IF(ISNUMBER('Corrected energy balance step 1'!N76),'Corrected energy balance step 1'!N76,0)</f>
        <v>0</v>
      </c>
      <c r="O76" s="158">
        <f>IF(ISNUMBER('Corrected energy balance step 1'!O76),'Corrected energy balance step 1'!O76,0)</f>
        <v>0</v>
      </c>
      <c r="P76" s="158">
        <f>IF(ISNUMBER('Corrected energy balance step 1'!P76),'Corrected energy balance step 1'!P76,0)</f>
        <v>0</v>
      </c>
      <c r="Q76" s="158">
        <f>IF(ISNUMBER('Corrected energy balance step 1'!Q76),'Corrected energy balance step 1'!Q76,0)</f>
        <v>0</v>
      </c>
      <c r="R76" s="158">
        <f>IF(ISNUMBER('Corrected energy balance step 1'!R76),'Corrected energy balance step 1'!R76,0)</f>
        <v>0</v>
      </c>
      <c r="S76" s="158">
        <f>IF(ISNUMBER('Corrected energy balance step 1'!S76),'Corrected energy balance step 1'!S76,0)</f>
        <v>0</v>
      </c>
      <c r="T76" s="158">
        <f>IF(ISNUMBER('Corrected energy balance step 1'!T76),'Corrected energy balance step 1'!T76,0)</f>
        <v>0</v>
      </c>
      <c r="U76" s="158">
        <f>IF(ISNUMBER('Corrected energy balance step 1'!U76),'Corrected energy balance step 1'!U76,0)</f>
        <v>0</v>
      </c>
      <c r="V76" s="158">
        <f>IF(ISNUMBER('Corrected energy balance step 1'!V76),'Corrected energy balance step 1'!V76,0)</f>
        <v>0</v>
      </c>
      <c r="W76" s="158">
        <f>IF(ISNUMBER('Corrected energy balance step 1'!W76),'Corrected energy balance step 1'!W76,0)</f>
        <v>0</v>
      </c>
      <c r="X76" s="158">
        <f>IF(ISNUMBER('Corrected energy balance step 1'!X76),'Corrected energy balance step 1'!X76,0)</f>
        <v>0</v>
      </c>
      <c r="Y76" s="158">
        <f>IF(ISNUMBER('Corrected energy balance step 1'!Y76),'Corrected energy balance step 1'!Y76,0)</f>
        <v>0</v>
      </c>
      <c r="Z76" s="158">
        <f>IF(ISNUMBER('Corrected energy balance step 1'!Z76),'Corrected energy balance step 1'!Z76,0)</f>
        <v>0</v>
      </c>
      <c r="AA76" s="158">
        <f>IF(ISNUMBER('Corrected energy balance step 1'!AA76),'Corrected energy balance step 1'!AA76,0)</f>
        <v>0</v>
      </c>
      <c r="AB76" s="158">
        <f>IF(ISNUMBER('Corrected energy balance step 1'!AB76),'Corrected energy balance step 1'!AB76,0)</f>
        <v>0</v>
      </c>
      <c r="AC76" s="157">
        <f>INDEX('Mobile machinery'!$C$54:$J$77,MATCH('Corrected energy balance step 2'!$B76,'Mobile machinery'!$C$54:$C$77,0),MATCH('Corrected energy balance step 2'!AC$7,'Mobile machinery'!$C$54:$J$54,0))</f>
        <v>0</v>
      </c>
      <c r="AD76" s="158">
        <f>IF(ISNUMBER('Corrected energy balance step 1'!AD76),'Corrected energy balance step 1'!AD76,0)</f>
        <v>0</v>
      </c>
      <c r="AE76" s="158">
        <f>IF(ISNUMBER('Corrected energy balance step 1'!AE76),'Corrected energy balance step 1'!AE76,0)</f>
        <v>0</v>
      </c>
      <c r="AF76" s="158">
        <f>IF(ISNUMBER('Corrected energy balance step 1'!AF76),'Corrected energy balance step 1'!AF76,0)</f>
        <v>0</v>
      </c>
      <c r="AG76" s="158">
        <f>IF(ISNUMBER('Corrected energy balance step 1'!AG76),'Corrected energy balance step 1'!AG76,0)</f>
        <v>0</v>
      </c>
      <c r="AH76" s="157">
        <f>INDEX('Mobile machinery'!$C$54:$J$77,MATCH('Corrected energy balance step 2'!$B76,'Mobile machinery'!$C$54:$C$77,0),MATCH('Corrected energy balance step 2'!AH$7,'Mobile machinery'!$C$54:$J$54,0))</f>
        <v>0</v>
      </c>
      <c r="AI76" s="157">
        <f>INDEX('Mobile machinery'!$C$54:$J$77,MATCH('Corrected energy balance step 2'!$B76,'Mobile machinery'!$C$54:$C$77,0),MATCH('Corrected energy balance step 2'!AI$7,'Mobile machinery'!$C$54:$J$54,0))</f>
        <v>0</v>
      </c>
      <c r="AJ76" s="158">
        <f>IF(ISNUMBER('Corrected energy balance step 1'!AJ76),'Corrected energy balance step 1'!AJ76,0)</f>
        <v>0</v>
      </c>
      <c r="AK76" s="158">
        <f>IF(ISNUMBER('Corrected energy balance step 1'!AK76),'Corrected energy balance step 1'!AK76,0)</f>
        <v>0</v>
      </c>
      <c r="AL76" s="158">
        <f>IF(ISNUMBER('Corrected energy balance step 1'!AL76),'Corrected energy balance step 1'!AL76,0)</f>
        <v>0</v>
      </c>
      <c r="AM76" s="158">
        <f>IF(ISNUMBER('Corrected energy balance step 1'!AM76),'Corrected energy balance step 1'!AM76,0)</f>
        <v>0</v>
      </c>
      <c r="AN76" s="158">
        <f>IF(ISNUMBER('Corrected energy balance step 1'!AN76),'Corrected energy balance step 1'!AN76,0)</f>
        <v>0</v>
      </c>
      <c r="AO76" s="158">
        <f>IF(ISNUMBER('Corrected energy balance step 1'!AO76),'Corrected energy balance step 1'!AO76,0)</f>
        <v>0</v>
      </c>
      <c r="AP76" s="158">
        <f>IF(ISNUMBER('Corrected energy balance step 1'!AP76),'Corrected energy balance step 1'!AP76,0)</f>
        <v>0</v>
      </c>
      <c r="AQ76" s="158">
        <f>IF(ISNUMBER('Corrected energy balance step 1'!AQ76),'Corrected energy balance step 1'!AQ76,0)</f>
        <v>0</v>
      </c>
      <c r="AR76" s="158">
        <f>IF(ISNUMBER('Corrected energy balance step 1'!AR76),'Corrected energy balance step 1'!AR76,0)</f>
        <v>0</v>
      </c>
      <c r="AS76" s="158">
        <f>IF(ISNUMBER('Corrected energy balance step 1'!AS76),'Corrected energy balance step 1'!AS76,0)</f>
        <v>0</v>
      </c>
      <c r="AT76" s="158">
        <f>IF(ISNUMBER('Corrected energy balance step 1'!AT76),'Corrected energy balance step 1'!AT76,0)</f>
        <v>0</v>
      </c>
      <c r="AU76" s="158">
        <f>IF(ISNUMBER('Corrected energy balance step 1'!AU76),'Corrected energy balance step 1'!AU76,0)</f>
        <v>0</v>
      </c>
      <c r="AV76" s="158">
        <f>IF(ISNUMBER('Corrected energy balance step 1'!AV76),'Corrected energy balance step 1'!AV76,0)</f>
        <v>0</v>
      </c>
      <c r="AW76" s="157">
        <f>INDEX('Mobile machinery'!$C$54:$J$77,MATCH('Corrected energy balance step 2'!$B76,'Mobile machinery'!$C$54:$C$77,0),MATCH('Corrected energy balance step 2'!AW$7,'Mobile machinery'!$C$54:$J$54,0))</f>
        <v>0</v>
      </c>
      <c r="AX76" s="157">
        <f>INDEX('Mobile machinery'!$C$54:$J$77,MATCH('Corrected energy balance step 2'!$B76,'Mobile machinery'!$C$54:$C$77,0),MATCH('Corrected energy balance step 2'!AX$7,'Mobile machinery'!$C$54:$J$54,0))</f>
        <v>0</v>
      </c>
      <c r="AY76" s="157">
        <f>INDEX('Mobile machinery'!$C$54:$J$77,MATCH('Corrected energy balance step 2'!$B76,'Mobile machinery'!$C$54:$C$77,0),MATCH('Corrected energy balance step 2'!AY$7,'Mobile machinery'!$C$54:$J$54,0))</f>
        <v>0</v>
      </c>
      <c r="AZ76" s="158">
        <f>IF(ISNUMBER('Corrected energy balance step 1'!AZ76),'Corrected energy balance step 1'!AZ76,0)</f>
        <v>0</v>
      </c>
      <c r="BA76" s="158">
        <f>IF(ISNUMBER('Corrected energy balance step 1'!BA76),'Corrected energy balance step 1'!BA76,0)</f>
        <v>0</v>
      </c>
      <c r="BB76" s="158">
        <f>IF(ISNUMBER('Corrected energy balance step 1'!BB76),'Corrected energy balance step 1'!BB76,0)</f>
        <v>0</v>
      </c>
      <c r="BC76" s="158">
        <f>IF(ISNUMBER('Corrected energy balance step 1'!BC76),'Corrected energy balance step 1'!BC76,0)</f>
        <v>0</v>
      </c>
      <c r="BD76" s="158">
        <f>IF(ISNUMBER('Corrected energy balance step 1'!BD76),'Corrected energy balance step 1'!BD76,0)</f>
        <v>0</v>
      </c>
      <c r="BE76" s="158">
        <f>IF(ISNUMBER('Corrected energy balance step 1'!BE76),'Corrected energy balance step 1'!BE76,0)</f>
        <v>0</v>
      </c>
      <c r="BF76" s="158">
        <f>IF(ISNUMBER('Corrected energy balance step 1'!BF76),'Corrected energy balance step 1'!BF76,0)</f>
        <v>0</v>
      </c>
      <c r="BG76" s="158">
        <f>IF(ISNUMBER('Corrected energy balance step 1'!BG76),'Corrected energy balance step 1'!BG76,0)</f>
        <v>0</v>
      </c>
      <c r="BH76" s="158">
        <f>IF(ISNUMBER('Corrected energy balance step 1'!BH76),'Corrected energy balance step 1'!BH76,0)</f>
        <v>0</v>
      </c>
      <c r="BI76" s="158">
        <f>IF(ISNUMBER('Corrected energy balance step 1'!BI76),'Corrected energy balance step 1'!BI76,0)</f>
        <v>0</v>
      </c>
      <c r="BJ76" s="158">
        <f>IF(ISNUMBER('Corrected energy balance step 1'!BJ76),'Corrected energy balance step 1'!BJ76,0)</f>
        <v>0</v>
      </c>
      <c r="BK76" s="158">
        <f>IF(ISNUMBER('Corrected energy balance step 1'!BK76),'Corrected energy balance step 1'!BK76,0)</f>
        <v>0</v>
      </c>
      <c r="BL76" s="158">
        <f>IF(ISNUMBER('Corrected energy balance step 1'!BL76),'Corrected energy balance step 1'!BL76,0)</f>
        <v>0</v>
      </c>
      <c r="BM76" s="158">
        <f>IF(ISNUMBER('Corrected energy balance step 1'!BM76),'Corrected energy balance step 1'!BM76,0)</f>
        <v>0</v>
      </c>
      <c r="BN76" s="156">
        <f t="shared" si="60"/>
        <v>0</v>
      </c>
      <c r="BO76" s="159">
        <f>'Corrected energy balance step 1'!BO76</f>
        <v>0</v>
      </c>
    </row>
    <row r="77" spans="2:67" x14ac:dyDescent="0.2">
      <c r="B77" s="32" t="s">
        <v>109</v>
      </c>
      <c r="C77" s="158">
        <f>IF(ISNUMBER('Corrected energy balance step 1'!C77),'Corrected energy balance step 1'!C77,0)</f>
        <v>0</v>
      </c>
      <c r="D77" s="158">
        <f>IF(ISNUMBER('Corrected energy balance step 1'!D77),'Corrected energy balance step 1'!D77,0)</f>
        <v>0</v>
      </c>
      <c r="E77" s="158">
        <f>IF(ISNUMBER('Corrected energy balance step 1'!E77),'Corrected energy balance step 1'!E77,0)</f>
        <v>0</v>
      </c>
      <c r="F77" s="158">
        <f>IF(ISNUMBER('Corrected energy balance step 1'!F77),'Corrected energy balance step 1'!F77,0)</f>
        <v>0</v>
      </c>
      <c r="G77" s="158">
        <f>IF(ISNUMBER('Corrected energy balance step 1'!G77),'Corrected energy balance step 1'!G77,0)</f>
        <v>0</v>
      </c>
      <c r="H77" s="158">
        <f>IF(ISNUMBER('Corrected energy balance step 1'!H77),'Corrected energy balance step 1'!H77,0)</f>
        <v>0</v>
      </c>
      <c r="I77" s="158">
        <f>IF(ISNUMBER('Corrected energy balance step 1'!I77),'Corrected energy balance step 1'!I77,0)</f>
        <v>0</v>
      </c>
      <c r="J77" s="158">
        <f>IF(ISNUMBER('Corrected energy balance step 1'!J77),'Corrected energy balance step 1'!J77,0)</f>
        <v>0</v>
      </c>
      <c r="K77" s="158">
        <f>IF(ISNUMBER('Corrected energy balance step 1'!K77),'Corrected energy balance step 1'!K77,0)</f>
        <v>0</v>
      </c>
      <c r="L77" s="158">
        <f>IF(ISNUMBER('Corrected energy balance step 1'!L77),'Corrected energy balance step 1'!L77,0)</f>
        <v>0</v>
      </c>
      <c r="M77" s="158">
        <f>IF(ISNUMBER('Corrected energy balance step 1'!M77),'Corrected energy balance step 1'!M77,0)</f>
        <v>0</v>
      </c>
      <c r="N77" s="158">
        <f>IF(ISNUMBER('Corrected energy balance step 1'!N77),'Corrected energy balance step 1'!N77,0)</f>
        <v>0</v>
      </c>
      <c r="O77" s="158">
        <f>IF(ISNUMBER('Corrected energy balance step 1'!O77),'Corrected energy balance step 1'!O77,0)</f>
        <v>0</v>
      </c>
      <c r="P77" s="158">
        <f>IF(ISNUMBER('Corrected energy balance step 1'!P77),'Corrected energy balance step 1'!P77,0)</f>
        <v>0</v>
      </c>
      <c r="Q77" s="158">
        <f>IF(ISNUMBER('Corrected energy balance step 1'!Q77),'Corrected energy balance step 1'!Q77,0)</f>
        <v>0</v>
      </c>
      <c r="R77" s="158">
        <f>IF(ISNUMBER('Corrected energy balance step 1'!R77),'Corrected energy balance step 1'!R77,0)</f>
        <v>0</v>
      </c>
      <c r="S77" s="158">
        <f>IF(ISNUMBER('Corrected energy balance step 1'!S77),'Corrected energy balance step 1'!S77,0)</f>
        <v>0</v>
      </c>
      <c r="T77" s="158">
        <f>IF(ISNUMBER('Corrected energy balance step 1'!T77),'Corrected energy balance step 1'!T77,0)</f>
        <v>0</v>
      </c>
      <c r="U77" s="158">
        <f>IF(ISNUMBER('Corrected energy balance step 1'!U77),'Corrected energy balance step 1'!U77,0)</f>
        <v>0</v>
      </c>
      <c r="V77" s="158">
        <f>IF(ISNUMBER('Corrected energy balance step 1'!V77),'Corrected energy balance step 1'!V77,0)</f>
        <v>0</v>
      </c>
      <c r="W77" s="158">
        <f>IF(ISNUMBER('Corrected energy balance step 1'!W77),'Corrected energy balance step 1'!W77,0)</f>
        <v>0</v>
      </c>
      <c r="X77" s="158">
        <f>IF(ISNUMBER('Corrected energy balance step 1'!X77),'Corrected energy balance step 1'!X77,0)</f>
        <v>0</v>
      </c>
      <c r="Y77" s="158">
        <f>IF(ISNUMBER('Corrected energy balance step 1'!Y77),'Corrected energy balance step 1'!Y77,0)</f>
        <v>0</v>
      </c>
      <c r="Z77" s="158">
        <f>IF(ISNUMBER('Corrected energy balance step 1'!Z77),'Corrected energy balance step 1'!Z77,0)</f>
        <v>0</v>
      </c>
      <c r="AA77" s="158">
        <f>IF(ISNUMBER('Corrected energy balance step 1'!AA77),'Corrected energy balance step 1'!AA77,0)</f>
        <v>0</v>
      </c>
      <c r="AB77" s="158">
        <f>IF(ISNUMBER('Corrected energy balance step 1'!AB77),'Corrected energy balance step 1'!AB77,0)</f>
        <v>0</v>
      </c>
      <c r="AC77" s="158">
        <f>IF(ISNUMBER('Corrected energy balance step 1'!AC77),'Corrected energy balance step 1'!AC77,0)</f>
        <v>0</v>
      </c>
      <c r="AD77" s="158">
        <f>IF(ISNUMBER('Corrected energy balance step 1'!AD77),'Corrected energy balance step 1'!AD77,0)</f>
        <v>0</v>
      </c>
      <c r="AE77" s="158">
        <f>IF(ISNUMBER('Corrected energy balance step 1'!AE77),'Corrected energy balance step 1'!AE77,0)</f>
        <v>0</v>
      </c>
      <c r="AF77" s="158">
        <f>IF(ISNUMBER('Corrected energy balance step 1'!AF77),'Corrected energy balance step 1'!AF77,0)</f>
        <v>0</v>
      </c>
      <c r="AG77" s="158">
        <f>IF(ISNUMBER('Corrected energy balance step 1'!AG77),'Corrected energy balance step 1'!AG77,0)</f>
        <v>0</v>
      </c>
      <c r="AH77" s="158">
        <f>IF(ISNUMBER('Corrected energy balance step 1'!AH77),'Corrected energy balance step 1'!AH77,0)</f>
        <v>0</v>
      </c>
      <c r="AI77" s="158">
        <f>IF(ISNUMBER('Corrected energy balance step 1'!AI77),'Corrected energy balance step 1'!AI77,0)</f>
        <v>0</v>
      </c>
      <c r="AJ77" s="158">
        <f>IF(ISNUMBER('Corrected energy balance step 1'!AJ77),'Corrected energy balance step 1'!AJ77,0)</f>
        <v>0</v>
      </c>
      <c r="AK77" s="158">
        <f>IF(ISNUMBER('Corrected energy balance step 1'!AK77),'Corrected energy balance step 1'!AK77,0)</f>
        <v>0</v>
      </c>
      <c r="AL77" s="158">
        <f>IF(ISNUMBER('Corrected energy balance step 1'!AL77),'Corrected energy balance step 1'!AL77,0)</f>
        <v>0</v>
      </c>
      <c r="AM77" s="158">
        <f>IF(ISNUMBER('Corrected energy balance step 1'!AM77),'Corrected energy balance step 1'!AM77,0)</f>
        <v>0</v>
      </c>
      <c r="AN77" s="158">
        <f>IF(ISNUMBER('Corrected energy balance step 1'!AN77),'Corrected energy balance step 1'!AN77,0)</f>
        <v>0</v>
      </c>
      <c r="AO77" s="158">
        <f>IF(ISNUMBER('Corrected energy balance step 1'!AO77),'Corrected energy balance step 1'!AO77,0)</f>
        <v>0</v>
      </c>
      <c r="AP77" s="158">
        <f>IF(ISNUMBER('Corrected energy balance step 1'!AP77),'Corrected energy balance step 1'!AP77,0)</f>
        <v>0</v>
      </c>
      <c r="AQ77" s="158">
        <f>IF(ISNUMBER('Corrected energy balance step 1'!AQ77),'Corrected energy balance step 1'!AQ77,0)</f>
        <v>0</v>
      </c>
      <c r="AR77" s="158">
        <f>IF(ISNUMBER('Corrected energy balance step 1'!AR77),'Corrected energy balance step 1'!AR77,0)</f>
        <v>0</v>
      </c>
      <c r="AS77" s="158">
        <f>IF(ISNUMBER('Corrected energy balance step 1'!AS77),'Corrected energy balance step 1'!AS77,0)</f>
        <v>0</v>
      </c>
      <c r="AT77" s="158">
        <f>IF(ISNUMBER('Corrected energy balance step 1'!AT77),'Corrected energy balance step 1'!AT77,0)</f>
        <v>0</v>
      </c>
      <c r="AU77" s="158">
        <f>IF(ISNUMBER('Corrected energy balance step 1'!AU77),'Corrected energy balance step 1'!AU77,0)</f>
        <v>0</v>
      </c>
      <c r="AV77" s="158">
        <f>IF(ISNUMBER('Corrected energy balance step 1'!AV77),'Corrected energy balance step 1'!AV77,0)</f>
        <v>0</v>
      </c>
      <c r="AW77" s="158">
        <f>IF(ISNUMBER('Corrected energy balance step 1'!AW77),'Corrected energy balance step 1'!AW77,0)</f>
        <v>0</v>
      </c>
      <c r="AX77" s="158">
        <f>IF(ISNUMBER('Corrected energy balance step 1'!AX77),'Corrected energy balance step 1'!AX77,0)</f>
        <v>0</v>
      </c>
      <c r="AY77" s="158">
        <f>IF(ISNUMBER('Corrected energy balance step 1'!AY77),'Corrected energy balance step 1'!AY77,0)</f>
        <v>0</v>
      </c>
      <c r="AZ77" s="158">
        <f>IF(ISNUMBER('Corrected energy balance step 1'!AZ77),'Corrected energy balance step 1'!AZ77,0)</f>
        <v>0</v>
      </c>
      <c r="BA77" s="158">
        <f>IF(ISNUMBER('Corrected energy balance step 1'!BA77),'Corrected energy balance step 1'!BA77,0)</f>
        <v>0</v>
      </c>
      <c r="BB77" s="158">
        <f>IF(ISNUMBER('Corrected energy balance step 1'!BB77),'Corrected energy balance step 1'!BB77,0)</f>
        <v>0</v>
      </c>
      <c r="BC77" s="158">
        <f>IF(ISNUMBER('Corrected energy balance step 1'!BC77),'Corrected energy balance step 1'!BC77,0)</f>
        <v>0</v>
      </c>
      <c r="BD77" s="158">
        <f>IF(ISNUMBER('Corrected energy balance step 1'!BD77),'Corrected energy balance step 1'!BD77,0)</f>
        <v>0</v>
      </c>
      <c r="BE77" s="158">
        <f>IF(ISNUMBER('Corrected energy balance step 1'!BE77),'Corrected energy balance step 1'!BE77,0)</f>
        <v>0</v>
      </c>
      <c r="BF77" s="158">
        <f>IF(ISNUMBER('Corrected energy balance step 1'!BF77),'Corrected energy balance step 1'!BF77,0)</f>
        <v>0</v>
      </c>
      <c r="BG77" s="158">
        <f>IF(ISNUMBER('Corrected energy balance step 1'!BG77),'Corrected energy balance step 1'!BG77,0)</f>
        <v>0</v>
      </c>
      <c r="BH77" s="158">
        <f>IF(ISNUMBER('Corrected energy balance step 1'!BH77),'Corrected energy balance step 1'!BH77,0)</f>
        <v>0</v>
      </c>
      <c r="BI77" s="158">
        <f>IF(ISNUMBER('Corrected energy balance step 1'!BI77),'Corrected energy balance step 1'!BI77,0)</f>
        <v>0</v>
      </c>
      <c r="BJ77" s="158">
        <f>IF(ISNUMBER('Corrected energy balance step 1'!BJ77),'Corrected energy balance step 1'!BJ77,0)</f>
        <v>0</v>
      </c>
      <c r="BK77" s="158">
        <f>IF(ISNUMBER('Corrected energy balance step 1'!BK77),'Corrected energy balance step 1'!BK77,0)</f>
        <v>0</v>
      </c>
      <c r="BL77" s="158">
        <f>IF(ISNUMBER('Corrected energy balance step 1'!BL77),'Corrected energy balance step 1'!BL77,0)</f>
        <v>0</v>
      </c>
      <c r="BM77" s="158">
        <f>IF(ISNUMBER('Corrected energy balance step 1'!BM77),'Corrected energy balance step 1'!BM77,0)</f>
        <v>0</v>
      </c>
      <c r="BN77" s="156">
        <f t="shared" si="60"/>
        <v>0</v>
      </c>
      <c r="BO77" s="159">
        <f>'Corrected energy balance step 1'!BO77</f>
        <v>0</v>
      </c>
    </row>
    <row r="78" spans="2:67" x14ac:dyDescent="0.2">
      <c r="B78" s="32" t="s">
        <v>110</v>
      </c>
      <c r="C78" s="158">
        <f>IF(ISNUMBER('Corrected energy balance step 1'!C78),'Corrected energy balance step 1'!C78,0)</f>
        <v>0</v>
      </c>
      <c r="D78" s="158">
        <f>IF(ISNUMBER('Corrected energy balance step 1'!D78),'Corrected energy balance step 1'!D78,0)</f>
        <v>0</v>
      </c>
      <c r="E78" s="158">
        <f>IF(ISNUMBER('Corrected energy balance step 1'!E78),'Corrected energy balance step 1'!E78,0)</f>
        <v>0</v>
      </c>
      <c r="F78" s="158">
        <f>IF(ISNUMBER('Corrected energy balance step 1'!F78),'Corrected energy balance step 1'!F78,0)</f>
        <v>0</v>
      </c>
      <c r="G78" s="158">
        <f>IF(ISNUMBER('Corrected energy balance step 1'!G78),'Corrected energy balance step 1'!G78,0)</f>
        <v>0</v>
      </c>
      <c r="H78" s="158">
        <f>IF(ISNUMBER('Corrected energy balance step 1'!H78),'Corrected energy balance step 1'!H78,0)</f>
        <v>0</v>
      </c>
      <c r="I78" s="158">
        <f>IF(ISNUMBER('Corrected energy balance step 1'!I78),'Corrected energy balance step 1'!I78,0)</f>
        <v>0</v>
      </c>
      <c r="J78" s="158">
        <f>IF(ISNUMBER('Corrected energy balance step 1'!J78),'Corrected energy balance step 1'!J78,0)</f>
        <v>0</v>
      </c>
      <c r="K78" s="158">
        <f>IF(ISNUMBER('Corrected energy balance step 1'!K78),'Corrected energy balance step 1'!K78,0)</f>
        <v>0</v>
      </c>
      <c r="L78" s="158">
        <f>IF(ISNUMBER('Corrected energy balance step 1'!L78),'Corrected energy balance step 1'!L78,0)</f>
        <v>0</v>
      </c>
      <c r="M78" s="158">
        <f>IF(ISNUMBER('Corrected energy balance step 1'!M78),'Corrected energy balance step 1'!M78,0)</f>
        <v>0</v>
      </c>
      <c r="N78" s="158">
        <f>IF(ISNUMBER('Corrected energy balance step 1'!N78),'Corrected energy balance step 1'!N78,0)</f>
        <v>0</v>
      </c>
      <c r="O78" s="158">
        <f>IF(ISNUMBER('Corrected energy balance step 1'!O78),'Corrected energy balance step 1'!O78,0)</f>
        <v>0</v>
      </c>
      <c r="P78" s="158">
        <f>IF(ISNUMBER('Corrected energy balance step 1'!P78),'Corrected energy balance step 1'!P78,0)</f>
        <v>0</v>
      </c>
      <c r="Q78" s="158">
        <f>IF(ISNUMBER('Corrected energy balance step 1'!Q78),'Corrected energy balance step 1'!Q78,0)</f>
        <v>0</v>
      </c>
      <c r="R78" s="158">
        <f>IF(ISNUMBER('Corrected energy balance step 1'!R78),'Corrected energy balance step 1'!R78,0)</f>
        <v>0</v>
      </c>
      <c r="S78" s="158">
        <f>IF(ISNUMBER('Corrected energy balance step 1'!S78),'Corrected energy balance step 1'!S78,0)</f>
        <v>0</v>
      </c>
      <c r="T78" s="158">
        <f>IF(ISNUMBER('Corrected energy balance step 1'!T78),'Corrected energy balance step 1'!T78,0)</f>
        <v>0</v>
      </c>
      <c r="U78" s="158">
        <f>IF(ISNUMBER('Corrected energy balance step 1'!U78),'Corrected energy balance step 1'!U78,0)</f>
        <v>0</v>
      </c>
      <c r="V78" s="158">
        <f>IF(ISNUMBER('Corrected energy balance step 1'!V78),'Corrected energy balance step 1'!V78,0)</f>
        <v>0</v>
      </c>
      <c r="W78" s="158">
        <f>IF(ISNUMBER('Corrected energy balance step 1'!W78),'Corrected energy balance step 1'!W78,0)</f>
        <v>0</v>
      </c>
      <c r="X78" s="158">
        <f>IF(ISNUMBER('Corrected energy balance step 1'!X78),'Corrected energy balance step 1'!X78,0)</f>
        <v>0</v>
      </c>
      <c r="Y78" s="158">
        <f>IF(ISNUMBER('Corrected energy balance step 1'!Y78),'Corrected energy balance step 1'!Y78,0)</f>
        <v>0</v>
      </c>
      <c r="Z78" s="158">
        <f>IF(ISNUMBER('Corrected energy balance step 1'!Z78),'Corrected energy balance step 1'!Z78,0)</f>
        <v>0</v>
      </c>
      <c r="AA78" s="158">
        <f>IF(ISNUMBER('Corrected energy balance step 1'!AA78),'Corrected energy balance step 1'!AA78,0)</f>
        <v>0</v>
      </c>
      <c r="AB78" s="158">
        <f>IF(ISNUMBER('Corrected energy balance step 1'!AB78),'Corrected energy balance step 1'!AB78,0)</f>
        <v>0</v>
      </c>
      <c r="AC78" s="158">
        <f>IF(ISNUMBER('Corrected energy balance step 1'!AC78),'Corrected energy balance step 1'!AC78,0)</f>
        <v>0</v>
      </c>
      <c r="AD78" s="158">
        <f>IF(ISNUMBER('Corrected energy balance step 1'!AD78),'Corrected energy balance step 1'!AD78,0)</f>
        <v>0</v>
      </c>
      <c r="AE78" s="158">
        <f>IF(ISNUMBER('Corrected energy balance step 1'!AE78),'Corrected energy balance step 1'!AE78,0)</f>
        <v>0</v>
      </c>
      <c r="AF78" s="158">
        <f>IF(ISNUMBER('Corrected energy balance step 1'!AF78),'Corrected energy balance step 1'!AF78,0)</f>
        <v>0</v>
      </c>
      <c r="AG78" s="158">
        <f>IF(ISNUMBER('Corrected energy balance step 1'!AG78),'Corrected energy balance step 1'!AG78,0)</f>
        <v>0</v>
      </c>
      <c r="AH78" s="158">
        <f>IF(ISNUMBER('Corrected energy balance step 1'!AH78),'Corrected energy balance step 1'!AH78,0)</f>
        <v>0</v>
      </c>
      <c r="AI78" s="158">
        <f>IF(ISNUMBER('Corrected energy balance step 1'!AI78),'Corrected energy balance step 1'!AI78,0)</f>
        <v>0</v>
      </c>
      <c r="AJ78" s="158">
        <f>IF(ISNUMBER('Corrected energy balance step 1'!AJ78),'Corrected energy balance step 1'!AJ78,0)</f>
        <v>0</v>
      </c>
      <c r="AK78" s="158">
        <f>IF(ISNUMBER('Corrected energy balance step 1'!AK78),'Corrected energy balance step 1'!AK78,0)</f>
        <v>0</v>
      </c>
      <c r="AL78" s="158">
        <f>IF(ISNUMBER('Corrected energy balance step 1'!AL78),'Corrected energy balance step 1'!AL78,0)</f>
        <v>0</v>
      </c>
      <c r="AM78" s="158">
        <f>IF(ISNUMBER('Corrected energy balance step 1'!AM78),'Corrected energy balance step 1'!AM78,0)</f>
        <v>0</v>
      </c>
      <c r="AN78" s="158">
        <f>IF(ISNUMBER('Corrected energy balance step 1'!AN78),'Corrected energy balance step 1'!AN78,0)</f>
        <v>0</v>
      </c>
      <c r="AO78" s="158">
        <f>IF(ISNUMBER('Corrected energy balance step 1'!AO78),'Corrected energy balance step 1'!AO78,0)</f>
        <v>0</v>
      </c>
      <c r="AP78" s="158">
        <f>IF(ISNUMBER('Corrected energy balance step 1'!AP78),'Corrected energy balance step 1'!AP78,0)</f>
        <v>0</v>
      </c>
      <c r="AQ78" s="158">
        <f>IF(ISNUMBER('Corrected energy balance step 1'!AQ78),'Corrected energy balance step 1'!AQ78,0)</f>
        <v>0</v>
      </c>
      <c r="AR78" s="158">
        <f>IF(ISNUMBER('Corrected energy balance step 1'!AR78),'Corrected energy balance step 1'!AR78,0)</f>
        <v>0</v>
      </c>
      <c r="AS78" s="158">
        <f>IF(ISNUMBER('Corrected energy balance step 1'!AS78),'Corrected energy balance step 1'!AS78,0)</f>
        <v>0</v>
      </c>
      <c r="AT78" s="158">
        <f>IF(ISNUMBER('Corrected energy balance step 1'!AT78),'Corrected energy balance step 1'!AT78,0)</f>
        <v>0</v>
      </c>
      <c r="AU78" s="158">
        <f>IF(ISNUMBER('Corrected energy balance step 1'!AU78),'Corrected energy balance step 1'!AU78,0)</f>
        <v>0</v>
      </c>
      <c r="AV78" s="158">
        <f>IF(ISNUMBER('Corrected energy balance step 1'!AV78),'Corrected energy balance step 1'!AV78,0)</f>
        <v>0</v>
      </c>
      <c r="AW78" s="158">
        <f>IF(ISNUMBER('Corrected energy balance step 1'!AW78),'Corrected energy balance step 1'!AW78,0)</f>
        <v>0</v>
      </c>
      <c r="AX78" s="158">
        <f>IF(ISNUMBER('Corrected energy balance step 1'!AX78),'Corrected energy balance step 1'!AX78,0)</f>
        <v>0</v>
      </c>
      <c r="AY78" s="158">
        <f>IF(ISNUMBER('Corrected energy balance step 1'!AY78),'Corrected energy balance step 1'!AY78,0)</f>
        <v>0</v>
      </c>
      <c r="AZ78" s="158">
        <f>IF(ISNUMBER('Corrected energy balance step 1'!AZ78),'Corrected energy balance step 1'!AZ78,0)</f>
        <v>0</v>
      </c>
      <c r="BA78" s="158">
        <f>IF(ISNUMBER('Corrected energy balance step 1'!BA78),'Corrected energy balance step 1'!BA78,0)</f>
        <v>0</v>
      </c>
      <c r="BB78" s="158">
        <f>IF(ISNUMBER('Corrected energy balance step 1'!BB78),'Corrected energy balance step 1'!BB78,0)</f>
        <v>0</v>
      </c>
      <c r="BC78" s="158">
        <f>IF(ISNUMBER('Corrected energy balance step 1'!BC78),'Corrected energy balance step 1'!BC78,0)</f>
        <v>0</v>
      </c>
      <c r="BD78" s="158">
        <f>IF(ISNUMBER('Corrected energy balance step 1'!BD78),'Corrected energy balance step 1'!BD78,0)</f>
        <v>0</v>
      </c>
      <c r="BE78" s="158">
        <f>IF(ISNUMBER('Corrected energy balance step 1'!BE78),'Corrected energy balance step 1'!BE78,0)</f>
        <v>0</v>
      </c>
      <c r="BF78" s="158">
        <f>IF(ISNUMBER('Corrected energy balance step 1'!BF78),'Corrected energy balance step 1'!BF78,0)</f>
        <v>0</v>
      </c>
      <c r="BG78" s="158">
        <f>IF(ISNUMBER('Corrected energy balance step 1'!BG78),'Corrected energy balance step 1'!BG78,0)</f>
        <v>0</v>
      </c>
      <c r="BH78" s="158">
        <f>IF(ISNUMBER('Corrected energy balance step 1'!BH78),'Corrected energy balance step 1'!BH78,0)</f>
        <v>0</v>
      </c>
      <c r="BI78" s="158">
        <f>IF(ISNUMBER('Corrected energy balance step 1'!BI78),'Corrected energy balance step 1'!BI78,0)</f>
        <v>0</v>
      </c>
      <c r="BJ78" s="158">
        <f>IF(ISNUMBER('Corrected energy balance step 1'!BJ78),'Corrected energy balance step 1'!BJ78,0)</f>
        <v>0</v>
      </c>
      <c r="BK78" s="158">
        <f>IF(ISNUMBER('Corrected energy balance step 1'!BK78),'Corrected energy balance step 1'!BK78,0)</f>
        <v>0</v>
      </c>
      <c r="BL78" s="158">
        <f>IF(ISNUMBER('Corrected energy balance step 1'!BL78),'Corrected energy balance step 1'!BL78,0)</f>
        <v>0</v>
      </c>
      <c r="BM78" s="158">
        <f>IF(ISNUMBER('Corrected energy balance step 1'!BM78),'Corrected energy balance step 1'!BM78,0)</f>
        <v>0</v>
      </c>
      <c r="BN78" s="156">
        <f t="shared" si="60"/>
        <v>0</v>
      </c>
      <c r="BO78" s="159">
        <f>'Corrected energy balance step 1'!BO78</f>
        <v>0</v>
      </c>
    </row>
    <row r="79" spans="2:67" x14ac:dyDescent="0.2">
      <c r="B79" s="32" t="s">
        <v>111</v>
      </c>
      <c r="C79" s="158">
        <f>IF(ISNUMBER('Corrected energy balance step 1'!C79),'Corrected energy balance step 1'!C79,0)</f>
        <v>0</v>
      </c>
      <c r="D79" s="158">
        <f>IF(ISNUMBER('Corrected energy balance step 1'!D79),'Corrected energy balance step 1'!D79,0)</f>
        <v>0</v>
      </c>
      <c r="E79" s="158">
        <f>IF(ISNUMBER('Corrected energy balance step 1'!E79),'Corrected energy balance step 1'!E79,0)</f>
        <v>0</v>
      </c>
      <c r="F79" s="158">
        <f>IF(ISNUMBER('Corrected energy balance step 1'!F79),'Corrected energy balance step 1'!F79,0)</f>
        <v>0</v>
      </c>
      <c r="G79" s="158">
        <f>IF(ISNUMBER('Corrected energy balance step 1'!G79),'Corrected energy balance step 1'!G79,0)</f>
        <v>0</v>
      </c>
      <c r="H79" s="158">
        <f>IF(ISNUMBER('Corrected energy balance step 1'!H79),'Corrected energy balance step 1'!H79,0)</f>
        <v>0</v>
      </c>
      <c r="I79" s="158">
        <f>IF(ISNUMBER('Corrected energy balance step 1'!I79),'Corrected energy balance step 1'!I79,0)</f>
        <v>0</v>
      </c>
      <c r="J79" s="158">
        <f>IF(ISNUMBER('Corrected energy balance step 1'!J79),'Corrected energy balance step 1'!J79,0)</f>
        <v>0</v>
      </c>
      <c r="K79" s="158">
        <f>IF(ISNUMBER('Corrected energy balance step 1'!K79),'Corrected energy balance step 1'!K79,0)</f>
        <v>0</v>
      </c>
      <c r="L79" s="158">
        <f>IF(ISNUMBER('Corrected energy balance step 1'!L79),'Corrected energy balance step 1'!L79,0)</f>
        <v>0</v>
      </c>
      <c r="M79" s="158">
        <f>IF(ISNUMBER('Corrected energy balance step 1'!M79),'Corrected energy balance step 1'!M79,0)</f>
        <v>0</v>
      </c>
      <c r="N79" s="158">
        <f>IF(ISNUMBER('Corrected energy balance step 1'!N79),'Corrected energy balance step 1'!N79,0)</f>
        <v>0</v>
      </c>
      <c r="O79" s="158">
        <f>IF(ISNUMBER('Corrected energy balance step 1'!O79),'Corrected energy balance step 1'!O79,0)</f>
        <v>0</v>
      </c>
      <c r="P79" s="158">
        <f>IF(ISNUMBER('Corrected energy balance step 1'!P79),'Corrected energy balance step 1'!P79,0)</f>
        <v>0</v>
      </c>
      <c r="Q79" s="158">
        <f>IF(ISNUMBER('Corrected energy balance step 1'!Q79),'Corrected energy balance step 1'!Q79,0)</f>
        <v>0</v>
      </c>
      <c r="R79" s="158">
        <f>IF(ISNUMBER('Corrected energy balance step 1'!R79),'Corrected energy balance step 1'!R79,0)</f>
        <v>0</v>
      </c>
      <c r="S79" s="158">
        <f>IF(ISNUMBER('Corrected energy balance step 1'!S79),'Corrected energy balance step 1'!S79,0)</f>
        <v>0</v>
      </c>
      <c r="T79" s="158">
        <f>IF(ISNUMBER('Corrected energy balance step 1'!T79),'Corrected energy balance step 1'!T79,0)</f>
        <v>0</v>
      </c>
      <c r="U79" s="158">
        <f>IF(ISNUMBER('Corrected energy balance step 1'!U79),'Corrected energy balance step 1'!U79,0)</f>
        <v>0</v>
      </c>
      <c r="V79" s="158">
        <f>IF(ISNUMBER('Corrected energy balance step 1'!V79),'Corrected energy balance step 1'!V79,0)</f>
        <v>0</v>
      </c>
      <c r="W79" s="158">
        <f>IF(ISNUMBER('Corrected energy balance step 1'!W79),'Corrected energy balance step 1'!W79,0)</f>
        <v>0</v>
      </c>
      <c r="X79" s="158">
        <f>IF(ISNUMBER('Corrected energy balance step 1'!X79),'Corrected energy balance step 1'!X79,0)</f>
        <v>0</v>
      </c>
      <c r="Y79" s="158">
        <f>IF(ISNUMBER('Corrected energy balance step 1'!Y79),'Corrected energy balance step 1'!Y79,0)</f>
        <v>0</v>
      </c>
      <c r="Z79" s="158">
        <f>IF(ISNUMBER('Corrected energy balance step 1'!Z79),'Corrected energy balance step 1'!Z79,0)</f>
        <v>0</v>
      </c>
      <c r="AA79" s="158">
        <f>IF(ISNUMBER('Corrected energy balance step 1'!AA79),'Corrected energy balance step 1'!AA79,0)</f>
        <v>0</v>
      </c>
      <c r="AB79" s="158">
        <f>IF(ISNUMBER('Corrected energy balance step 1'!AB79),'Corrected energy balance step 1'!AB79,0)</f>
        <v>0</v>
      </c>
      <c r="AC79" s="158">
        <f>IF(ISNUMBER('Corrected energy balance step 1'!AC79),'Corrected energy balance step 1'!AC79,0)</f>
        <v>0</v>
      </c>
      <c r="AD79" s="158">
        <f>IF(ISNUMBER('Corrected energy balance step 1'!AD79),'Corrected energy balance step 1'!AD79,0)</f>
        <v>0</v>
      </c>
      <c r="AE79" s="158">
        <f>IF(ISNUMBER('Corrected energy balance step 1'!AE79),'Corrected energy balance step 1'!AE79,0)</f>
        <v>0</v>
      </c>
      <c r="AF79" s="158">
        <f>IF(ISNUMBER('Corrected energy balance step 1'!AF79),'Corrected energy balance step 1'!AF79,0)</f>
        <v>0</v>
      </c>
      <c r="AG79" s="158">
        <f>IF(ISNUMBER('Corrected energy balance step 1'!AG79),'Corrected energy balance step 1'!AG79,0)</f>
        <v>0</v>
      </c>
      <c r="AH79" s="158">
        <f>IF(ISNUMBER('Corrected energy balance step 1'!AH79),'Corrected energy balance step 1'!AH79,0)</f>
        <v>0</v>
      </c>
      <c r="AI79" s="158">
        <f>IF(ISNUMBER('Corrected energy balance step 1'!AI79),'Corrected energy balance step 1'!AI79,0)</f>
        <v>0</v>
      </c>
      <c r="AJ79" s="158">
        <f>IF(ISNUMBER('Corrected energy balance step 1'!AJ79),'Corrected energy balance step 1'!AJ79,0)</f>
        <v>0</v>
      </c>
      <c r="AK79" s="158">
        <f>IF(ISNUMBER('Corrected energy balance step 1'!AK79),'Corrected energy balance step 1'!AK79,0)</f>
        <v>0</v>
      </c>
      <c r="AL79" s="158">
        <f>IF(ISNUMBER('Corrected energy balance step 1'!AL79),'Corrected energy balance step 1'!AL79,0)</f>
        <v>0</v>
      </c>
      <c r="AM79" s="158">
        <f>IF(ISNUMBER('Corrected energy balance step 1'!AM79),'Corrected energy balance step 1'!AM79,0)</f>
        <v>0</v>
      </c>
      <c r="AN79" s="158">
        <f>IF(ISNUMBER('Corrected energy balance step 1'!AN79),'Corrected energy balance step 1'!AN79,0)</f>
        <v>0</v>
      </c>
      <c r="AO79" s="158">
        <f>IF(ISNUMBER('Corrected energy balance step 1'!AO79),'Corrected energy balance step 1'!AO79,0)</f>
        <v>0</v>
      </c>
      <c r="AP79" s="158">
        <f>IF(ISNUMBER('Corrected energy balance step 1'!AP79),'Corrected energy balance step 1'!AP79,0)</f>
        <v>0</v>
      </c>
      <c r="AQ79" s="158">
        <f>IF(ISNUMBER('Corrected energy balance step 1'!AQ79),'Corrected energy balance step 1'!AQ79,0)</f>
        <v>0</v>
      </c>
      <c r="AR79" s="158">
        <f>IF(ISNUMBER('Corrected energy balance step 1'!AR79),'Corrected energy balance step 1'!AR79,0)</f>
        <v>0</v>
      </c>
      <c r="AS79" s="158">
        <f>IF(ISNUMBER('Corrected energy balance step 1'!AS79),'Corrected energy balance step 1'!AS79,0)</f>
        <v>0</v>
      </c>
      <c r="AT79" s="158">
        <f>IF(ISNUMBER('Corrected energy balance step 1'!AT79),'Corrected energy balance step 1'!AT79,0)</f>
        <v>0</v>
      </c>
      <c r="AU79" s="158">
        <f>IF(ISNUMBER('Corrected energy balance step 1'!AU79),'Corrected energy balance step 1'!AU79,0)</f>
        <v>0</v>
      </c>
      <c r="AV79" s="158">
        <f>IF(ISNUMBER('Corrected energy balance step 1'!AV79),'Corrected energy balance step 1'!AV79,0)</f>
        <v>0</v>
      </c>
      <c r="AW79" s="158">
        <f>IF(ISNUMBER('Corrected energy balance step 1'!AW79),'Corrected energy balance step 1'!AW79,0)</f>
        <v>0</v>
      </c>
      <c r="AX79" s="158">
        <f>IF(ISNUMBER('Corrected energy balance step 1'!AX79),'Corrected energy balance step 1'!AX79,0)</f>
        <v>0</v>
      </c>
      <c r="AY79" s="158">
        <f>IF(ISNUMBER('Corrected energy balance step 1'!AY79),'Corrected energy balance step 1'!AY79,0)</f>
        <v>0</v>
      </c>
      <c r="AZ79" s="158">
        <f>IF(ISNUMBER('Corrected energy balance step 1'!AZ79),'Corrected energy balance step 1'!AZ79,0)</f>
        <v>0</v>
      </c>
      <c r="BA79" s="158">
        <f>IF(ISNUMBER('Corrected energy balance step 1'!BA79),'Corrected energy balance step 1'!BA79,0)</f>
        <v>0</v>
      </c>
      <c r="BB79" s="158">
        <f>IF(ISNUMBER('Corrected energy balance step 1'!BB79),'Corrected energy balance step 1'!BB79,0)</f>
        <v>0</v>
      </c>
      <c r="BC79" s="158">
        <f>IF(ISNUMBER('Corrected energy balance step 1'!BC79),'Corrected energy balance step 1'!BC79,0)</f>
        <v>0</v>
      </c>
      <c r="BD79" s="158">
        <f>IF(ISNUMBER('Corrected energy balance step 1'!BD79),'Corrected energy balance step 1'!BD79,0)</f>
        <v>0</v>
      </c>
      <c r="BE79" s="158">
        <f>IF(ISNUMBER('Corrected energy balance step 1'!BE79),'Corrected energy balance step 1'!BE79,0)</f>
        <v>0</v>
      </c>
      <c r="BF79" s="158">
        <f>IF(ISNUMBER('Corrected energy balance step 1'!BF79),'Corrected energy balance step 1'!BF79,0)</f>
        <v>0</v>
      </c>
      <c r="BG79" s="158">
        <f>IF(ISNUMBER('Corrected energy balance step 1'!BG79),'Corrected energy balance step 1'!BG79,0)</f>
        <v>0</v>
      </c>
      <c r="BH79" s="158">
        <f>IF(ISNUMBER('Corrected energy balance step 1'!BH79),'Corrected energy balance step 1'!BH79,0)</f>
        <v>0</v>
      </c>
      <c r="BI79" s="158">
        <f>IF(ISNUMBER('Corrected energy balance step 1'!BI79),'Corrected energy balance step 1'!BI79,0)</f>
        <v>0</v>
      </c>
      <c r="BJ79" s="158">
        <f>IF(ISNUMBER('Corrected energy balance step 1'!BJ79),'Corrected energy balance step 1'!BJ79,0)</f>
        <v>0</v>
      </c>
      <c r="BK79" s="158">
        <f>IF(ISNUMBER('Corrected energy balance step 1'!BK79),'Corrected energy balance step 1'!BK79,0)</f>
        <v>0</v>
      </c>
      <c r="BL79" s="158">
        <f>IF(ISNUMBER('Corrected energy balance step 1'!BL79),'Corrected energy balance step 1'!BL79,0)</f>
        <v>0</v>
      </c>
      <c r="BM79" s="158">
        <f>IF(ISNUMBER('Corrected energy balance step 1'!BM79),'Corrected energy balance step 1'!BM79,0)</f>
        <v>0</v>
      </c>
      <c r="BN79" s="156">
        <f t="shared" si="60"/>
        <v>0</v>
      </c>
      <c r="BO79" s="159">
        <f>'Corrected energy balance step 1'!BO79</f>
        <v>0</v>
      </c>
    </row>
    <row r="80" spans="2:67" ht="17" thickBot="1" x14ac:dyDescent="0.25">
      <c r="B80" s="32" t="s">
        <v>112</v>
      </c>
      <c r="C80" s="158">
        <f>IF(ISNUMBER('Corrected energy balance step 1'!C80),'Corrected energy balance step 1'!C80,0)</f>
        <v>0</v>
      </c>
      <c r="D80" s="158">
        <f>IF(ISNUMBER('Corrected energy balance step 1'!D80),'Corrected energy balance step 1'!D80,0)</f>
        <v>0</v>
      </c>
      <c r="E80" s="158">
        <f>IF(ISNUMBER('Corrected energy balance step 1'!E80),'Corrected energy balance step 1'!E80,0)</f>
        <v>0</v>
      </c>
      <c r="F80" s="158">
        <f>IF(ISNUMBER('Corrected energy balance step 1'!F80),'Corrected energy balance step 1'!F80,0)</f>
        <v>0</v>
      </c>
      <c r="G80" s="158">
        <f>IF(ISNUMBER('Corrected energy balance step 1'!G80),'Corrected energy balance step 1'!G80,0)</f>
        <v>0</v>
      </c>
      <c r="H80" s="158">
        <f>IF(ISNUMBER('Corrected energy balance step 1'!H80),'Corrected energy balance step 1'!H80,0)</f>
        <v>0</v>
      </c>
      <c r="I80" s="158">
        <f>IF(ISNUMBER('Corrected energy balance step 1'!I80),'Corrected energy balance step 1'!I80,0)</f>
        <v>0</v>
      </c>
      <c r="J80" s="158">
        <f>IF(ISNUMBER('Corrected energy balance step 1'!J80),'Corrected energy balance step 1'!J80,0)</f>
        <v>0</v>
      </c>
      <c r="K80" s="158">
        <f>IF(ISNUMBER('Corrected energy balance step 1'!K80),'Corrected energy balance step 1'!K80,0)</f>
        <v>0</v>
      </c>
      <c r="L80" s="158">
        <f>IF(ISNUMBER('Corrected energy balance step 1'!L80),'Corrected energy balance step 1'!L80,0)</f>
        <v>0</v>
      </c>
      <c r="M80" s="158">
        <f>IF(ISNUMBER('Corrected energy balance step 1'!M80),'Corrected energy balance step 1'!M80,0)</f>
        <v>0</v>
      </c>
      <c r="N80" s="158">
        <f>IF(ISNUMBER('Corrected energy balance step 1'!N80),'Corrected energy balance step 1'!N80,0)</f>
        <v>0</v>
      </c>
      <c r="O80" s="158">
        <f>IF(ISNUMBER('Corrected energy balance step 1'!O80),'Corrected energy balance step 1'!O80,0)</f>
        <v>0</v>
      </c>
      <c r="P80" s="158">
        <f>IF(ISNUMBER('Corrected energy balance step 1'!P80),'Corrected energy balance step 1'!P80,0)</f>
        <v>0</v>
      </c>
      <c r="Q80" s="158">
        <f>IF(ISNUMBER('Corrected energy balance step 1'!Q80),'Corrected energy balance step 1'!Q80,0)</f>
        <v>0</v>
      </c>
      <c r="R80" s="158">
        <f>IF(ISNUMBER('Corrected energy balance step 1'!R80),'Corrected energy balance step 1'!R80,0)</f>
        <v>0</v>
      </c>
      <c r="S80" s="158">
        <f>IF(ISNUMBER('Corrected energy balance step 1'!S80),'Corrected energy balance step 1'!S80,0)</f>
        <v>0</v>
      </c>
      <c r="T80" s="158">
        <f>IF(ISNUMBER('Corrected energy balance step 1'!T80),'Corrected energy balance step 1'!T80,0)</f>
        <v>0</v>
      </c>
      <c r="U80" s="158">
        <f>IF(ISNUMBER('Corrected energy balance step 1'!U80),'Corrected energy balance step 1'!U80,0)</f>
        <v>0</v>
      </c>
      <c r="V80" s="158">
        <f>IF(ISNUMBER('Corrected energy balance step 1'!V80),'Corrected energy balance step 1'!V80,0)</f>
        <v>0</v>
      </c>
      <c r="W80" s="158">
        <f>IF(ISNUMBER('Corrected energy balance step 1'!W80),'Corrected energy balance step 1'!W80,0)</f>
        <v>0</v>
      </c>
      <c r="X80" s="158">
        <f>IF(ISNUMBER('Corrected energy balance step 1'!X80),'Corrected energy balance step 1'!X80,0)</f>
        <v>0</v>
      </c>
      <c r="Y80" s="158">
        <f>IF(ISNUMBER('Corrected energy balance step 1'!Y80),'Corrected energy balance step 1'!Y80,0)</f>
        <v>0</v>
      </c>
      <c r="Z80" s="158">
        <f>IF(ISNUMBER('Corrected energy balance step 1'!Z80),'Corrected energy balance step 1'!Z80,0)</f>
        <v>0</v>
      </c>
      <c r="AA80" s="158">
        <f>IF(ISNUMBER('Corrected energy balance step 1'!AA80),'Corrected energy balance step 1'!AA80,0)</f>
        <v>0</v>
      </c>
      <c r="AB80" s="158">
        <f>IF(ISNUMBER('Corrected energy balance step 1'!AB80),'Corrected energy balance step 1'!AB80,0)</f>
        <v>0</v>
      </c>
      <c r="AC80" s="158">
        <f>IF(ISNUMBER('Corrected energy balance step 1'!AC80),'Corrected energy balance step 1'!AC80,0)</f>
        <v>0</v>
      </c>
      <c r="AD80" s="158">
        <f>IF(ISNUMBER('Corrected energy balance step 1'!AD80),'Corrected energy balance step 1'!AD80,0)</f>
        <v>0</v>
      </c>
      <c r="AE80" s="158">
        <f>IF(ISNUMBER('Corrected energy balance step 1'!AE80),'Corrected energy balance step 1'!AE80,0)</f>
        <v>0</v>
      </c>
      <c r="AF80" s="158">
        <f>IF(ISNUMBER('Corrected energy balance step 1'!AF80),'Corrected energy balance step 1'!AF80,0)</f>
        <v>0</v>
      </c>
      <c r="AG80" s="158">
        <f>IF(ISNUMBER('Corrected energy balance step 1'!AG80),'Corrected energy balance step 1'!AG80,0)</f>
        <v>0</v>
      </c>
      <c r="AH80" s="158">
        <f>IF(ISNUMBER('Corrected energy balance step 1'!AH80),'Corrected energy balance step 1'!AH80,0)</f>
        <v>0</v>
      </c>
      <c r="AI80" s="158">
        <f>IF(ISNUMBER('Corrected energy balance step 1'!AI80),'Corrected energy balance step 1'!AI80,0)</f>
        <v>0</v>
      </c>
      <c r="AJ80" s="158">
        <f>IF(ISNUMBER('Corrected energy balance step 1'!AJ80),'Corrected energy balance step 1'!AJ80,0)</f>
        <v>0</v>
      </c>
      <c r="AK80" s="158">
        <f>IF(ISNUMBER('Corrected energy balance step 1'!AK80),'Corrected energy balance step 1'!AK80,0)</f>
        <v>0</v>
      </c>
      <c r="AL80" s="158">
        <f>IF(ISNUMBER('Corrected energy balance step 1'!AL80),'Corrected energy balance step 1'!AL80,0)</f>
        <v>0</v>
      </c>
      <c r="AM80" s="158">
        <f>IF(ISNUMBER('Corrected energy balance step 1'!AM80),'Corrected energy balance step 1'!AM80,0)</f>
        <v>0</v>
      </c>
      <c r="AN80" s="158">
        <f>IF(ISNUMBER('Corrected energy balance step 1'!AN80),'Corrected energy balance step 1'!AN80,0)</f>
        <v>0</v>
      </c>
      <c r="AO80" s="158">
        <f>IF(ISNUMBER('Corrected energy balance step 1'!AO80),'Corrected energy balance step 1'!AO80,0)</f>
        <v>0</v>
      </c>
      <c r="AP80" s="158">
        <f>IF(ISNUMBER('Corrected energy balance step 1'!AP80),'Corrected energy balance step 1'!AP80,0)</f>
        <v>0</v>
      </c>
      <c r="AQ80" s="158">
        <f>IF(ISNUMBER('Corrected energy balance step 1'!AQ80),'Corrected energy balance step 1'!AQ80,0)</f>
        <v>0</v>
      </c>
      <c r="AR80" s="158">
        <f>IF(ISNUMBER('Corrected energy balance step 1'!AR80),'Corrected energy balance step 1'!AR80,0)</f>
        <v>0</v>
      </c>
      <c r="AS80" s="158">
        <f>IF(ISNUMBER('Corrected energy balance step 1'!AS80),'Corrected energy balance step 1'!AS80,0)</f>
        <v>0</v>
      </c>
      <c r="AT80" s="158">
        <f>IF(ISNUMBER('Corrected energy balance step 1'!AT80),'Corrected energy balance step 1'!AT80,0)</f>
        <v>0</v>
      </c>
      <c r="AU80" s="158">
        <f>IF(ISNUMBER('Corrected energy balance step 1'!AU80),'Corrected energy balance step 1'!AU80,0)</f>
        <v>0</v>
      </c>
      <c r="AV80" s="158">
        <f>IF(ISNUMBER('Corrected energy balance step 1'!AV80),'Corrected energy balance step 1'!AV80,0)</f>
        <v>0</v>
      </c>
      <c r="AW80" s="158">
        <f>IF(ISNUMBER('Corrected energy balance step 1'!AW80),'Corrected energy balance step 1'!AW80,0)</f>
        <v>0</v>
      </c>
      <c r="AX80" s="158">
        <f>IF(ISNUMBER('Corrected energy balance step 1'!AX80),'Corrected energy balance step 1'!AX80,0)</f>
        <v>0</v>
      </c>
      <c r="AY80" s="158">
        <f>IF(ISNUMBER('Corrected energy balance step 1'!AY80),'Corrected energy balance step 1'!AY80,0)</f>
        <v>0</v>
      </c>
      <c r="AZ80" s="158">
        <f>IF(ISNUMBER('Corrected energy balance step 1'!AZ80),'Corrected energy balance step 1'!AZ80,0)</f>
        <v>0</v>
      </c>
      <c r="BA80" s="158">
        <f>IF(ISNUMBER('Corrected energy balance step 1'!BA80),'Corrected energy balance step 1'!BA80,0)</f>
        <v>0</v>
      </c>
      <c r="BB80" s="158">
        <f>IF(ISNUMBER('Corrected energy balance step 1'!BB80),'Corrected energy balance step 1'!BB80,0)</f>
        <v>0</v>
      </c>
      <c r="BC80" s="158">
        <f>IF(ISNUMBER('Corrected energy balance step 1'!BC80),'Corrected energy balance step 1'!BC80,0)</f>
        <v>0</v>
      </c>
      <c r="BD80" s="158">
        <f>IF(ISNUMBER('Corrected energy balance step 1'!BD80),'Corrected energy balance step 1'!BD80,0)</f>
        <v>0</v>
      </c>
      <c r="BE80" s="158">
        <f>IF(ISNUMBER('Corrected energy balance step 1'!BE80),'Corrected energy balance step 1'!BE80,0)</f>
        <v>0</v>
      </c>
      <c r="BF80" s="158">
        <f>IF(ISNUMBER('Corrected energy balance step 1'!BF80),'Corrected energy balance step 1'!BF80,0)</f>
        <v>0</v>
      </c>
      <c r="BG80" s="158">
        <f>IF(ISNUMBER('Corrected energy balance step 1'!BG80),'Corrected energy balance step 1'!BG80,0)</f>
        <v>0</v>
      </c>
      <c r="BH80" s="158">
        <f>IF(ISNUMBER('Corrected energy balance step 1'!BH80),'Corrected energy balance step 1'!BH80,0)</f>
        <v>0</v>
      </c>
      <c r="BI80" s="158">
        <f>IF(ISNUMBER('Corrected energy balance step 1'!BI80),'Corrected energy balance step 1'!BI80,0)</f>
        <v>0</v>
      </c>
      <c r="BJ80" s="158">
        <f>IF(ISNUMBER('Corrected energy balance step 1'!BJ80),'Corrected energy balance step 1'!BJ80,0)</f>
        <v>0</v>
      </c>
      <c r="BK80" s="158">
        <f>IF(ISNUMBER('Corrected energy balance step 1'!BK80),'Corrected energy balance step 1'!BK80,0)</f>
        <v>0</v>
      </c>
      <c r="BL80" s="158">
        <f>IF(ISNUMBER('Corrected energy balance step 1'!BL80),'Corrected energy balance step 1'!BL80,0)</f>
        <v>0</v>
      </c>
      <c r="BM80" s="158">
        <f>IF(ISNUMBER('Corrected energy balance step 1'!BM80),'Corrected energy balance step 1'!BM80,0)</f>
        <v>0</v>
      </c>
      <c r="BN80" s="156">
        <f t="shared" si="60"/>
        <v>0</v>
      </c>
      <c r="BO80" s="159">
        <f>'Corrected energy balance step 1'!BO80</f>
        <v>0</v>
      </c>
    </row>
    <row r="81" spans="2:67" ht="17" thickBot="1" x14ac:dyDescent="0.25">
      <c r="B81" s="40" t="s">
        <v>113</v>
      </c>
      <c r="C81" s="153">
        <f>SUM(C82:C86)</f>
        <v>0</v>
      </c>
      <c r="D81" s="153">
        <f>SUM(D82:D86)</f>
        <v>0</v>
      </c>
      <c r="E81" s="163">
        <f t="shared" ref="E81:BL81" si="70">SUM(E82:E86)</f>
        <v>0</v>
      </c>
      <c r="F81" s="163">
        <f t="shared" si="70"/>
        <v>0</v>
      </c>
      <c r="G81" s="163">
        <f t="shared" si="70"/>
        <v>0</v>
      </c>
      <c r="H81" s="163">
        <f t="shared" si="70"/>
        <v>0</v>
      </c>
      <c r="I81" s="163">
        <f t="shared" si="70"/>
        <v>0</v>
      </c>
      <c r="J81" s="163">
        <f t="shared" si="70"/>
        <v>0</v>
      </c>
      <c r="K81" s="163">
        <f t="shared" si="70"/>
        <v>0</v>
      </c>
      <c r="L81" s="163">
        <f t="shared" si="70"/>
        <v>0</v>
      </c>
      <c r="M81" s="163">
        <f t="shared" si="70"/>
        <v>0</v>
      </c>
      <c r="N81" s="163">
        <f t="shared" si="70"/>
        <v>0</v>
      </c>
      <c r="O81" s="163">
        <f t="shared" si="70"/>
        <v>0</v>
      </c>
      <c r="P81" s="163">
        <f t="shared" si="70"/>
        <v>0</v>
      </c>
      <c r="Q81" s="163">
        <f t="shared" si="70"/>
        <v>0</v>
      </c>
      <c r="R81" s="163">
        <f t="shared" si="70"/>
        <v>0</v>
      </c>
      <c r="S81" s="163">
        <f t="shared" si="70"/>
        <v>0</v>
      </c>
      <c r="T81" s="163">
        <f t="shared" si="70"/>
        <v>0</v>
      </c>
      <c r="U81" s="153">
        <f t="shared" si="70"/>
        <v>0</v>
      </c>
      <c r="V81" s="163">
        <f t="shared" si="70"/>
        <v>0</v>
      </c>
      <c r="W81" s="163">
        <f t="shared" si="70"/>
        <v>0</v>
      </c>
      <c r="X81" s="163">
        <f t="shared" si="70"/>
        <v>0</v>
      </c>
      <c r="Y81" s="163">
        <f t="shared" si="70"/>
        <v>0</v>
      </c>
      <c r="Z81" s="163">
        <f t="shared" si="70"/>
        <v>0</v>
      </c>
      <c r="AA81" s="163">
        <f t="shared" si="70"/>
        <v>0</v>
      </c>
      <c r="AB81" s="163">
        <f t="shared" si="70"/>
        <v>0</v>
      </c>
      <c r="AC81" s="163">
        <f t="shared" si="70"/>
        <v>0</v>
      </c>
      <c r="AD81" s="163">
        <f t="shared" si="70"/>
        <v>0</v>
      </c>
      <c r="AE81" s="163">
        <f t="shared" si="70"/>
        <v>0</v>
      </c>
      <c r="AF81" s="163">
        <f t="shared" si="70"/>
        <v>0</v>
      </c>
      <c r="AG81" s="163">
        <f t="shared" si="70"/>
        <v>0</v>
      </c>
      <c r="AH81" s="163">
        <f t="shared" si="70"/>
        <v>0</v>
      </c>
      <c r="AI81" s="163">
        <f t="shared" si="70"/>
        <v>0</v>
      </c>
      <c r="AJ81" s="163">
        <f t="shared" si="70"/>
        <v>0</v>
      </c>
      <c r="AK81" s="163">
        <f t="shared" si="70"/>
        <v>0</v>
      </c>
      <c r="AL81" s="163">
        <f t="shared" si="70"/>
        <v>0</v>
      </c>
      <c r="AM81" s="163">
        <f t="shared" si="70"/>
        <v>0</v>
      </c>
      <c r="AN81" s="163">
        <f t="shared" si="70"/>
        <v>0</v>
      </c>
      <c r="AO81" s="163">
        <f t="shared" si="70"/>
        <v>0</v>
      </c>
      <c r="AP81" s="163">
        <f t="shared" si="70"/>
        <v>0</v>
      </c>
      <c r="AQ81" s="163">
        <f t="shared" ref="AQ81" si="71">SUM(AQ82:AQ86)</f>
        <v>0</v>
      </c>
      <c r="AR81" s="163">
        <f t="shared" si="70"/>
        <v>0</v>
      </c>
      <c r="AS81" s="163">
        <f t="shared" si="70"/>
        <v>0</v>
      </c>
      <c r="AT81" s="163">
        <f t="shared" si="70"/>
        <v>0</v>
      </c>
      <c r="AU81" s="163">
        <f t="shared" si="70"/>
        <v>0</v>
      </c>
      <c r="AV81" s="163">
        <f t="shared" si="70"/>
        <v>0</v>
      </c>
      <c r="AW81" s="163">
        <f t="shared" si="70"/>
        <v>0</v>
      </c>
      <c r="AX81" s="163">
        <f t="shared" ref="AX81:AY81" si="72">SUM(AX82:AX86)</f>
        <v>0</v>
      </c>
      <c r="AY81" s="163">
        <f t="shared" si="72"/>
        <v>0</v>
      </c>
      <c r="AZ81" s="163">
        <f t="shared" si="70"/>
        <v>0</v>
      </c>
      <c r="BA81" s="163">
        <f t="shared" si="70"/>
        <v>0</v>
      </c>
      <c r="BB81" s="163">
        <f t="shared" si="70"/>
        <v>0</v>
      </c>
      <c r="BC81" s="163">
        <f t="shared" si="70"/>
        <v>0</v>
      </c>
      <c r="BD81" s="163">
        <f t="shared" si="70"/>
        <v>0</v>
      </c>
      <c r="BE81" s="163">
        <f t="shared" si="70"/>
        <v>0</v>
      </c>
      <c r="BF81" s="163">
        <f t="shared" si="70"/>
        <v>0</v>
      </c>
      <c r="BG81" s="163">
        <f t="shared" si="70"/>
        <v>0</v>
      </c>
      <c r="BH81" s="163">
        <f t="shared" si="70"/>
        <v>0</v>
      </c>
      <c r="BI81" s="163">
        <f t="shared" si="70"/>
        <v>0</v>
      </c>
      <c r="BJ81" s="163">
        <f t="shared" si="70"/>
        <v>0</v>
      </c>
      <c r="BK81" s="163">
        <f t="shared" si="70"/>
        <v>0</v>
      </c>
      <c r="BL81" s="163">
        <f t="shared" si="70"/>
        <v>0</v>
      </c>
      <c r="BM81" s="163">
        <f>SUM(BM82:BM86)</f>
        <v>0</v>
      </c>
      <c r="BN81" s="164">
        <f t="shared" si="60"/>
        <v>0</v>
      </c>
      <c r="BO81" s="165">
        <f>'Corrected energy balance step 1'!BO81</f>
        <v>0</v>
      </c>
    </row>
    <row r="82" spans="2:67" x14ac:dyDescent="0.2">
      <c r="B82" s="32" t="s">
        <v>114</v>
      </c>
      <c r="C82" s="158">
        <f>IF(ISNUMBER('Corrected energy balance step 1'!C82),'Corrected energy balance step 1'!C82,0)</f>
        <v>0</v>
      </c>
      <c r="D82" s="158">
        <f>IF(ISNUMBER('Corrected energy balance step 1'!D82),'Corrected energy balance step 1'!D82,0)</f>
        <v>0</v>
      </c>
      <c r="E82" s="158">
        <f>IF(ISNUMBER('Corrected energy balance step 1'!E82),'Corrected energy balance step 1'!E82,0)</f>
        <v>0</v>
      </c>
      <c r="F82" s="158">
        <f>IF(ISNUMBER('Corrected energy balance step 1'!F82),'Corrected energy balance step 1'!F82,0)</f>
        <v>0</v>
      </c>
      <c r="G82" s="158">
        <f>IF(ISNUMBER('Corrected energy balance step 1'!G82),'Corrected energy balance step 1'!G82,0)</f>
        <v>0</v>
      </c>
      <c r="H82" s="158">
        <f>IF(ISNUMBER('Corrected energy balance step 1'!H82),'Corrected energy balance step 1'!H82,0)</f>
        <v>0</v>
      </c>
      <c r="I82" s="158">
        <f>IF(ISNUMBER('Corrected energy balance step 1'!I82),'Corrected energy balance step 1'!I82,0)</f>
        <v>0</v>
      </c>
      <c r="J82" s="158">
        <f>IF(ISNUMBER('Corrected energy balance step 1'!J82),'Corrected energy balance step 1'!J82,0)</f>
        <v>0</v>
      </c>
      <c r="K82" s="158">
        <f>IF(ISNUMBER('Corrected energy balance step 1'!K82),'Corrected energy balance step 1'!K82,0)</f>
        <v>0</v>
      </c>
      <c r="L82" s="158">
        <f>IF(ISNUMBER('Corrected energy balance step 1'!L82),'Corrected energy balance step 1'!L82,0)</f>
        <v>0</v>
      </c>
      <c r="M82" s="158">
        <f>IF(ISNUMBER('Corrected energy balance step 1'!M82),'Corrected energy balance step 1'!M82,0)</f>
        <v>0</v>
      </c>
      <c r="N82" s="158">
        <f>IF(ISNUMBER('Corrected energy balance step 1'!N82),'Corrected energy balance step 1'!N82,0)</f>
        <v>0</v>
      </c>
      <c r="O82" s="158">
        <f>IF(ISNUMBER('Corrected energy balance step 1'!O82),'Corrected energy balance step 1'!O82,0)</f>
        <v>0</v>
      </c>
      <c r="P82" s="158">
        <f>IF(ISNUMBER('Corrected energy balance step 1'!P82),'Corrected energy balance step 1'!P82,0)</f>
        <v>0</v>
      </c>
      <c r="Q82" s="158">
        <f>IF(ISNUMBER('Corrected energy balance step 1'!Q82),'Corrected energy balance step 1'!Q82,0)</f>
        <v>0</v>
      </c>
      <c r="R82" s="158">
        <f>IF(ISNUMBER('Corrected energy balance step 1'!R82),'Corrected energy balance step 1'!R82,0)</f>
        <v>0</v>
      </c>
      <c r="S82" s="158">
        <f>IF(ISNUMBER('Corrected energy balance step 1'!S82),'Corrected energy balance step 1'!S82,0)</f>
        <v>0</v>
      </c>
      <c r="T82" s="158">
        <f>IF(ISNUMBER('Corrected energy balance step 1'!T82),'Corrected energy balance step 1'!T82,0)</f>
        <v>0</v>
      </c>
      <c r="U82" s="158">
        <f>IF(ISNUMBER('Corrected energy balance step 1'!U82),'Corrected energy balance step 1'!U82,0)</f>
        <v>0</v>
      </c>
      <c r="V82" s="158">
        <f>IF(ISNUMBER('Corrected energy balance step 1'!V82),'Corrected energy balance step 1'!V82,0)</f>
        <v>0</v>
      </c>
      <c r="W82" s="158">
        <f>IF(ISNUMBER('Corrected energy balance step 1'!W82),'Corrected energy balance step 1'!W82,0)</f>
        <v>0</v>
      </c>
      <c r="X82" s="158">
        <f>IF(ISNUMBER('Corrected energy balance step 1'!X82),'Corrected energy balance step 1'!X82,0)</f>
        <v>0</v>
      </c>
      <c r="Y82" s="158">
        <f>IF(ISNUMBER('Corrected energy balance step 1'!Y82),'Corrected energy balance step 1'!Y82,0)</f>
        <v>0</v>
      </c>
      <c r="Z82" s="158">
        <f>IF(ISNUMBER('Corrected energy balance step 1'!Z82),'Corrected energy balance step 1'!Z82,0)</f>
        <v>0</v>
      </c>
      <c r="AA82" s="158">
        <f>IF(ISNUMBER('Corrected energy balance step 1'!AA82),'Corrected energy balance step 1'!AA82,0)</f>
        <v>0</v>
      </c>
      <c r="AB82" s="158">
        <f>IF(ISNUMBER('Corrected energy balance step 1'!AB82),'Corrected energy balance step 1'!AB82,0)</f>
        <v>0</v>
      </c>
      <c r="AC82" s="157">
        <f>INDEX('Mobile machinery'!$C$54:$J$77,MATCH('Corrected energy balance step 2'!$B82,'Mobile machinery'!$C$54:$C$77,0),MATCH('Corrected energy balance step 2'!AC$7,'Mobile machinery'!$C$54:$J$54,0))</f>
        <v>0</v>
      </c>
      <c r="AD82" s="158">
        <f>IF(ISNUMBER('Corrected energy balance step 1'!AD82),'Corrected energy balance step 1'!AD82,0)</f>
        <v>0</v>
      </c>
      <c r="AE82" s="158">
        <f>IF(ISNUMBER('Corrected energy balance step 1'!AE82),'Corrected energy balance step 1'!AE82,0)</f>
        <v>0</v>
      </c>
      <c r="AF82" s="158">
        <f>IF(ISNUMBER('Corrected energy balance step 1'!AF82),'Corrected energy balance step 1'!AF82,0)</f>
        <v>0</v>
      </c>
      <c r="AG82" s="158">
        <f>IF(ISNUMBER('Corrected energy balance step 1'!AG82),'Corrected energy balance step 1'!AG82,0)</f>
        <v>0</v>
      </c>
      <c r="AH82" s="157">
        <f>INDEX('Mobile machinery'!$C$54:$J$77,MATCH('Corrected energy balance step 2'!$B82,'Mobile machinery'!$C$54:$C$77,0),MATCH('Corrected energy balance step 2'!AH$7,'Mobile machinery'!$C$54:$J$54,0))</f>
        <v>0</v>
      </c>
      <c r="AI82" s="157">
        <f>INDEX('Mobile machinery'!$C$54:$J$77,MATCH('Corrected energy balance step 2'!$B82,'Mobile machinery'!$C$54:$C$77,0),MATCH('Corrected energy balance step 2'!AI$7,'Mobile machinery'!$C$54:$J$54,0))</f>
        <v>0</v>
      </c>
      <c r="AJ82" s="158">
        <f>IF(ISNUMBER('Corrected energy balance step 1'!AJ82),'Corrected energy balance step 1'!AJ82,0)</f>
        <v>0</v>
      </c>
      <c r="AK82" s="158">
        <f>IF(ISNUMBER('Corrected energy balance step 1'!AK82),'Corrected energy balance step 1'!AK82,0)</f>
        <v>0</v>
      </c>
      <c r="AL82" s="158">
        <f>IF(ISNUMBER('Corrected energy balance step 1'!AL82),'Corrected energy balance step 1'!AL82,0)</f>
        <v>0</v>
      </c>
      <c r="AM82" s="158">
        <f>IF(ISNUMBER('Corrected energy balance step 1'!AM82),'Corrected energy balance step 1'!AM82,0)</f>
        <v>0</v>
      </c>
      <c r="AN82" s="158">
        <f>IF(ISNUMBER('Corrected energy balance step 1'!AN82),'Corrected energy balance step 1'!AN82,0)</f>
        <v>0</v>
      </c>
      <c r="AO82" s="158">
        <f>IF(ISNUMBER('Corrected energy balance step 1'!AO82),'Corrected energy balance step 1'!AO82,0)</f>
        <v>0</v>
      </c>
      <c r="AP82" s="158">
        <f>IF(ISNUMBER('Corrected energy balance step 1'!AP82),'Corrected energy balance step 1'!AP82,0)</f>
        <v>0</v>
      </c>
      <c r="AQ82" s="158">
        <f>IF(ISNUMBER('Corrected energy balance step 1'!AQ82),'Corrected energy balance step 1'!AQ82,0)</f>
        <v>0</v>
      </c>
      <c r="AR82" s="158">
        <f>IF(ISNUMBER('Corrected energy balance step 1'!AR82),'Corrected energy balance step 1'!AR82,0)</f>
        <v>0</v>
      </c>
      <c r="AS82" s="158">
        <f>IF(ISNUMBER('Corrected energy balance step 1'!AS82),'Corrected energy balance step 1'!AS82,0)</f>
        <v>0</v>
      </c>
      <c r="AT82" s="158">
        <f>IF(ISNUMBER('Corrected energy balance step 1'!AT82),'Corrected energy balance step 1'!AT82,0)</f>
        <v>0</v>
      </c>
      <c r="AU82" s="158">
        <f>IF(ISNUMBER('Corrected energy balance step 1'!AU82),'Corrected energy balance step 1'!AU82,0)</f>
        <v>0</v>
      </c>
      <c r="AV82" s="158">
        <f>IF(ISNUMBER('Corrected energy balance step 1'!AV82),'Corrected energy balance step 1'!AV82,0)</f>
        <v>0</v>
      </c>
      <c r="AW82" s="157">
        <f>INDEX('Mobile machinery'!$C$54:$J$77,MATCH('Corrected energy balance step 2'!$B82,'Mobile machinery'!$C$54:$C$77,0),MATCH('Corrected energy balance step 2'!AW$7,'Mobile machinery'!$C$54:$J$54,0))</f>
        <v>0</v>
      </c>
      <c r="AX82" s="157">
        <f>INDEX('Mobile machinery'!$C$54:$J$77,MATCH('Corrected energy balance step 2'!$B82,'Mobile machinery'!$C$54:$C$77,0),MATCH('Corrected energy balance step 2'!AX$7,'Mobile machinery'!$C$54:$J$54,0))</f>
        <v>0</v>
      </c>
      <c r="AY82" s="157">
        <f>INDEX('Mobile machinery'!$C$54:$J$77,MATCH('Corrected energy balance step 2'!$B82,'Mobile machinery'!$C$54:$C$77,0),MATCH('Corrected energy balance step 2'!AY$7,'Mobile machinery'!$C$54:$J$54,0))</f>
        <v>0</v>
      </c>
      <c r="AZ82" s="158">
        <f>IF(ISNUMBER('Corrected energy balance step 1'!AZ82),'Corrected energy balance step 1'!AZ82,0)</f>
        <v>0</v>
      </c>
      <c r="BA82" s="158">
        <f>IF(ISNUMBER('Corrected energy balance step 1'!BA82),'Corrected energy balance step 1'!BA82,0)</f>
        <v>0</v>
      </c>
      <c r="BB82" s="158">
        <f>IF(ISNUMBER('Corrected energy balance step 1'!BB82),'Corrected energy balance step 1'!BB82,0)</f>
        <v>0</v>
      </c>
      <c r="BC82" s="158">
        <f>IF(ISNUMBER('Corrected energy balance step 1'!BC82),'Corrected energy balance step 1'!BC82,0)</f>
        <v>0</v>
      </c>
      <c r="BD82" s="158">
        <f>IF(ISNUMBER('Corrected energy balance step 1'!BD82),'Corrected energy balance step 1'!BD82,0)</f>
        <v>0</v>
      </c>
      <c r="BE82" s="158">
        <f>IF(ISNUMBER('Corrected energy balance step 1'!BE82),'Corrected energy balance step 1'!BE82,0)</f>
        <v>0</v>
      </c>
      <c r="BF82" s="158">
        <f>IF(ISNUMBER('Corrected energy balance step 1'!BF82),'Corrected energy balance step 1'!BF82,0)</f>
        <v>0</v>
      </c>
      <c r="BG82" s="158">
        <f>IF(ISNUMBER('Corrected energy balance step 1'!BG82),'Corrected energy balance step 1'!BG82,0)</f>
        <v>0</v>
      </c>
      <c r="BH82" s="158">
        <f>IF(ISNUMBER('Corrected energy balance step 1'!BH82),'Corrected energy balance step 1'!BH82,0)</f>
        <v>0</v>
      </c>
      <c r="BI82" s="158">
        <f>IF(ISNUMBER('Corrected energy balance step 1'!BI82),'Corrected energy balance step 1'!BI82,0)</f>
        <v>0</v>
      </c>
      <c r="BJ82" s="158">
        <f>IF(ISNUMBER('Corrected energy balance step 1'!BJ82),'Corrected energy balance step 1'!BJ82,0)</f>
        <v>0</v>
      </c>
      <c r="BK82" s="158">
        <f>IF(ISNUMBER('Corrected energy balance step 1'!BK82),'Corrected energy balance step 1'!BK82,0)</f>
        <v>0</v>
      </c>
      <c r="BL82" s="158">
        <f>IF(ISNUMBER('Corrected energy balance step 1'!BL82),'Corrected energy balance step 1'!BL82,0)</f>
        <v>0</v>
      </c>
      <c r="BM82" s="158">
        <f>IF(ISNUMBER('Corrected energy balance step 1'!BM82),'Corrected energy balance step 1'!BM82,0)</f>
        <v>0</v>
      </c>
      <c r="BN82" s="156">
        <f t="shared" si="60"/>
        <v>0</v>
      </c>
      <c r="BO82" s="162">
        <f>'Corrected energy balance step 1'!BO82</f>
        <v>0</v>
      </c>
    </row>
    <row r="83" spans="2:67" x14ac:dyDescent="0.2">
      <c r="B83" s="32" t="s">
        <v>115</v>
      </c>
      <c r="C83" s="158">
        <f>IF(ISNUMBER('Corrected energy balance step 1'!C83),'Corrected energy balance step 1'!C83,0)</f>
        <v>0</v>
      </c>
      <c r="D83" s="158">
        <f>IF(ISNUMBER('Corrected energy balance step 1'!D83),'Corrected energy balance step 1'!D83,0)</f>
        <v>0</v>
      </c>
      <c r="E83" s="158">
        <f>IF(ISNUMBER('Corrected energy balance step 1'!E83),'Corrected energy balance step 1'!E83,0)</f>
        <v>0</v>
      </c>
      <c r="F83" s="158">
        <f>IF(ISNUMBER('Corrected energy balance step 1'!F83),'Corrected energy balance step 1'!F83,0)</f>
        <v>0</v>
      </c>
      <c r="G83" s="158">
        <f>IF(ISNUMBER('Corrected energy balance step 1'!G83),'Corrected energy balance step 1'!G83,0)</f>
        <v>0</v>
      </c>
      <c r="H83" s="158">
        <f>IF(ISNUMBER('Corrected energy balance step 1'!H83),'Corrected energy balance step 1'!H83,0)</f>
        <v>0</v>
      </c>
      <c r="I83" s="158">
        <f>IF(ISNUMBER('Corrected energy balance step 1'!I83),'Corrected energy balance step 1'!I83,0)</f>
        <v>0</v>
      </c>
      <c r="J83" s="158">
        <f>IF(ISNUMBER('Corrected energy balance step 1'!J83),'Corrected energy balance step 1'!J83,0)</f>
        <v>0</v>
      </c>
      <c r="K83" s="158">
        <f>IF(ISNUMBER('Corrected energy balance step 1'!K83),'Corrected energy balance step 1'!K83,0)</f>
        <v>0</v>
      </c>
      <c r="L83" s="158">
        <f>IF(ISNUMBER('Corrected energy balance step 1'!L83),'Corrected energy balance step 1'!L83,0)</f>
        <v>0</v>
      </c>
      <c r="M83" s="158">
        <f>IF(ISNUMBER('Corrected energy balance step 1'!M83),'Corrected energy balance step 1'!M83,0)</f>
        <v>0</v>
      </c>
      <c r="N83" s="158">
        <f>IF(ISNUMBER('Corrected energy balance step 1'!N83),'Corrected energy balance step 1'!N83,0)</f>
        <v>0</v>
      </c>
      <c r="O83" s="158">
        <f>IF(ISNUMBER('Corrected energy balance step 1'!O83),'Corrected energy balance step 1'!O83,0)</f>
        <v>0</v>
      </c>
      <c r="P83" s="158">
        <f>IF(ISNUMBER('Corrected energy balance step 1'!P83),'Corrected energy balance step 1'!P83,0)</f>
        <v>0</v>
      </c>
      <c r="Q83" s="158">
        <f>IF(ISNUMBER('Corrected energy balance step 1'!Q83),'Corrected energy balance step 1'!Q83,0)</f>
        <v>0</v>
      </c>
      <c r="R83" s="158">
        <f>IF(ISNUMBER('Corrected energy balance step 1'!R83),'Corrected energy balance step 1'!R83,0)</f>
        <v>0</v>
      </c>
      <c r="S83" s="158">
        <f>IF(ISNUMBER('Corrected energy balance step 1'!S83),'Corrected energy balance step 1'!S83,0)</f>
        <v>0</v>
      </c>
      <c r="T83" s="158">
        <f>IF(ISNUMBER('Corrected energy balance step 1'!T83),'Corrected energy balance step 1'!T83,0)</f>
        <v>0</v>
      </c>
      <c r="U83" s="158">
        <f>IF(ISNUMBER('Corrected energy balance step 1'!U83),'Corrected energy balance step 1'!U83,0)</f>
        <v>0</v>
      </c>
      <c r="V83" s="158">
        <f>IF(ISNUMBER('Corrected energy balance step 1'!V83),'Corrected energy balance step 1'!V83,0)</f>
        <v>0</v>
      </c>
      <c r="W83" s="158">
        <f>IF(ISNUMBER('Corrected energy balance step 1'!W83),'Corrected energy balance step 1'!W83,0)</f>
        <v>0</v>
      </c>
      <c r="X83" s="158">
        <f>IF(ISNUMBER('Corrected energy balance step 1'!X83),'Corrected energy balance step 1'!X83,0)</f>
        <v>0</v>
      </c>
      <c r="Y83" s="158">
        <f>IF(ISNUMBER('Corrected energy balance step 1'!Y83),'Corrected energy balance step 1'!Y83,0)</f>
        <v>0</v>
      </c>
      <c r="Z83" s="158">
        <f>IF(ISNUMBER('Corrected energy balance step 1'!Z83),'Corrected energy balance step 1'!Z83,0)</f>
        <v>0</v>
      </c>
      <c r="AA83" s="158">
        <f>IF(ISNUMBER('Corrected energy balance step 1'!AA83),'Corrected energy balance step 1'!AA83,0)</f>
        <v>0</v>
      </c>
      <c r="AB83" s="158">
        <f>IF(ISNUMBER('Corrected energy balance step 1'!AB83),'Corrected energy balance step 1'!AB83,0)</f>
        <v>0</v>
      </c>
      <c r="AC83" s="157">
        <f>INDEX('Mobile machinery'!$C$54:$J$77,MATCH('Corrected energy balance step 2'!$B83,'Mobile machinery'!$C$54:$C$77,0),MATCH('Corrected energy balance step 2'!AC$7,'Mobile machinery'!$C$54:$J$54,0))</f>
        <v>0</v>
      </c>
      <c r="AD83" s="158">
        <f>IF(ISNUMBER('Corrected energy balance step 1'!AD83),'Corrected energy balance step 1'!AD83,0)</f>
        <v>0</v>
      </c>
      <c r="AE83" s="158">
        <f>IF(ISNUMBER('Corrected energy balance step 1'!AE83),'Corrected energy balance step 1'!AE83,0)</f>
        <v>0</v>
      </c>
      <c r="AF83" s="158">
        <f>IF(ISNUMBER('Corrected energy balance step 1'!AF83),'Corrected energy balance step 1'!AF83,0)</f>
        <v>0</v>
      </c>
      <c r="AG83" s="158">
        <f>IF(ISNUMBER('Corrected energy balance step 1'!AG83),'Corrected energy balance step 1'!AG83,0)</f>
        <v>0</v>
      </c>
      <c r="AH83" s="157">
        <f>INDEX('Mobile machinery'!$C$54:$J$77,MATCH('Corrected energy balance step 2'!$B83,'Mobile machinery'!$C$54:$C$77,0),MATCH('Corrected energy balance step 2'!AH$7,'Mobile machinery'!$C$54:$J$54,0))</f>
        <v>0</v>
      </c>
      <c r="AI83" s="157">
        <f>INDEX('Mobile machinery'!$C$54:$J$77,MATCH('Corrected energy balance step 2'!$B83,'Mobile machinery'!$C$54:$C$77,0),MATCH('Corrected energy balance step 2'!AI$7,'Mobile machinery'!$C$54:$J$54,0))</f>
        <v>0</v>
      </c>
      <c r="AJ83" s="158">
        <f>IF(ISNUMBER('Corrected energy balance step 1'!AJ83),'Corrected energy balance step 1'!AJ83,0)</f>
        <v>0</v>
      </c>
      <c r="AK83" s="158">
        <f>IF(ISNUMBER('Corrected energy balance step 1'!AK83),'Corrected energy balance step 1'!AK83,0)</f>
        <v>0</v>
      </c>
      <c r="AL83" s="158">
        <f>IF(ISNUMBER('Corrected energy balance step 1'!AL83),'Corrected energy balance step 1'!AL83,0)</f>
        <v>0</v>
      </c>
      <c r="AM83" s="158">
        <f>IF(ISNUMBER('Corrected energy balance step 1'!AM83),'Corrected energy balance step 1'!AM83,0)</f>
        <v>0</v>
      </c>
      <c r="AN83" s="158">
        <f>IF(ISNUMBER('Corrected energy balance step 1'!AN83),'Corrected energy balance step 1'!AN83,0)</f>
        <v>0</v>
      </c>
      <c r="AO83" s="158">
        <f>IF(ISNUMBER('Corrected energy balance step 1'!AO83),'Corrected energy balance step 1'!AO83,0)</f>
        <v>0</v>
      </c>
      <c r="AP83" s="158">
        <f>IF(ISNUMBER('Corrected energy balance step 1'!AP83),'Corrected energy balance step 1'!AP83,0)</f>
        <v>0</v>
      </c>
      <c r="AQ83" s="158">
        <f>IF(ISNUMBER('Corrected energy balance step 1'!AQ83),'Corrected energy balance step 1'!AQ83,0)</f>
        <v>0</v>
      </c>
      <c r="AR83" s="158">
        <f>IF(ISNUMBER('Corrected energy balance step 1'!AR83),'Corrected energy balance step 1'!AR83,0)</f>
        <v>0</v>
      </c>
      <c r="AS83" s="158">
        <f>IF(ISNUMBER('Corrected energy balance step 1'!AS83),'Corrected energy balance step 1'!AS83,0)</f>
        <v>0</v>
      </c>
      <c r="AT83" s="158">
        <f>IF(ISNUMBER('Corrected energy balance step 1'!AT83),'Corrected energy balance step 1'!AT83,0)</f>
        <v>0</v>
      </c>
      <c r="AU83" s="158">
        <f>IF(ISNUMBER('Corrected energy balance step 1'!AU83),'Corrected energy balance step 1'!AU83,0)</f>
        <v>0</v>
      </c>
      <c r="AV83" s="158">
        <f>IF(ISNUMBER('Corrected energy balance step 1'!AV83),'Corrected energy balance step 1'!AV83,0)</f>
        <v>0</v>
      </c>
      <c r="AW83" s="157">
        <f>INDEX('Mobile machinery'!$C$54:$J$77,MATCH('Corrected energy balance step 2'!$B83,'Mobile machinery'!$C$54:$C$77,0),MATCH('Corrected energy balance step 2'!AW$7,'Mobile machinery'!$C$54:$J$54,0))</f>
        <v>0</v>
      </c>
      <c r="AX83" s="157">
        <f>INDEX('Mobile machinery'!$C$54:$J$77,MATCH('Corrected energy balance step 2'!$B83,'Mobile machinery'!$C$54:$C$77,0),MATCH('Corrected energy balance step 2'!AX$7,'Mobile machinery'!$C$54:$J$54,0))</f>
        <v>0</v>
      </c>
      <c r="AY83" s="157">
        <f>INDEX('Mobile machinery'!$C$54:$J$77,MATCH('Corrected energy balance step 2'!$B83,'Mobile machinery'!$C$54:$C$77,0),MATCH('Corrected energy balance step 2'!AY$7,'Mobile machinery'!$C$54:$J$54,0))</f>
        <v>0</v>
      </c>
      <c r="AZ83" s="158">
        <f>IF(ISNUMBER('Corrected energy balance step 1'!AZ83),'Corrected energy balance step 1'!AZ83,0)</f>
        <v>0</v>
      </c>
      <c r="BA83" s="158">
        <f>IF(ISNUMBER('Corrected energy balance step 1'!BA83),'Corrected energy balance step 1'!BA83,0)</f>
        <v>0</v>
      </c>
      <c r="BB83" s="158">
        <f>IF(ISNUMBER('Corrected energy balance step 1'!BB83),'Corrected energy balance step 1'!BB83,0)</f>
        <v>0</v>
      </c>
      <c r="BC83" s="158">
        <f>IF(ISNUMBER('Corrected energy balance step 1'!BC83),'Corrected energy balance step 1'!BC83,0)</f>
        <v>0</v>
      </c>
      <c r="BD83" s="158">
        <f>IF(ISNUMBER('Corrected energy balance step 1'!BD83),'Corrected energy balance step 1'!BD83,0)</f>
        <v>0</v>
      </c>
      <c r="BE83" s="158">
        <f>IF(ISNUMBER('Corrected energy balance step 1'!BE83),'Corrected energy balance step 1'!BE83,0)</f>
        <v>0</v>
      </c>
      <c r="BF83" s="158">
        <f>IF(ISNUMBER('Corrected energy balance step 1'!BF83),'Corrected energy balance step 1'!BF83,0)</f>
        <v>0</v>
      </c>
      <c r="BG83" s="158">
        <f>IF(ISNUMBER('Corrected energy balance step 1'!BG83),'Corrected energy balance step 1'!BG83,0)</f>
        <v>0</v>
      </c>
      <c r="BH83" s="158">
        <f>IF(ISNUMBER('Corrected energy balance step 1'!BH83),'Corrected energy balance step 1'!BH83,0)</f>
        <v>0</v>
      </c>
      <c r="BI83" s="158">
        <f>IF(ISNUMBER('Corrected energy balance step 1'!BI83),'Corrected energy balance step 1'!BI83,0)</f>
        <v>0</v>
      </c>
      <c r="BJ83" s="158">
        <f>IF(ISNUMBER('Corrected energy balance step 1'!BJ83),'Corrected energy balance step 1'!BJ83,0)</f>
        <v>0</v>
      </c>
      <c r="BK83" s="158">
        <f>IF(ISNUMBER('Corrected energy balance step 1'!BK83),'Corrected energy balance step 1'!BK83,0)</f>
        <v>0</v>
      </c>
      <c r="BL83" s="158">
        <f>IF(ISNUMBER('Corrected energy balance step 1'!BL83),'Corrected energy balance step 1'!BL83,0)</f>
        <v>0</v>
      </c>
      <c r="BM83" s="158">
        <f>IF(ISNUMBER('Corrected energy balance step 1'!BM83),'Corrected energy balance step 1'!BM83,0)</f>
        <v>0</v>
      </c>
      <c r="BN83" s="156">
        <f t="shared" si="60"/>
        <v>0</v>
      </c>
      <c r="BO83" s="162">
        <f>'Corrected energy balance step 1'!BO83</f>
        <v>0</v>
      </c>
    </row>
    <row r="84" spans="2:67" x14ac:dyDescent="0.2">
      <c r="B84" s="32" t="s">
        <v>116</v>
      </c>
      <c r="C84" s="158">
        <f>IF(ISNUMBER('Corrected energy balance step 1'!C84),'Corrected energy balance step 1'!C84,0)</f>
        <v>0</v>
      </c>
      <c r="D84" s="158">
        <f>IF(ISNUMBER('Corrected energy balance step 1'!D84),'Corrected energy balance step 1'!D84,0)</f>
        <v>0</v>
      </c>
      <c r="E84" s="158">
        <f>IF(ISNUMBER('Corrected energy balance step 1'!E84),'Corrected energy balance step 1'!E84,0)</f>
        <v>0</v>
      </c>
      <c r="F84" s="158">
        <f>IF(ISNUMBER('Corrected energy balance step 1'!F84),'Corrected energy balance step 1'!F84,0)</f>
        <v>0</v>
      </c>
      <c r="G84" s="158">
        <f>IF(ISNUMBER('Corrected energy balance step 1'!G84),'Corrected energy balance step 1'!G84,0)</f>
        <v>0</v>
      </c>
      <c r="H84" s="158">
        <f>IF(ISNUMBER('Corrected energy balance step 1'!H84),'Corrected energy balance step 1'!H84,0)</f>
        <v>0</v>
      </c>
      <c r="I84" s="158">
        <f>IF(ISNUMBER('Corrected energy balance step 1'!I84),'Corrected energy balance step 1'!I84,0)</f>
        <v>0</v>
      </c>
      <c r="J84" s="158">
        <f>IF(ISNUMBER('Corrected energy balance step 1'!J84),'Corrected energy balance step 1'!J84,0)</f>
        <v>0</v>
      </c>
      <c r="K84" s="158">
        <f>IF(ISNUMBER('Corrected energy balance step 1'!K84),'Corrected energy balance step 1'!K84,0)</f>
        <v>0</v>
      </c>
      <c r="L84" s="158">
        <f>IF(ISNUMBER('Corrected energy balance step 1'!L84),'Corrected energy balance step 1'!L84,0)</f>
        <v>0</v>
      </c>
      <c r="M84" s="158">
        <f>IF(ISNUMBER('Corrected energy balance step 1'!M84),'Corrected energy balance step 1'!M84,0)</f>
        <v>0</v>
      </c>
      <c r="N84" s="158">
        <f>IF(ISNUMBER('Corrected energy balance step 1'!N84),'Corrected energy balance step 1'!N84,0)</f>
        <v>0</v>
      </c>
      <c r="O84" s="158">
        <f>IF(ISNUMBER('Corrected energy balance step 1'!O84),'Corrected energy balance step 1'!O84,0)</f>
        <v>0</v>
      </c>
      <c r="P84" s="158">
        <f>IF(ISNUMBER('Corrected energy balance step 1'!P84),'Corrected energy balance step 1'!P84,0)</f>
        <v>0</v>
      </c>
      <c r="Q84" s="158">
        <f>IF(ISNUMBER('Corrected energy balance step 1'!Q84),'Corrected energy balance step 1'!Q84,0)</f>
        <v>0</v>
      </c>
      <c r="R84" s="158">
        <f>IF(ISNUMBER('Corrected energy balance step 1'!R84),'Corrected energy balance step 1'!R84,0)</f>
        <v>0</v>
      </c>
      <c r="S84" s="158">
        <f>IF(ISNUMBER('Corrected energy balance step 1'!S84),'Corrected energy balance step 1'!S84,0)</f>
        <v>0</v>
      </c>
      <c r="T84" s="158">
        <f>IF(ISNUMBER('Corrected energy balance step 1'!T84),'Corrected energy balance step 1'!T84,0)</f>
        <v>0</v>
      </c>
      <c r="U84" s="158">
        <f>IF(ISNUMBER('Corrected energy balance step 1'!U84),'Corrected energy balance step 1'!U84,0)</f>
        <v>0</v>
      </c>
      <c r="V84" s="158">
        <f>IF(ISNUMBER('Corrected energy balance step 1'!V84),'Corrected energy balance step 1'!V84,0)</f>
        <v>0</v>
      </c>
      <c r="W84" s="158">
        <f>IF(ISNUMBER('Corrected energy balance step 1'!W84),'Corrected energy balance step 1'!W84,0)</f>
        <v>0</v>
      </c>
      <c r="X84" s="158">
        <f>IF(ISNUMBER('Corrected energy balance step 1'!X84),'Corrected energy balance step 1'!X84,0)</f>
        <v>0</v>
      </c>
      <c r="Y84" s="158">
        <f>IF(ISNUMBER('Corrected energy balance step 1'!Y84),'Corrected energy balance step 1'!Y84,0)</f>
        <v>0</v>
      </c>
      <c r="Z84" s="158">
        <f>IF(ISNUMBER('Corrected energy balance step 1'!Z84),'Corrected energy balance step 1'!Z84,0)</f>
        <v>0</v>
      </c>
      <c r="AA84" s="158">
        <f>IF(ISNUMBER('Corrected energy balance step 1'!AA84),'Corrected energy balance step 1'!AA84,0)</f>
        <v>0</v>
      </c>
      <c r="AB84" s="158">
        <f>IF(ISNUMBER('Corrected energy balance step 1'!AB84),'Corrected energy balance step 1'!AB84,0)</f>
        <v>0</v>
      </c>
      <c r="AC84" s="157">
        <f>INDEX('Mobile machinery'!$C$54:$J$77,MATCH('Corrected energy balance step 2'!$B84,'Mobile machinery'!$C$54:$C$77,0),MATCH('Corrected energy balance step 2'!AC$7,'Mobile machinery'!$C$54:$J$54,0))</f>
        <v>0</v>
      </c>
      <c r="AD84" s="158">
        <f>IF(ISNUMBER('Corrected energy balance step 1'!AD84),'Corrected energy balance step 1'!AD84,0)</f>
        <v>0</v>
      </c>
      <c r="AE84" s="158">
        <f>IF(ISNUMBER('Corrected energy balance step 1'!AE84),'Corrected energy balance step 1'!AE84,0)</f>
        <v>0</v>
      </c>
      <c r="AF84" s="158">
        <f>IF(ISNUMBER('Corrected energy balance step 1'!AF84),'Corrected energy balance step 1'!AF84,0)</f>
        <v>0</v>
      </c>
      <c r="AG84" s="158">
        <f>IF(ISNUMBER('Corrected energy balance step 1'!AG84),'Corrected energy balance step 1'!AG84,0)</f>
        <v>0</v>
      </c>
      <c r="AH84" s="157">
        <f>INDEX('Mobile machinery'!$C$54:$J$77,MATCH('Corrected energy balance step 2'!$B84,'Mobile machinery'!$C$54:$C$77,0),MATCH('Corrected energy balance step 2'!AH$7,'Mobile machinery'!$C$54:$J$54,0))</f>
        <v>0</v>
      </c>
      <c r="AI84" s="157">
        <f>INDEX('Mobile machinery'!$C$54:$J$77,MATCH('Corrected energy balance step 2'!$B84,'Mobile machinery'!$C$54:$C$77,0),MATCH('Corrected energy balance step 2'!AI$7,'Mobile machinery'!$C$54:$J$54,0))</f>
        <v>0</v>
      </c>
      <c r="AJ84" s="158">
        <f>IF(ISNUMBER('Corrected energy balance step 1'!AJ84),'Corrected energy balance step 1'!AJ84,0)</f>
        <v>0</v>
      </c>
      <c r="AK84" s="158">
        <f>IF(ISNUMBER('Corrected energy balance step 1'!AK84),'Corrected energy balance step 1'!AK84,0)</f>
        <v>0</v>
      </c>
      <c r="AL84" s="158">
        <f>IF(ISNUMBER('Corrected energy balance step 1'!AL84),'Corrected energy balance step 1'!AL84,0)</f>
        <v>0</v>
      </c>
      <c r="AM84" s="158">
        <f>IF(ISNUMBER('Corrected energy balance step 1'!AM84),'Corrected energy balance step 1'!AM84,0)</f>
        <v>0</v>
      </c>
      <c r="AN84" s="158">
        <f>IF(ISNUMBER('Corrected energy balance step 1'!AN84),'Corrected energy balance step 1'!AN84,0)</f>
        <v>0</v>
      </c>
      <c r="AO84" s="158">
        <f>IF(ISNUMBER('Corrected energy balance step 1'!AO84),'Corrected energy balance step 1'!AO84,0)</f>
        <v>0</v>
      </c>
      <c r="AP84" s="158">
        <f>IF(ISNUMBER('Corrected energy balance step 1'!AP84),'Corrected energy balance step 1'!AP84,0)</f>
        <v>0</v>
      </c>
      <c r="AQ84" s="158">
        <f>IF(ISNUMBER('Corrected energy balance step 1'!AQ84),'Corrected energy balance step 1'!AQ84,0)</f>
        <v>0</v>
      </c>
      <c r="AR84" s="158">
        <f>IF(ISNUMBER('Corrected energy balance step 1'!AR84),'Corrected energy balance step 1'!AR84,0)</f>
        <v>0</v>
      </c>
      <c r="AS84" s="158">
        <f>IF(ISNUMBER('Corrected energy balance step 1'!AS84),'Corrected energy balance step 1'!AS84,0)</f>
        <v>0</v>
      </c>
      <c r="AT84" s="158">
        <f>IF(ISNUMBER('Corrected energy balance step 1'!AT84),'Corrected energy balance step 1'!AT84,0)</f>
        <v>0</v>
      </c>
      <c r="AU84" s="158">
        <f>IF(ISNUMBER('Corrected energy balance step 1'!AU84),'Corrected energy balance step 1'!AU84,0)</f>
        <v>0</v>
      </c>
      <c r="AV84" s="158">
        <f>IF(ISNUMBER('Corrected energy balance step 1'!AV84),'Corrected energy balance step 1'!AV84,0)</f>
        <v>0</v>
      </c>
      <c r="AW84" s="157">
        <f>INDEX('Mobile machinery'!$C$54:$J$77,MATCH('Corrected energy balance step 2'!$B84,'Mobile machinery'!$C$54:$C$77,0),MATCH('Corrected energy balance step 2'!AW$7,'Mobile machinery'!$C$54:$J$54,0))</f>
        <v>0</v>
      </c>
      <c r="AX84" s="157">
        <f>INDEX('Mobile machinery'!$C$54:$J$77,MATCH('Corrected energy balance step 2'!$B84,'Mobile machinery'!$C$54:$C$77,0),MATCH('Corrected energy balance step 2'!AX$7,'Mobile machinery'!$C$54:$J$54,0))</f>
        <v>0</v>
      </c>
      <c r="AY84" s="157">
        <f>INDEX('Mobile machinery'!$C$54:$J$77,MATCH('Corrected energy balance step 2'!$B84,'Mobile machinery'!$C$54:$C$77,0),MATCH('Corrected energy balance step 2'!AY$7,'Mobile machinery'!$C$54:$J$54,0))</f>
        <v>0</v>
      </c>
      <c r="AZ84" s="158">
        <f>IF(ISNUMBER('Corrected energy balance step 1'!AZ84),'Corrected energy balance step 1'!AZ84,0)</f>
        <v>0</v>
      </c>
      <c r="BA84" s="158">
        <f>IF(ISNUMBER('Corrected energy balance step 1'!BA84),'Corrected energy balance step 1'!BA84,0)</f>
        <v>0</v>
      </c>
      <c r="BB84" s="158">
        <f>IF(ISNUMBER('Corrected energy balance step 1'!BB84),'Corrected energy balance step 1'!BB84,0)</f>
        <v>0</v>
      </c>
      <c r="BC84" s="158">
        <f>IF(ISNUMBER('Corrected energy balance step 1'!BC84),'Corrected energy balance step 1'!BC84,0)</f>
        <v>0</v>
      </c>
      <c r="BD84" s="158">
        <f>IF(ISNUMBER('Corrected energy balance step 1'!BD84),'Corrected energy balance step 1'!BD84,0)</f>
        <v>0</v>
      </c>
      <c r="BE84" s="158">
        <f>IF(ISNUMBER('Corrected energy balance step 1'!BE84),'Corrected energy balance step 1'!BE84,0)</f>
        <v>0</v>
      </c>
      <c r="BF84" s="158">
        <f>IF(ISNUMBER('Corrected energy balance step 1'!BF84),'Corrected energy balance step 1'!BF84,0)</f>
        <v>0</v>
      </c>
      <c r="BG84" s="158">
        <f>IF(ISNUMBER('Corrected energy balance step 1'!BG84),'Corrected energy balance step 1'!BG84,0)</f>
        <v>0</v>
      </c>
      <c r="BH84" s="158">
        <f>IF(ISNUMBER('Corrected energy balance step 1'!BH84),'Corrected energy balance step 1'!BH84,0)</f>
        <v>0</v>
      </c>
      <c r="BI84" s="158">
        <f>IF(ISNUMBER('Corrected energy balance step 1'!BI84),'Corrected energy balance step 1'!BI84,0)</f>
        <v>0</v>
      </c>
      <c r="BJ84" s="158">
        <f>IF(ISNUMBER('Corrected energy balance step 1'!BJ84),'Corrected energy balance step 1'!BJ84,0)</f>
        <v>0</v>
      </c>
      <c r="BK84" s="158">
        <f>IF(ISNUMBER('Corrected energy balance step 1'!BK84),'Corrected energy balance step 1'!BK84,0)</f>
        <v>0</v>
      </c>
      <c r="BL84" s="158">
        <f>IF(ISNUMBER('Corrected energy balance step 1'!BL84),'Corrected energy balance step 1'!BL84,0)</f>
        <v>0</v>
      </c>
      <c r="BM84" s="158">
        <f>IF(ISNUMBER('Corrected energy balance step 1'!BM84),'Corrected energy balance step 1'!BM84,0)</f>
        <v>0</v>
      </c>
      <c r="BN84" s="156">
        <f t="shared" si="60"/>
        <v>0</v>
      </c>
      <c r="BO84" s="162">
        <f>'Corrected energy balance step 1'!BO84</f>
        <v>0</v>
      </c>
    </row>
    <row r="85" spans="2:67" x14ac:dyDescent="0.2">
      <c r="B85" s="32" t="s">
        <v>117</v>
      </c>
      <c r="C85" s="158">
        <f>IF(ISNUMBER('Corrected energy balance step 1'!C85),'Corrected energy balance step 1'!C85,0)</f>
        <v>0</v>
      </c>
      <c r="D85" s="158">
        <f>IF(ISNUMBER('Corrected energy balance step 1'!D85),'Corrected energy balance step 1'!D85,0)</f>
        <v>0</v>
      </c>
      <c r="E85" s="158">
        <f>IF(ISNUMBER('Corrected energy balance step 1'!E85),'Corrected energy balance step 1'!E85,0)</f>
        <v>0</v>
      </c>
      <c r="F85" s="158">
        <f>IF(ISNUMBER('Corrected energy balance step 1'!F85),'Corrected energy balance step 1'!F85,0)</f>
        <v>0</v>
      </c>
      <c r="G85" s="158">
        <f>IF(ISNUMBER('Corrected energy balance step 1'!G85),'Corrected energy balance step 1'!G85,0)</f>
        <v>0</v>
      </c>
      <c r="H85" s="158">
        <f>IF(ISNUMBER('Corrected energy balance step 1'!H85),'Corrected energy balance step 1'!H85,0)</f>
        <v>0</v>
      </c>
      <c r="I85" s="158">
        <f>IF(ISNUMBER('Corrected energy balance step 1'!I85),'Corrected energy balance step 1'!I85,0)</f>
        <v>0</v>
      </c>
      <c r="J85" s="158">
        <f>IF(ISNUMBER('Corrected energy balance step 1'!J85),'Corrected energy balance step 1'!J85,0)</f>
        <v>0</v>
      </c>
      <c r="K85" s="158">
        <f>IF(ISNUMBER('Corrected energy balance step 1'!K85),'Corrected energy balance step 1'!K85,0)</f>
        <v>0</v>
      </c>
      <c r="L85" s="158">
        <f>IF(ISNUMBER('Corrected energy balance step 1'!L85),'Corrected energy balance step 1'!L85,0)</f>
        <v>0</v>
      </c>
      <c r="M85" s="158">
        <f>IF(ISNUMBER('Corrected energy balance step 1'!M85),'Corrected energy balance step 1'!M85,0)</f>
        <v>0</v>
      </c>
      <c r="N85" s="158">
        <f>IF(ISNUMBER('Corrected energy balance step 1'!N85),'Corrected energy balance step 1'!N85,0)</f>
        <v>0</v>
      </c>
      <c r="O85" s="158">
        <f>IF(ISNUMBER('Corrected energy balance step 1'!O85),'Corrected energy balance step 1'!O85,0)</f>
        <v>0</v>
      </c>
      <c r="P85" s="158">
        <f>IF(ISNUMBER('Corrected energy balance step 1'!P85),'Corrected energy balance step 1'!P85,0)</f>
        <v>0</v>
      </c>
      <c r="Q85" s="158">
        <f>IF(ISNUMBER('Corrected energy balance step 1'!Q85),'Corrected energy balance step 1'!Q85,0)</f>
        <v>0</v>
      </c>
      <c r="R85" s="158">
        <f>IF(ISNUMBER('Corrected energy balance step 1'!R85),'Corrected energy balance step 1'!R85,0)</f>
        <v>0</v>
      </c>
      <c r="S85" s="158">
        <f>IF(ISNUMBER('Corrected energy balance step 1'!S85),'Corrected energy balance step 1'!S85,0)</f>
        <v>0</v>
      </c>
      <c r="T85" s="158">
        <f>IF(ISNUMBER('Corrected energy balance step 1'!T85),'Corrected energy balance step 1'!T85,0)</f>
        <v>0</v>
      </c>
      <c r="U85" s="158">
        <f>IF(ISNUMBER('Corrected energy balance step 1'!U85),'Corrected energy balance step 1'!U85,0)</f>
        <v>0</v>
      </c>
      <c r="V85" s="158">
        <f>IF(ISNUMBER('Corrected energy balance step 1'!V85),'Corrected energy balance step 1'!V85,0)</f>
        <v>0</v>
      </c>
      <c r="W85" s="158">
        <f>IF(ISNUMBER('Corrected energy balance step 1'!W85),'Corrected energy balance step 1'!W85,0)</f>
        <v>0</v>
      </c>
      <c r="X85" s="158">
        <f>IF(ISNUMBER('Corrected energy balance step 1'!X85),'Corrected energy balance step 1'!X85,0)</f>
        <v>0</v>
      </c>
      <c r="Y85" s="158">
        <f>IF(ISNUMBER('Corrected energy balance step 1'!Y85),'Corrected energy balance step 1'!Y85,0)</f>
        <v>0</v>
      </c>
      <c r="Z85" s="158">
        <f>IF(ISNUMBER('Corrected energy balance step 1'!Z85),'Corrected energy balance step 1'!Z85,0)</f>
        <v>0</v>
      </c>
      <c r="AA85" s="158">
        <f>IF(ISNUMBER('Corrected energy balance step 1'!AA85),'Corrected energy balance step 1'!AA85,0)</f>
        <v>0</v>
      </c>
      <c r="AB85" s="158">
        <f>IF(ISNUMBER('Corrected energy balance step 1'!AB85),'Corrected energy balance step 1'!AB85,0)</f>
        <v>0</v>
      </c>
      <c r="AC85" s="158">
        <f>IF(ISNUMBER('Corrected energy balance step 1'!AC85),'Corrected energy balance step 1'!AC85,0)</f>
        <v>0</v>
      </c>
      <c r="AD85" s="158">
        <f>IF(ISNUMBER('Corrected energy balance step 1'!AD85),'Corrected energy balance step 1'!AD85,0)</f>
        <v>0</v>
      </c>
      <c r="AE85" s="158">
        <f>IF(ISNUMBER('Corrected energy balance step 1'!AE85),'Corrected energy balance step 1'!AE85,0)</f>
        <v>0</v>
      </c>
      <c r="AF85" s="158">
        <f>IF(ISNUMBER('Corrected energy balance step 1'!AF85),'Corrected energy balance step 1'!AF85,0)</f>
        <v>0</v>
      </c>
      <c r="AG85" s="158">
        <f>IF(ISNUMBER('Corrected energy balance step 1'!AG85),'Corrected energy balance step 1'!AG85,0)</f>
        <v>0</v>
      </c>
      <c r="AH85" s="158">
        <f>IF(ISNUMBER('Corrected energy balance step 1'!AH85),'Corrected energy balance step 1'!AH85,0)</f>
        <v>0</v>
      </c>
      <c r="AI85" s="158">
        <f>IF(ISNUMBER('Corrected energy balance step 1'!AI85),'Corrected energy balance step 1'!AI85,0)</f>
        <v>0</v>
      </c>
      <c r="AJ85" s="158">
        <f>IF(ISNUMBER('Corrected energy balance step 1'!AJ85),'Corrected energy balance step 1'!AJ85,0)</f>
        <v>0</v>
      </c>
      <c r="AK85" s="158">
        <f>IF(ISNUMBER('Corrected energy balance step 1'!AK85),'Corrected energy balance step 1'!AK85,0)</f>
        <v>0</v>
      </c>
      <c r="AL85" s="158">
        <f>IF(ISNUMBER('Corrected energy balance step 1'!AL85),'Corrected energy balance step 1'!AL85,0)</f>
        <v>0</v>
      </c>
      <c r="AM85" s="158">
        <f>IF(ISNUMBER('Corrected energy balance step 1'!AM85),'Corrected energy balance step 1'!AM85,0)</f>
        <v>0</v>
      </c>
      <c r="AN85" s="158">
        <f>IF(ISNUMBER('Corrected energy balance step 1'!AN85),'Corrected energy balance step 1'!AN85,0)</f>
        <v>0</v>
      </c>
      <c r="AO85" s="158">
        <f>IF(ISNUMBER('Corrected energy balance step 1'!AO85),'Corrected energy balance step 1'!AO85,0)</f>
        <v>0</v>
      </c>
      <c r="AP85" s="158">
        <f>IF(ISNUMBER('Corrected energy balance step 1'!AP85),'Corrected energy balance step 1'!AP85,0)</f>
        <v>0</v>
      </c>
      <c r="AQ85" s="158">
        <f>IF(ISNUMBER('Corrected energy balance step 1'!AQ85),'Corrected energy balance step 1'!AQ85,0)</f>
        <v>0</v>
      </c>
      <c r="AR85" s="158">
        <f>IF(ISNUMBER('Corrected energy balance step 1'!AR85),'Corrected energy balance step 1'!AR85,0)</f>
        <v>0</v>
      </c>
      <c r="AS85" s="158">
        <f>IF(ISNUMBER('Corrected energy balance step 1'!AS85),'Corrected energy balance step 1'!AS85,0)</f>
        <v>0</v>
      </c>
      <c r="AT85" s="158">
        <f>IF(ISNUMBER('Corrected energy balance step 1'!AT85),'Corrected energy balance step 1'!AT85,0)</f>
        <v>0</v>
      </c>
      <c r="AU85" s="158">
        <f>IF(ISNUMBER('Corrected energy balance step 1'!AU85),'Corrected energy balance step 1'!AU85,0)</f>
        <v>0</v>
      </c>
      <c r="AV85" s="158">
        <f>IF(ISNUMBER('Corrected energy balance step 1'!AV85),'Corrected energy balance step 1'!AV85,0)</f>
        <v>0</v>
      </c>
      <c r="AW85" s="158">
        <f>IF(ISNUMBER('Corrected energy balance step 1'!AW85),'Corrected energy balance step 1'!AW85,0)</f>
        <v>0</v>
      </c>
      <c r="AX85" s="158">
        <f>IF(ISNUMBER('Corrected energy balance step 1'!AX85),'Corrected energy balance step 1'!AX85,0)</f>
        <v>0</v>
      </c>
      <c r="AY85" s="158">
        <f>IF(ISNUMBER('Corrected energy balance step 1'!AY85),'Corrected energy balance step 1'!AY85,0)</f>
        <v>0</v>
      </c>
      <c r="AZ85" s="158">
        <f>IF(ISNUMBER('Corrected energy balance step 1'!AZ85),'Corrected energy balance step 1'!AZ85,0)</f>
        <v>0</v>
      </c>
      <c r="BA85" s="158">
        <f>IF(ISNUMBER('Corrected energy balance step 1'!BA85),'Corrected energy balance step 1'!BA85,0)</f>
        <v>0</v>
      </c>
      <c r="BB85" s="158">
        <f>IF(ISNUMBER('Corrected energy balance step 1'!BB85),'Corrected energy balance step 1'!BB85,0)</f>
        <v>0</v>
      </c>
      <c r="BC85" s="158">
        <f>IF(ISNUMBER('Corrected energy balance step 1'!BC85),'Corrected energy balance step 1'!BC85,0)</f>
        <v>0</v>
      </c>
      <c r="BD85" s="158">
        <f>IF(ISNUMBER('Corrected energy balance step 1'!BD85),'Corrected energy balance step 1'!BD85,0)</f>
        <v>0</v>
      </c>
      <c r="BE85" s="158">
        <f>IF(ISNUMBER('Corrected energy balance step 1'!BE85),'Corrected energy balance step 1'!BE85,0)</f>
        <v>0</v>
      </c>
      <c r="BF85" s="158">
        <f>IF(ISNUMBER('Corrected energy balance step 1'!BF85),'Corrected energy balance step 1'!BF85,0)</f>
        <v>0</v>
      </c>
      <c r="BG85" s="158">
        <f>IF(ISNUMBER('Corrected energy balance step 1'!BG85),'Corrected energy balance step 1'!BG85,0)</f>
        <v>0</v>
      </c>
      <c r="BH85" s="158">
        <f>IF(ISNUMBER('Corrected energy balance step 1'!BH85),'Corrected energy balance step 1'!BH85,0)</f>
        <v>0</v>
      </c>
      <c r="BI85" s="158">
        <f>IF(ISNUMBER('Corrected energy balance step 1'!BI85),'Corrected energy balance step 1'!BI85,0)</f>
        <v>0</v>
      </c>
      <c r="BJ85" s="158">
        <f>IF(ISNUMBER('Corrected energy balance step 1'!BJ85),'Corrected energy balance step 1'!BJ85,0)</f>
        <v>0</v>
      </c>
      <c r="BK85" s="158">
        <f>IF(ISNUMBER('Corrected energy balance step 1'!BK85),'Corrected energy balance step 1'!BK85,0)</f>
        <v>0</v>
      </c>
      <c r="BL85" s="158">
        <f>IF(ISNUMBER('Corrected energy balance step 1'!BL85),'Corrected energy balance step 1'!BL85,0)</f>
        <v>0</v>
      </c>
      <c r="BM85" s="158">
        <f>IF(ISNUMBER('Corrected energy balance step 1'!BM85),'Corrected energy balance step 1'!BM85,0)</f>
        <v>0</v>
      </c>
      <c r="BN85" s="156">
        <f t="shared" si="60"/>
        <v>0</v>
      </c>
      <c r="BO85" s="159">
        <f>'Corrected energy balance step 1'!BO85</f>
        <v>0</v>
      </c>
    </row>
    <row r="86" spans="2:67" ht="17" thickBot="1" x14ac:dyDescent="0.25">
      <c r="B86" s="32" t="s">
        <v>118</v>
      </c>
      <c r="C86" s="158">
        <f>IF(ISNUMBER('Corrected energy balance step 1'!C86),'Corrected energy balance step 1'!C86,0)</f>
        <v>0</v>
      </c>
      <c r="D86" s="158">
        <f>IF(ISNUMBER('Corrected energy balance step 1'!D86),'Corrected energy balance step 1'!D86,0)</f>
        <v>0</v>
      </c>
      <c r="E86" s="158">
        <f>IF(ISNUMBER('Corrected energy balance step 1'!E86),'Corrected energy balance step 1'!E86,0)</f>
        <v>0</v>
      </c>
      <c r="F86" s="158">
        <f>IF(ISNUMBER('Corrected energy balance step 1'!F86),'Corrected energy balance step 1'!F86,0)</f>
        <v>0</v>
      </c>
      <c r="G86" s="158">
        <f>IF(ISNUMBER('Corrected energy balance step 1'!G86),'Corrected energy balance step 1'!G86,0)</f>
        <v>0</v>
      </c>
      <c r="H86" s="158">
        <f>IF(ISNUMBER('Corrected energy balance step 1'!H86),'Corrected energy balance step 1'!H86,0)</f>
        <v>0</v>
      </c>
      <c r="I86" s="158">
        <f>IF(ISNUMBER('Corrected energy balance step 1'!I86),'Corrected energy balance step 1'!I86,0)</f>
        <v>0</v>
      </c>
      <c r="J86" s="158">
        <f>IF(ISNUMBER('Corrected energy balance step 1'!J86),'Corrected energy balance step 1'!J86,0)</f>
        <v>0</v>
      </c>
      <c r="K86" s="158">
        <f>IF(ISNUMBER('Corrected energy balance step 1'!K86),'Corrected energy balance step 1'!K86,0)</f>
        <v>0</v>
      </c>
      <c r="L86" s="158">
        <f>IF(ISNUMBER('Corrected energy balance step 1'!L86),'Corrected energy balance step 1'!L86,0)</f>
        <v>0</v>
      </c>
      <c r="M86" s="158">
        <f>IF(ISNUMBER('Corrected energy balance step 1'!M86),'Corrected energy balance step 1'!M86,0)</f>
        <v>0</v>
      </c>
      <c r="N86" s="158">
        <f>IF(ISNUMBER('Corrected energy balance step 1'!N86),'Corrected energy balance step 1'!N86,0)</f>
        <v>0</v>
      </c>
      <c r="O86" s="158">
        <f>IF(ISNUMBER('Corrected energy balance step 1'!O86),'Corrected energy balance step 1'!O86,0)</f>
        <v>0</v>
      </c>
      <c r="P86" s="158">
        <f>IF(ISNUMBER('Corrected energy balance step 1'!P86),'Corrected energy balance step 1'!P86,0)</f>
        <v>0</v>
      </c>
      <c r="Q86" s="158">
        <f>IF(ISNUMBER('Corrected energy balance step 1'!Q86),'Corrected energy balance step 1'!Q86,0)</f>
        <v>0</v>
      </c>
      <c r="R86" s="158">
        <f>IF(ISNUMBER('Corrected energy balance step 1'!R86),'Corrected energy balance step 1'!R86,0)</f>
        <v>0</v>
      </c>
      <c r="S86" s="158">
        <f>IF(ISNUMBER('Corrected energy balance step 1'!S86),'Corrected energy balance step 1'!S86,0)</f>
        <v>0</v>
      </c>
      <c r="T86" s="158">
        <f>IF(ISNUMBER('Corrected energy balance step 1'!T86),'Corrected energy balance step 1'!T86,0)</f>
        <v>0</v>
      </c>
      <c r="U86" s="158">
        <f>IF(ISNUMBER('Corrected energy balance step 1'!U86),'Corrected energy balance step 1'!U86,0)</f>
        <v>0</v>
      </c>
      <c r="V86" s="158">
        <f>IF(ISNUMBER('Corrected energy balance step 1'!V86),'Corrected energy balance step 1'!V86,0)</f>
        <v>0</v>
      </c>
      <c r="W86" s="158">
        <f>IF(ISNUMBER('Corrected energy balance step 1'!W86),'Corrected energy balance step 1'!W86,0)</f>
        <v>0</v>
      </c>
      <c r="X86" s="158">
        <f>IF(ISNUMBER('Corrected energy balance step 1'!X86),'Corrected energy balance step 1'!X86,0)</f>
        <v>0</v>
      </c>
      <c r="Y86" s="158">
        <f>IF(ISNUMBER('Corrected energy balance step 1'!Y86),'Corrected energy balance step 1'!Y86,0)</f>
        <v>0</v>
      </c>
      <c r="Z86" s="158">
        <f>IF(ISNUMBER('Corrected energy balance step 1'!Z86),'Corrected energy balance step 1'!Z86,0)</f>
        <v>0</v>
      </c>
      <c r="AA86" s="158">
        <f>IF(ISNUMBER('Corrected energy balance step 1'!AA86),'Corrected energy balance step 1'!AA86,0)</f>
        <v>0</v>
      </c>
      <c r="AB86" s="158">
        <f>IF(ISNUMBER('Corrected energy balance step 1'!AB86),'Corrected energy balance step 1'!AB86,0)</f>
        <v>0</v>
      </c>
      <c r="AC86" s="157">
        <f>INDEX('Mobile machinery'!$C$54:$J$77,MATCH('Corrected energy balance step 2'!$B86,'Mobile machinery'!$C$54:$C$77,0),MATCH('Corrected energy balance step 2'!AC$7,'Mobile machinery'!$C$54:$J$54,0))</f>
        <v>0</v>
      </c>
      <c r="AD86" s="158">
        <f>IF(ISNUMBER('Corrected energy balance step 1'!AD86),'Corrected energy balance step 1'!AD86,0)</f>
        <v>0</v>
      </c>
      <c r="AE86" s="158">
        <f>IF(ISNUMBER('Corrected energy balance step 1'!AE86),'Corrected energy balance step 1'!AE86,0)</f>
        <v>0</v>
      </c>
      <c r="AF86" s="158">
        <f>IF(ISNUMBER('Corrected energy balance step 1'!AF86),'Corrected energy balance step 1'!AF86,0)</f>
        <v>0</v>
      </c>
      <c r="AG86" s="158">
        <f>IF(ISNUMBER('Corrected energy balance step 1'!AG86),'Corrected energy balance step 1'!AG86,0)</f>
        <v>0</v>
      </c>
      <c r="AH86" s="157">
        <f>INDEX('Mobile machinery'!$C$54:$J$77,MATCH('Corrected energy balance step 2'!$B86,'Mobile machinery'!$C$54:$C$77,0),MATCH('Corrected energy balance step 2'!AH$7,'Mobile machinery'!$C$54:$J$54,0))</f>
        <v>0</v>
      </c>
      <c r="AI86" s="157">
        <f>INDEX('Mobile machinery'!$C$54:$J$77,MATCH('Corrected energy balance step 2'!$B86,'Mobile machinery'!$C$54:$C$77,0),MATCH('Corrected energy balance step 2'!AI$7,'Mobile machinery'!$C$54:$J$54,0))</f>
        <v>0</v>
      </c>
      <c r="AJ86" s="158">
        <f>IF(ISNUMBER('Corrected energy balance step 1'!AJ86),'Corrected energy balance step 1'!AJ86,0)</f>
        <v>0</v>
      </c>
      <c r="AK86" s="158">
        <f>IF(ISNUMBER('Corrected energy balance step 1'!AK86),'Corrected energy balance step 1'!AK86,0)</f>
        <v>0</v>
      </c>
      <c r="AL86" s="158">
        <f>IF(ISNUMBER('Corrected energy balance step 1'!AL86),'Corrected energy balance step 1'!AL86,0)</f>
        <v>0</v>
      </c>
      <c r="AM86" s="158">
        <f>IF(ISNUMBER('Corrected energy balance step 1'!AM86),'Corrected energy balance step 1'!AM86,0)</f>
        <v>0</v>
      </c>
      <c r="AN86" s="158">
        <f>IF(ISNUMBER('Corrected energy balance step 1'!AN86),'Corrected energy balance step 1'!AN86,0)</f>
        <v>0</v>
      </c>
      <c r="AO86" s="158">
        <f>IF(ISNUMBER('Corrected energy balance step 1'!AO86),'Corrected energy balance step 1'!AO86,0)</f>
        <v>0</v>
      </c>
      <c r="AP86" s="158">
        <f>IF(ISNUMBER('Corrected energy balance step 1'!AP86),'Corrected energy balance step 1'!AP86,0)</f>
        <v>0</v>
      </c>
      <c r="AQ86" s="158">
        <f>IF(ISNUMBER('Corrected energy balance step 1'!AQ86),'Corrected energy balance step 1'!AQ86,0)</f>
        <v>0</v>
      </c>
      <c r="AR86" s="158">
        <f>IF(ISNUMBER('Corrected energy balance step 1'!AR86),'Corrected energy balance step 1'!AR86,0)</f>
        <v>0</v>
      </c>
      <c r="AS86" s="158">
        <f>IF(ISNUMBER('Corrected energy balance step 1'!AS86),'Corrected energy balance step 1'!AS86,0)</f>
        <v>0</v>
      </c>
      <c r="AT86" s="158">
        <f>IF(ISNUMBER('Corrected energy balance step 1'!AT86),'Corrected energy balance step 1'!AT86,0)</f>
        <v>0</v>
      </c>
      <c r="AU86" s="158">
        <f>IF(ISNUMBER('Corrected energy balance step 1'!AU86),'Corrected energy balance step 1'!AU86,0)</f>
        <v>0</v>
      </c>
      <c r="AV86" s="158">
        <f>IF(ISNUMBER('Corrected energy balance step 1'!AV86),'Corrected energy balance step 1'!AV86,0)</f>
        <v>0</v>
      </c>
      <c r="AW86" s="157">
        <f>INDEX('Mobile machinery'!$C$54:$J$77,MATCH('Corrected energy balance step 2'!$B86,'Mobile machinery'!$C$54:$C$77,0),MATCH('Corrected energy balance step 2'!AW$7,'Mobile machinery'!$C$54:$J$54,0))</f>
        <v>0</v>
      </c>
      <c r="AX86" s="157">
        <f>INDEX('Mobile machinery'!$C$54:$J$77,MATCH('Corrected energy balance step 2'!$B86,'Mobile machinery'!$C$54:$C$77,0),MATCH('Corrected energy balance step 2'!AX$7,'Mobile machinery'!$C$54:$J$54,0))</f>
        <v>0</v>
      </c>
      <c r="AY86" s="157">
        <f>INDEX('Mobile machinery'!$C$54:$J$77,MATCH('Corrected energy balance step 2'!$B86,'Mobile machinery'!$C$54:$C$77,0),MATCH('Corrected energy balance step 2'!AY$7,'Mobile machinery'!$C$54:$J$54,0))</f>
        <v>0</v>
      </c>
      <c r="AZ86" s="158">
        <f>IF(ISNUMBER('Corrected energy balance step 1'!AZ86),'Corrected energy balance step 1'!AZ86,0)</f>
        <v>0</v>
      </c>
      <c r="BA86" s="158">
        <f>IF(ISNUMBER('Corrected energy balance step 1'!BA86),'Corrected energy balance step 1'!BA86,0)</f>
        <v>0</v>
      </c>
      <c r="BB86" s="158">
        <f>IF(ISNUMBER('Corrected energy balance step 1'!BB86),'Corrected energy balance step 1'!BB86,0)</f>
        <v>0</v>
      </c>
      <c r="BC86" s="158">
        <f>IF(ISNUMBER('Corrected energy balance step 1'!BC86),'Corrected energy balance step 1'!BC86,0)</f>
        <v>0</v>
      </c>
      <c r="BD86" s="158">
        <f>IF(ISNUMBER('Corrected energy balance step 1'!BD86),'Corrected energy balance step 1'!BD86,0)</f>
        <v>0</v>
      </c>
      <c r="BE86" s="158">
        <f>IF(ISNUMBER('Corrected energy balance step 1'!BE86),'Corrected energy balance step 1'!BE86,0)</f>
        <v>0</v>
      </c>
      <c r="BF86" s="158">
        <f>IF(ISNUMBER('Corrected energy balance step 1'!BF86),'Corrected energy balance step 1'!BF86,0)</f>
        <v>0</v>
      </c>
      <c r="BG86" s="158">
        <f>IF(ISNUMBER('Corrected energy balance step 1'!BG86),'Corrected energy balance step 1'!BG86,0)</f>
        <v>0</v>
      </c>
      <c r="BH86" s="158">
        <f>IF(ISNUMBER('Corrected energy balance step 1'!BH86),'Corrected energy balance step 1'!BH86,0)</f>
        <v>0</v>
      </c>
      <c r="BI86" s="158">
        <f>IF(ISNUMBER('Corrected energy balance step 1'!BI86),'Corrected energy balance step 1'!BI86,0)</f>
        <v>0</v>
      </c>
      <c r="BJ86" s="158">
        <f>IF(ISNUMBER('Corrected energy balance step 1'!BJ86),'Corrected energy balance step 1'!BJ86,0)</f>
        <v>0</v>
      </c>
      <c r="BK86" s="158">
        <f>IF(ISNUMBER('Corrected energy balance step 1'!BK86),'Corrected energy balance step 1'!BK86,0)</f>
        <v>0</v>
      </c>
      <c r="BL86" s="158">
        <f>IF(ISNUMBER('Corrected energy balance step 1'!BL86),'Corrected energy balance step 1'!BL86,0)</f>
        <v>0</v>
      </c>
      <c r="BM86" s="158">
        <f>IF(ISNUMBER('Corrected energy balance step 1'!BM86),'Corrected energy balance step 1'!BM86,0)</f>
        <v>0</v>
      </c>
      <c r="BN86" s="156">
        <f t="shared" si="60"/>
        <v>0</v>
      </c>
      <c r="BO86" s="159">
        <f>'Corrected energy balance step 1'!BO86</f>
        <v>0</v>
      </c>
    </row>
    <row r="87" spans="2:67" ht="17" thickBot="1" x14ac:dyDescent="0.25">
      <c r="B87" s="40" t="s">
        <v>119</v>
      </c>
      <c r="C87" s="250">
        <f>SUM(C88,C90:C91)</f>
        <v>0</v>
      </c>
      <c r="D87" s="250">
        <f t="shared" ref="D87:BM87" si="73">SUM(D88,D90:D91)</f>
        <v>0</v>
      </c>
      <c r="E87" s="250">
        <f t="shared" si="73"/>
        <v>0</v>
      </c>
      <c r="F87" s="250">
        <f t="shared" si="73"/>
        <v>0</v>
      </c>
      <c r="G87" s="250">
        <f t="shared" si="73"/>
        <v>0</v>
      </c>
      <c r="H87" s="250">
        <f t="shared" si="73"/>
        <v>0</v>
      </c>
      <c r="I87" s="250">
        <f t="shared" si="73"/>
        <v>0</v>
      </c>
      <c r="J87" s="250">
        <f t="shared" si="73"/>
        <v>0</v>
      </c>
      <c r="K87" s="250">
        <f t="shared" si="73"/>
        <v>0</v>
      </c>
      <c r="L87" s="250">
        <f t="shared" si="73"/>
        <v>0</v>
      </c>
      <c r="M87" s="250">
        <f t="shared" si="73"/>
        <v>0</v>
      </c>
      <c r="N87" s="250">
        <f t="shared" si="73"/>
        <v>0</v>
      </c>
      <c r="O87" s="250">
        <f t="shared" si="73"/>
        <v>0</v>
      </c>
      <c r="P87" s="250">
        <f t="shared" si="73"/>
        <v>0</v>
      </c>
      <c r="Q87" s="250">
        <f t="shared" si="73"/>
        <v>0</v>
      </c>
      <c r="R87" s="250">
        <f t="shared" si="73"/>
        <v>0</v>
      </c>
      <c r="S87" s="250">
        <f t="shared" si="73"/>
        <v>0</v>
      </c>
      <c r="T87" s="250">
        <f t="shared" si="73"/>
        <v>0</v>
      </c>
      <c r="U87" s="250">
        <f t="shared" si="73"/>
        <v>0</v>
      </c>
      <c r="V87" s="250">
        <f t="shared" si="73"/>
        <v>0</v>
      </c>
      <c r="W87" s="250">
        <f t="shared" si="73"/>
        <v>0</v>
      </c>
      <c r="X87" s="250">
        <f t="shared" si="73"/>
        <v>0</v>
      </c>
      <c r="Y87" s="250">
        <f t="shared" si="73"/>
        <v>0</v>
      </c>
      <c r="Z87" s="250">
        <f t="shared" si="73"/>
        <v>0</v>
      </c>
      <c r="AA87" s="250">
        <f t="shared" si="73"/>
        <v>0</v>
      </c>
      <c r="AB87" s="250">
        <f t="shared" si="73"/>
        <v>0</v>
      </c>
      <c r="AC87" s="250">
        <f t="shared" si="73"/>
        <v>0</v>
      </c>
      <c r="AD87" s="250">
        <f t="shared" si="73"/>
        <v>0</v>
      </c>
      <c r="AE87" s="250">
        <f t="shared" si="73"/>
        <v>0</v>
      </c>
      <c r="AF87" s="250">
        <f t="shared" si="73"/>
        <v>0</v>
      </c>
      <c r="AG87" s="250">
        <f t="shared" si="73"/>
        <v>0</v>
      </c>
      <c r="AH87" s="250">
        <f t="shared" si="73"/>
        <v>0</v>
      </c>
      <c r="AI87" s="250">
        <f t="shared" si="73"/>
        <v>0</v>
      </c>
      <c r="AJ87" s="250">
        <f t="shared" si="73"/>
        <v>0</v>
      </c>
      <c r="AK87" s="250">
        <f t="shared" si="73"/>
        <v>0</v>
      </c>
      <c r="AL87" s="250">
        <f t="shared" si="73"/>
        <v>0</v>
      </c>
      <c r="AM87" s="250">
        <f t="shared" si="73"/>
        <v>0</v>
      </c>
      <c r="AN87" s="250">
        <f t="shared" si="73"/>
        <v>0</v>
      </c>
      <c r="AO87" s="250">
        <f t="shared" si="73"/>
        <v>0</v>
      </c>
      <c r="AP87" s="250">
        <f t="shared" si="73"/>
        <v>0</v>
      </c>
      <c r="AQ87" s="250">
        <f t="shared" si="73"/>
        <v>0</v>
      </c>
      <c r="AR87" s="250">
        <f t="shared" si="73"/>
        <v>0</v>
      </c>
      <c r="AS87" s="250">
        <f t="shared" si="73"/>
        <v>0</v>
      </c>
      <c r="AT87" s="250">
        <f t="shared" si="73"/>
        <v>0</v>
      </c>
      <c r="AU87" s="250">
        <f t="shared" si="73"/>
        <v>0</v>
      </c>
      <c r="AV87" s="250">
        <f t="shared" si="73"/>
        <v>0</v>
      </c>
      <c r="AW87" s="250">
        <f t="shared" si="73"/>
        <v>0</v>
      </c>
      <c r="AX87" s="250">
        <f t="shared" ref="AX87" si="74">SUM(AX88,AX90:AX91)</f>
        <v>0</v>
      </c>
      <c r="AY87" s="250">
        <f t="shared" si="73"/>
        <v>0</v>
      </c>
      <c r="AZ87" s="250">
        <f t="shared" si="73"/>
        <v>0</v>
      </c>
      <c r="BA87" s="250">
        <f t="shared" si="73"/>
        <v>0</v>
      </c>
      <c r="BB87" s="250">
        <f t="shared" si="73"/>
        <v>0</v>
      </c>
      <c r="BC87" s="250">
        <f t="shared" si="73"/>
        <v>0</v>
      </c>
      <c r="BD87" s="250">
        <f t="shared" si="73"/>
        <v>0</v>
      </c>
      <c r="BE87" s="250">
        <f t="shared" si="73"/>
        <v>0</v>
      </c>
      <c r="BF87" s="250">
        <f t="shared" si="73"/>
        <v>0</v>
      </c>
      <c r="BG87" s="250">
        <f t="shared" si="73"/>
        <v>0</v>
      </c>
      <c r="BH87" s="250">
        <f t="shared" si="73"/>
        <v>0</v>
      </c>
      <c r="BI87" s="250">
        <f t="shared" si="73"/>
        <v>0</v>
      </c>
      <c r="BJ87" s="250">
        <f t="shared" si="73"/>
        <v>0</v>
      </c>
      <c r="BK87" s="250">
        <f t="shared" si="73"/>
        <v>0</v>
      </c>
      <c r="BL87" s="250">
        <f t="shared" si="73"/>
        <v>0</v>
      </c>
      <c r="BM87" s="250">
        <f t="shared" si="73"/>
        <v>0</v>
      </c>
      <c r="BN87" s="164">
        <f>SUM(C87:BM87)</f>
        <v>0</v>
      </c>
      <c r="BO87" s="168">
        <f>'Corrected energy balance step 1'!BO87</f>
        <v>0</v>
      </c>
    </row>
    <row r="88" spans="2:67" x14ac:dyDescent="0.2">
      <c r="B88" s="32" t="s">
        <v>120</v>
      </c>
      <c r="C88" s="158">
        <f>IF(ISNUMBER('Corrected energy balance step 1'!C88),'Corrected energy balance step 1'!C88,0)</f>
        <v>0</v>
      </c>
      <c r="D88" s="158">
        <f>IF(ISNUMBER('Corrected energy balance step 1'!D88),'Corrected energy balance step 1'!D88,0)</f>
        <v>0</v>
      </c>
      <c r="E88" s="158">
        <f>IF(ISNUMBER('Corrected energy balance step 1'!E88),'Corrected energy balance step 1'!E88,0)</f>
        <v>0</v>
      </c>
      <c r="F88" s="158">
        <f>IF(ISNUMBER('Corrected energy balance step 1'!F88),'Corrected energy balance step 1'!F88,0)</f>
        <v>0</v>
      </c>
      <c r="G88" s="158">
        <f>IF(ISNUMBER('Corrected energy balance step 1'!G88),'Corrected energy balance step 1'!G88,0)</f>
        <v>0</v>
      </c>
      <c r="H88" s="158">
        <f>IF(ISNUMBER('Corrected energy balance step 1'!H88),'Corrected energy balance step 1'!H88,0)</f>
        <v>0</v>
      </c>
      <c r="I88" s="158">
        <f>IF(ISNUMBER('Corrected energy balance step 1'!I88),'Corrected energy balance step 1'!I88,0)</f>
        <v>0</v>
      </c>
      <c r="J88" s="158">
        <f>IF(ISNUMBER('Corrected energy balance step 1'!J88),'Corrected energy balance step 1'!J88,0)</f>
        <v>0</v>
      </c>
      <c r="K88" s="158">
        <f>IF(ISNUMBER('Corrected energy balance step 1'!K88),'Corrected energy balance step 1'!K88,0)</f>
        <v>0</v>
      </c>
      <c r="L88" s="158">
        <f>IF(ISNUMBER('Corrected energy balance step 1'!L88),'Corrected energy balance step 1'!L88,0)</f>
        <v>0</v>
      </c>
      <c r="M88" s="158">
        <f>IF(ISNUMBER('Corrected energy balance step 1'!M88),'Corrected energy balance step 1'!M88,0)</f>
        <v>0</v>
      </c>
      <c r="N88" s="158">
        <f>IF(ISNUMBER('Corrected energy balance step 1'!N88),'Corrected energy balance step 1'!N88,0)</f>
        <v>0</v>
      </c>
      <c r="O88" s="158">
        <f>IF(ISNUMBER('Corrected energy balance step 1'!O88),'Corrected energy balance step 1'!O88,0)</f>
        <v>0</v>
      </c>
      <c r="P88" s="158">
        <f>IF(ISNUMBER('Corrected energy balance step 1'!P88),'Corrected energy balance step 1'!P88,0)</f>
        <v>0</v>
      </c>
      <c r="Q88" s="158">
        <f>IF(ISNUMBER('Corrected energy balance step 1'!Q88),'Corrected energy balance step 1'!Q88,0)</f>
        <v>0</v>
      </c>
      <c r="R88" s="158">
        <f>IF(ISNUMBER('Corrected energy balance step 1'!R88),'Corrected energy balance step 1'!R88,0)</f>
        <v>0</v>
      </c>
      <c r="S88" s="158">
        <f>IF(ISNUMBER('Corrected energy balance step 1'!S88),'Corrected energy balance step 1'!S88,0)</f>
        <v>0</v>
      </c>
      <c r="T88" s="158">
        <f>IF(ISNUMBER('Corrected energy balance step 1'!T88),'Corrected energy balance step 1'!T88,0)</f>
        <v>0</v>
      </c>
      <c r="U88" s="158">
        <f>IF(ISNUMBER('Corrected energy balance step 1'!U88),'Corrected energy balance step 1'!U88,0)</f>
        <v>0</v>
      </c>
      <c r="V88" s="158">
        <f>IF(ISNUMBER('Corrected energy balance step 1'!V88),'Corrected energy balance step 1'!V88,0)</f>
        <v>0</v>
      </c>
      <c r="W88" s="158">
        <f>IF(ISNUMBER('Corrected energy balance step 1'!W88),'Corrected energy balance step 1'!W88,0)</f>
        <v>0</v>
      </c>
      <c r="X88" s="158">
        <f>IF(ISNUMBER('Corrected energy balance step 1'!X88),'Corrected energy balance step 1'!X88,0)</f>
        <v>0</v>
      </c>
      <c r="Y88" s="158">
        <f>IF(ISNUMBER('Corrected energy balance step 1'!Y88),'Corrected energy balance step 1'!Y88,0)</f>
        <v>0</v>
      </c>
      <c r="Z88" s="158">
        <f>IF(ISNUMBER('Corrected energy balance step 1'!Z88),'Corrected energy balance step 1'!Z88,0)</f>
        <v>0</v>
      </c>
      <c r="AA88" s="158">
        <f>IF(ISNUMBER('Corrected energy balance step 1'!AA88),'Corrected energy balance step 1'!AA88,0)</f>
        <v>0</v>
      </c>
      <c r="AB88" s="158">
        <f>IF(ISNUMBER('Corrected energy balance step 1'!AB88),'Corrected energy balance step 1'!AB88,0)</f>
        <v>0</v>
      </c>
      <c r="AC88" s="158">
        <f>IF(ISNUMBER('Corrected energy balance step 1'!AC88),'Corrected energy balance step 1'!AC88,0)</f>
        <v>0</v>
      </c>
      <c r="AD88" s="158">
        <f>IF(ISNUMBER('Corrected energy balance step 1'!AD88),'Corrected energy balance step 1'!AD88,0)</f>
        <v>0</v>
      </c>
      <c r="AE88" s="158">
        <f>IF(ISNUMBER('Corrected energy balance step 1'!AE88),'Corrected energy balance step 1'!AE88,0)</f>
        <v>0</v>
      </c>
      <c r="AF88" s="158">
        <f>IF(ISNUMBER('Corrected energy balance step 1'!AF88),'Corrected energy balance step 1'!AF88,0)</f>
        <v>0</v>
      </c>
      <c r="AG88" s="158">
        <f>IF(ISNUMBER('Corrected energy balance step 1'!AG88),'Corrected energy balance step 1'!AG88,0)</f>
        <v>0</v>
      </c>
      <c r="AH88" s="158">
        <f>IF(ISNUMBER('Corrected energy balance step 1'!AH88),'Corrected energy balance step 1'!AH88,0)</f>
        <v>0</v>
      </c>
      <c r="AI88" s="158">
        <f>IF(ISNUMBER('Corrected energy balance step 1'!AI88),'Corrected energy balance step 1'!AI88,0)</f>
        <v>0</v>
      </c>
      <c r="AJ88" s="158">
        <f>IF(ISNUMBER('Corrected energy balance step 1'!AJ88),'Corrected energy balance step 1'!AJ88,0)</f>
        <v>0</v>
      </c>
      <c r="AK88" s="158">
        <f>IF(ISNUMBER('Corrected energy balance step 1'!AK88),'Corrected energy balance step 1'!AK88,0)</f>
        <v>0</v>
      </c>
      <c r="AL88" s="158">
        <f>IF(ISNUMBER('Corrected energy balance step 1'!AL88),'Corrected energy balance step 1'!AL88,0)</f>
        <v>0</v>
      </c>
      <c r="AM88" s="158">
        <f>IF(ISNUMBER('Corrected energy balance step 1'!AM88),'Corrected energy balance step 1'!AM88,0)</f>
        <v>0</v>
      </c>
      <c r="AN88" s="158">
        <f>IF(ISNUMBER('Corrected energy balance step 1'!AN88),'Corrected energy balance step 1'!AN88,0)</f>
        <v>0</v>
      </c>
      <c r="AO88" s="158">
        <f>IF(ISNUMBER('Corrected energy balance step 1'!AO88),'Corrected energy balance step 1'!AO88,0)</f>
        <v>0</v>
      </c>
      <c r="AP88" s="158">
        <f>IF(ISNUMBER('Corrected energy balance step 1'!AP88),'Corrected energy balance step 1'!AP88,0)</f>
        <v>0</v>
      </c>
      <c r="AQ88" s="158">
        <f>IF(ISNUMBER('Corrected energy balance step 1'!AQ88),'Corrected energy balance step 1'!AQ88,0)</f>
        <v>0</v>
      </c>
      <c r="AR88" s="158">
        <f>IF(ISNUMBER('Corrected energy balance step 1'!AR88),'Corrected energy balance step 1'!AR88,0)</f>
        <v>0</v>
      </c>
      <c r="AS88" s="158">
        <f>IF(ISNUMBER('Corrected energy balance step 1'!AS88),'Corrected energy balance step 1'!AS88,0)</f>
        <v>0</v>
      </c>
      <c r="AT88" s="158">
        <f>IF(ISNUMBER('Corrected energy balance step 1'!AT88),'Corrected energy balance step 1'!AT88,0)</f>
        <v>0</v>
      </c>
      <c r="AU88" s="158">
        <f>IF(ISNUMBER('Corrected energy balance step 1'!AU88),'Corrected energy balance step 1'!AU88,0)</f>
        <v>0</v>
      </c>
      <c r="AV88" s="158">
        <f>IF(ISNUMBER('Corrected energy balance step 1'!AV88),'Corrected energy balance step 1'!AV88,0)</f>
        <v>0</v>
      </c>
      <c r="AW88" s="158">
        <f>IF(ISNUMBER('Corrected energy balance step 1'!AW88),'Corrected energy balance step 1'!AW88,0)</f>
        <v>0</v>
      </c>
      <c r="AX88" s="158">
        <f>IF(ISNUMBER('Corrected energy balance step 1'!AX88),'Corrected energy balance step 1'!AX88,0)</f>
        <v>0</v>
      </c>
      <c r="AY88" s="158">
        <f>IF(ISNUMBER('Corrected energy balance step 1'!AY88),'Corrected energy balance step 1'!AY88,0)</f>
        <v>0</v>
      </c>
      <c r="AZ88" s="158">
        <f>IF(ISNUMBER('Corrected energy balance step 1'!AZ88),'Corrected energy balance step 1'!AZ88,0)</f>
        <v>0</v>
      </c>
      <c r="BA88" s="158">
        <f>IF(ISNUMBER('Corrected energy balance step 1'!BA88),'Corrected energy balance step 1'!BA88,0)</f>
        <v>0</v>
      </c>
      <c r="BB88" s="158">
        <f>IF(ISNUMBER('Corrected energy balance step 1'!BB88),'Corrected energy balance step 1'!BB88,0)</f>
        <v>0</v>
      </c>
      <c r="BC88" s="158">
        <f>IF(ISNUMBER('Corrected energy balance step 1'!BC88),'Corrected energy balance step 1'!BC88,0)</f>
        <v>0</v>
      </c>
      <c r="BD88" s="158">
        <f>IF(ISNUMBER('Corrected energy balance step 1'!BD88),'Corrected energy balance step 1'!BD88,0)</f>
        <v>0</v>
      </c>
      <c r="BE88" s="158">
        <f>IF(ISNUMBER('Corrected energy balance step 1'!BE88),'Corrected energy balance step 1'!BE88,0)</f>
        <v>0</v>
      </c>
      <c r="BF88" s="158">
        <f>IF(ISNUMBER('Corrected energy balance step 1'!BF88),'Corrected energy balance step 1'!BF88,0)</f>
        <v>0</v>
      </c>
      <c r="BG88" s="158">
        <f>IF(ISNUMBER('Corrected energy balance step 1'!BG88),'Corrected energy balance step 1'!BG88,0)</f>
        <v>0</v>
      </c>
      <c r="BH88" s="158">
        <f>IF(ISNUMBER('Corrected energy balance step 1'!BH88),'Corrected energy balance step 1'!BH88,0)</f>
        <v>0</v>
      </c>
      <c r="BI88" s="158">
        <f>IF(ISNUMBER('Corrected energy balance step 1'!BI88),'Corrected energy balance step 1'!BI88,0)</f>
        <v>0</v>
      </c>
      <c r="BJ88" s="158">
        <f>IF(ISNUMBER('Corrected energy balance step 1'!BJ88),'Corrected energy balance step 1'!BJ88,0)</f>
        <v>0</v>
      </c>
      <c r="BK88" s="158">
        <f>IF(ISNUMBER('Corrected energy balance step 1'!BK88),'Corrected energy balance step 1'!BK88,0)</f>
        <v>0</v>
      </c>
      <c r="BL88" s="158">
        <f>IF(ISNUMBER('Corrected energy balance step 1'!BL88),'Corrected energy balance step 1'!BL88,0)</f>
        <v>0</v>
      </c>
      <c r="BM88" s="158">
        <f>IF(ISNUMBER('Corrected energy balance step 1'!BM88),'Corrected energy balance step 1'!BM88,0)</f>
        <v>0</v>
      </c>
      <c r="BN88" s="156">
        <f t="shared" si="60"/>
        <v>0</v>
      </c>
      <c r="BO88" s="159">
        <f>'Corrected energy balance step 1'!BO88</f>
        <v>0</v>
      </c>
    </row>
    <row r="89" spans="2:67" x14ac:dyDescent="0.2">
      <c r="B89" s="32" t="s">
        <v>121</v>
      </c>
      <c r="C89" s="158">
        <f>IF(ISNUMBER('Corrected energy balance step 1'!C89),'Corrected energy balance step 1'!C89,0)</f>
        <v>0</v>
      </c>
      <c r="D89" s="158">
        <f>IF(ISNUMBER('Corrected energy balance step 1'!D89),'Corrected energy balance step 1'!D89,0)</f>
        <v>0</v>
      </c>
      <c r="E89" s="158">
        <f>IF(ISNUMBER('Corrected energy balance step 1'!E89),'Corrected energy balance step 1'!E89,0)</f>
        <v>0</v>
      </c>
      <c r="F89" s="158">
        <f>IF(ISNUMBER('Corrected energy balance step 1'!F89),'Corrected energy balance step 1'!F89,0)</f>
        <v>0</v>
      </c>
      <c r="G89" s="158">
        <f>IF(ISNUMBER('Corrected energy balance step 1'!G89),'Corrected energy balance step 1'!G89,0)</f>
        <v>0</v>
      </c>
      <c r="H89" s="158">
        <f>IF(ISNUMBER('Corrected energy balance step 1'!H89),'Corrected energy balance step 1'!H89,0)</f>
        <v>0</v>
      </c>
      <c r="I89" s="158">
        <f>IF(ISNUMBER('Corrected energy balance step 1'!I89),'Corrected energy balance step 1'!I89,0)</f>
        <v>0</v>
      </c>
      <c r="J89" s="158">
        <f>IF(ISNUMBER('Corrected energy balance step 1'!J89),'Corrected energy balance step 1'!J89,0)</f>
        <v>0</v>
      </c>
      <c r="K89" s="158">
        <f>IF(ISNUMBER('Corrected energy balance step 1'!K89),'Corrected energy balance step 1'!K89,0)</f>
        <v>0</v>
      </c>
      <c r="L89" s="158">
        <f>IF(ISNUMBER('Corrected energy balance step 1'!L89),'Corrected energy balance step 1'!L89,0)</f>
        <v>0</v>
      </c>
      <c r="M89" s="158">
        <f>IF(ISNUMBER('Corrected energy balance step 1'!M89),'Corrected energy balance step 1'!M89,0)</f>
        <v>0</v>
      </c>
      <c r="N89" s="158">
        <f>IF(ISNUMBER('Corrected energy balance step 1'!N89),'Corrected energy balance step 1'!N89,0)</f>
        <v>0</v>
      </c>
      <c r="O89" s="158">
        <f>IF(ISNUMBER('Corrected energy balance step 1'!O89),'Corrected energy balance step 1'!O89,0)</f>
        <v>0</v>
      </c>
      <c r="P89" s="158">
        <f>IF(ISNUMBER('Corrected energy balance step 1'!P89),'Corrected energy balance step 1'!P89,0)</f>
        <v>0</v>
      </c>
      <c r="Q89" s="158">
        <f>IF(ISNUMBER('Corrected energy balance step 1'!Q89),'Corrected energy balance step 1'!Q89,0)</f>
        <v>0</v>
      </c>
      <c r="R89" s="158">
        <f>IF(ISNUMBER('Corrected energy balance step 1'!R89),'Corrected energy balance step 1'!R89,0)</f>
        <v>0</v>
      </c>
      <c r="S89" s="158">
        <f>IF(ISNUMBER('Corrected energy balance step 1'!S89),'Corrected energy balance step 1'!S89,0)</f>
        <v>0</v>
      </c>
      <c r="T89" s="158">
        <f>IF(ISNUMBER('Corrected energy balance step 1'!T89),'Corrected energy balance step 1'!T89,0)</f>
        <v>0</v>
      </c>
      <c r="U89" s="158">
        <f>IF(ISNUMBER('Corrected energy balance step 1'!U89),'Corrected energy balance step 1'!U89,0)</f>
        <v>0</v>
      </c>
      <c r="V89" s="158">
        <f>IF(ISNUMBER('Corrected energy balance step 1'!V89),'Corrected energy balance step 1'!V89,0)</f>
        <v>0</v>
      </c>
      <c r="W89" s="158">
        <f>IF(ISNUMBER('Corrected energy balance step 1'!W89),'Corrected energy balance step 1'!W89,0)</f>
        <v>0</v>
      </c>
      <c r="X89" s="158">
        <f>IF(ISNUMBER('Corrected energy balance step 1'!X89),'Corrected energy balance step 1'!X89,0)</f>
        <v>0</v>
      </c>
      <c r="Y89" s="158">
        <f>IF(ISNUMBER('Corrected energy balance step 1'!Y89),'Corrected energy balance step 1'!Y89,0)</f>
        <v>0</v>
      </c>
      <c r="Z89" s="158">
        <f>IF(ISNUMBER('Corrected energy balance step 1'!Z89),'Corrected energy balance step 1'!Z89,0)</f>
        <v>0</v>
      </c>
      <c r="AA89" s="158">
        <f>IF(ISNUMBER('Corrected energy balance step 1'!AA89),'Corrected energy balance step 1'!AA89,0)</f>
        <v>0</v>
      </c>
      <c r="AB89" s="158">
        <f>IF(ISNUMBER('Corrected energy balance step 1'!AB89),'Corrected energy balance step 1'!AB89,0)</f>
        <v>0</v>
      </c>
      <c r="AC89" s="158">
        <f>IF(ISNUMBER('Corrected energy balance step 1'!AC89),'Corrected energy balance step 1'!AC89,0)</f>
        <v>0</v>
      </c>
      <c r="AD89" s="158">
        <f>IF(ISNUMBER('Corrected energy balance step 1'!AD89),'Corrected energy balance step 1'!AD89,0)</f>
        <v>0</v>
      </c>
      <c r="AE89" s="158">
        <f>IF(ISNUMBER('Corrected energy balance step 1'!AE89),'Corrected energy balance step 1'!AE89,0)</f>
        <v>0</v>
      </c>
      <c r="AF89" s="158">
        <f>IF(ISNUMBER('Corrected energy balance step 1'!AF89),'Corrected energy balance step 1'!AF89,0)</f>
        <v>0</v>
      </c>
      <c r="AG89" s="158">
        <f>IF(ISNUMBER('Corrected energy balance step 1'!AG89),'Corrected energy balance step 1'!AG89,0)</f>
        <v>0</v>
      </c>
      <c r="AH89" s="158">
        <f>IF(ISNUMBER('Corrected energy balance step 1'!AH89),'Corrected energy balance step 1'!AH89,0)</f>
        <v>0</v>
      </c>
      <c r="AI89" s="158">
        <f>IF(ISNUMBER('Corrected energy balance step 1'!AI89),'Corrected energy balance step 1'!AI89,0)</f>
        <v>0</v>
      </c>
      <c r="AJ89" s="158">
        <f>IF(ISNUMBER('Corrected energy balance step 1'!AJ89),'Corrected energy balance step 1'!AJ89,0)</f>
        <v>0</v>
      </c>
      <c r="AK89" s="158">
        <f>IF(ISNUMBER('Corrected energy balance step 1'!AK89),'Corrected energy balance step 1'!AK89,0)</f>
        <v>0</v>
      </c>
      <c r="AL89" s="158">
        <f>IF(ISNUMBER('Corrected energy balance step 1'!AL89),'Corrected energy balance step 1'!AL89,0)</f>
        <v>0</v>
      </c>
      <c r="AM89" s="158">
        <f>IF(ISNUMBER('Corrected energy balance step 1'!AM89),'Corrected energy balance step 1'!AM89,0)</f>
        <v>0</v>
      </c>
      <c r="AN89" s="158">
        <f>IF(ISNUMBER('Corrected energy balance step 1'!AN89),'Corrected energy balance step 1'!AN89,0)</f>
        <v>0</v>
      </c>
      <c r="AO89" s="158">
        <f>IF(ISNUMBER('Corrected energy balance step 1'!AO89),'Corrected energy balance step 1'!AO89,0)</f>
        <v>0</v>
      </c>
      <c r="AP89" s="158">
        <f>IF(ISNUMBER('Corrected energy balance step 1'!AP89),'Corrected energy balance step 1'!AP89,0)</f>
        <v>0</v>
      </c>
      <c r="AQ89" s="158">
        <f>IF(ISNUMBER('Corrected energy balance step 1'!AQ89),'Corrected energy balance step 1'!AQ89,0)</f>
        <v>0</v>
      </c>
      <c r="AR89" s="158">
        <f>IF(ISNUMBER('Corrected energy balance step 1'!AR89),'Corrected energy balance step 1'!AR89,0)</f>
        <v>0</v>
      </c>
      <c r="AS89" s="158">
        <f>IF(ISNUMBER('Corrected energy balance step 1'!AS89),'Corrected energy balance step 1'!AS89,0)</f>
        <v>0</v>
      </c>
      <c r="AT89" s="158">
        <f>IF(ISNUMBER('Corrected energy balance step 1'!AT89),'Corrected energy balance step 1'!AT89,0)</f>
        <v>0</v>
      </c>
      <c r="AU89" s="158">
        <f>IF(ISNUMBER('Corrected energy balance step 1'!AU89),'Corrected energy balance step 1'!AU89,0)</f>
        <v>0</v>
      </c>
      <c r="AV89" s="158">
        <f>IF(ISNUMBER('Corrected energy balance step 1'!AV89),'Corrected energy balance step 1'!AV89,0)</f>
        <v>0</v>
      </c>
      <c r="AW89" s="158">
        <f>IF(ISNUMBER('Corrected energy balance step 1'!AW89),'Corrected energy balance step 1'!AW89,0)</f>
        <v>0</v>
      </c>
      <c r="AX89" s="158">
        <f>IF(ISNUMBER('Corrected energy balance step 1'!AX89),'Corrected energy balance step 1'!AX89,0)</f>
        <v>0</v>
      </c>
      <c r="AY89" s="158">
        <f>IF(ISNUMBER('Corrected energy balance step 1'!AY89),'Corrected energy balance step 1'!AY89,0)</f>
        <v>0</v>
      </c>
      <c r="AZ89" s="158">
        <f>IF(ISNUMBER('Corrected energy balance step 1'!AZ89),'Corrected energy balance step 1'!AZ89,0)</f>
        <v>0</v>
      </c>
      <c r="BA89" s="158">
        <f>IF(ISNUMBER('Corrected energy balance step 1'!BA89),'Corrected energy balance step 1'!BA89,0)</f>
        <v>0</v>
      </c>
      <c r="BB89" s="158">
        <f>IF(ISNUMBER('Corrected energy balance step 1'!BB89),'Corrected energy balance step 1'!BB89,0)</f>
        <v>0</v>
      </c>
      <c r="BC89" s="158">
        <f>IF(ISNUMBER('Corrected energy balance step 1'!BC89),'Corrected energy balance step 1'!BC89,0)</f>
        <v>0</v>
      </c>
      <c r="BD89" s="158">
        <f>IF(ISNUMBER('Corrected energy balance step 1'!BD89),'Corrected energy balance step 1'!BD89,0)</f>
        <v>0</v>
      </c>
      <c r="BE89" s="158">
        <f>IF(ISNUMBER('Corrected energy balance step 1'!BE89),'Corrected energy balance step 1'!BE89,0)</f>
        <v>0</v>
      </c>
      <c r="BF89" s="158">
        <f>IF(ISNUMBER('Corrected energy balance step 1'!BF89),'Corrected energy balance step 1'!BF89,0)</f>
        <v>0</v>
      </c>
      <c r="BG89" s="158">
        <f>IF(ISNUMBER('Corrected energy balance step 1'!BG89),'Corrected energy balance step 1'!BG89,0)</f>
        <v>0</v>
      </c>
      <c r="BH89" s="158">
        <f>IF(ISNUMBER('Corrected energy balance step 1'!BH89),'Corrected energy balance step 1'!BH89,0)</f>
        <v>0</v>
      </c>
      <c r="BI89" s="158">
        <f>IF(ISNUMBER('Corrected energy balance step 1'!BI89),'Corrected energy balance step 1'!BI89,0)</f>
        <v>0</v>
      </c>
      <c r="BJ89" s="158">
        <f>IF(ISNUMBER('Corrected energy balance step 1'!BJ89),'Corrected energy balance step 1'!BJ89,0)</f>
        <v>0</v>
      </c>
      <c r="BK89" s="158">
        <f>IF(ISNUMBER('Corrected energy balance step 1'!BK89),'Corrected energy balance step 1'!BK89,0)</f>
        <v>0</v>
      </c>
      <c r="BL89" s="158">
        <f>IF(ISNUMBER('Corrected energy balance step 1'!BL89),'Corrected energy balance step 1'!BL89,0)</f>
        <v>0</v>
      </c>
      <c r="BM89" s="158">
        <f>IF(ISNUMBER('Corrected energy balance step 1'!BM89),'Corrected energy balance step 1'!BM89,0)</f>
        <v>0</v>
      </c>
      <c r="BN89" s="156">
        <f t="shared" si="60"/>
        <v>0</v>
      </c>
      <c r="BO89" s="159">
        <f>'Corrected energy balance step 1'!BO89</f>
        <v>0</v>
      </c>
    </row>
    <row r="90" spans="2:67" x14ac:dyDescent="0.2">
      <c r="B90" s="32" t="s">
        <v>122</v>
      </c>
      <c r="C90" s="158">
        <f>IF(ISNUMBER('Corrected energy balance step 1'!C90),'Corrected energy balance step 1'!C90,0)</f>
        <v>0</v>
      </c>
      <c r="D90" s="158">
        <f>IF(ISNUMBER('Corrected energy balance step 1'!D90),'Corrected energy balance step 1'!D90,0)</f>
        <v>0</v>
      </c>
      <c r="E90" s="158">
        <f>IF(ISNUMBER('Corrected energy balance step 1'!E90),'Corrected energy balance step 1'!E90,0)</f>
        <v>0</v>
      </c>
      <c r="F90" s="158">
        <f>IF(ISNUMBER('Corrected energy balance step 1'!F90),'Corrected energy balance step 1'!F90,0)</f>
        <v>0</v>
      </c>
      <c r="G90" s="158">
        <f>IF(ISNUMBER('Corrected energy balance step 1'!G90),'Corrected energy balance step 1'!G90,0)</f>
        <v>0</v>
      </c>
      <c r="H90" s="158">
        <f>IF(ISNUMBER('Corrected energy balance step 1'!H90),'Corrected energy balance step 1'!H90,0)</f>
        <v>0</v>
      </c>
      <c r="I90" s="158">
        <f>IF(ISNUMBER('Corrected energy balance step 1'!I90),'Corrected energy balance step 1'!I90,0)</f>
        <v>0</v>
      </c>
      <c r="J90" s="158">
        <f>IF(ISNUMBER('Corrected energy balance step 1'!J90),'Corrected energy balance step 1'!J90,0)</f>
        <v>0</v>
      </c>
      <c r="K90" s="158">
        <f>IF(ISNUMBER('Corrected energy balance step 1'!K90),'Corrected energy balance step 1'!K90,0)</f>
        <v>0</v>
      </c>
      <c r="L90" s="158">
        <f>IF(ISNUMBER('Corrected energy balance step 1'!L90),'Corrected energy balance step 1'!L90,0)</f>
        <v>0</v>
      </c>
      <c r="M90" s="158">
        <f>IF(ISNUMBER('Corrected energy balance step 1'!M90),'Corrected energy balance step 1'!M90,0)</f>
        <v>0</v>
      </c>
      <c r="N90" s="158">
        <f>IF(ISNUMBER('Corrected energy balance step 1'!N90),'Corrected energy balance step 1'!N90,0)</f>
        <v>0</v>
      </c>
      <c r="O90" s="158">
        <f>IF(ISNUMBER('Corrected energy balance step 1'!O90),'Corrected energy balance step 1'!O90,0)</f>
        <v>0</v>
      </c>
      <c r="P90" s="158">
        <f>IF(ISNUMBER('Corrected energy balance step 1'!P90),'Corrected energy balance step 1'!P90,0)</f>
        <v>0</v>
      </c>
      <c r="Q90" s="158">
        <f>IF(ISNUMBER('Corrected energy balance step 1'!Q90),'Corrected energy balance step 1'!Q90,0)</f>
        <v>0</v>
      </c>
      <c r="R90" s="158">
        <f>IF(ISNUMBER('Corrected energy balance step 1'!R90),'Corrected energy balance step 1'!R90,0)</f>
        <v>0</v>
      </c>
      <c r="S90" s="158">
        <f>IF(ISNUMBER('Corrected energy balance step 1'!S90),'Corrected energy balance step 1'!S90,0)</f>
        <v>0</v>
      </c>
      <c r="T90" s="158">
        <f>IF(ISNUMBER('Corrected energy balance step 1'!T90),'Corrected energy balance step 1'!T90,0)</f>
        <v>0</v>
      </c>
      <c r="U90" s="158">
        <f>IF(ISNUMBER('Corrected energy balance step 1'!U90),'Corrected energy balance step 1'!U90,0)</f>
        <v>0</v>
      </c>
      <c r="V90" s="158">
        <f>IF(ISNUMBER('Corrected energy balance step 1'!V90),'Corrected energy balance step 1'!V90,0)</f>
        <v>0</v>
      </c>
      <c r="W90" s="158">
        <f>IF(ISNUMBER('Corrected energy balance step 1'!W90),'Corrected energy balance step 1'!W90,0)</f>
        <v>0</v>
      </c>
      <c r="X90" s="158">
        <f>IF(ISNUMBER('Corrected energy balance step 1'!X90),'Corrected energy balance step 1'!X90,0)</f>
        <v>0</v>
      </c>
      <c r="Y90" s="158">
        <f>IF(ISNUMBER('Corrected energy balance step 1'!Y90),'Corrected energy balance step 1'!Y90,0)</f>
        <v>0</v>
      </c>
      <c r="Z90" s="158">
        <f>IF(ISNUMBER('Corrected energy balance step 1'!Z90),'Corrected energy balance step 1'!Z90,0)</f>
        <v>0</v>
      </c>
      <c r="AA90" s="158">
        <f>IF(ISNUMBER('Corrected energy balance step 1'!AA90),'Corrected energy balance step 1'!AA90,0)</f>
        <v>0</v>
      </c>
      <c r="AB90" s="158">
        <f>IF(ISNUMBER('Corrected energy balance step 1'!AB90),'Corrected energy balance step 1'!AB90,0)</f>
        <v>0</v>
      </c>
      <c r="AC90" s="158">
        <f>IF(ISNUMBER('Corrected energy balance step 1'!AC90),'Corrected energy balance step 1'!AC90,0)</f>
        <v>0</v>
      </c>
      <c r="AD90" s="158">
        <f>IF(ISNUMBER('Corrected energy balance step 1'!AD90),'Corrected energy balance step 1'!AD90,0)</f>
        <v>0</v>
      </c>
      <c r="AE90" s="158">
        <f>IF(ISNUMBER('Corrected energy balance step 1'!AE90),'Corrected energy balance step 1'!AE90,0)</f>
        <v>0</v>
      </c>
      <c r="AF90" s="158">
        <f>IF(ISNUMBER('Corrected energy balance step 1'!AF90),'Corrected energy balance step 1'!AF90,0)</f>
        <v>0</v>
      </c>
      <c r="AG90" s="158">
        <f>IF(ISNUMBER('Corrected energy balance step 1'!AG90),'Corrected energy balance step 1'!AG90,0)</f>
        <v>0</v>
      </c>
      <c r="AH90" s="158">
        <f>IF(ISNUMBER('Corrected energy balance step 1'!AH90),'Corrected energy balance step 1'!AH90,0)</f>
        <v>0</v>
      </c>
      <c r="AI90" s="158">
        <f>IF(ISNUMBER('Corrected energy balance step 1'!AI90),'Corrected energy balance step 1'!AI90,0)</f>
        <v>0</v>
      </c>
      <c r="AJ90" s="158">
        <f>IF(ISNUMBER('Corrected energy balance step 1'!AJ90),'Corrected energy balance step 1'!AJ90,0)</f>
        <v>0</v>
      </c>
      <c r="AK90" s="158">
        <f>IF(ISNUMBER('Corrected energy balance step 1'!AK90),'Corrected energy balance step 1'!AK90,0)</f>
        <v>0</v>
      </c>
      <c r="AL90" s="158">
        <f>IF(ISNUMBER('Corrected energy balance step 1'!AL90),'Corrected energy balance step 1'!AL90,0)</f>
        <v>0</v>
      </c>
      <c r="AM90" s="158">
        <f>IF(ISNUMBER('Corrected energy balance step 1'!AM90),'Corrected energy balance step 1'!AM90,0)</f>
        <v>0</v>
      </c>
      <c r="AN90" s="158">
        <f>IF(ISNUMBER('Corrected energy balance step 1'!AN90),'Corrected energy balance step 1'!AN90,0)</f>
        <v>0</v>
      </c>
      <c r="AO90" s="158">
        <f>IF(ISNUMBER('Corrected energy balance step 1'!AO90),'Corrected energy balance step 1'!AO90,0)</f>
        <v>0</v>
      </c>
      <c r="AP90" s="158">
        <f>IF(ISNUMBER('Corrected energy balance step 1'!AP90),'Corrected energy balance step 1'!AP90,0)</f>
        <v>0</v>
      </c>
      <c r="AQ90" s="158">
        <f>IF(ISNUMBER('Corrected energy balance step 1'!AQ90),'Corrected energy balance step 1'!AQ90,0)</f>
        <v>0</v>
      </c>
      <c r="AR90" s="158">
        <f>IF(ISNUMBER('Corrected energy balance step 1'!AR90),'Corrected energy balance step 1'!AR90,0)</f>
        <v>0</v>
      </c>
      <c r="AS90" s="158">
        <f>IF(ISNUMBER('Corrected energy balance step 1'!AS90),'Corrected energy balance step 1'!AS90,0)</f>
        <v>0</v>
      </c>
      <c r="AT90" s="158">
        <f>IF(ISNUMBER('Corrected energy balance step 1'!AT90),'Corrected energy balance step 1'!AT90,0)</f>
        <v>0</v>
      </c>
      <c r="AU90" s="158">
        <f>IF(ISNUMBER('Corrected energy balance step 1'!AU90),'Corrected energy balance step 1'!AU90,0)</f>
        <v>0</v>
      </c>
      <c r="AV90" s="158">
        <f>IF(ISNUMBER('Corrected energy balance step 1'!AV90),'Corrected energy balance step 1'!AV90,0)</f>
        <v>0</v>
      </c>
      <c r="AW90" s="158">
        <f>IF(ISNUMBER('Corrected energy balance step 1'!AW90),'Corrected energy balance step 1'!AW90,0)</f>
        <v>0</v>
      </c>
      <c r="AX90" s="158">
        <f>IF(ISNUMBER('Corrected energy balance step 1'!AX90),'Corrected energy balance step 1'!AX90,0)</f>
        <v>0</v>
      </c>
      <c r="AY90" s="158">
        <f>IF(ISNUMBER('Corrected energy balance step 1'!AY90),'Corrected energy balance step 1'!AY90,0)</f>
        <v>0</v>
      </c>
      <c r="AZ90" s="158">
        <f>IF(ISNUMBER('Corrected energy balance step 1'!AZ90),'Corrected energy balance step 1'!AZ90,0)</f>
        <v>0</v>
      </c>
      <c r="BA90" s="158">
        <f>IF(ISNUMBER('Corrected energy balance step 1'!BA90),'Corrected energy balance step 1'!BA90,0)</f>
        <v>0</v>
      </c>
      <c r="BB90" s="158">
        <f>IF(ISNUMBER('Corrected energy balance step 1'!BB90),'Corrected energy balance step 1'!BB90,0)</f>
        <v>0</v>
      </c>
      <c r="BC90" s="158">
        <f>IF(ISNUMBER('Corrected energy balance step 1'!BC90),'Corrected energy balance step 1'!BC90,0)</f>
        <v>0</v>
      </c>
      <c r="BD90" s="158">
        <f>IF(ISNUMBER('Corrected energy balance step 1'!BD90),'Corrected energy balance step 1'!BD90,0)</f>
        <v>0</v>
      </c>
      <c r="BE90" s="158">
        <f>IF(ISNUMBER('Corrected energy balance step 1'!BE90),'Corrected energy balance step 1'!BE90,0)</f>
        <v>0</v>
      </c>
      <c r="BF90" s="158">
        <f>IF(ISNUMBER('Corrected energy balance step 1'!BF90),'Corrected energy balance step 1'!BF90,0)</f>
        <v>0</v>
      </c>
      <c r="BG90" s="158">
        <f>IF(ISNUMBER('Corrected energy balance step 1'!BG90),'Corrected energy balance step 1'!BG90,0)</f>
        <v>0</v>
      </c>
      <c r="BH90" s="158">
        <f>IF(ISNUMBER('Corrected energy balance step 1'!BH90),'Corrected energy balance step 1'!BH90,0)</f>
        <v>0</v>
      </c>
      <c r="BI90" s="158">
        <f>IF(ISNUMBER('Corrected energy balance step 1'!BI90),'Corrected energy balance step 1'!BI90,0)</f>
        <v>0</v>
      </c>
      <c r="BJ90" s="158">
        <f>IF(ISNUMBER('Corrected energy balance step 1'!BJ90),'Corrected energy balance step 1'!BJ90,0)</f>
        <v>0</v>
      </c>
      <c r="BK90" s="158">
        <f>IF(ISNUMBER('Corrected energy balance step 1'!BK90),'Corrected energy balance step 1'!BK90,0)</f>
        <v>0</v>
      </c>
      <c r="BL90" s="158">
        <f>IF(ISNUMBER('Corrected energy balance step 1'!BL90),'Corrected energy balance step 1'!BL90,0)</f>
        <v>0</v>
      </c>
      <c r="BM90" s="158">
        <f>IF(ISNUMBER('Corrected energy balance step 1'!BM90),'Corrected energy balance step 1'!BM90,0)</f>
        <v>0</v>
      </c>
      <c r="BN90" s="156">
        <f t="shared" si="60"/>
        <v>0</v>
      </c>
      <c r="BO90" s="159">
        <f>'Corrected energy balance step 1'!BO90</f>
        <v>0</v>
      </c>
    </row>
    <row r="91" spans="2:67" ht="17" thickBot="1" x14ac:dyDescent="0.25">
      <c r="B91" s="32" t="s">
        <v>123</v>
      </c>
      <c r="C91" s="158">
        <f>IF(ISNUMBER('Corrected energy balance step 1'!C91),'Corrected energy balance step 1'!C91,0)</f>
        <v>0</v>
      </c>
      <c r="D91" s="158">
        <f>IF(ISNUMBER('Corrected energy balance step 1'!D91),'Corrected energy balance step 1'!D91,0)</f>
        <v>0</v>
      </c>
      <c r="E91" s="158">
        <f>IF(ISNUMBER('Corrected energy balance step 1'!E91),'Corrected energy balance step 1'!E91,0)</f>
        <v>0</v>
      </c>
      <c r="F91" s="158">
        <f>IF(ISNUMBER('Corrected energy balance step 1'!F91),'Corrected energy balance step 1'!F91,0)</f>
        <v>0</v>
      </c>
      <c r="G91" s="158">
        <f>IF(ISNUMBER('Corrected energy balance step 1'!G91),'Corrected energy balance step 1'!G91,0)</f>
        <v>0</v>
      </c>
      <c r="H91" s="158">
        <f>IF(ISNUMBER('Corrected energy balance step 1'!H91),'Corrected energy balance step 1'!H91,0)</f>
        <v>0</v>
      </c>
      <c r="I91" s="158">
        <f>IF(ISNUMBER('Corrected energy balance step 1'!I91),'Corrected energy balance step 1'!I91,0)</f>
        <v>0</v>
      </c>
      <c r="J91" s="158">
        <f>IF(ISNUMBER('Corrected energy balance step 1'!J91),'Corrected energy balance step 1'!J91,0)</f>
        <v>0</v>
      </c>
      <c r="K91" s="158">
        <f>IF(ISNUMBER('Corrected energy balance step 1'!K91),'Corrected energy balance step 1'!K91,0)</f>
        <v>0</v>
      </c>
      <c r="L91" s="158">
        <f>IF(ISNUMBER('Corrected energy balance step 1'!L91),'Corrected energy balance step 1'!L91,0)</f>
        <v>0</v>
      </c>
      <c r="M91" s="158">
        <f>IF(ISNUMBER('Corrected energy balance step 1'!M91),'Corrected energy balance step 1'!M91,0)</f>
        <v>0</v>
      </c>
      <c r="N91" s="158">
        <f>IF(ISNUMBER('Corrected energy balance step 1'!N91),'Corrected energy balance step 1'!N91,0)</f>
        <v>0</v>
      </c>
      <c r="O91" s="158">
        <f>IF(ISNUMBER('Corrected energy balance step 1'!O91),'Corrected energy balance step 1'!O91,0)</f>
        <v>0</v>
      </c>
      <c r="P91" s="158">
        <f>IF(ISNUMBER('Corrected energy balance step 1'!P91),'Corrected energy balance step 1'!P91,0)</f>
        <v>0</v>
      </c>
      <c r="Q91" s="158">
        <f>IF(ISNUMBER('Corrected energy balance step 1'!Q91),'Corrected energy balance step 1'!Q91,0)</f>
        <v>0</v>
      </c>
      <c r="R91" s="158">
        <f>IF(ISNUMBER('Corrected energy balance step 1'!R91),'Corrected energy balance step 1'!R91,0)</f>
        <v>0</v>
      </c>
      <c r="S91" s="158">
        <f>IF(ISNUMBER('Corrected energy balance step 1'!S91),'Corrected energy balance step 1'!S91,0)</f>
        <v>0</v>
      </c>
      <c r="T91" s="158">
        <f>IF(ISNUMBER('Corrected energy balance step 1'!T91),'Corrected energy balance step 1'!T91,0)</f>
        <v>0</v>
      </c>
      <c r="U91" s="158">
        <f>IF(ISNUMBER('Corrected energy balance step 1'!U91),'Corrected energy balance step 1'!U91,0)</f>
        <v>0</v>
      </c>
      <c r="V91" s="158">
        <f>IF(ISNUMBER('Corrected energy balance step 1'!V91),'Corrected energy balance step 1'!V91,0)</f>
        <v>0</v>
      </c>
      <c r="W91" s="158">
        <f>IF(ISNUMBER('Corrected energy balance step 1'!W91),'Corrected energy balance step 1'!W91,0)</f>
        <v>0</v>
      </c>
      <c r="X91" s="158">
        <f>IF(ISNUMBER('Corrected energy balance step 1'!X91),'Corrected energy balance step 1'!X91,0)</f>
        <v>0</v>
      </c>
      <c r="Y91" s="158">
        <f>IF(ISNUMBER('Corrected energy balance step 1'!Y91),'Corrected energy balance step 1'!Y91,0)</f>
        <v>0</v>
      </c>
      <c r="Z91" s="158">
        <f>IF(ISNUMBER('Corrected energy balance step 1'!Z91),'Corrected energy balance step 1'!Z91,0)</f>
        <v>0</v>
      </c>
      <c r="AA91" s="158">
        <f>IF(ISNUMBER('Corrected energy balance step 1'!AA91),'Corrected energy balance step 1'!AA91,0)</f>
        <v>0</v>
      </c>
      <c r="AB91" s="158">
        <f>IF(ISNUMBER('Corrected energy balance step 1'!AB91),'Corrected energy balance step 1'!AB91,0)</f>
        <v>0</v>
      </c>
      <c r="AC91" s="158">
        <f>IF(ISNUMBER('Corrected energy balance step 1'!AC91),'Corrected energy balance step 1'!AC91,0)</f>
        <v>0</v>
      </c>
      <c r="AD91" s="158">
        <f>IF(ISNUMBER('Corrected energy balance step 1'!AD91),'Corrected energy balance step 1'!AD91,0)</f>
        <v>0</v>
      </c>
      <c r="AE91" s="158">
        <f>IF(ISNUMBER('Corrected energy balance step 1'!AE91),'Corrected energy balance step 1'!AE91,0)</f>
        <v>0</v>
      </c>
      <c r="AF91" s="158">
        <f>IF(ISNUMBER('Corrected energy balance step 1'!AF91),'Corrected energy balance step 1'!AF91,0)</f>
        <v>0</v>
      </c>
      <c r="AG91" s="158">
        <f>IF(ISNUMBER('Corrected energy balance step 1'!AG91),'Corrected energy balance step 1'!AG91,0)</f>
        <v>0</v>
      </c>
      <c r="AH91" s="158">
        <f>IF(ISNUMBER('Corrected energy balance step 1'!AH91),'Corrected energy balance step 1'!AH91,0)</f>
        <v>0</v>
      </c>
      <c r="AI91" s="158">
        <f>IF(ISNUMBER('Corrected energy balance step 1'!AI91),'Corrected energy balance step 1'!AI91,0)</f>
        <v>0</v>
      </c>
      <c r="AJ91" s="158">
        <f>IF(ISNUMBER('Corrected energy balance step 1'!AJ91),'Corrected energy balance step 1'!AJ91,0)</f>
        <v>0</v>
      </c>
      <c r="AK91" s="158">
        <f>IF(ISNUMBER('Corrected energy balance step 1'!AK91),'Corrected energy balance step 1'!AK91,0)</f>
        <v>0</v>
      </c>
      <c r="AL91" s="158">
        <f>IF(ISNUMBER('Corrected energy balance step 1'!AL91),'Corrected energy balance step 1'!AL91,0)</f>
        <v>0</v>
      </c>
      <c r="AM91" s="158">
        <f>IF(ISNUMBER('Corrected energy balance step 1'!AM91),'Corrected energy balance step 1'!AM91,0)</f>
        <v>0</v>
      </c>
      <c r="AN91" s="158">
        <f>IF(ISNUMBER('Corrected energy balance step 1'!AN91),'Corrected energy balance step 1'!AN91,0)</f>
        <v>0</v>
      </c>
      <c r="AO91" s="158">
        <f>IF(ISNUMBER('Corrected energy balance step 1'!AO91),'Corrected energy balance step 1'!AO91,0)</f>
        <v>0</v>
      </c>
      <c r="AP91" s="158">
        <f>IF(ISNUMBER('Corrected energy balance step 1'!AP91),'Corrected energy balance step 1'!AP91,0)</f>
        <v>0</v>
      </c>
      <c r="AQ91" s="158">
        <f>IF(ISNUMBER('Corrected energy balance step 1'!AQ91),'Corrected energy balance step 1'!AQ91,0)</f>
        <v>0</v>
      </c>
      <c r="AR91" s="158">
        <f>IF(ISNUMBER('Corrected energy balance step 1'!AR91),'Corrected energy balance step 1'!AR91,0)</f>
        <v>0</v>
      </c>
      <c r="AS91" s="158">
        <f>IF(ISNUMBER('Corrected energy balance step 1'!AS91),'Corrected energy balance step 1'!AS91,0)</f>
        <v>0</v>
      </c>
      <c r="AT91" s="158">
        <f>IF(ISNUMBER('Corrected energy balance step 1'!AT91),'Corrected energy balance step 1'!AT91,0)</f>
        <v>0</v>
      </c>
      <c r="AU91" s="158">
        <f>IF(ISNUMBER('Corrected energy balance step 1'!AU91),'Corrected energy balance step 1'!AU91,0)</f>
        <v>0</v>
      </c>
      <c r="AV91" s="158">
        <f>IF(ISNUMBER('Corrected energy balance step 1'!AV91),'Corrected energy balance step 1'!AV91,0)</f>
        <v>0</v>
      </c>
      <c r="AW91" s="158">
        <f>IF(ISNUMBER('Corrected energy balance step 1'!AW91),'Corrected energy balance step 1'!AW91,0)</f>
        <v>0</v>
      </c>
      <c r="AX91" s="158">
        <f>IF(ISNUMBER('Corrected energy balance step 1'!AX91),'Corrected energy balance step 1'!AX91,0)</f>
        <v>0</v>
      </c>
      <c r="AY91" s="158">
        <f>IF(ISNUMBER('Corrected energy balance step 1'!AY91),'Corrected energy balance step 1'!AY91,0)</f>
        <v>0</v>
      </c>
      <c r="AZ91" s="158">
        <f>IF(ISNUMBER('Corrected energy balance step 1'!AZ91),'Corrected energy balance step 1'!AZ91,0)</f>
        <v>0</v>
      </c>
      <c r="BA91" s="158">
        <f>IF(ISNUMBER('Corrected energy balance step 1'!BA91),'Corrected energy balance step 1'!BA91,0)</f>
        <v>0</v>
      </c>
      <c r="BB91" s="158">
        <f>IF(ISNUMBER('Corrected energy balance step 1'!BB91),'Corrected energy balance step 1'!BB91,0)</f>
        <v>0</v>
      </c>
      <c r="BC91" s="158">
        <f>IF(ISNUMBER('Corrected energy balance step 1'!BC91),'Corrected energy balance step 1'!BC91,0)</f>
        <v>0</v>
      </c>
      <c r="BD91" s="158">
        <f>IF(ISNUMBER('Corrected energy balance step 1'!BD91),'Corrected energy balance step 1'!BD91,0)</f>
        <v>0</v>
      </c>
      <c r="BE91" s="158">
        <f>IF(ISNUMBER('Corrected energy balance step 1'!BE91),'Corrected energy balance step 1'!BE91,0)</f>
        <v>0</v>
      </c>
      <c r="BF91" s="158">
        <f>IF(ISNUMBER('Corrected energy balance step 1'!BF91),'Corrected energy balance step 1'!BF91,0)</f>
        <v>0</v>
      </c>
      <c r="BG91" s="158">
        <f>IF(ISNUMBER('Corrected energy balance step 1'!BG91),'Corrected energy balance step 1'!BG91,0)</f>
        <v>0</v>
      </c>
      <c r="BH91" s="158">
        <f>IF(ISNUMBER('Corrected energy balance step 1'!BH91),'Corrected energy balance step 1'!BH91,0)</f>
        <v>0</v>
      </c>
      <c r="BI91" s="158">
        <f>IF(ISNUMBER('Corrected energy balance step 1'!BI91),'Corrected energy balance step 1'!BI91,0)</f>
        <v>0</v>
      </c>
      <c r="BJ91" s="158">
        <f>IF(ISNUMBER('Corrected energy balance step 1'!BJ91),'Corrected energy balance step 1'!BJ91,0)</f>
        <v>0</v>
      </c>
      <c r="BK91" s="158">
        <f>IF(ISNUMBER('Corrected energy balance step 1'!BK91),'Corrected energy balance step 1'!BK91,0)</f>
        <v>0</v>
      </c>
      <c r="BL91" s="158">
        <f>IF(ISNUMBER('Corrected energy balance step 1'!BL91),'Corrected energy balance step 1'!BL91,0)</f>
        <v>0</v>
      </c>
      <c r="BM91" s="158">
        <f>IF(ISNUMBER('Corrected energy balance step 1'!BM91),'Corrected energy balance step 1'!BM91,0)</f>
        <v>0</v>
      </c>
      <c r="BN91" s="156">
        <f t="shared" si="60"/>
        <v>0</v>
      </c>
      <c r="BO91" s="159">
        <f>'Corrected energy balance step 1'!BO91</f>
        <v>0</v>
      </c>
    </row>
    <row r="92" spans="2:67" ht="17" thickBot="1" x14ac:dyDescent="0.25">
      <c r="B92" s="40" t="s">
        <v>124</v>
      </c>
      <c r="C92" s="169">
        <f>SUM(C93:C96)</f>
        <v>0</v>
      </c>
      <c r="D92" s="169">
        <f t="shared" ref="D92:BL92" si="75">SUM(D93:D96)</f>
        <v>0</v>
      </c>
      <c r="E92" s="169">
        <f t="shared" si="75"/>
        <v>0</v>
      </c>
      <c r="F92" s="169">
        <f t="shared" si="75"/>
        <v>0</v>
      </c>
      <c r="G92" s="169">
        <f t="shared" si="75"/>
        <v>0</v>
      </c>
      <c r="H92" s="169">
        <f t="shared" si="75"/>
        <v>0</v>
      </c>
      <c r="I92" s="169">
        <f t="shared" si="75"/>
        <v>0</v>
      </c>
      <c r="J92" s="169">
        <f t="shared" si="75"/>
        <v>0</v>
      </c>
      <c r="K92" s="169">
        <f t="shared" si="75"/>
        <v>0</v>
      </c>
      <c r="L92" s="169">
        <f t="shared" si="75"/>
        <v>0</v>
      </c>
      <c r="M92" s="169">
        <f t="shared" si="75"/>
        <v>0</v>
      </c>
      <c r="N92" s="169">
        <f t="shared" si="75"/>
        <v>0</v>
      </c>
      <c r="O92" s="169">
        <f t="shared" si="75"/>
        <v>0</v>
      </c>
      <c r="P92" s="169">
        <f t="shared" si="75"/>
        <v>0</v>
      </c>
      <c r="Q92" s="169">
        <f t="shared" si="75"/>
        <v>0</v>
      </c>
      <c r="R92" s="169">
        <f t="shared" si="75"/>
        <v>0</v>
      </c>
      <c r="S92" s="169">
        <f t="shared" si="75"/>
        <v>0</v>
      </c>
      <c r="T92" s="169">
        <f t="shared" si="75"/>
        <v>0</v>
      </c>
      <c r="U92" s="169">
        <f t="shared" si="75"/>
        <v>0</v>
      </c>
      <c r="V92" s="169">
        <f t="shared" si="75"/>
        <v>0</v>
      </c>
      <c r="W92" s="169">
        <f t="shared" si="75"/>
        <v>0</v>
      </c>
      <c r="X92" s="169">
        <f t="shared" si="75"/>
        <v>0</v>
      </c>
      <c r="Y92" s="169">
        <f t="shared" si="75"/>
        <v>0</v>
      </c>
      <c r="Z92" s="169">
        <f t="shared" si="75"/>
        <v>0</v>
      </c>
      <c r="AA92" s="169">
        <f t="shared" si="75"/>
        <v>0</v>
      </c>
      <c r="AB92" s="169">
        <f t="shared" si="75"/>
        <v>0</v>
      </c>
      <c r="AC92" s="169">
        <f t="shared" si="75"/>
        <v>0</v>
      </c>
      <c r="AD92" s="169">
        <f t="shared" si="75"/>
        <v>0</v>
      </c>
      <c r="AE92" s="169">
        <f t="shared" si="75"/>
        <v>0</v>
      </c>
      <c r="AF92" s="169">
        <f t="shared" si="75"/>
        <v>0</v>
      </c>
      <c r="AG92" s="169">
        <f t="shared" si="75"/>
        <v>0</v>
      </c>
      <c r="AH92" s="169">
        <f t="shared" si="75"/>
        <v>0</v>
      </c>
      <c r="AI92" s="169">
        <f t="shared" si="75"/>
        <v>0</v>
      </c>
      <c r="AJ92" s="169">
        <f t="shared" si="75"/>
        <v>0</v>
      </c>
      <c r="AK92" s="169">
        <f t="shared" si="75"/>
        <v>0</v>
      </c>
      <c r="AL92" s="169">
        <f t="shared" si="75"/>
        <v>0</v>
      </c>
      <c r="AM92" s="169">
        <f t="shared" si="75"/>
        <v>0</v>
      </c>
      <c r="AN92" s="169">
        <f t="shared" si="75"/>
        <v>0</v>
      </c>
      <c r="AO92" s="169">
        <f t="shared" si="75"/>
        <v>0</v>
      </c>
      <c r="AP92" s="169">
        <f t="shared" si="75"/>
        <v>0</v>
      </c>
      <c r="AQ92" s="169">
        <f t="shared" si="75"/>
        <v>0</v>
      </c>
      <c r="AR92" s="169">
        <f t="shared" si="75"/>
        <v>0</v>
      </c>
      <c r="AS92" s="169">
        <f t="shared" si="75"/>
        <v>0</v>
      </c>
      <c r="AT92" s="169">
        <f t="shared" si="75"/>
        <v>0</v>
      </c>
      <c r="AU92" s="169">
        <f t="shared" si="75"/>
        <v>0</v>
      </c>
      <c r="AV92" s="169">
        <f t="shared" si="75"/>
        <v>0</v>
      </c>
      <c r="AW92" s="169">
        <f t="shared" si="75"/>
        <v>0</v>
      </c>
      <c r="AX92" s="169">
        <f t="shared" si="75"/>
        <v>0</v>
      </c>
      <c r="AY92" s="169">
        <f t="shared" si="75"/>
        <v>0</v>
      </c>
      <c r="AZ92" s="169">
        <f t="shared" si="75"/>
        <v>0</v>
      </c>
      <c r="BA92" s="169">
        <f t="shared" si="75"/>
        <v>0</v>
      </c>
      <c r="BB92" s="169">
        <f t="shared" si="75"/>
        <v>0</v>
      </c>
      <c r="BC92" s="169">
        <f t="shared" si="75"/>
        <v>0</v>
      </c>
      <c r="BD92" s="169">
        <f t="shared" si="75"/>
        <v>0</v>
      </c>
      <c r="BE92" s="169">
        <f t="shared" si="75"/>
        <v>0</v>
      </c>
      <c r="BF92" s="169">
        <f t="shared" si="75"/>
        <v>0</v>
      </c>
      <c r="BG92" s="169">
        <f t="shared" si="75"/>
        <v>0</v>
      </c>
      <c r="BH92" s="169">
        <f t="shared" si="75"/>
        <v>0</v>
      </c>
      <c r="BI92" s="169">
        <f t="shared" si="75"/>
        <v>0</v>
      </c>
      <c r="BJ92" s="169">
        <f t="shared" si="75"/>
        <v>0</v>
      </c>
      <c r="BK92" s="169">
        <f t="shared" si="75"/>
        <v>0</v>
      </c>
      <c r="BL92" s="169">
        <f t="shared" si="75"/>
        <v>0</v>
      </c>
      <c r="BM92" s="169">
        <f>SUM(BM93:BM96)</f>
        <v>0</v>
      </c>
      <c r="BN92" s="251">
        <f t="shared" ref="BN92:BN101" si="76">SUM(C92:BM92)</f>
        <v>0</v>
      </c>
      <c r="BO92" s="165">
        <f>'Corrected energy balance step 1'!BO92</f>
        <v>0</v>
      </c>
    </row>
    <row r="93" spans="2:67" x14ac:dyDescent="0.2">
      <c r="B93" s="32" t="s">
        <v>125</v>
      </c>
      <c r="C93" s="160">
        <f>IF(ISNUMBER('Corrected energy balance step 1'!C93),'Corrected energy balance step 1'!C93,0)</f>
        <v>0</v>
      </c>
      <c r="D93" s="160">
        <f>IF(ISNUMBER('Corrected energy balance step 1'!D93),'Corrected energy balance step 1'!D93,0)</f>
        <v>0</v>
      </c>
      <c r="E93" s="160">
        <f>IF(ISNUMBER('Corrected energy balance step 1'!E93),'Corrected energy balance step 1'!E93,0)</f>
        <v>0</v>
      </c>
      <c r="F93" s="160">
        <f>IF(ISNUMBER('Corrected energy balance step 1'!F93),'Corrected energy balance step 1'!F93,0)</f>
        <v>0</v>
      </c>
      <c r="G93" s="160">
        <f>IF(ISNUMBER('Corrected energy balance step 1'!G93),'Corrected energy balance step 1'!G93,0)</f>
        <v>0</v>
      </c>
      <c r="H93" s="160">
        <f>IF(ISNUMBER('Corrected energy balance step 1'!H93),'Corrected energy balance step 1'!H93,0)</f>
        <v>0</v>
      </c>
      <c r="I93" s="160">
        <f>IF(ISNUMBER('Corrected energy balance step 1'!I93),'Corrected energy balance step 1'!I93,0)</f>
        <v>0</v>
      </c>
      <c r="J93" s="160">
        <f>IF(ISNUMBER('Corrected energy balance step 1'!J93),'Corrected energy balance step 1'!J93,0)</f>
        <v>0</v>
      </c>
      <c r="K93" s="160">
        <f>IF(ISNUMBER('Corrected energy balance step 1'!K93),'Corrected energy balance step 1'!K93,0)</f>
        <v>0</v>
      </c>
      <c r="L93" s="160">
        <f>IF(ISNUMBER('Corrected energy balance step 1'!L93),'Corrected energy balance step 1'!L93,0)</f>
        <v>0</v>
      </c>
      <c r="M93" s="160">
        <f>IF(ISNUMBER('Corrected energy balance step 1'!M93),'Corrected energy balance step 1'!M93,0)</f>
        <v>0</v>
      </c>
      <c r="N93" s="160">
        <f>IF(ISNUMBER('Corrected energy balance step 1'!N93),'Corrected energy balance step 1'!N93,0)</f>
        <v>0</v>
      </c>
      <c r="O93" s="160">
        <f>IF(ISNUMBER('Corrected energy balance step 1'!O93),'Corrected energy balance step 1'!O93,0)</f>
        <v>0</v>
      </c>
      <c r="P93" s="160">
        <f>IF(ISNUMBER('Corrected energy balance step 1'!P93),'Corrected energy balance step 1'!P93,0)</f>
        <v>0</v>
      </c>
      <c r="Q93" s="160">
        <f>IF(ISNUMBER('Corrected energy balance step 1'!Q93),'Corrected energy balance step 1'!Q93,0)</f>
        <v>0</v>
      </c>
      <c r="R93" s="160">
        <f>IF(ISNUMBER('Corrected energy balance step 1'!R93),'Corrected energy balance step 1'!R93,0)</f>
        <v>0</v>
      </c>
      <c r="S93" s="160">
        <f>IF(ISNUMBER('Corrected energy balance step 1'!S93),'Corrected energy balance step 1'!S93,0)</f>
        <v>0</v>
      </c>
      <c r="T93" s="160">
        <f>IF(ISNUMBER('Corrected energy balance step 1'!T93),'Corrected energy balance step 1'!T93,0)</f>
        <v>0</v>
      </c>
      <c r="U93" s="160">
        <f>IF(ISNUMBER('Corrected energy balance step 1'!U93),'Corrected energy balance step 1'!U93,0)</f>
        <v>0</v>
      </c>
      <c r="V93" s="160">
        <f>IF(ISNUMBER('Corrected energy balance step 1'!V93),'Corrected energy balance step 1'!V93,0)</f>
        <v>0</v>
      </c>
      <c r="W93" s="160">
        <f>IF(ISNUMBER('Corrected energy balance step 1'!W93),'Corrected energy balance step 1'!W93,0)</f>
        <v>0</v>
      </c>
      <c r="X93" s="160">
        <f>IF(ISNUMBER('Corrected energy balance step 1'!X93),'Corrected energy balance step 1'!X93,0)</f>
        <v>0</v>
      </c>
      <c r="Y93" s="160">
        <f>IF(ISNUMBER('Corrected energy balance step 1'!Y93),'Corrected energy balance step 1'!Y93,0)</f>
        <v>0</v>
      </c>
      <c r="Z93" s="160">
        <f>IF(ISNUMBER('Corrected energy balance step 1'!Z93),'Corrected energy balance step 1'!Z93,0)</f>
        <v>0</v>
      </c>
      <c r="AA93" s="160">
        <f>IF(ISNUMBER('Corrected energy balance step 1'!AA93),'Corrected energy balance step 1'!AA93,0)</f>
        <v>0</v>
      </c>
      <c r="AB93" s="160">
        <f>IF(ISNUMBER('Corrected energy balance step 1'!AB93),'Corrected energy balance step 1'!AB93,0)</f>
        <v>0</v>
      </c>
      <c r="AC93" s="160">
        <f>IF(ISNUMBER('Corrected energy balance step 1'!AC93),'Corrected energy balance step 1'!AC93,0)</f>
        <v>0</v>
      </c>
      <c r="AD93" s="160">
        <f>IF(ISNUMBER('Corrected energy balance step 1'!AD93),'Corrected energy balance step 1'!AD93,0)</f>
        <v>0</v>
      </c>
      <c r="AE93" s="160">
        <f>IF(ISNUMBER('Corrected energy balance step 1'!AE93),'Corrected energy balance step 1'!AE93,0)</f>
        <v>0</v>
      </c>
      <c r="AF93" s="160">
        <f>IF(ISNUMBER('Corrected energy balance step 1'!AF93),'Corrected energy balance step 1'!AF93,0)</f>
        <v>0</v>
      </c>
      <c r="AG93" s="160">
        <f>IF(ISNUMBER('Corrected energy balance step 1'!AG93),'Corrected energy balance step 1'!AG93,0)</f>
        <v>0</v>
      </c>
      <c r="AH93" s="160">
        <f>IF(ISNUMBER('Corrected energy balance step 1'!AH93),'Corrected energy balance step 1'!AH93,0)</f>
        <v>0</v>
      </c>
      <c r="AI93" s="160">
        <f>IF(ISNUMBER('Corrected energy balance step 1'!AI93),'Corrected energy balance step 1'!AI93,0)</f>
        <v>0</v>
      </c>
      <c r="AJ93" s="160">
        <f>IF(ISNUMBER('Corrected energy balance step 1'!AJ93),'Corrected energy balance step 1'!AJ93,0)</f>
        <v>0</v>
      </c>
      <c r="AK93" s="160">
        <f>IF(ISNUMBER('Corrected energy balance step 1'!AK93),'Corrected energy balance step 1'!AK93,0)</f>
        <v>0</v>
      </c>
      <c r="AL93" s="160">
        <f>IF(ISNUMBER('Corrected energy balance step 1'!AL93),'Corrected energy balance step 1'!AL93,0)</f>
        <v>0</v>
      </c>
      <c r="AM93" s="160">
        <f>IF(ISNUMBER('Corrected energy balance step 1'!AM93),'Corrected energy balance step 1'!AM93,0)</f>
        <v>0</v>
      </c>
      <c r="AN93" s="160">
        <f>IF(ISNUMBER('Corrected energy balance step 1'!AN93),'Corrected energy balance step 1'!AN93,0)</f>
        <v>0</v>
      </c>
      <c r="AO93" s="160">
        <f>IF(ISNUMBER('Corrected energy balance step 1'!AO93),'Corrected energy balance step 1'!AO93,0)</f>
        <v>0</v>
      </c>
      <c r="AP93" s="160">
        <f>IF(ISNUMBER('Corrected energy balance step 1'!AP93),'Corrected energy balance step 1'!AP93,0)</f>
        <v>0</v>
      </c>
      <c r="AQ93" s="160">
        <f>IF(ISNUMBER('Corrected energy balance step 1'!AQ93),'Corrected energy balance step 1'!AQ93,0)</f>
        <v>0</v>
      </c>
      <c r="AR93" s="160">
        <f>IF(ISNUMBER('Corrected energy balance step 1'!AR93),'Corrected energy balance step 1'!AR93,0)</f>
        <v>0</v>
      </c>
      <c r="AS93" s="160">
        <f>IF(ISNUMBER('Corrected energy balance step 1'!AS93),'Corrected energy balance step 1'!AS93,0)</f>
        <v>0</v>
      </c>
      <c r="AT93" s="160">
        <f>IF(ISNUMBER('Corrected energy balance step 1'!AT93),'Corrected energy balance step 1'!AT93,0)</f>
        <v>0</v>
      </c>
      <c r="AU93" s="160">
        <f>IF(ISNUMBER('Corrected energy balance step 1'!AU93),'Corrected energy balance step 1'!AU93,0)</f>
        <v>0</v>
      </c>
      <c r="AV93" s="160">
        <f>IF(ISNUMBER('Corrected energy balance step 1'!AV93),'Corrected energy balance step 1'!AV93,0)</f>
        <v>0</v>
      </c>
      <c r="AW93" s="160">
        <f>IF(ISNUMBER('Corrected energy balance step 1'!AW93),'Corrected energy balance step 1'!AW93,0)</f>
        <v>0</v>
      </c>
      <c r="AX93" s="160">
        <f>IF(ISNUMBER('Corrected energy balance step 1'!AX93),'Corrected energy balance step 1'!AX93,0)</f>
        <v>0</v>
      </c>
      <c r="AY93" s="160">
        <f>IF(ISNUMBER('Corrected energy balance step 1'!AY93),'Corrected energy balance step 1'!AY93,0)</f>
        <v>0</v>
      </c>
      <c r="AZ93" s="160">
        <f>IF(ISNUMBER('Corrected energy balance step 1'!AZ93),'Corrected energy balance step 1'!AZ93,0)</f>
        <v>0</v>
      </c>
      <c r="BA93" s="160">
        <f>IF(ISNUMBER('Corrected energy balance step 1'!BA93),'Corrected energy balance step 1'!BA93,0)</f>
        <v>0</v>
      </c>
      <c r="BB93" s="160">
        <f>IF(ISNUMBER('Corrected energy balance step 1'!BB93),'Corrected energy balance step 1'!BB93,0)</f>
        <v>0</v>
      </c>
      <c r="BC93" s="160">
        <f>IF(ISNUMBER('Corrected energy balance step 1'!BC93),'Corrected energy balance step 1'!BC93,0)</f>
        <v>0</v>
      </c>
      <c r="BD93" s="160">
        <f>IF(ISNUMBER('Corrected energy balance step 1'!BD93),'Corrected energy balance step 1'!BD93,0)</f>
        <v>0</v>
      </c>
      <c r="BE93" s="160">
        <f>IF(ISNUMBER('Corrected energy balance step 1'!BE93),'Corrected energy balance step 1'!BE93,0)</f>
        <v>0</v>
      </c>
      <c r="BF93" s="160">
        <f>IF(ISNUMBER('Corrected energy balance step 1'!BF93),'Corrected energy balance step 1'!BF93,0)</f>
        <v>0</v>
      </c>
      <c r="BG93" s="160">
        <f>IF(ISNUMBER('Corrected energy balance step 1'!BG93),'Corrected energy balance step 1'!BG93,0)</f>
        <v>0</v>
      </c>
      <c r="BH93" s="160">
        <f>IF(ISNUMBER('Corrected energy balance step 1'!BH93),'Corrected energy balance step 1'!BH93,0)</f>
        <v>0</v>
      </c>
      <c r="BI93" s="160">
        <f>IF(ISNUMBER('Corrected energy balance step 1'!BI93),'Corrected energy balance step 1'!BI93,0)</f>
        <v>0</v>
      </c>
      <c r="BJ93" s="160">
        <f>IF(ISNUMBER('Corrected energy balance step 1'!BJ93),'Corrected energy balance step 1'!BJ93,0)</f>
        <v>0</v>
      </c>
      <c r="BK93" s="160">
        <f>IF(ISNUMBER('Corrected energy balance step 1'!BK93),'Corrected energy balance step 1'!BK93,0)</f>
        <v>0</v>
      </c>
      <c r="BL93" s="160">
        <f>IF(ISNUMBER('Corrected energy balance step 1'!BL93),'Corrected energy balance step 1'!BL93,0)</f>
        <v>0</v>
      </c>
      <c r="BM93" s="160">
        <f>IF(ISNUMBER('Corrected energy balance step 1'!BM93),'Corrected energy balance step 1'!BM93,0)</f>
        <v>0</v>
      </c>
      <c r="BN93" s="161">
        <f t="shared" si="76"/>
        <v>0</v>
      </c>
      <c r="BO93" s="162">
        <f>'Corrected energy balance step 1'!BO93</f>
        <v>0</v>
      </c>
    </row>
    <row r="94" spans="2:67" x14ac:dyDescent="0.2">
      <c r="B94" s="32" t="s">
        <v>126</v>
      </c>
      <c r="C94" s="160">
        <f>IF(ISNUMBER('Corrected energy balance step 1'!C94),'Corrected energy balance step 1'!C94,0)</f>
        <v>0</v>
      </c>
      <c r="D94" s="160">
        <f>IF(ISNUMBER('Corrected energy balance step 1'!D94),'Corrected energy balance step 1'!D94,0)</f>
        <v>0</v>
      </c>
      <c r="E94" s="160">
        <f>IF(ISNUMBER('Corrected energy balance step 1'!E94),'Corrected energy balance step 1'!E94,0)</f>
        <v>0</v>
      </c>
      <c r="F94" s="160">
        <f>IF(ISNUMBER('Corrected energy balance step 1'!F94),'Corrected energy balance step 1'!F94,0)</f>
        <v>0</v>
      </c>
      <c r="G94" s="160">
        <f>IF(ISNUMBER('Corrected energy balance step 1'!G94),'Corrected energy balance step 1'!G94,0)</f>
        <v>0</v>
      </c>
      <c r="H94" s="160">
        <f>IF(ISNUMBER('Corrected energy balance step 1'!H94),'Corrected energy balance step 1'!H94,0)</f>
        <v>0</v>
      </c>
      <c r="I94" s="160">
        <f>IF(ISNUMBER('Corrected energy balance step 1'!I94),'Corrected energy balance step 1'!I94,0)</f>
        <v>0</v>
      </c>
      <c r="J94" s="160">
        <f>IF(ISNUMBER('Corrected energy balance step 1'!J94),'Corrected energy balance step 1'!J94,0)</f>
        <v>0</v>
      </c>
      <c r="K94" s="160">
        <f>IF(ISNUMBER('Corrected energy balance step 1'!K94),'Corrected energy balance step 1'!K94,0)</f>
        <v>0</v>
      </c>
      <c r="L94" s="160">
        <f>IF(ISNUMBER('Corrected energy balance step 1'!L94),'Corrected energy balance step 1'!L94,0)</f>
        <v>0</v>
      </c>
      <c r="M94" s="160">
        <f>IF(ISNUMBER('Corrected energy balance step 1'!M94),'Corrected energy balance step 1'!M94,0)</f>
        <v>0</v>
      </c>
      <c r="N94" s="160">
        <f>IF(ISNUMBER('Corrected energy balance step 1'!N94),'Corrected energy balance step 1'!N94,0)</f>
        <v>0</v>
      </c>
      <c r="O94" s="160">
        <f>IF(ISNUMBER('Corrected energy balance step 1'!O94),'Corrected energy balance step 1'!O94,0)</f>
        <v>0</v>
      </c>
      <c r="P94" s="160">
        <f>IF(ISNUMBER('Corrected energy balance step 1'!P94),'Corrected energy balance step 1'!P94,0)</f>
        <v>0</v>
      </c>
      <c r="Q94" s="160">
        <f>IF(ISNUMBER('Corrected energy balance step 1'!Q94),'Corrected energy balance step 1'!Q94,0)</f>
        <v>0</v>
      </c>
      <c r="R94" s="160">
        <f>IF(ISNUMBER('Corrected energy balance step 1'!R94),'Corrected energy balance step 1'!R94,0)</f>
        <v>0</v>
      </c>
      <c r="S94" s="160">
        <f>IF(ISNUMBER('Corrected energy balance step 1'!S94),'Corrected energy balance step 1'!S94,0)</f>
        <v>0</v>
      </c>
      <c r="T94" s="160">
        <f>IF(ISNUMBER('Corrected energy balance step 1'!T94),'Corrected energy balance step 1'!T94,0)</f>
        <v>0</v>
      </c>
      <c r="U94" s="160">
        <f>IF(ISNUMBER('Corrected energy balance step 1'!U94),'Corrected energy balance step 1'!U94,0)</f>
        <v>0</v>
      </c>
      <c r="V94" s="160">
        <f>IF(ISNUMBER('Corrected energy balance step 1'!V94),'Corrected energy balance step 1'!V94,0)</f>
        <v>0</v>
      </c>
      <c r="W94" s="160">
        <f>IF(ISNUMBER('Corrected energy balance step 1'!W94),'Corrected energy balance step 1'!W94,0)</f>
        <v>0</v>
      </c>
      <c r="X94" s="160">
        <f>IF(ISNUMBER('Corrected energy balance step 1'!X94),'Corrected energy balance step 1'!X94,0)</f>
        <v>0</v>
      </c>
      <c r="Y94" s="160">
        <f>IF(ISNUMBER('Corrected energy balance step 1'!Y94),'Corrected energy balance step 1'!Y94,0)</f>
        <v>0</v>
      </c>
      <c r="Z94" s="160">
        <f>IF(ISNUMBER('Corrected energy balance step 1'!Z94),'Corrected energy balance step 1'!Z94,0)</f>
        <v>0</v>
      </c>
      <c r="AA94" s="160">
        <f>IF(ISNUMBER('Corrected energy balance step 1'!AA94),'Corrected energy balance step 1'!AA94,0)</f>
        <v>0</v>
      </c>
      <c r="AB94" s="160">
        <f>IF(ISNUMBER('Corrected energy balance step 1'!AB94),'Corrected energy balance step 1'!AB94,0)</f>
        <v>0</v>
      </c>
      <c r="AC94" s="160">
        <f>IF(ISNUMBER('Corrected energy balance step 1'!AC94),'Corrected energy balance step 1'!AC94,0)</f>
        <v>0</v>
      </c>
      <c r="AD94" s="160">
        <f>IF(ISNUMBER('Corrected energy balance step 1'!AD94),'Corrected energy balance step 1'!AD94,0)</f>
        <v>0</v>
      </c>
      <c r="AE94" s="160">
        <f>IF(ISNUMBER('Corrected energy balance step 1'!AE94),'Corrected energy balance step 1'!AE94,0)</f>
        <v>0</v>
      </c>
      <c r="AF94" s="160">
        <f>IF(ISNUMBER('Corrected energy balance step 1'!AF94),'Corrected energy balance step 1'!AF94,0)</f>
        <v>0</v>
      </c>
      <c r="AG94" s="160">
        <f>IF(ISNUMBER('Corrected energy balance step 1'!AG94),'Corrected energy balance step 1'!AG94,0)</f>
        <v>0</v>
      </c>
      <c r="AH94" s="160">
        <f>IF(ISNUMBER('Corrected energy balance step 1'!AH94),'Corrected energy balance step 1'!AH94,0)</f>
        <v>0</v>
      </c>
      <c r="AI94" s="160">
        <f>IF(ISNUMBER('Corrected energy balance step 1'!AI94),'Corrected energy balance step 1'!AI94,0)</f>
        <v>0</v>
      </c>
      <c r="AJ94" s="160">
        <f>IF(ISNUMBER('Corrected energy balance step 1'!AJ94),'Corrected energy balance step 1'!AJ94,0)</f>
        <v>0</v>
      </c>
      <c r="AK94" s="160">
        <f>IF(ISNUMBER('Corrected energy balance step 1'!AK94),'Corrected energy balance step 1'!AK94,0)</f>
        <v>0</v>
      </c>
      <c r="AL94" s="160">
        <f>IF(ISNUMBER('Corrected energy balance step 1'!AL94),'Corrected energy balance step 1'!AL94,0)</f>
        <v>0</v>
      </c>
      <c r="AM94" s="160">
        <f>IF(ISNUMBER('Corrected energy balance step 1'!AM94),'Corrected energy balance step 1'!AM94,0)</f>
        <v>0</v>
      </c>
      <c r="AN94" s="160">
        <f>IF(ISNUMBER('Corrected energy balance step 1'!AN94),'Corrected energy balance step 1'!AN94,0)</f>
        <v>0</v>
      </c>
      <c r="AO94" s="160">
        <f>IF(ISNUMBER('Corrected energy balance step 1'!AO94),'Corrected energy balance step 1'!AO94,0)</f>
        <v>0</v>
      </c>
      <c r="AP94" s="160">
        <f>IF(ISNUMBER('Corrected energy balance step 1'!AP94),'Corrected energy balance step 1'!AP94,0)</f>
        <v>0</v>
      </c>
      <c r="AQ94" s="160">
        <f>IF(ISNUMBER('Corrected energy balance step 1'!AQ94),'Corrected energy balance step 1'!AQ94,0)</f>
        <v>0</v>
      </c>
      <c r="AR94" s="160">
        <f>IF(ISNUMBER('Corrected energy balance step 1'!AR94),'Corrected energy balance step 1'!AR94,0)</f>
        <v>0</v>
      </c>
      <c r="AS94" s="160">
        <f>IF(ISNUMBER('Corrected energy balance step 1'!AS94),'Corrected energy balance step 1'!AS94,0)</f>
        <v>0</v>
      </c>
      <c r="AT94" s="160">
        <f>IF(ISNUMBER('Corrected energy balance step 1'!AT94),'Corrected energy balance step 1'!AT94,0)</f>
        <v>0</v>
      </c>
      <c r="AU94" s="160">
        <f>IF(ISNUMBER('Corrected energy balance step 1'!AU94),'Corrected energy balance step 1'!AU94,0)</f>
        <v>0</v>
      </c>
      <c r="AV94" s="160">
        <f>IF(ISNUMBER('Corrected energy balance step 1'!AV94),'Corrected energy balance step 1'!AV94,0)</f>
        <v>0</v>
      </c>
      <c r="AW94" s="160">
        <f>IF(ISNUMBER('Corrected energy balance step 1'!AW94),'Corrected energy balance step 1'!AW94,0)</f>
        <v>0</v>
      </c>
      <c r="AX94" s="160">
        <f>IF(ISNUMBER('Corrected energy balance step 1'!AX94),'Corrected energy balance step 1'!AX94,0)</f>
        <v>0</v>
      </c>
      <c r="AY94" s="160">
        <f>IF(ISNUMBER('Corrected energy balance step 1'!AY94),'Corrected energy balance step 1'!AY94,0)</f>
        <v>0</v>
      </c>
      <c r="AZ94" s="160">
        <f>IF(ISNUMBER('Corrected energy balance step 1'!AZ94),'Corrected energy balance step 1'!AZ94,0)</f>
        <v>0</v>
      </c>
      <c r="BA94" s="160">
        <f>IF(ISNUMBER('Corrected energy balance step 1'!BA94),'Corrected energy balance step 1'!BA94,0)</f>
        <v>0</v>
      </c>
      <c r="BB94" s="160">
        <f>IF(ISNUMBER('Corrected energy balance step 1'!BB94),'Corrected energy balance step 1'!BB94,0)</f>
        <v>0</v>
      </c>
      <c r="BC94" s="160">
        <f>IF(ISNUMBER('Corrected energy balance step 1'!BC94),'Corrected energy balance step 1'!BC94,0)</f>
        <v>0</v>
      </c>
      <c r="BD94" s="160">
        <f>IF(ISNUMBER('Corrected energy balance step 1'!BD94),'Corrected energy balance step 1'!BD94,0)</f>
        <v>0</v>
      </c>
      <c r="BE94" s="160">
        <f>IF(ISNUMBER('Corrected energy balance step 1'!BE94),'Corrected energy balance step 1'!BE94,0)</f>
        <v>0</v>
      </c>
      <c r="BF94" s="160">
        <f>IF(ISNUMBER('Corrected energy balance step 1'!BF94),'Corrected energy balance step 1'!BF94,0)</f>
        <v>0</v>
      </c>
      <c r="BG94" s="160">
        <f>IF(ISNUMBER('Corrected energy balance step 1'!BG94),'Corrected energy balance step 1'!BG94,0)</f>
        <v>0</v>
      </c>
      <c r="BH94" s="160">
        <f>IF(ISNUMBER('Corrected energy balance step 1'!BH94),'Corrected energy balance step 1'!BH94,0)</f>
        <v>0</v>
      </c>
      <c r="BI94" s="160">
        <f>IF(ISNUMBER('Corrected energy balance step 1'!BI94),'Corrected energy balance step 1'!BI94,0)</f>
        <v>0</v>
      </c>
      <c r="BJ94" s="160">
        <f>IF(ISNUMBER('Corrected energy balance step 1'!BJ94),'Corrected energy balance step 1'!BJ94,0)</f>
        <v>0</v>
      </c>
      <c r="BK94" s="160">
        <f>IF(ISNUMBER('Corrected energy balance step 1'!BK94),'Corrected energy balance step 1'!BK94,0)</f>
        <v>0</v>
      </c>
      <c r="BL94" s="160">
        <f>IF(ISNUMBER('Corrected energy balance step 1'!BL94),'Corrected energy balance step 1'!BL94,0)</f>
        <v>0</v>
      </c>
      <c r="BM94" s="160">
        <f>IF(ISNUMBER('Corrected energy balance step 1'!BM94),'Corrected energy balance step 1'!BM94,0)</f>
        <v>0</v>
      </c>
      <c r="BN94" s="161">
        <f t="shared" si="76"/>
        <v>0</v>
      </c>
      <c r="BO94" s="162">
        <f>'Corrected energy balance step 1'!BO94</f>
        <v>0</v>
      </c>
    </row>
    <row r="95" spans="2:67" x14ac:dyDescent="0.2">
      <c r="B95" s="32" t="s">
        <v>127</v>
      </c>
      <c r="C95" s="160">
        <f>IF(ISNUMBER('Corrected energy balance step 1'!C95),'Corrected energy balance step 1'!C95,0)</f>
        <v>0</v>
      </c>
      <c r="D95" s="160">
        <f>IF(ISNUMBER('Corrected energy balance step 1'!D95),'Corrected energy balance step 1'!D95,0)</f>
        <v>0</v>
      </c>
      <c r="E95" s="160">
        <f>IF(ISNUMBER('Corrected energy balance step 1'!E95),'Corrected energy balance step 1'!E95,0)</f>
        <v>0</v>
      </c>
      <c r="F95" s="160">
        <f>IF(ISNUMBER('Corrected energy balance step 1'!F95),'Corrected energy balance step 1'!F95,0)</f>
        <v>0</v>
      </c>
      <c r="G95" s="160">
        <f>IF(ISNUMBER('Corrected energy balance step 1'!G95),'Corrected energy balance step 1'!G95,0)</f>
        <v>0</v>
      </c>
      <c r="H95" s="160">
        <f>IF(ISNUMBER('Corrected energy balance step 1'!H95),'Corrected energy balance step 1'!H95,0)</f>
        <v>0</v>
      </c>
      <c r="I95" s="160">
        <f>IF(ISNUMBER('Corrected energy balance step 1'!I95),'Corrected energy balance step 1'!I95,0)</f>
        <v>0</v>
      </c>
      <c r="J95" s="160">
        <f>IF(ISNUMBER('Corrected energy balance step 1'!J95),'Corrected energy balance step 1'!J95,0)</f>
        <v>0</v>
      </c>
      <c r="K95" s="160">
        <f>IF(ISNUMBER('Corrected energy balance step 1'!K95),'Corrected energy balance step 1'!K95,0)</f>
        <v>0</v>
      </c>
      <c r="L95" s="160">
        <f>IF(ISNUMBER('Corrected energy balance step 1'!L95),'Corrected energy balance step 1'!L95,0)</f>
        <v>0</v>
      </c>
      <c r="M95" s="160">
        <f>IF(ISNUMBER('Corrected energy balance step 1'!M95),'Corrected energy balance step 1'!M95,0)</f>
        <v>0</v>
      </c>
      <c r="N95" s="160">
        <f>IF(ISNUMBER('Corrected energy balance step 1'!N95),'Corrected energy balance step 1'!N95,0)</f>
        <v>0</v>
      </c>
      <c r="O95" s="160">
        <f>IF(ISNUMBER('Corrected energy balance step 1'!O95),'Corrected energy balance step 1'!O95,0)</f>
        <v>0</v>
      </c>
      <c r="P95" s="160">
        <f>IF(ISNUMBER('Corrected energy balance step 1'!P95),'Corrected energy balance step 1'!P95,0)</f>
        <v>0</v>
      </c>
      <c r="Q95" s="160">
        <f>IF(ISNUMBER('Corrected energy balance step 1'!Q95),'Corrected energy balance step 1'!Q95,0)</f>
        <v>0</v>
      </c>
      <c r="R95" s="160">
        <f>IF(ISNUMBER('Corrected energy balance step 1'!R95),'Corrected energy balance step 1'!R95,0)</f>
        <v>0</v>
      </c>
      <c r="S95" s="160">
        <f>IF(ISNUMBER('Corrected energy balance step 1'!S95),'Corrected energy balance step 1'!S95,0)</f>
        <v>0</v>
      </c>
      <c r="T95" s="160">
        <f>IF(ISNUMBER('Corrected energy balance step 1'!T95),'Corrected energy balance step 1'!T95,0)</f>
        <v>0</v>
      </c>
      <c r="U95" s="160">
        <f>IF(ISNUMBER('Corrected energy balance step 1'!U95),'Corrected energy balance step 1'!U95,0)</f>
        <v>0</v>
      </c>
      <c r="V95" s="160">
        <f>IF(ISNUMBER('Corrected energy balance step 1'!V95),'Corrected energy balance step 1'!V95,0)</f>
        <v>0</v>
      </c>
      <c r="W95" s="160">
        <f>IF(ISNUMBER('Corrected energy balance step 1'!W95),'Corrected energy balance step 1'!W95,0)</f>
        <v>0</v>
      </c>
      <c r="X95" s="160">
        <f>IF(ISNUMBER('Corrected energy balance step 1'!X95),'Corrected energy balance step 1'!X95,0)</f>
        <v>0</v>
      </c>
      <c r="Y95" s="160">
        <f>IF(ISNUMBER('Corrected energy balance step 1'!Y95),'Corrected energy balance step 1'!Y95,0)</f>
        <v>0</v>
      </c>
      <c r="Z95" s="160">
        <f>IF(ISNUMBER('Corrected energy balance step 1'!Z95),'Corrected energy balance step 1'!Z95,0)</f>
        <v>0</v>
      </c>
      <c r="AA95" s="160">
        <f>IF(ISNUMBER('Corrected energy balance step 1'!AA95),'Corrected energy balance step 1'!AA95,0)</f>
        <v>0</v>
      </c>
      <c r="AB95" s="160">
        <f>IF(ISNUMBER('Corrected energy balance step 1'!AB95),'Corrected energy balance step 1'!AB95,0)</f>
        <v>0</v>
      </c>
      <c r="AC95" s="160">
        <f>IF(ISNUMBER('Corrected energy balance step 1'!AC95),'Corrected energy balance step 1'!AC95,0)</f>
        <v>0</v>
      </c>
      <c r="AD95" s="160">
        <f>IF(ISNUMBER('Corrected energy balance step 1'!AD95),'Corrected energy balance step 1'!AD95,0)</f>
        <v>0</v>
      </c>
      <c r="AE95" s="160">
        <f>IF(ISNUMBER('Corrected energy balance step 1'!AE95),'Corrected energy balance step 1'!AE95,0)</f>
        <v>0</v>
      </c>
      <c r="AF95" s="160">
        <f>IF(ISNUMBER('Corrected energy balance step 1'!AF95),'Corrected energy balance step 1'!AF95,0)</f>
        <v>0</v>
      </c>
      <c r="AG95" s="160">
        <f>IF(ISNUMBER('Corrected energy balance step 1'!AG95),'Corrected energy balance step 1'!AG95,0)</f>
        <v>0</v>
      </c>
      <c r="AH95" s="160">
        <f>IF(ISNUMBER('Corrected energy balance step 1'!AH95),'Corrected energy balance step 1'!AH95,0)</f>
        <v>0</v>
      </c>
      <c r="AI95" s="160">
        <f>IF(ISNUMBER('Corrected energy balance step 1'!AI95),'Corrected energy balance step 1'!AI95,0)</f>
        <v>0</v>
      </c>
      <c r="AJ95" s="160">
        <f>IF(ISNUMBER('Corrected energy balance step 1'!AJ95),'Corrected energy balance step 1'!AJ95,0)</f>
        <v>0</v>
      </c>
      <c r="AK95" s="160">
        <f>IF(ISNUMBER('Corrected energy balance step 1'!AK95),'Corrected energy balance step 1'!AK95,0)</f>
        <v>0</v>
      </c>
      <c r="AL95" s="160">
        <f>IF(ISNUMBER('Corrected energy balance step 1'!AL95),'Corrected energy balance step 1'!AL95,0)</f>
        <v>0</v>
      </c>
      <c r="AM95" s="160">
        <f>IF(ISNUMBER('Corrected energy balance step 1'!AM95),'Corrected energy balance step 1'!AM95,0)</f>
        <v>0</v>
      </c>
      <c r="AN95" s="160">
        <f>IF(ISNUMBER('Corrected energy balance step 1'!AN95),'Corrected energy balance step 1'!AN95,0)</f>
        <v>0</v>
      </c>
      <c r="AO95" s="160">
        <f>IF(ISNUMBER('Corrected energy balance step 1'!AO95),'Corrected energy balance step 1'!AO95,0)</f>
        <v>0</v>
      </c>
      <c r="AP95" s="160">
        <f>IF(ISNUMBER('Corrected energy balance step 1'!AP95),'Corrected energy balance step 1'!AP95,0)</f>
        <v>0</v>
      </c>
      <c r="AQ95" s="160">
        <f>IF(ISNUMBER('Corrected energy balance step 1'!AQ95),'Corrected energy balance step 1'!AQ95,0)</f>
        <v>0</v>
      </c>
      <c r="AR95" s="160">
        <f>IF(ISNUMBER('Corrected energy balance step 1'!AR95),'Corrected energy balance step 1'!AR95,0)</f>
        <v>0</v>
      </c>
      <c r="AS95" s="160">
        <f>IF(ISNUMBER('Corrected energy balance step 1'!AS95),'Corrected energy balance step 1'!AS95,0)</f>
        <v>0</v>
      </c>
      <c r="AT95" s="160">
        <f>IF(ISNUMBER('Corrected energy balance step 1'!AT95),'Corrected energy balance step 1'!AT95,0)</f>
        <v>0</v>
      </c>
      <c r="AU95" s="160">
        <f>IF(ISNUMBER('Corrected energy balance step 1'!AU95),'Corrected energy balance step 1'!AU95,0)</f>
        <v>0</v>
      </c>
      <c r="AV95" s="160">
        <f>IF(ISNUMBER('Corrected energy balance step 1'!AV95),'Corrected energy balance step 1'!AV95,0)</f>
        <v>0</v>
      </c>
      <c r="AW95" s="160">
        <f>IF(ISNUMBER('Corrected energy balance step 1'!AW95),'Corrected energy balance step 1'!AW95,0)</f>
        <v>0</v>
      </c>
      <c r="AX95" s="160">
        <f>IF(ISNUMBER('Corrected energy balance step 1'!AX95),'Corrected energy balance step 1'!AX95,0)</f>
        <v>0</v>
      </c>
      <c r="AY95" s="160">
        <f>IF(ISNUMBER('Corrected energy balance step 1'!AY95),'Corrected energy balance step 1'!AY95,0)</f>
        <v>0</v>
      </c>
      <c r="AZ95" s="160">
        <f>IF(ISNUMBER('Corrected energy balance step 1'!AZ95),'Corrected energy balance step 1'!AZ95,0)</f>
        <v>0</v>
      </c>
      <c r="BA95" s="160">
        <f>IF(ISNUMBER('Corrected energy balance step 1'!BA95),'Corrected energy balance step 1'!BA95,0)</f>
        <v>0</v>
      </c>
      <c r="BB95" s="160">
        <f>IF(ISNUMBER('Corrected energy balance step 1'!BB95),'Corrected energy balance step 1'!BB95,0)</f>
        <v>0</v>
      </c>
      <c r="BC95" s="160">
        <f>IF(ISNUMBER('Corrected energy balance step 1'!BC95),'Corrected energy balance step 1'!BC95,0)</f>
        <v>0</v>
      </c>
      <c r="BD95" s="160">
        <f>IF(ISNUMBER('Corrected energy balance step 1'!BD95),'Corrected energy balance step 1'!BD95,0)</f>
        <v>0</v>
      </c>
      <c r="BE95" s="160">
        <f>IF(ISNUMBER('Corrected energy balance step 1'!BE95),'Corrected energy balance step 1'!BE95,0)</f>
        <v>0</v>
      </c>
      <c r="BF95" s="160">
        <f>IF(ISNUMBER('Corrected energy balance step 1'!BF95),'Corrected energy balance step 1'!BF95,0)</f>
        <v>0</v>
      </c>
      <c r="BG95" s="160">
        <f>IF(ISNUMBER('Corrected energy balance step 1'!BG95),'Corrected energy balance step 1'!BG95,0)</f>
        <v>0</v>
      </c>
      <c r="BH95" s="160">
        <f>IF(ISNUMBER('Corrected energy balance step 1'!BH95),'Corrected energy balance step 1'!BH95,0)</f>
        <v>0</v>
      </c>
      <c r="BI95" s="160">
        <f>IF(ISNUMBER('Corrected energy balance step 1'!BI95),'Corrected energy balance step 1'!BI95,0)</f>
        <v>0</v>
      </c>
      <c r="BJ95" s="160">
        <f>IF(ISNUMBER('Corrected energy balance step 1'!BJ95),'Corrected energy balance step 1'!BJ95,0)</f>
        <v>0</v>
      </c>
      <c r="BK95" s="160">
        <f>IF(ISNUMBER('Corrected energy balance step 1'!BK95),'Corrected energy balance step 1'!BK95,0)</f>
        <v>0</v>
      </c>
      <c r="BL95" s="160">
        <f>IF(ISNUMBER('Corrected energy balance step 1'!BL95),'Corrected energy balance step 1'!BL95,0)</f>
        <v>0</v>
      </c>
      <c r="BM95" s="160">
        <f>IF(ISNUMBER('Corrected energy balance step 1'!BM95),'Corrected energy balance step 1'!BM95,0)</f>
        <v>0</v>
      </c>
      <c r="BN95" s="161">
        <f t="shared" si="76"/>
        <v>0</v>
      </c>
      <c r="BO95" s="162">
        <f>'Corrected energy balance step 1'!BO95</f>
        <v>0</v>
      </c>
    </row>
    <row r="96" spans="2:67" ht="17" thickBot="1" x14ac:dyDescent="0.25">
      <c r="B96" s="32" t="s">
        <v>128</v>
      </c>
      <c r="C96" s="160">
        <f>IF(ISNUMBER('Corrected energy balance step 1'!C96),'Corrected energy balance step 1'!C96,0)</f>
        <v>0</v>
      </c>
      <c r="D96" s="160">
        <f>IF(ISNUMBER('Corrected energy balance step 1'!D96),'Corrected energy balance step 1'!D96,0)</f>
        <v>0</v>
      </c>
      <c r="E96" s="160">
        <f>IF(ISNUMBER('Corrected energy balance step 1'!E96),'Corrected energy balance step 1'!E96,0)</f>
        <v>0</v>
      </c>
      <c r="F96" s="160">
        <f>IF(ISNUMBER('Corrected energy balance step 1'!F96),'Corrected energy balance step 1'!F96,0)</f>
        <v>0</v>
      </c>
      <c r="G96" s="160">
        <f>IF(ISNUMBER('Corrected energy balance step 1'!G96),'Corrected energy balance step 1'!G96,0)</f>
        <v>0</v>
      </c>
      <c r="H96" s="160">
        <f>IF(ISNUMBER('Corrected energy balance step 1'!H96),'Corrected energy balance step 1'!H96,0)</f>
        <v>0</v>
      </c>
      <c r="I96" s="160">
        <f>IF(ISNUMBER('Corrected energy balance step 1'!I96),'Corrected energy balance step 1'!I96,0)</f>
        <v>0</v>
      </c>
      <c r="J96" s="160">
        <f>IF(ISNUMBER('Corrected energy balance step 1'!J96),'Corrected energy balance step 1'!J96,0)</f>
        <v>0</v>
      </c>
      <c r="K96" s="160">
        <f>IF(ISNUMBER('Corrected energy balance step 1'!K96),'Corrected energy balance step 1'!K96,0)</f>
        <v>0</v>
      </c>
      <c r="L96" s="160">
        <f>IF(ISNUMBER('Corrected energy balance step 1'!L96),'Corrected energy balance step 1'!L96,0)</f>
        <v>0</v>
      </c>
      <c r="M96" s="160">
        <f>IF(ISNUMBER('Corrected energy balance step 1'!M96),'Corrected energy balance step 1'!M96,0)</f>
        <v>0</v>
      </c>
      <c r="N96" s="160">
        <f>IF(ISNUMBER('Corrected energy balance step 1'!N96),'Corrected energy balance step 1'!N96,0)</f>
        <v>0</v>
      </c>
      <c r="O96" s="160">
        <f>IF(ISNUMBER('Corrected energy balance step 1'!O96),'Corrected energy balance step 1'!O96,0)</f>
        <v>0</v>
      </c>
      <c r="P96" s="160">
        <f>IF(ISNUMBER('Corrected energy balance step 1'!P96),'Corrected energy balance step 1'!P96,0)</f>
        <v>0</v>
      </c>
      <c r="Q96" s="160">
        <f>IF(ISNUMBER('Corrected energy balance step 1'!Q96),'Corrected energy balance step 1'!Q96,0)</f>
        <v>0</v>
      </c>
      <c r="R96" s="160">
        <f>IF(ISNUMBER('Corrected energy balance step 1'!R96),'Corrected energy balance step 1'!R96,0)</f>
        <v>0</v>
      </c>
      <c r="S96" s="160">
        <f>IF(ISNUMBER('Corrected energy balance step 1'!S96),'Corrected energy balance step 1'!S96,0)</f>
        <v>0</v>
      </c>
      <c r="T96" s="160">
        <f>IF(ISNUMBER('Corrected energy balance step 1'!T96),'Corrected energy balance step 1'!T96,0)</f>
        <v>0</v>
      </c>
      <c r="U96" s="160">
        <f>IF(ISNUMBER('Corrected energy balance step 1'!U96),'Corrected energy balance step 1'!U96,0)</f>
        <v>0</v>
      </c>
      <c r="V96" s="160">
        <f>IF(ISNUMBER('Corrected energy balance step 1'!V96),'Corrected energy balance step 1'!V96,0)</f>
        <v>0</v>
      </c>
      <c r="W96" s="160">
        <f>IF(ISNUMBER('Corrected energy balance step 1'!W96),'Corrected energy balance step 1'!W96,0)</f>
        <v>0</v>
      </c>
      <c r="X96" s="160">
        <f>IF(ISNUMBER('Corrected energy balance step 1'!X96),'Corrected energy balance step 1'!X96,0)</f>
        <v>0</v>
      </c>
      <c r="Y96" s="160">
        <f>IF(ISNUMBER('Corrected energy balance step 1'!Y96),'Corrected energy balance step 1'!Y96,0)</f>
        <v>0</v>
      </c>
      <c r="Z96" s="160">
        <f>IF(ISNUMBER('Corrected energy balance step 1'!Z96),'Corrected energy balance step 1'!Z96,0)</f>
        <v>0</v>
      </c>
      <c r="AA96" s="160">
        <f>IF(ISNUMBER('Corrected energy balance step 1'!AA96),'Corrected energy balance step 1'!AA96,0)</f>
        <v>0</v>
      </c>
      <c r="AB96" s="160">
        <f>IF(ISNUMBER('Corrected energy balance step 1'!AB96),'Corrected energy balance step 1'!AB96,0)</f>
        <v>0</v>
      </c>
      <c r="AC96" s="160">
        <f>IF(ISNUMBER('Corrected energy balance step 1'!AC96),'Corrected energy balance step 1'!AC96,0)</f>
        <v>0</v>
      </c>
      <c r="AD96" s="160">
        <f>IF(ISNUMBER('Corrected energy balance step 1'!AD96),'Corrected energy balance step 1'!AD96,0)</f>
        <v>0</v>
      </c>
      <c r="AE96" s="160">
        <f>IF(ISNUMBER('Corrected energy balance step 1'!AE96),'Corrected energy balance step 1'!AE96,0)</f>
        <v>0</v>
      </c>
      <c r="AF96" s="160">
        <f>IF(ISNUMBER('Corrected energy balance step 1'!AF96),'Corrected energy balance step 1'!AF96,0)</f>
        <v>0</v>
      </c>
      <c r="AG96" s="160">
        <f>IF(ISNUMBER('Corrected energy balance step 1'!AG96),'Corrected energy balance step 1'!AG96,0)</f>
        <v>0</v>
      </c>
      <c r="AH96" s="160">
        <f>IF(ISNUMBER('Corrected energy balance step 1'!AH96),'Corrected energy balance step 1'!AH96,0)</f>
        <v>0</v>
      </c>
      <c r="AI96" s="160">
        <f>IF(ISNUMBER('Corrected energy balance step 1'!AI96),'Corrected energy balance step 1'!AI96,0)</f>
        <v>0</v>
      </c>
      <c r="AJ96" s="160">
        <f>IF(ISNUMBER('Corrected energy balance step 1'!AJ96),'Corrected energy balance step 1'!AJ96,0)</f>
        <v>0</v>
      </c>
      <c r="AK96" s="160">
        <f>IF(ISNUMBER('Corrected energy balance step 1'!AK96),'Corrected energy balance step 1'!AK96,0)</f>
        <v>0</v>
      </c>
      <c r="AL96" s="160">
        <f>IF(ISNUMBER('Corrected energy balance step 1'!AL96),'Corrected energy balance step 1'!AL96,0)</f>
        <v>0</v>
      </c>
      <c r="AM96" s="160">
        <f>IF(ISNUMBER('Corrected energy balance step 1'!AM96),'Corrected energy balance step 1'!AM96,0)</f>
        <v>0</v>
      </c>
      <c r="AN96" s="160">
        <f>IF(ISNUMBER('Corrected energy balance step 1'!AN96),'Corrected energy balance step 1'!AN96,0)</f>
        <v>0</v>
      </c>
      <c r="AO96" s="160">
        <f>IF(ISNUMBER('Corrected energy balance step 1'!AO96),'Corrected energy balance step 1'!AO96,0)</f>
        <v>0</v>
      </c>
      <c r="AP96" s="160">
        <f>IF(ISNUMBER('Corrected energy balance step 1'!AP96),'Corrected energy balance step 1'!AP96,0)</f>
        <v>0</v>
      </c>
      <c r="AQ96" s="160">
        <f>IF(ISNUMBER('Corrected energy balance step 1'!AQ96),'Corrected energy balance step 1'!AQ96,0)</f>
        <v>0</v>
      </c>
      <c r="AR96" s="160">
        <f>IF(ISNUMBER('Corrected energy balance step 1'!AR96),'Corrected energy balance step 1'!AR96,0)</f>
        <v>0</v>
      </c>
      <c r="AS96" s="160">
        <f>IF(ISNUMBER('Corrected energy balance step 1'!AS96),'Corrected energy balance step 1'!AS96,0)</f>
        <v>0</v>
      </c>
      <c r="AT96" s="160">
        <f>IF(ISNUMBER('Corrected energy balance step 1'!AT96),'Corrected energy balance step 1'!AT96,0)</f>
        <v>0</v>
      </c>
      <c r="AU96" s="160">
        <f>IF(ISNUMBER('Corrected energy balance step 1'!AU96),'Corrected energy balance step 1'!AU96,0)</f>
        <v>0</v>
      </c>
      <c r="AV96" s="160">
        <f>IF(ISNUMBER('Corrected energy balance step 1'!AV96),'Corrected energy balance step 1'!AV96,0)</f>
        <v>0</v>
      </c>
      <c r="AW96" s="160">
        <f>IF(ISNUMBER('Corrected energy balance step 1'!AW96),'Corrected energy balance step 1'!AW96,0)</f>
        <v>0</v>
      </c>
      <c r="AX96" s="160">
        <f>IF(ISNUMBER('Corrected energy balance step 1'!AX96),'Corrected energy balance step 1'!AX96,0)</f>
        <v>0</v>
      </c>
      <c r="AY96" s="160">
        <f>IF(ISNUMBER('Corrected energy balance step 1'!AY96),'Corrected energy balance step 1'!AY96,0)</f>
        <v>0</v>
      </c>
      <c r="AZ96" s="160">
        <f>IF(ISNUMBER('Corrected energy balance step 1'!AZ96),'Corrected energy balance step 1'!AZ96,0)</f>
        <v>0</v>
      </c>
      <c r="BA96" s="160">
        <f>IF(ISNUMBER('Corrected energy balance step 1'!BA96),'Corrected energy balance step 1'!BA96,0)</f>
        <v>0</v>
      </c>
      <c r="BB96" s="160">
        <f>IF(ISNUMBER('Corrected energy balance step 1'!BB96),'Corrected energy balance step 1'!BB96,0)</f>
        <v>0</v>
      </c>
      <c r="BC96" s="160">
        <f>IF(ISNUMBER('Corrected energy balance step 1'!BC96),'Corrected energy balance step 1'!BC96,0)</f>
        <v>0</v>
      </c>
      <c r="BD96" s="160">
        <f>IF(ISNUMBER('Corrected energy balance step 1'!BD96),'Corrected energy balance step 1'!BD96,0)</f>
        <v>0</v>
      </c>
      <c r="BE96" s="160">
        <f>IF(ISNUMBER('Corrected energy balance step 1'!BE96),'Corrected energy balance step 1'!BE96,0)</f>
        <v>0</v>
      </c>
      <c r="BF96" s="160">
        <f>IF(ISNUMBER('Corrected energy balance step 1'!BF96),'Corrected energy balance step 1'!BF96,0)</f>
        <v>0</v>
      </c>
      <c r="BG96" s="160">
        <f>IF(ISNUMBER('Corrected energy balance step 1'!BG96),'Corrected energy balance step 1'!BG96,0)</f>
        <v>0</v>
      </c>
      <c r="BH96" s="160">
        <f>IF(ISNUMBER('Corrected energy balance step 1'!BH96),'Corrected energy balance step 1'!BH96,0)</f>
        <v>0</v>
      </c>
      <c r="BI96" s="160">
        <f>IF(ISNUMBER('Corrected energy balance step 1'!BI96),'Corrected energy balance step 1'!BI96,0)</f>
        <v>0</v>
      </c>
      <c r="BJ96" s="160">
        <f>IF(ISNUMBER('Corrected energy balance step 1'!BJ96),'Corrected energy balance step 1'!BJ96,0)</f>
        <v>0</v>
      </c>
      <c r="BK96" s="160">
        <f>IF(ISNUMBER('Corrected energy balance step 1'!BK96),'Corrected energy balance step 1'!BK96,0)</f>
        <v>0</v>
      </c>
      <c r="BL96" s="160">
        <f>IF(ISNUMBER('Corrected energy balance step 1'!BL96),'Corrected energy balance step 1'!BL96,0)</f>
        <v>0</v>
      </c>
      <c r="BM96" s="160">
        <f>IF(ISNUMBER('Corrected energy balance step 1'!BM96),'Corrected energy balance step 1'!BM96,0)</f>
        <v>0</v>
      </c>
      <c r="BN96" s="161">
        <f t="shared" si="76"/>
        <v>0</v>
      </c>
      <c r="BO96" s="162">
        <f>'Corrected energy balance step 1'!BO96</f>
        <v>0</v>
      </c>
    </row>
    <row r="97" spans="2:67" ht="17" thickBot="1" x14ac:dyDescent="0.25">
      <c r="B97" s="40" t="s">
        <v>129</v>
      </c>
      <c r="C97" s="169">
        <f>SUM(C98:C101)</f>
        <v>0</v>
      </c>
      <c r="D97" s="169">
        <f t="shared" ref="D97:BM97" si="77">SUM(D98:D101)</f>
        <v>0</v>
      </c>
      <c r="E97" s="169">
        <f t="shared" si="77"/>
        <v>0</v>
      </c>
      <c r="F97" s="169">
        <f t="shared" si="77"/>
        <v>0</v>
      </c>
      <c r="G97" s="169">
        <f t="shared" si="77"/>
        <v>0</v>
      </c>
      <c r="H97" s="169">
        <f t="shared" si="77"/>
        <v>0</v>
      </c>
      <c r="I97" s="169">
        <f t="shared" si="77"/>
        <v>0</v>
      </c>
      <c r="J97" s="169">
        <f t="shared" si="77"/>
        <v>0</v>
      </c>
      <c r="K97" s="169">
        <f t="shared" si="77"/>
        <v>0</v>
      </c>
      <c r="L97" s="169">
        <f t="shared" si="77"/>
        <v>0</v>
      </c>
      <c r="M97" s="169">
        <f t="shared" si="77"/>
        <v>0</v>
      </c>
      <c r="N97" s="169">
        <f t="shared" si="77"/>
        <v>0</v>
      </c>
      <c r="O97" s="169">
        <f t="shared" si="77"/>
        <v>0</v>
      </c>
      <c r="P97" s="169">
        <f t="shared" si="77"/>
        <v>0</v>
      </c>
      <c r="Q97" s="169">
        <f t="shared" si="77"/>
        <v>0</v>
      </c>
      <c r="R97" s="169">
        <f t="shared" si="77"/>
        <v>0</v>
      </c>
      <c r="S97" s="169">
        <f t="shared" si="77"/>
        <v>0</v>
      </c>
      <c r="T97" s="169">
        <f t="shared" si="77"/>
        <v>0</v>
      </c>
      <c r="U97" s="169">
        <f t="shared" si="77"/>
        <v>0</v>
      </c>
      <c r="V97" s="169">
        <f t="shared" si="77"/>
        <v>0</v>
      </c>
      <c r="W97" s="169">
        <f t="shared" si="77"/>
        <v>0</v>
      </c>
      <c r="X97" s="169">
        <f t="shared" si="77"/>
        <v>0</v>
      </c>
      <c r="Y97" s="169">
        <f t="shared" si="77"/>
        <v>0</v>
      </c>
      <c r="Z97" s="169">
        <f t="shared" si="77"/>
        <v>0</v>
      </c>
      <c r="AA97" s="169">
        <f t="shared" si="77"/>
        <v>0</v>
      </c>
      <c r="AB97" s="169">
        <f t="shared" si="77"/>
        <v>0</v>
      </c>
      <c r="AC97" s="169">
        <f t="shared" si="77"/>
        <v>0</v>
      </c>
      <c r="AD97" s="169">
        <f t="shared" si="77"/>
        <v>0</v>
      </c>
      <c r="AE97" s="169">
        <f t="shared" si="77"/>
        <v>0</v>
      </c>
      <c r="AF97" s="169">
        <f t="shared" si="77"/>
        <v>0</v>
      </c>
      <c r="AG97" s="169">
        <f t="shared" si="77"/>
        <v>0</v>
      </c>
      <c r="AH97" s="169">
        <f t="shared" si="77"/>
        <v>0</v>
      </c>
      <c r="AI97" s="169">
        <f t="shared" si="77"/>
        <v>0</v>
      </c>
      <c r="AJ97" s="169">
        <f t="shared" si="77"/>
        <v>0</v>
      </c>
      <c r="AK97" s="169">
        <f t="shared" si="77"/>
        <v>0</v>
      </c>
      <c r="AL97" s="169">
        <f t="shared" si="77"/>
        <v>0</v>
      </c>
      <c r="AM97" s="169">
        <f t="shared" si="77"/>
        <v>0</v>
      </c>
      <c r="AN97" s="169">
        <f t="shared" si="77"/>
        <v>0</v>
      </c>
      <c r="AO97" s="169">
        <f t="shared" si="77"/>
        <v>0</v>
      </c>
      <c r="AP97" s="169">
        <f t="shared" si="77"/>
        <v>0</v>
      </c>
      <c r="AQ97" s="169">
        <f t="shared" si="77"/>
        <v>0</v>
      </c>
      <c r="AR97" s="169">
        <f t="shared" si="77"/>
        <v>0</v>
      </c>
      <c r="AS97" s="169">
        <f t="shared" si="77"/>
        <v>0</v>
      </c>
      <c r="AT97" s="169">
        <f t="shared" si="77"/>
        <v>0</v>
      </c>
      <c r="AU97" s="169">
        <f t="shared" si="77"/>
        <v>0</v>
      </c>
      <c r="AV97" s="169">
        <f t="shared" si="77"/>
        <v>0</v>
      </c>
      <c r="AW97" s="169">
        <f t="shared" si="77"/>
        <v>0</v>
      </c>
      <c r="AX97" s="169">
        <f t="shared" si="77"/>
        <v>0</v>
      </c>
      <c r="AY97" s="169">
        <f t="shared" si="77"/>
        <v>0</v>
      </c>
      <c r="AZ97" s="169">
        <f t="shared" si="77"/>
        <v>0</v>
      </c>
      <c r="BA97" s="169">
        <f t="shared" si="77"/>
        <v>0</v>
      </c>
      <c r="BB97" s="169">
        <f t="shared" si="77"/>
        <v>0</v>
      </c>
      <c r="BC97" s="169">
        <f t="shared" si="77"/>
        <v>0</v>
      </c>
      <c r="BD97" s="169">
        <f t="shared" si="77"/>
        <v>0</v>
      </c>
      <c r="BE97" s="169">
        <f t="shared" si="77"/>
        <v>0</v>
      </c>
      <c r="BF97" s="169">
        <f t="shared" si="77"/>
        <v>0</v>
      </c>
      <c r="BG97" s="169">
        <f t="shared" si="77"/>
        <v>0</v>
      </c>
      <c r="BH97" s="169">
        <f t="shared" si="77"/>
        <v>0</v>
      </c>
      <c r="BI97" s="169">
        <f t="shared" si="77"/>
        <v>0</v>
      </c>
      <c r="BJ97" s="169">
        <f t="shared" si="77"/>
        <v>0</v>
      </c>
      <c r="BK97" s="169">
        <f t="shared" si="77"/>
        <v>0</v>
      </c>
      <c r="BL97" s="169">
        <f t="shared" si="77"/>
        <v>0</v>
      </c>
      <c r="BM97" s="169">
        <f t="shared" si="77"/>
        <v>0</v>
      </c>
      <c r="BN97" s="251">
        <f t="shared" si="76"/>
        <v>0</v>
      </c>
      <c r="BO97" s="165">
        <f>'Corrected energy balance step 1'!BO97</f>
        <v>0</v>
      </c>
    </row>
    <row r="98" spans="2:67" x14ac:dyDescent="0.2">
      <c r="B98" s="32" t="s">
        <v>130</v>
      </c>
      <c r="C98" s="160">
        <f>IF(ISNUMBER('Corrected energy balance step 1'!C98),'Corrected energy balance step 1'!C98,0)</f>
        <v>0</v>
      </c>
      <c r="D98" s="160">
        <f>IF(ISNUMBER('Corrected energy balance step 1'!D98),'Corrected energy balance step 1'!D98,0)</f>
        <v>0</v>
      </c>
      <c r="E98" s="160">
        <f>IF(ISNUMBER('Corrected energy balance step 1'!E98),'Corrected energy balance step 1'!E98,0)</f>
        <v>0</v>
      </c>
      <c r="F98" s="160">
        <f>IF(ISNUMBER('Corrected energy balance step 1'!F98),'Corrected energy balance step 1'!F98,0)</f>
        <v>0</v>
      </c>
      <c r="G98" s="160">
        <f>IF(ISNUMBER('Corrected energy balance step 1'!G98),'Corrected energy balance step 1'!G98,0)</f>
        <v>0</v>
      </c>
      <c r="H98" s="160">
        <f>IF(ISNUMBER('Corrected energy balance step 1'!H98),'Corrected energy balance step 1'!H98,0)</f>
        <v>0</v>
      </c>
      <c r="I98" s="160">
        <f>IF(ISNUMBER('Corrected energy balance step 1'!I98),'Corrected energy balance step 1'!I98,0)</f>
        <v>0</v>
      </c>
      <c r="J98" s="160">
        <f>IF(ISNUMBER('Corrected energy balance step 1'!J98),'Corrected energy balance step 1'!J98,0)</f>
        <v>0</v>
      </c>
      <c r="K98" s="160">
        <f>IF(ISNUMBER('Corrected energy balance step 1'!K98),'Corrected energy balance step 1'!K98,0)</f>
        <v>0</v>
      </c>
      <c r="L98" s="160">
        <f>IF(ISNUMBER('Corrected energy balance step 1'!L98),'Corrected energy balance step 1'!L98,0)</f>
        <v>0</v>
      </c>
      <c r="M98" s="160">
        <f>IF(ISNUMBER('Corrected energy balance step 1'!M98),'Corrected energy balance step 1'!M98,0)</f>
        <v>0</v>
      </c>
      <c r="N98" s="160">
        <f>IF(ISNUMBER('Corrected energy balance step 1'!N98),'Corrected energy balance step 1'!N98,0)</f>
        <v>0</v>
      </c>
      <c r="O98" s="160">
        <f>IF(ISNUMBER('Corrected energy balance step 1'!O98),'Corrected energy balance step 1'!O98,0)</f>
        <v>0</v>
      </c>
      <c r="P98" s="160">
        <f>IF(ISNUMBER('Corrected energy balance step 1'!P98),'Corrected energy balance step 1'!P98,0)</f>
        <v>0</v>
      </c>
      <c r="Q98" s="160">
        <f>IF(ISNUMBER('Corrected energy balance step 1'!Q98),'Corrected energy balance step 1'!Q98,0)</f>
        <v>0</v>
      </c>
      <c r="R98" s="160">
        <f>IF(ISNUMBER('Corrected energy balance step 1'!R98),'Corrected energy balance step 1'!R98,0)</f>
        <v>0</v>
      </c>
      <c r="S98" s="160">
        <f>IF(ISNUMBER('Corrected energy balance step 1'!S98),'Corrected energy balance step 1'!S98,0)</f>
        <v>0</v>
      </c>
      <c r="T98" s="160">
        <f>IF(ISNUMBER('Corrected energy balance step 1'!T98),'Corrected energy balance step 1'!T98,0)</f>
        <v>0</v>
      </c>
      <c r="U98" s="160">
        <f>IF(ISNUMBER('Corrected energy balance step 1'!U98),'Corrected energy balance step 1'!U98,0)</f>
        <v>0</v>
      </c>
      <c r="V98" s="160">
        <f>IF(ISNUMBER('Corrected energy balance step 1'!V98),'Corrected energy balance step 1'!V98,0)</f>
        <v>0</v>
      </c>
      <c r="W98" s="160">
        <f>IF(ISNUMBER('Corrected energy balance step 1'!W98),'Corrected energy balance step 1'!W98,0)</f>
        <v>0</v>
      </c>
      <c r="X98" s="160">
        <f>IF(ISNUMBER('Corrected energy balance step 1'!X98),'Corrected energy balance step 1'!X98,0)</f>
        <v>0</v>
      </c>
      <c r="Y98" s="160">
        <f>IF(ISNUMBER('Corrected energy balance step 1'!Y98),'Corrected energy balance step 1'!Y98,0)</f>
        <v>0</v>
      </c>
      <c r="Z98" s="160">
        <f>IF(ISNUMBER('Corrected energy balance step 1'!Z98),'Corrected energy balance step 1'!Z98,0)</f>
        <v>0</v>
      </c>
      <c r="AA98" s="160">
        <f>IF(ISNUMBER('Corrected energy balance step 1'!AA98),'Corrected energy balance step 1'!AA98,0)</f>
        <v>0</v>
      </c>
      <c r="AB98" s="160">
        <f>IF(ISNUMBER('Corrected energy balance step 1'!AB98),'Corrected energy balance step 1'!AB98,0)</f>
        <v>0</v>
      </c>
      <c r="AC98" s="160">
        <f>IF(ISNUMBER('Corrected energy balance step 1'!AC98),'Corrected energy balance step 1'!AC98,0)</f>
        <v>0</v>
      </c>
      <c r="AD98" s="160">
        <f>IF(ISNUMBER('Corrected energy balance step 1'!AD98),'Corrected energy balance step 1'!AD98,0)</f>
        <v>0</v>
      </c>
      <c r="AE98" s="160">
        <f>IF(ISNUMBER('Corrected energy balance step 1'!AE98),'Corrected energy balance step 1'!AE98,0)</f>
        <v>0</v>
      </c>
      <c r="AF98" s="160">
        <f>IF(ISNUMBER('Corrected energy balance step 1'!AF98),'Corrected energy balance step 1'!AF98,0)</f>
        <v>0</v>
      </c>
      <c r="AG98" s="160">
        <f>IF(ISNUMBER('Corrected energy balance step 1'!AG98),'Corrected energy balance step 1'!AG98,0)</f>
        <v>0</v>
      </c>
      <c r="AH98" s="160">
        <f>IF(ISNUMBER('Corrected energy balance step 1'!AH98),'Corrected energy balance step 1'!AH98,0)</f>
        <v>0</v>
      </c>
      <c r="AI98" s="160">
        <f>IF(ISNUMBER('Corrected energy balance step 1'!AI98),'Corrected energy balance step 1'!AI98,0)</f>
        <v>0</v>
      </c>
      <c r="AJ98" s="160">
        <f>IF(ISNUMBER('Corrected energy balance step 1'!AJ98),'Corrected energy balance step 1'!AJ98,0)</f>
        <v>0</v>
      </c>
      <c r="AK98" s="160">
        <f>IF(ISNUMBER('Corrected energy balance step 1'!AK98),'Corrected energy balance step 1'!AK98,0)</f>
        <v>0</v>
      </c>
      <c r="AL98" s="160">
        <f>IF(ISNUMBER('Corrected energy balance step 1'!AL98),'Corrected energy balance step 1'!AL98,0)</f>
        <v>0</v>
      </c>
      <c r="AM98" s="160">
        <f>IF(ISNUMBER('Corrected energy balance step 1'!AM98),'Corrected energy balance step 1'!AM98,0)</f>
        <v>0</v>
      </c>
      <c r="AN98" s="160">
        <f>IF(ISNUMBER('Corrected energy balance step 1'!AN98),'Corrected energy balance step 1'!AN98,0)</f>
        <v>0</v>
      </c>
      <c r="AO98" s="160">
        <f>IF(ISNUMBER('Corrected energy balance step 1'!AO98),'Corrected energy balance step 1'!AO98,0)</f>
        <v>0</v>
      </c>
      <c r="AP98" s="160">
        <f>IF(ISNUMBER('Corrected energy balance step 1'!AP98),'Corrected energy balance step 1'!AP98,0)</f>
        <v>0</v>
      </c>
      <c r="AQ98" s="160">
        <f>IF(ISNUMBER('Corrected energy balance step 1'!AQ98),'Corrected energy balance step 1'!AQ98,0)</f>
        <v>0</v>
      </c>
      <c r="AR98" s="160">
        <f>IF(ISNUMBER('Corrected energy balance step 1'!AR98),'Corrected energy balance step 1'!AR98,0)</f>
        <v>0</v>
      </c>
      <c r="AS98" s="160">
        <f>IF(ISNUMBER('Corrected energy balance step 1'!AS98),'Corrected energy balance step 1'!AS98,0)</f>
        <v>0</v>
      </c>
      <c r="AT98" s="160">
        <f>IF(ISNUMBER('Corrected energy balance step 1'!AT98),'Corrected energy balance step 1'!AT98,0)</f>
        <v>0</v>
      </c>
      <c r="AU98" s="160">
        <f>IF(ISNUMBER('Corrected energy balance step 1'!AU98),'Corrected energy balance step 1'!AU98,0)</f>
        <v>0</v>
      </c>
      <c r="AV98" s="160">
        <f>IF(ISNUMBER('Corrected energy balance step 1'!AV98),'Corrected energy balance step 1'!AV98,0)</f>
        <v>0</v>
      </c>
      <c r="AW98" s="160">
        <f>IF(ISNUMBER('Corrected energy balance step 1'!AW98),'Corrected energy balance step 1'!AW98,0)</f>
        <v>0</v>
      </c>
      <c r="AX98" s="160">
        <f>IF(ISNUMBER('Corrected energy balance step 1'!AX98),'Corrected energy balance step 1'!AX98,0)</f>
        <v>0</v>
      </c>
      <c r="AY98" s="160">
        <f>IF(ISNUMBER('Corrected energy balance step 1'!AY98),'Corrected energy balance step 1'!AY98,0)</f>
        <v>0</v>
      </c>
      <c r="AZ98" s="160">
        <f>IF(ISNUMBER('Corrected energy balance step 1'!AZ98),'Corrected energy balance step 1'!AZ98,0)</f>
        <v>0</v>
      </c>
      <c r="BA98" s="160">
        <f>IF(ISNUMBER('Corrected energy balance step 1'!BA98),'Corrected energy balance step 1'!BA98,0)</f>
        <v>0</v>
      </c>
      <c r="BB98" s="160">
        <f>IF(ISNUMBER('Corrected energy balance step 1'!BB98),'Corrected energy balance step 1'!BB98,0)</f>
        <v>0</v>
      </c>
      <c r="BC98" s="160">
        <f>IF(ISNUMBER('Corrected energy balance step 1'!BC98),'Corrected energy balance step 1'!BC98,0)</f>
        <v>0</v>
      </c>
      <c r="BD98" s="160">
        <f>IF(ISNUMBER('Corrected energy balance step 1'!BD98),'Corrected energy balance step 1'!BD98,0)</f>
        <v>0</v>
      </c>
      <c r="BE98" s="160">
        <f>IF(ISNUMBER('Corrected energy balance step 1'!BE98),'Corrected energy balance step 1'!BE98,0)</f>
        <v>0</v>
      </c>
      <c r="BF98" s="160">
        <f>IF(ISNUMBER('Corrected energy balance step 1'!BF98),'Corrected energy balance step 1'!BF98,0)</f>
        <v>0</v>
      </c>
      <c r="BG98" s="160">
        <f>IF(ISNUMBER('Corrected energy balance step 1'!BG98),'Corrected energy balance step 1'!BG98,0)</f>
        <v>0</v>
      </c>
      <c r="BH98" s="160">
        <f>IF(ISNUMBER('Corrected energy balance step 1'!BH98),'Corrected energy balance step 1'!BH98,0)</f>
        <v>0</v>
      </c>
      <c r="BI98" s="160">
        <f>IF(ISNUMBER('Corrected energy balance step 1'!BI98),'Corrected energy balance step 1'!BI98,0)</f>
        <v>0</v>
      </c>
      <c r="BJ98" s="160">
        <f>IF(ISNUMBER('Corrected energy balance step 1'!BJ98),'Corrected energy balance step 1'!BJ98,0)</f>
        <v>0</v>
      </c>
      <c r="BK98" s="160">
        <f>IF(ISNUMBER('Corrected energy balance step 1'!BK98),'Corrected energy balance step 1'!BK98,0)</f>
        <v>0</v>
      </c>
      <c r="BL98" s="160">
        <f>IF(ISNUMBER('Corrected energy balance step 1'!BL98),'Corrected energy balance step 1'!BL98,0)</f>
        <v>0</v>
      </c>
      <c r="BM98" s="160">
        <f>IF(ISNUMBER('Corrected energy balance step 1'!BM98),'Corrected energy balance step 1'!BM98,0)</f>
        <v>0</v>
      </c>
      <c r="BN98" s="161">
        <f t="shared" si="76"/>
        <v>0</v>
      </c>
      <c r="BO98" s="162">
        <f>'Corrected energy balance step 1'!BO98</f>
        <v>0</v>
      </c>
    </row>
    <row r="99" spans="2:67" x14ac:dyDescent="0.2">
      <c r="B99" s="32" t="s">
        <v>131</v>
      </c>
      <c r="C99" s="160">
        <f>IF(ISNUMBER('Corrected energy balance step 1'!C99),'Corrected energy balance step 1'!C99,0)</f>
        <v>0</v>
      </c>
      <c r="D99" s="160">
        <f>IF(ISNUMBER('Corrected energy balance step 1'!D99),'Corrected energy balance step 1'!D99,0)</f>
        <v>0</v>
      </c>
      <c r="E99" s="160">
        <f>IF(ISNUMBER('Corrected energy balance step 1'!E99),'Corrected energy balance step 1'!E99,0)</f>
        <v>0</v>
      </c>
      <c r="F99" s="160">
        <f>IF(ISNUMBER('Corrected energy balance step 1'!F99),'Corrected energy balance step 1'!F99,0)</f>
        <v>0</v>
      </c>
      <c r="G99" s="160">
        <f>IF(ISNUMBER('Corrected energy balance step 1'!G99),'Corrected energy balance step 1'!G99,0)</f>
        <v>0</v>
      </c>
      <c r="H99" s="160">
        <f>IF(ISNUMBER('Corrected energy balance step 1'!H99),'Corrected energy balance step 1'!H99,0)</f>
        <v>0</v>
      </c>
      <c r="I99" s="160">
        <f>IF(ISNUMBER('Corrected energy balance step 1'!I99),'Corrected energy balance step 1'!I99,0)</f>
        <v>0</v>
      </c>
      <c r="J99" s="160">
        <f>IF(ISNUMBER('Corrected energy balance step 1'!J99),'Corrected energy balance step 1'!J99,0)</f>
        <v>0</v>
      </c>
      <c r="K99" s="160">
        <f>IF(ISNUMBER('Corrected energy balance step 1'!K99),'Corrected energy balance step 1'!K99,0)</f>
        <v>0</v>
      </c>
      <c r="L99" s="160">
        <f>IF(ISNUMBER('Corrected energy balance step 1'!L99),'Corrected energy balance step 1'!L99,0)</f>
        <v>0</v>
      </c>
      <c r="M99" s="160">
        <f>IF(ISNUMBER('Corrected energy balance step 1'!M99),'Corrected energy balance step 1'!M99,0)</f>
        <v>0</v>
      </c>
      <c r="N99" s="160">
        <f>IF(ISNUMBER('Corrected energy balance step 1'!N99),'Corrected energy balance step 1'!N99,0)</f>
        <v>0</v>
      </c>
      <c r="O99" s="160">
        <f>IF(ISNUMBER('Corrected energy balance step 1'!O99),'Corrected energy balance step 1'!O99,0)</f>
        <v>0</v>
      </c>
      <c r="P99" s="160">
        <f>IF(ISNUMBER('Corrected energy balance step 1'!P99),'Corrected energy balance step 1'!P99,0)</f>
        <v>0</v>
      </c>
      <c r="Q99" s="160">
        <f>IF(ISNUMBER('Corrected energy balance step 1'!Q99),'Corrected energy balance step 1'!Q99,0)</f>
        <v>0</v>
      </c>
      <c r="R99" s="160">
        <f>IF(ISNUMBER('Corrected energy balance step 1'!R99),'Corrected energy balance step 1'!R99,0)</f>
        <v>0</v>
      </c>
      <c r="S99" s="160">
        <f>IF(ISNUMBER('Corrected energy balance step 1'!S99),'Corrected energy balance step 1'!S99,0)</f>
        <v>0</v>
      </c>
      <c r="T99" s="160">
        <f>IF(ISNUMBER('Corrected energy balance step 1'!T99),'Corrected energy balance step 1'!T99,0)</f>
        <v>0</v>
      </c>
      <c r="U99" s="160">
        <f>IF(ISNUMBER('Corrected energy balance step 1'!U99),'Corrected energy balance step 1'!U99,0)</f>
        <v>0</v>
      </c>
      <c r="V99" s="160">
        <f>IF(ISNUMBER('Corrected energy balance step 1'!V99),'Corrected energy balance step 1'!V99,0)</f>
        <v>0</v>
      </c>
      <c r="W99" s="160">
        <f>IF(ISNUMBER('Corrected energy balance step 1'!W99),'Corrected energy balance step 1'!W99,0)</f>
        <v>0</v>
      </c>
      <c r="X99" s="160">
        <f>IF(ISNUMBER('Corrected energy balance step 1'!X99),'Corrected energy balance step 1'!X99,0)</f>
        <v>0</v>
      </c>
      <c r="Y99" s="160">
        <f>IF(ISNUMBER('Corrected energy balance step 1'!Y99),'Corrected energy balance step 1'!Y99,0)</f>
        <v>0</v>
      </c>
      <c r="Z99" s="160">
        <f>IF(ISNUMBER('Corrected energy balance step 1'!Z99),'Corrected energy balance step 1'!Z99,0)</f>
        <v>0</v>
      </c>
      <c r="AA99" s="160">
        <f>IF(ISNUMBER('Corrected energy balance step 1'!AA99),'Corrected energy balance step 1'!AA99,0)</f>
        <v>0</v>
      </c>
      <c r="AB99" s="160">
        <f>IF(ISNUMBER('Corrected energy balance step 1'!AB99),'Corrected energy balance step 1'!AB99,0)</f>
        <v>0</v>
      </c>
      <c r="AC99" s="160">
        <f>IF(ISNUMBER('Corrected energy balance step 1'!AC99),'Corrected energy balance step 1'!AC99,0)</f>
        <v>0</v>
      </c>
      <c r="AD99" s="160">
        <f>IF(ISNUMBER('Corrected energy balance step 1'!AD99),'Corrected energy balance step 1'!AD99,0)</f>
        <v>0</v>
      </c>
      <c r="AE99" s="160">
        <f>IF(ISNUMBER('Corrected energy balance step 1'!AE99),'Corrected energy balance step 1'!AE99,0)</f>
        <v>0</v>
      </c>
      <c r="AF99" s="160">
        <f>IF(ISNUMBER('Corrected energy balance step 1'!AF99),'Corrected energy balance step 1'!AF99,0)</f>
        <v>0</v>
      </c>
      <c r="AG99" s="160">
        <f>IF(ISNUMBER('Corrected energy balance step 1'!AG99),'Corrected energy balance step 1'!AG99,0)</f>
        <v>0</v>
      </c>
      <c r="AH99" s="160">
        <f>IF(ISNUMBER('Corrected energy balance step 1'!AH99),'Corrected energy balance step 1'!AH99,0)</f>
        <v>0</v>
      </c>
      <c r="AI99" s="160">
        <f>IF(ISNUMBER('Corrected energy balance step 1'!AI99),'Corrected energy balance step 1'!AI99,0)</f>
        <v>0</v>
      </c>
      <c r="AJ99" s="160">
        <f>IF(ISNUMBER('Corrected energy balance step 1'!AJ99),'Corrected energy balance step 1'!AJ99,0)</f>
        <v>0</v>
      </c>
      <c r="AK99" s="160">
        <f>IF(ISNUMBER('Corrected energy balance step 1'!AK99),'Corrected energy balance step 1'!AK99,0)</f>
        <v>0</v>
      </c>
      <c r="AL99" s="160">
        <f>IF(ISNUMBER('Corrected energy balance step 1'!AL99),'Corrected energy balance step 1'!AL99,0)</f>
        <v>0</v>
      </c>
      <c r="AM99" s="160">
        <f>IF(ISNUMBER('Corrected energy balance step 1'!AM99),'Corrected energy balance step 1'!AM99,0)</f>
        <v>0</v>
      </c>
      <c r="AN99" s="160">
        <f>IF(ISNUMBER('Corrected energy balance step 1'!AN99),'Corrected energy balance step 1'!AN99,0)</f>
        <v>0</v>
      </c>
      <c r="AO99" s="160">
        <f>IF(ISNUMBER('Corrected energy balance step 1'!AO99),'Corrected energy balance step 1'!AO99,0)</f>
        <v>0</v>
      </c>
      <c r="AP99" s="160">
        <f>IF(ISNUMBER('Corrected energy balance step 1'!AP99),'Corrected energy balance step 1'!AP99,0)</f>
        <v>0</v>
      </c>
      <c r="AQ99" s="160">
        <f>IF(ISNUMBER('Corrected energy balance step 1'!AQ99),'Corrected energy balance step 1'!AQ99,0)</f>
        <v>0</v>
      </c>
      <c r="AR99" s="160">
        <f>IF(ISNUMBER('Corrected energy balance step 1'!AR99),'Corrected energy balance step 1'!AR99,0)</f>
        <v>0</v>
      </c>
      <c r="AS99" s="160">
        <f>IF(ISNUMBER('Corrected energy balance step 1'!AS99),'Corrected energy balance step 1'!AS99,0)</f>
        <v>0</v>
      </c>
      <c r="AT99" s="160">
        <f>IF(ISNUMBER('Corrected energy balance step 1'!AT99),'Corrected energy balance step 1'!AT99,0)</f>
        <v>0</v>
      </c>
      <c r="AU99" s="160">
        <f>IF(ISNUMBER('Corrected energy balance step 1'!AU99),'Corrected energy balance step 1'!AU99,0)</f>
        <v>0</v>
      </c>
      <c r="AV99" s="160">
        <f>IF(ISNUMBER('Corrected energy balance step 1'!AV99),'Corrected energy balance step 1'!AV99,0)</f>
        <v>0</v>
      </c>
      <c r="AW99" s="160">
        <f>IF(ISNUMBER('Corrected energy balance step 1'!AW99),'Corrected energy balance step 1'!AW99,0)</f>
        <v>0</v>
      </c>
      <c r="AX99" s="160">
        <f>IF(ISNUMBER('Corrected energy balance step 1'!AX99),'Corrected energy balance step 1'!AX99,0)</f>
        <v>0</v>
      </c>
      <c r="AY99" s="160">
        <f>IF(ISNUMBER('Corrected energy balance step 1'!AY99),'Corrected energy balance step 1'!AY99,0)</f>
        <v>0</v>
      </c>
      <c r="AZ99" s="160">
        <f>IF(ISNUMBER('Corrected energy balance step 1'!AZ99),'Corrected energy balance step 1'!AZ99,0)</f>
        <v>0</v>
      </c>
      <c r="BA99" s="160">
        <f>IF(ISNUMBER('Corrected energy balance step 1'!BA99),'Corrected energy balance step 1'!BA99,0)</f>
        <v>0</v>
      </c>
      <c r="BB99" s="160">
        <f>IF(ISNUMBER('Corrected energy balance step 1'!BB99),'Corrected energy balance step 1'!BB99,0)</f>
        <v>0</v>
      </c>
      <c r="BC99" s="160">
        <f>IF(ISNUMBER('Corrected energy balance step 1'!BC99),'Corrected energy balance step 1'!BC99,0)</f>
        <v>0</v>
      </c>
      <c r="BD99" s="160">
        <f>IF(ISNUMBER('Corrected energy balance step 1'!BD99),'Corrected energy balance step 1'!BD99,0)</f>
        <v>0</v>
      </c>
      <c r="BE99" s="160">
        <f>IF(ISNUMBER('Corrected energy balance step 1'!BE99),'Corrected energy balance step 1'!BE99,0)</f>
        <v>0</v>
      </c>
      <c r="BF99" s="160">
        <f>IF(ISNUMBER('Corrected energy balance step 1'!BF99),'Corrected energy balance step 1'!BF99,0)</f>
        <v>0</v>
      </c>
      <c r="BG99" s="160">
        <f>IF(ISNUMBER('Corrected energy balance step 1'!BG99),'Corrected energy balance step 1'!BG99,0)</f>
        <v>0</v>
      </c>
      <c r="BH99" s="160">
        <f>IF(ISNUMBER('Corrected energy balance step 1'!BH99),'Corrected energy balance step 1'!BH99,0)</f>
        <v>0</v>
      </c>
      <c r="BI99" s="160">
        <f>IF(ISNUMBER('Corrected energy balance step 1'!BI99),'Corrected energy balance step 1'!BI99,0)</f>
        <v>0</v>
      </c>
      <c r="BJ99" s="160">
        <f>IF(ISNUMBER('Corrected energy balance step 1'!BJ99),'Corrected energy balance step 1'!BJ99,0)</f>
        <v>0</v>
      </c>
      <c r="BK99" s="160">
        <f>IF(ISNUMBER('Corrected energy balance step 1'!BK99),'Corrected energy balance step 1'!BK99,0)</f>
        <v>0</v>
      </c>
      <c r="BL99" s="160">
        <f>IF(ISNUMBER('Corrected energy balance step 1'!BL99),'Corrected energy balance step 1'!BL99,0)</f>
        <v>0</v>
      </c>
      <c r="BM99" s="160">
        <f>IF(ISNUMBER('Corrected energy balance step 1'!BM99),'Corrected energy balance step 1'!BM99,0)</f>
        <v>0</v>
      </c>
      <c r="BN99" s="161">
        <f t="shared" si="76"/>
        <v>0</v>
      </c>
      <c r="BO99" s="162">
        <f>'Corrected energy balance step 1'!BO99</f>
        <v>0</v>
      </c>
    </row>
    <row r="100" spans="2:67" x14ac:dyDescent="0.2">
      <c r="B100" s="32" t="s">
        <v>132</v>
      </c>
      <c r="C100" s="160">
        <f>IF(ISNUMBER('Corrected energy balance step 1'!C100),'Corrected energy balance step 1'!C100,0)</f>
        <v>0</v>
      </c>
      <c r="D100" s="160">
        <f>IF(ISNUMBER('Corrected energy balance step 1'!D100),'Corrected energy balance step 1'!D100,0)</f>
        <v>0</v>
      </c>
      <c r="E100" s="160">
        <f>IF(ISNUMBER('Corrected energy balance step 1'!E100),'Corrected energy balance step 1'!E100,0)</f>
        <v>0</v>
      </c>
      <c r="F100" s="160">
        <f>IF(ISNUMBER('Corrected energy balance step 1'!F100),'Corrected energy balance step 1'!F100,0)</f>
        <v>0</v>
      </c>
      <c r="G100" s="160">
        <f>IF(ISNUMBER('Corrected energy balance step 1'!G100),'Corrected energy balance step 1'!G100,0)</f>
        <v>0</v>
      </c>
      <c r="H100" s="160">
        <f>IF(ISNUMBER('Corrected energy balance step 1'!H100),'Corrected energy balance step 1'!H100,0)</f>
        <v>0</v>
      </c>
      <c r="I100" s="160">
        <f>IF(ISNUMBER('Corrected energy balance step 1'!I100),'Corrected energy balance step 1'!I100,0)</f>
        <v>0</v>
      </c>
      <c r="J100" s="160">
        <f>IF(ISNUMBER('Corrected energy balance step 1'!J100),'Corrected energy balance step 1'!J100,0)</f>
        <v>0</v>
      </c>
      <c r="K100" s="160">
        <f>IF(ISNUMBER('Corrected energy balance step 1'!K100),'Corrected energy balance step 1'!K100,0)</f>
        <v>0</v>
      </c>
      <c r="L100" s="160">
        <f>IF(ISNUMBER('Corrected energy balance step 1'!L100),'Corrected energy balance step 1'!L100,0)</f>
        <v>0</v>
      </c>
      <c r="M100" s="160">
        <f>IF(ISNUMBER('Corrected energy balance step 1'!M100),'Corrected energy balance step 1'!M100,0)</f>
        <v>0</v>
      </c>
      <c r="N100" s="160">
        <f>IF(ISNUMBER('Corrected energy balance step 1'!N100),'Corrected energy balance step 1'!N100,0)</f>
        <v>0</v>
      </c>
      <c r="O100" s="160">
        <f>IF(ISNUMBER('Corrected energy balance step 1'!O100),'Corrected energy balance step 1'!O100,0)</f>
        <v>0</v>
      </c>
      <c r="P100" s="160">
        <f>IF(ISNUMBER('Corrected energy balance step 1'!P100),'Corrected energy balance step 1'!P100,0)</f>
        <v>0</v>
      </c>
      <c r="Q100" s="160">
        <f>IF(ISNUMBER('Corrected energy balance step 1'!Q100),'Corrected energy balance step 1'!Q100,0)</f>
        <v>0</v>
      </c>
      <c r="R100" s="160">
        <f>IF(ISNUMBER('Corrected energy balance step 1'!R100),'Corrected energy balance step 1'!R100,0)</f>
        <v>0</v>
      </c>
      <c r="S100" s="160">
        <f>IF(ISNUMBER('Corrected energy balance step 1'!S100),'Corrected energy balance step 1'!S100,0)</f>
        <v>0</v>
      </c>
      <c r="T100" s="160">
        <f>IF(ISNUMBER('Corrected energy balance step 1'!T100),'Corrected energy balance step 1'!T100,0)</f>
        <v>0</v>
      </c>
      <c r="U100" s="160">
        <f>IF(ISNUMBER('Corrected energy balance step 1'!U100),'Corrected energy balance step 1'!U100,0)</f>
        <v>0</v>
      </c>
      <c r="V100" s="160">
        <f>IF(ISNUMBER('Corrected energy balance step 1'!V100),'Corrected energy balance step 1'!V100,0)</f>
        <v>0</v>
      </c>
      <c r="W100" s="160">
        <f>IF(ISNUMBER('Corrected energy balance step 1'!W100),'Corrected energy balance step 1'!W100,0)</f>
        <v>0</v>
      </c>
      <c r="X100" s="160">
        <f>IF(ISNUMBER('Corrected energy balance step 1'!X100),'Corrected energy balance step 1'!X100,0)</f>
        <v>0</v>
      </c>
      <c r="Y100" s="160">
        <f>IF(ISNUMBER('Corrected energy balance step 1'!Y100),'Corrected energy balance step 1'!Y100,0)</f>
        <v>0</v>
      </c>
      <c r="Z100" s="160">
        <f>IF(ISNUMBER('Corrected energy balance step 1'!Z100),'Corrected energy balance step 1'!Z100,0)</f>
        <v>0</v>
      </c>
      <c r="AA100" s="160">
        <f>IF(ISNUMBER('Corrected energy balance step 1'!AA100),'Corrected energy balance step 1'!AA100,0)</f>
        <v>0</v>
      </c>
      <c r="AB100" s="160">
        <f>IF(ISNUMBER('Corrected energy balance step 1'!AB100),'Corrected energy balance step 1'!AB100,0)</f>
        <v>0</v>
      </c>
      <c r="AC100" s="160">
        <f>IF(ISNUMBER('Corrected energy balance step 1'!AC100),'Corrected energy balance step 1'!AC100,0)</f>
        <v>0</v>
      </c>
      <c r="AD100" s="160">
        <f>IF(ISNUMBER('Corrected energy balance step 1'!AD100),'Corrected energy balance step 1'!AD100,0)</f>
        <v>0</v>
      </c>
      <c r="AE100" s="160">
        <f>IF(ISNUMBER('Corrected energy balance step 1'!AE100),'Corrected energy balance step 1'!AE100,0)</f>
        <v>0</v>
      </c>
      <c r="AF100" s="160">
        <f>IF(ISNUMBER('Corrected energy balance step 1'!AF100),'Corrected energy balance step 1'!AF100,0)</f>
        <v>0</v>
      </c>
      <c r="AG100" s="160">
        <f>IF(ISNUMBER('Corrected energy balance step 1'!AG100),'Corrected energy balance step 1'!AG100,0)</f>
        <v>0</v>
      </c>
      <c r="AH100" s="160">
        <f>IF(ISNUMBER('Corrected energy balance step 1'!AH100),'Corrected energy balance step 1'!AH100,0)</f>
        <v>0</v>
      </c>
      <c r="AI100" s="160">
        <f>IF(ISNUMBER('Corrected energy balance step 1'!AI100),'Corrected energy balance step 1'!AI100,0)</f>
        <v>0</v>
      </c>
      <c r="AJ100" s="160">
        <f>IF(ISNUMBER('Corrected energy balance step 1'!AJ100),'Corrected energy balance step 1'!AJ100,0)</f>
        <v>0</v>
      </c>
      <c r="AK100" s="160">
        <f>IF(ISNUMBER('Corrected energy balance step 1'!AK100),'Corrected energy balance step 1'!AK100,0)</f>
        <v>0</v>
      </c>
      <c r="AL100" s="160">
        <f>IF(ISNUMBER('Corrected energy balance step 1'!AL100),'Corrected energy balance step 1'!AL100,0)</f>
        <v>0</v>
      </c>
      <c r="AM100" s="160">
        <f>IF(ISNUMBER('Corrected energy balance step 1'!AM100),'Corrected energy balance step 1'!AM100,0)</f>
        <v>0</v>
      </c>
      <c r="AN100" s="160">
        <f>IF(ISNUMBER('Corrected energy balance step 1'!AN100),'Corrected energy balance step 1'!AN100,0)</f>
        <v>0</v>
      </c>
      <c r="AO100" s="160">
        <f>IF(ISNUMBER('Corrected energy balance step 1'!AO100),'Corrected energy balance step 1'!AO100,0)</f>
        <v>0</v>
      </c>
      <c r="AP100" s="160">
        <f>IF(ISNUMBER('Corrected energy balance step 1'!AP100),'Corrected energy balance step 1'!AP100,0)</f>
        <v>0</v>
      </c>
      <c r="AQ100" s="160">
        <f>IF(ISNUMBER('Corrected energy balance step 1'!AQ100),'Corrected energy balance step 1'!AQ100,0)</f>
        <v>0</v>
      </c>
      <c r="AR100" s="160">
        <f>IF(ISNUMBER('Corrected energy balance step 1'!AR100),'Corrected energy balance step 1'!AR100,0)</f>
        <v>0</v>
      </c>
      <c r="AS100" s="160">
        <f>IF(ISNUMBER('Corrected energy balance step 1'!AS100),'Corrected energy balance step 1'!AS100,0)</f>
        <v>0</v>
      </c>
      <c r="AT100" s="160">
        <f>IF(ISNUMBER('Corrected energy balance step 1'!AT100),'Corrected energy balance step 1'!AT100,0)</f>
        <v>0</v>
      </c>
      <c r="AU100" s="160">
        <f>IF(ISNUMBER('Corrected energy balance step 1'!AU100),'Corrected energy balance step 1'!AU100,0)</f>
        <v>0</v>
      </c>
      <c r="AV100" s="160">
        <f>IF(ISNUMBER('Corrected energy balance step 1'!AV100),'Corrected energy balance step 1'!AV100,0)</f>
        <v>0</v>
      </c>
      <c r="AW100" s="160">
        <f>IF(ISNUMBER('Corrected energy balance step 1'!AW100),'Corrected energy balance step 1'!AW100,0)</f>
        <v>0</v>
      </c>
      <c r="AX100" s="160">
        <f>IF(ISNUMBER('Corrected energy balance step 1'!AX100),'Corrected energy balance step 1'!AX100,0)</f>
        <v>0</v>
      </c>
      <c r="AY100" s="160">
        <f>IF(ISNUMBER('Corrected energy balance step 1'!AY100),'Corrected energy balance step 1'!AY100,0)</f>
        <v>0</v>
      </c>
      <c r="AZ100" s="160">
        <f>IF(ISNUMBER('Corrected energy balance step 1'!AZ100),'Corrected energy balance step 1'!AZ100,0)</f>
        <v>0</v>
      </c>
      <c r="BA100" s="160">
        <f>IF(ISNUMBER('Corrected energy balance step 1'!BA100),'Corrected energy balance step 1'!BA100,0)</f>
        <v>0</v>
      </c>
      <c r="BB100" s="160">
        <f>IF(ISNUMBER('Corrected energy balance step 1'!BB100),'Corrected energy balance step 1'!BB100,0)</f>
        <v>0</v>
      </c>
      <c r="BC100" s="160">
        <f>IF(ISNUMBER('Corrected energy balance step 1'!BC100),'Corrected energy balance step 1'!BC100,0)</f>
        <v>0</v>
      </c>
      <c r="BD100" s="160">
        <f>IF(ISNUMBER('Corrected energy balance step 1'!BD100),'Corrected energy balance step 1'!BD100,0)</f>
        <v>0</v>
      </c>
      <c r="BE100" s="160">
        <f>IF(ISNUMBER('Corrected energy balance step 1'!BE100),'Corrected energy balance step 1'!BE100,0)</f>
        <v>0</v>
      </c>
      <c r="BF100" s="160">
        <f>IF(ISNUMBER('Corrected energy balance step 1'!BF100),'Corrected energy balance step 1'!BF100,0)</f>
        <v>0</v>
      </c>
      <c r="BG100" s="160">
        <f>IF(ISNUMBER('Corrected energy balance step 1'!BG100),'Corrected energy balance step 1'!BG100,0)</f>
        <v>0</v>
      </c>
      <c r="BH100" s="160">
        <f>IF(ISNUMBER('Corrected energy balance step 1'!BH100),'Corrected energy balance step 1'!BH100,0)</f>
        <v>0</v>
      </c>
      <c r="BI100" s="160">
        <f>IF(ISNUMBER('Corrected energy balance step 1'!BI100),'Corrected energy balance step 1'!BI100,0)</f>
        <v>0</v>
      </c>
      <c r="BJ100" s="160">
        <f>IF(ISNUMBER('Corrected energy balance step 1'!BJ100),'Corrected energy balance step 1'!BJ100,0)</f>
        <v>0</v>
      </c>
      <c r="BK100" s="160">
        <f>IF(ISNUMBER('Corrected energy balance step 1'!BK100),'Corrected energy balance step 1'!BK100,0)</f>
        <v>0</v>
      </c>
      <c r="BL100" s="160">
        <f>IF(ISNUMBER('Corrected energy balance step 1'!BL100),'Corrected energy balance step 1'!BL100,0)</f>
        <v>0</v>
      </c>
      <c r="BM100" s="160">
        <f>IF(ISNUMBER('Corrected energy balance step 1'!BM100),'Corrected energy balance step 1'!BM100,0)</f>
        <v>0</v>
      </c>
      <c r="BN100" s="161">
        <f t="shared" si="76"/>
        <v>0</v>
      </c>
      <c r="BO100" s="162">
        <f>'Corrected energy balance step 1'!BO100</f>
        <v>0</v>
      </c>
    </row>
    <row r="101" spans="2:67" ht="17" thickBot="1" x14ac:dyDescent="0.25">
      <c r="B101" s="34" t="s">
        <v>133</v>
      </c>
      <c r="C101" s="216">
        <f>IF(ISNUMBER('Corrected energy balance step 1'!C101),'Corrected energy balance step 1'!C101,0)</f>
        <v>0</v>
      </c>
      <c r="D101" s="216">
        <f>IF(ISNUMBER('Corrected energy balance step 1'!D101),'Corrected energy balance step 1'!D101,0)</f>
        <v>0</v>
      </c>
      <c r="E101" s="216">
        <f>IF(ISNUMBER('Corrected energy balance step 1'!E101),'Corrected energy balance step 1'!E101,0)</f>
        <v>0</v>
      </c>
      <c r="F101" s="216">
        <f>IF(ISNUMBER('Corrected energy balance step 1'!F101),'Corrected energy balance step 1'!F101,0)</f>
        <v>0</v>
      </c>
      <c r="G101" s="216">
        <f>IF(ISNUMBER('Corrected energy balance step 1'!G101),'Corrected energy balance step 1'!G101,0)</f>
        <v>0</v>
      </c>
      <c r="H101" s="216">
        <f>IF(ISNUMBER('Corrected energy balance step 1'!H101),'Corrected energy balance step 1'!H101,0)</f>
        <v>0</v>
      </c>
      <c r="I101" s="216">
        <f>IF(ISNUMBER('Corrected energy balance step 1'!I101),'Corrected energy balance step 1'!I101,0)</f>
        <v>0</v>
      </c>
      <c r="J101" s="216">
        <f>IF(ISNUMBER('Corrected energy balance step 1'!J101),'Corrected energy balance step 1'!J101,0)</f>
        <v>0</v>
      </c>
      <c r="K101" s="216">
        <f>IF(ISNUMBER('Corrected energy balance step 1'!K101),'Corrected energy balance step 1'!K101,0)</f>
        <v>0</v>
      </c>
      <c r="L101" s="216">
        <f>IF(ISNUMBER('Corrected energy balance step 1'!L101),'Corrected energy balance step 1'!L101,0)</f>
        <v>0</v>
      </c>
      <c r="M101" s="216">
        <f>IF(ISNUMBER('Corrected energy balance step 1'!M101),'Corrected energy balance step 1'!M101,0)</f>
        <v>0</v>
      </c>
      <c r="N101" s="216">
        <f>IF(ISNUMBER('Corrected energy balance step 1'!N101),'Corrected energy balance step 1'!N101,0)</f>
        <v>0</v>
      </c>
      <c r="O101" s="216">
        <f>IF(ISNUMBER('Corrected energy balance step 1'!O101),'Corrected energy balance step 1'!O101,0)</f>
        <v>0</v>
      </c>
      <c r="P101" s="216">
        <f>IF(ISNUMBER('Corrected energy balance step 1'!P101),'Corrected energy balance step 1'!P101,0)</f>
        <v>0</v>
      </c>
      <c r="Q101" s="216">
        <f>IF(ISNUMBER('Corrected energy balance step 1'!Q101),'Corrected energy balance step 1'!Q101,0)</f>
        <v>0</v>
      </c>
      <c r="R101" s="216">
        <f>IF(ISNUMBER('Corrected energy balance step 1'!R101),'Corrected energy balance step 1'!R101,0)</f>
        <v>0</v>
      </c>
      <c r="S101" s="216">
        <f>IF(ISNUMBER('Corrected energy balance step 1'!S101),'Corrected energy balance step 1'!S101,0)</f>
        <v>0</v>
      </c>
      <c r="T101" s="216">
        <f>IF(ISNUMBER('Corrected energy balance step 1'!T101),'Corrected energy balance step 1'!T101,0)</f>
        <v>0</v>
      </c>
      <c r="U101" s="216">
        <f>IF(ISNUMBER('Corrected energy balance step 1'!U101),'Corrected energy balance step 1'!U101,0)</f>
        <v>0</v>
      </c>
      <c r="V101" s="216">
        <f>IF(ISNUMBER('Corrected energy balance step 1'!V101),'Corrected energy balance step 1'!V101,0)</f>
        <v>0</v>
      </c>
      <c r="W101" s="216">
        <f>IF(ISNUMBER('Corrected energy balance step 1'!W101),'Corrected energy balance step 1'!W101,0)</f>
        <v>0</v>
      </c>
      <c r="X101" s="216">
        <f>IF(ISNUMBER('Corrected energy balance step 1'!X101),'Corrected energy balance step 1'!X101,0)</f>
        <v>0</v>
      </c>
      <c r="Y101" s="216">
        <f>IF(ISNUMBER('Corrected energy balance step 1'!Y101),'Corrected energy balance step 1'!Y101,0)</f>
        <v>0</v>
      </c>
      <c r="Z101" s="216">
        <f>IF(ISNUMBER('Corrected energy balance step 1'!Z101),'Corrected energy balance step 1'!Z101,0)</f>
        <v>0</v>
      </c>
      <c r="AA101" s="216">
        <f>IF(ISNUMBER('Corrected energy balance step 1'!AA101),'Corrected energy balance step 1'!AA101,0)</f>
        <v>0</v>
      </c>
      <c r="AB101" s="216">
        <f>IF(ISNUMBER('Corrected energy balance step 1'!AB101),'Corrected energy balance step 1'!AB101,0)</f>
        <v>0</v>
      </c>
      <c r="AC101" s="216">
        <f>IF(ISNUMBER('Corrected energy balance step 1'!AC101),'Corrected energy balance step 1'!AC101,0)</f>
        <v>0</v>
      </c>
      <c r="AD101" s="216">
        <f>IF(ISNUMBER('Corrected energy balance step 1'!AD101),'Corrected energy balance step 1'!AD101,0)</f>
        <v>0</v>
      </c>
      <c r="AE101" s="216">
        <f>IF(ISNUMBER('Corrected energy balance step 1'!AE101),'Corrected energy balance step 1'!AE101,0)</f>
        <v>0</v>
      </c>
      <c r="AF101" s="216">
        <f>IF(ISNUMBER('Corrected energy balance step 1'!AF101),'Corrected energy balance step 1'!AF101,0)</f>
        <v>0</v>
      </c>
      <c r="AG101" s="216">
        <f>IF(ISNUMBER('Corrected energy balance step 1'!AG101),'Corrected energy balance step 1'!AG101,0)</f>
        <v>0</v>
      </c>
      <c r="AH101" s="216">
        <f>IF(ISNUMBER('Corrected energy balance step 1'!AH101),'Corrected energy balance step 1'!AH101,0)</f>
        <v>0</v>
      </c>
      <c r="AI101" s="216">
        <f>IF(ISNUMBER('Corrected energy balance step 1'!AI101),'Corrected energy balance step 1'!AI101,0)</f>
        <v>0</v>
      </c>
      <c r="AJ101" s="216">
        <f>IF(ISNUMBER('Corrected energy balance step 1'!AJ101),'Corrected energy balance step 1'!AJ101,0)</f>
        <v>0</v>
      </c>
      <c r="AK101" s="216">
        <f>IF(ISNUMBER('Corrected energy balance step 1'!AK101),'Corrected energy balance step 1'!AK101,0)</f>
        <v>0</v>
      </c>
      <c r="AL101" s="216">
        <f>IF(ISNUMBER('Corrected energy balance step 1'!AL101),'Corrected energy balance step 1'!AL101,0)</f>
        <v>0</v>
      </c>
      <c r="AM101" s="216">
        <f>IF(ISNUMBER('Corrected energy balance step 1'!AM101),'Corrected energy balance step 1'!AM101,0)</f>
        <v>0</v>
      </c>
      <c r="AN101" s="216">
        <f>IF(ISNUMBER('Corrected energy balance step 1'!AN101),'Corrected energy balance step 1'!AN101,0)</f>
        <v>0</v>
      </c>
      <c r="AO101" s="216">
        <f>IF(ISNUMBER('Corrected energy balance step 1'!AO101),'Corrected energy balance step 1'!AO101,0)</f>
        <v>0</v>
      </c>
      <c r="AP101" s="216">
        <f>IF(ISNUMBER('Corrected energy balance step 1'!AP101),'Corrected energy balance step 1'!AP101,0)</f>
        <v>0</v>
      </c>
      <c r="AQ101" s="216">
        <f>IF(ISNUMBER('Corrected energy balance step 1'!AQ101),'Corrected energy balance step 1'!AQ101,0)</f>
        <v>0</v>
      </c>
      <c r="AR101" s="216">
        <f>IF(ISNUMBER('Corrected energy balance step 1'!AR101),'Corrected energy balance step 1'!AR101,0)</f>
        <v>0</v>
      </c>
      <c r="AS101" s="216">
        <f>IF(ISNUMBER('Corrected energy balance step 1'!AS101),'Corrected energy balance step 1'!AS101,0)</f>
        <v>0</v>
      </c>
      <c r="AT101" s="216">
        <f>IF(ISNUMBER('Corrected energy balance step 1'!AT101),'Corrected energy balance step 1'!AT101,0)</f>
        <v>0</v>
      </c>
      <c r="AU101" s="216">
        <f>IF(ISNUMBER('Corrected energy balance step 1'!AU101),'Corrected energy balance step 1'!AU101,0)</f>
        <v>0</v>
      </c>
      <c r="AV101" s="216">
        <f>IF(ISNUMBER('Corrected energy balance step 1'!AV101),'Corrected energy balance step 1'!AV101,0)</f>
        <v>0</v>
      </c>
      <c r="AW101" s="216">
        <f>IF(ISNUMBER('Corrected energy balance step 1'!AW101),'Corrected energy balance step 1'!AW101,0)</f>
        <v>0</v>
      </c>
      <c r="AX101" s="216">
        <f>IF(ISNUMBER('Corrected energy balance step 1'!AX101),'Corrected energy balance step 1'!AX101,0)</f>
        <v>0</v>
      </c>
      <c r="AY101" s="216">
        <f>IF(ISNUMBER('Corrected energy balance step 1'!AY101),'Corrected energy balance step 1'!AY101,0)</f>
        <v>0</v>
      </c>
      <c r="AZ101" s="216">
        <f>IF(ISNUMBER('Corrected energy balance step 1'!AZ101),'Corrected energy balance step 1'!AZ101,0)</f>
        <v>0</v>
      </c>
      <c r="BA101" s="216">
        <f>IF(ISNUMBER('Corrected energy balance step 1'!BA101),'Corrected energy balance step 1'!BA101,0)</f>
        <v>0</v>
      </c>
      <c r="BB101" s="216">
        <f>IF(ISNUMBER('Corrected energy balance step 1'!BB101),'Corrected energy balance step 1'!BB101,0)</f>
        <v>0</v>
      </c>
      <c r="BC101" s="216">
        <f>IF(ISNUMBER('Corrected energy balance step 1'!BC101),'Corrected energy balance step 1'!BC101,0)</f>
        <v>0</v>
      </c>
      <c r="BD101" s="216">
        <f>IF(ISNUMBER('Corrected energy balance step 1'!BD101),'Corrected energy balance step 1'!BD101,0)</f>
        <v>0</v>
      </c>
      <c r="BE101" s="216">
        <f>IF(ISNUMBER('Corrected energy balance step 1'!BE101),'Corrected energy balance step 1'!BE101,0)</f>
        <v>0</v>
      </c>
      <c r="BF101" s="216">
        <f>IF(ISNUMBER('Corrected energy balance step 1'!BF101),'Corrected energy balance step 1'!BF101,0)</f>
        <v>0</v>
      </c>
      <c r="BG101" s="216">
        <f>IF(ISNUMBER('Corrected energy balance step 1'!BG101),'Corrected energy balance step 1'!BG101,0)</f>
        <v>0</v>
      </c>
      <c r="BH101" s="216">
        <f>IF(ISNUMBER('Corrected energy balance step 1'!BH101),'Corrected energy balance step 1'!BH101,0)</f>
        <v>0</v>
      </c>
      <c r="BI101" s="216">
        <f>IF(ISNUMBER('Corrected energy balance step 1'!BI101),'Corrected energy balance step 1'!BI101,0)</f>
        <v>0</v>
      </c>
      <c r="BJ101" s="216">
        <f>IF(ISNUMBER('Corrected energy balance step 1'!BJ101),'Corrected energy balance step 1'!BJ101,0)</f>
        <v>0</v>
      </c>
      <c r="BK101" s="216">
        <f>IF(ISNUMBER('Corrected energy balance step 1'!BK101),'Corrected energy balance step 1'!BK101,0)</f>
        <v>0</v>
      </c>
      <c r="BL101" s="216">
        <f>IF(ISNUMBER('Corrected energy balance step 1'!BL101),'Corrected energy balance step 1'!BL101,0)</f>
        <v>0</v>
      </c>
      <c r="BM101" s="216">
        <f>IF(ISNUMBER('Corrected energy balance step 1'!BM101),'Corrected energy balance step 1'!BM101,0)</f>
        <v>0</v>
      </c>
      <c r="BN101" s="217">
        <f t="shared" si="76"/>
        <v>0</v>
      </c>
      <c r="BO101" s="170">
        <f>'Corrected energy balance step 1'!BO101</f>
        <v>0</v>
      </c>
    </row>
  </sheetData>
  <mergeCells count="1">
    <mergeCell ref="B5:H5"/>
  </mergeCells>
  <conditionalFormatting sqref="C59:BM91">
    <cfRule type="cellIs" dxfId="6" priority="5" operator="lessThan">
      <formula>0</formula>
    </cfRule>
  </conditionalFormatting>
  <conditionalFormatting sqref="BN59">
    <cfRule type="cellIs" dxfId="5" priority="6" operator="lessThan">
      <formula>0</formula>
    </cfRule>
  </conditionalFormatting>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theme="8" tint="0.79998168889431442"/>
  </sheetPr>
  <dimension ref="B2:BF1048529"/>
  <sheetViews>
    <sheetView topLeftCell="I1" workbookViewId="0">
      <selection activeCell="O15" sqref="O15:R18"/>
    </sheetView>
  </sheetViews>
  <sheetFormatPr baseColWidth="10" defaultRowHeight="16" x14ac:dyDescent="0.2"/>
  <cols>
    <col min="1" max="1" width="10.83203125" style="2"/>
    <col min="2" max="2" width="49.5" style="2" customWidth="1"/>
    <col min="3" max="7" width="14" style="2" customWidth="1"/>
    <col min="8" max="22" width="14.1640625" style="2" customWidth="1"/>
    <col min="23" max="23" width="17.1640625" style="2" customWidth="1"/>
    <col min="24" max="53" width="14.1640625" style="2" customWidth="1"/>
    <col min="54" max="54" width="10.83203125" style="2"/>
    <col min="55" max="55" width="19.83203125" style="2" customWidth="1"/>
    <col min="56" max="16384" width="10.83203125" style="2"/>
  </cols>
  <sheetData>
    <row r="2" spans="2:58" ht="21" x14ac:dyDescent="0.25">
      <c r="B2" s="20" t="s">
        <v>203</v>
      </c>
    </row>
    <row r="4" spans="2:58" x14ac:dyDescent="0.2">
      <c r="B4" s="3" t="s">
        <v>37</v>
      </c>
      <c r="C4" s="4"/>
      <c r="D4" s="4"/>
      <c r="E4" s="4"/>
      <c r="F4" s="4"/>
      <c r="G4" s="4"/>
      <c r="H4" s="5"/>
    </row>
    <row r="5" spans="2:58" x14ac:dyDescent="0.2">
      <c r="B5" s="15" t="s">
        <v>427</v>
      </c>
      <c r="C5" s="10"/>
      <c r="D5" s="10"/>
      <c r="E5" s="10"/>
      <c r="F5" s="10"/>
      <c r="G5" s="10"/>
      <c r="H5" s="11"/>
    </row>
    <row r="6" spans="2:58" ht="17" thickBot="1" x14ac:dyDescent="0.25"/>
    <row r="7" spans="2:58" x14ac:dyDescent="0.2">
      <c r="B7" s="64" t="s">
        <v>375</v>
      </c>
      <c r="C7" s="143"/>
      <c r="D7" s="82"/>
      <c r="E7" s="82"/>
      <c r="F7" s="82"/>
      <c r="G7" s="82"/>
      <c r="H7" s="82"/>
      <c r="I7" s="232"/>
      <c r="J7" s="82"/>
      <c r="K7" s="82"/>
      <c r="L7" s="82"/>
      <c r="M7" s="82"/>
      <c r="N7" s="82"/>
      <c r="O7" s="82"/>
      <c r="P7" s="82"/>
      <c r="Q7" s="82"/>
      <c r="R7" s="82"/>
      <c r="S7" s="82"/>
      <c r="T7" s="232"/>
      <c r="U7" s="82"/>
      <c r="V7" s="82"/>
      <c r="W7" s="82"/>
      <c r="X7" s="82"/>
      <c r="Y7" s="82"/>
      <c r="Z7" s="82"/>
      <c r="AA7" s="82"/>
      <c r="AB7" s="82"/>
      <c r="AC7" s="82"/>
      <c r="AD7" s="82"/>
      <c r="AE7" s="82"/>
      <c r="AF7" s="82"/>
      <c r="AG7" s="82"/>
      <c r="AH7" s="82"/>
      <c r="AI7" s="82"/>
      <c r="AJ7" s="82"/>
      <c r="AK7" s="82"/>
      <c r="AL7" s="82"/>
      <c r="AM7" s="82"/>
      <c r="AN7" s="82"/>
      <c r="AO7" s="82"/>
      <c r="AP7" s="82"/>
      <c r="AQ7" s="82"/>
      <c r="AR7" s="82"/>
      <c r="AS7" s="232"/>
      <c r="AT7" s="82"/>
      <c r="AU7" s="82"/>
      <c r="AV7" s="232"/>
      <c r="AW7" s="232"/>
      <c r="AX7" s="232"/>
      <c r="AY7" s="232"/>
      <c r="AZ7" s="243"/>
      <c r="BA7" s="232"/>
      <c r="BB7" s="232"/>
      <c r="BC7" s="232"/>
      <c r="BD7" s="232"/>
      <c r="BE7" s="232"/>
      <c r="BF7" s="241"/>
    </row>
    <row r="8" spans="2:58" x14ac:dyDescent="0.2">
      <c r="B8" s="147" t="s">
        <v>49</v>
      </c>
      <c r="C8" s="55" t="s">
        <v>134</v>
      </c>
      <c r="D8" s="44" t="s">
        <v>135</v>
      </c>
      <c r="E8" s="44" t="s">
        <v>136</v>
      </c>
      <c r="F8" s="44" t="s">
        <v>137</v>
      </c>
      <c r="G8" s="44" t="s">
        <v>138</v>
      </c>
      <c r="H8" s="44" t="s">
        <v>139</v>
      </c>
      <c r="I8" s="228" t="s">
        <v>140</v>
      </c>
      <c r="J8" s="44" t="s">
        <v>141</v>
      </c>
      <c r="K8" s="44" t="s">
        <v>142</v>
      </c>
      <c r="L8" s="44" t="s">
        <v>143</v>
      </c>
      <c r="M8" s="44" t="s">
        <v>144</v>
      </c>
      <c r="N8" s="44" t="s">
        <v>145</v>
      </c>
      <c r="O8" s="44"/>
      <c r="P8" s="44"/>
      <c r="Q8" s="44"/>
      <c r="R8" s="44"/>
      <c r="S8" s="44" t="s">
        <v>150</v>
      </c>
      <c r="T8" s="228" t="s">
        <v>151</v>
      </c>
      <c r="U8" s="44" t="s">
        <v>152</v>
      </c>
      <c r="V8" s="44" t="s">
        <v>153</v>
      </c>
      <c r="W8" s="44" t="s">
        <v>154</v>
      </c>
      <c r="X8" s="44" t="s">
        <v>155</v>
      </c>
      <c r="Y8" s="44" t="s">
        <v>156</v>
      </c>
      <c r="Z8" s="44" t="s">
        <v>157</v>
      </c>
      <c r="AA8" s="44" t="s">
        <v>158</v>
      </c>
      <c r="AB8" s="44" t="s">
        <v>159</v>
      </c>
      <c r="AC8" s="44" t="s">
        <v>160</v>
      </c>
      <c r="AD8" s="44" t="s">
        <v>161</v>
      </c>
      <c r="AE8" s="44" t="s">
        <v>162</v>
      </c>
      <c r="AF8" s="44" t="s">
        <v>163</v>
      </c>
      <c r="AG8" s="44" t="s">
        <v>164</v>
      </c>
      <c r="AH8" s="44" t="s">
        <v>165</v>
      </c>
      <c r="AI8" s="228" t="s">
        <v>166</v>
      </c>
      <c r="AJ8" s="44" t="s">
        <v>167</v>
      </c>
      <c r="AK8" s="44" t="s">
        <v>168</v>
      </c>
      <c r="AL8" s="44" t="s">
        <v>169</v>
      </c>
      <c r="AM8" s="44" t="s">
        <v>170</v>
      </c>
      <c r="AN8" s="44" t="s">
        <v>171</v>
      </c>
      <c r="AO8" s="44" t="s">
        <v>172</v>
      </c>
      <c r="AP8" s="44" t="s">
        <v>173</v>
      </c>
      <c r="AQ8" s="44" t="s">
        <v>174</v>
      </c>
      <c r="AR8" s="44" t="s">
        <v>175</v>
      </c>
      <c r="AS8" s="228" t="s">
        <v>176</v>
      </c>
      <c r="AT8" s="44" t="s">
        <v>177</v>
      </c>
      <c r="AU8" s="44" t="s">
        <v>178</v>
      </c>
      <c r="AV8" s="228" t="s">
        <v>179</v>
      </c>
      <c r="AW8" s="228" t="s">
        <v>180</v>
      </c>
      <c r="AX8" s="228" t="s">
        <v>181</v>
      </c>
      <c r="AY8" s="228" t="s">
        <v>182</v>
      </c>
      <c r="AZ8" s="178" t="s">
        <v>183</v>
      </c>
      <c r="BA8" s="228" t="s">
        <v>184</v>
      </c>
      <c r="BB8" s="233" t="s">
        <v>185</v>
      </c>
      <c r="BC8" s="233" t="s">
        <v>186</v>
      </c>
      <c r="BD8" s="233" t="s">
        <v>187</v>
      </c>
      <c r="BE8" s="233" t="s">
        <v>188</v>
      </c>
      <c r="BF8" s="234" t="s">
        <v>189</v>
      </c>
    </row>
    <row r="9" spans="2:58" x14ac:dyDescent="0.2">
      <c r="B9" s="146" t="s">
        <v>376</v>
      </c>
      <c r="C9" s="224">
        <f>IF(ISNUMBER('Corrected energy balance step 1'!C19),'Corrected energy balance step 1'!C19,0)</f>
        <v>0</v>
      </c>
      <c r="D9">
        <f>IF(ISNUMBER('Corrected energy balance step 1'!D19),'Corrected energy balance step 1'!D19,0)</f>
        <v>0</v>
      </c>
      <c r="E9">
        <f>IF(ISNUMBER('Corrected energy balance step 1'!E19),'Corrected energy balance step 1'!E19,0)</f>
        <v>0</v>
      </c>
      <c r="F9">
        <f>IF(ISNUMBER('Corrected energy balance step 1'!F19),'Corrected energy balance step 1'!F19,0)</f>
        <v>0</v>
      </c>
      <c r="G9">
        <f>IF(ISNUMBER('Corrected energy balance step 1'!G19),'Corrected energy balance step 1'!G19,0)</f>
        <v>0</v>
      </c>
      <c r="H9">
        <f>IF(ISNUMBER('Corrected energy balance step 1'!H19),'Corrected energy balance step 1'!H19,0)</f>
        <v>0</v>
      </c>
      <c r="I9" s="229">
        <f>IF(ISNUMBER('Corrected energy balance step 1'!I19),'Corrected energy balance step 1'!I19,0)</f>
        <v>0</v>
      </c>
      <c r="J9">
        <f>IF(ISNUMBER('Corrected energy balance step 1'!J19),'Corrected energy balance step 1'!J19,0)</f>
        <v>0</v>
      </c>
      <c r="K9">
        <f>IF(ISNUMBER('Corrected energy balance step 1'!K19),'Corrected energy balance step 1'!K19,0)</f>
        <v>0</v>
      </c>
      <c r="L9">
        <f>IF(ISNUMBER('Corrected energy balance step 1'!L19),'Corrected energy balance step 1'!L19,0)</f>
        <v>0</v>
      </c>
      <c r="M9">
        <f>IF(ISNUMBER('Corrected energy balance step 1'!M19),'Corrected energy balance step 1'!M19,0)</f>
        <v>0</v>
      </c>
      <c r="N9">
        <f>IF(ISNUMBER('Corrected energy balance step 1'!N19),'Corrected energy balance step 1'!N19,0)</f>
        <v>0</v>
      </c>
      <c r="O9"/>
      <c r="P9"/>
      <c r="Q9"/>
      <c r="R9"/>
      <c r="S9">
        <f>IF(ISNUMBER('Corrected energy balance step 1'!S19),'Corrected energy balance step 1'!S19,0)</f>
        <v>0</v>
      </c>
      <c r="T9" s="229">
        <f>IF(ISNUMBER('Corrected energy balance step 1'!T19),'Corrected energy balance step 1'!T19,0)</f>
        <v>0</v>
      </c>
      <c r="U9">
        <f>IF(ISNUMBER('Corrected energy balance step 1'!U19),'Corrected energy balance step 1'!U19,0)</f>
        <v>0</v>
      </c>
      <c r="V9">
        <f>IF(ISNUMBER('Corrected energy balance step 1'!V19),'Corrected energy balance step 1'!V19,0)</f>
        <v>0</v>
      </c>
      <c r="W9">
        <f>IF(ISNUMBER('Corrected energy balance step 1'!W19),'Corrected energy balance step 1'!W19,0)</f>
        <v>0</v>
      </c>
      <c r="X9">
        <f>IF(ISNUMBER('Corrected energy balance step 1'!X19),'Corrected energy balance step 1'!X19,0)</f>
        <v>0</v>
      </c>
      <c r="Y9">
        <f>IF(ISNUMBER('Corrected energy balance step 1'!Y19),'Corrected energy balance step 1'!Y19,0)</f>
        <v>0</v>
      </c>
      <c r="Z9">
        <f>IF(ISNUMBER('Corrected energy balance step 1'!Z19),'Corrected energy balance step 1'!Z19,0)</f>
        <v>0</v>
      </c>
      <c r="AA9">
        <f>IF(ISNUMBER('Corrected energy balance step 1'!AA19),'Corrected energy balance step 1'!AA19,0)</f>
        <v>0</v>
      </c>
      <c r="AB9">
        <f>IF(ISNUMBER('Corrected energy balance step 1'!AB19),'Corrected energy balance step 1'!AB19,0)</f>
        <v>0</v>
      </c>
      <c r="AC9">
        <f>IF(ISNUMBER('Corrected energy balance step 1'!AC19),'Corrected energy balance step 1'!AC19,0)</f>
        <v>0</v>
      </c>
      <c r="AD9">
        <f>IF(ISNUMBER('Corrected energy balance step 1'!AD19),'Corrected energy balance step 1'!AD19,0)</f>
        <v>0</v>
      </c>
      <c r="AE9">
        <f>IF(ISNUMBER('Corrected energy balance step 1'!AE19),'Corrected energy balance step 1'!AE19,0)</f>
        <v>0</v>
      </c>
      <c r="AF9">
        <f>IF(ISNUMBER('Corrected energy balance step 1'!AF19),'Corrected energy balance step 1'!AF19,0)</f>
        <v>0</v>
      </c>
      <c r="AG9">
        <f>IF(ISNUMBER('Corrected energy balance step 1'!AG19),'Corrected energy balance step 1'!AG19,0)</f>
        <v>0</v>
      </c>
      <c r="AH9">
        <f>IF(ISNUMBER('Corrected energy balance step 1'!AH19),'Corrected energy balance step 1'!AH19,0)</f>
        <v>0</v>
      </c>
      <c r="AI9" s="229">
        <f>IF(ISNUMBER('Corrected energy balance step 1'!AI19),'Corrected energy balance step 1'!AI19,0)</f>
        <v>0</v>
      </c>
      <c r="AJ9">
        <f>IF(ISNUMBER('Corrected energy balance step 1'!AJ19),'Corrected energy balance step 1'!AJ19,0)</f>
        <v>0</v>
      </c>
      <c r="AK9">
        <f>IF(ISNUMBER('Corrected energy balance step 1'!AK19),'Corrected energy balance step 1'!AK19,0)</f>
        <v>0</v>
      </c>
      <c r="AL9">
        <f>IF(ISNUMBER('Corrected energy balance step 1'!AL19),'Corrected energy balance step 1'!AL19,0)</f>
        <v>0</v>
      </c>
      <c r="AM9">
        <f>IF(ISNUMBER('Corrected energy balance step 1'!AM19),'Corrected energy balance step 1'!AM19,0)</f>
        <v>0</v>
      </c>
      <c r="AN9">
        <f>IF(ISNUMBER('Corrected energy balance step 1'!AN19),'Corrected energy balance step 1'!AN19,0)</f>
        <v>0</v>
      </c>
      <c r="AO9">
        <f>IF(ISNUMBER('Corrected energy balance step 1'!AO19),'Corrected energy balance step 1'!AO19,0)</f>
        <v>0</v>
      </c>
      <c r="AP9">
        <f>IF(ISNUMBER('Corrected energy balance step 1'!AP19),'Corrected energy balance step 1'!AP19,0)</f>
        <v>0</v>
      </c>
      <c r="AQ9">
        <f>IF(ISNUMBER('Corrected energy balance step 1'!AQ19),'Corrected energy balance step 1'!AQ19,0)</f>
        <v>0</v>
      </c>
      <c r="AR9">
        <f>IF(ISNUMBER('Corrected energy balance step 1'!AR19),'Corrected energy balance step 1'!AR19,0)</f>
        <v>0</v>
      </c>
      <c r="AS9" s="229">
        <f>IF(ISNUMBER('Corrected energy balance step 1'!AS19),'Corrected energy balance step 1'!AS19,0)</f>
        <v>0</v>
      </c>
      <c r="AT9">
        <f>IF(ISNUMBER('Corrected energy balance step 1'!AT19),'Corrected energy balance step 1'!AT19,0)</f>
        <v>0</v>
      </c>
      <c r="AU9">
        <f>IF(ISNUMBER('Corrected energy balance step 1'!AU19),'Corrected energy balance step 1'!AU19,0)</f>
        <v>0</v>
      </c>
      <c r="AV9" s="229">
        <f>IF(ISNUMBER('Corrected energy balance step 1'!AV19),'Corrected energy balance step 1'!AV19,0)</f>
        <v>0</v>
      </c>
      <c r="AW9" s="229">
        <f>IF(ISNUMBER('Corrected energy balance step 1'!AW19),'Corrected energy balance step 1'!AW19,0)</f>
        <v>0</v>
      </c>
      <c r="AX9" s="229">
        <f>IF(ISNUMBER('Corrected energy balance step 1'!AX19),'Corrected energy balance step 1'!AX19,0)</f>
        <v>0</v>
      </c>
      <c r="AY9" s="229">
        <f>IF(ISNUMBER('Corrected energy balance step 1'!AY19),'Corrected energy balance step 1'!AY19,0)</f>
        <v>0</v>
      </c>
      <c r="AZ9" s="177">
        <f>IF(ISNUMBER('Corrected energy balance step 1'!AZ19),'Corrected energy balance step 1'!AZ19,0)</f>
        <v>0</v>
      </c>
      <c r="BA9" s="229">
        <f>IF(ISNUMBER('Corrected energy balance step 1'!BA19),'Corrected energy balance step 1'!BA19,0)</f>
        <v>0</v>
      </c>
      <c r="BB9" s="229">
        <f>IF(ISNUMBER('Corrected energy balance step 1'!BB19),'Corrected energy balance step 1'!BB19,0)</f>
        <v>0</v>
      </c>
      <c r="BC9" s="229">
        <f>IF(ISNUMBER('Corrected energy balance step 1'!BC19),'Corrected energy balance step 1'!BC19,0)</f>
        <v>0</v>
      </c>
      <c r="BD9" s="229">
        <f>IF(ISNUMBER('Corrected energy balance step 1'!BD19),'Corrected energy balance step 1'!BD19,0)</f>
        <v>0</v>
      </c>
      <c r="BE9" s="229">
        <f>IF(ISNUMBER('Corrected energy balance step 1'!BE19),'Corrected energy balance step 1'!BE19,0)</f>
        <v>0</v>
      </c>
      <c r="BF9" s="235">
        <f>IF(ISNUMBER('Corrected energy balance step 1'!BF19),'Corrected energy balance step 1'!BF19,0)</f>
        <v>0</v>
      </c>
    </row>
    <row r="10" spans="2:58" x14ac:dyDescent="0.2">
      <c r="B10" s="146" t="s">
        <v>377</v>
      </c>
      <c r="C10" s="55">
        <f>IF(ISNUMBER('Corrected energy balance step 1'!C20),'Corrected energy balance step 1'!C20,0)</f>
        <v>0</v>
      </c>
      <c r="D10">
        <f>IF(ISNUMBER('Corrected energy balance step 1'!D20),'Corrected energy balance step 1'!D20,0)</f>
        <v>0</v>
      </c>
      <c r="E10">
        <f>IF(ISNUMBER('Corrected energy balance step 1'!E20),'Corrected energy balance step 1'!E20,0)</f>
        <v>0</v>
      </c>
      <c r="F10">
        <f>IF(ISNUMBER('Corrected energy balance step 1'!F20),'Corrected energy balance step 1'!F20,0)</f>
        <v>0</v>
      </c>
      <c r="G10">
        <f>IF(ISNUMBER('Corrected energy balance step 1'!G20),'Corrected energy balance step 1'!G20,0)</f>
        <v>0</v>
      </c>
      <c r="H10">
        <f>IF(ISNUMBER('Corrected energy balance step 1'!H20),'Corrected energy balance step 1'!H20,0)</f>
        <v>0</v>
      </c>
      <c r="I10" s="229">
        <f>IF(ISNUMBER('Corrected energy balance step 1'!I20),'Corrected energy balance step 1'!I20,0)</f>
        <v>0</v>
      </c>
      <c r="J10">
        <f>IF(ISNUMBER('Corrected energy balance step 1'!J20),'Corrected energy balance step 1'!J20,0)</f>
        <v>0</v>
      </c>
      <c r="K10">
        <f>IF(ISNUMBER('Corrected energy balance step 1'!K20),'Corrected energy balance step 1'!K20,0)</f>
        <v>0</v>
      </c>
      <c r="L10">
        <f>IF(ISNUMBER('Corrected energy balance step 1'!L20),'Corrected energy balance step 1'!L20,0)</f>
        <v>0</v>
      </c>
      <c r="M10">
        <f>IF(ISNUMBER('Corrected energy balance step 1'!M20),'Corrected energy balance step 1'!M20,0)</f>
        <v>0</v>
      </c>
      <c r="N10">
        <f>IF(ISNUMBER('Corrected energy balance step 1'!N20),'Corrected energy balance step 1'!N20,0)</f>
        <v>0</v>
      </c>
      <c r="O10"/>
      <c r="P10"/>
      <c r="Q10"/>
      <c r="R10"/>
      <c r="S10">
        <f>IF(ISNUMBER('Corrected energy balance step 1'!S20),'Corrected energy balance step 1'!S20,0)</f>
        <v>0</v>
      </c>
      <c r="T10" s="229">
        <f>IF(ISNUMBER('Corrected energy balance step 1'!T20),'Corrected energy balance step 1'!T20,0)</f>
        <v>0</v>
      </c>
      <c r="U10">
        <f>IF(ISNUMBER('Corrected energy balance step 1'!U20),'Corrected energy balance step 1'!U20,0)</f>
        <v>0</v>
      </c>
      <c r="V10">
        <f>IF(ISNUMBER('Corrected energy balance step 1'!V20),'Corrected energy balance step 1'!V20,0)</f>
        <v>0</v>
      </c>
      <c r="W10">
        <f>IF(ISNUMBER('Corrected energy balance step 1'!W20),'Corrected energy balance step 1'!W20,0)</f>
        <v>0</v>
      </c>
      <c r="X10">
        <f>IF(ISNUMBER('Corrected energy balance step 1'!X20),'Corrected energy balance step 1'!X20,0)</f>
        <v>0</v>
      </c>
      <c r="Y10">
        <f>IF(ISNUMBER('Corrected energy balance step 1'!Y20),'Corrected energy balance step 1'!Y20,0)</f>
        <v>0</v>
      </c>
      <c r="Z10">
        <f>IF(ISNUMBER('Corrected energy balance step 1'!Z20),'Corrected energy balance step 1'!Z20,0)</f>
        <v>0</v>
      </c>
      <c r="AA10">
        <f>IF(ISNUMBER('Corrected energy balance step 1'!AA20),'Corrected energy balance step 1'!AA20,0)</f>
        <v>0</v>
      </c>
      <c r="AB10">
        <f>IF(ISNUMBER('Corrected energy balance step 1'!AB20),'Corrected energy balance step 1'!AB20,0)</f>
        <v>0</v>
      </c>
      <c r="AC10">
        <f>IF(ISNUMBER('Corrected energy balance step 1'!AC20),'Corrected energy balance step 1'!AC20,0)</f>
        <v>0</v>
      </c>
      <c r="AD10">
        <f>IF(ISNUMBER('Corrected energy balance step 1'!AD20),'Corrected energy balance step 1'!AD20,0)</f>
        <v>0</v>
      </c>
      <c r="AE10">
        <f>IF(ISNUMBER('Corrected energy balance step 1'!AE20),'Corrected energy balance step 1'!AE20,0)</f>
        <v>0</v>
      </c>
      <c r="AF10">
        <f>IF(ISNUMBER('Corrected energy balance step 1'!AF20),'Corrected energy balance step 1'!AF20,0)</f>
        <v>0</v>
      </c>
      <c r="AG10">
        <f>IF(ISNUMBER('Corrected energy balance step 1'!AG20),'Corrected energy balance step 1'!AG20,0)</f>
        <v>0</v>
      </c>
      <c r="AH10">
        <f>IF(ISNUMBER('Corrected energy balance step 1'!AH20),'Corrected energy balance step 1'!AH20,0)</f>
        <v>0</v>
      </c>
      <c r="AI10" s="229">
        <f>IF(ISNUMBER('Corrected energy balance step 1'!AI20),'Corrected energy balance step 1'!AI20,0)</f>
        <v>0</v>
      </c>
      <c r="AJ10">
        <f>IF(ISNUMBER('Corrected energy balance step 1'!AJ20),'Corrected energy balance step 1'!AJ20,0)</f>
        <v>0</v>
      </c>
      <c r="AK10">
        <f>IF(ISNUMBER('Corrected energy balance step 1'!AK20),'Corrected energy balance step 1'!AK20,0)</f>
        <v>0</v>
      </c>
      <c r="AL10">
        <f>IF(ISNUMBER('Corrected energy balance step 1'!AL20),'Corrected energy balance step 1'!AL20,0)</f>
        <v>0</v>
      </c>
      <c r="AM10">
        <f>IF(ISNUMBER('Corrected energy balance step 1'!AM20),'Corrected energy balance step 1'!AM20,0)</f>
        <v>0</v>
      </c>
      <c r="AN10">
        <f>IF(ISNUMBER('Corrected energy balance step 1'!AN20),'Corrected energy balance step 1'!AN20,0)</f>
        <v>0</v>
      </c>
      <c r="AO10">
        <f>IF(ISNUMBER('Corrected energy balance step 1'!AO20),'Corrected energy balance step 1'!AO20,0)</f>
        <v>0</v>
      </c>
      <c r="AP10">
        <f>IF(ISNUMBER('Corrected energy balance step 1'!AP20),'Corrected energy balance step 1'!AP20,0)</f>
        <v>0</v>
      </c>
      <c r="AQ10">
        <f>IF(ISNUMBER('Corrected energy balance step 1'!AQ20),'Corrected energy balance step 1'!AQ20,0)</f>
        <v>0</v>
      </c>
      <c r="AR10">
        <f>IF(ISNUMBER('Corrected energy balance step 1'!AR20),'Corrected energy balance step 1'!AR20,0)</f>
        <v>0</v>
      </c>
      <c r="AS10" s="229">
        <f>IF(ISNUMBER('Corrected energy balance step 1'!AS20),'Corrected energy balance step 1'!AS20,0)</f>
        <v>0</v>
      </c>
      <c r="AT10">
        <f>IF(ISNUMBER('Corrected energy balance step 1'!AT20),'Corrected energy balance step 1'!AT20,0)</f>
        <v>0</v>
      </c>
      <c r="AU10">
        <f>IF(ISNUMBER('Corrected energy balance step 1'!AU20),'Corrected energy balance step 1'!AU20,0)</f>
        <v>0</v>
      </c>
      <c r="AV10" s="229">
        <f>IF(ISNUMBER('Corrected energy balance step 1'!AV20),'Corrected energy balance step 1'!AV20,0)</f>
        <v>0</v>
      </c>
      <c r="AW10" s="229">
        <f>IF(ISNUMBER('Corrected energy balance step 1'!AW20),'Corrected energy balance step 1'!AW20,0)</f>
        <v>0</v>
      </c>
      <c r="AX10" s="229">
        <f>IF(ISNUMBER('Corrected energy balance step 1'!AX20),'Corrected energy balance step 1'!AX20,0)</f>
        <v>0</v>
      </c>
      <c r="AY10" s="229">
        <f>IF(ISNUMBER('Corrected energy balance step 1'!AY20),'Corrected energy balance step 1'!AY20,0)</f>
        <v>0</v>
      </c>
      <c r="AZ10" s="177">
        <f>IF(ISNUMBER('Corrected energy balance step 1'!AZ20),'Corrected energy balance step 1'!AZ20,0)</f>
        <v>0</v>
      </c>
      <c r="BA10" s="229">
        <f>IF(ISNUMBER('Corrected energy balance step 1'!BA20),'Corrected energy balance step 1'!BA20,0)</f>
        <v>0</v>
      </c>
      <c r="BB10" s="229">
        <f>IF(ISNUMBER('Corrected energy balance step 1'!BB20),'Corrected energy balance step 1'!BB20,0)</f>
        <v>0</v>
      </c>
      <c r="BC10" s="229">
        <f>IF(ISNUMBER('Corrected energy balance step 1'!BC20),'Corrected energy balance step 1'!BC20,0)</f>
        <v>0</v>
      </c>
      <c r="BD10" s="229">
        <f>IF(ISNUMBER('Corrected energy balance step 1'!BD20),'Corrected energy balance step 1'!BD20,0)</f>
        <v>0</v>
      </c>
      <c r="BE10" s="229">
        <f>IF(ISNUMBER('Corrected energy balance step 1'!BE20),'Corrected energy balance step 1'!BE20,0)</f>
        <v>0</v>
      </c>
      <c r="BF10" s="235">
        <f>IF(ISNUMBER('Corrected energy balance step 1'!BF20),'Corrected energy balance step 1'!BF20,0)</f>
        <v>0</v>
      </c>
    </row>
    <row r="11" spans="2:58" x14ac:dyDescent="0.2">
      <c r="B11" s="146" t="s">
        <v>65</v>
      </c>
      <c r="C11" s="204">
        <f t="shared" ref="C11" si="0">IF(SUM($C$9:$H$10,$J$9:$S$10)=0,0,SUM(C9:C10)/SUM($C$9:$H$10,$J$9:$S$10))</f>
        <v>0</v>
      </c>
      <c r="D11" s="205">
        <f t="shared" ref="D11" si="1">IF(SUM($C$9:$H$10,$J$9:$S$10)=0,0,SUM(D9:D10)/SUM($C$9:$H$10,$J$9:$S$10))</f>
        <v>0</v>
      </c>
      <c r="E11" s="205">
        <f t="shared" ref="E11" si="2">IF(SUM($C$9:$H$10,$J$9:$S$10)=0,0,SUM(E9:E10)/SUM($C$9:$H$10,$J$9:$S$10))</f>
        <v>0</v>
      </c>
      <c r="F11" s="205">
        <f t="shared" ref="F11" si="3">IF(SUM($C$9:$H$10,$J$9:$S$10)=0,0,SUM(F9:F10)/SUM($C$9:$H$10,$J$9:$S$10))</f>
        <v>0</v>
      </c>
      <c r="G11" s="205">
        <f t="shared" ref="G11" si="4">IF(SUM($C$9:$H$10,$J$9:$S$10)=0,0,SUM(G9:G10)/SUM($C$9:$H$10,$J$9:$S$10))</f>
        <v>0</v>
      </c>
      <c r="H11" s="205">
        <f t="shared" ref="H11:N11" si="5">IF(SUM($C$9:$H$10,$J$9:$S$10)=0,0,SUM(H9:H10)/SUM($C$9:$H$10,$J$9:$S$10))</f>
        <v>0</v>
      </c>
      <c r="I11" s="230">
        <f>IF(SUM(I9:I10)=0,0,SUM(I9:I10)/SUM(I9:I10))</f>
        <v>0</v>
      </c>
      <c r="J11" s="205">
        <f t="shared" si="5"/>
        <v>0</v>
      </c>
      <c r="K11" s="205">
        <f t="shared" si="5"/>
        <v>0</v>
      </c>
      <c r="L11" s="205">
        <f t="shared" si="5"/>
        <v>0</v>
      </c>
      <c r="M11" s="205">
        <f t="shared" si="5"/>
        <v>0</v>
      </c>
      <c r="N11" s="205">
        <f t="shared" si="5"/>
        <v>0</v>
      </c>
      <c r="O11" s="205"/>
      <c r="P11" s="205"/>
      <c r="Q11" s="205"/>
      <c r="R11" s="205"/>
      <c r="S11" s="205">
        <f>IF(SUM($C$9:$H$10,$J$9:$S$10)=0,0,SUM(S9:S10)/SUM($C$9:$H$10,$J$9:$S$10))</f>
        <v>0</v>
      </c>
      <c r="T11" s="230">
        <f>IF(SUM(T9:T10)=0,0,SUM(T9:T10)/SUM(T9:T10))</f>
        <v>0</v>
      </c>
      <c r="U11" s="205">
        <f t="shared" ref="U11" si="6">IF(SUM($U$9:$AH$10,$AJ$9:$AQ$10)=0,0,SUM(U9:U10)/SUM($U$9:$AH$10,$AJ$9:$AQ$10))</f>
        <v>0</v>
      </c>
      <c r="V11" s="205">
        <f t="shared" ref="V11" si="7">IF(SUM($U$9:$AH$10,$AJ$9:$AQ$10)=0,0,SUM(V9:V10)/SUM($U$9:$AH$10,$AJ$9:$AQ$10))</f>
        <v>0</v>
      </c>
      <c r="W11" s="205">
        <f t="shared" ref="W11" si="8">IF(SUM($U$9:$AH$10,$AJ$9:$AQ$10)=0,0,SUM(W9:W10)/SUM($U$9:$AH$10,$AJ$9:$AQ$10))</f>
        <v>0</v>
      </c>
      <c r="X11" s="205">
        <f t="shared" ref="X11" si="9">IF(SUM($U$9:$AH$10,$AJ$9:$AQ$10)=0,0,SUM(X9:X10)/SUM($U$9:$AH$10,$AJ$9:$AQ$10))</f>
        <v>0</v>
      </c>
      <c r="Y11" s="205">
        <f t="shared" ref="Y11" si="10">IF(SUM($U$9:$AH$10,$AJ$9:$AQ$10)=0,0,SUM(Y9:Y10)/SUM($U$9:$AH$10,$AJ$9:$AQ$10))</f>
        <v>0</v>
      </c>
      <c r="Z11" s="205">
        <f t="shared" ref="Z11" si="11">IF(SUM($U$9:$AH$10,$AJ$9:$AQ$10)=0,0,SUM(Z9:Z10)/SUM($U$9:$AH$10,$AJ$9:$AQ$10))</f>
        <v>0</v>
      </c>
      <c r="AA11" s="205">
        <f t="shared" ref="AA11" si="12">IF(SUM($U$9:$AH$10,$AJ$9:$AQ$10)=0,0,SUM(AA9:AA10)/SUM($U$9:$AH$10,$AJ$9:$AQ$10))</f>
        <v>0</v>
      </c>
      <c r="AB11" s="205">
        <f t="shared" ref="AB11" si="13">IF(SUM($U$9:$AH$10,$AJ$9:$AQ$10)=0,0,SUM(AB9:AB10)/SUM($U$9:$AH$10,$AJ$9:$AQ$10))</f>
        <v>0</v>
      </c>
      <c r="AC11" s="205">
        <f t="shared" ref="AC11" si="14">IF(SUM($U$9:$AH$10,$AJ$9:$AQ$10)=0,0,SUM(AC9:AC10)/SUM($U$9:$AH$10,$AJ$9:$AQ$10))</f>
        <v>0</v>
      </c>
      <c r="AD11" s="205">
        <f t="shared" ref="AD11" si="15">IF(SUM($U$9:$AH$10,$AJ$9:$AQ$10)=0,0,SUM(AD9:AD10)/SUM($U$9:$AH$10,$AJ$9:$AQ$10))</f>
        <v>0</v>
      </c>
      <c r="AE11" s="205">
        <f t="shared" ref="AE11" si="16">IF(SUM($U$9:$AH$10,$AJ$9:$AQ$10)=0,0,SUM(AE9:AE10)/SUM($U$9:$AH$10,$AJ$9:$AQ$10))</f>
        <v>0</v>
      </c>
      <c r="AF11" s="205">
        <f t="shared" ref="AF11" si="17">IF(SUM($U$9:$AH$10,$AJ$9:$AQ$10)=0,0,SUM(AF9:AF10)/SUM($U$9:$AH$10,$AJ$9:$AQ$10))</f>
        <v>0</v>
      </c>
      <c r="AG11" s="205">
        <f t="shared" ref="AG11" si="18">IF(SUM($U$9:$AH$10,$AJ$9:$AQ$10)=0,0,SUM(AG9:AG10)/SUM($U$9:$AH$10,$AJ$9:$AQ$10))</f>
        <v>0</v>
      </c>
      <c r="AH11" s="205">
        <f t="shared" ref="AH11:AP11" si="19">IF(SUM($U$9:$AH$10,$AJ$9:$AQ$10)=0,0,SUM(AH9:AH10)/SUM($U$9:$AH$10,$AJ$9:$AQ$10))</f>
        <v>0</v>
      </c>
      <c r="AI11" s="230">
        <f>IF(SUM($AI$9:$AI$10)=0,0,SUM(AI9:AI10)/SUM($AI$9:$AI$10))</f>
        <v>0</v>
      </c>
      <c r="AJ11" s="205">
        <f t="shared" si="19"/>
        <v>0</v>
      </c>
      <c r="AK11" s="205">
        <f t="shared" si="19"/>
        <v>0</v>
      </c>
      <c r="AL11" s="205">
        <f t="shared" si="19"/>
        <v>0</v>
      </c>
      <c r="AM11" s="205">
        <f t="shared" si="19"/>
        <v>0</v>
      </c>
      <c r="AN11" s="205">
        <f t="shared" si="19"/>
        <v>0</v>
      </c>
      <c r="AO11" s="205">
        <f t="shared" si="19"/>
        <v>0</v>
      </c>
      <c r="AP11" s="205">
        <f t="shared" si="19"/>
        <v>0</v>
      </c>
      <c r="AQ11" s="205">
        <f>IF(SUM($U$9:$AH$10,$AJ$9:$AQ$10)=0,0,SUM(AQ9:AQ10)/SUM($U$9:$AH$10,$AJ$9:$AQ$10))</f>
        <v>0</v>
      </c>
      <c r="AR11" s="205">
        <f>IF(SUM($AR$9:$AR$10,$AT$9:$AT$10)=0,0,SUM(AR9:AR10)/SUM($AR$9:$AR$10,$AT$9:$AT$10))</f>
        <v>0</v>
      </c>
      <c r="AS11" s="230">
        <f>IF(SUM(AS9:AS10)=0,0,SUM(AS9:AS10)/SUM(AS9:AS10))</f>
        <v>0</v>
      </c>
      <c r="AT11" s="205">
        <f>IF(SUM($AR$9:$AR$10,$AT$9:$AT$10)=0,0,SUM(AT9:AT10)/SUM($AR$9:$AR$10,$AT$9:$AT$10))</f>
        <v>0</v>
      </c>
      <c r="AU11" s="205">
        <f>IF(SUM($AZ$9:$AZ$10,$AU$9:$AU$10)=0,0,SUM(AU9:AU10)/SUM($AZ$9:$AZ$10,$AU$9:$AU$10))</f>
        <v>0</v>
      </c>
      <c r="AV11" s="230">
        <f>IF(SUM(AV9:AV10)=0,0,SUM(AV9:AV10)/SUM(AV9:AV10))</f>
        <v>0</v>
      </c>
      <c r="AW11" s="230"/>
      <c r="AX11" s="230"/>
      <c r="AY11" s="230"/>
      <c r="AZ11" s="205">
        <f>IF(SUM($AZ$9:$AZ$10,$AU$9:$AU$10)=0,0,SUM(AZ9:AZ10)/SUM($AZ$9:$AZ$10,$AU$9:$AU$10))</f>
        <v>0</v>
      </c>
      <c r="BA11" s="236"/>
      <c r="BB11" s="236"/>
      <c r="BC11" s="236"/>
      <c r="BD11" s="236"/>
      <c r="BE11" s="236"/>
      <c r="BF11" s="237"/>
    </row>
    <row r="12" spans="2:58" ht="17" thickBot="1" x14ac:dyDescent="0.25">
      <c r="B12" s="199"/>
      <c r="C12" s="202"/>
      <c r="D12" s="148"/>
      <c r="E12" s="148"/>
      <c r="F12" s="148"/>
      <c r="G12" s="148"/>
      <c r="H12" s="148"/>
      <c r="I12" s="148"/>
      <c r="J12" s="148"/>
      <c r="K12" s="148"/>
      <c r="L12" s="148"/>
      <c r="M12" s="148"/>
      <c r="N12" s="148"/>
      <c r="O12" s="171"/>
      <c r="P12" s="171"/>
      <c r="Q12" s="171"/>
      <c r="R12" s="171"/>
      <c r="S12" s="203"/>
      <c r="T12" s="148"/>
      <c r="U12" s="148"/>
      <c r="V12" s="148"/>
      <c r="W12" s="148"/>
      <c r="X12" s="148"/>
      <c r="Y12" s="148"/>
      <c r="Z12" s="148"/>
      <c r="AA12" s="148"/>
      <c r="AB12" s="148"/>
      <c r="AC12" s="148"/>
      <c r="AD12" s="148"/>
      <c r="AE12" s="148"/>
      <c r="AF12" s="148"/>
      <c r="AG12" s="148"/>
      <c r="AH12" s="148"/>
      <c r="AI12" s="148"/>
      <c r="AJ12" s="148"/>
      <c r="AK12" s="148"/>
      <c r="AL12" s="148"/>
      <c r="AM12" s="148"/>
      <c r="AN12" s="148"/>
      <c r="AO12" s="148"/>
      <c r="AP12" s="148"/>
      <c r="AQ12" s="148"/>
      <c r="AR12" s="200"/>
      <c r="AS12" s="200"/>
      <c r="AT12" s="200"/>
      <c r="AU12" s="148"/>
      <c r="AV12" s="148"/>
      <c r="AW12" s="148"/>
      <c r="AX12" s="148"/>
      <c r="AY12" s="148"/>
      <c r="AZ12" s="148"/>
      <c r="BA12" s="201"/>
      <c r="BB12" s="35"/>
      <c r="BC12" s="35"/>
      <c r="BD12" s="35"/>
      <c r="BE12" s="35"/>
      <c r="BF12" s="36"/>
    </row>
    <row r="13" spans="2:58" ht="17" thickBot="1" x14ac:dyDescent="0.25"/>
    <row r="14" spans="2:58" x14ac:dyDescent="0.2">
      <c r="B14" s="64" t="s">
        <v>374</v>
      </c>
      <c r="C14" s="143"/>
      <c r="D14" s="82"/>
      <c r="E14" s="82"/>
      <c r="F14" s="82"/>
      <c r="G14" s="82"/>
      <c r="H14" s="82"/>
      <c r="I14" s="82"/>
      <c r="J14" s="82"/>
      <c r="K14" s="82"/>
      <c r="L14" s="82"/>
      <c r="M14" s="82"/>
      <c r="N14" s="82"/>
      <c r="O14" s="82"/>
      <c r="P14" s="82"/>
      <c r="Q14" s="82"/>
      <c r="R14" s="82"/>
      <c r="S14" s="82"/>
      <c r="T14" s="82"/>
      <c r="U14" s="82"/>
      <c r="V14" s="82"/>
      <c r="W14" s="82"/>
      <c r="X14" s="82"/>
      <c r="Y14" s="82"/>
      <c r="Z14" s="82"/>
      <c r="AA14" s="82"/>
      <c r="AB14" s="82"/>
      <c r="AC14" s="82"/>
      <c r="AD14" s="82"/>
      <c r="AE14" s="82"/>
      <c r="AF14" s="82"/>
      <c r="AG14" s="82"/>
      <c r="AH14" s="82"/>
      <c r="AI14" s="82"/>
      <c r="AJ14" s="82"/>
      <c r="AK14" s="82"/>
      <c r="AL14" s="82"/>
      <c r="AM14" s="82"/>
      <c r="AN14" s="82"/>
      <c r="AO14" s="82"/>
      <c r="AP14" s="82"/>
      <c r="AQ14" s="82"/>
      <c r="AR14" s="82"/>
      <c r="AS14" s="82"/>
      <c r="AT14" s="82"/>
      <c r="AU14" s="82"/>
      <c r="AV14" s="82"/>
      <c r="AW14" s="82"/>
      <c r="AX14" s="82"/>
      <c r="AY14" s="82"/>
      <c r="AZ14" s="82"/>
      <c r="BA14" s="82"/>
      <c r="BB14" s="82"/>
      <c r="BC14" s="82"/>
      <c r="BD14" s="82"/>
      <c r="BE14" s="82"/>
      <c r="BF14" s="66"/>
    </row>
    <row r="15" spans="2:58" x14ac:dyDescent="0.2">
      <c r="B15" s="147" t="s">
        <v>49</v>
      </c>
      <c r="C15" s="55" t="s">
        <v>134</v>
      </c>
      <c r="D15" s="44" t="s">
        <v>135</v>
      </c>
      <c r="E15" s="44" t="s">
        <v>136</v>
      </c>
      <c r="F15" s="44" t="s">
        <v>137</v>
      </c>
      <c r="G15" s="44" t="s">
        <v>138</v>
      </c>
      <c r="H15" s="44" t="s">
        <v>139</v>
      </c>
      <c r="I15" s="228" t="s">
        <v>140</v>
      </c>
      <c r="J15" s="44" t="s">
        <v>141</v>
      </c>
      <c r="K15" s="44" t="s">
        <v>142</v>
      </c>
      <c r="L15" s="44" t="s">
        <v>143</v>
      </c>
      <c r="M15" s="44" t="s">
        <v>144</v>
      </c>
      <c r="N15" s="44" t="s">
        <v>145</v>
      </c>
      <c r="O15" s="44"/>
      <c r="P15" s="44"/>
      <c r="Q15" s="44"/>
      <c r="R15" s="44"/>
      <c r="S15" s="44" t="s">
        <v>150</v>
      </c>
      <c r="T15" s="228" t="s">
        <v>151</v>
      </c>
      <c r="U15" s="44" t="s">
        <v>152</v>
      </c>
      <c r="V15" s="44" t="s">
        <v>153</v>
      </c>
      <c r="W15" s="44" t="s">
        <v>154</v>
      </c>
      <c r="X15" s="44" t="s">
        <v>155</v>
      </c>
      <c r="Y15" s="44" t="s">
        <v>156</v>
      </c>
      <c r="Z15" s="44" t="s">
        <v>157</v>
      </c>
      <c r="AA15" s="44" t="s">
        <v>158</v>
      </c>
      <c r="AB15" s="44" t="s">
        <v>159</v>
      </c>
      <c r="AC15" s="44" t="s">
        <v>160</v>
      </c>
      <c r="AD15" s="44" t="s">
        <v>161</v>
      </c>
      <c r="AE15" s="44" t="s">
        <v>162</v>
      </c>
      <c r="AF15" s="44" t="s">
        <v>163</v>
      </c>
      <c r="AG15" s="44" t="s">
        <v>164</v>
      </c>
      <c r="AH15" s="44" t="s">
        <v>165</v>
      </c>
      <c r="AI15" s="44" t="s">
        <v>166</v>
      </c>
      <c r="AJ15" s="44" t="s">
        <v>167</v>
      </c>
      <c r="AK15" s="44" t="s">
        <v>168</v>
      </c>
      <c r="AL15" s="44" t="s">
        <v>169</v>
      </c>
      <c r="AM15" s="44" t="s">
        <v>170</v>
      </c>
      <c r="AN15" s="44" t="s">
        <v>171</v>
      </c>
      <c r="AO15" s="44" t="s">
        <v>172</v>
      </c>
      <c r="AP15" s="44" t="s">
        <v>173</v>
      </c>
      <c r="AQ15" s="44" t="s">
        <v>174</v>
      </c>
      <c r="AR15" s="44" t="s">
        <v>175</v>
      </c>
      <c r="AS15" s="228" t="s">
        <v>176</v>
      </c>
      <c r="AT15" s="44" t="s">
        <v>177</v>
      </c>
      <c r="AU15" s="44" t="s">
        <v>178</v>
      </c>
      <c r="AV15" s="228" t="s">
        <v>179</v>
      </c>
      <c r="AW15" s="228" t="s">
        <v>180</v>
      </c>
      <c r="AX15" s="228" t="s">
        <v>181</v>
      </c>
      <c r="AY15" s="228" t="s">
        <v>182</v>
      </c>
      <c r="AZ15" s="178" t="s">
        <v>183</v>
      </c>
      <c r="BA15" s="228" t="s">
        <v>184</v>
      </c>
      <c r="BB15" s="233" t="s">
        <v>185</v>
      </c>
      <c r="BC15" s="233" t="s">
        <v>186</v>
      </c>
      <c r="BD15" s="233" t="s">
        <v>187</v>
      </c>
      <c r="BE15" s="233" t="s">
        <v>188</v>
      </c>
      <c r="BF15" s="234" t="s">
        <v>189</v>
      </c>
    </row>
    <row r="16" spans="2:58" x14ac:dyDescent="0.2">
      <c r="B16" s="146" t="s">
        <v>65</v>
      </c>
      <c r="C16" s="54">
        <f>IF(ISNUMBER('Corrected energy balance step 1'!C23),'Corrected energy balance step 1'!C23,0)</f>
        <v>0</v>
      </c>
      <c r="D16">
        <f>IF(ISNUMBER('Corrected energy balance step 1'!D23),'Corrected energy balance step 1'!D23,0)</f>
        <v>0</v>
      </c>
      <c r="E16">
        <f>IF(ISNUMBER('Corrected energy balance step 1'!E23),'Corrected energy balance step 1'!E23,0)</f>
        <v>0</v>
      </c>
      <c r="F16">
        <f>IF(ISNUMBER('Corrected energy balance step 1'!F23),'Corrected energy balance step 1'!F23,0)</f>
        <v>0</v>
      </c>
      <c r="G16">
        <f>IF(ISNUMBER('Corrected energy balance step 1'!G23),'Corrected energy balance step 1'!G23,0)</f>
        <v>0</v>
      </c>
      <c r="H16">
        <f>IF(ISNUMBER('Corrected energy balance step 1'!H23),'Corrected energy balance step 1'!H23,0)</f>
        <v>0</v>
      </c>
      <c r="I16" s="229">
        <f>IF(ISNUMBER('Corrected energy balance step 1'!I23),'Corrected energy balance step 1'!I23,0)</f>
        <v>0</v>
      </c>
      <c r="J16">
        <f>IF(ISNUMBER('Corrected energy balance step 1'!J23),'Corrected energy balance step 1'!J23,0)</f>
        <v>0</v>
      </c>
      <c r="K16">
        <f>IF(ISNUMBER('Corrected energy balance step 1'!K23),'Corrected energy balance step 1'!K23,0)</f>
        <v>0</v>
      </c>
      <c r="L16">
        <f>IF(ISNUMBER('Corrected energy balance step 1'!L23),'Corrected energy balance step 1'!L23,0)</f>
        <v>0</v>
      </c>
      <c r="M16">
        <f>IF(ISNUMBER('Corrected energy balance step 1'!M23),'Corrected energy balance step 1'!M23,0)</f>
        <v>0</v>
      </c>
      <c r="N16">
        <f>IF(ISNUMBER('Corrected energy balance step 1'!N23),'Corrected energy balance step 1'!N23,0)</f>
        <v>0</v>
      </c>
      <c r="O16"/>
      <c r="P16"/>
      <c r="Q16"/>
      <c r="R16"/>
      <c r="S16">
        <f>IF(ISNUMBER('Corrected energy balance step 1'!S23),'Corrected energy balance step 1'!S23,0)</f>
        <v>0</v>
      </c>
      <c r="T16" s="229">
        <f>IF(ISNUMBER('Corrected energy balance step 1'!T23),'Corrected energy balance step 1'!T23,0)</f>
        <v>0</v>
      </c>
      <c r="U16">
        <f>IF(ISNUMBER('Corrected energy balance step 1'!U23),'Corrected energy balance step 1'!U23,0)</f>
        <v>0</v>
      </c>
      <c r="V16">
        <f>IF(ISNUMBER('Corrected energy balance step 1'!V23),'Corrected energy balance step 1'!V23,0)</f>
        <v>0</v>
      </c>
      <c r="W16">
        <f>IF(ISNUMBER('Corrected energy balance step 1'!W23),'Corrected energy balance step 1'!W23,0)</f>
        <v>0</v>
      </c>
      <c r="X16">
        <f>IF(ISNUMBER('Corrected energy balance step 1'!X23),'Corrected energy balance step 1'!X23,0)</f>
        <v>0</v>
      </c>
      <c r="Y16">
        <f>IF(ISNUMBER('Corrected energy balance step 1'!Y23),'Corrected energy balance step 1'!Y23,0)</f>
        <v>0</v>
      </c>
      <c r="Z16">
        <f>IF(ISNUMBER('Corrected energy balance step 1'!Z23),'Corrected energy balance step 1'!Z23,0)</f>
        <v>0</v>
      </c>
      <c r="AA16">
        <f>IF(ISNUMBER('Corrected energy balance step 1'!AA23),'Corrected energy balance step 1'!AA23,0)</f>
        <v>0</v>
      </c>
      <c r="AB16">
        <f>IF(ISNUMBER('Corrected energy balance step 1'!AB23),'Corrected energy balance step 1'!AB23,0)</f>
        <v>0</v>
      </c>
      <c r="AC16">
        <f>IF(ISNUMBER('Corrected energy balance step 1'!AC23),'Corrected energy balance step 1'!AC23,0)</f>
        <v>0</v>
      </c>
      <c r="AD16">
        <f>IF(ISNUMBER('Corrected energy balance step 1'!AD23),'Corrected energy balance step 1'!AD23,0)</f>
        <v>0</v>
      </c>
      <c r="AE16">
        <f>IF(ISNUMBER('Corrected energy balance step 1'!AE23),'Corrected energy balance step 1'!AE23,0)</f>
        <v>0</v>
      </c>
      <c r="AF16">
        <f>IF(ISNUMBER('Corrected energy balance step 1'!AF23),'Corrected energy balance step 1'!AF23,0)</f>
        <v>0</v>
      </c>
      <c r="AG16">
        <f>IF(ISNUMBER('Corrected energy balance step 1'!AG23),'Corrected energy balance step 1'!AG23,0)</f>
        <v>0</v>
      </c>
      <c r="AH16">
        <f>IF(ISNUMBER('Corrected energy balance step 1'!AH23),'Corrected energy balance step 1'!AH23,0)</f>
        <v>0</v>
      </c>
      <c r="AI16">
        <f>IF(ISNUMBER('Corrected energy balance step 1'!AI23),'Corrected energy balance step 1'!AI23,0)</f>
        <v>0</v>
      </c>
      <c r="AJ16">
        <f>IF(ISNUMBER('Corrected energy balance step 1'!AJ23),'Corrected energy balance step 1'!AJ23,0)</f>
        <v>0</v>
      </c>
      <c r="AK16">
        <f>IF(ISNUMBER('Corrected energy balance step 1'!AK23),'Corrected energy balance step 1'!AK23,0)</f>
        <v>0</v>
      </c>
      <c r="AL16">
        <f>IF(ISNUMBER('Corrected energy balance step 1'!AL23),'Corrected energy balance step 1'!AL23,0)</f>
        <v>0</v>
      </c>
      <c r="AM16">
        <f>IF(ISNUMBER('Corrected energy balance step 1'!AM23),'Corrected energy balance step 1'!AM23,0)</f>
        <v>0</v>
      </c>
      <c r="AN16">
        <f>IF(ISNUMBER('Corrected energy balance step 1'!AN23),'Corrected energy balance step 1'!AN23,0)</f>
        <v>0</v>
      </c>
      <c r="AO16">
        <f>IF(ISNUMBER('Corrected energy balance step 1'!AO23),'Corrected energy balance step 1'!AO23,0)</f>
        <v>0</v>
      </c>
      <c r="AP16">
        <f>IF(ISNUMBER('Corrected energy balance step 1'!AP23),'Corrected energy balance step 1'!AP23,0)</f>
        <v>0</v>
      </c>
      <c r="AQ16">
        <f>IF(ISNUMBER('Corrected energy balance step 1'!AQ23),'Corrected energy balance step 1'!AQ23,0)</f>
        <v>0</v>
      </c>
      <c r="AR16">
        <f>IF(ISNUMBER('Corrected energy balance step 1'!AR23),'Corrected energy balance step 1'!AR23,0)</f>
        <v>0</v>
      </c>
      <c r="AS16" s="229">
        <f>IF(ISNUMBER('Corrected energy balance step 1'!AS23),'Corrected energy balance step 1'!AS23,0)</f>
        <v>0</v>
      </c>
      <c r="AT16">
        <f>IF(ISNUMBER('Corrected energy balance step 1'!AT23),'Corrected energy balance step 1'!AT23,0)</f>
        <v>0</v>
      </c>
      <c r="AU16">
        <f>IF(ISNUMBER('Corrected energy balance step 1'!AU23),'Corrected energy balance step 1'!AU23,0)</f>
        <v>0</v>
      </c>
      <c r="AV16" s="229">
        <f>IF(ISNUMBER('Corrected energy balance step 1'!AV23),'Corrected energy balance step 1'!AV23,0)</f>
        <v>0</v>
      </c>
      <c r="AW16" s="229">
        <f>IF(ISNUMBER('Corrected energy balance step 1'!AW23),'Corrected energy balance step 1'!AW23,0)</f>
        <v>0</v>
      </c>
      <c r="AX16" s="229">
        <f>IF(ISNUMBER('Corrected energy balance step 1'!AX23),'Corrected energy balance step 1'!AX23,0)</f>
        <v>0</v>
      </c>
      <c r="AY16" s="229">
        <f>IF(ISNUMBER('Corrected energy balance step 1'!AY23),'Corrected energy balance step 1'!AY23,0)</f>
        <v>0</v>
      </c>
      <c r="AZ16" s="177">
        <f>IF(ISNUMBER('Corrected energy balance step 1'!AZ23),'Corrected energy balance step 1'!AZ23,0)</f>
        <v>0</v>
      </c>
      <c r="BA16" s="229">
        <f>IF(ISNUMBER('Corrected energy balance step 1'!BA23),'Corrected energy balance step 1'!BA23,0)</f>
        <v>0</v>
      </c>
      <c r="BB16" s="229">
        <f>IF(ISNUMBER('Corrected energy balance step 1'!BB23),'Corrected energy balance step 1'!BB23,0)</f>
        <v>0</v>
      </c>
      <c r="BC16" s="229">
        <f>IF(ISNUMBER('Corrected energy balance step 1'!BC23),'Corrected energy balance step 1'!BC23,0)</f>
        <v>0</v>
      </c>
      <c r="BD16" s="229">
        <f>IF(ISNUMBER('Corrected energy balance step 1'!BD23),'Corrected energy balance step 1'!BD23,0)</f>
        <v>0</v>
      </c>
      <c r="BE16" s="229">
        <f>IF(ISNUMBER('Corrected energy balance step 1'!BE23),'Corrected energy balance step 1'!BE23,0)</f>
        <v>0</v>
      </c>
      <c r="BF16" s="235">
        <f>IF(ISNUMBER('Corrected energy balance step 1'!BF23),'Corrected energy balance step 1'!BF23,0)</f>
        <v>0</v>
      </c>
    </row>
    <row r="17" spans="2:58" x14ac:dyDescent="0.2">
      <c r="B17" s="146" t="s">
        <v>66</v>
      </c>
      <c r="C17" s="54">
        <f>IF(ISNUMBER('Corrected energy balance step 1'!C24),'Corrected energy balance step 1'!C24,0)</f>
        <v>0</v>
      </c>
      <c r="D17">
        <f>IF(ISNUMBER('Corrected energy balance step 1'!D24),'Corrected energy balance step 1'!D24,0)</f>
        <v>0</v>
      </c>
      <c r="E17">
        <f>IF(ISNUMBER('Corrected energy balance step 1'!E24),'Corrected energy balance step 1'!E24,0)</f>
        <v>0</v>
      </c>
      <c r="F17">
        <f>IF(ISNUMBER('Corrected energy balance step 1'!F24),'Corrected energy balance step 1'!F24,0)</f>
        <v>0</v>
      </c>
      <c r="G17">
        <f>IF(ISNUMBER('Corrected energy balance step 1'!G24),'Corrected energy balance step 1'!G24,0)</f>
        <v>0</v>
      </c>
      <c r="H17">
        <f>IF(ISNUMBER('Corrected energy balance step 1'!H24),'Corrected energy balance step 1'!H24,0)</f>
        <v>0</v>
      </c>
      <c r="I17" s="229">
        <f>IF(ISNUMBER('Corrected energy balance step 1'!I24),'Corrected energy balance step 1'!I24,0)</f>
        <v>0</v>
      </c>
      <c r="J17">
        <f>IF(ISNUMBER('Corrected energy balance step 1'!J24),'Corrected energy balance step 1'!J24,0)</f>
        <v>0</v>
      </c>
      <c r="K17">
        <f>IF(ISNUMBER('Corrected energy balance step 1'!K24),'Corrected energy balance step 1'!K24,0)</f>
        <v>0</v>
      </c>
      <c r="L17">
        <f>IF(ISNUMBER('Corrected energy balance step 1'!L24),'Corrected energy balance step 1'!L24,0)</f>
        <v>0</v>
      </c>
      <c r="M17">
        <f>IF(ISNUMBER('Corrected energy balance step 1'!M24),'Corrected energy balance step 1'!M24,0)</f>
        <v>0</v>
      </c>
      <c r="N17">
        <f>IF(ISNUMBER('Corrected energy balance step 1'!N24),'Corrected energy balance step 1'!N24,0)</f>
        <v>0</v>
      </c>
      <c r="O17"/>
      <c r="P17"/>
      <c r="Q17"/>
      <c r="R17"/>
      <c r="S17">
        <f>IF(ISNUMBER('Corrected energy balance step 1'!S24),'Corrected energy balance step 1'!S24,0)</f>
        <v>0</v>
      </c>
      <c r="T17" s="229">
        <f>IF(ISNUMBER('Corrected energy balance step 1'!T24),'Corrected energy balance step 1'!T24,0)</f>
        <v>0</v>
      </c>
      <c r="U17">
        <f>IF(ISNUMBER('Corrected energy balance step 1'!U24),'Corrected energy balance step 1'!U24,0)</f>
        <v>0</v>
      </c>
      <c r="V17">
        <f>IF(ISNUMBER('Corrected energy balance step 1'!V24),'Corrected energy balance step 1'!V24,0)</f>
        <v>0</v>
      </c>
      <c r="W17">
        <f>IF(ISNUMBER('Corrected energy balance step 1'!W24),'Corrected energy balance step 1'!W24,0)</f>
        <v>0</v>
      </c>
      <c r="X17">
        <f>IF(ISNUMBER('Corrected energy balance step 1'!X24),'Corrected energy balance step 1'!X24,0)</f>
        <v>0</v>
      </c>
      <c r="Y17">
        <f>IF(ISNUMBER('Corrected energy balance step 1'!Y24),'Corrected energy balance step 1'!Y24,0)</f>
        <v>0</v>
      </c>
      <c r="Z17">
        <f>IF(ISNUMBER('Corrected energy balance step 1'!Z24),'Corrected energy balance step 1'!Z24,0)</f>
        <v>0</v>
      </c>
      <c r="AA17">
        <f>IF(ISNUMBER('Corrected energy balance step 1'!AA24),'Corrected energy balance step 1'!AA24,0)</f>
        <v>0</v>
      </c>
      <c r="AB17">
        <f>IF(ISNUMBER('Corrected energy balance step 1'!AB24),'Corrected energy balance step 1'!AB24,0)</f>
        <v>0</v>
      </c>
      <c r="AC17">
        <f>IF(ISNUMBER('Corrected energy balance step 1'!AC24),'Corrected energy balance step 1'!AC24,0)</f>
        <v>0</v>
      </c>
      <c r="AD17">
        <f>IF(ISNUMBER('Corrected energy balance step 1'!AD24),'Corrected energy balance step 1'!AD24,0)</f>
        <v>0</v>
      </c>
      <c r="AE17">
        <f>IF(ISNUMBER('Corrected energy balance step 1'!AE24),'Corrected energy balance step 1'!AE24,0)</f>
        <v>0</v>
      </c>
      <c r="AF17">
        <f>IF(ISNUMBER('Corrected energy balance step 1'!AF24),'Corrected energy balance step 1'!AF24,0)</f>
        <v>0</v>
      </c>
      <c r="AG17">
        <f>IF(ISNUMBER('Corrected energy balance step 1'!AG24),'Corrected energy balance step 1'!AG24,0)</f>
        <v>0</v>
      </c>
      <c r="AH17">
        <f>IF(ISNUMBER('Corrected energy balance step 1'!AH24),'Corrected energy balance step 1'!AH24,0)</f>
        <v>0</v>
      </c>
      <c r="AI17">
        <f>IF(ISNUMBER('Corrected energy balance step 1'!AI24),'Corrected energy balance step 1'!AI24,0)</f>
        <v>0</v>
      </c>
      <c r="AJ17">
        <f>IF(ISNUMBER('Corrected energy balance step 1'!AJ24),'Corrected energy balance step 1'!AJ24,0)</f>
        <v>0</v>
      </c>
      <c r="AK17">
        <f>IF(ISNUMBER('Corrected energy balance step 1'!AK24),'Corrected energy balance step 1'!AK24,0)</f>
        <v>0</v>
      </c>
      <c r="AL17">
        <f>IF(ISNUMBER('Corrected energy balance step 1'!AL24),'Corrected energy balance step 1'!AL24,0)</f>
        <v>0</v>
      </c>
      <c r="AM17">
        <f>IF(ISNUMBER('Corrected energy balance step 1'!AM24),'Corrected energy balance step 1'!AM24,0)</f>
        <v>0</v>
      </c>
      <c r="AN17">
        <f>IF(ISNUMBER('Corrected energy balance step 1'!AN24),'Corrected energy balance step 1'!AN24,0)</f>
        <v>0</v>
      </c>
      <c r="AO17">
        <f>IF(ISNUMBER('Corrected energy balance step 1'!AO24),'Corrected energy balance step 1'!AO24,0)</f>
        <v>0</v>
      </c>
      <c r="AP17">
        <f>IF(ISNUMBER('Corrected energy balance step 1'!AP24),'Corrected energy balance step 1'!AP24,0)</f>
        <v>0</v>
      </c>
      <c r="AQ17">
        <f>IF(ISNUMBER('Corrected energy balance step 1'!AQ24),'Corrected energy balance step 1'!AQ24,0)</f>
        <v>0</v>
      </c>
      <c r="AR17">
        <f>IF(ISNUMBER('Corrected energy balance step 1'!AR24),'Corrected energy balance step 1'!AR24,0)</f>
        <v>0</v>
      </c>
      <c r="AS17" s="229">
        <f>IF(ISNUMBER('Corrected energy balance step 1'!AS24),'Corrected energy balance step 1'!AS24,0)</f>
        <v>0</v>
      </c>
      <c r="AT17">
        <f>IF(ISNUMBER('Corrected energy balance step 1'!AT24),'Corrected energy balance step 1'!AT24,0)</f>
        <v>0</v>
      </c>
      <c r="AU17">
        <f>IF(ISNUMBER('Corrected energy balance step 1'!AU24),'Corrected energy balance step 1'!AU24,0)</f>
        <v>0</v>
      </c>
      <c r="AV17" s="229">
        <f>IF(ISNUMBER('Corrected energy balance step 1'!AV24),'Corrected energy balance step 1'!AV24,0)</f>
        <v>0</v>
      </c>
      <c r="AW17" s="229">
        <f>IF(ISNUMBER('Corrected energy balance step 1'!AW24),'Corrected energy balance step 1'!AW24,0)</f>
        <v>0</v>
      </c>
      <c r="AX17" s="229">
        <f>IF(ISNUMBER('Corrected energy balance step 1'!AX24),'Corrected energy balance step 1'!AX24,0)</f>
        <v>0</v>
      </c>
      <c r="AY17" s="229">
        <f>IF(ISNUMBER('Corrected energy balance step 1'!AY24),'Corrected energy balance step 1'!AY24,0)</f>
        <v>0</v>
      </c>
      <c r="AZ17" s="177">
        <f>IF(ISNUMBER('Corrected energy balance step 1'!AZ24),'Corrected energy balance step 1'!AZ24,0)</f>
        <v>0</v>
      </c>
      <c r="BA17" s="229">
        <f>IF(ISNUMBER('Corrected energy balance step 1'!BA24),'Corrected energy balance step 1'!BA24,0)</f>
        <v>0</v>
      </c>
      <c r="BB17" s="229">
        <f>IF(ISNUMBER('Corrected energy balance step 1'!BB24),'Corrected energy balance step 1'!BB24,0)</f>
        <v>0</v>
      </c>
      <c r="BC17" s="229">
        <f>IF(ISNUMBER('Corrected energy balance step 1'!BC24),'Corrected energy balance step 1'!BC24,0)</f>
        <v>0</v>
      </c>
      <c r="BD17" s="229">
        <f>IF(ISNUMBER('Corrected energy balance step 1'!BD24),'Corrected energy balance step 1'!BD24,0)</f>
        <v>0</v>
      </c>
      <c r="BE17" s="229">
        <f>IF(ISNUMBER('Corrected energy balance step 1'!BE24),'Corrected energy balance step 1'!BE24,0)</f>
        <v>0</v>
      </c>
      <c r="BF17" s="235">
        <f>IF(ISNUMBER('Corrected energy balance step 1'!BF24),'Corrected energy balance step 1'!BF24,0)</f>
        <v>0</v>
      </c>
    </row>
    <row r="18" spans="2:58" x14ac:dyDescent="0.2">
      <c r="B18" s="146" t="s">
        <v>65</v>
      </c>
      <c r="C18" s="204">
        <f t="shared" ref="C18:H18" si="20">IF(SUM($C$16:$H$17,$J$16:$S$17)=0,0,SUM(C16:C17)/SUM($C$16:$H$17,$J$16:$S$17))</f>
        <v>0</v>
      </c>
      <c r="D18" s="205">
        <f t="shared" si="20"/>
        <v>0</v>
      </c>
      <c r="E18" s="205">
        <f t="shared" si="20"/>
        <v>0</v>
      </c>
      <c r="F18" s="205">
        <f t="shared" si="20"/>
        <v>0</v>
      </c>
      <c r="G18" s="205">
        <f t="shared" si="20"/>
        <v>0</v>
      </c>
      <c r="H18" s="205">
        <f t="shared" si="20"/>
        <v>0</v>
      </c>
      <c r="I18" s="230">
        <f>IF(SUM(I16:I17)=0,0,SUM(I16:I17)/SUM(I16:I17))</f>
        <v>0</v>
      </c>
      <c r="J18" s="205">
        <f t="shared" ref="J18:S18" si="21">IF(SUM($C$16:$H$17,$J$16:$S$17)=0,0,SUM(J16:J17)/SUM($C$16:$H$17,$J$16:$S$17))</f>
        <v>0</v>
      </c>
      <c r="K18" s="205">
        <f t="shared" si="21"/>
        <v>0</v>
      </c>
      <c r="L18" s="205">
        <f t="shared" si="21"/>
        <v>0</v>
      </c>
      <c r="M18" s="205">
        <f t="shared" si="21"/>
        <v>0</v>
      </c>
      <c r="N18" s="205">
        <f t="shared" si="21"/>
        <v>0</v>
      </c>
      <c r="O18" s="205"/>
      <c r="P18" s="205"/>
      <c r="Q18" s="205"/>
      <c r="R18" s="205"/>
      <c r="S18" s="205">
        <f t="shared" si="21"/>
        <v>0</v>
      </c>
      <c r="T18" s="230">
        <f>IF(SUM(T16:T17)=0,0,SUM(T16:T17)/SUM(T16:T17))</f>
        <v>0</v>
      </c>
      <c r="U18" s="205">
        <f t="shared" ref="U18:AQ18" si="22">IF(SUM($U$16:$AQ$17)=0,0,SUM(U16:U17)/SUM($U$16:$AQ$17))</f>
        <v>0</v>
      </c>
      <c r="V18" s="205">
        <f t="shared" si="22"/>
        <v>0</v>
      </c>
      <c r="W18" s="205">
        <f t="shared" si="22"/>
        <v>0</v>
      </c>
      <c r="X18" s="205">
        <f t="shared" si="22"/>
        <v>0</v>
      </c>
      <c r="Y18" s="205">
        <f t="shared" si="22"/>
        <v>0</v>
      </c>
      <c r="Z18" s="205">
        <f t="shared" si="22"/>
        <v>0</v>
      </c>
      <c r="AA18" s="205">
        <f t="shared" si="22"/>
        <v>0</v>
      </c>
      <c r="AB18" s="205">
        <f t="shared" si="22"/>
        <v>0</v>
      </c>
      <c r="AC18" s="205">
        <f t="shared" si="22"/>
        <v>0</v>
      </c>
      <c r="AD18" s="205">
        <f t="shared" si="22"/>
        <v>0</v>
      </c>
      <c r="AE18" s="205">
        <f t="shared" si="22"/>
        <v>0</v>
      </c>
      <c r="AF18" s="205">
        <f t="shared" si="22"/>
        <v>0</v>
      </c>
      <c r="AG18" s="205">
        <f t="shared" si="22"/>
        <v>0</v>
      </c>
      <c r="AH18" s="205">
        <f t="shared" si="22"/>
        <v>0</v>
      </c>
      <c r="AI18" s="205">
        <f t="shared" si="22"/>
        <v>0</v>
      </c>
      <c r="AJ18" s="205">
        <f t="shared" si="22"/>
        <v>0</v>
      </c>
      <c r="AK18" s="205">
        <f t="shared" si="22"/>
        <v>0</v>
      </c>
      <c r="AL18" s="205">
        <f t="shared" si="22"/>
        <v>0</v>
      </c>
      <c r="AM18" s="205">
        <f t="shared" si="22"/>
        <v>0</v>
      </c>
      <c r="AN18" s="205">
        <f t="shared" si="22"/>
        <v>0</v>
      </c>
      <c r="AO18" s="205">
        <f t="shared" si="22"/>
        <v>0</v>
      </c>
      <c r="AP18" s="205">
        <f t="shared" si="22"/>
        <v>0</v>
      </c>
      <c r="AQ18" s="205">
        <f t="shared" si="22"/>
        <v>0</v>
      </c>
      <c r="AR18" s="205">
        <f>IF(SUM($AR$16:$AR$17,$AT$16:$AT$17)=0,0,SUM(AR16:AR17)/SUM($AR$16:$AR$17,$AT$16:$AT$17))</f>
        <v>0</v>
      </c>
      <c r="AS18" s="230">
        <f>IF(SUM(AS16:AS17)=0,0,SUM(AS16:AS17)/SUM(AS16:AS17))</f>
        <v>0</v>
      </c>
      <c r="AT18" s="205">
        <f>IF(SUM($AR$16:$AR$17,$AT$16:$AT$17)=0,0,SUM(AT16:AT17)/SUM($AR$16:$AR$17,$AT$16:$AT$17))</f>
        <v>0</v>
      </c>
      <c r="AU18" s="205">
        <f>IF(SUM($AZ$16:$AZ$17,$AU$16:$AU$17)=0,0,SUM(AU16:AU17)/SUM($AZ$16:$AZ$17,$AU$16:$AU$17))</f>
        <v>0</v>
      </c>
      <c r="AV18" s="230">
        <f>IF(SUM(AV16:AV17)=0,0,SUM(AV16:AV17)/SUM(AV16:AV17))</f>
        <v>0</v>
      </c>
      <c r="AW18" s="230"/>
      <c r="AX18" s="230"/>
      <c r="AY18" s="230"/>
      <c r="AZ18" s="205">
        <f>IF(SUM($AZ$16:$AZ$17,$AU$16:$AU$17)=0,0,SUM(AZ16:AZ17)/SUM($AZ$16:$AZ$17,$AU$16:$AU$17))</f>
        <v>0</v>
      </c>
      <c r="BA18" s="236"/>
      <c r="BB18" s="236"/>
      <c r="BC18" s="236"/>
      <c r="BD18" s="236"/>
      <c r="BE18" s="236"/>
      <c r="BF18" s="237"/>
    </row>
    <row r="19" spans="2:58" ht="17" thickBot="1" x14ac:dyDescent="0.25">
      <c r="B19" s="199"/>
      <c r="C19" s="202"/>
      <c r="D19" s="148"/>
      <c r="E19" s="148"/>
      <c r="F19" s="148"/>
      <c r="G19" s="148"/>
      <c r="H19" s="148"/>
      <c r="I19" s="231"/>
      <c r="J19" s="148"/>
      <c r="K19" s="148"/>
      <c r="L19" s="148"/>
      <c r="M19" s="148"/>
      <c r="N19" s="148"/>
      <c r="O19" s="171"/>
      <c r="P19" s="171"/>
      <c r="Q19" s="171"/>
      <c r="R19" s="171"/>
      <c r="S19" s="203"/>
      <c r="T19" s="231"/>
      <c r="U19" s="148"/>
      <c r="V19" s="148"/>
      <c r="W19" s="148"/>
      <c r="X19" s="148"/>
      <c r="Y19" s="148"/>
      <c r="Z19" s="148"/>
      <c r="AA19" s="148"/>
      <c r="AB19" s="148"/>
      <c r="AC19" s="148"/>
      <c r="AD19" s="148"/>
      <c r="AE19" s="148"/>
      <c r="AF19" s="148"/>
      <c r="AG19" s="148"/>
      <c r="AH19" s="148"/>
      <c r="AI19" s="148"/>
      <c r="AJ19" s="148"/>
      <c r="AK19" s="148"/>
      <c r="AL19" s="148"/>
      <c r="AM19" s="148"/>
      <c r="AN19" s="148"/>
      <c r="AO19" s="148"/>
      <c r="AP19" s="148"/>
      <c r="AQ19" s="148"/>
      <c r="AR19" s="200"/>
      <c r="AS19" s="231"/>
      <c r="AT19" s="200"/>
      <c r="AU19" s="148"/>
      <c r="AV19" s="231"/>
      <c r="AW19" s="231"/>
      <c r="AX19" s="231"/>
      <c r="AY19" s="231"/>
      <c r="AZ19" s="171"/>
      <c r="BA19" s="238"/>
      <c r="BB19" s="239"/>
      <c r="BC19" s="239"/>
      <c r="BD19" s="239"/>
      <c r="BE19" s="239"/>
      <c r="BF19" s="240"/>
    </row>
    <row r="1048529" spans="50:50" x14ac:dyDescent="0.2">
      <c r="AX1048529" s="47" t="s">
        <v>228</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theme="8" tint="0.39997558519241921"/>
  </sheetPr>
  <dimension ref="B2:L142"/>
  <sheetViews>
    <sheetView topLeftCell="A29" workbookViewId="0">
      <selection activeCell="E50" sqref="E50"/>
    </sheetView>
  </sheetViews>
  <sheetFormatPr baseColWidth="10" defaultRowHeight="16" x14ac:dyDescent="0.2"/>
  <cols>
    <col min="1" max="1" width="10.83203125" style="2"/>
    <col min="2" max="2" width="21.5" style="2" customWidth="1"/>
    <col min="3" max="10" width="19" style="2" customWidth="1"/>
    <col min="11" max="11" width="3.83203125" style="2" customWidth="1"/>
    <col min="12" max="12" width="39.1640625" style="2" bestFit="1" customWidth="1"/>
    <col min="13" max="16384" width="10.83203125" style="2"/>
  </cols>
  <sheetData>
    <row r="2" spans="2:12" ht="21" x14ac:dyDescent="0.25">
      <c r="B2" s="20" t="s">
        <v>321</v>
      </c>
    </row>
    <row r="4" spans="2:12" x14ac:dyDescent="0.2">
      <c r="B4" s="3" t="s">
        <v>37</v>
      </c>
      <c r="C4" s="4"/>
      <c r="D4" s="4"/>
      <c r="E4" s="5"/>
    </row>
    <row r="5" spans="2:12" ht="46" customHeight="1" x14ac:dyDescent="0.2">
      <c r="B5" s="622" t="s">
        <v>473</v>
      </c>
      <c r="C5" s="623"/>
      <c r="D5" s="623"/>
      <c r="E5" s="624"/>
    </row>
    <row r="6" spans="2:12" ht="17" thickBot="1" x14ac:dyDescent="0.25"/>
    <row r="7" spans="2:12" x14ac:dyDescent="0.2">
      <c r="B7" s="64" t="s">
        <v>210</v>
      </c>
      <c r="C7" s="82"/>
      <c r="D7" s="82"/>
      <c r="E7" s="82"/>
      <c r="F7" s="82"/>
      <c r="G7" s="82"/>
      <c r="H7" s="82"/>
      <c r="I7" s="82"/>
      <c r="J7" s="82"/>
      <c r="K7" s="82"/>
      <c r="L7" s="66"/>
    </row>
    <row r="8" spans="2:12" x14ac:dyDescent="0.2">
      <c r="B8" s="67"/>
      <c r="L8" s="68"/>
    </row>
    <row r="9" spans="2:12" ht="34" x14ac:dyDescent="0.2">
      <c r="B9" s="90" t="s">
        <v>38</v>
      </c>
      <c r="C9" s="62" t="s">
        <v>39</v>
      </c>
      <c r="D9" s="456" t="s">
        <v>630</v>
      </c>
      <c r="E9" s="456" t="s">
        <v>631</v>
      </c>
      <c r="F9" s="457"/>
      <c r="G9" s="457"/>
      <c r="H9" s="456"/>
      <c r="I9" s="457"/>
      <c r="J9" s="458"/>
      <c r="K9" s="456"/>
      <c r="L9" s="459" t="s">
        <v>17</v>
      </c>
    </row>
    <row r="10" spans="2:12" x14ac:dyDescent="0.2">
      <c r="B10" s="113" t="s">
        <v>321</v>
      </c>
      <c r="C10" s="51"/>
      <c r="D10"/>
      <c r="E10"/>
      <c r="J10" s="8"/>
      <c r="L10" s="68"/>
    </row>
    <row r="11" spans="2:12" x14ac:dyDescent="0.2">
      <c r="B11" s="113"/>
      <c r="C11" s="51" t="s">
        <v>40</v>
      </c>
      <c r="D11" s="323">
        <f>'Fuel aggregation PP'!D55</f>
        <v>0</v>
      </c>
      <c r="E11" s="323"/>
      <c r="J11" s="8"/>
      <c r="L11" s="68" t="s">
        <v>662</v>
      </c>
    </row>
    <row r="12" spans="2:12" x14ac:dyDescent="0.2">
      <c r="B12" s="113"/>
      <c r="C12" s="51" t="s">
        <v>953</v>
      </c>
      <c r="D12" s="323">
        <f>'Fuel aggregation PP'!D56</f>
        <v>0</v>
      </c>
      <c r="E12" s="323"/>
      <c r="J12" s="8"/>
      <c r="L12" s="68"/>
    </row>
    <row r="13" spans="2:12" x14ac:dyDescent="0.2">
      <c r="B13" s="113"/>
      <c r="C13" s="51" t="s">
        <v>140</v>
      </c>
      <c r="D13" s="323">
        <f>'Fuel aggregation PP'!D57</f>
        <v>0</v>
      </c>
      <c r="E13" s="323"/>
      <c r="J13" s="8"/>
      <c r="L13" s="68"/>
    </row>
    <row r="14" spans="2:12" x14ac:dyDescent="0.2">
      <c r="B14" s="113"/>
      <c r="C14" s="51" t="s">
        <v>41</v>
      </c>
      <c r="D14" s="323">
        <f>'Fuel aggregation PP'!D58</f>
        <v>0</v>
      </c>
      <c r="E14" s="323"/>
      <c r="J14" s="8"/>
      <c r="L14" s="68"/>
    </row>
    <row r="15" spans="2:12" x14ac:dyDescent="0.2">
      <c r="B15" s="113"/>
      <c r="C15" s="51" t="s">
        <v>42</v>
      </c>
      <c r="D15" s="323">
        <f>'Fuel aggregation PP'!D59</f>
        <v>0</v>
      </c>
      <c r="E15" s="323"/>
      <c r="J15" s="8"/>
      <c r="L15" s="68"/>
    </row>
    <row r="16" spans="2:12" x14ac:dyDescent="0.2">
      <c r="B16" s="113"/>
      <c r="C16" s="51" t="s">
        <v>315</v>
      </c>
      <c r="D16" s="323">
        <f>'Fuel aggregation PP'!D60</f>
        <v>0</v>
      </c>
      <c r="E16" s="323"/>
      <c r="J16" s="8"/>
      <c r="L16" s="68"/>
    </row>
    <row r="17" spans="2:12" x14ac:dyDescent="0.2">
      <c r="B17" s="113"/>
      <c r="C17" s="63" t="s">
        <v>221</v>
      </c>
      <c r="D17" s="323">
        <f>'Fuel aggregation PP'!D61</f>
        <v>0</v>
      </c>
      <c r="E17" s="323"/>
      <c r="J17" s="8"/>
      <c r="L17" s="68"/>
    </row>
    <row r="18" spans="2:12" x14ac:dyDescent="0.2">
      <c r="B18" s="113"/>
      <c r="C18" s="63" t="s">
        <v>222</v>
      </c>
      <c r="D18" s="323">
        <f>'Fuel aggregation PP'!D62</f>
        <v>0</v>
      </c>
      <c r="E18" s="323"/>
      <c r="J18" s="8"/>
      <c r="L18" s="68"/>
    </row>
    <row r="19" spans="2:12" x14ac:dyDescent="0.2">
      <c r="B19" s="113"/>
      <c r="C19" s="280" t="s">
        <v>482</v>
      </c>
      <c r="D19" s="323">
        <f>'Fuel aggregation PP'!D63</f>
        <v>0</v>
      </c>
      <c r="E19" s="323"/>
      <c r="J19" s="8"/>
      <c r="L19" s="68"/>
    </row>
    <row r="20" spans="2:12" x14ac:dyDescent="0.2">
      <c r="B20" s="113"/>
      <c r="C20" s="191" t="s">
        <v>201</v>
      </c>
      <c r="D20" s="323">
        <f>'Fuel aggregation PP'!D64</f>
        <v>0</v>
      </c>
      <c r="E20" s="323"/>
      <c r="J20" s="8"/>
      <c r="L20" s="68" t="s">
        <v>661</v>
      </c>
    </row>
    <row r="21" spans="2:12" x14ac:dyDescent="0.2">
      <c r="B21" s="113"/>
      <c r="C21" s="191" t="s">
        <v>187</v>
      </c>
      <c r="D21" s="323">
        <f>'Fuel aggregation PP'!D65</f>
        <v>0</v>
      </c>
      <c r="E21" s="323"/>
      <c r="J21" s="8"/>
      <c r="L21" s="68"/>
    </row>
    <row r="22" spans="2:12" x14ac:dyDescent="0.2">
      <c r="B22" s="113"/>
      <c r="C22" s="191" t="s">
        <v>193</v>
      </c>
      <c r="D22" s="323">
        <f>'Fuel aggregation PP'!D66</f>
        <v>0</v>
      </c>
      <c r="E22" s="323"/>
      <c r="J22" s="8"/>
      <c r="L22" s="68"/>
    </row>
    <row r="23" spans="2:12" x14ac:dyDescent="0.2">
      <c r="B23" s="113"/>
      <c r="C23" s="63" t="s">
        <v>188</v>
      </c>
      <c r="D23" s="323">
        <f>'Fuel aggregation PP'!D67</f>
        <v>0</v>
      </c>
      <c r="E23" s="323"/>
      <c r="J23" s="8"/>
      <c r="L23" s="68"/>
    </row>
    <row r="24" spans="2:12" x14ac:dyDescent="0.2">
      <c r="B24" s="113"/>
      <c r="C24" s="63" t="s">
        <v>189</v>
      </c>
      <c r="D24" s="323">
        <f>'Fuel aggregation PP'!D68</f>
        <v>0</v>
      </c>
      <c r="E24" s="323"/>
      <c r="J24" s="8"/>
      <c r="L24" s="68"/>
    </row>
    <row r="25" spans="2:12" x14ac:dyDescent="0.2">
      <c r="B25" s="113"/>
      <c r="C25" s="63" t="s">
        <v>323</v>
      </c>
      <c r="D25" s="323">
        <f>'Fuel aggregation PP'!D69</f>
        <v>0</v>
      </c>
      <c r="E25" s="323"/>
      <c r="J25" s="8"/>
      <c r="L25" s="68"/>
    </row>
    <row r="26" spans="2:12" x14ac:dyDescent="0.2">
      <c r="B26" s="113"/>
      <c r="C26" s="63" t="s">
        <v>191</v>
      </c>
      <c r="D26" s="323">
        <f>'Fuel aggregation PP'!D70</f>
        <v>0</v>
      </c>
      <c r="E26" s="323"/>
      <c r="J26" s="8"/>
      <c r="L26" s="68"/>
    </row>
    <row r="27" spans="2:12" ht="17" thickBot="1" x14ac:dyDescent="0.25">
      <c r="B27" s="113"/>
      <c r="C27" s="116" t="s">
        <v>226</v>
      </c>
      <c r="D27" s="325">
        <f>'Fuel aggregation PP'!D71</f>
        <v>0</v>
      </c>
      <c r="E27" s="325"/>
      <c r="F27" s="483"/>
      <c r="G27" s="483"/>
      <c r="H27" s="483"/>
      <c r="I27" s="483"/>
      <c r="J27" s="463"/>
      <c r="L27" s="68"/>
    </row>
    <row r="28" spans="2:12" ht="17" thickTop="1" x14ac:dyDescent="0.2">
      <c r="B28" s="225"/>
      <c r="C28" s="11"/>
      <c r="D28" s="510"/>
      <c r="E28" s="510"/>
      <c r="F28" s="10"/>
      <c r="G28" s="10"/>
      <c r="H28" s="10"/>
      <c r="I28" s="10"/>
      <c r="J28" s="11"/>
      <c r="K28" s="10"/>
      <c r="L28" s="73"/>
    </row>
    <row r="29" spans="2:12" x14ac:dyDescent="0.2">
      <c r="B29" s="113" t="s">
        <v>367</v>
      </c>
      <c r="C29" s="51"/>
      <c r="D29" s="323"/>
      <c r="E29" s="323"/>
      <c r="J29" s="8"/>
      <c r="L29" s="68"/>
    </row>
    <row r="30" spans="2:12" x14ac:dyDescent="0.2">
      <c r="B30" s="113"/>
      <c r="C30" s="51" t="s">
        <v>40</v>
      </c>
      <c r="D30" s="324">
        <f>D31</f>
        <v>0</v>
      </c>
      <c r="E30" s="324" t="e">
        <f>D30/all_technical_specs!H14</f>
        <v>#DIV/0!</v>
      </c>
      <c r="H30" s="151"/>
      <c r="J30" s="8"/>
      <c r="L30" s="68"/>
    </row>
    <row r="31" spans="2:12" x14ac:dyDescent="0.2">
      <c r="B31" s="113"/>
      <c r="C31" s="51" t="s">
        <v>201</v>
      </c>
      <c r="D31" s="324">
        <f>D20</f>
        <v>0</v>
      </c>
      <c r="E31" s="324" t="e">
        <f>D31/all_technical_specs!H14</f>
        <v>#DIV/0!</v>
      </c>
      <c r="J31" s="8"/>
      <c r="L31" s="68"/>
    </row>
    <row r="32" spans="2:12" ht="17" thickBot="1" x14ac:dyDescent="0.25">
      <c r="B32" s="113"/>
      <c r="C32" s="116" t="s">
        <v>226</v>
      </c>
      <c r="D32" s="334">
        <f>SUM(D30:D31)</f>
        <v>0</v>
      </c>
      <c r="E32" s="334" t="e">
        <f>SUM(E30:E31)</f>
        <v>#DIV/0!</v>
      </c>
      <c r="J32" s="8"/>
      <c r="L32" s="68"/>
    </row>
    <row r="33" spans="2:12" ht="17" thickTop="1" x14ac:dyDescent="0.2">
      <c r="B33" s="113"/>
      <c r="C33" s="8"/>
      <c r="D33" s="471"/>
      <c r="E33" s="471"/>
      <c r="H33" s="151"/>
      <c r="J33" s="8"/>
      <c r="L33" s="68"/>
    </row>
    <row r="34" spans="2:12" x14ac:dyDescent="0.2">
      <c r="B34" s="113" t="s">
        <v>386</v>
      </c>
      <c r="C34"/>
      <c r="D34" s="335"/>
      <c r="E34" s="324"/>
      <c r="H34" s="151"/>
      <c r="J34" s="8"/>
      <c r="L34" s="68"/>
    </row>
    <row r="35" spans="2:12" x14ac:dyDescent="0.2">
      <c r="B35" s="113"/>
      <c r="C35" t="s">
        <v>40</v>
      </c>
      <c r="D35" s="335">
        <f>(D11+D31)*Dashboard!E24</f>
        <v>0</v>
      </c>
      <c r="E35" s="324" t="e">
        <f>D35/all_technical_specs!H11</f>
        <v>#DIV/0!</v>
      </c>
      <c r="H35" s="151"/>
      <c r="K35" s="14"/>
      <c r="L35" s="68"/>
    </row>
    <row r="36" spans="2:12" x14ac:dyDescent="0.2">
      <c r="B36" s="113"/>
      <c r="D36" s="514"/>
      <c r="E36" s="471"/>
      <c r="K36" s="14"/>
      <c r="L36" s="68"/>
    </row>
    <row r="37" spans="2:12" x14ac:dyDescent="0.2">
      <c r="B37" s="113" t="s">
        <v>346</v>
      </c>
      <c r="C37"/>
      <c r="D37" s="335"/>
      <c r="E37" s="324"/>
      <c r="K37" s="14"/>
      <c r="L37" s="68"/>
    </row>
    <row r="38" spans="2:12" x14ac:dyDescent="0.2">
      <c r="B38" s="113"/>
      <c r="C38" t="s">
        <v>40</v>
      </c>
      <c r="D38" s="335">
        <f>(D11+D31)*Dashboard!E20</f>
        <v>0</v>
      </c>
      <c r="E38" s="324" t="e">
        <f>D38/all_technical_specs!H12</f>
        <v>#DIV/0!</v>
      </c>
      <c r="H38" s="151"/>
      <c r="K38" s="14"/>
      <c r="L38" s="68"/>
    </row>
    <row r="39" spans="2:12" x14ac:dyDescent="0.2">
      <c r="B39" s="113"/>
      <c r="D39" s="514"/>
      <c r="E39" s="471"/>
      <c r="K39" s="14"/>
      <c r="L39" s="68"/>
    </row>
    <row r="40" spans="2:12" x14ac:dyDescent="0.2">
      <c r="B40" s="113" t="s">
        <v>347</v>
      </c>
      <c r="C40"/>
      <c r="D40" s="335"/>
      <c r="E40" s="324"/>
      <c r="K40" s="14"/>
      <c r="L40" s="68"/>
    </row>
    <row r="41" spans="2:12" x14ac:dyDescent="0.2">
      <c r="B41" s="113"/>
      <c r="C41" t="s">
        <v>40</v>
      </c>
      <c r="D41" s="335">
        <f>(D11+D31)*Dashboard!E21</f>
        <v>0</v>
      </c>
      <c r="E41" s="324" t="e">
        <f>D41/all_technical_specs!H13</f>
        <v>#DIV/0!</v>
      </c>
      <c r="H41" s="151"/>
      <c r="K41" s="14"/>
      <c r="L41" s="68"/>
    </row>
    <row r="42" spans="2:12" x14ac:dyDescent="0.2">
      <c r="B42" s="67"/>
      <c r="D42" s="514"/>
      <c r="E42" s="471"/>
      <c r="F42" s="151"/>
      <c r="G42" s="151"/>
      <c r="H42" s="151"/>
      <c r="I42" s="151"/>
      <c r="J42" s="151"/>
      <c r="K42" s="14"/>
      <c r="L42" s="68"/>
    </row>
    <row r="43" spans="2:12" x14ac:dyDescent="0.2">
      <c r="B43" s="87" t="s">
        <v>348</v>
      </c>
      <c r="C43"/>
      <c r="D43" s="335"/>
      <c r="E43" s="324"/>
      <c r="F43" s="151"/>
      <c r="G43" s="151"/>
      <c r="H43" s="151"/>
      <c r="I43" s="151"/>
      <c r="J43" s="151"/>
      <c r="K43" s="14"/>
      <c r="L43" s="68"/>
    </row>
    <row r="44" spans="2:12" x14ac:dyDescent="0.2">
      <c r="B44" s="67"/>
      <c r="C44" t="s">
        <v>40</v>
      </c>
      <c r="D44" s="335">
        <f>(D11+D31)*Dashboard!E22</f>
        <v>0</v>
      </c>
      <c r="E44" s="324" t="e">
        <f>D44/all_technical_specs!H15</f>
        <v>#DIV/0!</v>
      </c>
      <c r="F44" s="151"/>
      <c r="G44" s="151"/>
      <c r="H44" s="151"/>
      <c r="I44" s="151"/>
      <c r="J44" s="151"/>
      <c r="K44" s="14"/>
      <c r="L44" s="68"/>
    </row>
    <row r="45" spans="2:12" x14ac:dyDescent="0.2">
      <c r="B45" s="87"/>
      <c r="D45" s="514"/>
      <c r="E45" s="471"/>
      <c r="F45" s="151"/>
      <c r="G45" s="151"/>
      <c r="H45" s="151"/>
      <c r="I45" s="151"/>
      <c r="J45" s="151"/>
      <c r="K45" s="14"/>
      <c r="L45" s="68"/>
    </row>
    <row r="46" spans="2:12" x14ac:dyDescent="0.2">
      <c r="B46" s="87" t="s">
        <v>349</v>
      </c>
      <c r="C46"/>
      <c r="D46" s="335"/>
      <c r="E46" s="324"/>
      <c r="F46" s="151"/>
      <c r="G46" s="151"/>
      <c r="H46" s="151"/>
      <c r="I46" s="151"/>
      <c r="J46" s="151"/>
      <c r="K46" s="14"/>
      <c r="L46" s="68"/>
    </row>
    <row r="47" spans="2:12" x14ac:dyDescent="0.2">
      <c r="B47" s="87"/>
      <c r="C47" t="s">
        <v>40</v>
      </c>
      <c r="D47" s="335">
        <f>(D11+D30)*Dashboard!E23</f>
        <v>0</v>
      </c>
      <c r="E47" s="324" t="e">
        <f>D47/all_technical_specs!H16</f>
        <v>#DIV/0!</v>
      </c>
      <c r="F47" s="151"/>
      <c r="G47" s="151"/>
      <c r="H47" s="151"/>
      <c r="I47" s="151"/>
      <c r="J47" s="151"/>
      <c r="K47" s="14"/>
      <c r="L47" s="68"/>
    </row>
    <row r="48" spans="2:12" x14ac:dyDescent="0.2">
      <c r="B48" s="87"/>
      <c r="D48" s="514"/>
      <c r="E48" s="471"/>
      <c r="F48" s="151"/>
      <c r="G48" s="151"/>
      <c r="H48" s="151"/>
      <c r="I48" s="151"/>
      <c r="J48" s="151"/>
      <c r="K48" s="14"/>
      <c r="L48" s="68"/>
    </row>
    <row r="49" spans="2:12" x14ac:dyDescent="0.2">
      <c r="B49" s="87" t="s">
        <v>954</v>
      </c>
      <c r="C49"/>
      <c r="D49" s="335"/>
      <c r="E49" s="324"/>
      <c r="F49" s="151"/>
      <c r="G49" s="151"/>
      <c r="H49" s="151"/>
      <c r="I49" s="151"/>
      <c r="J49" s="151"/>
      <c r="K49" s="14"/>
      <c r="L49" s="68"/>
    </row>
    <row r="50" spans="2:12" x14ac:dyDescent="0.2">
      <c r="B50" s="87"/>
      <c r="C50" t="s">
        <v>953</v>
      </c>
      <c r="D50" s="335">
        <f>D12</f>
        <v>0</v>
      </c>
      <c r="E50" s="324">
        <f>D50/all_technical_specs!H17</f>
        <v>0</v>
      </c>
      <c r="F50" s="151"/>
      <c r="G50" s="151"/>
      <c r="H50" s="151"/>
      <c r="I50" s="151"/>
      <c r="J50" s="151"/>
      <c r="K50" s="14"/>
      <c r="L50" s="68"/>
    </row>
    <row r="51" spans="2:12" x14ac:dyDescent="0.2">
      <c r="B51" s="87"/>
      <c r="D51" s="514"/>
      <c r="E51" s="471"/>
      <c r="F51" s="151"/>
      <c r="G51" s="151"/>
      <c r="H51" s="151"/>
      <c r="I51" s="151"/>
      <c r="J51" s="151"/>
      <c r="K51" s="14"/>
      <c r="L51" s="68"/>
    </row>
    <row r="52" spans="2:12" x14ac:dyDescent="0.2">
      <c r="B52" s="87" t="s">
        <v>350</v>
      </c>
      <c r="C52"/>
      <c r="D52" s="335"/>
      <c r="E52" s="324"/>
      <c r="F52" s="151"/>
      <c r="G52" s="151"/>
      <c r="H52" s="151"/>
      <c r="I52" s="151"/>
      <c r="J52" s="151"/>
      <c r="K52" s="14"/>
      <c r="L52" s="68"/>
    </row>
    <row r="53" spans="2:12" x14ac:dyDescent="0.2">
      <c r="B53" s="87"/>
      <c r="C53" t="s">
        <v>140</v>
      </c>
      <c r="D53" s="335">
        <f>D13*Dashboard!E28</f>
        <v>0</v>
      </c>
      <c r="E53" s="324" t="e">
        <f>D53/all_technical_specs!H18</f>
        <v>#DIV/0!</v>
      </c>
      <c r="F53" s="151"/>
      <c r="G53" s="151"/>
      <c r="H53" s="151"/>
      <c r="I53" s="151"/>
      <c r="J53" s="151"/>
      <c r="K53" s="14"/>
      <c r="L53" s="68"/>
    </row>
    <row r="54" spans="2:12" x14ac:dyDescent="0.2">
      <c r="B54" s="87"/>
      <c r="D54" s="514"/>
      <c r="E54" s="471"/>
      <c r="F54" s="151"/>
      <c r="G54" s="151"/>
      <c r="H54" s="151"/>
      <c r="I54" s="151"/>
      <c r="J54" s="151"/>
      <c r="K54" s="14"/>
      <c r="L54" s="68"/>
    </row>
    <row r="55" spans="2:12" x14ac:dyDescent="0.2">
      <c r="B55" s="87" t="s">
        <v>387</v>
      </c>
      <c r="C55"/>
      <c r="D55" s="335"/>
      <c r="E55" s="324"/>
      <c r="F55" s="151"/>
      <c r="G55" s="151"/>
      <c r="H55" s="151"/>
      <c r="I55" s="151"/>
      <c r="J55" s="151"/>
      <c r="K55" s="14"/>
      <c r="L55" s="68"/>
    </row>
    <row r="56" spans="2:12" x14ac:dyDescent="0.2">
      <c r="B56" s="87"/>
      <c r="C56" t="s">
        <v>140</v>
      </c>
      <c r="D56" s="335">
        <f>D13*Dashboard!E29</f>
        <v>0</v>
      </c>
      <c r="E56" s="324" t="e">
        <f>D56/all_technical_specs!H19</f>
        <v>#DIV/0!</v>
      </c>
      <c r="F56" s="151"/>
      <c r="G56" s="151"/>
      <c r="H56" s="151"/>
      <c r="I56" s="151"/>
      <c r="J56" s="151"/>
      <c r="K56" s="14"/>
      <c r="L56" s="68"/>
    </row>
    <row r="57" spans="2:12" x14ac:dyDescent="0.2">
      <c r="B57" s="87"/>
      <c r="D57" s="514"/>
      <c r="E57" s="471"/>
      <c r="F57" s="151"/>
      <c r="G57" s="151"/>
      <c r="H57" s="151"/>
      <c r="I57" s="151"/>
      <c r="J57" s="151"/>
      <c r="K57" s="14"/>
      <c r="L57" s="68"/>
    </row>
    <row r="58" spans="2:12" x14ac:dyDescent="0.2">
      <c r="B58" s="87" t="s">
        <v>691</v>
      </c>
      <c r="C58"/>
      <c r="D58" s="335"/>
      <c r="E58" s="324"/>
      <c r="F58" s="151"/>
      <c r="G58" s="151"/>
      <c r="H58" s="151"/>
      <c r="I58" s="151"/>
      <c r="J58" s="151"/>
      <c r="K58" s="14"/>
      <c r="L58" s="68"/>
    </row>
    <row r="59" spans="2:12" x14ac:dyDescent="0.2">
      <c r="B59" s="87"/>
      <c r="C59" t="s">
        <v>41</v>
      </c>
      <c r="D59" s="335">
        <f>D14*Dashboard!E36</f>
        <v>0</v>
      </c>
      <c r="E59" s="324" t="e">
        <f>D59/all_technical_specs!H20</f>
        <v>#DIV/0!</v>
      </c>
      <c r="F59" s="151"/>
      <c r="G59" s="151"/>
      <c r="H59" s="151"/>
      <c r="I59" s="151"/>
      <c r="J59" s="151"/>
      <c r="K59" s="14"/>
      <c r="L59" s="68"/>
    </row>
    <row r="60" spans="2:12" x14ac:dyDescent="0.2">
      <c r="B60" s="87"/>
      <c r="C60" s="280" t="s">
        <v>482</v>
      </c>
      <c r="D60" s="335">
        <f>D19*Dashboard!E36</f>
        <v>0</v>
      </c>
      <c r="E60" s="324" t="e">
        <f>D60/all_technical_specs!H20</f>
        <v>#DIV/0!</v>
      </c>
      <c r="F60" s="151"/>
      <c r="G60" s="151"/>
      <c r="H60" s="151"/>
      <c r="I60" s="151"/>
      <c r="J60" s="151"/>
      <c r="K60" s="14"/>
      <c r="L60" s="68"/>
    </row>
    <row r="61" spans="2:12" ht="17" thickBot="1" x14ac:dyDescent="0.25">
      <c r="B61" s="87"/>
      <c r="C61" s="116" t="s">
        <v>226</v>
      </c>
      <c r="D61" s="334">
        <f>SUM(D59:D60)</f>
        <v>0</v>
      </c>
      <c r="E61" s="334" t="e">
        <f>SUM(E59:E60)</f>
        <v>#DIV/0!</v>
      </c>
      <c r="F61" s="151"/>
      <c r="G61" s="151"/>
      <c r="H61" s="151"/>
      <c r="I61" s="151"/>
      <c r="J61" s="151"/>
      <c r="K61" s="14"/>
      <c r="L61" s="68"/>
    </row>
    <row r="62" spans="2:12" ht="17" thickTop="1" x14ac:dyDescent="0.2">
      <c r="B62" s="87"/>
      <c r="D62" s="514"/>
      <c r="E62" s="471"/>
      <c r="F62" s="151"/>
      <c r="G62" s="151"/>
      <c r="H62" s="151"/>
      <c r="I62" s="151"/>
      <c r="J62" s="151"/>
      <c r="K62" s="14"/>
      <c r="L62" s="68"/>
    </row>
    <row r="63" spans="2:12" x14ac:dyDescent="0.2">
      <c r="B63" s="87" t="s">
        <v>352</v>
      </c>
      <c r="C63"/>
      <c r="D63" s="335"/>
      <c r="E63" s="324"/>
      <c r="F63" s="151"/>
      <c r="G63" s="151"/>
      <c r="H63" s="151"/>
      <c r="I63" s="151"/>
      <c r="J63" s="151"/>
      <c r="K63" s="14"/>
      <c r="L63" s="68"/>
    </row>
    <row r="64" spans="2:12" x14ac:dyDescent="0.2">
      <c r="B64" s="87"/>
      <c r="C64" t="s">
        <v>41</v>
      </c>
      <c r="D64" s="335">
        <f>D14*Dashboard!E33</f>
        <v>0</v>
      </c>
      <c r="E64" s="324" t="e">
        <f>D64/all_technical_specs!H21</f>
        <v>#DIV/0!</v>
      </c>
      <c r="F64" s="151"/>
      <c r="G64" s="151"/>
      <c r="H64" s="151"/>
      <c r="I64" s="151"/>
      <c r="J64" s="151"/>
      <c r="K64" s="14"/>
      <c r="L64" s="68"/>
    </row>
    <row r="65" spans="2:12" x14ac:dyDescent="0.2">
      <c r="B65" s="87"/>
      <c r="C65" s="280" t="s">
        <v>482</v>
      </c>
      <c r="D65" s="335">
        <f>D19*Dashboard!E33</f>
        <v>0</v>
      </c>
      <c r="E65" s="324" t="e">
        <f>D65/all_technical_specs!H21</f>
        <v>#DIV/0!</v>
      </c>
      <c r="F65" s="151"/>
      <c r="G65" s="151"/>
      <c r="H65" s="151"/>
      <c r="I65" s="151"/>
      <c r="J65" s="151"/>
      <c r="K65" s="14"/>
      <c r="L65" s="68"/>
    </row>
    <row r="66" spans="2:12" ht="17" thickBot="1" x14ac:dyDescent="0.25">
      <c r="B66" s="87"/>
      <c r="C66" s="116" t="s">
        <v>226</v>
      </c>
      <c r="D66" s="334">
        <f>SUM(D64:D65)</f>
        <v>0</v>
      </c>
      <c r="E66" s="334" t="e">
        <f>SUM(E64:E65)</f>
        <v>#DIV/0!</v>
      </c>
      <c r="F66" s="151"/>
      <c r="G66" s="151"/>
      <c r="H66" s="151"/>
      <c r="I66" s="151"/>
      <c r="J66" s="151"/>
      <c r="K66" s="14"/>
      <c r="L66" s="68"/>
    </row>
    <row r="67" spans="2:12" ht="17" thickTop="1" x14ac:dyDescent="0.2">
      <c r="B67" s="87"/>
      <c r="D67" s="514"/>
      <c r="E67" s="471"/>
      <c r="F67" s="151"/>
      <c r="G67" s="151"/>
      <c r="H67" s="151"/>
      <c r="I67" s="151"/>
      <c r="J67" s="151"/>
      <c r="K67" s="14"/>
      <c r="L67" s="68"/>
    </row>
    <row r="68" spans="2:12" x14ac:dyDescent="0.2">
      <c r="B68" s="87" t="s">
        <v>353</v>
      </c>
      <c r="C68"/>
      <c r="D68" s="335"/>
      <c r="E68" s="324"/>
      <c r="F68" s="151"/>
      <c r="G68" s="151"/>
      <c r="H68" s="151"/>
      <c r="I68" s="151"/>
      <c r="J68" s="151"/>
      <c r="K68" s="14"/>
      <c r="L68" s="68"/>
    </row>
    <row r="69" spans="2:12" x14ac:dyDescent="0.2">
      <c r="B69" s="87"/>
      <c r="C69" t="s">
        <v>41</v>
      </c>
      <c r="D69" s="335">
        <f>D14*Dashboard!E34</f>
        <v>0</v>
      </c>
      <c r="E69" s="324" t="e">
        <f>D69/all_technical_specs!H22</f>
        <v>#DIV/0!</v>
      </c>
      <c r="F69" s="151"/>
      <c r="G69" s="151"/>
      <c r="H69" s="151"/>
      <c r="I69" s="151"/>
      <c r="J69" s="151"/>
      <c r="K69" s="14"/>
      <c r="L69" s="68"/>
    </row>
    <row r="70" spans="2:12" x14ac:dyDescent="0.2">
      <c r="B70" s="87"/>
      <c r="C70" s="280" t="s">
        <v>482</v>
      </c>
      <c r="D70" s="335">
        <f>D19*Dashboard!E34</f>
        <v>0</v>
      </c>
      <c r="E70" s="324" t="e">
        <f>D70/all_technical_specs!H22</f>
        <v>#DIV/0!</v>
      </c>
      <c r="F70" s="151"/>
      <c r="G70" s="151"/>
      <c r="H70" s="151"/>
      <c r="I70" s="151"/>
      <c r="J70" s="151"/>
      <c r="K70" s="14"/>
      <c r="L70" s="68"/>
    </row>
    <row r="71" spans="2:12" ht="17" thickBot="1" x14ac:dyDescent="0.25">
      <c r="B71" s="87"/>
      <c r="C71" s="116" t="s">
        <v>226</v>
      </c>
      <c r="D71" s="334">
        <f>SUM(D69:D70)</f>
        <v>0</v>
      </c>
      <c r="E71" s="334" t="e">
        <f>SUM(E69:E70)</f>
        <v>#DIV/0!</v>
      </c>
      <c r="F71" s="151"/>
      <c r="G71" s="151"/>
      <c r="H71" s="151"/>
      <c r="I71" s="151"/>
      <c r="J71" s="151"/>
      <c r="K71" s="14"/>
      <c r="L71" s="68"/>
    </row>
    <row r="72" spans="2:12" ht="17" thickTop="1" x14ac:dyDescent="0.2">
      <c r="B72" s="87"/>
      <c r="D72" s="514"/>
      <c r="E72" s="471"/>
      <c r="F72" s="151"/>
      <c r="G72" s="151"/>
      <c r="H72" s="151"/>
      <c r="I72" s="151"/>
      <c r="J72" s="151"/>
      <c r="K72" s="14"/>
      <c r="L72" s="68"/>
    </row>
    <row r="73" spans="2:12" x14ac:dyDescent="0.2">
      <c r="B73" s="87" t="s">
        <v>354</v>
      </c>
      <c r="C73"/>
      <c r="D73" s="335"/>
      <c r="E73" s="324"/>
      <c r="F73" s="151"/>
      <c r="G73" s="151"/>
      <c r="H73" s="151"/>
      <c r="I73" s="151"/>
      <c r="J73" s="151"/>
      <c r="K73" s="14"/>
      <c r="L73" s="68"/>
    </row>
    <row r="74" spans="2:12" x14ac:dyDescent="0.2">
      <c r="B74" s="87"/>
      <c r="C74" t="s">
        <v>41</v>
      </c>
      <c r="D74" s="335">
        <f>D14*Dashboard!E35</f>
        <v>0</v>
      </c>
      <c r="E74" s="324" t="e">
        <f>D74/all_technical_specs!H23</f>
        <v>#DIV/0!</v>
      </c>
      <c r="F74" s="151"/>
      <c r="G74" s="151"/>
      <c r="H74" s="151"/>
      <c r="I74" s="151"/>
      <c r="J74" s="151"/>
      <c r="K74" s="14"/>
      <c r="L74" s="68"/>
    </row>
    <row r="75" spans="2:12" x14ac:dyDescent="0.2">
      <c r="B75" s="87"/>
      <c r="C75" s="280" t="s">
        <v>482</v>
      </c>
      <c r="D75" s="335">
        <f>D19*Dashboard!E35</f>
        <v>0</v>
      </c>
      <c r="E75" s="324" t="e">
        <f>D75/all_technical_specs!H23</f>
        <v>#DIV/0!</v>
      </c>
      <c r="F75" s="151"/>
      <c r="G75" s="151"/>
      <c r="H75" s="151"/>
      <c r="I75" s="151"/>
      <c r="J75" s="151"/>
      <c r="K75" s="14"/>
      <c r="L75" s="68"/>
    </row>
    <row r="76" spans="2:12" ht="17" thickBot="1" x14ac:dyDescent="0.25">
      <c r="B76" s="87"/>
      <c r="C76" s="116" t="s">
        <v>226</v>
      </c>
      <c r="D76" s="334">
        <f>SUM(D74:D75)</f>
        <v>0</v>
      </c>
      <c r="E76" s="334" t="e">
        <f>SUM(E74:E75)</f>
        <v>#DIV/0!</v>
      </c>
      <c r="F76" s="151"/>
      <c r="G76" s="151"/>
      <c r="H76" s="151"/>
      <c r="I76" s="151"/>
      <c r="J76" s="151"/>
      <c r="K76" s="14"/>
      <c r="L76" s="68"/>
    </row>
    <row r="77" spans="2:12" ht="17" thickTop="1" x14ac:dyDescent="0.2">
      <c r="B77" s="87"/>
      <c r="D77" s="514"/>
      <c r="E77" s="471"/>
      <c r="F77" s="151"/>
      <c r="G77" s="151"/>
      <c r="H77" s="151"/>
      <c r="I77" s="151"/>
      <c r="J77" s="151"/>
      <c r="K77" s="14"/>
      <c r="L77" s="68"/>
    </row>
    <row r="78" spans="2:12" x14ac:dyDescent="0.2">
      <c r="B78" s="87" t="s">
        <v>355</v>
      </c>
      <c r="C78"/>
      <c r="D78" s="335"/>
      <c r="E78" s="324"/>
      <c r="F78" s="151"/>
      <c r="G78" s="151"/>
      <c r="H78" s="151"/>
      <c r="I78" s="151"/>
      <c r="J78" s="151"/>
      <c r="K78" s="14"/>
      <c r="L78" s="68"/>
    </row>
    <row r="79" spans="2:12" x14ac:dyDescent="0.2">
      <c r="B79" s="87"/>
      <c r="C79" s="80" t="s">
        <v>41</v>
      </c>
      <c r="D79" s="335">
        <f>D14*Dashboard!E37</f>
        <v>0</v>
      </c>
      <c r="E79" s="324" t="e">
        <f>D79/all_technical_specs!H24</f>
        <v>#DIV/0!</v>
      </c>
      <c r="F79" s="151"/>
      <c r="G79" s="151"/>
      <c r="H79" s="151"/>
      <c r="I79" s="151"/>
      <c r="J79" s="151"/>
      <c r="K79" s="14"/>
      <c r="L79" s="68"/>
    </row>
    <row r="80" spans="2:12" x14ac:dyDescent="0.2">
      <c r="B80" s="87"/>
      <c r="C80" s="280" t="s">
        <v>482</v>
      </c>
      <c r="D80" s="335">
        <f>D19*Dashboard!E37</f>
        <v>0</v>
      </c>
      <c r="E80" s="324" t="e">
        <f>D80/all_technical_specs!H24</f>
        <v>#DIV/0!</v>
      </c>
      <c r="F80" s="151"/>
      <c r="G80" s="151"/>
      <c r="H80" s="151"/>
      <c r="I80" s="151"/>
      <c r="J80" s="151"/>
      <c r="K80" s="14"/>
      <c r="L80" s="68"/>
    </row>
    <row r="81" spans="2:12" ht="17" thickBot="1" x14ac:dyDescent="0.25">
      <c r="B81" s="87"/>
      <c r="C81" s="116" t="s">
        <v>226</v>
      </c>
      <c r="D81" s="334">
        <f>SUM(D79:D80)</f>
        <v>0</v>
      </c>
      <c r="E81" s="334" t="e">
        <f>SUM(E79:E80)</f>
        <v>#DIV/0!</v>
      </c>
      <c r="F81" s="151"/>
      <c r="G81" s="151"/>
      <c r="H81" s="151"/>
      <c r="I81" s="151"/>
      <c r="J81" s="151"/>
      <c r="K81" s="14"/>
      <c r="L81" s="68"/>
    </row>
    <row r="82" spans="2:12" ht="17" thickTop="1" x14ac:dyDescent="0.2">
      <c r="B82" s="87"/>
      <c r="C82" s="515"/>
      <c r="D82" s="514"/>
      <c r="E82" s="471"/>
      <c r="F82" s="151"/>
      <c r="G82" s="151"/>
      <c r="H82" s="151"/>
      <c r="I82" s="151"/>
      <c r="J82" s="151"/>
      <c r="K82" s="14"/>
      <c r="L82" s="68"/>
    </row>
    <row r="83" spans="2:12" x14ac:dyDescent="0.2">
      <c r="B83" s="87" t="s">
        <v>356</v>
      </c>
      <c r="C83" s="80"/>
      <c r="D83" s="335"/>
      <c r="E83" s="324"/>
      <c r="F83" s="151"/>
      <c r="G83" s="151"/>
      <c r="H83" s="151"/>
      <c r="I83" s="151"/>
      <c r="J83" s="151"/>
      <c r="K83" s="14"/>
      <c r="L83" s="68"/>
    </row>
    <row r="84" spans="2:12" x14ac:dyDescent="0.2">
      <c r="B84" s="87"/>
      <c r="C84" s="80" t="s">
        <v>42</v>
      </c>
      <c r="D84" s="335">
        <f>D15</f>
        <v>0</v>
      </c>
      <c r="E84" s="324" t="e">
        <f>D84/all_technical_specs!H25</f>
        <v>#DIV/0!</v>
      </c>
      <c r="F84" s="151"/>
      <c r="G84" s="151"/>
      <c r="H84" s="151"/>
      <c r="I84" s="151"/>
      <c r="J84" s="151"/>
      <c r="K84" s="14"/>
      <c r="L84" s="68"/>
    </row>
    <row r="85" spans="2:12" x14ac:dyDescent="0.2">
      <c r="B85" s="87"/>
      <c r="C85" s="515"/>
      <c r="D85" s="514"/>
      <c r="E85" s="471"/>
      <c r="F85" s="151"/>
      <c r="G85" s="151"/>
      <c r="H85" s="151"/>
      <c r="I85" s="151"/>
      <c r="J85" s="151"/>
      <c r="K85" s="14"/>
      <c r="L85" s="68"/>
    </row>
    <row r="86" spans="2:12" x14ac:dyDescent="0.2">
      <c r="B86" s="87" t="s">
        <v>388</v>
      </c>
      <c r="C86" s="80"/>
      <c r="D86" s="335"/>
      <c r="E86" s="324"/>
      <c r="F86" s="151"/>
      <c r="G86" s="151"/>
      <c r="H86" s="151"/>
      <c r="I86" s="151"/>
      <c r="J86" s="151"/>
      <c r="K86" s="14"/>
      <c r="L86" s="68"/>
    </row>
    <row r="87" spans="2:12" x14ac:dyDescent="0.2">
      <c r="B87" s="87"/>
      <c r="C87" s="80" t="s">
        <v>315</v>
      </c>
      <c r="D87" s="335">
        <f>D16</f>
        <v>0</v>
      </c>
      <c r="E87" s="324" t="e">
        <f>D87/all_technical_specs!H26</f>
        <v>#DIV/0!</v>
      </c>
      <c r="F87" s="151"/>
      <c r="G87" s="151"/>
      <c r="H87" s="151"/>
      <c r="I87" s="151"/>
      <c r="J87" s="151"/>
      <c r="K87" s="14"/>
      <c r="L87" s="68"/>
    </row>
    <row r="88" spans="2:12" x14ac:dyDescent="0.2">
      <c r="B88" s="87"/>
      <c r="C88" s="515"/>
      <c r="D88" s="514"/>
      <c r="E88" s="471"/>
      <c r="F88" s="151"/>
      <c r="G88" s="151"/>
      <c r="H88" s="151"/>
      <c r="I88" s="151"/>
      <c r="J88" s="151"/>
      <c r="K88" s="14"/>
      <c r="L88" s="68"/>
    </row>
    <row r="89" spans="2:12" x14ac:dyDescent="0.2">
      <c r="B89" s="87" t="s">
        <v>358</v>
      </c>
      <c r="C89" s="80"/>
      <c r="D89" s="335"/>
      <c r="E89" s="324"/>
      <c r="F89" s="151"/>
      <c r="G89" s="151"/>
      <c r="H89" s="151"/>
      <c r="I89" s="151"/>
      <c r="J89" s="151"/>
      <c r="K89" s="14"/>
      <c r="L89" s="68"/>
    </row>
    <row r="90" spans="2:12" x14ac:dyDescent="0.2">
      <c r="B90" s="87"/>
      <c r="C90" s="80" t="s">
        <v>221</v>
      </c>
      <c r="D90" s="335">
        <f>D17</f>
        <v>0</v>
      </c>
      <c r="E90" s="324" t="e">
        <f>D90/all_technical_specs!H27</f>
        <v>#DIV/0!</v>
      </c>
      <c r="F90" s="151"/>
      <c r="G90" s="151"/>
      <c r="H90" s="151"/>
      <c r="I90" s="151"/>
      <c r="J90" s="151"/>
      <c r="K90" s="14"/>
      <c r="L90" s="68"/>
    </row>
    <row r="91" spans="2:12" x14ac:dyDescent="0.2">
      <c r="B91" s="87"/>
      <c r="C91" s="80" t="s">
        <v>222</v>
      </c>
      <c r="D91" s="335">
        <f>D18</f>
        <v>0</v>
      </c>
      <c r="E91" s="324" t="e">
        <f>D91/all_technical_specs!H27</f>
        <v>#DIV/0!</v>
      </c>
      <c r="F91" s="151"/>
      <c r="G91" s="151"/>
      <c r="H91" s="151"/>
      <c r="I91" s="151"/>
      <c r="J91" s="151"/>
      <c r="K91" s="14"/>
      <c r="L91" s="68"/>
    </row>
    <row r="92" spans="2:12" ht="17" thickBot="1" x14ac:dyDescent="0.25">
      <c r="B92" s="87"/>
      <c r="C92" s="206" t="s">
        <v>226</v>
      </c>
      <c r="D92" s="336">
        <f>SUM(D90:D91)</f>
        <v>0</v>
      </c>
      <c r="E92" s="334" t="e">
        <f>SUM(E90:E91)</f>
        <v>#DIV/0!</v>
      </c>
      <c r="F92" s="151"/>
      <c r="G92" s="151"/>
      <c r="H92" s="151"/>
      <c r="I92" s="151"/>
      <c r="J92" s="151"/>
      <c r="K92" s="14"/>
      <c r="L92" s="68"/>
    </row>
    <row r="93" spans="2:12" ht="17" thickTop="1" x14ac:dyDescent="0.2">
      <c r="B93" s="87"/>
      <c r="C93" s="515"/>
      <c r="D93" s="514"/>
      <c r="E93" s="471"/>
      <c r="F93" s="151"/>
      <c r="G93" s="151"/>
      <c r="H93" s="151"/>
      <c r="I93" s="151"/>
      <c r="J93" s="151"/>
      <c r="K93" s="14"/>
      <c r="L93" s="68"/>
    </row>
    <row r="94" spans="2:12" x14ac:dyDescent="0.2">
      <c r="B94" s="87" t="s">
        <v>389</v>
      </c>
      <c r="C94" s="80"/>
      <c r="D94" s="335"/>
      <c r="E94" s="324"/>
      <c r="F94" s="151"/>
      <c r="G94" s="151"/>
      <c r="H94" s="151"/>
      <c r="I94" s="151"/>
      <c r="J94" s="151"/>
      <c r="K94" s="14"/>
      <c r="L94" s="68"/>
    </row>
    <row r="95" spans="2:12" x14ac:dyDescent="0.2">
      <c r="B95" s="87"/>
      <c r="C95" s="80" t="s">
        <v>319</v>
      </c>
      <c r="D95" s="335">
        <f>D21*Dashboard!E41</f>
        <v>0</v>
      </c>
      <c r="E95" s="324" t="e">
        <f>D95/all_technical_specs!H28</f>
        <v>#DIV/0!</v>
      </c>
      <c r="F95" s="151"/>
      <c r="G95" s="151"/>
      <c r="H95" s="151"/>
      <c r="I95" s="151"/>
      <c r="J95" s="151"/>
      <c r="K95" s="14"/>
      <c r="L95" s="68"/>
    </row>
    <row r="96" spans="2:12" x14ac:dyDescent="0.2">
      <c r="B96" s="87"/>
      <c r="C96" s="515"/>
      <c r="D96" s="514"/>
      <c r="E96" s="471"/>
      <c r="F96" s="151"/>
      <c r="G96" s="151"/>
      <c r="H96" s="151"/>
      <c r="I96" s="151"/>
      <c r="J96" s="151"/>
      <c r="K96" s="14"/>
      <c r="L96" s="68"/>
    </row>
    <row r="97" spans="2:12" x14ac:dyDescent="0.2">
      <c r="B97" s="87" t="s">
        <v>390</v>
      </c>
      <c r="C97" s="80"/>
      <c r="D97" s="335"/>
      <c r="E97" s="324"/>
      <c r="F97" s="151"/>
      <c r="G97" s="151"/>
      <c r="H97" s="151"/>
      <c r="I97" s="151"/>
      <c r="J97" s="151"/>
      <c r="K97" s="14"/>
      <c r="L97" s="68"/>
    </row>
    <row r="98" spans="2:12" x14ac:dyDescent="0.2">
      <c r="B98" s="87"/>
      <c r="C98" s="80" t="s">
        <v>319</v>
      </c>
      <c r="D98" s="335">
        <f>D21*Dashboard!E42</f>
        <v>0</v>
      </c>
      <c r="E98" s="324" t="e">
        <f>D98/all_technical_specs!H29</f>
        <v>#DIV/0!</v>
      </c>
      <c r="F98" s="151"/>
      <c r="G98" s="151"/>
      <c r="H98" s="151"/>
      <c r="I98" s="151"/>
      <c r="J98" s="151"/>
      <c r="K98" s="14"/>
      <c r="L98" s="68"/>
    </row>
    <row r="99" spans="2:12" x14ac:dyDescent="0.2">
      <c r="B99" s="87"/>
      <c r="C99" s="515"/>
      <c r="D99" s="514"/>
      <c r="E99" s="471"/>
      <c r="F99" s="151"/>
      <c r="G99" s="151"/>
      <c r="H99" s="151"/>
      <c r="I99" s="151"/>
      <c r="J99" s="151"/>
      <c r="K99" s="14"/>
      <c r="L99" s="68"/>
    </row>
    <row r="100" spans="2:12" x14ac:dyDescent="0.2">
      <c r="B100" s="87" t="s">
        <v>313</v>
      </c>
      <c r="C100" s="80"/>
      <c r="D100" s="335"/>
      <c r="E100" s="324"/>
      <c r="F100" s="151"/>
      <c r="G100" s="151"/>
      <c r="H100" s="151"/>
      <c r="I100" s="151"/>
      <c r="J100" s="151"/>
      <c r="K100" s="14"/>
      <c r="L100" s="68"/>
    </row>
    <row r="101" spans="2:12" x14ac:dyDescent="0.2">
      <c r="B101" s="87"/>
      <c r="C101" s="80" t="s">
        <v>188</v>
      </c>
      <c r="D101" s="335">
        <f>D23*Dashboard!E46</f>
        <v>0</v>
      </c>
      <c r="E101" s="324" t="e">
        <f>D101/all_technical_specs!H30</f>
        <v>#DIV/0!</v>
      </c>
      <c r="F101" s="151"/>
      <c r="G101" s="151"/>
      <c r="H101" s="151"/>
      <c r="I101" s="151"/>
      <c r="J101" s="151"/>
      <c r="K101" s="14"/>
      <c r="L101" s="68"/>
    </row>
    <row r="102" spans="2:12" x14ac:dyDescent="0.2">
      <c r="B102" s="87"/>
      <c r="C102" s="515"/>
      <c r="D102" s="514"/>
      <c r="E102" s="471"/>
      <c r="F102" s="151"/>
      <c r="G102" s="151"/>
      <c r="H102" s="151"/>
      <c r="I102" s="151"/>
      <c r="J102" s="151"/>
      <c r="K102" s="14"/>
      <c r="L102" s="68"/>
    </row>
    <row r="103" spans="2:12" x14ac:dyDescent="0.2">
      <c r="B103" s="87" t="s">
        <v>309</v>
      </c>
      <c r="C103" s="80"/>
      <c r="D103" s="335"/>
      <c r="E103" s="324"/>
      <c r="F103" s="151"/>
      <c r="G103" s="151"/>
      <c r="H103" s="151"/>
      <c r="I103" s="151"/>
      <c r="J103" s="151"/>
      <c r="K103" s="14"/>
      <c r="L103" s="68"/>
    </row>
    <row r="104" spans="2:12" x14ac:dyDescent="0.2">
      <c r="B104" s="87"/>
      <c r="C104" s="80" t="s">
        <v>188</v>
      </c>
      <c r="D104" s="335">
        <f>D23*Dashboard!E47</f>
        <v>0</v>
      </c>
      <c r="E104" s="324" t="e">
        <f>D104/all_technical_specs!H31</f>
        <v>#DIV/0!</v>
      </c>
      <c r="F104" s="151"/>
      <c r="G104" s="151"/>
      <c r="H104" s="151"/>
      <c r="I104" s="151"/>
      <c r="J104" s="151"/>
      <c r="K104" s="14"/>
      <c r="L104" s="68"/>
    </row>
    <row r="105" spans="2:12" x14ac:dyDescent="0.2">
      <c r="B105" s="87"/>
      <c r="C105" s="515"/>
      <c r="D105" s="514"/>
      <c r="E105" s="471"/>
      <c r="F105" s="151"/>
      <c r="G105" s="151"/>
      <c r="H105" s="151"/>
      <c r="I105" s="151"/>
      <c r="J105" s="151"/>
      <c r="K105" s="14"/>
      <c r="L105" s="68"/>
    </row>
    <row r="106" spans="2:12" x14ac:dyDescent="0.2">
      <c r="B106" s="87" t="s">
        <v>189</v>
      </c>
      <c r="C106" s="80"/>
      <c r="D106" s="335"/>
      <c r="E106" s="324"/>
      <c r="F106" s="151"/>
      <c r="G106" s="151"/>
      <c r="H106" s="151"/>
      <c r="I106" s="151"/>
      <c r="J106" s="151"/>
      <c r="K106" s="14"/>
      <c r="L106" s="68"/>
    </row>
    <row r="107" spans="2:12" x14ac:dyDescent="0.2">
      <c r="B107" s="87"/>
      <c r="C107" s="80" t="s">
        <v>284</v>
      </c>
      <c r="D107" s="335">
        <f>D24</f>
        <v>0</v>
      </c>
      <c r="E107" s="324" t="e">
        <f>D107/all_technical_specs!H32</f>
        <v>#DIV/0!</v>
      </c>
      <c r="F107" s="151"/>
      <c r="G107" s="151"/>
      <c r="H107" s="151"/>
      <c r="I107" s="151"/>
      <c r="J107" s="151"/>
      <c r="K107" s="14"/>
      <c r="L107" s="68"/>
    </row>
    <row r="108" spans="2:12" x14ac:dyDescent="0.2">
      <c r="B108" s="87"/>
      <c r="C108" s="515"/>
      <c r="D108" s="514"/>
      <c r="E108" s="471"/>
      <c r="F108" s="151"/>
      <c r="G108" s="151"/>
      <c r="H108" s="151"/>
      <c r="I108" s="151"/>
      <c r="J108" s="151"/>
      <c r="K108" s="14"/>
      <c r="L108" s="68"/>
    </row>
    <row r="109" spans="2:12" x14ac:dyDescent="0.2">
      <c r="B109" s="87" t="s">
        <v>471</v>
      </c>
      <c r="C109" s="80"/>
      <c r="D109" s="335"/>
      <c r="E109" s="324"/>
      <c r="F109" s="151"/>
      <c r="G109" s="151"/>
      <c r="H109" s="151"/>
      <c r="I109" s="151"/>
      <c r="J109" s="151"/>
      <c r="K109" s="14"/>
      <c r="L109" s="68"/>
    </row>
    <row r="110" spans="2:12" x14ac:dyDescent="0.2">
      <c r="B110" s="87"/>
      <c r="C110" s="80" t="s">
        <v>370</v>
      </c>
      <c r="D110" s="335">
        <f>D25</f>
        <v>0</v>
      </c>
      <c r="E110" s="324" t="e">
        <f>D110/all_technical_specs!H33</f>
        <v>#DIV/0!</v>
      </c>
      <c r="F110" s="151"/>
      <c r="G110" s="151"/>
      <c r="H110" s="151"/>
      <c r="I110" s="151"/>
      <c r="J110" s="151"/>
      <c r="K110" s="14"/>
      <c r="L110" s="68"/>
    </row>
    <row r="111" spans="2:12" x14ac:dyDescent="0.2">
      <c r="B111" s="87"/>
      <c r="C111" s="515"/>
      <c r="D111" s="514"/>
      <c r="E111" s="471"/>
      <c r="F111" s="151"/>
      <c r="G111" s="151"/>
      <c r="H111" s="151"/>
      <c r="I111" s="151"/>
      <c r="J111" s="151"/>
      <c r="K111" s="14"/>
      <c r="L111" s="68"/>
    </row>
    <row r="112" spans="2:12" x14ac:dyDescent="0.2">
      <c r="B112" s="87" t="s">
        <v>472</v>
      </c>
      <c r="C112" s="80"/>
      <c r="D112" s="335"/>
      <c r="E112" s="324"/>
      <c r="F112" s="151"/>
      <c r="G112" s="151"/>
      <c r="H112" s="151"/>
      <c r="I112" s="151"/>
      <c r="J112" s="151"/>
      <c r="K112" s="14"/>
      <c r="L112" s="68"/>
    </row>
    <row r="113" spans="2:12" x14ac:dyDescent="0.2">
      <c r="B113" s="87"/>
      <c r="C113" s="80" t="s">
        <v>370</v>
      </c>
      <c r="D113" s="335">
        <f>D26</f>
        <v>0</v>
      </c>
      <c r="E113" s="324" t="e">
        <f>D113/all_technical_specs!H36</f>
        <v>#DIV/0!</v>
      </c>
      <c r="F113" s="151"/>
      <c r="G113" s="151"/>
      <c r="H113" s="151"/>
      <c r="I113" s="151"/>
      <c r="J113" s="151"/>
      <c r="K113" s="14"/>
      <c r="L113" s="68"/>
    </row>
    <row r="114" spans="2:12" x14ac:dyDescent="0.2">
      <c r="B114" s="87"/>
      <c r="C114" s="515"/>
      <c r="D114" s="514"/>
      <c r="E114" s="471"/>
      <c r="F114" s="151"/>
      <c r="G114" s="151"/>
      <c r="H114" s="151"/>
      <c r="I114" s="151"/>
      <c r="J114" s="151"/>
      <c r="K114" s="14"/>
      <c r="L114" s="68"/>
    </row>
    <row r="115" spans="2:12" x14ac:dyDescent="0.2">
      <c r="B115" s="87" t="s">
        <v>310</v>
      </c>
      <c r="C115" s="80"/>
      <c r="D115" s="335"/>
      <c r="E115" s="324"/>
      <c r="F115" s="151"/>
      <c r="G115" s="151"/>
      <c r="H115" s="151"/>
      <c r="I115" s="151"/>
      <c r="J115" s="151"/>
      <c r="K115" s="14"/>
      <c r="L115" s="68"/>
    </row>
    <row r="116" spans="2:12" x14ac:dyDescent="0.2">
      <c r="B116" s="87"/>
      <c r="C116" s="80" t="s">
        <v>193</v>
      </c>
      <c r="D116" s="335">
        <f>D22*Dashboard!E50</f>
        <v>0</v>
      </c>
      <c r="E116" s="324" t="e">
        <f>D116/all_technical_specs!H37</f>
        <v>#DIV/0!</v>
      </c>
      <c r="F116" s="151"/>
      <c r="G116" s="151"/>
      <c r="H116" s="151"/>
      <c r="I116" s="151"/>
      <c r="J116" s="151"/>
      <c r="K116" s="14"/>
      <c r="L116" s="68"/>
    </row>
    <row r="117" spans="2:12" x14ac:dyDescent="0.2">
      <c r="B117" s="87"/>
      <c r="C117" s="515"/>
      <c r="D117" s="514"/>
      <c r="E117" s="471"/>
      <c r="F117" s="151"/>
      <c r="G117" s="151"/>
      <c r="H117" s="151"/>
      <c r="I117" s="151"/>
      <c r="J117" s="151"/>
      <c r="K117" s="14"/>
      <c r="L117" s="68"/>
    </row>
    <row r="118" spans="2:12" x14ac:dyDescent="0.2">
      <c r="B118" s="87" t="s">
        <v>311</v>
      </c>
      <c r="C118" s="80"/>
      <c r="D118" s="335"/>
      <c r="E118" s="324"/>
      <c r="F118" s="151"/>
      <c r="G118" s="151"/>
      <c r="H118" s="151"/>
      <c r="I118" s="151"/>
      <c r="J118" s="151"/>
      <c r="K118" s="14"/>
      <c r="L118" s="68"/>
    </row>
    <row r="119" spans="2:12" x14ac:dyDescent="0.2">
      <c r="B119" s="87"/>
      <c r="C119" s="80" t="s">
        <v>193</v>
      </c>
      <c r="D119" s="335">
        <f>D22*Dashboard!E51</f>
        <v>0</v>
      </c>
      <c r="E119" s="324" t="e">
        <f>D119/all_technical_specs!H38</f>
        <v>#DIV/0!</v>
      </c>
      <c r="F119" s="151"/>
      <c r="G119" s="151"/>
      <c r="H119" s="151"/>
      <c r="I119" s="151"/>
      <c r="J119" s="151"/>
      <c r="K119" s="14"/>
      <c r="L119" s="68"/>
    </row>
    <row r="120" spans="2:12" x14ac:dyDescent="0.2">
      <c r="B120" s="87"/>
      <c r="C120" s="515"/>
      <c r="D120" s="514"/>
      <c r="E120" s="471"/>
      <c r="F120" s="151"/>
      <c r="G120" s="151"/>
      <c r="H120" s="151"/>
      <c r="I120" s="151"/>
      <c r="J120" s="151"/>
      <c r="K120" s="14"/>
      <c r="L120" s="68"/>
    </row>
    <row r="121" spans="2:12" x14ac:dyDescent="0.2">
      <c r="B121" s="87" t="s">
        <v>312</v>
      </c>
      <c r="C121" s="80"/>
      <c r="D121" s="335"/>
      <c r="E121" s="324"/>
      <c r="F121" s="151"/>
      <c r="G121" s="151"/>
      <c r="H121" s="151"/>
      <c r="I121" s="151"/>
      <c r="J121" s="151"/>
      <c r="K121" s="14"/>
      <c r="L121" s="68"/>
    </row>
    <row r="122" spans="2:12" x14ac:dyDescent="0.2">
      <c r="B122" s="87"/>
      <c r="C122" s="80" t="s">
        <v>193</v>
      </c>
      <c r="D122" s="335">
        <f>D22*Dashboard!E52</f>
        <v>0</v>
      </c>
      <c r="E122" s="324" t="e">
        <f>D122/all_technical_specs!H39</f>
        <v>#DIV/0!</v>
      </c>
      <c r="F122" s="151"/>
      <c r="G122" s="151"/>
      <c r="H122" s="151"/>
      <c r="I122" s="151"/>
      <c r="J122" s="151"/>
      <c r="K122" s="14"/>
      <c r="L122" s="68"/>
    </row>
    <row r="123" spans="2:12" ht="17" thickBot="1" x14ac:dyDescent="0.25">
      <c r="B123" s="195"/>
      <c r="C123" s="511"/>
      <c r="D123" s="512"/>
      <c r="E123" s="512"/>
      <c r="F123" s="507"/>
      <c r="G123" s="507"/>
      <c r="H123" s="507"/>
      <c r="I123" s="507"/>
      <c r="J123" s="507"/>
      <c r="K123" s="493"/>
      <c r="L123" s="495"/>
    </row>
    <row r="124" spans="2:12" ht="17" thickTop="1" x14ac:dyDescent="0.2">
      <c r="B124" s="113" t="s">
        <v>321</v>
      </c>
      <c r="C124" s="51"/>
      <c r="D124" s="324"/>
      <c r="E124" s="324"/>
      <c r="F124" s="151"/>
      <c r="G124" s="151"/>
      <c r="H124" s="151"/>
      <c r="I124" s="151"/>
      <c r="J124" s="151"/>
      <c r="K124" s="14"/>
      <c r="L124" s="68"/>
    </row>
    <row r="125" spans="2:12" x14ac:dyDescent="0.2">
      <c r="B125" s="113"/>
      <c r="C125" s="51" t="s">
        <v>40</v>
      </c>
      <c r="D125" s="324">
        <f>D30+D35+D38+D41+D44+D47</f>
        <v>0</v>
      </c>
      <c r="E125" s="324" t="e">
        <f>E30+E35+E38+E41+E44+E47</f>
        <v>#DIV/0!</v>
      </c>
      <c r="F125" s="151"/>
      <c r="G125" s="151"/>
      <c r="H125" s="151"/>
      <c r="I125" s="151"/>
      <c r="J125" s="151"/>
      <c r="K125" s="14"/>
      <c r="L125" s="68"/>
    </row>
    <row r="126" spans="2:12" x14ac:dyDescent="0.2">
      <c r="B126" s="113"/>
      <c r="C126" s="51" t="s">
        <v>953</v>
      </c>
      <c r="D126" s="324">
        <f>D50</f>
        <v>0</v>
      </c>
      <c r="E126" s="324">
        <f>E50</f>
        <v>0</v>
      </c>
      <c r="F126" s="151"/>
      <c r="G126" s="151"/>
      <c r="H126" s="151"/>
      <c r="I126" s="151"/>
      <c r="J126" s="151"/>
      <c r="K126" s="14"/>
      <c r="L126" s="68"/>
    </row>
    <row r="127" spans="2:12" x14ac:dyDescent="0.2">
      <c r="B127" s="113"/>
      <c r="C127" s="51" t="s">
        <v>140</v>
      </c>
      <c r="D127" s="324">
        <f>D53+D56</f>
        <v>0</v>
      </c>
      <c r="E127" s="324" t="e">
        <f>E53+E56</f>
        <v>#DIV/0!</v>
      </c>
      <c r="F127" s="151"/>
      <c r="G127" s="151"/>
      <c r="H127" s="151"/>
      <c r="I127" s="151"/>
      <c r="J127" s="151"/>
      <c r="K127" s="14"/>
      <c r="L127" s="68"/>
    </row>
    <row r="128" spans="2:12" x14ac:dyDescent="0.2">
      <c r="B128" s="113"/>
      <c r="C128" s="51" t="s">
        <v>41</v>
      </c>
      <c r="D128" s="324">
        <f>D59+D64+D69+D74+D79</f>
        <v>0</v>
      </c>
      <c r="E128" s="324" t="e">
        <f>E59+E64+E69+E74+E79</f>
        <v>#DIV/0!</v>
      </c>
      <c r="F128" s="151"/>
      <c r="G128" s="151"/>
      <c r="H128" s="151"/>
      <c r="I128" s="151"/>
      <c r="J128" s="151"/>
      <c r="K128" s="14"/>
      <c r="L128" s="68"/>
    </row>
    <row r="129" spans="2:12" x14ac:dyDescent="0.2">
      <c r="B129" s="113"/>
      <c r="C129" s="51" t="s">
        <v>42</v>
      </c>
      <c r="D129" s="324">
        <f>D84</f>
        <v>0</v>
      </c>
      <c r="E129" s="324" t="e">
        <f>E84</f>
        <v>#DIV/0!</v>
      </c>
      <c r="F129" s="151"/>
      <c r="G129" s="151"/>
      <c r="H129" s="151"/>
      <c r="I129" s="151"/>
      <c r="J129" s="151"/>
      <c r="K129" s="14"/>
      <c r="L129" s="68"/>
    </row>
    <row r="130" spans="2:12" x14ac:dyDescent="0.2">
      <c r="B130" s="113"/>
      <c r="C130" s="51" t="s">
        <v>315</v>
      </c>
      <c r="D130" s="324">
        <f>D87</f>
        <v>0</v>
      </c>
      <c r="E130" s="324" t="e">
        <f>E87</f>
        <v>#DIV/0!</v>
      </c>
      <c r="F130" s="151"/>
      <c r="G130" s="151"/>
      <c r="H130" s="151"/>
      <c r="I130" s="151"/>
      <c r="J130" s="151"/>
      <c r="K130" s="14"/>
      <c r="L130" s="68"/>
    </row>
    <row r="131" spans="2:12" x14ac:dyDescent="0.2">
      <c r="B131" s="113"/>
      <c r="C131" s="63" t="s">
        <v>221</v>
      </c>
      <c r="D131" s="324">
        <f>D90</f>
        <v>0</v>
      </c>
      <c r="E131" s="324" t="e">
        <f>E90</f>
        <v>#DIV/0!</v>
      </c>
      <c r="F131" s="151"/>
      <c r="G131" s="151"/>
      <c r="H131" s="151"/>
      <c r="I131" s="151"/>
      <c r="J131" s="151"/>
      <c r="K131" s="14"/>
      <c r="L131" s="68"/>
    </row>
    <row r="132" spans="2:12" x14ac:dyDescent="0.2">
      <c r="B132" s="113"/>
      <c r="C132" s="63" t="s">
        <v>222</v>
      </c>
      <c r="D132" s="324">
        <f>D91</f>
        <v>0</v>
      </c>
      <c r="E132" s="324" t="e">
        <f>E91</f>
        <v>#DIV/0!</v>
      </c>
      <c r="F132" s="151"/>
      <c r="G132" s="151"/>
      <c r="H132" s="151"/>
      <c r="I132" s="151"/>
      <c r="J132" s="151"/>
      <c r="K132" s="14"/>
      <c r="L132" s="68"/>
    </row>
    <row r="133" spans="2:12" x14ac:dyDescent="0.2">
      <c r="B133" s="113"/>
      <c r="C133" s="280" t="s">
        <v>482</v>
      </c>
      <c r="D133" s="324">
        <f>D60+D65+D70+D75+D80</f>
        <v>0</v>
      </c>
      <c r="E133" s="324" t="e">
        <f>E60+E65+E70+E75+E80</f>
        <v>#DIV/0!</v>
      </c>
      <c r="F133" s="151"/>
      <c r="G133" s="151"/>
      <c r="H133" s="151"/>
      <c r="I133" s="151"/>
      <c r="J133" s="151"/>
      <c r="K133" s="14"/>
      <c r="L133" s="68"/>
    </row>
    <row r="134" spans="2:12" x14ac:dyDescent="0.2">
      <c r="B134" s="113"/>
      <c r="C134" s="191" t="s">
        <v>201</v>
      </c>
      <c r="D134" s="324">
        <f>D31</f>
        <v>0</v>
      </c>
      <c r="E134" s="324" t="e">
        <f>E31</f>
        <v>#DIV/0!</v>
      </c>
      <c r="F134" s="151"/>
      <c r="G134" s="151"/>
      <c r="H134" s="151"/>
      <c r="I134" s="151"/>
      <c r="J134" s="151"/>
      <c r="K134" s="14"/>
      <c r="L134" s="68"/>
    </row>
    <row r="135" spans="2:12" x14ac:dyDescent="0.2">
      <c r="B135" s="113"/>
      <c r="C135" s="191" t="s">
        <v>187</v>
      </c>
      <c r="D135" s="324">
        <f>D95+D98</f>
        <v>0</v>
      </c>
      <c r="E135" s="324" t="e">
        <f>E95+E98</f>
        <v>#DIV/0!</v>
      </c>
      <c r="F135" s="151"/>
      <c r="G135" s="151"/>
      <c r="H135" s="151"/>
      <c r="I135" s="151"/>
      <c r="J135" s="151"/>
      <c r="K135" s="14"/>
      <c r="L135" s="68"/>
    </row>
    <row r="136" spans="2:12" x14ac:dyDescent="0.2">
      <c r="B136" s="113"/>
      <c r="C136" s="191" t="s">
        <v>193</v>
      </c>
      <c r="D136" s="324">
        <f>D116+D119+D122</f>
        <v>0</v>
      </c>
      <c r="E136" s="324" t="e">
        <f>E116+E119+E122</f>
        <v>#DIV/0!</v>
      </c>
      <c r="F136" s="151"/>
      <c r="G136" s="151"/>
      <c r="H136" s="151"/>
      <c r="I136" s="151"/>
      <c r="J136" s="151"/>
      <c r="K136" s="14"/>
      <c r="L136" s="68"/>
    </row>
    <row r="137" spans="2:12" x14ac:dyDescent="0.2">
      <c r="B137" s="113"/>
      <c r="C137" s="63" t="s">
        <v>188</v>
      </c>
      <c r="D137" s="324">
        <f>D101+D104</f>
        <v>0</v>
      </c>
      <c r="E137" s="324" t="e">
        <f>E101+E104</f>
        <v>#DIV/0!</v>
      </c>
      <c r="F137" s="151"/>
      <c r="G137" s="151"/>
      <c r="H137" s="151"/>
      <c r="I137" s="151"/>
      <c r="J137" s="151"/>
      <c r="K137" s="14"/>
      <c r="L137" s="68"/>
    </row>
    <row r="138" spans="2:12" x14ac:dyDescent="0.2">
      <c r="B138" s="113"/>
      <c r="C138" s="63" t="s">
        <v>189</v>
      </c>
      <c r="D138" s="324">
        <f>D107</f>
        <v>0</v>
      </c>
      <c r="E138" s="324" t="e">
        <f>E107</f>
        <v>#DIV/0!</v>
      </c>
      <c r="F138" s="151"/>
      <c r="G138" s="151"/>
      <c r="H138" s="151"/>
      <c r="I138" s="151"/>
      <c r="J138" s="151"/>
      <c r="K138" s="14"/>
      <c r="L138" s="68"/>
    </row>
    <row r="139" spans="2:12" x14ac:dyDescent="0.2">
      <c r="B139" s="113"/>
      <c r="C139" s="63" t="s">
        <v>323</v>
      </c>
      <c r="D139" s="324">
        <f>D110</f>
        <v>0</v>
      </c>
      <c r="E139" s="324" t="e">
        <f>E110</f>
        <v>#DIV/0!</v>
      </c>
      <c r="F139" s="151"/>
      <c r="G139" s="151"/>
      <c r="H139" s="151"/>
      <c r="I139" s="151"/>
      <c r="J139" s="151"/>
      <c r="K139" s="14"/>
      <c r="L139" s="68"/>
    </row>
    <row r="140" spans="2:12" x14ac:dyDescent="0.2">
      <c r="B140" s="113"/>
      <c r="C140" s="63" t="s">
        <v>191</v>
      </c>
      <c r="D140" s="324">
        <f>D113</f>
        <v>0</v>
      </c>
      <c r="E140" s="324" t="e">
        <f>E113</f>
        <v>#DIV/0!</v>
      </c>
      <c r="F140" s="151"/>
      <c r="G140" s="151"/>
      <c r="H140" s="151"/>
      <c r="I140" s="151"/>
      <c r="J140" s="151"/>
      <c r="K140" s="14"/>
      <c r="L140" s="68"/>
    </row>
    <row r="141" spans="2:12" ht="17" thickBot="1" x14ac:dyDescent="0.25">
      <c r="B141" s="113"/>
      <c r="C141" s="116" t="s">
        <v>226</v>
      </c>
      <c r="D141" s="334">
        <f>SUM(D125:D140)</f>
        <v>0</v>
      </c>
      <c r="E141" s="334" t="e">
        <f>SUM(E125:E140)</f>
        <v>#DIV/0!</v>
      </c>
      <c r="F141" s="474"/>
      <c r="G141" s="474"/>
      <c r="H141" s="474"/>
      <c r="I141" s="474"/>
      <c r="J141" s="474"/>
      <c r="K141" s="14"/>
      <c r="L141" s="68"/>
    </row>
    <row r="142" spans="2:12" ht="18" thickTop="1" thickBot="1" x14ac:dyDescent="0.25">
      <c r="B142" s="104"/>
      <c r="C142" s="513"/>
      <c r="D142" s="508"/>
      <c r="E142" s="508"/>
      <c r="F142" s="508"/>
      <c r="G142" s="508"/>
      <c r="H142" s="508"/>
      <c r="I142" s="508"/>
      <c r="J142" s="508"/>
      <c r="K142" s="112"/>
      <c r="L142" s="76"/>
    </row>
  </sheetData>
  <mergeCells count="1">
    <mergeCell ref="B5:E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theme="8" tint="0.39997558519241921"/>
  </sheetPr>
  <dimension ref="B2:N44"/>
  <sheetViews>
    <sheetView workbookViewId="0">
      <selection activeCell="E11" sqref="E11"/>
    </sheetView>
  </sheetViews>
  <sheetFormatPr baseColWidth="10" defaultRowHeight="16" x14ac:dyDescent="0.2"/>
  <cols>
    <col min="1" max="1" width="10.83203125" style="2"/>
    <col min="2" max="2" width="36" style="2" customWidth="1"/>
    <col min="3" max="10" width="19" style="2" customWidth="1"/>
    <col min="11" max="11" width="4.33203125" style="2" customWidth="1"/>
    <col min="12" max="12" width="28.1640625" style="2" customWidth="1"/>
    <col min="13" max="13" width="3.1640625" style="2" customWidth="1"/>
    <col min="14" max="14" width="31.33203125" style="2" customWidth="1"/>
    <col min="15" max="16384" width="10.83203125" style="2"/>
  </cols>
  <sheetData>
    <row r="2" spans="2:14" ht="21" x14ac:dyDescent="0.25">
      <c r="B2" s="20" t="s">
        <v>285</v>
      </c>
    </row>
    <row r="4" spans="2:14" x14ac:dyDescent="0.2">
      <c r="B4" s="3" t="s">
        <v>37</v>
      </c>
      <c r="C4" s="4"/>
      <c r="D4" s="4"/>
      <c r="E4" s="5"/>
    </row>
    <row r="5" spans="2:14" ht="46" customHeight="1" x14ac:dyDescent="0.2">
      <c r="B5" s="622" t="s">
        <v>495</v>
      </c>
      <c r="C5" s="623"/>
      <c r="D5" s="623"/>
      <c r="E5" s="624"/>
    </row>
    <row r="6" spans="2:14" ht="46" customHeight="1" thickBot="1" x14ac:dyDescent="0.25"/>
    <row r="7" spans="2:14" x14ac:dyDescent="0.2">
      <c r="B7" s="64" t="s">
        <v>210</v>
      </c>
      <c r="C7" s="82"/>
      <c r="D7" s="82"/>
      <c r="E7" s="82"/>
      <c r="F7" s="82"/>
      <c r="G7" s="82"/>
      <c r="H7" s="82"/>
      <c r="I7" s="82"/>
      <c r="J7" s="82"/>
      <c r="K7" s="82"/>
      <c r="L7" s="82"/>
      <c r="M7" s="82"/>
      <c r="N7" s="66"/>
    </row>
    <row r="8" spans="2:14" x14ac:dyDescent="0.2">
      <c r="B8" s="67"/>
      <c r="N8" s="68"/>
    </row>
    <row r="9" spans="2:14" ht="34" x14ac:dyDescent="0.2">
      <c r="B9" s="90" t="s">
        <v>38</v>
      </c>
      <c r="C9" s="62" t="s">
        <v>39</v>
      </c>
      <c r="D9" s="26"/>
      <c r="E9" s="26" t="s">
        <v>631</v>
      </c>
      <c r="F9" s="94"/>
      <c r="G9" s="94"/>
      <c r="H9" s="26" t="s">
        <v>632</v>
      </c>
      <c r="I9" s="457"/>
      <c r="J9" s="458"/>
      <c r="K9" s="456"/>
      <c r="L9" s="456" t="s">
        <v>27</v>
      </c>
      <c r="M9" s="456"/>
      <c r="N9" s="459" t="s">
        <v>17</v>
      </c>
    </row>
    <row r="10" spans="2:14" x14ac:dyDescent="0.2">
      <c r="B10" s="113" t="s">
        <v>276</v>
      </c>
      <c r="C10" s="51"/>
      <c r="D10"/>
      <c r="E10"/>
      <c r="F10"/>
      <c r="G10"/>
      <c r="H10"/>
      <c r="J10" s="8"/>
      <c r="N10" s="68"/>
    </row>
    <row r="11" spans="2:14" x14ac:dyDescent="0.2">
      <c r="B11" s="113"/>
      <c r="C11" s="51" t="s">
        <v>40</v>
      </c>
      <c r="D11"/>
      <c r="E11" s="324" t="e">
        <f>SUM(E14:E15)</f>
        <v>#DIV/0!</v>
      </c>
      <c r="F11" s="323"/>
      <c r="G11" s="323"/>
      <c r="H11" s="323">
        <f>'Fuel aggregation HP'!H41</f>
        <v>0</v>
      </c>
      <c r="J11" s="8"/>
      <c r="N11" s="68"/>
    </row>
    <row r="12" spans="2:14" x14ac:dyDescent="0.2">
      <c r="B12" s="113"/>
      <c r="C12" s="51"/>
      <c r="D12"/>
      <c r="E12" s="324"/>
      <c r="F12" s="323"/>
      <c r="G12" s="323"/>
      <c r="H12" s="323"/>
      <c r="J12" s="8"/>
      <c r="N12" s="68"/>
    </row>
    <row r="13" spans="2:14" x14ac:dyDescent="0.2">
      <c r="B13" s="522" t="s">
        <v>773</v>
      </c>
      <c r="C13" s="51"/>
      <c r="D13"/>
      <c r="E13" s="324"/>
      <c r="F13" s="323"/>
      <c r="G13" s="323"/>
      <c r="H13" s="323"/>
      <c r="J13" s="8"/>
      <c r="N13" s="68"/>
    </row>
    <row r="14" spans="2:14" x14ac:dyDescent="0.2">
      <c r="B14" s="522"/>
      <c r="C14" s="51" t="s">
        <v>772</v>
      </c>
      <c r="D14"/>
      <c r="E14" s="324" t="e">
        <f>H14/all_technical_specs!I42</f>
        <v>#DIV/0!</v>
      </c>
      <c r="F14" s="323"/>
      <c r="G14" s="323"/>
      <c r="H14" s="323">
        <f>H11*Dashboard!E163</f>
        <v>0</v>
      </c>
      <c r="J14" s="8"/>
      <c r="N14" s="68"/>
    </row>
    <row r="15" spans="2:14" x14ac:dyDescent="0.2">
      <c r="B15" s="113"/>
      <c r="C15" s="51" t="s">
        <v>771</v>
      </c>
      <c r="D15"/>
      <c r="E15" s="324" t="e">
        <f>H15/all_technical_specs!I50</f>
        <v>#DIV/0!</v>
      </c>
      <c r="F15" s="323"/>
      <c r="G15" s="323"/>
      <c r="H15" s="323">
        <f>H11*Dashboard!E164</f>
        <v>0</v>
      </c>
      <c r="J15" s="8"/>
      <c r="N15" s="68"/>
    </row>
    <row r="16" spans="2:14" x14ac:dyDescent="0.2">
      <c r="B16" s="113"/>
      <c r="C16" s="49"/>
      <c r="D16" s="44"/>
      <c r="E16" s="338"/>
      <c r="F16" s="333"/>
      <c r="G16" s="333"/>
      <c r="H16" s="333"/>
      <c r="I16" s="10"/>
      <c r="J16" s="11"/>
      <c r="N16" s="68"/>
    </row>
    <row r="17" spans="2:14" x14ac:dyDescent="0.2">
      <c r="B17" s="113" t="s">
        <v>277</v>
      </c>
      <c r="C17" s="51"/>
      <c r="D17"/>
      <c r="E17" s="324"/>
      <c r="F17" s="323"/>
      <c r="G17" s="323"/>
      <c r="H17" s="323"/>
      <c r="J17" s="8"/>
      <c r="N17" s="68"/>
    </row>
    <row r="18" spans="2:14" x14ac:dyDescent="0.2">
      <c r="B18" s="113"/>
      <c r="C18" s="51" t="s">
        <v>140</v>
      </c>
      <c r="D18"/>
      <c r="E18" s="324" t="e">
        <f>H18/all_technical_specs!I43</f>
        <v>#DIV/0!</v>
      </c>
      <c r="F18" s="323"/>
      <c r="G18" s="323"/>
      <c r="H18" s="323">
        <f>'Fuel aggregation HP'!H42</f>
        <v>0</v>
      </c>
      <c r="J18" s="8"/>
      <c r="N18" s="68"/>
    </row>
    <row r="19" spans="2:14" x14ac:dyDescent="0.2">
      <c r="B19" s="113"/>
      <c r="C19" s="49"/>
      <c r="D19" s="44"/>
      <c r="E19" s="338"/>
      <c r="F19" s="333"/>
      <c r="G19" s="333"/>
      <c r="H19" s="333"/>
      <c r="I19" s="10"/>
      <c r="J19" s="11"/>
      <c r="N19" s="68"/>
    </row>
    <row r="20" spans="2:14" x14ac:dyDescent="0.2">
      <c r="B20" s="113" t="s">
        <v>278</v>
      </c>
      <c r="C20" s="51"/>
      <c r="D20"/>
      <c r="E20" s="324"/>
      <c r="F20" s="323"/>
      <c r="G20" s="323"/>
      <c r="H20" s="323"/>
      <c r="J20" s="8"/>
      <c r="N20" s="68"/>
    </row>
    <row r="21" spans="2:14" x14ac:dyDescent="0.2">
      <c r="B21" s="113"/>
      <c r="C21" s="51" t="s">
        <v>41</v>
      </c>
      <c r="D21"/>
      <c r="E21" s="324" t="e">
        <f>H21/all_technical_specs!I44</f>
        <v>#DIV/0!</v>
      </c>
      <c r="F21" s="323"/>
      <c r="G21" s="323"/>
      <c r="H21" s="323">
        <f>'Fuel aggregation HP'!H43</f>
        <v>0</v>
      </c>
      <c r="J21" s="8"/>
      <c r="N21" s="68"/>
    </row>
    <row r="22" spans="2:14" x14ac:dyDescent="0.2">
      <c r="B22" s="113"/>
      <c r="C22" s="51" t="s">
        <v>286</v>
      </c>
      <c r="D22"/>
      <c r="E22" s="324" t="e">
        <f>H22/all_technical_specs!I44</f>
        <v>#DIV/0!</v>
      </c>
      <c r="F22" s="323"/>
      <c r="G22" s="323"/>
      <c r="H22" s="323">
        <f>'Fuel aggregation HP'!H47</f>
        <v>0</v>
      </c>
      <c r="J22" s="8"/>
      <c r="N22" s="68"/>
    </row>
    <row r="23" spans="2:14" ht="17" thickBot="1" x14ac:dyDescent="0.25">
      <c r="B23" s="113"/>
      <c r="C23" s="116" t="s">
        <v>226</v>
      </c>
      <c r="D23" s="193"/>
      <c r="E23" s="334" t="e">
        <f>SUM(E21:E22)</f>
        <v>#DIV/0!</v>
      </c>
      <c r="F23" s="325"/>
      <c r="G23" s="325"/>
      <c r="H23" s="325">
        <f>SUM(H21:H22)</f>
        <v>0</v>
      </c>
      <c r="I23" s="483"/>
      <c r="J23" s="463"/>
      <c r="N23" s="68"/>
    </row>
    <row r="24" spans="2:14" ht="17" thickTop="1" x14ac:dyDescent="0.2">
      <c r="B24" s="113"/>
      <c r="C24" s="196"/>
      <c r="D24" s="197"/>
      <c r="E24" s="339"/>
      <c r="F24" s="340"/>
      <c r="G24" s="340"/>
      <c r="H24" s="340"/>
      <c r="I24" s="502"/>
      <c r="J24" s="503"/>
      <c r="N24" s="68"/>
    </row>
    <row r="25" spans="2:14" x14ac:dyDescent="0.2">
      <c r="B25" s="113" t="s">
        <v>279</v>
      </c>
      <c r="C25" s="51"/>
      <c r="D25"/>
      <c r="E25" s="324"/>
      <c r="F25" s="323"/>
      <c r="G25" s="323"/>
      <c r="H25" s="323"/>
      <c r="J25" s="8"/>
      <c r="N25" s="68"/>
    </row>
    <row r="26" spans="2:14" x14ac:dyDescent="0.2">
      <c r="B26" s="113"/>
      <c r="C26" s="51" t="s">
        <v>42</v>
      </c>
      <c r="D26"/>
      <c r="E26" s="324" t="e">
        <f>SUM(E29:E30)</f>
        <v>#DIV/0!</v>
      </c>
      <c r="F26" s="323"/>
      <c r="G26" s="323"/>
      <c r="H26" s="323">
        <f>'Fuel aggregation HP'!H44</f>
        <v>0</v>
      </c>
      <c r="J26" s="8"/>
      <c r="N26" s="68"/>
    </row>
    <row r="27" spans="2:14" x14ac:dyDescent="0.2">
      <c r="B27" s="113"/>
      <c r="C27" s="51"/>
      <c r="D27"/>
      <c r="E27" s="324"/>
      <c r="F27" s="323"/>
      <c r="G27" s="323"/>
      <c r="H27" s="323"/>
      <c r="J27" s="8"/>
      <c r="N27" s="68"/>
    </row>
    <row r="28" spans="2:14" x14ac:dyDescent="0.2">
      <c r="B28" s="522" t="s">
        <v>773</v>
      </c>
      <c r="C28" s="51"/>
      <c r="D28"/>
      <c r="E28" s="324"/>
      <c r="F28" s="323"/>
      <c r="G28" s="323"/>
      <c r="H28" s="323"/>
      <c r="J28" s="8"/>
      <c r="N28" s="68"/>
    </row>
    <row r="29" spans="2:14" x14ac:dyDescent="0.2">
      <c r="B29" s="522"/>
      <c r="C29" s="51" t="s">
        <v>772</v>
      </c>
      <c r="D29"/>
      <c r="E29" s="324" t="e">
        <f>H29/all_technical_specs!I45</f>
        <v>#DIV/0!</v>
      </c>
      <c r="F29" s="323"/>
      <c r="G29" s="323"/>
      <c r="H29" s="323">
        <f>H26*Dashboard!E168</f>
        <v>0</v>
      </c>
      <c r="J29" s="8"/>
      <c r="N29" s="68"/>
    </row>
    <row r="30" spans="2:14" x14ac:dyDescent="0.2">
      <c r="B30" s="113"/>
      <c r="C30" s="51" t="s">
        <v>771</v>
      </c>
      <c r="D30"/>
      <c r="E30" s="324" t="e">
        <f>H30/all_technical_specs!I51</f>
        <v>#DIV/0!</v>
      </c>
      <c r="F30" s="323"/>
      <c r="G30" s="323"/>
      <c r="H30" s="323">
        <f>H26*Dashboard!E169</f>
        <v>0</v>
      </c>
      <c r="J30" s="8"/>
      <c r="N30" s="68"/>
    </row>
    <row r="31" spans="2:14" x14ac:dyDescent="0.2">
      <c r="B31" s="113"/>
      <c r="C31" s="51"/>
      <c r="D31"/>
      <c r="E31" s="324"/>
      <c r="F31" s="323"/>
      <c r="G31" s="323"/>
      <c r="H31" s="323"/>
      <c r="J31" s="8"/>
      <c r="N31" s="68"/>
    </row>
    <row r="32" spans="2:14" x14ac:dyDescent="0.2">
      <c r="B32" s="113"/>
      <c r="C32" s="49"/>
      <c r="D32" s="44"/>
      <c r="E32" s="338"/>
      <c r="F32" s="333"/>
      <c r="G32" s="333"/>
      <c r="H32" s="333"/>
      <c r="I32" s="10"/>
      <c r="J32" s="11"/>
      <c r="N32" s="68"/>
    </row>
    <row r="33" spans="2:14" x14ac:dyDescent="0.2">
      <c r="B33" s="113" t="s">
        <v>288</v>
      </c>
      <c r="C33" s="51"/>
      <c r="D33"/>
      <c r="E33" s="324"/>
      <c r="F33" s="323"/>
      <c r="G33" s="323"/>
      <c r="H33" s="323"/>
      <c r="J33" s="8"/>
      <c r="N33" s="68"/>
    </row>
    <row r="34" spans="2:14" x14ac:dyDescent="0.2">
      <c r="B34" s="113"/>
      <c r="C34" s="51" t="s">
        <v>221</v>
      </c>
      <c r="D34"/>
      <c r="E34" s="324" t="e">
        <f>H34/all_technical_specs!I46</f>
        <v>#DIV/0!</v>
      </c>
      <c r="F34" s="323"/>
      <c r="G34" s="323"/>
      <c r="H34" s="323">
        <f>'Fuel aggregation HP'!H45</f>
        <v>0</v>
      </c>
      <c r="J34" s="8"/>
      <c r="N34" s="68"/>
    </row>
    <row r="35" spans="2:14" x14ac:dyDescent="0.2">
      <c r="B35" s="67"/>
      <c r="C35" s="51" t="s">
        <v>446</v>
      </c>
      <c r="D35" s="141"/>
      <c r="E35" s="324" t="e">
        <f>H35/all_technical_specs!I46</f>
        <v>#DIV/0!</v>
      </c>
      <c r="F35" s="323"/>
      <c r="G35" s="323"/>
      <c r="H35" s="323">
        <f>'Fuel aggregation HP'!H46</f>
        <v>0</v>
      </c>
      <c r="I35" s="151"/>
      <c r="J35" s="140"/>
      <c r="N35" s="68"/>
    </row>
    <row r="36" spans="2:14" ht="17" thickBot="1" x14ac:dyDescent="0.25">
      <c r="B36" s="67"/>
      <c r="C36" s="116" t="s">
        <v>226</v>
      </c>
      <c r="D36" s="144"/>
      <c r="E36" s="334" t="e">
        <f>SUM(E34:E35)</f>
        <v>#DIV/0!</v>
      </c>
      <c r="F36" s="325"/>
      <c r="G36" s="325"/>
      <c r="H36" s="325">
        <f>SUM(H34:H35)</f>
        <v>0</v>
      </c>
      <c r="I36" s="474"/>
      <c r="J36" s="466"/>
      <c r="N36" s="68"/>
    </row>
    <row r="37" spans="2:14" ht="17" thickTop="1" x14ac:dyDescent="0.2">
      <c r="B37" s="67"/>
      <c r="C37" s="196"/>
      <c r="D37" s="198"/>
      <c r="E37" s="339"/>
      <c r="F37" s="340"/>
      <c r="G37" s="340"/>
      <c r="H37" s="340"/>
      <c r="I37" s="504"/>
      <c r="J37" s="505"/>
      <c r="N37" s="68"/>
    </row>
    <row r="38" spans="2:14" x14ac:dyDescent="0.2">
      <c r="B38" s="87" t="s">
        <v>283</v>
      </c>
      <c r="C38" s="51"/>
      <c r="D38" s="141"/>
      <c r="E38" s="324"/>
      <c r="F38" s="323"/>
      <c r="G38" s="323"/>
      <c r="H38" s="323"/>
      <c r="I38" s="151"/>
      <c r="J38" s="140"/>
      <c r="N38" s="68"/>
    </row>
    <row r="39" spans="2:14" x14ac:dyDescent="0.2">
      <c r="B39" s="87"/>
      <c r="C39" s="51" t="s">
        <v>201</v>
      </c>
      <c r="D39" s="141"/>
      <c r="E39" s="324" t="e">
        <f>H39/all_technical_specs!I47</f>
        <v>#DIV/0!</v>
      </c>
      <c r="F39" s="323"/>
      <c r="G39" s="323"/>
      <c r="H39" s="323">
        <f>'Fuel aggregation HP'!H48</f>
        <v>0</v>
      </c>
      <c r="I39" s="151"/>
      <c r="J39" s="140"/>
      <c r="N39" s="68"/>
    </row>
    <row r="40" spans="2:14" x14ac:dyDescent="0.2">
      <c r="B40" s="87"/>
      <c r="C40" s="49"/>
      <c r="D40" s="132"/>
      <c r="E40" s="338"/>
      <c r="F40" s="333"/>
      <c r="G40" s="333"/>
      <c r="H40" s="333"/>
      <c r="I40" s="506"/>
      <c r="J40" s="137"/>
      <c r="N40" s="68"/>
    </row>
    <row r="41" spans="2:14" ht="17" thickBot="1" x14ac:dyDescent="0.25">
      <c r="B41" s="195"/>
      <c r="C41" s="92"/>
      <c r="D41" s="150"/>
      <c r="E41" s="337"/>
      <c r="F41" s="341"/>
      <c r="G41" s="341"/>
      <c r="H41" s="341"/>
      <c r="I41" s="507"/>
      <c r="J41" s="498"/>
      <c r="K41" s="494"/>
      <c r="L41" s="494"/>
      <c r="M41" s="494"/>
      <c r="N41" s="495"/>
    </row>
    <row r="42" spans="2:14" ht="17" thickTop="1" x14ac:dyDescent="0.2">
      <c r="B42" s="87" t="s">
        <v>290</v>
      </c>
      <c r="C42" s="51"/>
      <c r="D42" s="141"/>
      <c r="E42" s="324"/>
      <c r="F42" s="323"/>
      <c r="G42" s="323"/>
      <c r="H42" s="323"/>
      <c r="I42" s="151"/>
      <c r="J42" s="140"/>
      <c r="N42" s="68"/>
    </row>
    <row r="43" spans="2:14" x14ac:dyDescent="0.2">
      <c r="B43" s="67"/>
      <c r="C43" s="51" t="s">
        <v>226</v>
      </c>
      <c r="D43" s="141"/>
      <c r="E43" s="324" t="e">
        <f>E11+E18+E23+E26+E36+E39</f>
        <v>#DIV/0!</v>
      </c>
      <c r="F43" s="323"/>
      <c r="G43" s="323"/>
      <c r="H43" s="323">
        <f>H11+H18+H23+H26+H36+H39</f>
        <v>0</v>
      </c>
      <c r="I43" s="151"/>
      <c r="J43" s="140"/>
      <c r="N43" s="68"/>
    </row>
    <row r="44" spans="2:14" ht="17" thickBot="1" x14ac:dyDescent="0.25">
      <c r="B44" s="74"/>
      <c r="C44" s="85"/>
      <c r="D44" s="145"/>
      <c r="E44" s="145"/>
      <c r="F44" s="145"/>
      <c r="G44" s="145"/>
      <c r="H44" s="145"/>
      <c r="I44" s="508"/>
      <c r="J44" s="509"/>
      <c r="K44" s="75"/>
      <c r="L44" s="75"/>
      <c r="M44" s="75"/>
      <c r="N44" s="76"/>
    </row>
  </sheetData>
  <mergeCells count="1">
    <mergeCell ref="B5:E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theme="8" tint="0.39997558519241921"/>
  </sheetPr>
  <dimension ref="B2:H38"/>
  <sheetViews>
    <sheetView workbookViewId="0">
      <selection activeCell="H34" sqref="H34"/>
    </sheetView>
  </sheetViews>
  <sheetFormatPr baseColWidth="10" defaultRowHeight="16" x14ac:dyDescent="0.2"/>
  <cols>
    <col min="1" max="1" width="10.83203125" style="2"/>
    <col min="2" max="2" width="18.6640625" style="2" customWidth="1"/>
    <col min="3" max="3" width="14.5" style="2" customWidth="1"/>
    <col min="4" max="4" width="19.83203125" style="2" customWidth="1"/>
    <col min="5" max="6" width="21.6640625" style="2" customWidth="1"/>
    <col min="7" max="7" width="6" style="2" customWidth="1"/>
    <col min="8" max="8" width="118.33203125" style="2" customWidth="1"/>
    <col min="9" max="16384" width="10.83203125" style="2"/>
  </cols>
  <sheetData>
    <row r="2" spans="2:8" ht="21" x14ac:dyDescent="0.25">
      <c r="B2" s="20" t="s">
        <v>260</v>
      </c>
    </row>
    <row r="4" spans="2:8" x14ac:dyDescent="0.2">
      <c r="B4" s="3" t="s">
        <v>37</v>
      </c>
      <c r="C4" s="4"/>
      <c r="D4" s="4"/>
      <c r="E4" s="4"/>
      <c r="F4" s="5"/>
    </row>
    <row r="5" spans="2:8" x14ac:dyDescent="0.2">
      <c r="B5" s="15" t="s">
        <v>287</v>
      </c>
      <c r="C5" s="10"/>
      <c r="D5" s="10"/>
      <c r="E5" s="10"/>
      <c r="F5" s="11"/>
    </row>
    <row r="6" spans="2:8" ht="17" thickBot="1" x14ac:dyDescent="0.25"/>
    <row r="7" spans="2:8" x14ac:dyDescent="0.2">
      <c r="B7" s="64" t="s">
        <v>260</v>
      </c>
      <c r="C7" s="82"/>
      <c r="D7" s="541"/>
      <c r="E7" s="82"/>
      <c r="F7" s="541"/>
      <c r="G7" s="82"/>
      <c r="H7" s="66"/>
    </row>
    <row r="8" spans="2:8" x14ac:dyDescent="0.2">
      <c r="B8" s="67"/>
      <c r="D8" s="8"/>
      <c r="F8" s="8"/>
      <c r="H8" s="68"/>
    </row>
    <row r="9" spans="2:8" ht="31" customHeight="1" x14ac:dyDescent="0.2">
      <c r="B9" s="131" t="s">
        <v>29</v>
      </c>
      <c r="C9" s="475" t="s">
        <v>38</v>
      </c>
      <c r="D9" s="476" t="s">
        <v>209</v>
      </c>
      <c r="E9" s="394" t="s">
        <v>633</v>
      </c>
      <c r="F9" s="395" t="s">
        <v>264</v>
      </c>
      <c r="G9" s="10"/>
      <c r="H9" s="459" t="s">
        <v>17</v>
      </c>
    </row>
    <row r="10" spans="2:8" x14ac:dyDescent="0.2">
      <c r="B10" s="87" t="s">
        <v>382</v>
      </c>
      <c r="E10" s="477"/>
      <c r="F10" s="478"/>
      <c r="G10" s="14"/>
      <c r="H10" s="68"/>
    </row>
    <row r="11" spans="2:8" x14ac:dyDescent="0.2">
      <c r="B11" s="67"/>
      <c r="C11" s="2" t="s">
        <v>383</v>
      </c>
      <c r="D11" s="2" t="s">
        <v>40</v>
      </c>
      <c r="E11" s="342">
        <f>E12</f>
        <v>0</v>
      </c>
      <c r="F11" s="292">
        <f>IF(E13=0,0,E11/E13)</f>
        <v>0</v>
      </c>
      <c r="G11" s="14"/>
      <c r="H11" s="68" t="s">
        <v>638</v>
      </c>
    </row>
    <row r="12" spans="2:8" x14ac:dyDescent="0.2">
      <c r="B12" s="67"/>
      <c r="D12" s="2" t="s">
        <v>201</v>
      </c>
      <c r="E12" s="342">
        <f>'Fuel aggregation PP'!D64</f>
        <v>0</v>
      </c>
      <c r="F12" s="292">
        <f>IF(E13=0,0,E12/E13)</f>
        <v>0</v>
      </c>
      <c r="G12" s="14"/>
      <c r="H12" s="68"/>
    </row>
    <row r="13" spans="2:8" ht="17" thickBot="1" x14ac:dyDescent="0.25">
      <c r="B13" s="67"/>
      <c r="D13" s="483" t="s">
        <v>226</v>
      </c>
      <c r="E13" s="343">
        <f>SUM(E11:E12)</f>
        <v>0</v>
      </c>
      <c r="F13" s="293"/>
      <c r="G13" s="14"/>
      <c r="H13" s="68"/>
    </row>
    <row r="14" spans="2:8" ht="17" thickTop="1" x14ac:dyDescent="0.2">
      <c r="B14" s="67"/>
      <c r="E14" s="479"/>
      <c r="F14" s="480"/>
      <c r="G14" s="14"/>
      <c r="H14" s="68"/>
    </row>
    <row r="15" spans="2:8" x14ac:dyDescent="0.2">
      <c r="B15" s="67"/>
      <c r="C15" s="2" t="s">
        <v>384</v>
      </c>
      <c r="D15" s="2" t="s">
        <v>281</v>
      </c>
      <c r="E15" s="342">
        <f>'Fuel aggregation PP'!D58</f>
        <v>0</v>
      </c>
      <c r="F15" s="292">
        <f>IF(E17=0,0,E15/E17)</f>
        <v>0</v>
      </c>
      <c r="G15" s="14"/>
      <c r="H15" s="68"/>
    </row>
    <row r="16" spans="2:8" x14ac:dyDescent="0.2">
      <c r="B16" s="67"/>
      <c r="D16" s="2" t="s">
        <v>482</v>
      </c>
      <c r="E16" s="342">
        <f>'Fuel aggregation PP'!D63</f>
        <v>0</v>
      </c>
      <c r="F16" s="292">
        <f>IF(E17=0,0,E16/E17)</f>
        <v>0</v>
      </c>
      <c r="G16" s="14"/>
      <c r="H16" s="68"/>
    </row>
    <row r="17" spans="2:8" ht="17" thickBot="1" x14ac:dyDescent="0.25">
      <c r="B17" s="67"/>
      <c r="D17" s="483" t="s">
        <v>226</v>
      </c>
      <c r="E17" s="343">
        <f>SUM(E15:E16)</f>
        <v>0</v>
      </c>
      <c r="F17" s="293"/>
      <c r="G17" s="14"/>
      <c r="H17" s="68"/>
    </row>
    <row r="18" spans="2:8" ht="17" thickTop="1" x14ac:dyDescent="0.2">
      <c r="B18" s="67"/>
      <c r="E18" s="479"/>
      <c r="F18" s="480"/>
      <c r="G18" s="14"/>
      <c r="H18" s="68"/>
    </row>
    <row r="19" spans="2:8" x14ac:dyDescent="0.2">
      <c r="B19" s="67"/>
      <c r="C19" s="2" t="s">
        <v>385</v>
      </c>
      <c r="D19" s="2" t="s">
        <v>221</v>
      </c>
      <c r="E19" s="342">
        <f>'Fuel aggregation PP'!D61</f>
        <v>0</v>
      </c>
      <c r="F19" s="292">
        <f>IF(E21=0,0,E19/E21)</f>
        <v>0</v>
      </c>
      <c r="G19" s="14"/>
      <c r="H19" s="68"/>
    </row>
    <row r="20" spans="2:8" x14ac:dyDescent="0.2">
      <c r="B20" s="67"/>
      <c r="D20" s="2" t="s">
        <v>222</v>
      </c>
      <c r="E20" s="342">
        <f>'Fuel aggregation PP'!D62</f>
        <v>0</v>
      </c>
      <c r="F20" s="292">
        <f>IF(E21=0,0,E20/E21)</f>
        <v>0</v>
      </c>
      <c r="G20" s="14"/>
      <c r="H20" s="68"/>
    </row>
    <row r="21" spans="2:8" ht="17" thickBot="1" x14ac:dyDescent="0.25">
      <c r="B21" s="67"/>
      <c r="D21" s="483" t="s">
        <v>226</v>
      </c>
      <c r="E21" s="343">
        <f>SUM(E19:E20)</f>
        <v>0</v>
      </c>
      <c r="F21" s="294"/>
      <c r="G21" s="14"/>
      <c r="H21" s="68"/>
    </row>
    <row r="22" spans="2:8" ht="18" thickTop="1" thickBot="1" x14ac:dyDescent="0.25">
      <c r="B22" s="74"/>
      <c r="C22" s="75"/>
      <c r="D22" s="75"/>
      <c r="E22" s="481"/>
      <c r="F22" s="482"/>
      <c r="G22" s="112"/>
      <c r="H22" s="76"/>
    </row>
    <row r="23" spans="2:8" x14ac:dyDescent="0.2">
      <c r="B23" s="87" t="s">
        <v>285</v>
      </c>
      <c r="D23" s="8"/>
      <c r="E23" s="327"/>
      <c r="F23" s="19"/>
      <c r="H23" s="68"/>
    </row>
    <row r="24" spans="2:8" x14ac:dyDescent="0.2">
      <c r="B24" s="87"/>
      <c r="C24" s="2" t="s">
        <v>278</v>
      </c>
      <c r="D24" s="8" t="s">
        <v>41</v>
      </c>
      <c r="E24" s="323">
        <f>'Fuel aggregation HP'!H43</f>
        <v>0</v>
      </c>
      <c r="F24" s="292">
        <f>IF(E26=0,0,E24/E26)</f>
        <v>0</v>
      </c>
      <c r="H24" s="68"/>
    </row>
    <row r="25" spans="2:8" x14ac:dyDescent="0.2">
      <c r="B25" s="87"/>
      <c r="D25" s="8" t="s">
        <v>482</v>
      </c>
      <c r="E25" s="323">
        <f>'Fuel aggregation HP'!H47</f>
        <v>0</v>
      </c>
      <c r="F25" s="292">
        <f>IF(E26=0,0,E25/E26)</f>
        <v>0</v>
      </c>
      <c r="H25" s="68"/>
    </row>
    <row r="26" spans="2:8" ht="17" thickBot="1" x14ac:dyDescent="0.25">
      <c r="B26" s="87"/>
      <c r="D26" s="463" t="s">
        <v>226</v>
      </c>
      <c r="E26" s="325">
        <f>SUM(E24:E25)</f>
        <v>0</v>
      </c>
      <c r="F26" s="295"/>
      <c r="H26" s="68"/>
    </row>
    <row r="27" spans="2:8" ht="17" thickTop="1" x14ac:dyDescent="0.2">
      <c r="B27" s="87"/>
      <c r="D27" s="8"/>
      <c r="E27" s="327"/>
      <c r="F27" s="484"/>
      <c r="H27" s="68"/>
    </row>
    <row r="28" spans="2:8" x14ac:dyDescent="0.2">
      <c r="B28" s="87"/>
      <c r="C28" s="2" t="s">
        <v>288</v>
      </c>
      <c r="D28" s="8" t="s">
        <v>221</v>
      </c>
      <c r="E28" s="323">
        <f>'Fuel aggregation HP'!H45</f>
        <v>0</v>
      </c>
      <c r="F28" s="292">
        <f>IF(E30=0,0,E28/E30)</f>
        <v>0</v>
      </c>
      <c r="H28" s="68"/>
    </row>
    <row r="29" spans="2:8" x14ac:dyDescent="0.2">
      <c r="B29" s="67"/>
      <c r="D29" s="8" t="s">
        <v>289</v>
      </c>
      <c r="E29" s="323">
        <f>'Fuel aggregation HP'!H46</f>
        <v>0</v>
      </c>
      <c r="F29" s="292">
        <f>IF(E30=0,0,E29/E30)</f>
        <v>0</v>
      </c>
      <c r="H29" s="68"/>
    </row>
    <row r="30" spans="2:8" ht="17" thickBot="1" x14ac:dyDescent="0.25">
      <c r="B30" s="67"/>
      <c r="D30" s="463" t="s">
        <v>226</v>
      </c>
      <c r="E30" s="325">
        <f>SUM(E28:E29)</f>
        <v>0</v>
      </c>
      <c r="F30" s="255"/>
      <c r="G30" s="14"/>
      <c r="H30" s="68"/>
    </row>
    <row r="31" spans="2:8" ht="18" thickTop="1" thickBot="1" x14ac:dyDescent="0.25">
      <c r="B31" s="74"/>
      <c r="C31" s="75"/>
      <c r="D31" s="75"/>
      <c r="E31" s="485"/>
      <c r="F31" s="486"/>
      <c r="G31" s="112"/>
      <c r="H31" s="76"/>
    </row>
    <row r="32" spans="2:8" x14ac:dyDescent="0.2">
      <c r="B32" s="67"/>
      <c r="D32" s="541"/>
      <c r="E32" s="151"/>
      <c r="F32" s="555"/>
      <c r="H32" s="68"/>
    </row>
    <row r="33" spans="2:8" ht="34" x14ac:dyDescent="0.2">
      <c r="B33" s="131" t="s">
        <v>29</v>
      </c>
      <c r="C33" s="475" t="s">
        <v>38</v>
      </c>
      <c r="D33" s="476" t="s">
        <v>209</v>
      </c>
      <c r="E33" s="394" t="s">
        <v>844</v>
      </c>
      <c r="F33" s="395" t="s">
        <v>843</v>
      </c>
      <c r="H33" s="68"/>
    </row>
    <row r="34" spans="2:8" x14ac:dyDescent="0.2">
      <c r="B34" s="87" t="s">
        <v>830</v>
      </c>
      <c r="C34"/>
      <c r="D34" s="51"/>
      <c r="E34"/>
      <c r="F34" s="51"/>
      <c r="H34" s="68"/>
    </row>
    <row r="35" spans="2:8" x14ac:dyDescent="0.2">
      <c r="B35" s="87"/>
      <c r="C35" t="s">
        <v>831</v>
      </c>
      <c r="D35" s="51" t="s">
        <v>42</v>
      </c>
      <c r="E35" s="323">
        <f>'Oil aggregation CHP'!E26</f>
        <v>0</v>
      </c>
      <c r="F35" s="292" t="e">
        <f>IF(E37=0,0,E35/E37)</f>
        <v>#DIV/0!</v>
      </c>
      <c r="H35" s="68"/>
    </row>
    <row r="36" spans="2:8" x14ac:dyDescent="0.2">
      <c r="B36" s="87"/>
      <c r="C36"/>
      <c r="D36" s="51" t="s">
        <v>44</v>
      </c>
      <c r="E36" s="323">
        <f>'Oil aggregation CHP'!E27</f>
        <v>0</v>
      </c>
      <c r="F36" s="292" t="e">
        <f>IF(E37=0,0,E36/E37)</f>
        <v>#DIV/0!</v>
      </c>
      <c r="H36" s="68"/>
    </row>
    <row r="37" spans="2:8" ht="17" thickBot="1" x14ac:dyDescent="0.25">
      <c r="B37" s="87"/>
      <c r="C37"/>
      <c r="D37" s="116" t="s">
        <v>226</v>
      </c>
      <c r="E37" s="530" t="e">
        <f>SUM(csv_central_producers!B57:B59)</f>
        <v>#DIV/0!</v>
      </c>
      <c r="F37" s="255"/>
      <c r="G37" s="14"/>
      <c r="H37" s="68" t="s">
        <v>832</v>
      </c>
    </row>
    <row r="38" spans="2:8" ht="18" thickTop="1" thickBot="1" x14ac:dyDescent="0.25">
      <c r="B38" s="74"/>
      <c r="C38" s="35"/>
      <c r="D38" s="85"/>
      <c r="E38" s="35"/>
      <c r="F38" s="486"/>
      <c r="G38" s="112"/>
      <c r="H38" s="76"/>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theme="8" tint="0.39997558519241921"/>
  </sheetPr>
  <dimension ref="B2:G19"/>
  <sheetViews>
    <sheetView workbookViewId="0"/>
  </sheetViews>
  <sheetFormatPr baseColWidth="10" defaultRowHeight="16" x14ac:dyDescent="0.2"/>
  <cols>
    <col min="1" max="1" width="7.83203125" style="2" customWidth="1"/>
    <col min="2" max="2" width="27.83203125" style="2" customWidth="1"/>
    <col min="3" max="3" width="31.83203125" style="2" customWidth="1"/>
    <col min="4" max="4" width="19.33203125" style="2" customWidth="1"/>
    <col min="5" max="5" width="11.83203125" style="2" customWidth="1"/>
    <col min="6" max="6" width="8.33203125" style="2" customWidth="1"/>
    <col min="7" max="7" width="94.33203125" style="2" customWidth="1"/>
    <col min="8" max="16384" width="10.83203125" style="2"/>
  </cols>
  <sheetData>
    <row r="2" spans="2:7" ht="21" x14ac:dyDescent="0.25">
      <c r="B2" s="20" t="s">
        <v>541</v>
      </c>
    </row>
    <row r="4" spans="2:7" x14ac:dyDescent="0.2">
      <c r="B4" s="3" t="s">
        <v>37</v>
      </c>
      <c r="C4" s="4"/>
      <c r="D4" s="4"/>
      <c r="E4" s="5"/>
    </row>
    <row r="5" spans="2:7" ht="47" customHeight="1" x14ac:dyDescent="0.2">
      <c r="B5" s="619" t="s">
        <v>547</v>
      </c>
      <c r="C5" s="620"/>
      <c r="D5" s="620"/>
      <c r="E5" s="621"/>
      <c r="F5" s="297"/>
    </row>
    <row r="6" spans="2:7" ht="17" thickBot="1" x14ac:dyDescent="0.25"/>
    <row r="7" spans="2:7" x14ac:dyDescent="0.2">
      <c r="B7" s="64" t="s">
        <v>542</v>
      </c>
      <c r="C7" s="65"/>
      <c r="D7" s="65"/>
      <c r="E7" s="65"/>
      <c r="F7" s="65"/>
      <c r="G7" s="284"/>
    </row>
    <row r="8" spans="2:7" x14ac:dyDescent="0.2">
      <c r="B8" s="69"/>
      <c r="C8" s="1"/>
      <c r="D8" s="1"/>
      <c r="E8" s="1"/>
      <c r="F8" s="1"/>
      <c r="G8" s="70"/>
    </row>
    <row r="9" spans="2:7" x14ac:dyDescent="0.2">
      <c r="B9" s="69" t="s">
        <v>29</v>
      </c>
      <c r="C9" s="308" t="s">
        <v>38</v>
      </c>
      <c r="D9" s="396" t="s">
        <v>543</v>
      </c>
      <c r="E9" s="308"/>
      <c r="F9" s="396"/>
      <c r="G9" s="397" t="s">
        <v>17</v>
      </c>
    </row>
    <row r="10" spans="2:7" x14ac:dyDescent="0.2">
      <c r="B10" s="87" t="s">
        <v>554</v>
      </c>
      <c r="C10" t="s">
        <v>555</v>
      </c>
      <c r="D10" s="366">
        <f>'Corrected energy balance step 1'!BG94*kWh_MJ_conversion</f>
        <v>0</v>
      </c>
      <c r="E10"/>
      <c r="F10" s="14"/>
      <c r="G10" s="68"/>
    </row>
    <row r="11" spans="2:7" x14ac:dyDescent="0.2">
      <c r="B11" s="87"/>
      <c r="C11" s="10"/>
      <c r="D11" s="499"/>
      <c r="E11" s="11"/>
      <c r="F11" s="14"/>
      <c r="G11" s="68"/>
    </row>
    <row r="12" spans="2:7" x14ac:dyDescent="0.2">
      <c r="B12" s="87" t="s">
        <v>114</v>
      </c>
      <c r="C12" t="s">
        <v>556</v>
      </c>
      <c r="D12" s="366">
        <f>'autoproducer prod.'!AO10*kWh_MJ_conversion</f>
        <v>0</v>
      </c>
      <c r="E12"/>
      <c r="F12" s="14"/>
      <c r="G12" s="68" t="s">
        <v>612</v>
      </c>
    </row>
    <row r="13" spans="2:7" x14ac:dyDescent="0.2">
      <c r="B13" s="87"/>
      <c r="C13" t="s">
        <v>544</v>
      </c>
      <c r="D13" s="366"/>
      <c r="E13" s="296" t="e">
        <f>'Corrected energy balance step 1'!BN94/'autoproducer prod.'!E10</f>
        <v>#DIV/0!</v>
      </c>
      <c r="F13" s="500"/>
      <c r="G13" s="68"/>
    </row>
    <row r="14" spans="2:7" x14ac:dyDescent="0.2">
      <c r="B14" s="87"/>
      <c r="C14" t="s">
        <v>557</v>
      </c>
      <c r="D14" s="367" t="e">
        <f>D12*E13</f>
        <v>#DIV/0!</v>
      </c>
      <c r="E14"/>
      <c r="F14" s="14"/>
      <c r="G14" s="68"/>
    </row>
    <row r="15" spans="2:7" x14ac:dyDescent="0.2">
      <c r="B15" s="87"/>
      <c r="C15" t="s">
        <v>558</v>
      </c>
      <c r="D15" s="367" t="e">
        <f>D14/all_technical_specs!H34</f>
        <v>#DIV/0!</v>
      </c>
      <c r="E15"/>
      <c r="F15" s="14"/>
      <c r="G15" s="68"/>
    </row>
    <row r="16" spans="2:7" x14ac:dyDescent="0.2">
      <c r="B16" s="87"/>
      <c r="C16" s="10"/>
      <c r="D16" s="501"/>
      <c r="E16" s="11"/>
      <c r="F16" s="14"/>
      <c r="G16" s="68"/>
    </row>
    <row r="17" spans="2:7" x14ac:dyDescent="0.2">
      <c r="B17" s="87" t="s">
        <v>218</v>
      </c>
      <c r="C17" t="s">
        <v>557</v>
      </c>
      <c r="D17" s="367" t="e">
        <f>D10-D14</f>
        <v>#DIV/0!</v>
      </c>
      <c r="E17"/>
      <c r="F17" s="14"/>
      <c r="G17" s="68" t="s">
        <v>613</v>
      </c>
    </row>
    <row r="18" spans="2:7" x14ac:dyDescent="0.2">
      <c r="B18" s="67"/>
      <c r="C18" t="s">
        <v>558</v>
      </c>
      <c r="D18" s="367" t="e">
        <f>D17/all_technical_specs!H35</f>
        <v>#DIV/0!</v>
      </c>
      <c r="E18"/>
      <c r="F18" s="14"/>
      <c r="G18" s="68"/>
    </row>
    <row r="19" spans="2:7" ht="17" thickBot="1" x14ac:dyDescent="0.25">
      <c r="B19" s="74"/>
      <c r="C19" s="75"/>
      <c r="D19" s="112"/>
      <c r="E19" s="75"/>
      <c r="F19" s="112"/>
      <c r="G19" s="76"/>
    </row>
  </sheetData>
  <mergeCells count="1">
    <mergeCell ref="B5:E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theme="8" tint="0.39997558519241921"/>
  </sheetPr>
  <dimension ref="A1:N72"/>
  <sheetViews>
    <sheetView workbookViewId="0">
      <pane xSplit="3" ySplit="9" topLeftCell="D10" activePane="bottomRight" state="frozen"/>
      <selection pane="topRight" activeCell="D1" sqref="D1"/>
      <selection pane="bottomLeft" activeCell="A10" sqref="A10"/>
      <selection pane="bottomRight" activeCell="D12" sqref="D12"/>
    </sheetView>
  </sheetViews>
  <sheetFormatPr baseColWidth="10" defaultRowHeight="16" x14ac:dyDescent="0.2"/>
  <cols>
    <col min="1" max="1" width="10.83203125" style="2"/>
    <col min="2" max="2" width="27.1640625" style="2" customWidth="1"/>
    <col min="3" max="3" width="31.1640625" style="2" customWidth="1"/>
    <col min="4" max="10" width="21.33203125" style="2" customWidth="1"/>
    <col min="11" max="11" width="6" style="2" customWidth="1"/>
    <col min="12" max="12" width="31.5" style="2" customWidth="1"/>
    <col min="13" max="13" width="4.83203125" style="2" customWidth="1"/>
    <col min="14" max="14" width="64" style="2" customWidth="1"/>
    <col min="15" max="16384" width="10.83203125" style="2"/>
  </cols>
  <sheetData>
    <row r="1" spans="1:14" x14ac:dyDescent="0.2">
      <c r="A1" s="311"/>
    </row>
    <row r="2" spans="1:14" ht="21" x14ac:dyDescent="0.25">
      <c r="B2" s="20" t="s">
        <v>491</v>
      </c>
    </row>
    <row r="4" spans="1:14" x14ac:dyDescent="0.2">
      <c r="B4" s="3" t="s">
        <v>37</v>
      </c>
      <c r="C4" s="5"/>
    </row>
    <row r="5" spans="1:14" ht="30" customHeight="1" x14ac:dyDescent="0.2">
      <c r="B5" s="619" t="s">
        <v>404</v>
      </c>
      <c r="C5" s="621"/>
      <c r="D5" s="376"/>
      <c r="E5" s="376"/>
      <c r="F5" s="376"/>
    </row>
    <row r="6" spans="1:14" ht="17" thickBot="1" x14ac:dyDescent="0.25"/>
    <row r="7" spans="1:14" x14ac:dyDescent="0.2">
      <c r="B7" s="64" t="s">
        <v>206</v>
      </c>
      <c r="C7" s="82"/>
      <c r="D7" s="82"/>
      <c r="E7" s="82"/>
      <c r="F7" s="82"/>
      <c r="G7" s="82"/>
      <c r="H7" s="82"/>
      <c r="I7" s="82"/>
      <c r="J7" s="82"/>
      <c r="K7" s="82"/>
      <c r="L7" s="82"/>
      <c r="M7" s="82"/>
      <c r="N7" s="66"/>
    </row>
    <row r="8" spans="1:14" x14ac:dyDescent="0.2">
      <c r="B8" s="67"/>
      <c r="N8" s="68"/>
    </row>
    <row r="9" spans="1:14" ht="34" x14ac:dyDescent="0.2">
      <c r="B9" s="90" t="s">
        <v>38</v>
      </c>
      <c r="C9" s="62" t="s">
        <v>39</v>
      </c>
      <c r="D9" s="27" t="s">
        <v>630</v>
      </c>
      <c r="E9" s="26" t="s">
        <v>631</v>
      </c>
      <c r="F9" s="457"/>
      <c r="G9" s="457"/>
      <c r="H9" s="456"/>
      <c r="I9" s="457"/>
      <c r="J9" s="458"/>
      <c r="K9" s="456"/>
      <c r="L9" s="456" t="s">
        <v>27</v>
      </c>
      <c r="M9" s="456"/>
      <c r="N9" s="459" t="s">
        <v>17</v>
      </c>
    </row>
    <row r="10" spans="1:14" ht="17" x14ac:dyDescent="0.2">
      <c r="B10" s="95" t="s">
        <v>321</v>
      </c>
      <c r="C10" s="89"/>
      <c r="D10" s="60"/>
      <c r="E10" s="60"/>
      <c r="F10" s="99"/>
      <c r="G10" s="99"/>
      <c r="H10" s="60"/>
      <c r="I10" s="99"/>
      <c r="J10" s="100"/>
      <c r="K10" s="60"/>
      <c r="L10" s="60"/>
      <c r="M10" s="60"/>
      <c r="N10" s="101"/>
    </row>
    <row r="11" spans="1:14" ht="15" customHeight="1" x14ac:dyDescent="0.2">
      <c r="B11" s="96"/>
      <c r="C11" s="51" t="s">
        <v>40</v>
      </c>
      <c r="D11" s="344">
        <f>SUM('Corrected energy balance step 1'!C93:H93,'Corrected energy balance step 1'!J93:N93,'Corrected energy balance step 2'!S93)*kWh_MJ_conversion</f>
        <v>0</v>
      </c>
      <c r="E11" s="344">
        <f>-SUM('Corrected energy balance step 1'!C19:H19,'Corrected energy balance step 1'!J19:N19,'Corrected energy balance step 1'!S19)</f>
        <v>0</v>
      </c>
      <c r="F11" s="139"/>
      <c r="G11" s="138"/>
      <c r="H11" s="138"/>
      <c r="I11" s="460"/>
      <c r="J11" s="140"/>
      <c r="K11" s="461"/>
      <c r="N11" s="68"/>
    </row>
    <row r="12" spans="1:14" ht="15" customHeight="1" x14ac:dyDescent="0.2">
      <c r="B12" s="96"/>
      <c r="C12" s="51" t="s">
        <v>953</v>
      </c>
      <c r="D12" s="344">
        <f>SUM('Corrected energy balance step 1'!O93:R93)*kWh_MJ_conversion</f>
        <v>0</v>
      </c>
      <c r="E12" s="344">
        <f>-SUM('Corrected energy balance step 1'!O19:R19)</f>
        <v>0</v>
      </c>
      <c r="F12" s="139"/>
      <c r="G12" s="138"/>
      <c r="H12" s="138"/>
      <c r="I12" s="460"/>
      <c r="J12" s="140"/>
      <c r="K12" s="461"/>
      <c r="N12" s="68"/>
    </row>
    <row r="13" spans="1:14" ht="15" customHeight="1" x14ac:dyDescent="0.2">
      <c r="B13" s="96"/>
      <c r="C13" s="51" t="s">
        <v>140</v>
      </c>
      <c r="D13" s="344">
        <f>'Corrected energy balance step 1'!I93*kWh_MJ_conversion</f>
        <v>0</v>
      </c>
      <c r="E13" s="344">
        <f>-'Corrected energy balance step 1'!I19</f>
        <v>0</v>
      </c>
      <c r="F13" s="139"/>
      <c r="G13" s="138"/>
      <c r="H13" s="138"/>
      <c r="I13" s="460"/>
      <c r="J13" s="140"/>
      <c r="K13" s="461"/>
      <c r="N13" s="68"/>
    </row>
    <row r="14" spans="1:14" ht="15" customHeight="1" x14ac:dyDescent="0.2">
      <c r="B14" s="97"/>
      <c r="C14" s="51" t="s">
        <v>41</v>
      </c>
      <c r="D14" s="344">
        <f>'Corrected energy balance step 1'!T93*kWh_MJ_conversion</f>
        <v>0</v>
      </c>
      <c r="E14" s="344">
        <f>-'Corrected energy balance step 1'!T19</f>
        <v>0</v>
      </c>
      <c r="F14" s="139"/>
      <c r="G14" s="138"/>
      <c r="H14" s="138"/>
      <c r="I14" s="460"/>
      <c r="J14" s="140"/>
      <c r="K14" s="461"/>
      <c r="N14" s="68"/>
    </row>
    <row r="15" spans="1:14" ht="15" customHeight="1" x14ac:dyDescent="0.2">
      <c r="B15" s="69"/>
      <c r="C15" s="51" t="s">
        <v>42</v>
      </c>
      <c r="D15" s="344">
        <f>SUM('Corrected energy balance step 1'!U93:AH93,'Corrected energy balance step 1'!AJ93:AQ93)*kWh_MJ_conversion</f>
        <v>0</v>
      </c>
      <c r="E15" s="344">
        <f>-SUM('Corrected energy balance step 1'!U19:AH19,'Corrected energy balance step 1'!AJ19:AQ19)</f>
        <v>0</v>
      </c>
      <c r="F15" s="139"/>
      <c r="G15" s="138"/>
      <c r="H15" s="138"/>
      <c r="I15" s="460"/>
      <c r="J15" s="140"/>
      <c r="K15" s="461"/>
      <c r="N15" s="68"/>
    </row>
    <row r="16" spans="1:14" ht="15" customHeight="1" x14ac:dyDescent="0.2">
      <c r="B16" s="69"/>
      <c r="C16" s="51" t="s">
        <v>315</v>
      </c>
      <c r="D16" s="344">
        <f>'Corrected energy balance step 1'!AI93*kWh_MJ_conversion</f>
        <v>0</v>
      </c>
      <c r="E16" s="344">
        <f>-'Corrected energy balance step 1'!AI19</f>
        <v>0</v>
      </c>
      <c r="F16" s="139"/>
      <c r="G16" s="138"/>
      <c r="H16" s="138"/>
      <c r="I16" s="460"/>
      <c r="J16" s="140"/>
      <c r="K16" s="461"/>
      <c r="N16" s="68"/>
    </row>
    <row r="17" spans="2:14" ht="15" customHeight="1" x14ac:dyDescent="0.2">
      <c r="B17" s="71"/>
      <c r="C17" s="63" t="s">
        <v>221</v>
      </c>
      <c r="D17" s="344">
        <f>'Corrected energy balance step 1'!AS93*kWh_MJ_conversion</f>
        <v>0</v>
      </c>
      <c r="E17" s="344">
        <f>-'Corrected energy balance step 1'!AS19</f>
        <v>0</v>
      </c>
      <c r="F17" s="139"/>
      <c r="G17" s="138"/>
      <c r="H17" s="138"/>
      <c r="I17" s="460"/>
      <c r="J17" s="140"/>
      <c r="K17" s="461"/>
      <c r="N17" s="68"/>
    </row>
    <row r="18" spans="2:14" ht="15" customHeight="1" x14ac:dyDescent="0.2">
      <c r="B18" s="71"/>
      <c r="C18" s="63" t="s">
        <v>222</v>
      </c>
      <c r="D18" s="344">
        <f>SUM('Corrected energy balance step 1'!AR93,'Corrected energy balance step 1'!AT93)*kWh_MJ_conversion</f>
        <v>0</v>
      </c>
      <c r="E18" s="344">
        <f>-SUM('Corrected energy balance step 1'!AR19,'Corrected energy balance step 1'!AT19)</f>
        <v>0</v>
      </c>
      <c r="F18" s="139"/>
      <c r="G18" s="138"/>
      <c r="H18" s="138"/>
      <c r="I18" s="460"/>
      <c r="J18" s="140"/>
      <c r="K18" s="461"/>
      <c r="N18" s="68"/>
    </row>
    <row r="19" spans="2:14" ht="15" customHeight="1" x14ac:dyDescent="0.2">
      <c r="B19" s="71"/>
      <c r="C19" s="63" t="s">
        <v>482</v>
      </c>
      <c r="D19" s="344">
        <f>'Corrected energy balance step 1'!AV93*kWh_MJ_conversion</f>
        <v>0</v>
      </c>
      <c r="E19" s="344">
        <f>-'Corrected energy balance step 1'!AV19</f>
        <v>0</v>
      </c>
      <c r="F19" s="460"/>
      <c r="G19" s="138"/>
      <c r="H19" s="138"/>
      <c r="I19" s="460"/>
      <c r="J19" s="140"/>
      <c r="K19" s="461"/>
      <c r="N19" s="68"/>
    </row>
    <row r="20" spans="2:14" ht="15" customHeight="1" x14ac:dyDescent="0.2">
      <c r="B20" s="71"/>
      <c r="C20" s="191" t="s">
        <v>44</v>
      </c>
      <c r="D20" s="344">
        <f>SUM('Corrected energy balance step 1'!AW93:AY93)*kWh_MJ_conversion</f>
        <v>0</v>
      </c>
      <c r="E20" s="344">
        <f>-SUM('Corrected energy balance step 1'!AW19:AY19)</f>
        <v>0</v>
      </c>
      <c r="F20" s="460"/>
      <c r="G20" s="138"/>
      <c r="H20" s="138"/>
      <c r="I20" s="460"/>
      <c r="J20" s="140"/>
      <c r="K20" s="461"/>
      <c r="N20" s="68" t="s">
        <v>379</v>
      </c>
    </row>
    <row r="21" spans="2:14" ht="15" customHeight="1" x14ac:dyDescent="0.2">
      <c r="B21" s="71"/>
      <c r="C21" s="191" t="s">
        <v>201</v>
      </c>
      <c r="D21" s="344">
        <f>SUM('Corrected energy balance step 1'!AU93,'Corrected energy balance step 1'!AZ93)*kWh_MJ_conversion</f>
        <v>0</v>
      </c>
      <c r="E21" s="344">
        <f>-SUM('Corrected energy balance step 1'!AU19,'Corrected energy balance step 1'!AZ19)</f>
        <v>0</v>
      </c>
      <c r="F21" s="460"/>
      <c r="G21" s="138"/>
      <c r="H21" s="138"/>
      <c r="I21" s="460"/>
      <c r="J21" s="140"/>
      <c r="K21" s="461"/>
      <c r="N21" s="68"/>
    </row>
    <row r="22" spans="2:14" ht="15" customHeight="1" x14ac:dyDescent="0.2">
      <c r="B22" s="71"/>
      <c r="C22" s="191" t="s">
        <v>187</v>
      </c>
      <c r="D22" s="344">
        <f>'Corrected energy balance step 1'!BD93*kWh_MJ_conversion</f>
        <v>0</v>
      </c>
      <c r="E22" s="344">
        <f>-'Corrected energy balance step 1'!BD19</f>
        <v>0</v>
      </c>
      <c r="F22" s="460"/>
      <c r="G22" s="138"/>
      <c r="H22" s="138"/>
      <c r="I22" s="460"/>
      <c r="J22" s="140"/>
      <c r="K22" s="461"/>
      <c r="N22" s="68"/>
    </row>
    <row r="23" spans="2:14" ht="15" customHeight="1" x14ac:dyDescent="0.2">
      <c r="B23" s="71"/>
      <c r="C23" s="191" t="s">
        <v>193</v>
      </c>
      <c r="D23" s="344">
        <f>'Corrected energy balance step 1'!BJ93*kWh_MJ_conversion</f>
        <v>0</v>
      </c>
      <c r="E23" s="344">
        <f>-'Corrected energy balance step 1'!BJ19</f>
        <v>0</v>
      </c>
      <c r="F23" s="460"/>
      <c r="G23" s="138"/>
      <c r="H23" s="138"/>
      <c r="I23" s="460"/>
      <c r="J23" s="140"/>
      <c r="K23" s="461"/>
      <c r="N23" s="462"/>
    </row>
    <row r="24" spans="2:14" ht="15" customHeight="1" x14ac:dyDescent="0.2">
      <c r="B24" s="71"/>
      <c r="C24" s="63" t="s">
        <v>188</v>
      </c>
      <c r="D24" s="344">
        <f>'Corrected energy balance step 1'!BE93*kWh_MJ_conversion</f>
        <v>0</v>
      </c>
      <c r="E24" s="344">
        <f>-'Corrected energy balance step 1'!BE19</f>
        <v>0</v>
      </c>
      <c r="F24" s="460"/>
      <c r="G24" s="138"/>
      <c r="H24" s="138"/>
      <c r="I24" s="460"/>
      <c r="J24" s="140"/>
      <c r="K24" s="461"/>
      <c r="N24" s="68"/>
    </row>
    <row r="25" spans="2:14" ht="15" customHeight="1" x14ac:dyDescent="0.2">
      <c r="B25" s="71"/>
      <c r="C25" s="63" t="s">
        <v>189</v>
      </c>
      <c r="D25" s="344">
        <f>'Corrected energy balance step 1'!BF93*kWh_MJ_conversion</f>
        <v>0</v>
      </c>
      <c r="E25" s="344">
        <f>-'Corrected energy balance step 1'!BF19</f>
        <v>0</v>
      </c>
      <c r="F25" s="460"/>
      <c r="G25" s="138"/>
      <c r="H25" s="138"/>
      <c r="I25" s="460"/>
      <c r="J25" s="140"/>
      <c r="K25" s="461"/>
      <c r="N25" s="68"/>
    </row>
    <row r="26" spans="2:14" ht="15" customHeight="1" x14ac:dyDescent="0.2">
      <c r="B26" s="71"/>
      <c r="C26" s="63" t="s">
        <v>323</v>
      </c>
      <c r="D26" s="344">
        <f>'Corrected energy balance step 1'!BG93*kWh_MJ_conversion</f>
        <v>0</v>
      </c>
      <c r="E26" s="344">
        <f>-'Corrected energy balance step 1'!BG19</f>
        <v>0</v>
      </c>
      <c r="F26" s="460"/>
      <c r="G26" s="138"/>
      <c r="H26" s="138"/>
      <c r="I26" s="460"/>
      <c r="J26" s="140"/>
      <c r="K26" s="461"/>
      <c r="N26" s="68"/>
    </row>
    <row r="27" spans="2:14" ht="15" customHeight="1" x14ac:dyDescent="0.2">
      <c r="B27" s="71"/>
      <c r="C27" s="63" t="s">
        <v>191</v>
      </c>
      <c r="D27" s="344">
        <f>'Corrected energy balance step 1'!BH93*kWh_MJ_conversion</f>
        <v>0</v>
      </c>
      <c r="E27" s="344">
        <f>-'Corrected energy balance step 1'!BH19</f>
        <v>0</v>
      </c>
      <c r="F27" s="460"/>
      <c r="G27" s="138"/>
      <c r="H27" s="138"/>
      <c r="I27" s="460"/>
      <c r="J27" s="140"/>
      <c r="K27" s="461"/>
      <c r="N27" s="68"/>
    </row>
    <row r="28" spans="2:14" ht="15" customHeight="1" x14ac:dyDescent="0.2">
      <c r="B28" s="71"/>
      <c r="C28" s="191" t="s">
        <v>194</v>
      </c>
      <c r="D28" s="344">
        <f>'Corrected energy balance step 1'!BK93*kWh_MJ_conversion</f>
        <v>0</v>
      </c>
      <c r="E28" s="344">
        <f>-'Corrected energy balance step 1'!BK19</f>
        <v>0</v>
      </c>
      <c r="F28" s="460"/>
      <c r="G28" s="138"/>
      <c r="H28" s="138"/>
      <c r="I28" s="460"/>
      <c r="J28" s="140"/>
      <c r="K28" s="461"/>
      <c r="N28" s="68" t="s">
        <v>378</v>
      </c>
    </row>
    <row r="29" spans="2:14" ht="15" customHeight="1" thickBot="1" x14ac:dyDescent="0.25">
      <c r="B29" s="71"/>
      <c r="C29" s="116" t="s">
        <v>226</v>
      </c>
      <c r="D29" s="345">
        <f>SUM(D11:D28)</f>
        <v>0</v>
      </c>
      <c r="E29" s="346">
        <f>SUM(E11:E28)</f>
        <v>0</v>
      </c>
      <c r="F29" s="464"/>
      <c r="G29" s="464"/>
      <c r="H29" s="465"/>
      <c r="I29" s="464"/>
      <c r="J29" s="466"/>
      <c r="K29" s="14"/>
      <c r="N29" s="68"/>
    </row>
    <row r="30" spans="2:14" ht="15" customHeight="1" thickTop="1" x14ac:dyDescent="0.2">
      <c r="B30" s="84"/>
      <c r="C30" s="105"/>
      <c r="D30" s="347"/>
      <c r="E30" s="348"/>
      <c r="F30" s="135"/>
      <c r="G30" s="136"/>
      <c r="H30" s="135"/>
      <c r="I30" s="136"/>
      <c r="J30" s="137"/>
      <c r="K30" s="15"/>
      <c r="L30" s="10"/>
      <c r="M30" s="10"/>
      <c r="N30" s="73"/>
    </row>
    <row r="31" spans="2:14" ht="15" customHeight="1" x14ac:dyDescent="0.2">
      <c r="B31" s="103" t="s">
        <v>322</v>
      </c>
      <c r="C31" s="102"/>
      <c r="D31" s="349"/>
      <c r="E31" s="350"/>
      <c r="F31" s="138"/>
      <c r="G31" s="139"/>
      <c r="H31" s="138"/>
      <c r="I31" s="139"/>
      <c r="J31" s="140"/>
      <c r="K31" s="14"/>
      <c r="N31" s="68"/>
    </row>
    <row r="32" spans="2:14" ht="15" customHeight="1" x14ac:dyDescent="0.2">
      <c r="B32" s="67"/>
      <c r="C32" s="51" t="s">
        <v>40</v>
      </c>
      <c r="D32" s="344">
        <f>SUM('Corrected energy balance step 1'!C94:H94,'Corrected energy balance step 1'!J94:S94)*kWh_MJ_conversion</f>
        <v>0</v>
      </c>
      <c r="E32" s="351">
        <f>-SUM('Corrected energy balance step 1'!C20:H20,'Corrected energy balance step 1'!J20:S20)</f>
        <v>0</v>
      </c>
      <c r="F32" s="139"/>
      <c r="G32" s="138"/>
      <c r="H32" s="138"/>
      <c r="I32" s="460"/>
      <c r="J32" s="140"/>
      <c r="K32" s="14"/>
      <c r="N32" s="68"/>
    </row>
    <row r="33" spans="2:14" ht="15" customHeight="1" x14ac:dyDescent="0.2">
      <c r="B33" s="67"/>
      <c r="C33" s="51" t="s">
        <v>140</v>
      </c>
      <c r="D33" s="344">
        <f>'Corrected energy balance step 1'!I94*kWh_MJ_conversion</f>
        <v>0</v>
      </c>
      <c r="E33" s="351">
        <f>-'Corrected energy balance step 1'!I20</f>
        <v>0</v>
      </c>
      <c r="F33" s="139"/>
      <c r="G33" s="138"/>
      <c r="H33" s="138"/>
      <c r="I33" s="460"/>
      <c r="J33" s="140"/>
      <c r="K33" s="14"/>
      <c r="N33" s="68"/>
    </row>
    <row r="34" spans="2:14" ht="15" customHeight="1" x14ac:dyDescent="0.2">
      <c r="B34" s="67"/>
      <c r="C34" s="51" t="s">
        <v>41</v>
      </c>
      <c r="D34" s="344">
        <f>'Corrected energy balance step 1'!T94*kWh_MJ_conversion</f>
        <v>0</v>
      </c>
      <c r="E34" s="351">
        <f>-'Corrected energy balance step 1'!T20</f>
        <v>0</v>
      </c>
      <c r="F34" s="139"/>
      <c r="G34" s="138"/>
      <c r="H34" s="138"/>
      <c r="I34" s="460"/>
      <c r="J34" s="140"/>
      <c r="K34" s="14"/>
      <c r="N34" s="68"/>
    </row>
    <row r="35" spans="2:14" ht="15" customHeight="1" x14ac:dyDescent="0.2">
      <c r="B35" s="67"/>
      <c r="C35" s="51" t="s">
        <v>42</v>
      </c>
      <c r="D35" s="344">
        <f>SUM('Corrected energy balance step 1'!U94:AH94,'Corrected energy balance step 1'!AJ94:AQ94)*kWh_MJ_conversion</f>
        <v>0</v>
      </c>
      <c r="E35" s="351">
        <f>-SUM('Corrected energy balance step 1'!U20:AH20,'Corrected energy balance step 1'!AJ20:AQ20)</f>
        <v>0</v>
      </c>
      <c r="F35" s="139"/>
      <c r="G35" s="138"/>
      <c r="H35" s="138"/>
      <c r="I35" s="460"/>
      <c r="J35" s="140"/>
      <c r="K35" s="14"/>
      <c r="N35" s="68"/>
    </row>
    <row r="36" spans="2:14" ht="15" customHeight="1" x14ac:dyDescent="0.2">
      <c r="B36" s="67"/>
      <c r="C36" s="51" t="s">
        <v>315</v>
      </c>
      <c r="D36" s="344">
        <f>'Corrected energy balance step 1'!AI94*kWh_MJ_conversion</f>
        <v>0</v>
      </c>
      <c r="E36" s="351">
        <f>-'Corrected energy balance step 1'!AI20</f>
        <v>0</v>
      </c>
      <c r="F36" s="139"/>
      <c r="G36" s="138"/>
      <c r="H36" s="138"/>
      <c r="I36" s="460"/>
      <c r="J36" s="140"/>
      <c r="K36" s="14"/>
      <c r="N36" s="68"/>
    </row>
    <row r="37" spans="2:14" ht="15" customHeight="1" x14ac:dyDescent="0.2">
      <c r="B37" s="67"/>
      <c r="C37" s="63" t="s">
        <v>221</v>
      </c>
      <c r="D37" s="344">
        <f>'Corrected energy balance step 1'!AS94*kWh_MJ_conversion</f>
        <v>0</v>
      </c>
      <c r="E37" s="351">
        <f>-'Corrected energy balance step 1'!AS20</f>
        <v>0</v>
      </c>
      <c r="F37" s="139"/>
      <c r="G37" s="138"/>
      <c r="H37" s="138"/>
      <c r="I37" s="460"/>
      <c r="J37" s="140"/>
      <c r="K37" s="14"/>
      <c r="N37" s="68"/>
    </row>
    <row r="38" spans="2:14" ht="15" customHeight="1" x14ac:dyDescent="0.2">
      <c r="B38" s="67"/>
      <c r="C38" s="63" t="s">
        <v>222</v>
      </c>
      <c r="D38" s="344">
        <f>SUM('Corrected energy balance step 1'!AR94,'Corrected energy balance step 1'!AT94)*kWh_MJ_conversion</f>
        <v>0</v>
      </c>
      <c r="E38" s="351">
        <f>-SUM('Corrected energy balance step 1'!AR20,'Corrected energy balance step 1'!AT20)</f>
        <v>0</v>
      </c>
      <c r="F38" s="139"/>
      <c r="G38" s="138"/>
      <c r="H38" s="138"/>
      <c r="I38" s="460"/>
      <c r="J38" s="140"/>
      <c r="K38" s="14"/>
      <c r="N38" s="68"/>
    </row>
    <row r="39" spans="2:14" ht="15" customHeight="1" x14ac:dyDescent="0.2">
      <c r="B39" s="67"/>
      <c r="C39" s="63" t="s">
        <v>482</v>
      </c>
      <c r="D39" s="344">
        <f>'Corrected energy balance step 1'!AV94*kWh_MJ_conversion</f>
        <v>0</v>
      </c>
      <c r="E39" s="351">
        <f>-'Corrected energy balance step 1'!AV20</f>
        <v>0</v>
      </c>
      <c r="F39" s="139"/>
      <c r="G39" s="138"/>
      <c r="H39" s="138"/>
      <c r="I39" s="460"/>
      <c r="J39" s="140"/>
      <c r="K39" s="14"/>
      <c r="N39" s="68"/>
    </row>
    <row r="40" spans="2:14" ht="15" customHeight="1" x14ac:dyDescent="0.2">
      <c r="B40" s="67"/>
      <c r="C40" s="177" t="s">
        <v>44</v>
      </c>
      <c r="D40" s="352">
        <f>SUM('Corrected energy balance step 1'!AW94:AY94)*kWh_MJ_conversion</f>
        <v>0</v>
      </c>
      <c r="E40" s="351">
        <f>-SUM('Corrected energy balance step 1'!AW20:AY20)</f>
        <v>0</v>
      </c>
      <c r="F40" s="460"/>
      <c r="G40" s="138"/>
      <c r="H40" s="138"/>
      <c r="I40" s="460"/>
      <c r="J40" s="140"/>
      <c r="K40" s="14"/>
      <c r="N40" s="68" t="s">
        <v>379</v>
      </c>
    </row>
    <row r="41" spans="2:14" ht="15" customHeight="1" x14ac:dyDescent="0.2">
      <c r="B41" s="98"/>
      <c r="C41" s="177" t="s">
        <v>201</v>
      </c>
      <c r="D41" s="352">
        <f>SUM('Corrected energy balance step 1'!AU94,'Corrected energy balance step 1'!AZ94)*kWh_MJ_conversion</f>
        <v>0</v>
      </c>
      <c r="E41" s="351">
        <f>-SUM('Corrected energy balance step 1'!AU20,'Corrected energy balance step 1'!AZ20)</f>
        <v>0</v>
      </c>
      <c r="F41" s="460"/>
      <c r="G41" s="138"/>
      <c r="H41" s="138"/>
      <c r="I41" s="460"/>
      <c r="J41" s="140"/>
      <c r="K41" s="14"/>
      <c r="N41" s="68"/>
    </row>
    <row r="42" spans="2:14" ht="15" customHeight="1" x14ac:dyDescent="0.2">
      <c r="B42" s="98"/>
      <c r="C42" s="63" t="s">
        <v>187</v>
      </c>
      <c r="D42" s="344">
        <f>'Corrected energy balance step 1'!BD94*kWh_MJ_conversion</f>
        <v>0</v>
      </c>
      <c r="E42" s="351">
        <f>-'Corrected energy balance step 1'!BD20</f>
        <v>0</v>
      </c>
      <c r="F42" s="460"/>
      <c r="G42" s="138"/>
      <c r="H42" s="138"/>
      <c r="I42" s="460"/>
      <c r="J42" s="140"/>
      <c r="K42" s="14"/>
      <c r="N42" s="68"/>
    </row>
    <row r="43" spans="2:14" ht="15" customHeight="1" x14ac:dyDescent="0.2">
      <c r="B43" s="98"/>
      <c r="C43" s="191" t="s">
        <v>193</v>
      </c>
      <c r="D43" s="344">
        <f>'Corrected energy balance step 1'!BJ94*kWh_MJ_conversion</f>
        <v>0</v>
      </c>
      <c r="E43" s="351">
        <f>-'Corrected energy balance step 1'!BJ20</f>
        <v>0</v>
      </c>
      <c r="F43" s="460"/>
      <c r="G43" s="138"/>
      <c r="H43" s="138"/>
      <c r="I43" s="460"/>
      <c r="J43" s="140"/>
      <c r="K43" s="14"/>
      <c r="N43" s="68"/>
    </row>
    <row r="44" spans="2:14" ht="15" customHeight="1" x14ac:dyDescent="0.2">
      <c r="B44" s="98"/>
      <c r="C44" s="63" t="s">
        <v>188</v>
      </c>
      <c r="D44" s="344">
        <f>'Corrected energy balance step 1'!BE94*kWh_MJ_conversion</f>
        <v>0</v>
      </c>
      <c r="E44" s="351">
        <f>-'Corrected energy balance step 1'!BE20</f>
        <v>0</v>
      </c>
      <c r="F44" s="460"/>
      <c r="G44" s="138"/>
      <c r="H44" s="138"/>
      <c r="I44" s="460"/>
      <c r="J44" s="140"/>
      <c r="K44" s="14"/>
      <c r="N44" s="68"/>
    </row>
    <row r="45" spans="2:14" ht="15" customHeight="1" x14ac:dyDescent="0.2">
      <c r="B45" s="98"/>
      <c r="C45" s="63" t="s">
        <v>189</v>
      </c>
      <c r="D45" s="344">
        <f>'Corrected energy balance step 1'!BF94*kWh_MJ_conversion</f>
        <v>0</v>
      </c>
      <c r="E45" s="351">
        <f>-'Corrected energy balance step 1'!BF20</f>
        <v>0</v>
      </c>
      <c r="F45" s="460"/>
      <c r="G45" s="138"/>
      <c r="H45" s="138"/>
      <c r="I45" s="460"/>
      <c r="J45" s="140"/>
      <c r="K45" s="14"/>
      <c r="N45" s="68"/>
    </row>
    <row r="46" spans="2:14" ht="15" customHeight="1" x14ac:dyDescent="0.2">
      <c r="B46" s="98"/>
      <c r="C46" s="63" t="s">
        <v>323</v>
      </c>
      <c r="D46" s="344">
        <f>'Corrected energy balance step 1'!BG94*kWh_MJ_conversion</f>
        <v>0</v>
      </c>
      <c r="E46" s="351">
        <f>-'Corrected energy balance step 1'!BG20</f>
        <v>0</v>
      </c>
      <c r="F46" s="460"/>
      <c r="G46" s="138"/>
      <c r="H46" s="138"/>
      <c r="I46" s="460"/>
      <c r="J46" s="140"/>
      <c r="K46" s="14"/>
      <c r="N46" s="68" t="s">
        <v>540</v>
      </c>
    </row>
    <row r="47" spans="2:14" ht="15" customHeight="1" x14ac:dyDescent="0.2">
      <c r="B47" s="98"/>
      <c r="C47" s="63" t="s">
        <v>191</v>
      </c>
      <c r="D47" s="344">
        <f>'Corrected energy balance step 1'!BH94*kWh_MJ_conversion</f>
        <v>0</v>
      </c>
      <c r="E47" s="351">
        <f>-'Corrected energy balance step 1'!BH20</f>
        <v>0</v>
      </c>
      <c r="F47" s="460"/>
      <c r="G47" s="138"/>
      <c r="H47" s="138"/>
      <c r="I47" s="460"/>
      <c r="J47" s="140"/>
      <c r="K47" s="14"/>
      <c r="N47" s="68"/>
    </row>
    <row r="48" spans="2:14" ht="15" customHeight="1" x14ac:dyDescent="0.2">
      <c r="B48" s="98"/>
      <c r="C48" s="191" t="s">
        <v>194</v>
      </c>
      <c r="D48" s="344">
        <f>'Corrected energy balance step 1'!BK94*kWh_MJ_conversion</f>
        <v>0</v>
      </c>
      <c r="E48" s="351">
        <f>-'Corrected energy balance step 1'!BK20</f>
        <v>0</v>
      </c>
      <c r="F48" s="460"/>
      <c r="G48" s="138"/>
      <c r="H48" s="138"/>
      <c r="I48" s="460"/>
      <c r="J48" s="140"/>
      <c r="K48" s="14"/>
      <c r="N48" s="68" t="s">
        <v>378</v>
      </c>
    </row>
    <row r="49" spans="2:14" ht="15" customHeight="1" thickBot="1" x14ac:dyDescent="0.25">
      <c r="B49" s="67"/>
      <c r="C49" s="116" t="s">
        <v>226</v>
      </c>
      <c r="D49" s="345">
        <f>SUM(D32:D48)</f>
        <v>0</v>
      </c>
      <c r="E49" s="346">
        <f>SUM(E32:E48)</f>
        <v>0</v>
      </c>
      <c r="F49" s="464"/>
      <c r="G49" s="464"/>
      <c r="H49" s="465"/>
      <c r="I49" s="464"/>
      <c r="J49" s="466"/>
      <c r="K49" s="14"/>
      <c r="N49" s="68"/>
    </row>
    <row r="50" spans="2:14" ht="15" customHeight="1" thickTop="1" x14ac:dyDescent="0.2">
      <c r="B50" s="72"/>
      <c r="C50" s="105"/>
      <c r="D50" s="347"/>
      <c r="E50" s="348"/>
      <c r="F50" s="135"/>
      <c r="G50" s="136"/>
      <c r="H50" s="135"/>
      <c r="I50" s="136"/>
      <c r="J50" s="137"/>
      <c r="K50" s="15"/>
      <c r="L50" s="10"/>
      <c r="M50" s="10"/>
      <c r="N50" s="73"/>
    </row>
    <row r="51" spans="2:14" ht="15" customHeight="1" x14ac:dyDescent="0.2">
      <c r="B51" s="87" t="s">
        <v>492</v>
      </c>
      <c r="C51" s="63"/>
      <c r="D51" s="353"/>
      <c r="E51" s="351"/>
      <c r="F51" s="138"/>
      <c r="G51" s="139"/>
      <c r="H51" s="138"/>
      <c r="I51" s="139"/>
      <c r="J51" s="140"/>
      <c r="K51" s="14"/>
      <c r="N51" s="68"/>
    </row>
    <row r="52" spans="2:14" ht="15" customHeight="1" thickBot="1" x14ac:dyDescent="0.25">
      <c r="B52" s="87"/>
      <c r="C52" s="192" t="s">
        <v>226</v>
      </c>
      <c r="D52" s="354">
        <f>SUM(D29,D49)</f>
        <v>0</v>
      </c>
      <c r="E52" s="346">
        <f>SUM(E29,E49)</f>
        <v>0</v>
      </c>
      <c r="F52" s="464"/>
      <c r="G52" s="464"/>
      <c r="H52" s="464"/>
      <c r="I52" s="464"/>
      <c r="J52" s="466"/>
      <c r="K52" s="14"/>
      <c r="N52" s="68"/>
    </row>
    <row r="53" spans="2:14" ht="15" customHeight="1" thickTop="1" x14ac:dyDescent="0.2">
      <c r="B53" s="210"/>
      <c r="C53" s="211"/>
      <c r="D53" s="355"/>
      <c r="E53" s="356"/>
      <c r="F53" s="469"/>
      <c r="G53" s="469"/>
      <c r="H53" s="469"/>
      <c r="I53" s="469"/>
      <c r="J53" s="470"/>
      <c r="K53" s="14"/>
      <c r="N53" s="68"/>
    </row>
    <row r="54" spans="2:14" x14ac:dyDescent="0.2">
      <c r="B54" s="87" t="s">
        <v>493</v>
      </c>
      <c r="D54" s="327"/>
      <c r="E54" s="327"/>
      <c r="K54" s="14"/>
      <c r="N54" s="68"/>
    </row>
    <row r="55" spans="2:14" x14ac:dyDescent="0.2">
      <c r="B55" s="87"/>
      <c r="C55" s="51" t="s">
        <v>40</v>
      </c>
      <c r="D55" s="324">
        <f>D11+D32</f>
        <v>0</v>
      </c>
      <c r="E55" s="324">
        <f>E11+E32</f>
        <v>0</v>
      </c>
      <c r="K55" s="14"/>
      <c r="N55" s="68"/>
    </row>
    <row r="56" spans="2:14" x14ac:dyDescent="0.2">
      <c r="B56" s="87"/>
      <c r="C56" s="51" t="s">
        <v>953</v>
      </c>
      <c r="D56" s="324">
        <f>D12</f>
        <v>0</v>
      </c>
      <c r="E56" s="324">
        <f>E12</f>
        <v>0</v>
      </c>
      <c r="K56" s="14"/>
      <c r="N56" s="68"/>
    </row>
    <row r="57" spans="2:14" x14ac:dyDescent="0.2">
      <c r="B57" s="87"/>
      <c r="C57" s="51" t="s">
        <v>140</v>
      </c>
      <c r="D57" s="324">
        <f>D13+D33</f>
        <v>0</v>
      </c>
      <c r="E57" s="324">
        <f>E13+E33</f>
        <v>0</v>
      </c>
      <c r="K57" s="14"/>
      <c r="N57" s="68"/>
    </row>
    <row r="58" spans="2:14" x14ac:dyDescent="0.2">
      <c r="B58" s="87"/>
      <c r="C58" s="51" t="s">
        <v>41</v>
      </c>
      <c r="D58" s="324">
        <f>D14+D34+D28+D48</f>
        <v>0</v>
      </c>
      <c r="E58" s="324">
        <f>E14+E34+E28+E48</f>
        <v>0</v>
      </c>
      <c r="K58" s="14"/>
      <c r="N58" s="68" t="s">
        <v>380</v>
      </c>
    </row>
    <row r="59" spans="2:14" x14ac:dyDescent="0.2">
      <c r="B59" s="87"/>
      <c r="C59" s="51" t="s">
        <v>42</v>
      </c>
      <c r="D59" s="324">
        <f t="shared" ref="D59:E63" si="0">D15+D35</f>
        <v>0</v>
      </c>
      <c r="E59" s="324">
        <f t="shared" si="0"/>
        <v>0</v>
      </c>
      <c r="K59" s="14"/>
      <c r="N59" s="68"/>
    </row>
    <row r="60" spans="2:14" x14ac:dyDescent="0.2">
      <c r="B60" s="87"/>
      <c r="C60" s="51" t="s">
        <v>315</v>
      </c>
      <c r="D60" s="324">
        <f t="shared" si="0"/>
        <v>0</v>
      </c>
      <c r="E60" s="324">
        <f t="shared" si="0"/>
        <v>0</v>
      </c>
      <c r="K60" s="14"/>
      <c r="N60" s="68"/>
    </row>
    <row r="61" spans="2:14" x14ac:dyDescent="0.2">
      <c r="B61" s="87"/>
      <c r="C61" s="63" t="s">
        <v>221</v>
      </c>
      <c r="D61" s="324">
        <f t="shared" si="0"/>
        <v>0</v>
      </c>
      <c r="E61" s="324">
        <f t="shared" si="0"/>
        <v>0</v>
      </c>
      <c r="K61" s="14"/>
      <c r="N61" s="68"/>
    </row>
    <row r="62" spans="2:14" x14ac:dyDescent="0.2">
      <c r="B62" s="87"/>
      <c r="C62" s="63" t="s">
        <v>222</v>
      </c>
      <c r="D62" s="324">
        <f t="shared" si="0"/>
        <v>0</v>
      </c>
      <c r="E62" s="324">
        <f t="shared" si="0"/>
        <v>0</v>
      </c>
      <c r="K62" s="14"/>
      <c r="N62" s="68"/>
    </row>
    <row r="63" spans="2:14" x14ac:dyDescent="0.2">
      <c r="B63" s="87"/>
      <c r="C63" s="63" t="s">
        <v>482</v>
      </c>
      <c r="D63" s="324">
        <f t="shared" si="0"/>
        <v>0</v>
      </c>
      <c r="E63" s="324">
        <f t="shared" si="0"/>
        <v>0</v>
      </c>
      <c r="K63" s="14"/>
      <c r="N63" s="68"/>
    </row>
    <row r="64" spans="2:14" x14ac:dyDescent="0.2">
      <c r="B64" s="67"/>
      <c r="C64" s="191" t="s">
        <v>201</v>
      </c>
      <c r="D64" s="324">
        <f>D21+D41+D20+D40</f>
        <v>0</v>
      </c>
      <c r="E64" s="324">
        <f>E21+E41+E20+E40</f>
        <v>0</v>
      </c>
      <c r="F64" s="139"/>
      <c r="G64" s="138"/>
      <c r="H64" s="138"/>
      <c r="I64" s="460"/>
      <c r="J64" s="151"/>
      <c r="K64" s="14"/>
      <c r="N64" s="68" t="s">
        <v>381</v>
      </c>
    </row>
    <row r="65" spans="2:14" x14ac:dyDescent="0.2">
      <c r="B65" s="67"/>
      <c r="C65" s="191" t="s">
        <v>187</v>
      </c>
      <c r="D65" s="324">
        <f t="shared" ref="D65:E68" si="1">D22+D42</f>
        <v>0</v>
      </c>
      <c r="E65" s="324">
        <f t="shared" si="1"/>
        <v>0</v>
      </c>
      <c r="F65" s="139"/>
      <c r="G65" s="138"/>
      <c r="H65" s="138"/>
      <c r="I65" s="460"/>
      <c r="J65" s="151"/>
      <c r="K65" s="14"/>
      <c r="N65" s="68"/>
    </row>
    <row r="66" spans="2:14" x14ac:dyDescent="0.2">
      <c r="B66" s="67"/>
      <c r="C66" s="191" t="s">
        <v>193</v>
      </c>
      <c r="D66" s="324">
        <f t="shared" si="1"/>
        <v>0</v>
      </c>
      <c r="E66" s="324">
        <f t="shared" si="1"/>
        <v>0</v>
      </c>
      <c r="F66" s="139"/>
      <c r="G66" s="138"/>
      <c r="H66" s="138"/>
      <c r="I66" s="460"/>
      <c r="J66" s="151"/>
      <c r="K66" s="14"/>
      <c r="N66" s="68"/>
    </row>
    <row r="67" spans="2:14" x14ac:dyDescent="0.2">
      <c r="B67" s="67"/>
      <c r="C67" s="63" t="s">
        <v>188</v>
      </c>
      <c r="D67" s="324">
        <f t="shared" si="1"/>
        <v>0</v>
      </c>
      <c r="E67" s="324">
        <f t="shared" si="1"/>
        <v>0</v>
      </c>
      <c r="F67" s="139"/>
      <c r="G67" s="138"/>
      <c r="H67" s="138"/>
      <c r="I67" s="460"/>
      <c r="J67" s="151"/>
      <c r="K67" s="14"/>
      <c r="N67" s="68"/>
    </row>
    <row r="68" spans="2:14" x14ac:dyDescent="0.2">
      <c r="B68" s="67"/>
      <c r="C68" s="63" t="s">
        <v>189</v>
      </c>
      <c r="D68" s="324">
        <f t="shared" si="1"/>
        <v>0</v>
      </c>
      <c r="E68" s="324">
        <f t="shared" si="1"/>
        <v>0</v>
      </c>
      <c r="F68" s="139"/>
      <c r="G68" s="138"/>
      <c r="H68" s="138"/>
      <c r="I68" s="460"/>
      <c r="J68" s="151"/>
      <c r="K68" s="14"/>
      <c r="N68" s="68"/>
    </row>
    <row r="69" spans="2:14" x14ac:dyDescent="0.2">
      <c r="B69" s="67"/>
      <c r="C69" s="63" t="s">
        <v>323</v>
      </c>
      <c r="D69" s="357">
        <f>D26</f>
        <v>0</v>
      </c>
      <c r="E69" s="357">
        <f>E26</f>
        <v>0</v>
      </c>
      <c r="F69" s="139"/>
      <c r="G69" s="138"/>
      <c r="H69" s="138"/>
      <c r="I69" s="460"/>
      <c r="J69" s="151"/>
      <c r="K69" s="14"/>
      <c r="N69" s="68" t="s">
        <v>539</v>
      </c>
    </row>
    <row r="70" spans="2:14" x14ac:dyDescent="0.2">
      <c r="B70" s="67"/>
      <c r="C70" s="63" t="s">
        <v>191</v>
      </c>
      <c r="D70" s="357">
        <f>D27+D47</f>
        <v>0</v>
      </c>
      <c r="E70" s="357">
        <f>E27+E47</f>
        <v>0</v>
      </c>
      <c r="F70" s="139"/>
      <c r="G70" s="138"/>
      <c r="H70" s="138"/>
      <c r="I70" s="460"/>
      <c r="J70" s="151"/>
      <c r="K70" s="14"/>
      <c r="N70" s="68"/>
    </row>
    <row r="71" spans="2:14" ht="17" thickBot="1" x14ac:dyDescent="0.25">
      <c r="B71" s="67"/>
      <c r="C71" s="116" t="s">
        <v>226</v>
      </c>
      <c r="D71" s="358">
        <f>SUM(D55:D70)</f>
        <v>0</v>
      </c>
      <c r="E71" s="359">
        <f>SUM(E55:E69)</f>
        <v>0</v>
      </c>
      <c r="F71" s="464"/>
      <c r="G71" s="464"/>
      <c r="H71" s="465"/>
      <c r="I71" s="464"/>
      <c r="J71" s="474"/>
      <c r="K71" s="14"/>
      <c r="N71" s="68"/>
    </row>
    <row r="72" spans="2:14" ht="18" thickTop="1" thickBot="1" x14ac:dyDescent="0.25">
      <c r="B72" s="74"/>
      <c r="C72" s="75"/>
      <c r="D72" s="75"/>
      <c r="E72" s="75"/>
      <c r="F72" s="75"/>
      <c r="G72" s="75"/>
      <c r="H72" s="75"/>
      <c r="I72" s="75"/>
      <c r="J72" s="75"/>
      <c r="K72" s="112"/>
      <c r="L72" s="75"/>
      <c r="M72" s="75"/>
      <c r="N72" s="76"/>
    </row>
  </sheetData>
  <mergeCells count="1">
    <mergeCell ref="B5:C5"/>
  </mergeCells>
  <pageMargins left="0.75" right="0.75" top="1" bottom="1" header="0.5" footer="0.5"/>
  <pageSetup paperSize="9" orientation="portrait" horizontalDpi="4294967292" verticalDpi="4294967292"/>
  <ignoredErrors>
    <ignoredError sqref="E58" formula="1"/>
  </ignoredErrors>
  <extLst>
    <ext xmlns:mx="http://schemas.microsoft.com/office/mac/excel/2008/main" uri="{64002731-A6B0-56B0-2670-7721B7C09600}">
      <mx:PLV Mode="0" OnePage="0" WScale="0"/>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theme="8" tint="0.39997558519241921"/>
  </sheetPr>
  <dimension ref="B2:N51"/>
  <sheetViews>
    <sheetView workbookViewId="0">
      <pane xSplit="3" ySplit="9" topLeftCell="D10" activePane="bottomRight" state="frozen"/>
      <selection pane="topRight" activeCell="D1" sqref="D1"/>
      <selection pane="bottomLeft" activeCell="A10" sqref="A10"/>
      <selection pane="bottomRight" activeCell="J11" sqref="J11"/>
    </sheetView>
  </sheetViews>
  <sheetFormatPr baseColWidth="10" defaultRowHeight="16" x14ac:dyDescent="0.2"/>
  <cols>
    <col min="1" max="1" width="10.83203125" style="2"/>
    <col min="2" max="2" width="27.1640625" style="2" customWidth="1"/>
    <col min="3" max="3" width="31.1640625" style="2" customWidth="1"/>
    <col min="4" max="10" width="21.33203125" style="2" customWidth="1"/>
    <col min="11" max="11" width="6" style="2" customWidth="1"/>
    <col min="12" max="12" width="31.5" style="2" customWidth="1"/>
    <col min="13" max="13" width="4.83203125" style="2" customWidth="1"/>
    <col min="14" max="14" width="49.5" style="2" customWidth="1"/>
    <col min="15" max="16384" width="10.83203125" style="2"/>
  </cols>
  <sheetData>
    <row r="2" spans="2:14" ht="21" x14ac:dyDescent="0.25">
      <c r="B2" s="20" t="s">
        <v>490</v>
      </c>
    </row>
    <row r="4" spans="2:14" x14ac:dyDescent="0.2">
      <c r="B4" s="3" t="s">
        <v>37</v>
      </c>
      <c r="C4" s="5"/>
    </row>
    <row r="5" spans="2:14" ht="30" customHeight="1" x14ac:dyDescent="0.2">
      <c r="B5" s="619" t="s">
        <v>494</v>
      </c>
      <c r="C5" s="621"/>
      <c r="D5" s="376"/>
      <c r="E5" s="376"/>
      <c r="F5" s="376"/>
    </row>
    <row r="6" spans="2:14" ht="17" thickBot="1" x14ac:dyDescent="0.25"/>
    <row r="7" spans="2:14" x14ac:dyDescent="0.2">
      <c r="B7" s="64" t="s">
        <v>206</v>
      </c>
      <c r="C7" s="82"/>
      <c r="D7" s="82"/>
      <c r="E7" s="82"/>
      <c r="F7" s="82"/>
      <c r="G7" s="82"/>
      <c r="H7" s="82"/>
      <c r="I7" s="82"/>
      <c r="J7" s="82"/>
      <c r="K7" s="82"/>
      <c r="L7" s="82"/>
      <c r="M7" s="82"/>
      <c r="N7" s="66"/>
    </row>
    <row r="8" spans="2:14" x14ac:dyDescent="0.2">
      <c r="B8" s="67"/>
      <c r="N8" s="68"/>
    </row>
    <row r="9" spans="2:14" ht="34" x14ac:dyDescent="0.2">
      <c r="B9" s="90" t="s">
        <v>38</v>
      </c>
      <c r="C9" s="62" t="s">
        <v>39</v>
      </c>
      <c r="D9" s="455"/>
      <c r="E9" s="26" t="s">
        <v>631</v>
      </c>
      <c r="F9" s="457"/>
      <c r="G9" s="457"/>
      <c r="H9" s="26" t="s">
        <v>632</v>
      </c>
      <c r="I9" s="457"/>
      <c r="J9" s="289" t="s">
        <v>553</v>
      </c>
      <c r="K9" s="456"/>
      <c r="L9" s="456" t="s">
        <v>27</v>
      </c>
      <c r="M9" s="456"/>
      <c r="N9" s="459"/>
    </row>
    <row r="10" spans="2:14" ht="17" x14ac:dyDescent="0.2">
      <c r="B10" s="95" t="s">
        <v>285</v>
      </c>
      <c r="C10" s="89"/>
      <c r="D10" s="60"/>
      <c r="E10" s="60"/>
      <c r="F10" s="99"/>
      <c r="G10" s="99"/>
      <c r="H10" s="60"/>
      <c r="I10" s="99"/>
      <c r="J10" s="100"/>
      <c r="K10" s="60"/>
      <c r="L10" s="60"/>
      <c r="M10" s="60"/>
      <c r="N10" s="101"/>
    </row>
    <row r="11" spans="2:14" ht="15" customHeight="1" x14ac:dyDescent="0.2">
      <c r="B11" s="96"/>
      <c r="C11" s="51" t="s">
        <v>40</v>
      </c>
      <c r="D11" s="139"/>
      <c r="E11" s="344">
        <f>-SUM('Corrected energy balance step 1'!C23:H23,'Corrected energy balance step 1'!J23:N23,'Corrected energy balance step 1'!S23)</f>
        <v>0</v>
      </c>
      <c r="F11" s="361"/>
      <c r="G11" s="361"/>
      <c r="H11" s="344">
        <f>SUM('Corrected energy balance step 1'!C100:H100,'Corrected energy balance step 1'!J100:N100,'Corrected energy balance step 1'!S100)</f>
        <v>0</v>
      </c>
      <c r="I11" s="460"/>
      <c r="J11" s="290">
        <f>IF($H$20=0,0,H11/$H$20)</f>
        <v>0</v>
      </c>
      <c r="N11" s="68"/>
    </row>
    <row r="12" spans="2:14" ht="15" customHeight="1" x14ac:dyDescent="0.2">
      <c r="B12" s="96"/>
      <c r="C12" s="51" t="s">
        <v>140</v>
      </c>
      <c r="D12" s="139"/>
      <c r="E12" s="344">
        <f>-'Corrected energy balance step 1'!I23</f>
        <v>0</v>
      </c>
      <c r="F12" s="361"/>
      <c r="G12" s="361"/>
      <c r="H12" s="344">
        <f>'Corrected energy balance step 1'!I100</f>
        <v>0</v>
      </c>
      <c r="I12" s="460"/>
      <c r="J12" s="290">
        <f t="shared" ref="J12:J19" si="0">IF($H$20=0,0,H12/$H$20)</f>
        <v>0</v>
      </c>
      <c r="N12" s="68"/>
    </row>
    <row r="13" spans="2:14" ht="15" customHeight="1" x14ac:dyDescent="0.2">
      <c r="B13" s="97"/>
      <c r="C13" s="51" t="s">
        <v>41</v>
      </c>
      <c r="D13" s="139"/>
      <c r="E13" s="344">
        <f>-'Corrected energy balance step 1'!T23</f>
        <v>0</v>
      </c>
      <c r="F13" s="361"/>
      <c r="G13" s="361"/>
      <c r="H13" s="344">
        <f>'Corrected energy balance step 1'!T100</f>
        <v>0</v>
      </c>
      <c r="I13" s="460"/>
      <c r="J13" s="290">
        <f t="shared" si="0"/>
        <v>0</v>
      </c>
      <c r="N13" s="68"/>
    </row>
    <row r="14" spans="2:14" ht="15" customHeight="1" x14ac:dyDescent="0.2">
      <c r="B14" s="69"/>
      <c r="C14" s="51" t="s">
        <v>42</v>
      </c>
      <c r="D14" s="139"/>
      <c r="E14" s="344">
        <f>-SUM('Corrected energy balance step 1'!U23:AQ23)</f>
        <v>0</v>
      </c>
      <c r="F14" s="361"/>
      <c r="G14" s="361"/>
      <c r="H14" s="344">
        <f>SUM('Corrected energy balance step 1'!U100:AQ100)</f>
        <v>0</v>
      </c>
      <c r="I14" s="460"/>
      <c r="J14" s="290">
        <f t="shared" si="0"/>
        <v>0</v>
      </c>
      <c r="N14" s="68"/>
    </row>
    <row r="15" spans="2:14" ht="15" customHeight="1" x14ac:dyDescent="0.2">
      <c r="B15" s="71"/>
      <c r="C15" s="63" t="s">
        <v>221</v>
      </c>
      <c r="D15" s="139"/>
      <c r="E15" s="344">
        <f>-'Corrected energy balance step 1'!AS23</f>
        <v>0</v>
      </c>
      <c r="F15" s="361"/>
      <c r="G15" s="361"/>
      <c r="H15" s="344">
        <f>'Corrected energy balance step 1'!AS100</f>
        <v>0</v>
      </c>
      <c r="I15" s="460"/>
      <c r="J15" s="290">
        <f t="shared" si="0"/>
        <v>0</v>
      </c>
      <c r="N15" s="68"/>
    </row>
    <row r="16" spans="2:14" ht="15" customHeight="1" x14ac:dyDescent="0.2">
      <c r="B16" s="71"/>
      <c r="C16" s="63" t="s">
        <v>222</v>
      </c>
      <c r="D16" s="139"/>
      <c r="E16" s="344">
        <f>-SUM('Corrected energy balance step 1'!AR23,'Corrected energy balance step 1'!AT23)</f>
        <v>0</v>
      </c>
      <c r="F16" s="361"/>
      <c r="G16" s="361"/>
      <c r="H16" s="344">
        <f>SUM('Corrected energy balance step 1'!AR100,'Corrected energy balance step 1'!AT100)</f>
        <v>0</v>
      </c>
      <c r="I16" s="460"/>
      <c r="J16" s="290">
        <f t="shared" si="0"/>
        <v>0</v>
      </c>
      <c r="N16" s="68"/>
    </row>
    <row r="17" spans="2:14" ht="15" customHeight="1" x14ac:dyDescent="0.2">
      <c r="B17" s="71"/>
      <c r="C17" s="63" t="s">
        <v>482</v>
      </c>
      <c r="D17" s="139"/>
      <c r="E17" s="344">
        <f>-'Corrected energy balance step 1'!AV23</f>
        <v>0</v>
      </c>
      <c r="F17" s="489"/>
      <c r="G17" s="361"/>
      <c r="H17" s="344">
        <f>'Corrected energy balance step 1'!AV100</f>
        <v>0</v>
      </c>
      <c r="I17" s="460"/>
      <c r="J17" s="290">
        <f t="shared" si="0"/>
        <v>0</v>
      </c>
      <c r="N17" s="68"/>
    </row>
    <row r="18" spans="2:14" ht="15" customHeight="1" x14ac:dyDescent="0.2">
      <c r="B18" s="71"/>
      <c r="C18" s="191" t="s">
        <v>201</v>
      </c>
      <c r="D18" s="139"/>
      <c r="E18" s="344">
        <f>-SUM('Corrected energy balance step 1'!AU23,'Corrected energy balance step 1'!AZ23)</f>
        <v>0</v>
      </c>
      <c r="F18" s="489"/>
      <c r="G18" s="361"/>
      <c r="H18" s="344">
        <f>SUM('Corrected energy balance step 1'!AU100,'Corrected energy balance step 1'!AZ100)</f>
        <v>0</v>
      </c>
      <c r="I18" s="460"/>
      <c r="J18" s="290">
        <f t="shared" si="0"/>
        <v>0</v>
      </c>
      <c r="N18" s="462"/>
    </row>
    <row r="19" spans="2:14" ht="15" customHeight="1" x14ac:dyDescent="0.2">
      <c r="B19" s="71"/>
      <c r="C19" s="63" t="s">
        <v>189</v>
      </c>
      <c r="D19" s="139"/>
      <c r="E19" s="344">
        <f>-'Corrected energy balance step 1'!BF23</f>
        <v>0</v>
      </c>
      <c r="F19" s="489"/>
      <c r="G19" s="361"/>
      <c r="H19" s="344">
        <f>'Corrected energy balance step 1'!BF100</f>
        <v>0</v>
      </c>
      <c r="I19" s="460"/>
      <c r="J19" s="291">
        <f t="shared" si="0"/>
        <v>0</v>
      </c>
      <c r="N19" s="68"/>
    </row>
    <row r="20" spans="2:14" ht="15" customHeight="1" thickBot="1" x14ac:dyDescent="0.25">
      <c r="B20" s="71"/>
      <c r="C20" s="116" t="s">
        <v>226</v>
      </c>
      <c r="D20" s="487"/>
      <c r="E20" s="346">
        <f>SUM(E11:E19)</f>
        <v>0</v>
      </c>
      <c r="F20" s="467"/>
      <c r="G20" s="467"/>
      <c r="H20" s="354">
        <f>SUM(H11:H19)</f>
        <v>0</v>
      </c>
      <c r="I20" s="464"/>
      <c r="J20" s="134"/>
      <c r="K20" s="14"/>
      <c r="N20" s="68"/>
    </row>
    <row r="21" spans="2:14" ht="15" customHeight="1" thickTop="1" x14ac:dyDescent="0.2">
      <c r="B21" s="84"/>
      <c r="C21" s="105"/>
      <c r="D21" s="135"/>
      <c r="E21" s="348"/>
      <c r="F21" s="360"/>
      <c r="G21" s="360"/>
      <c r="H21" s="360"/>
      <c r="I21" s="136"/>
      <c r="J21" s="137"/>
      <c r="K21" s="15"/>
      <c r="L21" s="10"/>
      <c r="M21" s="10"/>
      <c r="N21" s="73"/>
    </row>
    <row r="22" spans="2:14" ht="15" customHeight="1" x14ac:dyDescent="0.2">
      <c r="B22" s="103" t="s">
        <v>66</v>
      </c>
      <c r="C22" s="102"/>
      <c r="D22" s="138"/>
      <c r="E22" s="350"/>
      <c r="F22" s="361"/>
      <c r="G22" s="361"/>
      <c r="H22" s="361"/>
      <c r="I22" s="139"/>
      <c r="J22" s="140"/>
      <c r="K22" s="14"/>
      <c r="N22" s="68"/>
    </row>
    <row r="23" spans="2:14" ht="15" customHeight="1" x14ac:dyDescent="0.2">
      <c r="B23" s="67"/>
      <c r="C23" s="51" t="s">
        <v>40</v>
      </c>
      <c r="D23" s="139"/>
      <c r="E23" s="351">
        <f>-SUM('Corrected energy balance step 1'!C24:H24,'Corrected energy balance step 1'!J24:N24,'Corrected energy balance step 1'!S24)</f>
        <v>0</v>
      </c>
      <c r="F23" s="361"/>
      <c r="G23" s="361"/>
      <c r="H23" s="344">
        <f>SUM('Corrected energy balance step 1'!C101:H101,'Corrected energy balance step 1'!J101:N101,'Corrected energy balance step 1'!S101)</f>
        <v>0</v>
      </c>
      <c r="I23" s="460"/>
      <c r="J23" s="133"/>
      <c r="K23" s="14"/>
      <c r="N23" s="68"/>
    </row>
    <row r="24" spans="2:14" ht="15" customHeight="1" x14ac:dyDescent="0.2">
      <c r="B24" s="67"/>
      <c r="C24" s="130" t="s">
        <v>140</v>
      </c>
      <c r="D24" s="139"/>
      <c r="E24" s="351">
        <f>-'Corrected energy balance step 1'!I24</f>
        <v>0</v>
      </c>
      <c r="F24" s="361"/>
      <c r="G24" s="361"/>
      <c r="H24" s="344">
        <f>'Corrected energy balance step 1'!I101</f>
        <v>0</v>
      </c>
      <c r="I24" s="460"/>
      <c r="J24" s="133"/>
      <c r="K24" s="14"/>
      <c r="N24" s="68"/>
    </row>
    <row r="25" spans="2:14" ht="15" customHeight="1" x14ac:dyDescent="0.2">
      <c r="B25" s="67"/>
      <c r="C25" s="51" t="s">
        <v>41</v>
      </c>
      <c r="D25" s="139"/>
      <c r="E25" s="351">
        <f>-'Corrected energy balance step 1'!T24</f>
        <v>0</v>
      </c>
      <c r="F25" s="361"/>
      <c r="G25" s="361"/>
      <c r="H25" s="344">
        <f>'Corrected energy balance step 1'!T101</f>
        <v>0</v>
      </c>
      <c r="I25" s="460"/>
      <c r="J25" s="133"/>
      <c r="K25" s="14"/>
      <c r="N25" s="68"/>
    </row>
    <row r="26" spans="2:14" ht="15" customHeight="1" x14ac:dyDescent="0.2">
      <c r="B26" s="67"/>
      <c r="C26" s="51" t="s">
        <v>42</v>
      </c>
      <c r="D26" s="139"/>
      <c r="E26" s="351">
        <f>-SUM('Corrected energy balance step 1'!U24:AQ24)</f>
        <v>0</v>
      </c>
      <c r="F26" s="361"/>
      <c r="G26" s="361"/>
      <c r="H26" s="344">
        <f>SUM('Corrected energy balance step 1'!U101:AQ101)</f>
        <v>0</v>
      </c>
      <c r="I26" s="460"/>
      <c r="J26" s="133"/>
      <c r="K26" s="14"/>
      <c r="N26" s="68"/>
    </row>
    <row r="27" spans="2:14" ht="15" customHeight="1" x14ac:dyDescent="0.2">
      <c r="B27" s="67"/>
      <c r="C27" s="63" t="s">
        <v>221</v>
      </c>
      <c r="D27" s="139"/>
      <c r="E27" s="351">
        <f>-'Corrected energy balance step 1'!AS24</f>
        <v>0</v>
      </c>
      <c r="F27" s="361"/>
      <c r="G27" s="361"/>
      <c r="H27" s="344">
        <f>'Corrected energy balance step 1'!AS101</f>
        <v>0</v>
      </c>
      <c r="I27" s="460"/>
      <c r="J27" s="133"/>
      <c r="K27" s="14"/>
      <c r="N27" s="68"/>
    </row>
    <row r="28" spans="2:14" ht="15" customHeight="1" x14ac:dyDescent="0.2">
      <c r="B28" s="67"/>
      <c r="C28" s="63" t="s">
        <v>222</v>
      </c>
      <c r="D28" s="139"/>
      <c r="E28" s="351">
        <f>-SUM('Corrected energy balance step 1'!AR24,'Corrected energy balance step 1'!AT24)</f>
        <v>0</v>
      </c>
      <c r="F28" s="361"/>
      <c r="G28" s="361"/>
      <c r="H28" s="344">
        <f>SUM('Corrected energy balance step 1'!AR101,'Corrected energy balance step 1'!AT101)</f>
        <v>0</v>
      </c>
      <c r="I28" s="460"/>
      <c r="J28" s="133"/>
      <c r="K28" s="14"/>
      <c r="N28" s="68"/>
    </row>
    <row r="29" spans="2:14" ht="15" customHeight="1" x14ac:dyDescent="0.2">
      <c r="B29" s="67"/>
      <c r="C29" s="63" t="s">
        <v>482</v>
      </c>
      <c r="D29" s="139"/>
      <c r="E29" s="351">
        <f>-'Corrected energy balance step 1'!AV24</f>
        <v>0</v>
      </c>
      <c r="F29" s="489"/>
      <c r="G29" s="361"/>
      <c r="H29" s="344">
        <f>'Corrected energy balance step 1'!AV101</f>
        <v>0</v>
      </c>
      <c r="I29" s="460"/>
      <c r="J29" s="133"/>
      <c r="K29" s="14"/>
      <c r="N29" s="68"/>
    </row>
    <row r="30" spans="2:14" ht="15" customHeight="1" x14ac:dyDescent="0.2">
      <c r="B30" s="98"/>
      <c r="C30" s="191" t="s">
        <v>201</v>
      </c>
      <c r="D30" s="139"/>
      <c r="E30" s="351">
        <f>-SUM('Corrected energy balance step 1'!AU24,'Corrected energy balance step 1'!AZ24)</f>
        <v>0</v>
      </c>
      <c r="F30" s="489"/>
      <c r="G30" s="361"/>
      <c r="H30" s="344">
        <f>SUM('Corrected energy balance step 1'!AU101,'Corrected energy balance step 1'!AZ101)</f>
        <v>0</v>
      </c>
      <c r="I30" s="460"/>
      <c r="J30" s="133"/>
      <c r="K30" s="14"/>
      <c r="N30" s="68"/>
    </row>
    <row r="31" spans="2:14" ht="15" customHeight="1" x14ac:dyDescent="0.2">
      <c r="B31" s="98"/>
      <c r="C31" s="63" t="s">
        <v>189</v>
      </c>
      <c r="D31" s="139"/>
      <c r="E31" s="351">
        <f>-'Corrected energy balance step 1'!BF24</f>
        <v>0</v>
      </c>
      <c r="F31" s="489"/>
      <c r="G31" s="361"/>
      <c r="H31" s="344">
        <f>'Corrected energy balance step 1'!BF101</f>
        <v>0</v>
      </c>
      <c r="I31" s="460"/>
      <c r="J31" s="133"/>
      <c r="K31" s="14"/>
      <c r="N31" s="68"/>
    </row>
    <row r="32" spans="2:14" ht="15" customHeight="1" thickBot="1" x14ac:dyDescent="0.25">
      <c r="B32" s="67"/>
      <c r="C32" s="116" t="s">
        <v>226</v>
      </c>
      <c r="D32" s="487"/>
      <c r="E32" s="346">
        <f>SUM(E23:E31)</f>
        <v>0</v>
      </c>
      <c r="F32" s="467"/>
      <c r="G32" s="467"/>
      <c r="H32" s="354">
        <f>SUM(H23:H31)</f>
        <v>0</v>
      </c>
      <c r="I32" s="464"/>
      <c r="J32" s="134"/>
      <c r="K32" s="14"/>
      <c r="N32" s="68"/>
    </row>
    <row r="33" spans="2:14" ht="15" customHeight="1" thickTop="1" x14ac:dyDescent="0.2">
      <c r="B33" s="72"/>
      <c r="C33" s="105"/>
      <c r="D33" s="135"/>
      <c r="E33" s="348"/>
      <c r="F33" s="360"/>
      <c r="G33" s="360"/>
      <c r="H33" s="360"/>
      <c r="I33" s="136"/>
      <c r="J33" s="137"/>
      <c r="K33" s="15"/>
      <c r="L33" s="10"/>
      <c r="M33" s="10"/>
      <c r="N33" s="73"/>
    </row>
    <row r="34" spans="2:14" ht="15" customHeight="1" x14ac:dyDescent="0.2">
      <c r="B34" s="87" t="s">
        <v>489</v>
      </c>
      <c r="C34" s="63"/>
      <c r="D34" s="138"/>
      <c r="E34" s="351"/>
      <c r="F34" s="361"/>
      <c r="G34" s="361"/>
      <c r="H34" s="344"/>
      <c r="I34" s="139"/>
      <c r="J34" s="133"/>
      <c r="K34" s="14"/>
      <c r="N34" s="68"/>
    </row>
    <row r="35" spans="2:14" ht="15" customHeight="1" thickBot="1" x14ac:dyDescent="0.25">
      <c r="B35" s="87"/>
      <c r="C35" s="192" t="s">
        <v>226</v>
      </c>
      <c r="D35" s="464"/>
      <c r="E35" s="346">
        <f>E20+E32</f>
        <v>0</v>
      </c>
      <c r="F35" s="467"/>
      <c r="G35" s="467"/>
      <c r="H35" s="354">
        <f>H20+H32</f>
        <v>0</v>
      </c>
      <c r="I35" s="464"/>
      <c r="J35" s="134"/>
      <c r="K35" s="14"/>
      <c r="N35" s="68"/>
    </row>
    <row r="36" spans="2:14" ht="15" customHeight="1" thickTop="1" x14ac:dyDescent="0.2">
      <c r="B36" s="210"/>
      <c r="C36" s="211"/>
      <c r="D36" s="469"/>
      <c r="E36" s="356"/>
      <c r="F36" s="468"/>
      <c r="G36" s="468"/>
      <c r="H36" s="355"/>
      <c r="I36" s="469"/>
      <c r="J36" s="212"/>
      <c r="K36" s="14"/>
      <c r="N36" s="68"/>
    </row>
    <row r="37" spans="2:14" ht="15" customHeight="1" x14ac:dyDescent="0.2">
      <c r="B37" s="87" t="s">
        <v>295</v>
      </c>
      <c r="C37" s="102"/>
      <c r="D37" s="139"/>
      <c r="E37" s="350"/>
      <c r="F37" s="361"/>
      <c r="G37" s="361"/>
      <c r="H37" s="361"/>
      <c r="I37" s="139"/>
      <c r="J37" s="140"/>
      <c r="K37" s="14"/>
      <c r="N37" s="68"/>
    </row>
    <row r="38" spans="2:14" ht="15" customHeight="1" x14ac:dyDescent="0.2">
      <c r="B38" s="87"/>
      <c r="C38" s="63" t="s">
        <v>226</v>
      </c>
      <c r="D38" s="139"/>
      <c r="E38" s="351"/>
      <c r="F38" s="361"/>
      <c r="G38" s="361"/>
      <c r="H38" s="362">
        <f>Dashboard!E15</f>
        <v>0</v>
      </c>
      <c r="I38" s="139"/>
      <c r="J38" s="133"/>
      <c r="K38" s="14"/>
      <c r="L38" s="2" t="s">
        <v>433</v>
      </c>
      <c r="N38" s="462" t="s">
        <v>296</v>
      </c>
    </row>
    <row r="39" spans="2:14" ht="15" customHeight="1" thickBot="1" x14ac:dyDescent="0.25">
      <c r="B39" s="194"/>
      <c r="C39" s="496"/>
      <c r="D39" s="488"/>
      <c r="E39" s="497"/>
      <c r="F39" s="445"/>
      <c r="G39" s="490"/>
      <c r="H39" s="445"/>
      <c r="I39" s="492"/>
      <c r="J39" s="498"/>
      <c r="K39" s="493"/>
      <c r="L39" s="494"/>
      <c r="M39" s="494"/>
      <c r="N39" s="495"/>
    </row>
    <row r="40" spans="2:14" ht="17" thickTop="1" x14ac:dyDescent="0.2">
      <c r="B40" s="87" t="s">
        <v>493</v>
      </c>
      <c r="E40" s="327"/>
      <c r="F40" s="327"/>
      <c r="G40" s="327"/>
      <c r="H40" s="327"/>
      <c r="K40" s="14"/>
      <c r="N40" s="68"/>
    </row>
    <row r="41" spans="2:14" x14ac:dyDescent="0.2">
      <c r="B41" s="67"/>
      <c r="C41" s="51" t="s">
        <v>40</v>
      </c>
      <c r="D41" s="139"/>
      <c r="E41" s="357">
        <f t="shared" ref="E41:E49" si="1">IF(H41=0,(E11+E23),((H41/(H11+H23))*(E11+E23)))</f>
        <v>0</v>
      </c>
      <c r="F41" s="472"/>
      <c r="G41" s="472"/>
      <c r="H41" s="357">
        <f t="shared" ref="H41:H49" si="2">H11+H23+(J11*$H$38)</f>
        <v>0</v>
      </c>
      <c r="I41" s="460"/>
      <c r="J41" s="141"/>
      <c r="K41" s="14"/>
      <c r="N41" s="68"/>
    </row>
    <row r="42" spans="2:14" x14ac:dyDescent="0.2">
      <c r="B42" s="67"/>
      <c r="C42" s="51" t="s">
        <v>140</v>
      </c>
      <c r="D42" s="139"/>
      <c r="E42" s="357">
        <f t="shared" si="1"/>
        <v>0</v>
      </c>
      <c r="F42" s="472"/>
      <c r="G42" s="472"/>
      <c r="H42" s="357">
        <f t="shared" si="2"/>
        <v>0</v>
      </c>
      <c r="I42" s="460"/>
      <c r="J42" s="141"/>
      <c r="K42" s="14"/>
      <c r="N42" s="68"/>
    </row>
    <row r="43" spans="2:14" x14ac:dyDescent="0.2">
      <c r="B43" s="67"/>
      <c r="C43" s="51" t="s">
        <v>41</v>
      </c>
      <c r="D43" s="139"/>
      <c r="E43" s="357">
        <f t="shared" si="1"/>
        <v>0</v>
      </c>
      <c r="F43" s="472"/>
      <c r="G43" s="472"/>
      <c r="H43" s="357">
        <f t="shared" si="2"/>
        <v>0</v>
      </c>
      <c r="I43" s="460"/>
      <c r="J43" s="141"/>
      <c r="K43" s="14"/>
      <c r="N43" s="68"/>
    </row>
    <row r="44" spans="2:14" x14ac:dyDescent="0.2">
      <c r="B44" s="67"/>
      <c r="C44" s="51" t="s">
        <v>42</v>
      </c>
      <c r="D44" s="139"/>
      <c r="E44" s="357">
        <f t="shared" si="1"/>
        <v>0</v>
      </c>
      <c r="F44" s="472"/>
      <c r="G44" s="472"/>
      <c r="H44" s="357">
        <f t="shared" si="2"/>
        <v>0</v>
      </c>
      <c r="I44" s="460"/>
      <c r="J44" s="141"/>
      <c r="K44" s="14"/>
      <c r="N44" s="68"/>
    </row>
    <row r="45" spans="2:14" x14ac:dyDescent="0.2">
      <c r="B45" s="67"/>
      <c r="C45" s="63" t="s">
        <v>221</v>
      </c>
      <c r="D45" s="139"/>
      <c r="E45" s="357">
        <f t="shared" si="1"/>
        <v>0</v>
      </c>
      <c r="F45" s="472"/>
      <c r="G45" s="472"/>
      <c r="H45" s="357">
        <f t="shared" si="2"/>
        <v>0</v>
      </c>
      <c r="I45" s="460"/>
      <c r="J45" s="141"/>
      <c r="K45" s="14"/>
      <c r="N45" s="68"/>
    </row>
    <row r="46" spans="2:14" x14ac:dyDescent="0.2">
      <c r="B46" s="67"/>
      <c r="C46" s="63" t="s">
        <v>222</v>
      </c>
      <c r="D46" s="139"/>
      <c r="E46" s="357">
        <f t="shared" si="1"/>
        <v>0</v>
      </c>
      <c r="F46" s="472"/>
      <c r="G46" s="472"/>
      <c r="H46" s="357">
        <f t="shared" si="2"/>
        <v>0</v>
      </c>
      <c r="I46" s="460"/>
      <c r="J46" s="141"/>
      <c r="K46" s="14"/>
      <c r="N46" s="68"/>
    </row>
    <row r="47" spans="2:14" x14ac:dyDescent="0.2">
      <c r="B47" s="67"/>
      <c r="C47" s="63" t="s">
        <v>482</v>
      </c>
      <c r="D47" s="139"/>
      <c r="E47" s="357">
        <f t="shared" si="1"/>
        <v>0</v>
      </c>
      <c r="F47" s="491"/>
      <c r="G47" s="472"/>
      <c r="H47" s="357">
        <f t="shared" si="2"/>
        <v>0</v>
      </c>
      <c r="I47" s="460"/>
      <c r="J47" s="141"/>
      <c r="K47" s="14"/>
      <c r="N47" s="68"/>
    </row>
    <row r="48" spans="2:14" x14ac:dyDescent="0.2">
      <c r="B48" s="67"/>
      <c r="C48" s="191" t="s">
        <v>201</v>
      </c>
      <c r="D48" s="139"/>
      <c r="E48" s="357">
        <f t="shared" si="1"/>
        <v>0</v>
      </c>
      <c r="F48" s="491"/>
      <c r="G48" s="472"/>
      <c r="H48" s="357">
        <f t="shared" si="2"/>
        <v>0</v>
      </c>
      <c r="I48" s="460"/>
      <c r="J48" s="141"/>
      <c r="K48" s="14"/>
      <c r="N48" s="68"/>
    </row>
    <row r="49" spans="2:14" x14ac:dyDescent="0.2">
      <c r="B49" s="67"/>
      <c r="C49" s="63" t="s">
        <v>189</v>
      </c>
      <c r="D49" s="139"/>
      <c r="E49" s="357">
        <f t="shared" si="1"/>
        <v>0</v>
      </c>
      <c r="F49" s="491"/>
      <c r="G49" s="472"/>
      <c r="H49" s="357">
        <f t="shared" si="2"/>
        <v>0</v>
      </c>
      <c r="I49" s="460"/>
      <c r="J49" s="141"/>
      <c r="K49" s="14"/>
      <c r="N49" s="68"/>
    </row>
    <row r="50" spans="2:14" ht="17" thickBot="1" x14ac:dyDescent="0.25">
      <c r="B50" s="67"/>
      <c r="C50" s="116" t="s">
        <v>226</v>
      </c>
      <c r="D50" s="487"/>
      <c r="E50" s="363">
        <f>SUM(E41:E49)</f>
        <v>0</v>
      </c>
      <c r="F50" s="473"/>
      <c r="G50" s="473"/>
      <c r="H50" s="359">
        <f>SUM(H41:H49)</f>
        <v>0</v>
      </c>
      <c r="I50" s="464"/>
      <c r="J50" s="144"/>
      <c r="K50" s="14"/>
      <c r="N50" s="68"/>
    </row>
    <row r="51" spans="2:14" ht="18" thickTop="1" thickBot="1" x14ac:dyDescent="0.25">
      <c r="B51" s="74"/>
      <c r="C51" s="75"/>
      <c r="D51" s="75"/>
      <c r="E51" s="75"/>
      <c r="F51" s="75"/>
      <c r="G51" s="75"/>
      <c r="H51" s="75"/>
      <c r="I51" s="75"/>
      <c r="J51" s="75"/>
      <c r="K51" s="112"/>
      <c r="L51" s="75"/>
      <c r="M51" s="75"/>
      <c r="N51" s="76"/>
    </row>
  </sheetData>
  <mergeCells count="1">
    <mergeCell ref="B5:C5"/>
  </mergeCell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9255D-7448-044C-A5AE-31C6DD958642}">
  <sheetPr codeName="Sheet26">
    <tabColor theme="8" tint="0.39997558519241921"/>
  </sheetPr>
  <dimension ref="A2:F29"/>
  <sheetViews>
    <sheetView workbookViewId="0">
      <pane xSplit="3" ySplit="9" topLeftCell="D10" activePane="bottomRight" state="frozen"/>
      <selection pane="topRight" activeCell="D1" sqref="D1"/>
      <selection pane="bottomLeft" activeCell="A10" sqref="A10"/>
      <selection pane="bottomRight" activeCell="C14" sqref="C14"/>
    </sheetView>
  </sheetViews>
  <sheetFormatPr baseColWidth="10" defaultRowHeight="16" x14ac:dyDescent="0.2"/>
  <cols>
    <col min="1" max="1" width="10.83203125" style="2"/>
    <col min="2" max="2" width="27.1640625" style="2" customWidth="1"/>
    <col min="3" max="3" width="31.1640625" style="2" customWidth="1"/>
    <col min="4" max="5" width="22.83203125" style="2" customWidth="1"/>
    <col min="6" max="6" width="24.83203125" style="2" customWidth="1"/>
    <col min="7" max="16384" width="10.83203125" style="2"/>
  </cols>
  <sheetData>
    <row r="2" spans="2:6" ht="21" x14ac:dyDescent="0.25">
      <c r="B2" s="20" t="s">
        <v>833</v>
      </c>
    </row>
    <row r="4" spans="2:6" x14ac:dyDescent="0.2">
      <c r="B4" s="3" t="s">
        <v>37</v>
      </c>
      <c r="C4" s="4"/>
      <c r="D4" s="4"/>
    </row>
    <row r="5" spans="2:6" ht="45" customHeight="1" x14ac:dyDescent="0.2">
      <c r="B5" s="619" t="s">
        <v>834</v>
      </c>
      <c r="C5" s="620"/>
      <c r="D5" s="620"/>
    </row>
    <row r="6" spans="2:6" ht="17" thickBot="1" x14ac:dyDescent="0.25"/>
    <row r="7" spans="2:6" x14ac:dyDescent="0.2">
      <c r="B7" s="64" t="s">
        <v>206</v>
      </c>
      <c r="C7" s="82"/>
      <c r="D7" s="541"/>
      <c r="E7" s="541"/>
      <c r="F7" s="66"/>
    </row>
    <row r="8" spans="2:6" x14ac:dyDescent="0.2">
      <c r="B8" s="67"/>
      <c r="D8" s="8"/>
      <c r="E8" s="8"/>
      <c r="F8" s="68"/>
    </row>
    <row r="9" spans="2:6" ht="17" x14ac:dyDescent="0.2">
      <c r="B9" s="90" t="s">
        <v>38</v>
      </c>
      <c r="C9" s="62" t="s">
        <v>39</v>
      </c>
      <c r="D9" s="542" t="s">
        <v>835</v>
      </c>
      <c r="E9" s="62" t="s">
        <v>842</v>
      </c>
      <c r="F9" s="543" t="s">
        <v>17</v>
      </c>
    </row>
    <row r="10" spans="2:6" ht="17" x14ac:dyDescent="0.2">
      <c r="B10" s="95" t="s">
        <v>836</v>
      </c>
      <c r="C10" s="89"/>
      <c r="D10" s="89"/>
      <c r="E10" s="60"/>
      <c r="F10" s="537"/>
    </row>
    <row r="11" spans="2:6" ht="15" customHeight="1" x14ac:dyDescent="0.2">
      <c r="B11" s="69"/>
      <c r="C11" s="51" t="s">
        <v>42</v>
      </c>
      <c r="D11" s="544">
        <f>SUM('Corrected energy balance step 2'!U95:AQ95)*kWh_MJ_conversion</f>
        <v>0</v>
      </c>
      <c r="E11" s="344">
        <f>SUM('Corrected energy balance step 2'!U21:AQ21)*-1</f>
        <v>0</v>
      </c>
      <c r="F11" s="536"/>
    </row>
    <row r="12" spans="2:6" ht="15" customHeight="1" x14ac:dyDescent="0.2">
      <c r="B12" s="71"/>
      <c r="C12" s="63" t="s">
        <v>44</v>
      </c>
      <c r="D12" s="544">
        <f>SUM('Corrected energy balance step 2'!AW95:AY95)*kWh_MJ_conversion</f>
        <v>0</v>
      </c>
      <c r="E12" s="344">
        <f>SUM('Corrected energy balance step 2'!AW21:AY21)*-1</f>
        <v>0</v>
      </c>
      <c r="F12" s="536"/>
    </row>
    <row r="13" spans="2:6" ht="15" customHeight="1" thickBot="1" x14ac:dyDescent="0.25">
      <c r="B13" s="71"/>
      <c r="C13" s="116" t="s">
        <v>837</v>
      </c>
      <c r="D13" s="545">
        <f>SUM(D11:D12)</f>
        <v>0</v>
      </c>
      <c r="E13" s="354">
        <f>SUM(E11:E12)</f>
        <v>0</v>
      </c>
      <c r="F13" s="536"/>
    </row>
    <row r="14" spans="2:6" ht="15" customHeight="1" thickTop="1" x14ac:dyDescent="0.2">
      <c r="B14" s="84"/>
      <c r="C14" s="105"/>
      <c r="D14" s="546"/>
      <c r="E14" s="347"/>
      <c r="F14" s="538"/>
    </row>
    <row r="15" spans="2:6" ht="15" customHeight="1" x14ac:dyDescent="0.2">
      <c r="B15" s="103" t="s">
        <v>838</v>
      </c>
      <c r="C15" s="102"/>
      <c r="D15" s="547"/>
      <c r="E15" s="349"/>
      <c r="F15" s="536"/>
    </row>
    <row r="16" spans="2:6" ht="15" customHeight="1" x14ac:dyDescent="0.2">
      <c r="B16" s="67"/>
      <c r="C16" s="51" t="s">
        <v>42</v>
      </c>
      <c r="D16" s="544">
        <f>SUM('Corrected energy balance step 2'!U96:AQ96)*kWh_MJ_conversion</f>
        <v>0</v>
      </c>
      <c r="E16" s="344">
        <f>SUM('Corrected energy balance step 2'!U22:AQ22)*-1</f>
        <v>0</v>
      </c>
      <c r="F16" s="536"/>
    </row>
    <row r="17" spans="1:6" ht="15" customHeight="1" x14ac:dyDescent="0.2">
      <c r="B17" s="98"/>
      <c r="C17" s="63" t="s">
        <v>44</v>
      </c>
      <c r="D17" s="544">
        <f>SUM('Corrected energy balance step 2'!AW96:AY96)*kWh_MJ_conversion</f>
        <v>0</v>
      </c>
      <c r="E17" s="344">
        <f>SUM('Corrected energy balance step 2'!AW22:AY22)*-1</f>
        <v>0</v>
      </c>
      <c r="F17" s="536"/>
    </row>
    <row r="18" spans="1:6" ht="15" customHeight="1" thickBot="1" x14ac:dyDescent="0.25">
      <c r="B18" s="67"/>
      <c r="C18" s="116" t="s">
        <v>837</v>
      </c>
      <c r="D18" s="545">
        <f>SUM(D16:D17)</f>
        <v>0</v>
      </c>
      <c r="E18" s="354">
        <f>SUM(E16:E17)</f>
        <v>0</v>
      </c>
      <c r="F18" s="536"/>
    </row>
    <row r="19" spans="1:6" ht="15" customHeight="1" thickTop="1" x14ac:dyDescent="0.2">
      <c r="B19" s="72"/>
      <c r="C19" s="105"/>
      <c r="D19" s="546"/>
      <c r="E19" s="347"/>
      <c r="F19" s="538"/>
    </row>
    <row r="20" spans="1:6" ht="15" customHeight="1" x14ac:dyDescent="0.2">
      <c r="B20" s="87" t="s">
        <v>839</v>
      </c>
      <c r="C20" s="102"/>
      <c r="D20" s="548"/>
      <c r="E20" s="361"/>
      <c r="F20" s="536"/>
    </row>
    <row r="21" spans="1:6" ht="15" customHeight="1" thickBot="1" x14ac:dyDescent="0.25">
      <c r="B21" s="87"/>
      <c r="C21" s="192" t="s">
        <v>226</v>
      </c>
      <c r="D21" s="549">
        <f>SUM(D13+D18)</f>
        <v>0</v>
      </c>
      <c r="E21" s="354">
        <f>SUM(E13+E18)</f>
        <v>0</v>
      </c>
      <c r="F21" s="536"/>
    </row>
    <row r="22" spans="1:6" ht="15" customHeight="1" thickTop="1" thickBot="1" x14ac:dyDescent="0.25">
      <c r="B22" s="74"/>
      <c r="C22" s="531"/>
      <c r="D22" s="550"/>
      <c r="E22" s="532"/>
      <c r="F22" s="539"/>
    </row>
    <row r="23" spans="1:6" ht="17" x14ac:dyDescent="0.2">
      <c r="A23" s="91"/>
      <c r="B23" s="533" t="s">
        <v>10</v>
      </c>
      <c r="C23" s="89"/>
      <c r="D23" s="551"/>
      <c r="E23" s="540"/>
      <c r="F23" s="537"/>
    </row>
    <row r="24" spans="1:6" x14ac:dyDescent="0.2">
      <c r="A24" s="91"/>
      <c r="B24" s="533"/>
      <c r="C24" s="89"/>
      <c r="D24" s="551"/>
      <c r="E24" s="540"/>
      <c r="F24" s="537"/>
    </row>
    <row r="25" spans="1:6" x14ac:dyDescent="0.2">
      <c r="B25" s="103" t="s">
        <v>838</v>
      </c>
      <c r="C25" s="89"/>
      <c r="D25" s="551"/>
      <c r="E25" s="540"/>
      <c r="F25" s="537"/>
    </row>
    <row r="26" spans="1:6" ht="15" customHeight="1" x14ac:dyDescent="0.2">
      <c r="B26" s="67"/>
      <c r="C26" s="51" t="s">
        <v>42</v>
      </c>
      <c r="D26" s="552">
        <f>D16+D11</f>
        <v>0</v>
      </c>
      <c r="E26" s="357">
        <f>E16+E11</f>
        <v>0</v>
      </c>
      <c r="F26" s="536"/>
    </row>
    <row r="27" spans="1:6" ht="15" customHeight="1" x14ac:dyDescent="0.2">
      <c r="B27" s="98"/>
      <c r="C27" s="63" t="s">
        <v>44</v>
      </c>
      <c r="D27" s="552">
        <f>D17+D12</f>
        <v>0</v>
      </c>
      <c r="E27" s="357">
        <f>E17+E12</f>
        <v>0</v>
      </c>
      <c r="F27" s="536" t="s">
        <v>840</v>
      </c>
    </row>
    <row r="28" spans="1:6" ht="15" customHeight="1" thickBot="1" x14ac:dyDescent="0.25">
      <c r="B28" s="67"/>
      <c r="C28" s="116" t="s">
        <v>837</v>
      </c>
      <c r="D28" s="553">
        <f>SUM(D26:D27)</f>
        <v>0</v>
      </c>
      <c r="E28" s="359">
        <f>SUM(E26:E27)</f>
        <v>0</v>
      </c>
      <c r="F28" s="536"/>
    </row>
    <row r="29" spans="1:6" ht="15" customHeight="1" thickTop="1" thickBot="1" x14ac:dyDescent="0.25">
      <c r="B29" s="74"/>
      <c r="C29" s="534"/>
      <c r="D29" s="554"/>
      <c r="E29" s="535"/>
      <c r="F29" s="539"/>
    </row>
  </sheetData>
  <mergeCells count="1">
    <mergeCell ref="B5:D5"/>
  </mergeCells>
  <pageMargins left="0.75" right="0.75" top="1" bottom="1" header="0.5" footer="0.5"/>
  <pageSetup paperSize="9" orientation="portrait" horizontalDpi="4294967292" verticalDpi="429496729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8CC24-5C81-D64D-B701-0C44F9C6E8FB}">
  <sheetPr codeName="Sheet29">
    <tabColor theme="8" tint="0.39997558519241921"/>
  </sheetPr>
  <dimension ref="B2:J78"/>
  <sheetViews>
    <sheetView workbookViewId="0">
      <pane xSplit="2" ySplit="5" topLeftCell="C6" activePane="bottomRight" state="frozen"/>
      <selection pane="topRight" activeCell="D1" sqref="D1"/>
      <selection pane="bottomLeft" activeCell="A10" sqref="A10"/>
      <selection pane="bottomRight" activeCell="I78" sqref="I78"/>
    </sheetView>
  </sheetViews>
  <sheetFormatPr baseColWidth="10" defaultRowHeight="16" x14ac:dyDescent="0.2"/>
  <cols>
    <col min="1" max="1" width="10.83203125" style="2"/>
    <col min="2" max="2" width="47" style="305" customWidth="1"/>
    <col min="3" max="3" width="32.33203125" style="2" customWidth="1"/>
    <col min="4" max="7" width="22.83203125" style="2" customWidth="1"/>
    <col min="8" max="9" width="24.83203125" style="2" customWidth="1"/>
    <col min="10" max="16384" width="10.83203125" style="2"/>
  </cols>
  <sheetData>
    <row r="2" spans="2:10" ht="22" x14ac:dyDescent="0.25">
      <c r="B2" s="575" t="s">
        <v>894</v>
      </c>
    </row>
    <row r="4" spans="2:10" ht="17" x14ac:dyDescent="0.2">
      <c r="B4" s="576" t="s">
        <v>37</v>
      </c>
      <c r="C4" s="4"/>
    </row>
    <row r="5" spans="2:10" ht="83" customHeight="1" x14ac:dyDescent="0.2">
      <c r="B5" s="619" t="s">
        <v>921</v>
      </c>
      <c r="C5" s="620"/>
      <c r="D5" s="297"/>
      <c r="E5" s="297"/>
    </row>
    <row r="6" spans="2:10" ht="17" thickBot="1" x14ac:dyDescent="0.25"/>
    <row r="7" spans="2:10" ht="34" x14ac:dyDescent="0.2">
      <c r="B7" s="574" t="s">
        <v>917</v>
      </c>
      <c r="C7" s="107"/>
      <c r="D7" s="581" t="s">
        <v>160</v>
      </c>
      <c r="E7" s="581" t="s">
        <v>165</v>
      </c>
      <c r="F7" s="581" t="s">
        <v>166</v>
      </c>
      <c r="G7" s="586" t="s">
        <v>180</v>
      </c>
      <c r="H7" s="570" t="s">
        <v>181</v>
      </c>
      <c r="I7" s="570" t="s">
        <v>182</v>
      </c>
      <c r="J7" s="277" t="s">
        <v>197</v>
      </c>
    </row>
    <row r="8" spans="2:10" ht="18" thickBot="1" x14ac:dyDescent="0.25">
      <c r="B8" s="590" t="s">
        <v>48</v>
      </c>
      <c r="C8" s="579" t="s">
        <v>48</v>
      </c>
      <c r="D8" s="580">
        <f>INDEX('Corrected energy balance step 1'!$B$7:$BO$101,MATCH('Mobile machinery'!$C8,'Corrected energy balance step 1'!$B$7:$B$101,0),MATCH('Mobile machinery'!D$7,'Corrected energy balance step 1'!$B$7:$BO$7,0))</f>
        <v>0</v>
      </c>
      <c r="E8" s="580">
        <f>INDEX('Corrected energy balance step 1'!$B$7:$BO$101,MATCH('Mobile machinery'!$C8,'Corrected energy balance step 1'!$B$7:$B$101,0),MATCH('Mobile machinery'!E$7,'Corrected energy balance step 1'!$B$7:$BO$7,0))</f>
        <v>0</v>
      </c>
      <c r="F8" s="580">
        <f>INDEX('Corrected energy balance step 1'!$B$7:$BO$101,MATCH('Mobile machinery'!$C8,'Corrected energy balance step 1'!$B$7:$B$101,0),MATCH('Mobile machinery'!F$7,'Corrected energy balance step 1'!$B$7:$BO$7,0))</f>
        <v>0</v>
      </c>
      <c r="G8" s="587">
        <f>INDEX('Corrected energy balance step 1'!$B$7:$BO$101,MATCH('Mobile machinery'!$C8,'Corrected energy balance step 1'!$B$7:$B$101,0),MATCH('Mobile machinery'!G$7,'Corrected energy balance step 1'!$B$7:$BO$7,0))</f>
        <v>0</v>
      </c>
      <c r="H8" s="580">
        <f>INDEX('Corrected energy balance step 1'!$B$7:$BO$101,MATCH('Mobile machinery'!$C8,'Corrected energy balance step 1'!$B$7:$B$101,0),MATCH('Mobile machinery'!H$7,'Corrected energy balance step 1'!$B$7:$BO$7,0))</f>
        <v>0</v>
      </c>
      <c r="I8" s="580">
        <f>INDEX('Corrected energy balance step 1'!$B$7:$BO$101,MATCH('Mobile machinery'!$C8,'Corrected energy balance step 1'!$B$7:$B$101,0),MATCH('Mobile machinery'!I$7,'Corrected energy balance step 1'!$B$7:$BO$7,0))</f>
        <v>0</v>
      </c>
      <c r="J8" s="582">
        <f t="shared" ref="J8:J20" si="0">SUM(F8:H8)</f>
        <v>0</v>
      </c>
    </row>
    <row r="9" spans="2:10" x14ac:dyDescent="0.2">
      <c r="B9" s="577"/>
      <c r="C9" s="51" t="s">
        <v>93</v>
      </c>
      <c r="D9" s="302">
        <f>INDEX('Corrected energy balance step 1'!$B$7:$BO$101,MATCH('Mobile machinery'!$C9,'Corrected energy balance step 1'!$B$7:$B$101,0),MATCH('Mobile machinery'!D$7,'Corrected energy balance step 1'!$B$7:$BO$7,0))</f>
        <v>0</v>
      </c>
      <c r="E9" s="302">
        <f>INDEX('Corrected energy balance step 1'!$B$7:$BO$101,MATCH('Mobile machinery'!$C9,'Corrected energy balance step 1'!$B$7:$B$101,0),MATCH('Mobile machinery'!E$7,'Corrected energy balance step 1'!$B$7:$BO$7,0))</f>
        <v>0</v>
      </c>
      <c r="F9" s="302">
        <f>INDEX('Corrected energy balance step 1'!$B$7:$BO$101,MATCH('Mobile machinery'!$C9,'Corrected energy balance step 1'!$B$7:$B$101,0),MATCH('Mobile machinery'!F$7,'Corrected energy balance step 1'!$B$7:$BO$7,0))</f>
        <v>0</v>
      </c>
      <c r="G9" s="588">
        <f>INDEX('Corrected energy balance step 1'!$B$7:$BO$101,MATCH('Mobile machinery'!$C9,'Corrected energy balance step 1'!$B$7:$B$101,0),MATCH('Mobile machinery'!G$7,'Corrected energy balance step 1'!$B$7:$BO$7,0))</f>
        <v>0</v>
      </c>
      <c r="H9" s="302">
        <f>INDEX('Corrected energy balance step 1'!$B$7:$BO$101,MATCH('Mobile machinery'!$C9,'Corrected energy balance step 1'!$B$7:$B$101,0),MATCH('Mobile machinery'!H$7,'Corrected energy balance step 1'!$B$7:$BO$7,0))</f>
        <v>0</v>
      </c>
      <c r="I9" s="302">
        <f>INDEX('Corrected energy balance step 1'!$B$7:$BO$101,MATCH('Mobile machinery'!$C9,'Corrected energy balance step 1'!$B$7:$B$101,0),MATCH('Mobile machinery'!I$7,'Corrected energy balance step 1'!$B$7:$BO$7,0))</f>
        <v>0</v>
      </c>
      <c r="J9" s="330">
        <f t="shared" si="0"/>
        <v>0</v>
      </c>
    </row>
    <row r="10" spans="2:10" x14ac:dyDescent="0.2">
      <c r="B10" s="577"/>
      <c r="C10" s="51" t="s">
        <v>94</v>
      </c>
      <c r="D10" s="302">
        <f>INDEX('Corrected energy balance step 1'!$B$7:$BO$101,MATCH('Mobile machinery'!$C10,'Corrected energy balance step 1'!$B$7:$B$101,0),MATCH('Mobile machinery'!D$7,'Corrected energy balance step 1'!$B$7:$BO$7,0))</f>
        <v>0</v>
      </c>
      <c r="E10" s="302">
        <f>INDEX('Corrected energy balance step 1'!$B$7:$BO$101,MATCH('Mobile machinery'!$C10,'Corrected energy balance step 1'!$B$7:$B$101,0),MATCH('Mobile machinery'!E$7,'Corrected energy balance step 1'!$B$7:$BO$7,0))</f>
        <v>0</v>
      </c>
      <c r="F10" s="302">
        <f>INDEX('Corrected energy balance step 1'!$B$7:$BO$101,MATCH('Mobile machinery'!$C10,'Corrected energy balance step 1'!$B$7:$B$101,0),MATCH('Mobile machinery'!F$7,'Corrected energy balance step 1'!$B$7:$BO$7,0))</f>
        <v>0</v>
      </c>
      <c r="G10" s="588">
        <f>INDEX('Corrected energy balance step 1'!$B$7:$BO$101,MATCH('Mobile machinery'!$C10,'Corrected energy balance step 1'!$B$7:$B$101,0),MATCH('Mobile machinery'!G$7,'Corrected energy balance step 1'!$B$7:$BO$7,0))</f>
        <v>0</v>
      </c>
      <c r="H10" s="302">
        <f>INDEX('Corrected energy balance step 1'!$B$7:$BO$101,MATCH('Mobile machinery'!$C10,'Corrected energy balance step 1'!$B$7:$B$101,0),MATCH('Mobile machinery'!H$7,'Corrected energy balance step 1'!$B$7:$BO$7,0))</f>
        <v>0</v>
      </c>
      <c r="I10" s="302">
        <f>INDEX('Corrected energy balance step 1'!$B$7:$BO$101,MATCH('Mobile machinery'!$C10,'Corrected energy balance step 1'!$B$7:$B$101,0),MATCH('Mobile machinery'!I$7,'Corrected energy balance step 1'!$B$7:$BO$7,0))</f>
        <v>0</v>
      </c>
      <c r="J10" s="330">
        <f t="shared" si="0"/>
        <v>0</v>
      </c>
    </row>
    <row r="11" spans="2:10" x14ac:dyDescent="0.2">
      <c r="B11" s="577"/>
      <c r="C11" s="51" t="s">
        <v>95</v>
      </c>
      <c r="D11" s="302">
        <f>INDEX('Corrected energy balance step 1'!$B$7:$BO$101,MATCH('Mobile machinery'!$C11,'Corrected energy balance step 1'!$B$7:$B$101,0),MATCH('Mobile machinery'!D$7,'Corrected energy balance step 1'!$B$7:$BO$7,0))</f>
        <v>0</v>
      </c>
      <c r="E11" s="302">
        <f>INDEX('Corrected energy balance step 1'!$B$7:$BO$101,MATCH('Mobile machinery'!$C11,'Corrected energy balance step 1'!$B$7:$B$101,0),MATCH('Mobile machinery'!E$7,'Corrected energy balance step 1'!$B$7:$BO$7,0))</f>
        <v>0</v>
      </c>
      <c r="F11" s="302">
        <f>INDEX('Corrected energy balance step 1'!$B$7:$BO$101,MATCH('Mobile machinery'!$C11,'Corrected energy balance step 1'!$B$7:$B$101,0),MATCH('Mobile machinery'!F$7,'Corrected energy balance step 1'!$B$7:$BO$7,0))</f>
        <v>0</v>
      </c>
      <c r="G11" s="588">
        <f>INDEX('Corrected energy balance step 1'!$B$7:$BO$101,MATCH('Mobile machinery'!$C11,'Corrected energy balance step 1'!$B$7:$B$101,0),MATCH('Mobile machinery'!G$7,'Corrected energy balance step 1'!$B$7:$BO$7,0))</f>
        <v>0</v>
      </c>
      <c r="H11" s="302">
        <f>INDEX('Corrected energy balance step 1'!$B$7:$BO$101,MATCH('Mobile machinery'!$C11,'Corrected energy balance step 1'!$B$7:$B$101,0),MATCH('Mobile machinery'!H$7,'Corrected energy balance step 1'!$B$7:$BO$7,0))</f>
        <v>0</v>
      </c>
      <c r="I11" s="302">
        <f>INDEX('Corrected energy balance step 1'!$B$7:$BO$101,MATCH('Mobile machinery'!$C11,'Corrected energy balance step 1'!$B$7:$B$101,0),MATCH('Mobile machinery'!I$7,'Corrected energy balance step 1'!$B$7:$BO$7,0))</f>
        <v>0</v>
      </c>
      <c r="J11" s="330">
        <f t="shared" si="0"/>
        <v>0</v>
      </c>
    </row>
    <row r="12" spans="2:10" x14ac:dyDescent="0.2">
      <c r="B12" s="577"/>
      <c r="C12" s="51" t="s">
        <v>96</v>
      </c>
      <c r="D12" s="302">
        <f>INDEX('Corrected energy balance step 1'!$B$7:$BO$101,MATCH('Mobile machinery'!$C12,'Corrected energy balance step 1'!$B$7:$B$101,0),MATCH('Mobile machinery'!D$7,'Corrected energy balance step 1'!$B$7:$BO$7,0))</f>
        <v>0</v>
      </c>
      <c r="E12" s="302">
        <f>INDEX('Corrected energy balance step 1'!$B$7:$BO$101,MATCH('Mobile machinery'!$C12,'Corrected energy balance step 1'!$B$7:$B$101,0),MATCH('Mobile machinery'!E$7,'Corrected energy balance step 1'!$B$7:$BO$7,0))</f>
        <v>0</v>
      </c>
      <c r="F12" s="302">
        <f>INDEX('Corrected energy balance step 1'!$B$7:$BO$101,MATCH('Mobile machinery'!$C12,'Corrected energy balance step 1'!$B$7:$B$101,0),MATCH('Mobile machinery'!F$7,'Corrected energy balance step 1'!$B$7:$BO$7,0))</f>
        <v>0</v>
      </c>
      <c r="G12" s="588">
        <f>INDEX('Corrected energy balance step 1'!$B$7:$BO$101,MATCH('Mobile machinery'!$C12,'Corrected energy balance step 1'!$B$7:$B$101,0),MATCH('Mobile machinery'!G$7,'Corrected energy balance step 1'!$B$7:$BO$7,0))</f>
        <v>0</v>
      </c>
      <c r="H12" s="302">
        <f>INDEX('Corrected energy balance step 1'!$B$7:$BO$101,MATCH('Mobile machinery'!$C12,'Corrected energy balance step 1'!$B$7:$B$101,0),MATCH('Mobile machinery'!H$7,'Corrected energy balance step 1'!$B$7:$BO$7,0))</f>
        <v>0</v>
      </c>
      <c r="I12" s="302">
        <f>INDEX('Corrected energy balance step 1'!$B$7:$BO$101,MATCH('Mobile machinery'!$C12,'Corrected energy balance step 1'!$B$7:$B$101,0),MATCH('Mobile machinery'!I$7,'Corrected energy balance step 1'!$B$7:$BO$7,0))</f>
        <v>0</v>
      </c>
      <c r="J12" s="330">
        <f t="shared" si="0"/>
        <v>0</v>
      </c>
    </row>
    <row r="13" spans="2:10" x14ac:dyDescent="0.2">
      <c r="B13" s="577"/>
      <c r="C13" s="51" t="s">
        <v>97</v>
      </c>
      <c r="D13" s="302">
        <f>INDEX('Corrected energy balance step 1'!$B$7:$BO$101,MATCH('Mobile machinery'!$C13,'Corrected energy balance step 1'!$B$7:$B$101,0),MATCH('Mobile machinery'!D$7,'Corrected energy balance step 1'!$B$7:$BO$7,0))</f>
        <v>0</v>
      </c>
      <c r="E13" s="302">
        <f>INDEX('Corrected energy balance step 1'!$B$7:$BO$101,MATCH('Mobile machinery'!$C13,'Corrected energy balance step 1'!$B$7:$B$101,0),MATCH('Mobile machinery'!E$7,'Corrected energy balance step 1'!$B$7:$BO$7,0))</f>
        <v>0</v>
      </c>
      <c r="F13" s="302">
        <f>INDEX('Corrected energy balance step 1'!$B$7:$BO$101,MATCH('Mobile machinery'!$C13,'Corrected energy balance step 1'!$B$7:$B$101,0),MATCH('Mobile machinery'!F$7,'Corrected energy balance step 1'!$B$7:$BO$7,0))</f>
        <v>0</v>
      </c>
      <c r="G13" s="588">
        <f>INDEX('Corrected energy balance step 1'!$B$7:$BO$101,MATCH('Mobile machinery'!$C13,'Corrected energy balance step 1'!$B$7:$B$101,0),MATCH('Mobile machinery'!G$7,'Corrected energy balance step 1'!$B$7:$BO$7,0))</f>
        <v>0</v>
      </c>
      <c r="H13" s="302">
        <f>INDEX('Corrected energy balance step 1'!$B$7:$BO$101,MATCH('Mobile machinery'!$C13,'Corrected energy balance step 1'!$B$7:$B$101,0),MATCH('Mobile machinery'!H$7,'Corrected energy balance step 1'!$B$7:$BO$7,0))</f>
        <v>0</v>
      </c>
      <c r="I13" s="302">
        <f>INDEX('Corrected energy balance step 1'!$B$7:$BO$101,MATCH('Mobile machinery'!$C13,'Corrected energy balance step 1'!$B$7:$B$101,0),MATCH('Mobile machinery'!I$7,'Corrected energy balance step 1'!$B$7:$BO$7,0))</f>
        <v>0</v>
      </c>
      <c r="J13" s="330">
        <f t="shared" si="0"/>
        <v>0</v>
      </c>
    </row>
    <row r="14" spans="2:10" x14ac:dyDescent="0.2">
      <c r="B14" s="577"/>
      <c r="C14" s="51" t="s">
        <v>98</v>
      </c>
      <c r="D14" s="302">
        <f>INDEX('Corrected energy balance step 1'!$B$7:$BO$101,MATCH('Mobile machinery'!$C14,'Corrected energy balance step 1'!$B$7:$B$101,0),MATCH('Mobile machinery'!D$7,'Corrected energy balance step 1'!$B$7:$BO$7,0))</f>
        <v>0</v>
      </c>
      <c r="E14" s="302">
        <f>INDEX('Corrected energy balance step 1'!$B$7:$BO$101,MATCH('Mobile machinery'!$C14,'Corrected energy balance step 1'!$B$7:$B$101,0),MATCH('Mobile machinery'!E$7,'Corrected energy balance step 1'!$B$7:$BO$7,0))</f>
        <v>0</v>
      </c>
      <c r="F14" s="302">
        <f>INDEX('Corrected energy balance step 1'!$B$7:$BO$101,MATCH('Mobile machinery'!$C14,'Corrected energy balance step 1'!$B$7:$B$101,0),MATCH('Mobile machinery'!F$7,'Corrected energy balance step 1'!$B$7:$BO$7,0))</f>
        <v>0</v>
      </c>
      <c r="G14" s="588">
        <f>INDEX('Corrected energy balance step 1'!$B$7:$BO$101,MATCH('Mobile machinery'!$C14,'Corrected energy balance step 1'!$B$7:$B$101,0),MATCH('Mobile machinery'!G$7,'Corrected energy balance step 1'!$B$7:$BO$7,0))</f>
        <v>0</v>
      </c>
      <c r="H14" s="302">
        <f>INDEX('Corrected energy balance step 1'!$B$7:$BO$101,MATCH('Mobile machinery'!$C14,'Corrected energy balance step 1'!$B$7:$B$101,0),MATCH('Mobile machinery'!H$7,'Corrected energy balance step 1'!$B$7:$BO$7,0))</f>
        <v>0</v>
      </c>
      <c r="I14" s="302">
        <f>INDEX('Corrected energy balance step 1'!$B$7:$BO$101,MATCH('Mobile machinery'!$C14,'Corrected energy balance step 1'!$B$7:$B$101,0),MATCH('Mobile machinery'!I$7,'Corrected energy balance step 1'!$B$7:$BO$7,0))</f>
        <v>0</v>
      </c>
      <c r="J14" s="330">
        <f t="shared" si="0"/>
        <v>0</v>
      </c>
    </row>
    <row r="15" spans="2:10" x14ac:dyDescent="0.2">
      <c r="B15" s="577"/>
      <c r="C15" s="51" t="s">
        <v>99</v>
      </c>
      <c r="D15" s="302">
        <f>INDEX('Corrected energy balance step 1'!$B$7:$BO$101,MATCH('Mobile machinery'!$C15,'Corrected energy balance step 1'!$B$7:$B$101,0),MATCH('Mobile machinery'!D$7,'Corrected energy balance step 1'!$B$7:$BO$7,0))</f>
        <v>0</v>
      </c>
      <c r="E15" s="302">
        <f>INDEX('Corrected energy balance step 1'!$B$7:$BO$101,MATCH('Mobile machinery'!$C15,'Corrected energy balance step 1'!$B$7:$B$101,0),MATCH('Mobile machinery'!E$7,'Corrected energy balance step 1'!$B$7:$BO$7,0))</f>
        <v>0</v>
      </c>
      <c r="F15" s="302">
        <f>INDEX('Corrected energy balance step 1'!$B$7:$BO$101,MATCH('Mobile machinery'!$C15,'Corrected energy balance step 1'!$B$7:$B$101,0),MATCH('Mobile machinery'!F$7,'Corrected energy balance step 1'!$B$7:$BO$7,0))</f>
        <v>0</v>
      </c>
      <c r="G15" s="588">
        <f>INDEX('Corrected energy balance step 1'!$B$7:$BO$101,MATCH('Mobile machinery'!$C15,'Corrected energy balance step 1'!$B$7:$B$101,0),MATCH('Mobile machinery'!G$7,'Corrected energy balance step 1'!$B$7:$BO$7,0))</f>
        <v>0</v>
      </c>
      <c r="H15" s="302">
        <f>INDEX('Corrected energy balance step 1'!$B$7:$BO$101,MATCH('Mobile machinery'!$C15,'Corrected energy balance step 1'!$B$7:$B$101,0),MATCH('Mobile machinery'!H$7,'Corrected energy balance step 1'!$B$7:$BO$7,0))</f>
        <v>0</v>
      </c>
      <c r="I15" s="302">
        <f>INDEX('Corrected energy balance step 1'!$B$7:$BO$101,MATCH('Mobile machinery'!$C15,'Corrected energy balance step 1'!$B$7:$B$101,0),MATCH('Mobile machinery'!I$7,'Corrected energy balance step 1'!$B$7:$BO$7,0))</f>
        <v>0</v>
      </c>
      <c r="J15" s="330">
        <f t="shared" si="0"/>
        <v>0</v>
      </c>
    </row>
    <row r="16" spans="2:10" x14ac:dyDescent="0.2">
      <c r="B16" s="577"/>
      <c r="C16" s="51" t="s">
        <v>100</v>
      </c>
      <c r="D16" s="302">
        <f>INDEX('Corrected energy balance step 1'!$B$7:$BO$101,MATCH('Mobile machinery'!$C16,'Corrected energy balance step 1'!$B$7:$B$101,0),MATCH('Mobile machinery'!D$7,'Corrected energy balance step 1'!$B$7:$BO$7,0))</f>
        <v>0</v>
      </c>
      <c r="E16" s="302">
        <f>INDEX('Corrected energy balance step 1'!$B$7:$BO$101,MATCH('Mobile machinery'!$C16,'Corrected energy balance step 1'!$B$7:$B$101,0),MATCH('Mobile machinery'!E$7,'Corrected energy balance step 1'!$B$7:$BO$7,0))</f>
        <v>0</v>
      </c>
      <c r="F16" s="302">
        <f>INDEX('Corrected energy balance step 1'!$B$7:$BO$101,MATCH('Mobile machinery'!$C16,'Corrected energy balance step 1'!$B$7:$B$101,0),MATCH('Mobile machinery'!F$7,'Corrected energy balance step 1'!$B$7:$BO$7,0))</f>
        <v>0</v>
      </c>
      <c r="G16" s="588">
        <f>INDEX('Corrected energy balance step 1'!$B$7:$BO$101,MATCH('Mobile machinery'!$C16,'Corrected energy balance step 1'!$B$7:$B$101,0),MATCH('Mobile machinery'!G$7,'Corrected energy balance step 1'!$B$7:$BO$7,0))</f>
        <v>0</v>
      </c>
      <c r="H16" s="302">
        <f>INDEX('Corrected energy balance step 1'!$B$7:$BO$101,MATCH('Mobile machinery'!$C16,'Corrected energy balance step 1'!$B$7:$B$101,0),MATCH('Mobile machinery'!H$7,'Corrected energy balance step 1'!$B$7:$BO$7,0))</f>
        <v>0</v>
      </c>
      <c r="I16" s="302">
        <f>INDEX('Corrected energy balance step 1'!$B$7:$BO$101,MATCH('Mobile machinery'!$C16,'Corrected energy balance step 1'!$B$7:$B$101,0),MATCH('Mobile machinery'!I$7,'Corrected energy balance step 1'!$B$7:$BO$7,0))</f>
        <v>0</v>
      </c>
      <c r="J16" s="330">
        <f t="shared" si="0"/>
        <v>0</v>
      </c>
    </row>
    <row r="17" spans="2:10" x14ac:dyDescent="0.2">
      <c r="B17" s="577"/>
      <c r="C17" s="51" t="s">
        <v>101</v>
      </c>
      <c r="D17" s="302">
        <f>INDEX('Corrected energy balance step 1'!$B$7:$BO$101,MATCH('Mobile machinery'!$C17,'Corrected energy balance step 1'!$B$7:$B$101,0),MATCH('Mobile machinery'!D$7,'Corrected energy balance step 1'!$B$7:$BO$7,0))</f>
        <v>0</v>
      </c>
      <c r="E17" s="302">
        <f>INDEX('Corrected energy balance step 1'!$B$7:$BO$101,MATCH('Mobile machinery'!$C17,'Corrected energy balance step 1'!$B$7:$B$101,0),MATCH('Mobile machinery'!E$7,'Corrected energy balance step 1'!$B$7:$BO$7,0))</f>
        <v>0</v>
      </c>
      <c r="F17" s="302">
        <f>INDEX('Corrected energy balance step 1'!$B$7:$BO$101,MATCH('Mobile machinery'!$C17,'Corrected energy balance step 1'!$B$7:$B$101,0),MATCH('Mobile machinery'!F$7,'Corrected energy balance step 1'!$B$7:$BO$7,0))</f>
        <v>0</v>
      </c>
      <c r="G17" s="588">
        <f>INDEX('Corrected energy balance step 1'!$B$7:$BO$101,MATCH('Mobile machinery'!$C17,'Corrected energy balance step 1'!$B$7:$B$101,0),MATCH('Mobile machinery'!G$7,'Corrected energy balance step 1'!$B$7:$BO$7,0))</f>
        <v>0</v>
      </c>
      <c r="H17" s="302">
        <f>INDEX('Corrected energy balance step 1'!$B$7:$BO$101,MATCH('Mobile machinery'!$C17,'Corrected energy balance step 1'!$B$7:$B$101,0),MATCH('Mobile machinery'!H$7,'Corrected energy balance step 1'!$B$7:$BO$7,0))</f>
        <v>0</v>
      </c>
      <c r="I17" s="302">
        <f>INDEX('Corrected energy balance step 1'!$B$7:$BO$101,MATCH('Mobile machinery'!$C17,'Corrected energy balance step 1'!$B$7:$B$101,0),MATCH('Mobile machinery'!I$7,'Corrected energy balance step 1'!$B$7:$BO$7,0))</f>
        <v>0</v>
      </c>
      <c r="J17" s="330">
        <f t="shared" si="0"/>
        <v>0</v>
      </c>
    </row>
    <row r="18" spans="2:10" x14ac:dyDescent="0.2">
      <c r="B18" s="577"/>
      <c r="C18" s="51" t="s">
        <v>102</v>
      </c>
      <c r="D18" s="302">
        <f>INDEX('Corrected energy balance step 1'!$B$7:$BO$101,MATCH('Mobile machinery'!$C18,'Corrected energy balance step 1'!$B$7:$B$101,0),MATCH('Mobile machinery'!D$7,'Corrected energy balance step 1'!$B$7:$BO$7,0))</f>
        <v>0</v>
      </c>
      <c r="E18" s="302">
        <f>INDEX('Corrected energy balance step 1'!$B$7:$BO$101,MATCH('Mobile machinery'!$C18,'Corrected energy balance step 1'!$B$7:$B$101,0),MATCH('Mobile machinery'!E$7,'Corrected energy balance step 1'!$B$7:$BO$7,0))</f>
        <v>0</v>
      </c>
      <c r="F18" s="302">
        <f>INDEX('Corrected energy balance step 1'!$B$7:$BO$101,MATCH('Mobile machinery'!$C18,'Corrected energy balance step 1'!$B$7:$B$101,0),MATCH('Mobile machinery'!F$7,'Corrected energy balance step 1'!$B$7:$BO$7,0))</f>
        <v>0</v>
      </c>
      <c r="G18" s="588">
        <f>INDEX('Corrected energy balance step 1'!$B$7:$BO$101,MATCH('Mobile machinery'!$C18,'Corrected energy balance step 1'!$B$7:$B$101,0),MATCH('Mobile machinery'!G$7,'Corrected energy balance step 1'!$B$7:$BO$7,0))</f>
        <v>0</v>
      </c>
      <c r="H18" s="302">
        <f>INDEX('Corrected energy balance step 1'!$B$7:$BO$101,MATCH('Mobile machinery'!$C18,'Corrected energy balance step 1'!$B$7:$B$101,0),MATCH('Mobile machinery'!H$7,'Corrected energy balance step 1'!$B$7:$BO$7,0))</f>
        <v>0</v>
      </c>
      <c r="I18" s="302">
        <f>INDEX('Corrected energy balance step 1'!$B$7:$BO$101,MATCH('Mobile machinery'!$C18,'Corrected energy balance step 1'!$B$7:$B$101,0),MATCH('Mobile machinery'!I$7,'Corrected energy balance step 1'!$B$7:$BO$7,0))</f>
        <v>0</v>
      </c>
      <c r="J18" s="330">
        <f t="shared" si="0"/>
        <v>0</v>
      </c>
    </row>
    <row r="19" spans="2:10" x14ac:dyDescent="0.2">
      <c r="B19" s="577"/>
      <c r="C19" s="51" t="s">
        <v>104</v>
      </c>
      <c r="D19" s="302">
        <f>INDEX('Corrected energy balance step 1'!$B$7:$BO$101,MATCH('Mobile machinery'!$C19,'Corrected energy balance step 1'!$B$7:$B$101,0),MATCH('Mobile machinery'!D$7,'Corrected energy balance step 1'!$B$7:$BO$7,0))</f>
        <v>0</v>
      </c>
      <c r="E19" s="302">
        <f>INDEX('Corrected energy balance step 1'!$B$7:$BO$101,MATCH('Mobile machinery'!$C19,'Corrected energy balance step 1'!$B$7:$B$101,0),MATCH('Mobile machinery'!E$7,'Corrected energy balance step 1'!$B$7:$BO$7,0))</f>
        <v>0</v>
      </c>
      <c r="F19" s="302">
        <f>INDEX('Corrected energy balance step 1'!$B$7:$BO$101,MATCH('Mobile machinery'!$C19,'Corrected energy balance step 1'!$B$7:$B$101,0),MATCH('Mobile machinery'!F$7,'Corrected energy balance step 1'!$B$7:$BO$7,0))</f>
        <v>0</v>
      </c>
      <c r="G19" s="588">
        <f>INDEX('Corrected energy balance step 1'!$B$7:$BO$101,MATCH('Mobile machinery'!$C19,'Corrected energy balance step 1'!$B$7:$B$101,0),MATCH('Mobile machinery'!G$7,'Corrected energy balance step 1'!$B$7:$BO$7,0))</f>
        <v>0</v>
      </c>
      <c r="H19" s="302">
        <f>INDEX('Corrected energy balance step 1'!$B$7:$BO$101,MATCH('Mobile machinery'!$C19,'Corrected energy balance step 1'!$B$7:$B$101,0),MATCH('Mobile machinery'!H$7,'Corrected energy balance step 1'!$B$7:$BO$7,0))</f>
        <v>0</v>
      </c>
      <c r="I19" s="302">
        <f>INDEX('Corrected energy balance step 1'!$B$7:$BO$101,MATCH('Mobile machinery'!$C19,'Corrected energy balance step 1'!$B$7:$B$101,0),MATCH('Mobile machinery'!I$7,'Corrected energy balance step 1'!$B$7:$BO$7,0))</f>
        <v>0</v>
      </c>
      <c r="J19" s="330">
        <f t="shared" si="0"/>
        <v>0</v>
      </c>
    </row>
    <row r="20" spans="2:10" x14ac:dyDescent="0.2">
      <c r="B20" s="577"/>
      <c r="C20" s="51" t="s">
        <v>105</v>
      </c>
      <c r="D20" s="302">
        <f>INDEX('Corrected energy balance step 1'!$B$7:$BO$101,MATCH('Mobile machinery'!$C20,'Corrected energy balance step 1'!$B$7:$B$101,0),MATCH('Mobile machinery'!D$7,'Corrected energy balance step 1'!$B$7:$BO$7,0))</f>
        <v>0</v>
      </c>
      <c r="E20" s="302">
        <f>INDEX('Corrected energy balance step 1'!$B$7:$BO$101,MATCH('Mobile machinery'!$C20,'Corrected energy balance step 1'!$B$7:$B$101,0),MATCH('Mobile machinery'!E$7,'Corrected energy balance step 1'!$B$7:$BO$7,0))</f>
        <v>0</v>
      </c>
      <c r="F20" s="302">
        <f>INDEX('Corrected energy balance step 1'!$B$7:$BO$101,MATCH('Mobile machinery'!$C20,'Corrected energy balance step 1'!$B$7:$B$101,0),MATCH('Mobile machinery'!F$7,'Corrected energy balance step 1'!$B$7:$BO$7,0))</f>
        <v>0</v>
      </c>
      <c r="G20" s="588">
        <f>INDEX('Corrected energy balance step 1'!$B$7:$BO$101,MATCH('Mobile machinery'!$C20,'Corrected energy balance step 1'!$B$7:$B$101,0),MATCH('Mobile machinery'!G$7,'Corrected energy balance step 1'!$B$7:$BO$7,0))</f>
        <v>0</v>
      </c>
      <c r="H20" s="302">
        <f>INDEX('Corrected energy balance step 1'!$B$7:$BO$101,MATCH('Mobile machinery'!$C20,'Corrected energy balance step 1'!$B$7:$B$101,0),MATCH('Mobile machinery'!H$7,'Corrected energy balance step 1'!$B$7:$BO$7,0))</f>
        <v>0</v>
      </c>
      <c r="I20" s="302">
        <f>INDEX('Corrected energy balance step 1'!$B$7:$BO$101,MATCH('Mobile machinery'!$C20,'Corrected energy balance step 1'!$B$7:$B$101,0),MATCH('Mobile machinery'!I$7,'Corrected energy balance step 1'!$B$7:$BO$7,0))</f>
        <v>0</v>
      </c>
      <c r="J20" s="330">
        <f t="shared" si="0"/>
        <v>0</v>
      </c>
    </row>
    <row r="21" spans="2:10" x14ac:dyDescent="0.2">
      <c r="B21" s="577"/>
      <c r="C21" s="51"/>
      <c r="D21" s="302"/>
      <c r="E21" s="302"/>
      <c r="F21" s="302"/>
      <c r="G21" s="588"/>
      <c r="H21" s="302"/>
      <c r="I21" s="302"/>
      <c r="J21" s="330"/>
    </row>
    <row r="22" spans="2:10" x14ac:dyDescent="0.2">
      <c r="B22" s="577"/>
      <c r="C22" s="51" t="s">
        <v>103</v>
      </c>
      <c r="D22" s="302">
        <f>INDEX('Corrected energy balance step 1'!$B$7:$BO$101,MATCH('Mobile machinery'!$C22,'Corrected energy balance step 1'!$B$7:$B$101,0),MATCH('Mobile machinery'!D$7,'Corrected energy balance step 1'!$B$7:$BO$7,0))</f>
        <v>0</v>
      </c>
      <c r="E22" s="302">
        <f>INDEX('Corrected energy balance step 1'!$B$7:$BO$101,MATCH('Mobile machinery'!$C22,'Corrected energy balance step 1'!$B$7:$B$101,0),MATCH('Mobile machinery'!E$7,'Corrected energy balance step 1'!$B$7:$BO$7,0))</f>
        <v>0</v>
      </c>
      <c r="F22" s="302">
        <f>INDEX('Corrected energy balance step 1'!$B$7:$BO$101,MATCH('Mobile machinery'!$C22,'Corrected energy balance step 1'!$B$7:$B$101,0),MATCH('Mobile machinery'!F$7,'Corrected energy balance step 1'!$B$7:$BO$7,0))</f>
        <v>0</v>
      </c>
      <c r="G22" s="588">
        <f>INDEX('Corrected energy balance step 1'!$B$7:$BO$101,MATCH('Mobile machinery'!$C22,'Corrected energy balance step 1'!$B$7:$B$101,0),MATCH('Mobile machinery'!G$7,'Corrected energy balance step 1'!$B$7:$BO$7,0))</f>
        <v>0</v>
      </c>
      <c r="H22" s="302">
        <f>INDEX('Corrected energy balance step 1'!$B$7:$BO$101,MATCH('Mobile machinery'!$C22,'Corrected energy balance step 1'!$B$7:$B$101,0),MATCH('Mobile machinery'!H$7,'Corrected energy balance step 1'!$B$7:$BO$7,0))</f>
        <v>0</v>
      </c>
      <c r="I22" s="302">
        <f>INDEX('Corrected energy balance step 1'!$B$7:$BO$101,MATCH('Mobile machinery'!$C22,'Corrected energy balance step 1'!$B$7:$B$101,0),MATCH('Mobile machinery'!I$7,'Corrected energy balance step 1'!$B$7:$BO$7,0))</f>
        <v>0</v>
      </c>
      <c r="J22" s="330">
        <f>SUM(F22:H22)</f>
        <v>0</v>
      </c>
    </row>
    <row r="23" spans="2:10" x14ac:dyDescent="0.2">
      <c r="B23" s="577"/>
      <c r="C23" s="51"/>
      <c r="D23" s="302"/>
      <c r="E23" s="302"/>
      <c r="F23" s="302"/>
      <c r="G23" s="588"/>
      <c r="H23" s="302"/>
      <c r="I23" s="302"/>
      <c r="J23" s="330"/>
    </row>
    <row r="24" spans="2:10" ht="17" x14ac:dyDescent="0.2">
      <c r="B24" s="590" t="s">
        <v>113</v>
      </c>
      <c r="C24" s="51" t="s">
        <v>114</v>
      </c>
      <c r="D24" s="302">
        <f>INDEX('Corrected energy balance step 1'!$B$7:$BO$101,MATCH('Mobile machinery'!$C24,'Corrected energy balance step 1'!$B$7:$B$101,0),MATCH('Mobile machinery'!D$7,'Corrected energy balance step 1'!$B$7:$BO$7,0))</f>
        <v>0</v>
      </c>
      <c r="E24" s="302">
        <f>INDEX('Corrected energy balance step 1'!$B$7:$BO$101,MATCH('Mobile machinery'!$C24,'Corrected energy balance step 1'!$B$7:$B$101,0),MATCH('Mobile machinery'!E$7,'Corrected energy balance step 1'!$B$7:$BO$7,0))</f>
        <v>0</v>
      </c>
      <c r="F24" s="302">
        <f>INDEX('Corrected energy balance step 1'!$B$7:$BO$101,MATCH('Mobile machinery'!$C24,'Corrected energy balance step 1'!$B$7:$B$101,0),MATCH('Mobile machinery'!F$7,'Corrected energy balance step 1'!$B$7:$BO$7,0))</f>
        <v>0</v>
      </c>
      <c r="G24" s="588">
        <f>INDEX('Corrected energy balance step 1'!$B$7:$BO$101,MATCH('Mobile machinery'!$C24,'Corrected energy balance step 1'!$B$7:$B$101,0),MATCH('Mobile machinery'!G$7,'Corrected energy balance step 1'!$B$7:$BO$7,0))</f>
        <v>0</v>
      </c>
      <c r="H24" s="302">
        <f>INDEX('Corrected energy balance step 1'!$B$7:$BO$101,MATCH('Mobile machinery'!$C24,'Corrected energy balance step 1'!$B$7:$B$101,0),MATCH('Mobile machinery'!H$7,'Corrected energy balance step 1'!$B$7:$BO$7,0))</f>
        <v>0</v>
      </c>
      <c r="I24" s="302">
        <f>INDEX('Corrected energy balance step 1'!$B$7:$BO$101,MATCH('Mobile machinery'!$C24,'Corrected energy balance step 1'!$B$7:$B$101,0),MATCH('Mobile machinery'!I$7,'Corrected energy balance step 1'!$B$7:$BO$7,0))</f>
        <v>0</v>
      </c>
      <c r="J24" s="330">
        <f>SUM(F24:H24)</f>
        <v>0</v>
      </c>
    </row>
    <row r="25" spans="2:10" x14ac:dyDescent="0.2">
      <c r="B25" s="577"/>
      <c r="C25" s="51" t="s">
        <v>115</v>
      </c>
      <c r="D25" s="302">
        <f>INDEX('Corrected energy balance step 1'!$B$7:$BO$101,MATCH('Mobile machinery'!$C25,'Corrected energy balance step 1'!$B$7:$B$101,0),MATCH('Mobile machinery'!D$7,'Corrected energy balance step 1'!$B$7:$BO$7,0))</f>
        <v>0</v>
      </c>
      <c r="E25" s="302">
        <f>INDEX('Corrected energy balance step 1'!$B$7:$BO$101,MATCH('Mobile machinery'!$C25,'Corrected energy balance step 1'!$B$7:$B$101,0),MATCH('Mobile machinery'!E$7,'Corrected energy balance step 1'!$B$7:$BO$7,0))</f>
        <v>0</v>
      </c>
      <c r="F25" s="302">
        <f>INDEX('Corrected energy balance step 1'!$B$7:$BO$101,MATCH('Mobile machinery'!$C25,'Corrected energy balance step 1'!$B$7:$B$101,0),MATCH('Mobile machinery'!F$7,'Corrected energy balance step 1'!$B$7:$BO$7,0))</f>
        <v>0</v>
      </c>
      <c r="G25" s="588">
        <f>INDEX('Corrected energy balance step 1'!$B$7:$BO$101,MATCH('Mobile machinery'!$C25,'Corrected energy balance step 1'!$B$7:$B$101,0),MATCH('Mobile machinery'!G$7,'Corrected energy balance step 1'!$B$7:$BO$7,0))</f>
        <v>0</v>
      </c>
      <c r="H25" s="302">
        <f>INDEX('Corrected energy balance step 1'!$B$7:$BO$101,MATCH('Mobile machinery'!$C25,'Corrected energy balance step 1'!$B$7:$B$101,0),MATCH('Mobile machinery'!H$7,'Corrected energy balance step 1'!$B$7:$BO$7,0))</f>
        <v>0</v>
      </c>
      <c r="I25" s="302">
        <f>INDEX('Corrected energy balance step 1'!$B$7:$BO$101,MATCH('Mobile machinery'!$C25,'Corrected energy balance step 1'!$B$7:$B$101,0),MATCH('Mobile machinery'!I$7,'Corrected energy balance step 1'!$B$7:$BO$7,0))</f>
        <v>0</v>
      </c>
      <c r="J25" s="330">
        <f>SUM(F25:H25)</f>
        <v>0</v>
      </c>
    </row>
    <row r="26" spans="2:10" x14ac:dyDescent="0.2">
      <c r="B26" s="577"/>
      <c r="C26" s="51" t="s">
        <v>116</v>
      </c>
      <c r="D26" s="302">
        <f>INDEX('Corrected energy balance step 1'!$B$7:$BO$101,MATCH('Mobile machinery'!$C26,'Corrected energy balance step 1'!$B$7:$B$101,0),MATCH('Mobile machinery'!D$7,'Corrected energy balance step 1'!$B$7:$BO$7,0))</f>
        <v>0</v>
      </c>
      <c r="E26" s="302">
        <f>INDEX('Corrected energy balance step 1'!$B$7:$BO$101,MATCH('Mobile machinery'!$C26,'Corrected energy balance step 1'!$B$7:$B$101,0),MATCH('Mobile machinery'!E$7,'Corrected energy balance step 1'!$B$7:$BO$7,0))</f>
        <v>0</v>
      </c>
      <c r="F26" s="302">
        <f>INDEX('Corrected energy balance step 1'!$B$7:$BO$101,MATCH('Mobile machinery'!$C26,'Corrected energy balance step 1'!$B$7:$B$101,0),MATCH('Mobile machinery'!F$7,'Corrected energy balance step 1'!$B$7:$BO$7,0))</f>
        <v>0</v>
      </c>
      <c r="G26" s="588">
        <f>INDEX('Corrected energy balance step 1'!$B$7:$BO$101,MATCH('Mobile machinery'!$C26,'Corrected energy balance step 1'!$B$7:$B$101,0),MATCH('Mobile machinery'!G$7,'Corrected energy balance step 1'!$B$7:$BO$7,0))</f>
        <v>0</v>
      </c>
      <c r="H26" s="302">
        <f>INDEX('Corrected energy balance step 1'!$B$7:$BO$101,MATCH('Mobile machinery'!$C26,'Corrected energy balance step 1'!$B$7:$B$101,0),MATCH('Mobile machinery'!H$7,'Corrected energy balance step 1'!$B$7:$BO$7,0))</f>
        <v>0</v>
      </c>
      <c r="I26" s="302">
        <f>INDEX('Corrected energy balance step 1'!$B$7:$BO$101,MATCH('Mobile machinery'!$C26,'Corrected energy balance step 1'!$B$7:$B$101,0),MATCH('Mobile machinery'!I$7,'Corrected energy balance step 1'!$B$7:$BO$7,0))</f>
        <v>0</v>
      </c>
      <c r="J26" s="330">
        <f>SUM(F26:H26)</f>
        <v>0</v>
      </c>
    </row>
    <row r="27" spans="2:10" x14ac:dyDescent="0.2">
      <c r="B27" s="577"/>
      <c r="C27" s="51" t="s">
        <v>118</v>
      </c>
      <c r="D27" s="302">
        <f>INDEX('Corrected energy balance step 1'!$B$7:$BO$101,MATCH('Mobile machinery'!$C27,'Corrected energy balance step 1'!$B$7:$B$101,0),MATCH('Mobile machinery'!D$7,'Corrected energy balance step 1'!$B$7:$BO$7,0))</f>
        <v>0</v>
      </c>
      <c r="E27" s="302">
        <f>INDEX('Corrected energy balance step 1'!$B$7:$BO$101,MATCH('Mobile machinery'!$C27,'Corrected energy balance step 1'!$B$7:$B$101,0),MATCH('Mobile machinery'!E$7,'Corrected energy balance step 1'!$B$7:$BO$7,0))</f>
        <v>0</v>
      </c>
      <c r="F27" s="302">
        <f>INDEX('Corrected energy balance step 1'!$B$7:$BO$101,MATCH('Mobile machinery'!$C27,'Corrected energy balance step 1'!$B$7:$B$101,0),MATCH('Mobile machinery'!F$7,'Corrected energy balance step 1'!$B$7:$BO$7,0))</f>
        <v>0</v>
      </c>
      <c r="G27" s="588">
        <f>INDEX('Corrected energy balance step 1'!$B$7:$BO$101,MATCH('Mobile machinery'!$C27,'Corrected energy balance step 1'!$B$7:$B$101,0),MATCH('Mobile machinery'!G$7,'Corrected energy balance step 1'!$B$7:$BO$7,0))</f>
        <v>0</v>
      </c>
      <c r="H27" s="302">
        <f>INDEX('Corrected energy balance step 1'!$B$7:$BO$101,MATCH('Mobile machinery'!$C27,'Corrected energy balance step 1'!$B$7:$B$101,0),MATCH('Mobile machinery'!H$7,'Corrected energy balance step 1'!$B$7:$BO$7,0))</f>
        <v>0</v>
      </c>
      <c r="I27" s="302">
        <f>INDEX('Corrected energy balance step 1'!$B$7:$BO$101,MATCH('Mobile machinery'!$C27,'Corrected energy balance step 1'!$B$7:$B$101,0),MATCH('Mobile machinery'!I$7,'Corrected energy balance step 1'!$B$7:$BO$7,0))</f>
        <v>0</v>
      </c>
      <c r="J27" s="330">
        <f>SUM(F27:H27)</f>
        <v>0</v>
      </c>
    </row>
    <row r="28" spans="2:10" x14ac:dyDescent="0.2">
      <c r="B28" s="577"/>
      <c r="C28" s="51"/>
      <c r="D28"/>
      <c r="E28"/>
      <c r="F28"/>
      <c r="G28" s="588"/>
      <c r="H28" s="302"/>
      <c r="I28" s="302"/>
      <c r="J28" s="330"/>
    </row>
    <row r="29" spans="2:10" ht="17" x14ac:dyDescent="0.2">
      <c r="B29" s="590" t="s">
        <v>106</v>
      </c>
      <c r="C29" s="51" t="s">
        <v>108</v>
      </c>
      <c r="D29" s="588">
        <f>INDEX('Corrected energy balance step 1'!$B$7:$BO$101,MATCH('Mobile machinery'!$C29,'Corrected energy balance step 1'!$B$7:$B$101,0),MATCH('Mobile machinery'!D$7,'Corrected energy balance step 1'!$B$7:$BO$7,0))</f>
        <v>0</v>
      </c>
      <c r="E29" s="302">
        <f>INDEX('Corrected energy balance step 1'!$B$7:$BO$101,MATCH('Mobile machinery'!$C29,'Corrected energy balance step 1'!$B$7:$B$101,0),MATCH('Mobile machinery'!E$7,'Corrected energy balance step 1'!$B$7:$BO$7,0))</f>
        <v>0</v>
      </c>
      <c r="F29" s="302">
        <f>INDEX('Corrected energy balance step 1'!$B$7:$BO$101,MATCH('Mobile machinery'!$C29,'Corrected energy balance step 1'!$B$7:$B$101,0),MATCH('Mobile machinery'!F$7,'Corrected energy balance step 1'!$B$7:$BO$7,0))</f>
        <v>0</v>
      </c>
      <c r="G29" s="588">
        <f>INDEX('Corrected energy balance step 1'!$B$7:$BO$101,MATCH('Mobile machinery'!$C29,'Corrected energy balance step 1'!$B$7:$B$101,0),MATCH('Mobile machinery'!G$7,'Corrected energy balance step 1'!$B$7:$BO$7,0))</f>
        <v>0</v>
      </c>
      <c r="H29" s="302">
        <f>INDEX('Corrected energy balance step 1'!$B$7:$BO$101,MATCH('Mobile machinery'!$C29,'Corrected energy balance step 1'!$B$7:$B$101,0),MATCH('Mobile machinery'!H$7,'Corrected energy balance step 1'!$B$7:$BO$7,0))</f>
        <v>0</v>
      </c>
      <c r="I29" s="302">
        <f>INDEX('Corrected energy balance step 1'!$B$7:$BO$101,MATCH('Mobile machinery'!$C29,'Corrected energy balance step 1'!$B$7:$B$101,0),MATCH('Mobile machinery'!I$7,'Corrected energy balance step 1'!$B$7:$BO$7,0))</f>
        <v>0</v>
      </c>
      <c r="J29" s="330">
        <f>SUM(F29:H29)</f>
        <v>0</v>
      </c>
    </row>
    <row r="30" spans="2:10" ht="17" thickBot="1" x14ac:dyDescent="0.25">
      <c r="B30" s="578"/>
      <c r="C30" s="85"/>
      <c r="D30" s="35"/>
      <c r="E30" s="35"/>
      <c r="F30" s="331"/>
      <c r="G30" s="589"/>
      <c r="H30" s="331"/>
      <c r="I30" s="331"/>
      <c r="J30" s="332"/>
    </row>
    <row r="31" spans="2:10" ht="17" thickBot="1" x14ac:dyDescent="0.25"/>
    <row r="32" spans="2:10" ht="34" x14ac:dyDescent="0.2">
      <c r="B32" s="574" t="s">
        <v>919</v>
      </c>
      <c r="C32" s="107"/>
      <c r="D32" s="581" t="s">
        <v>160</v>
      </c>
      <c r="E32" s="581" t="s">
        <v>165</v>
      </c>
      <c r="F32" s="581" t="s">
        <v>166</v>
      </c>
      <c r="G32" s="586" t="s">
        <v>180</v>
      </c>
      <c r="H32" s="597" t="s">
        <v>181</v>
      </c>
      <c r="I32" s="599" t="s">
        <v>182</v>
      </c>
      <c r="J32" s="277"/>
    </row>
    <row r="33" spans="2:10" ht="17" x14ac:dyDescent="0.2">
      <c r="B33" s="590" t="s">
        <v>48</v>
      </c>
      <c r="C33" s="51" t="s">
        <v>93</v>
      </c>
      <c r="D33" s="585">
        <f>Dashboard!$L$252</f>
        <v>0</v>
      </c>
      <c r="E33" s="585">
        <f>Dashboard!$L$252</f>
        <v>0</v>
      </c>
      <c r="F33" s="585">
        <f>Dashboard!$L$252</f>
        <v>0</v>
      </c>
      <c r="G33" s="592">
        <f>Dashboard!$L$253</f>
        <v>0</v>
      </c>
      <c r="H33" s="598">
        <f>Dashboard!$L$253</f>
        <v>0</v>
      </c>
      <c r="I33" s="598">
        <f>Dashboard!$L$253</f>
        <v>0</v>
      </c>
      <c r="J33" s="33"/>
    </row>
    <row r="34" spans="2:10" x14ac:dyDescent="0.2">
      <c r="B34" s="583"/>
      <c r="C34" s="51" t="s">
        <v>94</v>
      </c>
      <c r="D34" s="585">
        <f>Dashboard!$L$252</f>
        <v>0</v>
      </c>
      <c r="E34" s="585">
        <f>Dashboard!$L$252</f>
        <v>0</v>
      </c>
      <c r="F34" s="585">
        <f>Dashboard!$L$252</f>
        <v>0</v>
      </c>
      <c r="G34" s="591">
        <f>Dashboard!$L$253</f>
        <v>0</v>
      </c>
      <c r="H34" s="370">
        <f>Dashboard!$L$253</f>
        <v>0</v>
      </c>
      <c r="I34" s="370">
        <f>Dashboard!$L$253</f>
        <v>0</v>
      </c>
      <c r="J34" s="584"/>
    </row>
    <row r="35" spans="2:10" x14ac:dyDescent="0.2">
      <c r="B35" s="583"/>
      <c r="C35" s="51" t="s">
        <v>95</v>
      </c>
      <c r="D35" s="585">
        <f>Dashboard!$L$252</f>
        <v>0</v>
      </c>
      <c r="E35" s="585">
        <f>Dashboard!$L$252</f>
        <v>0</v>
      </c>
      <c r="F35" s="585">
        <f>Dashboard!$L$252</f>
        <v>0</v>
      </c>
      <c r="G35" s="591">
        <f>Dashboard!$L$253</f>
        <v>0</v>
      </c>
      <c r="H35" s="370">
        <f>Dashboard!$L$253</f>
        <v>0</v>
      </c>
      <c r="I35" s="370">
        <f>Dashboard!$L$253</f>
        <v>0</v>
      </c>
      <c r="J35" s="584"/>
    </row>
    <row r="36" spans="2:10" x14ac:dyDescent="0.2">
      <c r="B36" s="583"/>
      <c r="C36" s="51" t="s">
        <v>96</v>
      </c>
      <c r="D36" s="585">
        <f>Dashboard!$L$252</f>
        <v>0</v>
      </c>
      <c r="E36" s="585">
        <f>Dashboard!$L$252</f>
        <v>0</v>
      </c>
      <c r="F36" s="585">
        <f>Dashboard!$L$252</f>
        <v>0</v>
      </c>
      <c r="G36" s="591">
        <f>Dashboard!$L$253</f>
        <v>0</v>
      </c>
      <c r="H36" s="370">
        <f>Dashboard!$L$253</f>
        <v>0</v>
      </c>
      <c r="I36" s="370">
        <f>Dashboard!$L$253</f>
        <v>0</v>
      </c>
      <c r="J36" s="584"/>
    </row>
    <row r="37" spans="2:10" x14ac:dyDescent="0.2">
      <c r="B37" s="583"/>
      <c r="C37" s="51" t="s">
        <v>97</v>
      </c>
      <c r="D37" s="585">
        <f>Dashboard!$L$252</f>
        <v>0</v>
      </c>
      <c r="E37" s="585">
        <f>Dashboard!$L$252</f>
        <v>0</v>
      </c>
      <c r="F37" s="585">
        <f>Dashboard!$L$252</f>
        <v>0</v>
      </c>
      <c r="G37" s="591">
        <f>Dashboard!$L$253</f>
        <v>0</v>
      </c>
      <c r="H37" s="370">
        <f>Dashboard!$L$253</f>
        <v>0</v>
      </c>
      <c r="I37" s="370">
        <f>Dashboard!$L$253</f>
        <v>0</v>
      </c>
      <c r="J37" s="584"/>
    </row>
    <row r="38" spans="2:10" x14ac:dyDescent="0.2">
      <c r="B38" s="583"/>
      <c r="C38" s="51" t="s">
        <v>98</v>
      </c>
      <c r="D38" s="585">
        <f>Dashboard!$L$252</f>
        <v>0</v>
      </c>
      <c r="E38" s="585">
        <f>Dashboard!$L$252</f>
        <v>0</v>
      </c>
      <c r="F38" s="585">
        <f>Dashboard!$L$252</f>
        <v>0</v>
      </c>
      <c r="G38" s="591">
        <f>Dashboard!$L$253</f>
        <v>0</v>
      </c>
      <c r="H38" s="370">
        <f>Dashboard!$L$253</f>
        <v>0</v>
      </c>
      <c r="I38" s="370">
        <f>Dashboard!$L$253</f>
        <v>0</v>
      </c>
      <c r="J38" s="584"/>
    </row>
    <row r="39" spans="2:10" x14ac:dyDescent="0.2">
      <c r="B39" s="583"/>
      <c r="C39" s="51" t="s">
        <v>99</v>
      </c>
      <c r="D39" s="585">
        <f>Dashboard!$L$252</f>
        <v>0</v>
      </c>
      <c r="E39" s="585">
        <f>Dashboard!$L$252</f>
        <v>0</v>
      </c>
      <c r="F39" s="585">
        <f>Dashboard!$L$252</f>
        <v>0</v>
      </c>
      <c r="G39" s="591">
        <f>Dashboard!$L$253</f>
        <v>0</v>
      </c>
      <c r="H39" s="370">
        <f>Dashboard!$L$253</f>
        <v>0</v>
      </c>
      <c r="I39" s="370">
        <f>Dashboard!$L$253</f>
        <v>0</v>
      </c>
      <c r="J39" s="584"/>
    </row>
    <row r="40" spans="2:10" x14ac:dyDescent="0.2">
      <c r="B40" s="583"/>
      <c r="C40" s="51" t="s">
        <v>100</v>
      </c>
      <c r="D40" s="585">
        <f>Dashboard!$L$252</f>
        <v>0</v>
      </c>
      <c r="E40" s="585">
        <f>Dashboard!$L$252</f>
        <v>0</v>
      </c>
      <c r="F40" s="585">
        <f>Dashboard!$L$252</f>
        <v>0</v>
      </c>
      <c r="G40" s="591">
        <f>Dashboard!$L$253</f>
        <v>0</v>
      </c>
      <c r="H40" s="370">
        <f>Dashboard!$L$253</f>
        <v>0</v>
      </c>
      <c r="I40" s="370">
        <f>Dashboard!$L$253</f>
        <v>0</v>
      </c>
      <c r="J40" s="584"/>
    </row>
    <row r="41" spans="2:10" x14ac:dyDescent="0.2">
      <c r="B41" s="583"/>
      <c r="C41" s="51" t="s">
        <v>101</v>
      </c>
      <c r="D41" s="585">
        <f>Dashboard!$L$252</f>
        <v>0</v>
      </c>
      <c r="E41" s="585">
        <f>Dashboard!$L$252</f>
        <v>0</v>
      </c>
      <c r="F41" s="585">
        <f>Dashboard!$L$252</f>
        <v>0</v>
      </c>
      <c r="G41" s="591">
        <f>Dashboard!$L$253</f>
        <v>0</v>
      </c>
      <c r="H41" s="370">
        <f>Dashboard!$L$253</f>
        <v>0</v>
      </c>
      <c r="I41" s="370">
        <f>Dashboard!$L$253</f>
        <v>0</v>
      </c>
      <c r="J41" s="584"/>
    </row>
    <row r="42" spans="2:10" x14ac:dyDescent="0.2">
      <c r="B42" s="577"/>
      <c r="C42" s="51" t="s">
        <v>102</v>
      </c>
      <c r="D42" s="585">
        <f>Dashboard!$L$252</f>
        <v>0</v>
      </c>
      <c r="E42" s="585">
        <f>Dashboard!$L$252</f>
        <v>0</v>
      </c>
      <c r="F42" s="585">
        <f>Dashboard!$L$252</f>
        <v>0</v>
      </c>
      <c r="G42" s="591">
        <f>Dashboard!$L$253</f>
        <v>0</v>
      </c>
      <c r="H42" s="370">
        <f>Dashboard!$L$253</f>
        <v>0</v>
      </c>
      <c r="I42" s="370">
        <f>Dashboard!$L$253</f>
        <v>0</v>
      </c>
      <c r="J42" s="330"/>
    </row>
    <row r="43" spans="2:10" x14ac:dyDescent="0.2">
      <c r="B43" s="577"/>
      <c r="C43" s="51" t="s">
        <v>104</v>
      </c>
      <c r="D43" s="585">
        <f>Dashboard!$L$252</f>
        <v>0</v>
      </c>
      <c r="E43" s="585">
        <f>Dashboard!$L$252</f>
        <v>0</v>
      </c>
      <c r="F43" s="585">
        <f>Dashboard!$L$252</f>
        <v>0</v>
      </c>
      <c r="G43" s="591">
        <f>Dashboard!$L$253</f>
        <v>0</v>
      </c>
      <c r="H43" s="370">
        <f>Dashboard!$L$253</f>
        <v>0</v>
      </c>
      <c r="I43" s="370">
        <f>Dashboard!$L$253</f>
        <v>0</v>
      </c>
      <c r="J43" s="330"/>
    </row>
    <row r="44" spans="2:10" x14ac:dyDescent="0.2">
      <c r="B44" s="577"/>
      <c r="C44" s="51" t="s">
        <v>105</v>
      </c>
      <c r="D44" s="585">
        <f>Dashboard!$L$252</f>
        <v>0</v>
      </c>
      <c r="E44" s="585">
        <f>Dashboard!$L$252</f>
        <v>0</v>
      </c>
      <c r="F44" s="585">
        <f>Dashboard!$L$252</f>
        <v>0</v>
      </c>
      <c r="G44" s="591">
        <f>Dashboard!$L$253</f>
        <v>0</v>
      </c>
      <c r="H44" s="370">
        <f>Dashboard!$L$253</f>
        <v>0</v>
      </c>
      <c r="I44" s="370">
        <f>Dashboard!$L$253</f>
        <v>0</v>
      </c>
      <c r="J44" s="330"/>
    </row>
    <row r="45" spans="2:10" x14ac:dyDescent="0.2">
      <c r="B45" s="577"/>
      <c r="C45" s="51"/>
      <c r="D45" s="585"/>
      <c r="E45" s="585"/>
      <c r="F45" s="585"/>
      <c r="G45" s="342"/>
      <c r="H45" s="370"/>
      <c r="I45" s="370"/>
      <c r="J45" s="330"/>
    </row>
    <row r="46" spans="2:10" x14ac:dyDescent="0.2">
      <c r="B46" s="577"/>
      <c r="C46" s="51" t="s">
        <v>103</v>
      </c>
      <c r="D46" s="585">
        <f>Dashboard!$L$250</f>
        <v>0</v>
      </c>
      <c r="E46" s="585">
        <f>Dashboard!$L$250</f>
        <v>0</v>
      </c>
      <c r="F46" s="585">
        <f>Dashboard!$L$250</f>
        <v>0</v>
      </c>
      <c r="G46" s="591">
        <f>Dashboard!$L$251</f>
        <v>0</v>
      </c>
      <c r="H46" s="585">
        <f>Dashboard!$L$251</f>
        <v>0</v>
      </c>
      <c r="I46" s="585">
        <f>Dashboard!$L$251</f>
        <v>0</v>
      </c>
      <c r="J46" s="330"/>
    </row>
    <row r="47" spans="2:10" x14ac:dyDescent="0.2">
      <c r="B47" s="577"/>
      <c r="C47" s="51"/>
      <c r="D47"/>
      <c r="E47"/>
      <c r="F47" s="323"/>
      <c r="G47" s="342"/>
      <c r="H47" s="323"/>
      <c r="I47" s="323"/>
      <c r="J47" s="330"/>
    </row>
    <row r="48" spans="2:10" ht="17" x14ac:dyDescent="0.2">
      <c r="B48" s="590" t="s">
        <v>113</v>
      </c>
      <c r="C48" s="51" t="s">
        <v>114</v>
      </c>
      <c r="D48" s="370">
        <f>Dashboard!$L$254</f>
        <v>0</v>
      </c>
      <c r="E48" s="370">
        <f>Dashboard!$L$254</f>
        <v>0</v>
      </c>
      <c r="F48" s="370">
        <f>Dashboard!$L$254</f>
        <v>0</v>
      </c>
      <c r="G48" s="593">
        <f>Dashboard!$L$255</f>
        <v>0</v>
      </c>
      <c r="H48" s="370">
        <f>Dashboard!$L$255</f>
        <v>0</v>
      </c>
      <c r="I48" s="370">
        <f>Dashboard!$L$255</f>
        <v>0</v>
      </c>
      <c r="J48" s="330"/>
    </row>
    <row r="49" spans="2:10" x14ac:dyDescent="0.2">
      <c r="B49" s="577"/>
      <c r="C49" s="51" t="s">
        <v>115</v>
      </c>
      <c r="D49" s="370">
        <f>Dashboard!$L$256</f>
        <v>0</v>
      </c>
      <c r="E49" s="370">
        <f>Dashboard!$L$256</f>
        <v>0</v>
      </c>
      <c r="F49" s="370">
        <f>Dashboard!$L$256</f>
        <v>0</v>
      </c>
      <c r="G49" s="593">
        <f>Dashboard!$L$257</f>
        <v>0</v>
      </c>
      <c r="H49" s="370">
        <f>Dashboard!$L$257</f>
        <v>0</v>
      </c>
      <c r="I49" s="370">
        <f>Dashboard!$L$257</f>
        <v>0</v>
      </c>
      <c r="J49" s="330"/>
    </row>
    <row r="50" spans="2:10" x14ac:dyDescent="0.2">
      <c r="B50" s="577"/>
      <c r="C50" s="51" t="s">
        <v>116</v>
      </c>
      <c r="D50" s="370">
        <f>Dashboard!$L$258</f>
        <v>0</v>
      </c>
      <c r="E50" s="370">
        <f>Dashboard!$L$258</f>
        <v>0</v>
      </c>
      <c r="F50" s="370">
        <f>Dashboard!$L$258</f>
        <v>0</v>
      </c>
      <c r="G50" s="593">
        <f>Dashboard!$L$259</f>
        <v>0</v>
      </c>
      <c r="H50" s="370">
        <f>Dashboard!$L$259</f>
        <v>0</v>
      </c>
      <c r="I50" s="370">
        <f>Dashboard!$L$259</f>
        <v>0</v>
      </c>
      <c r="J50" s="330"/>
    </row>
    <row r="51" spans="2:10" x14ac:dyDescent="0.2">
      <c r="B51" s="577"/>
      <c r="C51" s="51" t="s">
        <v>118</v>
      </c>
      <c r="D51" s="370">
        <f>Dashboard!$L$260</f>
        <v>0</v>
      </c>
      <c r="E51" s="370">
        <f>Dashboard!$L$260</f>
        <v>0</v>
      </c>
      <c r="F51" s="370">
        <f>Dashboard!$L$260</f>
        <v>0</v>
      </c>
      <c r="G51" s="593">
        <f>Dashboard!$L$261</f>
        <v>0</v>
      </c>
      <c r="H51" s="370">
        <f>Dashboard!$L$261</f>
        <v>0</v>
      </c>
      <c r="I51" s="370">
        <f>Dashboard!$L$261</f>
        <v>0</v>
      </c>
      <c r="J51" s="330"/>
    </row>
    <row r="52" spans="2:10" ht="17" thickBot="1" x14ac:dyDescent="0.25">
      <c r="B52" s="578"/>
      <c r="C52" s="85"/>
      <c r="D52" s="35"/>
      <c r="E52" s="35"/>
      <c r="F52" s="331"/>
      <c r="G52" s="589"/>
      <c r="H52" s="331"/>
      <c r="I52" s="331"/>
      <c r="J52" s="332"/>
    </row>
    <row r="53" spans="2:10" ht="17" thickBot="1" x14ac:dyDescent="0.25"/>
    <row r="54" spans="2:10" ht="34" x14ac:dyDescent="0.2">
      <c r="B54" s="574" t="s">
        <v>918</v>
      </c>
      <c r="C54" s="107"/>
      <c r="D54" s="581" t="s">
        <v>160</v>
      </c>
      <c r="E54" s="581" t="s">
        <v>165</v>
      </c>
      <c r="F54" s="581" t="s">
        <v>166</v>
      </c>
      <c r="G54" s="586" t="s">
        <v>180</v>
      </c>
      <c r="H54" s="570" t="s">
        <v>181</v>
      </c>
      <c r="I54" s="570" t="s">
        <v>182</v>
      </c>
      <c r="J54" s="277" t="s">
        <v>197</v>
      </c>
    </row>
    <row r="55" spans="2:10" ht="17" x14ac:dyDescent="0.2">
      <c r="B55" s="590" t="s">
        <v>48</v>
      </c>
      <c r="C55" s="51" t="s">
        <v>93</v>
      </c>
      <c r="D55" s="302">
        <f>D9*(1-D33)</f>
        <v>0</v>
      </c>
      <c r="E55" s="302">
        <f t="shared" ref="E55:H55" si="1">E9*(1-E33)</f>
        <v>0</v>
      </c>
      <c r="F55" s="302">
        <f t="shared" si="1"/>
        <v>0</v>
      </c>
      <c r="G55" s="588">
        <f>G9*(1-G33)</f>
        <v>0</v>
      </c>
      <c r="H55" s="302">
        <f t="shared" si="1"/>
        <v>0</v>
      </c>
      <c r="I55" s="302">
        <f t="shared" ref="I55" si="2">I9*(1-I33)</f>
        <v>0</v>
      </c>
      <c r="J55" s="330">
        <f t="shared" ref="J55:J66" si="3">SUM(F55:H55)</f>
        <v>0</v>
      </c>
    </row>
    <row r="56" spans="2:10" x14ac:dyDescent="0.2">
      <c r="B56" s="577"/>
      <c r="C56" s="51" t="s">
        <v>94</v>
      </c>
      <c r="D56" s="302">
        <f t="shared" ref="D56:H56" si="4">D10*(1-D34)</f>
        <v>0</v>
      </c>
      <c r="E56" s="302">
        <f t="shared" si="4"/>
        <v>0</v>
      </c>
      <c r="F56" s="302">
        <f t="shared" si="4"/>
        <v>0</v>
      </c>
      <c r="G56" s="588">
        <f t="shared" si="4"/>
        <v>0</v>
      </c>
      <c r="H56" s="302">
        <f t="shared" si="4"/>
        <v>0</v>
      </c>
      <c r="I56" s="302">
        <f t="shared" ref="I56" si="5">I10*(1-I34)</f>
        <v>0</v>
      </c>
      <c r="J56" s="330">
        <f t="shared" si="3"/>
        <v>0</v>
      </c>
    </row>
    <row r="57" spans="2:10" x14ac:dyDescent="0.2">
      <c r="B57" s="577"/>
      <c r="C57" s="51" t="s">
        <v>95</v>
      </c>
      <c r="D57" s="302">
        <f t="shared" ref="D57:H57" si="6">D11*(1-D35)</f>
        <v>0</v>
      </c>
      <c r="E57" s="302">
        <f t="shared" si="6"/>
        <v>0</v>
      </c>
      <c r="F57" s="302">
        <f t="shared" si="6"/>
        <v>0</v>
      </c>
      <c r="G57" s="588">
        <f t="shared" si="6"/>
        <v>0</v>
      </c>
      <c r="H57" s="302">
        <f t="shared" si="6"/>
        <v>0</v>
      </c>
      <c r="I57" s="302">
        <f t="shared" ref="I57" si="7">I11*(1-I35)</f>
        <v>0</v>
      </c>
      <c r="J57" s="330">
        <f t="shared" si="3"/>
        <v>0</v>
      </c>
    </row>
    <row r="58" spans="2:10" x14ac:dyDescent="0.2">
      <c r="B58" s="577"/>
      <c r="C58" s="51" t="s">
        <v>96</v>
      </c>
      <c r="D58" s="302">
        <f t="shared" ref="D58:H58" si="8">D12*(1-D36)</f>
        <v>0</v>
      </c>
      <c r="E58" s="302">
        <f t="shared" si="8"/>
        <v>0</v>
      </c>
      <c r="F58" s="302">
        <f t="shared" si="8"/>
        <v>0</v>
      </c>
      <c r="G58" s="588">
        <f t="shared" si="8"/>
        <v>0</v>
      </c>
      <c r="H58" s="302">
        <f t="shared" si="8"/>
        <v>0</v>
      </c>
      <c r="I58" s="302">
        <f t="shared" ref="I58" si="9">I12*(1-I36)</f>
        <v>0</v>
      </c>
      <c r="J58" s="330">
        <f t="shared" si="3"/>
        <v>0</v>
      </c>
    </row>
    <row r="59" spans="2:10" x14ac:dyDescent="0.2">
      <c r="B59" s="577"/>
      <c r="C59" s="51" t="s">
        <v>97</v>
      </c>
      <c r="D59" s="302">
        <f t="shared" ref="D59:H59" si="10">D13*(1-D37)</f>
        <v>0</v>
      </c>
      <c r="E59" s="302">
        <f t="shared" si="10"/>
        <v>0</v>
      </c>
      <c r="F59" s="302">
        <f t="shared" si="10"/>
        <v>0</v>
      </c>
      <c r="G59" s="588">
        <f t="shared" si="10"/>
        <v>0</v>
      </c>
      <c r="H59" s="302">
        <f t="shared" si="10"/>
        <v>0</v>
      </c>
      <c r="I59" s="302">
        <f t="shared" ref="I59" si="11">I13*(1-I37)</f>
        <v>0</v>
      </c>
      <c r="J59" s="330">
        <f t="shared" si="3"/>
        <v>0</v>
      </c>
    </row>
    <row r="60" spans="2:10" x14ac:dyDescent="0.2">
      <c r="B60" s="577"/>
      <c r="C60" s="51" t="s">
        <v>98</v>
      </c>
      <c r="D60" s="302">
        <f t="shared" ref="D60:H60" si="12">D14*(1-D38)</f>
        <v>0</v>
      </c>
      <c r="E60" s="302">
        <f t="shared" si="12"/>
        <v>0</v>
      </c>
      <c r="F60" s="302">
        <f t="shared" si="12"/>
        <v>0</v>
      </c>
      <c r="G60" s="588">
        <f t="shared" si="12"/>
        <v>0</v>
      </c>
      <c r="H60" s="302">
        <f t="shared" si="12"/>
        <v>0</v>
      </c>
      <c r="I60" s="302">
        <f t="shared" ref="I60" si="13">I14*(1-I38)</f>
        <v>0</v>
      </c>
      <c r="J60" s="330">
        <f t="shared" si="3"/>
        <v>0</v>
      </c>
    </row>
    <row r="61" spans="2:10" x14ac:dyDescent="0.2">
      <c r="B61" s="577"/>
      <c r="C61" s="51" t="s">
        <v>99</v>
      </c>
      <c r="D61" s="302">
        <f t="shared" ref="D61:H61" si="14">D15*(1-D39)</f>
        <v>0</v>
      </c>
      <c r="E61" s="302">
        <f t="shared" si="14"/>
        <v>0</v>
      </c>
      <c r="F61" s="302">
        <f t="shared" si="14"/>
        <v>0</v>
      </c>
      <c r="G61" s="588">
        <f t="shared" si="14"/>
        <v>0</v>
      </c>
      <c r="H61" s="302">
        <f t="shared" si="14"/>
        <v>0</v>
      </c>
      <c r="I61" s="302">
        <f t="shared" ref="I61" si="15">I15*(1-I39)</f>
        <v>0</v>
      </c>
      <c r="J61" s="330">
        <f t="shared" si="3"/>
        <v>0</v>
      </c>
    </row>
    <row r="62" spans="2:10" x14ac:dyDescent="0.2">
      <c r="B62" s="577"/>
      <c r="C62" s="51" t="s">
        <v>100</v>
      </c>
      <c r="D62" s="302">
        <f t="shared" ref="D62:H62" si="16">D16*(1-D40)</f>
        <v>0</v>
      </c>
      <c r="E62" s="302">
        <f t="shared" si="16"/>
        <v>0</v>
      </c>
      <c r="F62" s="302">
        <f t="shared" si="16"/>
        <v>0</v>
      </c>
      <c r="G62" s="588">
        <f t="shared" si="16"/>
        <v>0</v>
      </c>
      <c r="H62" s="302">
        <f t="shared" si="16"/>
        <v>0</v>
      </c>
      <c r="I62" s="302">
        <f t="shared" ref="I62" si="17">I16*(1-I40)</f>
        <v>0</v>
      </c>
      <c r="J62" s="330">
        <f t="shared" si="3"/>
        <v>0</v>
      </c>
    </row>
    <row r="63" spans="2:10" x14ac:dyDescent="0.2">
      <c r="B63" s="577"/>
      <c r="C63" s="51" t="s">
        <v>101</v>
      </c>
      <c r="D63" s="302">
        <f t="shared" ref="D63:H63" si="18">D17*(1-D41)</f>
        <v>0</v>
      </c>
      <c r="E63" s="302">
        <f t="shared" si="18"/>
        <v>0</v>
      </c>
      <c r="F63" s="302">
        <f t="shared" si="18"/>
        <v>0</v>
      </c>
      <c r="G63" s="588">
        <f t="shared" si="18"/>
        <v>0</v>
      </c>
      <c r="H63" s="302">
        <f t="shared" si="18"/>
        <v>0</v>
      </c>
      <c r="I63" s="302">
        <f t="shared" ref="I63" si="19">I17*(1-I41)</f>
        <v>0</v>
      </c>
      <c r="J63" s="330">
        <f t="shared" si="3"/>
        <v>0</v>
      </c>
    </row>
    <row r="64" spans="2:10" x14ac:dyDescent="0.2">
      <c r="B64" s="577"/>
      <c r="C64" s="51" t="s">
        <v>102</v>
      </c>
      <c r="D64" s="302">
        <f t="shared" ref="D64:H64" si="20">D18*(1-D42)</f>
        <v>0</v>
      </c>
      <c r="E64" s="302">
        <f t="shared" si="20"/>
        <v>0</v>
      </c>
      <c r="F64" s="302">
        <f t="shared" si="20"/>
        <v>0</v>
      </c>
      <c r="G64" s="588">
        <f t="shared" si="20"/>
        <v>0</v>
      </c>
      <c r="H64" s="302">
        <f t="shared" si="20"/>
        <v>0</v>
      </c>
      <c r="I64" s="302">
        <f t="shared" ref="I64" si="21">I18*(1-I42)</f>
        <v>0</v>
      </c>
      <c r="J64" s="330">
        <f t="shared" si="3"/>
        <v>0</v>
      </c>
    </row>
    <row r="65" spans="2:10" x14ac:dyDescent="0.2">
      <c r="B65" s="590"/>
      <c r="C65" s="51" t="s">
        <v>104</v>
      </c>
      <c r="D65" s="302">
        <f t="shared" ref="D65:H65" si="22">D19*(1-D43)</f>
        <v>0</v>
      </c>
      <c r="E65" s="302">
        <f t="shared" si="22"/>
        <v>0</v>
      </c>
      <c r="F65" s="302">
        <f t="shared" si="22"/>
        <v>0</v>
      </c>
      <c r="G65" s="588">
        <f t="shared" si="22"/>
        <v>0</v>
      </c>
      <c r="H65" s="302">
        <f t="shared" si="22"/>
        <v>0</v>
      </c>
      <c r="I65" s="302">
        <f t="shared" ref="I65" si="23">I19*(1-I43)</f>
        <v>0</v>
      </c>
      <c r="J65" s="330">
        <f t="shared" si="3"/>
        <v>0</v>
      </c>
    </row>
    <row r="66" spans="2:10" x14ac:dyDescent="0.2">
      <c r="B66" s="577"/>
      <c r="C66" s="51" t="s">
        <v>105</v>
      </c>
      <c r="D66" s="302">
        <f t="shared" ref="D66:H66" si="24">D20*(1-D44)</f>
        <v>0</v>
      </c>
      <c r="E66" s="302">
        <f t="shared" si="24"/>
        <v>0</v>
      </c>
      <c r="F66" s="302">
        <f t="shared" si="24"/>
        <v>0</v>
      </c>
      <c r="G66" s="588">
        <f t="shared" si="24"/>
        <v>0</v>
      </c>
      <c r="H66" s="302">
        <f t="shared" si="24"/>
        <v>0</v>
      </c>
      <c r="I66" s="302">
        <f t="shared" ref="I66" si="25">I20*(1-I44)</f>
        <v>0</v>
      </c>
      <c r="J66" s="330">
        <f t="shared" si="3"/>
        <v>0</v>
      </c>
    </row>
    <row r="67" spans="2:10" x14ac:dyDescent="0.2">
      <c r="B67" s="577"/>
      <c r="C67" s="51"/>
      <c r="D67" s="302"/>
      <c r="E67" s="302"/>
      <c r="F67" s="302"/>
      <c r="G67" s="588"/>
      <c r="H67" s="302"/>
      <c r="I67" s="302"/>
      <c r="J67" s="330"/>
    </row>
    <row r="68" spans="2:10" x14ac:dyDescent="0.2">
      <c r="B68" s="577"/>
      <c r="C68" s="51" t="s">
        <v>103</v>
      </c>
      <c r="D68" s="302">
        <f t="shared" ref="D68:H68" si="26">D22*(1-D46)</f>
        <v>0</v>
      </c>
      <c r="E68" s="302">
        <f t="shared" si="26"/>
        <v>0</v>
      </c>
      <c r="F68" s="302">
        <f t="shared" si="26"/>
        <v>0</v>
      </c>
      <c r="G68" s="588">
        <f t="shared" si="26"/>
        <v>0</v>
      </c>
      <c r="H68" s="302">
        <f t="shared" si="26"/>
        <v>0</v>
      </c>
      <c r="I68" s="302">
        <f t="shared" ref="I68" si="27">I22*(1-I46)</f>
        <v>0</v>
      </c>
      <c r="J68" s="330">
        <f>SUM(F68:H68)</f>
        <v>0</v>
      </c>
    </row>
    <row r="69" spans="2:10" x14ac:dyDescent="0.2">
      <c r="B69" s="577"/>
      <c r="C69" s="51"/>
      <c r="D69" s="302"/>
      <c r="E69" s="302"/>
      <c r="F69" s="302"/>
      <c r="G69" s="588"/>
      <c r="H69" s="302"/>
      <c r="I69" s="302"/>
      <c r="J69" s="330"/>
    </row>
    <row r="70" spans="2:10" ht="17" x14ac:dyDescent="0.2">
      <c r="B70" s="590" t="s">
        <v>113</v>
      </c>
      <c r="C70" s="51" t="s">
        <v>114</v>
      </c>
      <c r="D70" s="302">
        <f t="shared" ref="D70:H70" si="28">D24*(1-D48)</f>
        <v>0</v>
      </c>
      <c r="E70" s="302">
        <f t="shared" si="28"/>
        <v>0</v>
      </c>
      <c r="F70" s="302">
        <f t="shared" si="28"/>
        <v>0</v>
      </c>
      <c r="G70" s="588">
        <f t="shared" si="28"/>
        <v>0</v>
      </c>
      <c r="H70" s="302">
        <f t="shared" si="28"/>
        <v>0</v>
      </c>
      <c r="I70" s="302">
        <f t="shared" ref="I70" si="29">I24*(1-I48)</f>
        <v>0</v>
      </c>
      <c r="J70" s="330">
        <f>SUM(F70:H70)</f>
        <v>0</v>
      </c>
    </row>
    <row r="71" spans="2:10" x14ac:dyDescent="0.2">
      <c r="B71" s="577"/>
      <c r="C71" s="51" t="s">
        <v>115</v>
      </c>
      <c r="D71" s="302">
        <f>D25*(1-D49)</f>
        <v>0</v>
      </c>
      <c r="E71" s="302">
        <f t="shared" ref="E71:H71" si="30">E25*(1-E49)</f>
        <v>0</v>
      </c>
      <c r="F71" s="302">
        <f t="shared" si="30"/>
        <v>0</v>
      </c>
      <c r="G71" s="588">
        <f t="shared" si="30"/>
        <v>0</v>
      </c>
      <c r="H71" s="302">
        <f t="shared" si="30"/>
        <v>0</v>
      </c>
      <c r="I71" s="302">
        <f t="shared" ref="I71" si="31">I25*(1-I49)</f>
        <v>0</v>
      </c>
      <c r="J71" s="330">
        <f>SUM(F71:H71)</f>
        <v>0</v>
      </c>
    </row>
    <row r="72" spans="2:10" x14ac:dyDescent="0.2">
      <c r="B72" s="577"/>
      <c r="C72" s="51" t="s">
        <v>116</v>
      </c>
      <c r="D72" s="302">
        <f t="shared" ref="D72:H72" si="32">D26*(1-D50)</f>
        <v>0</v>
      </c>
      <c r="E72" s="302">
        <f t="shared" si="32"/>
        <v>0</v>
      </c>
      <c r="F72" s="302">
        <f t="shared" si="32"/>
        <v>0</v>
      </c>
      <c r="G72" s="588">
        <f t="shared" si="32"/>
        <v>0</v>
      </c>
      <c r="H72" s="302">
        <f t="shared" si="32"/>
        <v>0</v>
      </c>
      <c r="I72" s="302">
        <f t="shared" ref="I72" si="33">I26*(1-I50)</f>
        <v>0</v>
      </c>
      <c r="J72" s="330">
        <f>SUM(F72:H72)</f>
        <v>0</v>
      </c>
    </row>
    <row r="73" spans="2:10" x14ac:dyDescent="0.2">
      <c r="B73" s="577"/>
      <c r="C73" s="51" t="s">
        <v>118</v>
      </c>
      <c r="D73" s="302">
        <f t="shared" ref="D73:G73" si="34">D27*(1-D51)</f>
        <v>0</v>
      </c>
      <c r="E73" s="302">
        <f t="shared" si="34"/>
        <v>0</v>
      </c>
      <c r="F73" s="302">
        <f t="shared" si="34"/>
        <v>0</v>
      </c>
      <c r="G73" s="588">
        <f t="shared" si="34"/>
        <v>0</v>
      </c>
      <c r="H73" s="302">
        <f>H27*(1-H51)</f>
        <v>0</v>
      </c>
      <c r="I73" s="302">
        <f>I27*(1-I51)</f>
        <v>0</v>
      </c>
      <c r="J73" s="330">
        <f>SUM(F73:H73)</f>
        <v>0</v>
      </c>
    </row>
    <row r="74" spans="2:10" ht="17" thickBot="1" x14ac:dyDescent="0.25">
      <c r="B74" s="577"/>
      <c r="C74" s="85"/>
      <c r="D74" s="35"/>
      <c r="E74" s="35"/>
      <c r="F74" s="35"/>
      <c r="G74" s="93"/>
      <c r="H74" s="35"/>
      <c r="I74" s="35"/>
      <c r="J74" s="332"/>
    </row>
    <row r="75" spans="2:10" ht="17" thickBot="1" x14ac:dyDescent="0.25">
      <c r="B75" s="577"/>
      <c r="C75" s="85" t="s">
        <v>920</v>
      </c>
      <c r="D75" s="595">
        <f t="shared" ref="D75:I75" si="35">SUM(D9:D27)-SUM(D55:D73)</f>
        <v>0</v>
      </c>
      <c r="E75" s="595">
        <f t="shared" si="35"/>
        <v>0</v>
      </c>
      <c r="F75" s="595">
        <f t="shared" si="35"/>
        <v>0</v>
      </c>
      <c r="G75" s="596">
        <f t="shared" si="35"/>
        <v>0</v>
      </c>
      <c r="H75" s="595">
        <f t="shared" si="35"/>
        <v>0</v>
      </c>
      <c r="I75" s="595">
        <f t="shared" si="35"/>
        <v>0</v>
      </c>
      <c r="J75" s="332">
        <f>SUM(D75:H75)</f>
        <v>0</v>
      </c>
    </row>
    <row r="76" spans="2:10" x14ac:dyDescent="0.2">
      <c r="B76" s="577"/>
      <c r="C76" s="51"/>
      <c r="D76"/>
      <c r="E76"/>
      <c r="F76"/>
      <c r="G76" s="54"/>
      <c r="H76"/>
      <c r="I76"/>
      <c r="J76" s="330"/>
    </row>
    <row r="77" spans="2:10" ht="17" x14ac:dyDescent="0.2">
      <c r="B77" s="590" t="s">
        <v>106</v>
      </c>
      <c r="C77" s="51" t="s">
        <v>108</v>
      </c>
      <c r="D77" s="302">
        <f>D29+D75</f>
        <v>0</v>
      </c>
      <c r="E77" s="302">
        <f t="shared" ref="E77:I77" si="36">E29+E75</f>
        <v>0</v>
      </c>
      <c r="F77" s="302">
        <f t="shared" si="36"/>
        <v>0</v>
      </c>
      <c r="G77" s="588">
        <f t="shared" si="36"/>
        <v>0</v>
      </c>
      <c r="H77" s="302">
        <f t="shared" si="36"/>
        <v>0</v>
      </c>
      <c r="I77" s="302">
        <f t="shared" si="36"/>
        <v>0</v>
      </c>
      <c r="J77" s="330">
        <f t="shared" ref="J77" si="37">SUM(F77:H77)</f>
        <v>0</v>
      </c>
    </row>
    <row r="78" spans="2:10" ht="17" thickBot="1" x14ac:dyDescent="0.25">
      <c r="B78" s="594"/>
      <c r="C78" s="85"/>
      <c r="D78" s="35"/>
      <c r="E78" s="35"/>
      <c r="F78" s="331"/>
      <c r="G78" s="589"/>
      <c r="H78" s="331"/>
      <c r="I78" s="331"/>
      <c r="J78" s="332"/>
    </row>
  </sheetData>
  <mergeCells count="1">
    <mergeCell ref="B5:C5"/>
  </mergeCells>
  <conditionalFormatting sqref="J8:J29 F23:I23 F30:J30 G45 F47:I47 F52:J52 F78:J78">
    <cfRule type="cellIs" dxfId="4" priority="11" operator="lessThan">
      <formula>0</formula>
    </cfRule>
  </conditionalFormatting>
  <conditionalFormatting sqref="J42:J51">
    <cfRule type="cellIs" dxfId="3" priority="8" operator="lessThan">
      <formula>0</formula>
    </cfRule>
  </conditionalFormatting>
  <conditionalFormatting sqref="J55:J77">
    <cfRule type="cellIs" dxfId="2" priority="2" operator="lessThan">
      <formula>0</formula>
    </cfRule>
  </conditionalFormatting>
  <pageMargins left="0.75" right="0.75" top="1" bottom="1" header="0.5" footer="0.5"/>
  <pageSetup paperSize="9" orientation="portrait" horizontalDpi="4294967292" verticalDpi="429496729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dimension ref="A2:DA106"/>
  <sheetViews>
    <sheetView workbookViewId="0">
      <pane xSplit="2" ySplit="27" topLeftCell="C28" activePane="bottomRight" state="frozen"/>
      <selection pane="topRight" activeCell="C1" sqref="C1"/>
      <selection pane="bottomLeft" activeCell="A28" sqref="A28"/>
      <selection pane="bottomRight"/>
    </sheetView>
  </sheetViews>
  <sheetFormatPr baseColWidth="10" defaultRowHeight="16" x14ac:dyDescent="0.2"/>
  <cols>
    <col min="1" max="1" width="10.83203125" style="2"/>
    <col min="2" max="2" width="27.1640625" style="2" customWidth="1"/>
    <col min="3" max="3" width="19.33203125" style="2" bestFit="1" customWidth="1"/>
    <col min="4" max="4" width="20.6640625" style="2" bestFit="1" customWidth="1"/>
    <col min="5" max="5" width="9.83203125" style="2" bestFit="1" customWidth="1"/>
    <col min="6" max="6" width="10.5" style="2" bestFit="1" customWidth="1"/>
    <col min="7" max="7" width="19.33203125" style="2" bestFit="1" customWidth="1"/>
    <col min="8" max="8" width="17.83203125" style="2" bestFit="1" customWidth="1"/>
    <col min="9" max="9" width="17.1640625" style="2" bestFit="1" customWidth="1"/>
    <col min="10" max="10" width="10.1640625" style="2" bestFit="1" customWidth="1"/>
    <col min="11" max="11" width="14" style="2" bestFit="1" customWidth="1"/>
    <col min="12" max="12" width="10.83203125" style="2" customWidth="1"/>
    <col min="13" max="13" width="9.33203125" style="2" customWidth="1"/>
    <col min="14" max="14" width="17.83203125" style="2" bestFit="1" customWidth="1"/>
    <col min="15" max="20" width="10.83203125" style="2"/>
    <col min="21" max="21" width="30.1640625" style="2" bestFit="1" customWidth="1"/>
    <col min="22" max="22" width="10.83203125" style="2"/>
    <col min="23" max="23" width="16.1640625" style="2" bestFit="1" customWidth="1"/>
    <col min="24" max="43" width="10.83203125" style="2"/>
    <col min="44" max="44" width="14.1640625" style="2" bestFit="1" customWidth="1"/>
    <col min="45" max="45" width="24.83203125" style="2" bestFit="1" customWidth="1"/>
    <col min="46" max="46" width="28.6640625" style="2" bestFit="1" customWidth="1"/>
    <col min="47" max="50" width="10.83203125" style="2"/>
    <col min="51" max="51" width="17.83203125" style="2" bestFit="1" customWidth="1"/>
    <col min="52" max="52" width="35" style="2" bestFit="1" customWidth="1"/>
    <col min="53" max="53" width="8.33203125" style="2" bestFit="1" customWidth="1"/>
    <col min="54" max="54" width="47.83203125" style="2" bestFit="1" customWidth="1"/>
    <col min="55" max="58" width="10.83203125" style="2"/>
    <col min="59" max="59" width="17.33203125" style="2" bestFit="1" customWidth="1"/>
    <col min="60" max="60" width="12.1640625" style="2" bestFit="1" customWidth="1"/>
    <col min="61" max="65" width="10.83203125" style="2"/>
    <col min="66" max="66" width="22" style="2" bestFit="1" customWidth="1"/>
    <col min="67" max="67" width="17.33203125" style="2" bestFit="1" customWidth="1"/>
    <col min="68" max="16384" width="10.83203125" style="2"/>
  </cols>
  <sheetData>
    <row r="2" spans="1:105" ht="21" x14ac:dyDescent="0.25">
      <c r="B2" s="20" t="s">
        <v>620</v>
      </c>
    </row>
    <row r="4" spans="1:105" x14ac:dyDescent="0.2">
      <c r="B4" s="3" t="s">
        <v>37</v>
      </c>
      <c r="C4" s="4"/>
      <c r="D4" s="4"/>
      <c r="E4" s="4"/>
      <c r="F4" s="5"/>
    </row>
    <row r="5" spans="1:105" ht="45" customHeight="1" x14ac:dyDescent="0.2">
      <c r="B5" s="619" t="s">
        <v>621</v>
      </c>
      <c r="C5" s="620"/>
      <c r="D5" s="620"/>
      <c r="E5" s="620"/>
      <c r="F5" s="621"/>
    </row>
    <row r="8" spans="1:105" x14ac:dyDescent="0.2">
      <c r="C8" s="1" t="s">
        <v>622</v>
      </c>
    </row>
    <row r="9" spans="1:105" x14ac:dyDescent="0.2">
      <c r="A9" s="10"/>
      <c r="B9" s="10"/>
      <c r="C9" s="10" t="s">
        <v>134</v>
      </c>
      <c r="D9" s="10" t="s">
        <v>135</v>
      </c>
      <c r="E9" s="10" t="s">
        <v>136</v>
      </c>
      <c r="F9" s="10" t="s">
        <v>137</v>
      </c>
      <c r="G9" s="10" t="s">
        <v>138</v>
      </c>
      <c r="H9" s="10" t="s">
        <v>139</v>
      </c>
      <c r="I9" s="10" t="s">
        <v>140</v>
      </c>
      <c r="J9" s="10" t="s">
        <v>141</v>
      </c>
      <c r="K9" s="10" t="s">
        <v>142</v>
      </c>
      <c r="L9" s="10" t="s">
        <v>143</v>
      </c>
      <c r="M9" s="10" t="s">
        <v>144</v>
      </c>
      <c r="N9" s="10" t="s">
        <v>145</v>
      </c>
      <c r="O9" s="10" t="s">
        <v>146</v>
      </c>
      <c r="P9" s="10" t="s">
        <v>147</v>
      </c>
      <c r="Q9" s="10" t="s">
        <v>148</v>
      </c>
      <c r="R9" s="10" t="s">
        <v>149</v>
      </c>
      <c r="S9" s="10" t="s">
        <v>150</v>
      </c>
      <c r="T9" s="10" t="s">
        <v>151</v>
      </c>
      <c r="U9" s="10" t="s">
        <v>152</v>
      </c>
      <c r="V9" s="10" t="s">
        <v>153</v>
      </c>
      <c r="W9" s="10" t="s">
        <v>154</v>
      </c>
      <c r="X9" s="10" t="s">
        <v>155</v>
      </c>
      <c r="Y9" s="10" t="s">
        <v>156</v>
      </c>
      <c r="Z9" s="10" t="s">
        <v>157</v>
      </c>
      <c r="AA9" s="10" t="s">
        <v>158</v>
      </c>
      <c r="AB9" s="10" t="s">
        <v>159</v>
      </c>
      <c r="AC9" s="10" t="s">
        <v>160</v>
      </c>
      <c r="AD9" s="10" t="s">
        <v>161</v>
      </c>
      <c r="AE9" s="10" t="s">
        <v>162</v>
      </c>
      <c r="AF9" s="10" t="s">
        <v>163</v>
      </c>
      <c r="AG9" s="10" t="s">
        <v>164</v>
      </c>
      <c r="AH9" s="10" t="s">
        <v>165</v>
      </c>
      <c r="AI9" s="10" t="s">
        <v>166</v>
      </c>
      <c r="AJ9" s="10" t="s">
        <v>167</v>
      </c>
      <c r="AK9" s="10" t="s">
        <v>168</v>
      </c>
      <c r="AL9" s="10" t="s">
        <v>169</v>
      </c>
      <c r="AM9" s="10" t="s">
        <v>170</v>
      </c>
      <c r="AN9" s="10" t="s">
        <v>171</v>
      </c>
      <c r="AO9" s="10" t="s">
        <v>172</v>
      </c>
      <c r="AP9" s="10" t="s">
        <v>173</v>
      </c>
      <c r="AQ9" s="10" t="s">
        <v>174</v>
      </c>
      <c r="AR9" s="10" t="s">
        <v>175</v>
      </c>
      <c r="AS9" s="10" t="s">
        <v>176</v>
      </c>
      <c r="AT9" s="10" t="s">
        <v>177</v>
      </c>
      <c r="AU9" s="10" t="s">
        <v>178</v>
      </c>
      <c r="AV9" s="10" t="s">
        <v>179</v>
      </c>
      <c r="AW9" s="10" t="s">
        <v>180</v>
      </c>
      <c r="AX9" s="10" t="s">
        <v>181</v>
      </c>
      <c r="AY9" s="10" t="s">
        <v>182</v>
      </c>
      <c r="AZ9" s="10" t="s">
        <v>183</v>
      </c>
      <c r="BA9" s="10" t="s">
        <v>184</v>
      </c>
      <c r="BB9" s="10" t="s">
        <v>185</v>
      </c>
      <c r="BC9" s="10" t="s">
        <v>186</v>
      </c>
      <c r="BD9" s="10" t="s">
        <v>187</v>
      </c>
      <c r="BE9" s="10" t="s">
        <v>188</v>
      </c>
      <c r="BF9" s="10" t="s">
        <v>189</v>
      </c>
      <c r="BG9" s="10" t="s">
        <v>190</v>
      </c>
      <c r="BH9" s="10" t="s">
        <v>191</v>
      </c>
      <c r="BI9" s="10" t="s">
        <v>192</v>
      </c>
      <c r="BJ9" s="10" t="s">
        <v>193</v>
      </c>
      <c r="BK9" s="10" t="s">
        <v>194</v>
      </c>
      <c r="BL9" s="10" t="s">
        <v>195</v>
      </c>
      <c r="BM9" s="10" t="s">
        <v>196</v>
      </c>
      <c r="BN9" s="15" t="s">
        <v>623</v>
      </c>
      <c r="BO9" s="10" t="s">
        <v>624</v>
      </c>
      <c r="BP9" s="15"/>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row>
    <row r="10" spans="1:105" x14ac:dyDescent="0.2">
      <c r="A10" s="1" t="s">
        <v>625</v>
      </c>
      <c r="B10" s="2" t="s">
        <v>40</v>
      </c>
      <c r="C10">
        <v>1</v>
      </c>
      <c r="D10">
        <v>1</v>
      </c>
      <c r="E10">
        <v>1</v>
      </c>
      <c r="F10">
        <v>1</v>
      </c>
      <c r="G10">
        <v>1</v>
      </c>
      <c r="H10">
        <v>1</v>
      </c>
      <c r="I10"/>
      <c r="J10">
        <v>1</v>
      </c>
      <c r="K10">
        <v>1</v>
      </c>
      <c r="L10">
        <v>1</v>
      </c>
      <c r="M10">
        <v>1</v>
      </c>
      <c r="N10">
        <v>1</v>
      </c>
      <c r="O10">
        <v>1</v>
      </c>
      <c r="P10">
        <v>1</v>
      </c>
      <c r="Q10">
        <v>1</v>
      </c>
      <c r="R10">
        <v>1</v>
      </c>
      <c r="S10">
        <v>1</v>
      </c>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s="14">
        <f>SUM(C10:BM10)</f>
        <v>16</v>
      </c>
      <c r="BO10" s="2">
        <v>7176</v>
      </c>
      <c r="BP10" s="14"/>
    </row>
    <row r="11" spans="1:105" ht="15" customHeight="1" x14ac:dyDescent="0.2">
      <c r="B11" s="2" t="s">
        <v>140</v>
      </c>
      <c r="C11"/>
      <c r="D11"/>
      <c r="E11"/>
      <c r="F11"/>
      <c r="G11"/>
      <c r="H11"/>
      <c r="I11">
        <v>1</v>
      </c>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s="14">
        <f t="shared" ref="BN11:BN25" si="0">SUM(C11:BM11)</f>
        <v>1</v>
      </c>
    </row>
    <row r="12" spans="1:105" ht="15" customHeight="1" x14ac:dyDescent="0.2">
      <c r="B12" s="2" t="s">
        <v>41</v>
      </c>
      <c r="C12"/>
      <c r="D12"/>
      <c r="E12"/>
      <c r="F12"/>
      <c r="G12"/>
      <c r="H12"/>
      <c r="I12"/>
      <c r="J12"/>
      <c r="K12"/>
      <c r="L12"/>
      <c r="M12"/>
      <c r="N12"/>
      <c r="O12"/>
      <c r="P12"/>
      <c r="Q12"/>
      <c r="R12"/>
      <c r="S12"/>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c r="AS12"/>
      <c r="AT12"/>
      <c r="AU12"/>
      <c r="AV12"/>
      <c r="AW12"/>
      <c r="AX12"/>
      <c r="AY12"/>
      <c r="AZ12"/>
      <c r="BA12"/>
      <c r="BB12"/>
      <c r="BC12"/>
      <c r="BD12"/>
      <c r="BE12"/>
      <c r="BF12"/>
      <c r="BG12"/>
      <c r="BH12"/>
      <c r="BI12"/>
      <c r="BJ12"/>
      <c r="BK12"/>
      <c r="BL12"/>
      <c r="BM12"/>
      <c r="BN12" s="14">
        <f t="shared" si="0"/>
        <v>24</v>
      </c>
    </row>
    <row r="13" spans="1:105" ht="15" customHeight="1" x14ac:dyDescent="0.2">
      <c r="B13" s="2" t="s">
        <v>42</v>
      </c>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s="14">
        <f t="shared" si="0"/>
        <v>0</v>
      </c>
    </row>
    <row r="14" spans="1:105" ht="15" customHeight="1" x14ac:dyDescent="0.2">
      <c r="B14" s="2" t="s">
        <v>450</v>
      </c>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s="14">
        <f t="shared" si="0"/>
        <v>0</v>
      </c>
    </row>
    <row r="15" spans="1:105" ht="15" customHeight="1" x14ac:dyDescent="0.2">
      <c r="B15" s="2" t="s">
        <v>221</v>
      </c>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v>1</v>
      </c>
      <c r="AT15"/>
      <c r="AU15"/>
      <c r="AV15"/>
      <c r="AW15"/>
      <c r="AX15"/>
      <c r="AY15"/>
      <c r="AZ15"/>
      <c r="BA15"/>
      <c r="BB15"/>
      <c r="BC15"/>
      <c r="BD15"/>
      <c r="BE15"/>
      <c r="BF15"/>
      <c r="BG15"/>
      <c r="BH15"/>
      <c r="BI15"/>
      <c r="BJ15"/>
      <c r="BK15"/>
      <c r="BL15"/>
      <c r="BM15"/>
      <c r="BN15" s="14">
        <f t="shared" si="0"/>
        <v>1</v>
      </c>
    </row>
    <row r="16" spans="1:105" ht="15" customHeight="1" x14ac:dyDescent="0.2">
      <c r="B16" s="2" t="s">
        <v>222</v>
      </c>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v>1</v>
      </c>
      <c r="AS16"/>
      <c r="AT16">
        <v>1</v>
      </c>
      <c r="AU16"/>
      <c r="AV16"/>
      <c r="AW16"/>
      <c r="AX16"/>
      <c r="AY16"/>
      <c r="AZ16"/>
      <c r="BA16"/>
      <c r="BB16"/>
      <c r="BC16"/>
      <c r="BD16"/>
      <c r="BE16"/>
      <c r="BF16"/>
      <c r="BG16"/>
      <c r="BH16"/>
      <c r="BI16"/>
      <c r="BJ16"/>
      <c r="BK16"/>
      <c r="BL16"/>
      <c r="BM16"/>
      <c r="BN16" s="14">
        <f t="shared" si="0"/>
        <v>2</v>
      </c>
    </row>
    <row r="17" spans="1:66" ht="15" customHeight="1" x14ac:dyDescent="0.2">
      <c r="B17" s="2" t="s">
        <v>479</v>
      </c>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v>1</v>
      </c>
      <c r="AW17"/>
      <c r="AX17"/>
      <c r="AY17"/>
      <c r="AZ17"/>
      <c r="BA17"/>
      <c r="BB17"/>
      <c r="BC17"/>
      <c r="BD17"/>
      <c r="BE17"/>
      <c r="BF17"/>
      <c r="BG17"/>
      <c r="BH17"/>
      <c r="BI17"/>
      <c r="BJ17"/>
      <c r="BK17"/>
      <c r="BL17"/>
      <c r="BM17"/>
      <c r="BN17" s="14">
        <f t="shared" si="0"/>
        <v>1</v>
      </c>
    </row>
    <row r="18" spans="1:66" ht="15" customHeight="1" x14ac:dyDescent="0.2">
      <c r="B18" s="2" t="s">
        <v>44</v>
      </c>
      <c r="C18"/>
      <c r="D18"/>
      <c r="E18"/>
      <c r="F18"/>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v>1</v>
      </c>
      <c r="AX18">
        <v>1</v>
      </c>
      <c r="AY18">
        <v>1</v>
      </c>
      <c r="AZ18"/>
      <c r="BA18"/>
      <c r="BB18"/>
      <c r="BC18"/>
      <c r="BD18"/>
      <c r="BE18"/>
      <c r="BF18"/>
      <c r="BG18"/>
      <c r="BH18"/>
      <c r="BI18"/>
      <c r="BJ18"/>
      <c r="BK18"/>
      <c r="BL18"/>
      <c r="BM18"/>
      <c r="BN18" s="14">
        <f t="shared" si="0"/>
        <v>3</v>
      </c>
    </row>
    <row r="19" spans="1:66" ht="15" customHeight="1" x14ac:dyDescent="0.2">
      <c r="B19" s="2" t="s">
        <v>201</v>
      </c>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v>1</v>
      </c>
      <c r="AV19"/>
      <c r="AW19"/>
      <c r="AX19"/>
      <c r="AY19"/>
      <c r="AZ19">
        <v>1</v>
      </c>
      <c r="BA19"/>
      <c r="BB19"/>
      <c r="BC19"/>
      <c r="BD19"/>
      <c r="BE19"/>
      <c r="BF19"/>
      <c r="BG19"/>
      <c r="BH19"/>
      <c r="BI19"/>
      <c r="BJ19"/>
      <c r="BK19"/>
      <c r="BL19"/>
      <c r="BM19"/>
      <c r="BN19" s="14">
        <f t="shared" si="0"/>
        <v>2</v>
      </c>
    </row>
    <row r="20" spans="1:66" ht="15" customHeight="1" x14ac:dyDescent="0.2">
      <c r="B20" s="2" t="s">
        <v>187</v>
      </c>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v>1</v>
      </c>
      <c r="BE20"/>
      <c r="BF20"/>
      <c r="BG20"/>
      <c r="BH20"/>
      <c r="BI20"/>
      <c r="BJ20"/>
      <c r="BK20"/>
      <c r="BL20"/>
      <c r="BM20"/>
      <c r="BN20" s="14">
        <f t="shared" si="0"/>
        <v>1</v>
      </c>
    </row>
    <row r="21" spans="1:66" ht="15" customHeight="1" x14ac:dyDescent="0.2">
      <c r="B21" s="2" t="s">
        <v>193</v>
      </c>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v>1</v>
      </c>
      <c r="BK21"/>
      <c r="BL21"/>
      <c r="BM21"/>
      <c r="BN21" s="14">
        <f t="shared" si="0"/>
        <v>1</v>
      </c>
    </row>
    <row r="22" spans="1:66" ht="15" customHeight="1" x14ac:dyDescent="0.2">
      <c r="B22" s="2" t="s">
        <v>188</v>
      </c>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v>1</v>
      </c>
      <c r="BF22"/>
      <c r="BG22"/>
      <c r="BH22"/>
      <c r="BI22"/>
      <c r="BJ22"/>
      <c r="BK22"/>
      <c r="BL22"/>
      <c r="BM22"/>
      <c r="BN22" s="14">
        <f t="shared" si="0"/>
        <v>1</v>
      </c>
    </row>
    <row r="23" spans="1:66" ht="15" customHeight="1" x14ac:dyDescent="0.2">
      <c r="B23" s="2" t="s">
        <v>189</v>
      </c>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v>1</v>
      </c>
      <c r="BG23"/>
      <c r="BH23"/>
      <c r="BI23"/>
      <c r="BJ23"/>
      <c r="BK23"/>
      <c r="BL23"/>
      <c r="BM23"/>
      <c r="BN23" s="14">
        <f t="shared" si="0"/>
        <v>1</v>
      </c>
    </row>
    <row r="24" spans="1:66" ht="15" customHeight="1" x14ac:dyDescent="0.2">
      <c r="B24" s="2" t="s">
        <v>323</v>
      </c>
      <c r="C24"/>
      <c r="D24"/>
      <c r="E24"/>
      <c r="F24"/>
      <c r="G24"/>
      <c r="H24"/>
      <c r="I24"/>
      <c r="J24"/>
      <c r="K24"/>
      <c r="L24"/>
      <c r="M24"/>
      <c r="N24"/>
      <c r="O24"/>
      <c r="P24"/>
      <c r="Q24"/>
      <c r="R24"/>
      <c r="S24"/>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v>1</v>
      </c>
      <c r="BH24"/>
      <c r="BI24"/>
      <c r="BJ24"/>
      <c r="BK24"/>
      <c r="BL24"/>
      <c r="BM24"/>
      <c r="BN24" s="14">
        <f t="shared" si="0"/>
        <v>1</v>
      </c>
    </row>
    <row r="25" spans="1:66" ht="15" customHeight="1" x14ac:dyDescent="0.2">
      <c r="B25" s="2" t="s">
        <v>426</v>
      </c>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v>1</v>
      </c>
      <c r="BI25"/>
      <c r="BJ25"/>
      <c r="BK25"/>
      <c r="BL25"/>
      <c r="BM25"/>
      <c r="BN25" s="14">
        <f t="shared" si="0"/>
        <v>1</v>
      </c>
    </row>
    <row r="26" spans="1:66" ht="15" customHeight="1" x14ac:dyDescent="0.2">
      <c r="BN26" s="14"/>
    </row>
    <row r="27" spans="1:66" ht="15" customHeight="1" x14ac:dyDescent="0.2">
      <c r="A27" s="2" t="s">
        <v>626</v>
      </c>
      <c r="C27" s="310">
        <f>SUM(C10:C25)</f>
        <v>1</v>
      </c>
      <c r="D27" s="310">
        <f t="shared" ref="D27:BM27" si="1">SUM(D10:D25)</f>
        <v>1</v>
      </c>
      <c r="E27" s="310">
        <f t="shared" si="1"/>
        <v>1</v>
      </c>
      <c r="F27" s="310">
        <f t="shared" si="1"/>
        <v>1</v>
      </c>
      <c r="G27" s="310">
        <f t="shared" si="1"/>
        <v>1</v>
      </c>
      <c r="H27" s="310">
        <f t="shared" si="1"/>
        <v>1</v>
      </c>
      <c r="I27" s="310">
        <f t="shared" si="1"/>
        <v>1</v>
      </c>
      <c r="J27" s="310">
        <f t="shared" si="1"/>
        <v>1</v>
      </c>
      <c r="K27" s="310">
        <f t="shared" si="1"/>
        <v>1</v>
      </c>
      <c r="L27" s="310">
        <f t="shared" si="1"/>
        <v>1</v>
      </c>
      <c r="M27" s="310">
        <f t="shared" si="1"/>
        <v>1</v>
      </c>
      <c r="N27" s="310">
        <f t="shared" si="1"/>
        <v>1</v>
      </c>
      <c r="O27" s="310">
        <f t="shared" si="1"/>
        <v>1</v>
      </c>
      <c r="P27" s="310">
        <f t="shared" si="1"/>
        <v>1</v>
      </c>
      <c r="Q27" s="310">
        <f t="shared" si="1"/>
        <v>1</v>
      </c>
      <c r="R27" s="310">
        <f t="shared" si="1"/>
        <v>1</v>
      </c>
      <c r="S27" s="310">
        <f t="shared" si="1"/>
        <v>1</v>
      </c>
      <c r="T27" s="310">
        <f t="shared" si="1"/>
        <v>1</v>
      </c>
      <c r="U27" s="310">
        <f t="shared" si="1"/>
        <v>1</v>
      </c>
      <c r="V27" s="310">
        <f t="shared" si="1"/>
        <v>1</v>
      </c>
      <c r="W27" s="310">
        <f t="shared" si="1"/>
        <v>1</v>
      </c>
      <c r="X27" s="310">
        <f t="shared" si="1"/>
        <v>1</v>
      </c>
      <c r="Y27" s="310">
        <f t="shared" si="1"/>
        <v>1</v>
      </c>
      <c r="Z27" s="310">
        <f t="shared" si="1"/>
        <v>1</v>
      </c>
      <c r="AA27" s="310">
        <f t="shared" si="1"/>
        <v>1</v>
      </c>
      <c r="AB27" s="310">
        <f t="shared" si="1"/>
        <v>1</v>
      </c>
      <c r="AC27" s="310">
        <f t="shared" si="1"/>
        <v>1</v>
      </c>
      <c r="AD27" s="310">
        <f t="shared" si="1"/>
        <v>1</v>
      </c>
      <c r="AE27" s="310">
        <f t="shared" si="1"/>
        <v>1</v>
      </c>
      <c r="AF27" s="310">
        <f t="shared" si="1"/>
        <v>1</v>
      </c>
      <c r="AG27" s="310">
        <f t="shared" si="1"/>
        <v>1</v>
      </c>
      <c r="AH27" s="310">
        <f t="shared" si="1"/>
        <v>1</v>
      </c>
      <c r="AI27" s="310">
        <f t="shared" si="1"/>
        <v>1</v>
      </c>
      <c r="AJ27" s="310">
        <f t="shared" si="1"/>
        <v>1</v>
      </c>
      <c r="AK27" s="310">
        <f t="shared" si="1"/>
        <v>1</v>
      </c>
      <c r="AL27" s="310">
        <f t="shared" si="1"/>
        <v>1</v>
      </c>
      <c r="AM27" s="310">
        <f t="shared" si="1"/>
        <v>1</v>
      </c>
      <c r="AN27" s="310">
        <f t="shared" si="1"/>
        <v>1</v>
      </c>
      <c r="AO27" s="310">
        <f t="shared" si="1"/>
        <v>1</v>
      </c>
      <c r="AP27" s="310">
        <f t="shared" si="1"/>
        <v>1</v>
      </c>
      <c r="AQ27" s="310">
        <f t="shared" si="1"/>
        <v>1</v>
      </c>
      <c r="AR27" s="310">
        <f t="shared" si="1"/>
        <v>1</v>
      </c>
      <c r="AS27" s="310">
        <f t="shared" si="1"/>
        <v>1</v>
      </c>
      <c r="AT27" s="310">
        <f t="shared" si="1"/>
        <v>1</v>
      </c>
      <c r="AU27" s="310">
        <f t="shared" si="1"/>
        <v>1</v>
      </c>
      <c r="AV27" s="310">
        <f t="shared" si="1"/>
        <v>1</v>
      </c>
      <c r="AW27" s="310">
        <f t="shared" si="1"/>
        <v>1</v>
      </c>
      <c r="AX27" s="310">
        <f t="shared" si="1"/>
        <v>1</v>
      </c>
      <c r="AY27" s="310">
        <f t="shared" si="1"/>
        <v>1</v>
      </c>
      <c r="AZ27" s="310">
        <f t="shared" si="1"/>
        <v>1</v>
      </c>
      <c r="BA27" s="310">
        <f t="shared" si="1"/>
        <v>0</v>
      </c>
      <c r="BB27" s="310">
        <f t="shared" si="1"/>
        <v>0</v>
      </c>
      <c r="BC27" s="310">
        <f t="shared" si="1"/>
        <v>0</v>
      </c>
      <c r="BD27" s="310">
        <f t="shared" si="1"/>
        <v>1</v>
      </c>
      <c r="BE27" s="310">
        <f t="shared" si="1"/>
        <v>1</v>
      </c>
      <c r="BF27" s="310">
        <f t="shared" si="1"/>
        <v>1</v>
      </c>
      <c r="BG27" s="310">
        <f t="shared" si="1"/>
        <v>1</v>
      </c>
      <c r="BH27" s="310">
        <f t="shared" si="1"/>
        <v>1</v>
      </c>
      <c r="BI27" s="310">
        <f t="shared" si="1"/>
        <v>0</v>
      </c>
      <c r="BJ27" s="310">
        <f t="shared" si="1"/>
        <v>1</v>
      </c>
      <c r="BK27" s="310">
        <f t="shared" si="1"/>
        <v>0</v>
      </c>
      <c r="BL27" s="310">
        <f t="shared" si="1"/>
        <v>0</v>
      </c>
      <c r="BM27" s="310">
        <f t="shared" si="1"/>
        <v>0</v>
      </c>
      <c r="BN27" s="14"/>
    </row>
    <row r="28" spans="1:66" ht="15" customHeight="1" x14ac:dyDescent="0.2">
      <c r="BN28" s="14"/>
    </row>
    <row r="29" spans="1:66" ht="15" customHeight="1" x14ac:dyDescent="0.2"/>
    <row r="30" spans="1:66" ht="15" customHeight="1" thickBot="1" x14ac:dyDescent="0.25"/>
    <row r="31" spans="1:66" ht="15" customHeight="1" x14ac:dyDescent="0.2">
      <c r="A31" s="218" t="s">
        <v>219</v>
      </c>
      <c r="B31" s="219"/>
    </row>
    <row r="32" spans="1:66" ht="15" customHeight="1" x14ac:dyDescent="0.2">
      <c r="A32" s="220"/>
      <c r="B32" s="221"/>
    </row>
    <row r="33" spans="1:2" ht="15" customHeight="1" x14ac:dyDescent="0.2">
      <c r="A33" s="257" t="s">
        <v>439</v>
      </c>
      <c r="B33" s="274" t="s">
        <v>220</v>
      </c>
    </row>
    <row r="34" spans="1:2" ht="15" customHeight="1" x14ac:dyDescent="0.2">
      <c r="A34" s="262" t="s">
        <v>40</v>
      </c>
      <c r="B34" s="106" t="s">
        <v>134</v>
      </c>
    </row>
    <row r="35" spans="1:2" ht="15" customHeight="1" x14ac:dyDescent="0.2">
      <c r="A35" s="220"/>
      <c r="B35" s="106" t="s">
        <v>135</v>
      </c>
    </row>
    <row r="36" spans="1:2" ht="15" customHeight="1" x14ac:dyDescent="0.2">
      <c r="A36" s="220"/>
      <c r="B36" s="106" t="s">
        <v>136</v>
      </c>
    </row>
    <row r="37" spans="1:2" ht="15" customHeight="1" x14ac:dyDescent="0.2">
      <c r="A37" s="220"/>
      <c r="B37" s="106" t="s">
        <v>137</v>
      </c>
    </row>
    <row r="38" spans="1:2" ht="15" customHeight="1" x14ac:dyDescent="0.2">
      <c r="A38" s="220"/>
      <c r="B38" s="106" t="s">
        <v>138</v>
      </c>
    </row>
    <row r="39" spans="1:2" ht="15" customHeight="1" x14ac:dyDescent="0.2">
      <c r="A39" s="220"/>
      <c r="B39" s="106" t="s">
        <v>139</v>
      </c>
    </row>
    <row r="40" spans="1:2" ht="15" customHeight="1" x14ac:dyDescent="0.2">
      <c r="A40" s="220"/>
      <c r="B40" s="106" t="s">
        <v>150</v>
      </c>
    </row>
    <row r="41" spans="1:2" ht="15" customHeight="1" x14ac:dyDescent="0.2">
      <c r="A41" s="220"/>
      <c r="B41" s="106" t="s">
        <v>141</v>
      </c>
    </row>
    <row r="42" spans="1:2" ht="15" customHeight="1" x14ac:dyDescent="0.2">
      <c r="A42" s="220"/>
      <c r="B42" s="106" t="s">
        <v>142</v>
      </c>
    </row>
    <row r="43" spans="1:2" ht="15" customHeight="1" x14ac:dyDescent="0.2">
      <c r="A43" s="220"/>
      <c r="B43" s="106" t="s">
        <v>143</v>
      </c>
    </row>
    <row r="44" spans="1:2" ht="15" customHeight="1" x14ac:dyDescent="0.2">
      <c r="A44" s="220"/>
      <c r="B44" s="106" t="s">
        <v>144</v>
      </c>
    </row>
    <row r="45" spans="1:2" ht="15" customHeight="1" x14ac:dyDescent="0.2">
      <c r="A45" s="220"/>
      <c r="B45" s="106" t="s">
        <v>145</v>
      </c>
    </row>
    <row r="46" spans="1:2" ht="15" customHeight="1" x14ac:dyDescent="0.2">
      <c r="A46" s="220"/>
      <c r="B46" s="106" t="s">
        <v>146</v>
      </c>
    </row>
    <row r="47" spans="1:2" ht="15" customHeight="1" x14ac:dyDescent="0.2">
      <c r="A47" s="220"/>
      <c r="B47" s="106" t="s">
        <v>147</v>
      </c>
    </row>
    <row r="48" spans="1:2" ht="15" customHeight="1" x14ac:dyDescent="0.2">
      <c r="A48" s="220"/>
      <c r="B48" s="106" t="s">
        <v>148</v>
      </c>
    </row>
    <row r="49" spans="1:2" ht="15" customHeight="1" x14ac:dyDescent="0.2">
      <c r="A49" s="220"/>
      <c r="B49" s="106" t="s">
        <v>149</v>
      </c>
    </row>
    <row r="50" spans="1:2" x14ac:dyDescent="0.2">
      <c r="A50" s="272"/>
      <c r="B50" s="227"/>
    </row>
    <row r="51" spans="1:2" x14ac:dyDescent="0.2">
      <c r="A51" s="262" t="s">
        <v>140</v>
      </c>
      <c r="B51" s="106" t="s">
        <v>140</v>
      </c>
    </row>
    <row r="52" spans="1:2" x14ac:dyDescent="0.2">
      <c r="A52" s="275"/>
      <c r="B52" s="227"/>
    </row>
    <row r="53" spans="1:2" x14ac:dyDescent="0.2">
      <c r="A53" s="262" t="s">
        <v>41</v>
      </c>
      <c r="B53" s="106" t="s">
        <v>41</v>
      </c>
    </row>
    <row r="54" spans="1:2" x14ac:dyDescent="0.2">
      <c r="A54" s="275"/>
      <c r="B54" s="227"/>
    </row>
    <row r="55" spans="1:2" x14ac:dyDescent="0.2">
      <c r="A55" s="262" t="s">
        <v>42</v>
      </c>
      <c r="B55" s="106" t="s">
        <v>152</v>
      </c>
    </row>
    <row r="56" spans="1:2" x14ac:dyDescent="0.2">
      <c r="A56" s="262"/>
      <c r="B56" s="106" t="s">
        <v>153</v>
      </c>
    </row>
    <row r="57" spans="1:2" x14ac:dyDescent="0.2">
      <c r="A57" s="220"/>
      <c r="B57" s="106" t="s">
        <v>154</v>
      </c>
    </row>
    <row r="58" spans="1:2" x14ac:dyDescent="0.2">
      <c r="A58" s="220"/>
      <c r="B58" s="106" t="s">
        <v>155</v>
      </c>
    </row>
    <row r="59" spans="1:2" x14ac:dyDescent="0.2">
      <c r="A59" s="220"/>
      <c r="B59" s="106" t="s">
        <v>156</v>
      </c>
    </row>
    <row r="60" spans="1:2" x14ac:dyDescent="0.2">
      <c r="A60" s="220"/>
      <c r="B60" s="106" t="s">
        <v>157</v>
      </c>
    </row>
    <row r="61" spans="1:2" x14ac:dyDescent="0.2">
      <c r="A61" s="220"/>
      <c r="B61" s="106" t="s">
        <v>158</v>
      </c>
    </row>
    <row r="62" spans="1:2" x14ac:dyDescent="0.2">
      <c r="A62" s="220"/>
      <c r="B62" s="106" t="s">
        <v>159</v>
      </c>
    </row>
    <row r="63" spans="1:2" x14ac:dyDescent="0.2">
      <c r="A63" s="220"/>
      <c r="B63" s="106" t="s">
        <v>160</v>
      </c>
    </row>
    <row r="64" spans="1:2" x14ac:dyDescent="0.2">
      <c r="A64" s="220"/>
      <c r="B64" s="106" t="s">
        <v>161</v>
      </c>
    </row>
    <row r="65" spans="1:2" x14ac:dyDescent="0.2">
      <c r="A65" s="220"/>
      <c r="B65" s="106" t="s">
        <v>162</v>
      </c>
    </row>
    <row r="66" spans="1:2" x14ac:dyDescent="0.2">
      <c r="A66" s="220"/>
      <c r="B66" s="106" t="s">
        <v>163</v>
      </c>
    </row>
    <row r="67" spans="1:2" x14ac:dyDescent="0.2">
      <c r="A67" s="220"/>
      <c r="B67" s="106" t="s">
        <v>164</v>
      </c>
    </row>
    <row r="68" spans="1:2" x14ac:dyDescent="0.2">
      <c r="A68" s="220"/>
      <c r="B68" s="106" t="s">
        <v>165</v>
      </c>
    </row>
    <row r="69" spans="1:2" x14ac:dyDescent="0.2">
      <c r="A69" s="220" t="s">
        <v>449</v>
      </c>
      <c r="B69" s="106" t="s">
        <v>166</v>
      </c>
    </row>
    <row r="70" spans="1:2" x14ac:dyDescent="0.2">
      <c r="A70" s="220"/>
      <c r="B70" s="106" t="s">
        <v>167</v>
      </c>
    </row>
    <row r="71" spans="1:2" x14ac:dyDescent="0.2">
      <c r="A71" s="220"/>
      <c r="B71" s="106" t="s">
        <v>168</v>
      </c>
    </row>
    <row r="72" spans="1:2" x14ac:dyDescent="0.2">
      <c r="A72" s="220"/>
      <c r="B72" s="106" t="s">
        <v>169</v>
      </c>
    </row>
    <row r="73" spans="1:2" x14ac:dyDescent="0.2">
      <c r="A73" s="220"/>
      <c r="B73" s="106" t="s">
        <v>170</v>
      </c>
    </row>
    <row r="74" spans="1:2" x14ac:dyDescent="0.2">
      <c r="A74" s="220"/>
      <c r="B74" s="106" t="s">
        <v>171</v>
      </c>
    </row>
    <row r="75" spans="1:2" x14ac:dyDescent="0.2">
      <c r="A75" s="220"/>
      <c r="B75" s="106" t="s">
        <v>172</v>
      </c>
    </row>
    <row r="76" spans="1:2" x14ac:dyDescent="0.2">
      <c r="A76" s="220"/>
      <c r="B76" s="106" t="s">
        <v>173</v>
      </c>
    </row>
    <row r="77" spans="1:2" x14ac:dyDescent="0.2">
      <c r="A77" s="220"/>
      <c r="B77" s="106" t="s">
        <v>174</v>
      </c>
    </row>
    <row r="78" spans="1:2" x14ac:dyDescent="0.2">
      <c r="A78" s="272"/>
      <c r="B78" s="227"/>
    </row>
    <row r="79" spans="1:2" x14ac:dyDescent="0.2">
      <c r="A79" s="220" t="s">
        <v>450</v>
      </c>
      <c r="B79" s="106" t="s">
        <v>166</v>
      </c>
    </row>
    <row r="80" spans="1:2" x14ac:dyDescent="0.2">
      <c r="A80" s="272"/>
      <c r="B80" s="227"/>
    </row>
    <row r="81" spans="1:2" x14ac:dyDescent="0.2">
      <c r="A81" s="262" t="s">
        <v>221</v>
      </c>
      <c r="B81" s="106" t="s">
        <v>176</v>
      </c>
    </row>
    <row r="82" spans="1:2" x14ac:dyDescent="0.2">
      <c r="A82" s="275"/>
      <c r="B82" s="227"/>
    </row>
    <row r="83" spans="1:2" x14ac:dyDescent="0.2">
      <c r="A83" s="262" t="s">
        <v>222</v>
      </c>
      <c r="B83" s="106" t="s">
        <v>175</v>
      </c>
    </row>
    <row r="84" spans="1:2" x14ac:dyDescent="0.2">
      <c r="A84" s="262"/>
      <c r="B84" s="106" t="s">
        <v>177</v>
      </c>
    </row>
    <row r="85" spans="1:2" x14ac:dyDescent="0.2">
      <c r="A85" s="275"/>
      <c r="B85" s="227"/>
    </row>
    <row r="86" spans="1:2" x14ac:dyDescent="0.2">
      <c r="A86" s="262" t="s">
        <v>479</v>
      </c>
      <c r="B86" s="106" t="s">
        <v>179</v>
      </c>
    </row>
    <row r="87" spans="1:2" x14ac:dyDescent="0.2">
      <c r="A87" s="275"/>
      <c r="B87" s="227"/>
    </row>
    <row r="88" spans="1:2" x14ac:dyDescent="0.2">
      <c r="A88" s="262" t="s">
        <v>44</v>
      </c>
      <c r="B88" s="106" t="s">
        <v>180</v>
      </c>
    </row>
    <row r="89" spans="1:2" x14ac:dyDescent="0.2">
      <c r="A89" s="262"/>
      <c r="B89" s="106" t="s">
        <v>181</v>
      </c>
    </row>
    <row r="90" spans="1:2" x14ac:dyDescent="0.2">
      <c r="A90" s="262"/>
      <c r="B90" s="106" t="s">
        <v>182</v>
      </c>
    </row>
    <row r="91" spans="1:2" x14ac:dyDescent="0.2">
      <c r="A91" s="275"/>
      <c r="B91" s="227"/>
    </row>
    <row r="92" spans="1:2" x14ac:dyDescent="0.2">
      <c r="A92" s="262" t="s">
        <v>201</v>
      </c>
      <c r="B92" s="106" t="s">
        <v>178</v>
      </c>
    </row>
    <row r="93" spans="1:2" x14ac:dyDescent="0.2">
      <c r="A93" s="262"/>
      <c r="B93" s="106" t="s">
        <v>183</v>
      </c>
    </row>
    <row r="94" spans="1:2" x14ac:dyDescent="0.2">
      <c r="A94" s="275"/>
      <c r="B94" s="227"/>
    </row>
    <row r="95" spans="1:2" x14ac:dyDescent="0.2">
      <c r="A95" s="262" t="s">
        <v>187</v>
      </c>
      <c r="B95" s="106" t="s">
        <v>187</v>
      </c>
    </row>
    <row r="96" spans="1:2" x14ac:dyDescent="0.2">
      <c r="A96" s="275"/>
      <c r="B96" s="227"/>
    </row>
    <row r="97" spans="1:2" x14ac:dyDescent="0.2">
      <c r="A97" s="262" t="s">
        <v>193</v>
      </c>
      <c r="B97" s="106" t="s">
        <v>193</v>
      </c>
    </row>
    <row r="98" spans="1:2" x14ac:dyDescent="0.2">
      <c r="A98" s="275"/>
      <c r="B98" s="227"/>
    </row>
    <row r="99" spans="1:2" x14ac:dyDescent="0.2">
      <c r="A99" s="262" t="s">
        <v>188</v>
      </c>
      <c r="B99" s="106" t="s">
        <v>188</v>
      </c>
    </row>
    <row r="100" spans="1:2" x14ac:dyDescent="0.2">
      <c r="A100" s="275"/>
      <c r="B100" s="227"/>
    </row>
    <row r="101" spans="1:2" x14ac:dyDescent="0.2">
      <c r="A101" s="262" t="s">
        <v>189</v>
      </c>
      <c r="B101" s="106" t="s">
        <v>189</v>
      </c>
    </row>
    <row r="102" spans="1:2" x14ac:dyDescent="0.2">
      <c r="A102" s="275"/>
      <c r="B102" s="227"/>
    </row>
    <row r="103" spans="1:2" x14ac:dyDescent="0.2">
      <c r="A103" s="262" t="s">
        <v>323</v>
      </c>
      <c r="B103" s="106" t="s">
        <v>190</v>
      </c>
    </row>
    <row r="104" spans="1:2" x14ac:dyDescent="0.2">
      <c r="A104" s="275"/>
      <c r="B104" s="227"/>
    </row>
    <row r="105" spans="1:2" x14ac:dyDescent="0.2">
      <c r="A105" s="262" t="s">
        <v>426</v>
      </c>
      <c r="B105" s="106" t="s">
        <v>191</v>
      </c>
    </row>
    <row r="106" spans="1:2" ht="17" thickBot="1" x14ac:dyDescent="0.25">
      <c r="A106" s="222"/>
      <c r="B106" s="223"/>
    </row>
  </sheetData>
  <mergeCells count="1">
    <mergeCell ref="B5:F5"/>
  </mergeCells>
  <conditionalFormatting sqref="C27:BM27">
    <cfRule type="cellIs" dxfId="1" priority="2" operator="equal">
      <formula>1</formula>
    </cfRule>
  </conditionalFormatting>
  <conditionalFormatting sqref="N28:N30">
    <cfRule type="cellIs" dxfId="0" priority="1" operator="equal">
      <formula>1</formula>
    </cfRule>
  </conditionalFormatting>
  <dataValidations count="1">
    <dataValidation type="whole" operator="equal" allowBlank="1" showInputMessage="1" showErrorMessage="1" sqref="C10:BM24" xr:uid="{00000000-0002-0000-1600-000000000000}">
      <formula1>1</formula1>
    </dataValidation>
  </dataValidations>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tabColor theme="7" tint="0.39997558519241921"/>
  </sheetPr>
  <dimension ref="A1:BN96"/>
  <sheetViews>
    <sheetView workbookViewId="0">
      <selection activeCell="A2" sqref="A2"/>
    </sheetView>
  </sheetViews>
  <sheetFormatPr baseColWidth="10" defaultRowHeight="16" x14ac:dyDescent="0.2"/>
  <cols>
    <col min="1" max="1" width="33.33203125" customWidth="1"/>
    <col min="4" max="4" width="11.83203125" bestFit="1" customWidth="1"/>
  </cols>
  <sheetData>
    <row r="1" spans="1:66" x14ac:dyDescent="0.2">
      <c r="A1" t="str">
        <f>"corrected_energy_balance_step_2"&amp;IF(Dashboard!E14,".open_access","")</f>
        <v>corrected_energy_balance_step_2</v>
      </c>
    </row>
    <row r="2" spans="1:66" x14ac:dyDescent="0.2">
      <c r="A2" t="s">
        <v>49</v>
      </c>
      <c r="B2" t="s">
        <v>134</v>
      </c>
      <c r="C2" t="s">
        <v>135</v>
      </c>
      <c r="D2" t="s">
        <v>136</v>
      </c>
      <c r="E2" t="s">
        <v>137</v>
      </c>
      <c r="F2" t="s">
        <v>138</v>
      </c>
      <c r="G2" t="s">
        <v>139</v>
      </c>
      <c r="H2" t="s">
        <v>140</v>
      </c>
      <c r="I2" t="s">
        <v>141</v>
      </c>
      <c r="J2" t="s">
        <v>142</v>
      </c>
      <c r="K2" t="s">
        <v>143</v>
      </c>
      <c r="L2" t="s">
        <v>144</v>
      </c>
      <c r="M2" t="s">
        <v>145</v>
      </c>
      <c r="N2" t="s">
        <v>146</v>
      </c>
      <c r="O2" t="s">
        <v>147</v>
      </c>
      <c r="P2" t="s">
        <v>148</v>
      </c>
      <c r="Q2" t="s">
        <v>149</v>
      </c>
      <c r="R2" t="s">
        <v>150</v>
      </c>
      <c r="S2" t="s">
        <v>151</v>
      </c>
      <c r="T2" t="s">
        <v>152</v>
      </c>
      <c r="U2" t="s">
        <v>153</v>
      </c>
      <c r="V2" t="s">
        <v>154</v>
      </c>
      <c r="W2" t="s">
        <v>155</v>
      </c>
      <c r="X2" t="s">
        <v>156</v>
      </c>
      <c r="Y2" t="s">
        <v>157</v>
      </c>
      <c r="Z2" t="s">
        <v>158</v>
      </c>
      <c r="AA2" t="s">
        <v>159</v>
      </c>
      <c r="AB2" t="s">
        <v>160</v>
      </c>
      <c r="AC2" t="s">
        <v>161</v>
      </c>
      <c r="AD2" t="s">
        <v>162</v>
      </c>
      <c r="AE2" t="s">
        <v>163</v>
      </c>
      <c r="AF2" t="s">
        <v>164</v>
      </c>
      <c r="AG2" t="s">
        <v>165</v>
      </c>
      <c r="AH2" t="s">
        <v>166</v>
      </c>
      <c r="AI2" t="s">
        <v>167</v>
      </c>
      <c r="AJ2" t="s">
        <v>168</v>
      </c>
      <c r="AK2" t="s">
        <v>169</v>
      </c>
      <c r="AL2" t="s">
        <v>170</v>
      </c>
      <c r="AM2" t="s">
        <v>171</v>
      </c>
      <c r="AN2" t="s">
        <v>172</v>
      </c>
      <c r="AO2" t="s">
        <v>173</v>
      </c>
      <c r="AP2" t="s">
        <v>174</v>
      </c>
      <c r="AQ2" t="s">
        <v>175</v>
      </c>
      <c r="AR2" t="s">
        <v>176</v>
      </c>
      <c r="AS2" t="s">
        <v>177</v>
      </c>
      <c r="AT2" t="s">
        <v>178</v>
      </c>
      <c r="AU2" t="s">
        <v>179</v>
      </c>
      <c r="AV2" t="s">
        <v>180</v>
      </c>
      <c r="AW2" t="s">
        <v>181</v>
      </c>
      <c r="AX2" t="s">
        <v>182</v>
      </c>
      <c r="AY2" t="s">
        <v>183</v>
      </c>
      <c r="AZ2" t="s">
        <v>184</v>
      </c>
      <c r="BA2" t="s">
        <v>185</v>
      </c>
      <c r="BB2" t="s">
        <v>186</v>
      </c>
      <c r="BC2" t="s">
        <v>187</v>
      </c>
      <c r="BD2" t="s">
        <v>188</v>
      </c>
      <c r="BE2" t="s">
        <v>189</v>
      </c>
      <c r="BF2" t="s">
        <v>190</v>
      </c>
      <c r="BG2" t="s">
        <v>191</v>
      </c>
      <c r="BH2" t="s">
        <v>192</v>
      </c>
      <c r="BI2" t="s">
        <v>193</v>
      </c>
      <c r="BJ2" t="s">
        <v>194</v>
      </c>
      <c r="BK2" t="s">
        <v>195</v>
      </c>
      <c r="BL2" t="s">
        <v>196</v>
      </c>
      <c r="BM2" t="s">
        <v>197</v>
      </c>
      <c r="BN2" t="s">
        <v>198</v>
      </c>
    </row>
    <row r="3" spans="1:66" x14ac:dyDescent="0.2">
      <c r="A3" t="s">
        <v>50</v>
      </c>
    </row>
    <row r="4" spans="1:66" x14ac:dyDescent="0.2">
      <c r="A4" t="s">
        <v>51</v>
      </c>
      <c r="B4">
        <f>'Corrected energy balance step 2'!C9</f>
        <v>0</v>
      </c>
      <c r="C4">
        <f>'Corrected energy balance step 2'!D9</f>
        <v>0</v>
      </c>
      <c r="D4">
        <f>'Corrected energy balance step 2'!E9</f>
        <v>0</v>
      </c>
      <c r="E4">
        <f>'Corrected energy balance step 2'!F9</f>
        <v>0</v>
      </c>
      <c r="F4">
        <f>'Corrected energy balance step 2'!G9</f>
        <v>0</v>
      </c>
      <c r="G4">
        <f>'Corrected energy balance step 2'!H9</f>
        <v>0</v>
      </c>
      <c r="H4">
        <f>'Corrected energy balance step 2'!I9</f>
        <v>0</v>
      </c>
      <c r="I4">
        <f>'Corrected energy balance step 2'!J9</f>
        <v>0</v>
      </c>
      <c r="J4">
        <f>'Corrected energy balance step 2'!K9</f>
        <v>0</v>
      </c>
      <c r="K4">
        <f>'Corrected energy balance step 2'!L9</f>
        <v>0</v>
      </c>
      <c r="L4">
        <f>'Corrected energy balance step 2'!M9</f>
        <v>0</v>
      </c>
      <c r="M4">
        <f>'Corrected energy balance step 2'!N9</f>
        <v>0</v>
      </c>
      <c r="N4">
        <f>'Corrected energy balance step 2'!O9</f>
        <v>0</v>
      </c>
      <c r="O4">
        <f>'Corrected energy balance step 2'!P9</f>
        <v>0</v>
      </c>
      <c r="P4">
        <f>'Corrected energy balance step 2'!Q9</f>
        <v>0</v>
      </c>
      <c r="Q4">
        <f>'Corrected energy balance step 2'!R9</f>
        <v>0</v>
      </c>
      <c r="R4">
        <f>'Corrected energy balance step 2'!S9</f>
        <v>0</v>
      </c>
      <c r="S4">
        <f>'Corrected energy balance step 2'!T9</f>
        <v>0</v>
      </c>
      <c r="T4">
        <f>'Corrected energy balance step 2'!U9</f>
        <v>0</v>
      </c>
      <c r="U4">
        <f>'Corrected energy balance step 2'!V9</f>
        <v>0</v>
      </c>
      <c r="V4">
        <f>'Corrected energy balance step 2'!W9</f>
        <v>0</v>
      </c>
      <c r="W4">
        <f>'Corrected energy balance step 2'!X9</f>
        <v>0</v>
      </c>
      <c r="X4">
        <f>'Corrected energy balance step 2'!Y9</f>
        <v>0</v>
      </c>
      <c r="Y4">
        <f>'Corrected energy balance step 2'!Z9</f>
        <v>0</v>
      </c>
      <c r="Z4">
        <f>'Corrected energy balance step 2'!AA9</f>
        <v>0</v>
      </c>
      <c r="AA4">
        <f>'Corrected energy balance step 2'!AB9</f>
        <v>0</v>
      </c>
      <c r="AB4">
        <f>'Corrected energy balance step 2'!AC9</f>
        <v>0</v>
      </c>
      <c r="AC4">
        <f>'Corrected energy balance step 2'!AD9</f>
        <v>0</v>
      </c>
      <c r="AD4">
        <f>'Corrected energy balance step 2'!AE9</f>
        <v>0</v>
      </c>
      <c r="AE4">
        <f>'Corrected energy balance step 2'!AF9</f>
        <v>0</v>
      </c>
      <c r="AF4">
        <f>'Corrected energy balance step 2'!AG9</f>
        <v>0</v>
      </c>
      <c r="AG4">
        <f>'Corrected energy balance step 2'!AH9</f>
        <v>0</v>
      </c>
      <c r="AH4">
        <f>'Corrected energy balance step 2'!AI9</f>
        <v>0</v>
      </c>
      <c r="AI4">
        <f>'Corrected energy balance step 2'!AJ9</f>
        <v>0</v>
      </c>
      <c r="AJ4">
        <f>'Corrected energy balance step 2'!AK9</f>
        <v>0</v>
      </c>
      <c r="AK4">
        <f>'Corrected energy balance step 2'!AL9</f>
        <v>0</v>
      </c>
      <c r="AL4">
        <f>'Corrected energy balance step 2'!AM9</f>
        <v>0</v>
      </c>
      <c r="AM4">
        <f>'Corrected energy balance step 2'!AN9</f>
        <v>0</v>
      </c>
      <c r="AN4">
        <f>'Corrected energy balance step 2'!AO9</f>
        <v>0</v>
      </c>
      <c r="AO4">
        <f>'Corrected energy balance step 2'!AP9</f>
        <v>0</v>
      </c>
      <c r="AP4">
        <f>'Corrected energy balance step 2'!AQ9</f>
        <v>0</v>
      </c>
      <c r="AQ4">
        <f>'Corrected energy balance step 2'!AR9</f>
        <v>0</v>
      </c>
      <c r="AR4">
        <f>'Corrected energy balance step 2'!AS9</f>
        <v>0</v>
      </c>
      <c r="AS4">
        <f>'Corrected energy balance step 2'!AT9</f>
        <v>0</v>
      </c>
      <c r="AT4">
        <f>'Corrected energy balance step 2'!AU9</f>
        <v>0</v>
      </c>
      <c r="AU4">
        <f>'Corrected energy balance step 2'!AV9</f>
        <v>0</v>
      </c>
      <c r="AV4">
        <f>'Corrected energy balance step 2'!AW9</f>
        <v>0</v>
      </c>
      <c r="AW4">
        <f>'Corrected energy balance step 2'!AX9</f>
        <v>0</v>
      </c>
      <c r="AX4">
        <f>'Corrected energy balance step 2'!AY9</f>
        <v>0</v>
      </c>
      <c r="AY4">
        <f>'Corrected energy balance step 2'!AZ9</f>
        <v>0</v>
      </c>
      <c r="AZ4">
        <f>'Corrected energy balance step 2'!BA9</f>
        <v>0</v>
      </c>
      <c r="BA4">
        <f>'Corrected energy balance step 2'!BB9</f>
        <v>0</v>
      </c>
      <c r="BB4">
        <f>'Corrected energy balance step 2'!BC9</f>
        <v>0</v>
      </c>
      <c r="BC4">
        <f>'Corrected energy balance step 2'!BD9</f>
        <v>0</v>
      </c>
      <c r="BD4">
        <f>'Corrected energy balance step 2'!BE9</f>
        <v>0</v>
      </c>
      <c r="BE4">
        <f>'Corrected energy balance step 2'!BF9</f>
        <v>0</v>
      </c>
      <c r="BF4">
        <f>'Corrected energy balance step 2'!BG9</f>
        <v>0</v>
      </c>
      <c r="BG4">
        <f>'Corrected energy balance step 2'!BH9</f>
        <v>0</v>
      </c>
      <c r="BH4">
        <f>'Corrected energy balance step 2'!BI9</f>
        <v>0</v>
      </c>
      <c r="BI4">
        <f>'Corrected energy balance step 2'!BJ9</f>
        <v>0</v>
      </c>
      <c r="BJ4">
        <f>'Corrected energy balance step 2'!BK9</f>
        <v>0</v>
      </c>
      <c r="BK4">
        <f>'Corrected energy balance step 2'!BL9</f>
        <v>0</v>
      </c>
      <c r="BL4">
        <f>'Corrected energy balance step 2'!BM9</f>
        <v>0</v>
      </c>
      <c r="BM4">
        <f>'Corrected energy balance step 2'!BN9</f>
        <v>0</v>
      </c>
      <c r="BN4">
        <f>'Corrected energy balance step 2'!BO9</f>
        <v>0</v>
      </c>
    </row>
    <row r="5" spans="1:66" x14ac:dyDescent="0.2">
      <c r="A5" t="s">
        <v>52</v>
      </c>
      <c r="B5">
        <f>'Corrected energy balance step 2'!C10</f>
        <v>0</v>
      </c>
      <c r="C5">
        <f>'Corrected energy balance step 2'!D10</f>
        <v>0</v>
      </c>
      <c r="D5" s="302">
        <f>'Corrected energy balance step 2'!E10</f>
        <v>0</v>
      </c>
      <c r="E5">
        <f>'Corrected energy balance step 2'!F10</f>
        <v>0</v>
      </c>
      <c r="F5">
        <f>'Corrected energy balance step 2'!G10</f>
        <v>0</v>
      </c>
      <c r="G5">
        <f>'Corrected energy balance step 2'!H10</f>
        <v>0</v>
      </c>
      <c r="H5">
        <f>'Corrected energy balance step 2'!I10</f>
        <v>0</v>
      </c>
      <c r="I5">
        <f>'Corrected energy balance step 2'!J10</f>
        <v>0</v>
      </c>
      <c r="J5">
        <f>'Corrected energy balance step 2'!K10</f>
        <v>0</v>
      </c>
      <c r="K5">
        <f>'Corrected energy balance step 2'!L10</f>
        <v>0</v>
      </c>
      <c r="L5">
        <f>'Corrected energy balance step 2'!M10</f>
        <v>0</v>
      </c>
      <c r="M5">
        <f>'Corrected energy balance step 2'!N10</f>
        <v>0</v>
      </c>
      <c r="N5">
        <f>'Corrected energy balance step 2'!O10</f>
        <v>0</v>
      </c>
      <c r="O5">
        <f>'Corrected energy balance step 2'!P10</f>
        <v>0</v>
      </c>
      <c r="P5">
        <f>'Corrected energy balance step 2'!Q10</f>
        <v>0</v>
      </c>
      <c r="Q5">
        <f>'Corrected energy balance step 2'!R10</f>
        <v>0</v>
      </c>
      <c r="R5">
        <f>'Corrected energy balance step 2'!S10</f>
        <v>0</v>
      </c>
      <c r="S5">
        <f>'Corrected energy balance step 2'!T10</f>
        <v>0</v>
      </c>
      <c r="T5">
        <f>'Corrected energy balance step 2'!U10</f>
        <v>0</v>
      </c>
      <c r="U5">
        <f>'Corrected energy balance step 2'!V10</f>
        <v>0</v>
      </c>
      <c r="V5">
        <f>'Corrected energy balance step 2'!W10</f>
        <v>0</v>
      </c>
      <c r="W5">
        <f>'Corrected energy balance step 2'!X10</f>
        <v>0</v>
      </c>
      <c r="X5">
        <f>'Corrected energy balance step 2'!Y10</f>
        <v>0</v>
      </c>
      <c r="Y5">
        <f>'Corrected energy balance step 2'!Z10</f>
        <v>0</v>
      </c>
      <c r="Z5">
        <f>'Corrected energy balance step 2'!AA10</f>
        <v>0</v>
      </c>
      <c r="AA5">
        <f>'Corrected energy balance step 2'!AB10</f>
        <v>0</v>
      </c>
      <c r="AB5">
        <f>'Corrected energy balance step 2'!AC10</f>
        <v>0</v>
      </c>
      <c r="AC5">
        <f>'Corrected energy balance step 2'!AD10</f>
        <v>0</v>
      </c>
      <c r="AD5">
        <f>'Corrected energy balance step 2'!AE10</f>
        <v>0</v>
      </c>
      <c r="AE5">
        <f>'Corrected energy balance step 2'!AF10</f>
        <v>0</v>
      </c>
      <c r="AF5">
        <f>'Corrected energy balance step 2'!AG10</f>
        <v>0</v>
      </c>
      <c r="AG5">
        <f>'Corrected energy balance step 2'!AH10</f>
        <v>0</v>
      </c>
      <c r="AH5">
        <f>'Corrected energy balance step 2'!AI10</f>
        <v>0</v>
      </c>
      <c r="AI5">
        <f>'Corrected energy balance step 2'!AJ10</f>
        <v>0</v>
      </c>
      <c r="AJ5">
        <f>'Corrected energy balance step 2'!AK10</f>
        <v>0</v>
      </c>
      <c r="AK5">
        <f>'Corrected energy balance step 2'!AL10</f>
        <v>0</v>
      </c>
      <c r="AL5">
        <f>'Corrected energy balance step 2'!AM10</f>
        <v>0</v>
      </c>
      <c r="AM5">
        <f>'Corrected energy balance step 2'!AN10</f>
        <v>0</v>
      </c>
      <c r="AN5">
        <f>'Corrected energy balance step 2'!AO10</f>
        <v>0</v>
      </c>
      <c r="AO5">
        <f>'Corrected energy balance step 2'!AP10</f>
        <v>0</v>
      </c>
      <c r="AP5">
        <f>'Corrected energy balance step 2'!AQ10</f>
        <v>0</v>
      </c>
      <c r="AQ5">
        <f>'Corrected energy balance step 2'!AR10</f>
        <v>0</v>
      </c>
      <c r="AR5">
        <f>'Corrected energy balance step 2'!AS10</f>
        <v>0</v>
      </c>
      <c r="AS5">
        <f>'Corrected energy balance step 2'!AT10</f>
        <v>0</v>
      </c>
      <c r="AT5">
        <f>'Corrected energy balance step 2'!AU10</f>
        <v>0</v>
      </c>
      <c r="AU5">
        <f>'Corrected energy balance step 2'!AV10</f>
        <v>0</v>
      </c>
      <c r="AV5">
        <f>'Corrected energy balance step 2'!AW10</f>
        <v>0</v>
      </c>
      <c r="AW5">
        <f>'Corrected energy balance step 2'!AX10</f>
        <v>0</v>
      </c>
      <c r="AX5">
        <f>'Corrected energy balance step 2'!AY10</f>
        <v>0</v>
      </c>
      <c r="AY5">
        <f>'Corrected energy balance step 2'!AZ10</f>
        <v>0</v>
      </c>
      <c r="AZ5">
        <f>'Corrected energy balance step 2'!BA10</f>
        <v>0</v>
      </c>
      <c r="BA5">
        <f>'Corrected energy balance step 2'!BB10</f>
        <v>0</v>
      </c>
      <c r="BB5">
        <f>'Corrected energy balance step 2'!BC10</f>
        <v>0</v>
      </c>
      <c r="BC5">
        <f>'Corrected energy balance step 2'!BD10</f>
        <v>0</v>
      </c>
      <c r="BD5">
        <f>'Corrected energy balance step 2'!BE10</f>
        <v>0</v>
      </c>
      <c r="BE5">
        <f>'Corrected energy balance step 2'!BF10</f>
        <v>0</v>
      </c>
      <c r="BF5">
        <f>'Corrected energy balance step 2'!BG10</f>
        <v>0</v>
      </c>
      <c r="BG5">
        <f>'Corrected energy balance step 2'!BH10</f>
        <v>0</v>
      </c>
      <c r="BH5">
        <f>'Corrected energy balance step 2'!BI10</f>
        <v>0</v>
      </c>
      <c r="BI5">
        <f>'Corrected energy balance step 2'!BJ10</f>
        <v>0</v>
      </c>
      <c r="BJ5">
        <f>'Corrected energy balance step 2'!BK10</f>
        <v>0</v>
      </c>
      <c r="BK5">
        <f>'Corrected energy balance step 2'!BL10</f>
        <v>0</v>
      </c>
      <c r="BL5">
        <f>'Corrected energy balance step 2'!BM10</f>
        <v>0</v>
      </c>
      <c r="BM5">
        <f>'Corrected energy balance step 2'!BN10</f>
        <v>0</v>
      </c>
      <c r="BN5">
        <f>'Corrected energy balance step 2'!BO10</f>
        <v>0</v>
      </c>
    </row>
    <row r="6" spans="1:66" x14ac:dyDescent="0.2">
      <c r="A6" t="s">
        <v>53</v>
      </c>
      <c r="B6">
        <f>'Corrected energy balance step 2'!C11</f>
        <v>0</v>
      </c>
      <c r="C6">
        <f>'Corrected energy balance step 2'!D11</f>
        <v>0</v>
      </c>
      <c r="D6">
        <f>'Corrected energy balance step 2'!E11</f>
        <v>0</v>
      </c>
      <c r="E6">
        <f>'Corrected energy balance step 2'!F11</f>
        <v>0</v>
      </c>
      <c r="F6">
        <f>'Corrected energy balance step 2'!G11</f>
        <v>0</v>
      </c>
      <c r="G6">
        <f>'Corrected energy balance step 2'!H11</f>
        <v>0</v>
      </c>
      <c r="H6">
        <f>'Corrected energy balance step 2'!I11</f>
        <v>0</v>
      </c>
      <c r="I6">
        <f>'Corrected energy balance step 2'!J11</f>
        <v>0</v>
      </c>
      <c r="J6">
        <f>'Corrected energy balance step 2'!K11</f>
        <v>0</v>
      </c>
      <c r="K6">
        <f>'Corrected energy balance step 2'!L11</f>
        <v>0</v>
      </c>
      <c r="L6">
        <f>'Corrected energy balance step 2'!M11</f>
        <v>0</v>
      </c>
      <c r="M6">
        <f>'Corrected energy balance step 2'!N11</f>
        <v>0</v>
      </c>
      <c r="N6">
        <f>'Corrected energy balance step 2'!O11</f>
        <v>0</v>
      </c>
      <c r="O6">
        <f>'Corrected energy balance step 2'!P11</f>
        <v>0</v>
      </c>
      <c r="P6">
        <f>'Corrected energy balance step 2'!Q11</f>
        <v>0</v>
      </c>
      <c r="Q6">
        <f>'Corrected energy balance step 2'!R11</f>
        <v>0</v>
      </c>
      <c r="R6">
        <f>'Corrected energy balance step 2'!S11</f>
        <v>0</v>
      </c>
      <c r="S6">
        <f>'Corrected energy balance step 2'!T11</f>
        <v>0</v>
      </c>
      <c r="T6">
        <f>'Corrected energy balance step 2'!U11</f>
        <v>0</v>
      </c>
      <c r="U6">
        <f>'Corrected energy balance step 2'!V11</f>
        <v>0</v>
      </c>
      <c r="V6">
        <f>'Corrected energy balance step 2'!W11</f>
        <v>0</v>
      </c>
      <c r="W6">
        <f>'Corrected energy balance step 2'!X11</f>
        <v>0</v>
      </c>
      <c r="X6">
        <f>'Corrected energy balance step 2'!Y11</f>
        <v>0</v>
      </c>
      <c r="Y6">
        <f>'Corrected energy balance step 2'!Z11</f>
        <v>0</v>
      </c>
      <c r="Z6">
        <f>'Corrected energy balance step 2'!AA11</f>
        <v>0</v>
      </c>
      <c r="AA6">
        <f>'Corrected energy balance step 2'!AB11</f>
        <v>0</v>
      </c>
      <c r="AB6">
        <f>'Corrected energy balance step 2'!AC11</f>
        <v>0</v>
      </c>
      <c r="AC6">
        <f>'Corrected energy balance step 2'!AD11</f>
        <v>0</v>
      </c>
      <c r="AD6">
        <f>'Corrected energy balance step 2'!AE11</f>
        <v>0</v>
      </c>
      <c r="AE6">
        <f>'Corrected energy balance step 2'!AF11</f>
        <v>0</v>
      </c>
      <c r="AF6">
        <f>'Corrected energy balance step 2'!AG11</f>
        <v>0</v>
      </c>
      <c r="AG6">
        <f>'Corrected energy balance step 2'!AH11</f>
        <v>0</v>
      </c>
      <c r="AH6">
        <f>'Corrected energy balance step 2'!AI11</f>
        <v>0</v>
      </c>
      <c r="AI6">
        <f>'Corrected energy balance step 2'!AJ11</f>
        <v>0</v>
      </c>
      <c r="AJ6">
        <f>'Corrected energy balance step 2'!AK11</f>
        <v>0</v>
      </c>
      <c r="AK6">
        <f>'Corrected energy balance step 2'!AL11</f>
        <v>0</v>
      </c>
      <c r="AL6">
        <f>'Corrected energy balance step 2'!AM11</f>
        <v>0</v>
      </c>
      <c r="AM6">
        <f>'Corrected energy balance step 2'!AN11</f>
        <v>0</v>
      </c>
      <c r="AN6">
        <f>'Corrected energy balance step 2'!AO11</f>
        <v>0</v>
      </c>
      <c r="AO6">
        <f>'Corrected energy balance step 2'!AP11</f>
        <v>0</v>
      </c>
      <c r="AP6">
        <f>'Corrected energy balance step 2'!AQ11</f>
        <v>0</v>
      </c>
      <c r="AQ6">
        <f>'Corrected energy balance step 2'!AR11</f>
        <v>0</v>
      </c>
      <c r="AR6">
        <f>'Corrected energy balance step 2'!AS11</f>
        <v>0</v>
      </c>
      <c r="AS6">
        <f>'Corrected energy balance step 2'!AT11</f>
        <v>0</v>
      </c>
      <c r="AT6">
        <f>'Corrected energy balance step 2'!AU11</f>
        <v>0</v>
      </c>
      <c r="AU6">
        <f>'Corrected energy balance step 2'!AV11</f>
        <v>0</v>
      </c>
      <c r="AV6">
        <f>'Corrected energy balance step 2'!AW11</f>
        <v>0</v>
      </c>
      <c r="AW6">
        <f>'Corrected energy balance step 2'!AX11</f>
        <v>0</v>
      </c>
      <c r="AX6">
        <f>'Corrected energy balance step 2'!AY11</f>
        <v>0</v>
      </c>
      <c r="AY6">
        <f>'Corrected energy balance step 2'!AZ11</f>
        <v>0</v>
      </c>
      <c r="AZ6">
        <f>'Corrected energy balance step 2'!BA11</f>
        <v>0</v>
      </c>
      <c r="BA6">
        <f>'Corrected energy balance step 2'!BB11</f>
        <v>0</v>
      </c>
      <c r="BB6">
        <f>'Corrected energy balance step 2'!BC11</f>
        <v>0</v>
      </c>
      <c r="BC6">
        <f>'Corrected energy balance step 2'!BD11</f>
        <v>0</v>
      </c>
      <c r="BD6">
        <f>'Corrected energy balance step 2'!BE11</f>
        <v>0</v>
      </c>
      <c r="BE6">
        <f>'Corrected energy balance step 2'!BF11</f>
        <v>0</v>
      </c>
      <c r="BF6">
        <f>'Corrected energy balance step 2'!BG11</f>
        <v>0</v>
      </c>
      <c r="BG6">
        <f>'Corrected energy balance step 2'!BH11</f>
        <v>0</v>
      </c>
      <c r="BH6">
        <f>'Corrected energy balance step 2'!BI11</f>
        <v>0</v>
      </c>
      <c r="BI6">
        <f>'Corrected energy balance step 2'!BJ11</f>
        <v>0</v>
      </c>
      <c r="BJ6">
        <f>'Corrected energy balance step 2'!BK11</f>
        <v>0</v>
      </c>
      <c r="BK6">
        <f>'Corrected energy balance step 2'!BL11</f>
        <v>0</v>
      </c>
      <c r="BL6">
        <f>'Corrected energy balance step 2'!BM11</f>
        <v>0</v>
      </c>
      <c r="BM6">
        <f>'Corrected energy balance step 2'!BN11</f>
        <v>0</v>
      </c>
      <c r="BN6">
        <f>'Corrected energy balance step 2'!BO11</f>
        <v>0</v>
      </c>
    </row>
    <row r="7" spans="1:66" x14ac:dyDescent="0.2">
      <c r="A7" t="s">
        <v>54</v>
      </c>
      <c r="B7">
        <f>'Corrected energy balance step 2'!C12</f>
        <v>0</v>
      </c>
      <c r="C7">
        <f>'Corrected energy balance step 2'!D12</f>
        <v>0</v>
      </c>
      <c r="D7">
        <f>'Corrected energy balance step 2'!E12</f>
        <v>0</v>
      </c>
      <c r="E7">
        <f>'Corrected energy balance step 2'!F12</f>
        <v>0</v>
      </c>
      <c r="F7">
        <f>'Corrected energy balance step 2'!G12</f>
        <v>0</v>
      </c>
      <c r="G7">
        <f>'Corrected energy balance step 2'!H12</f>
        <v>0</v>
      </c>
      <c r="H7">
        <f>'Corrected energy balance step 2'!I12</f>
        <v>0</v>
      </c>
      <c r="I7">
        <f>'Corrected energy balance step 2'!J12</f>
        <v>0</v>
      </c>
      <c r="J7">
        <f>'Corrected energy balance step 2'!K12</f>
        <v>0</v>
      </c>
      <c r="K7">
        <f>'Corrected energy balance step 2'!L12</f>
        <v>0</v>
      </c>
      <c r="L7">
        <f>'Corrected energy balance step 2'!M12</f>
        <v>0</v>
      </c>
      <c r="M7">
        <f>'Corrected energy balance step 2'!N12</f>
        <v>0</v>
      </c>
      <c r="N7">
        <f>'Corrected energy balance step 2'!O12</f>
        <v>0</v>
      </c>
      <c r="O7">
        <f>'Corrected energy balance step 2'!P12</f>
        <v>0</v>
      </c>
      <c r="P7">
        <f>'Corrected energy balance step 2'!Q12</f>
        <v>0</v>
      </c>
      <c r="Q7">
        <f>'Corrected energy balance step 2'!R12</f>
        <v>0</v>
      </c>
      <c r="R7">
        <f>'Corrected energy balance step 2'!S12</f>
        <v>0</v>
      </c>
      <c r="S7">
        <f>'Corrected energy balance step 2'!T12</f>
        <v>0</v>
      </c>
      <c r="T7">
        <f>'Corrected energy balance step 2'!U12</f>
        <v>0</v>
      </c>
      <c r="U7">
        <f>'Corrected energy balance step 2'!V12</f>
        <v>0</v>
      </c>
      <c r="V7">
        <f>'Corrected energy balance step 2'!W12</f>
        <v>0</v>
      </c>
      <c r="W7">
        <f>'Corrected energy balance step 2'!X12</f>
        <v>0</v>
      </c>
      <c r="X7">
        <f>'Corrected energy balance step 2'!Y12</f>
        <v>0</v>
      </c>
      <c r="Y7">
        <f>'Corrected energy balance step 2'!Z12</f>
        <v>0</v>
      </c>
      <c r="Z7">
        <f>'Corrected energy balance step 2'!AA12</f>
        <v>0</v>
      </c>
      <c r="AA7">
        <f>'Corrected energy balance step 2'!AB12</f>
        <v>0</v>
      </c>
      <c r="AB7">
        <f>'Corrected energy balance step 2'!AC12</f>
        <v>0</v>
      </c>
      <c r="AC7">
        <f>'Corrected energy balance step 2'!AD12</f>
        <v>0</v>
      </c>
      <c r="AD7">
        <f>'Corrected energy balance step 2'!AE12</f>
        <v>0</v>
      </c>
      <c r="AE7">
        <f>'Corrected energy balance step 2'!AF12</f>
        <v>0</v>
      </c>
      <c r="AF7">
        <f>'Corrected energy balance step 2'!AG12</f>
        <v>0</v>
      </c>
      <c r="AG7">
        <f>'Corrected energy balance step 2'!AH12</f>
        <v>0</v>
      </c>
      <c r="AH7">
        <f>'Corrected energy balance step 2'!AI12</f>
        <v>0</v>
      </c>
      <c r="AI7">
        <f>'Corrected energy balance step 2'!AJ12</f>
        <v>0</v>
      </c>
      <c r="AJ7">
        <f>'Corrected energy balance step 2'!AK12</f>
        <v>0</v>
      </c>
      <c r="AK7">
        <f>'Corrected energy balance step 2'!AL12</f>
        <v>0</v>
      </c>
      <c r="AL7">
        <f>'Corrected energy balance step 2'!AM12</f>
        <v>0</v>
      </c>
      <c r="AM7">
        <f>'Corrected energy balance step 2'!AN12</f>
        <v>0</v>
      </c>
      <c r="AN7">
        <f>'Corrected energy balance step 2'!AO12</f>
        <v>0</v>
      </c>
      <c r="AO7">
        <f>'Corrected energy balance step 2'!AP12</f>
        <v>0</v>
      </c>
      <c r="AP7">
        <f>'Corrected energy balance step 2'!AQ12</f>
        <v>0</v>
      </c>
      <c r="AQ7">
        <f>'Corrected energy balance step 2'!AR12</f>
        <v>0</v>
      </c>
      <c r="AR7">
        <f>'Corrected energy balance step 2'!AS12</f>
        <v>0</v>
      </c>
      <c r="AS7">
        <f>'Corrected energy balance step 2'!AT12</f>
        <v>0</v>
      </c>
      <c r="AT7">
        <f>'Corrected energy balance step 2'!AU12</f>
        <v>0</v>
      </c>
      <c r="AU7">
        <f>'Corrected energy balance step 2'!AV12</f>
        <v>0</v>
      </c>
      <c r="AV7">
        <f>'Corrected energy balance step 2'!AW12</f>
        <v>0</v>
      </c>
      <c r="AW7">
        <f>'Corrected energy balance step 2'!AX12</f>
        <v>0</v>
      </c>
      <c r="AX7">
        <f>'Corrected energy balance step 2'!AY12</f>
        <v>0</v>
      </c>
      <c r="AY7">
        <f>'Corrected energy balance step 2'!AZ12</f>
        <v>0</v>
      </c>
      <c r="AZ7">
        <f>'Corrected energy balance step 2'!BA12</f>
        <v>0</v>
      </c>
      <c r="BA7">
        <f>'Corrected energy balance step 2'!BB12</f>
        <v>0</v>
      </c>
      <c r="BB7">
        <f>'Corrected energy balance step 2'!BC12</f>
        <v>0</v>
      </c>
      <c r="BC7">
        <f>'Corrected energy balance step 2'!BD12</f>
        <v>0</v>
      </c>
      <c r="BD7">
        <f>'Corrected energy balance step 2'!BE12</f>
        <v>0</v>
      </c>
      <c r="BE7">
        <f>'Corrected energy balance step 2'!BF12</f>
        <v>0</v>
      </c>
      <c r="BF7">
        <f>'Corrected energy balance step 2'!BG12</f>
        <v>0</v>
      </c>
      <c r="BG7">
        <f>'Corrected energy balance step 2'!BH12</f>
        <v>0</v>
      </c>
      <c r="BH7">
        <f>'Corrected energy balance step 2'!BI12</f>
        <v>0</v>
      </c>
      <c r="BI7">
        <f>'Corrected energy balance step 2'!BJ12</f>
        <v>0</v>
      </c>
      <c r="BJ7">
        <f>'Corrected energy balance step 2'!BK12</f>
        <v>0</v>
      </c>
      <c r="BK7">
        <f>'Corrected energy balance step 2'!BL12</f>
        <v>0</v>
      </c>
      <c r="BL7">
        <f>'Corrected energy balance step 2'!BM12</f>
        <v>0</v>
      </c>
      <c r="BM7">
        <f>'Corrected energy balance step 2'!BN12</f>
        <v>0</v>
      </c>
      <c r="BN7">
        <f>'Corrected energy balance step 2'!BO12</f>
        <v>0</v>
      </c>
    </row>
    <row r="8" spans="1:66" x14ac:dyDescent="0.2">
      <c r="A8" t="s">
        <v>55</v>
      </c>
      <c r="B8">
        <f>'Corrected energy balance step 2'!C13</f>
        <v>0</v>
      </c>
      <c r="C8">
        <f>'Corrected energy balance step 2'!D13</f>
        <v>0</v>
      </c>
      <c r="D8">
        <f>'Corrected energy balance step 2'!E13</f>
        <v>0</v>
      </c>
      <c r="E8">
        <f>'Corrected energy balance step 2'!F13</f>
        <v>0</v>
      </c>
      <c r="F8">
        <f>'Corrected energy balance step 2'!G13</f>
        <v>0</v>
      </c>
      <c r="G8">
        <f>'Corrected energy balance step 2'!H13</f>
        <v>0</v>
      </c>
      <c r="H8">
        <f>'Corrected energy balance step 2'!I13</f>
        <v>0</v>
      </c>
      <c r="I8">
        <f>'Corrected energy balance step 2'!J13</f>
        <v>0</v>
      </c>
      <c r="J8">
        <f>'Corrected energy balance step 2'!K13</f>
        <v>0</v>
      </c>
      <c r="K8">
        <f>'Corrected energy balance step 2'!L13</f>
        <v>0</v>
      </c>
      <c r="L8">
        <f>'Corrected energy balance step 2'!M13</f>
        <v>0</v>
      </c>
      <c r="M8">
        <f>'Corrected energy balance step 2'!N13</f>
        <v>0</v>
      </c>
      <c r="N8">
        <f>'Corrected energy balance step 2'!O13</f>
        <v>0</v>
      </c>
      <c r="O8">
        <f>'Corrected energy balance step 2'!P13</f>
        <v>0</v>
      </c>
      <c r="P8">
        <f>'Corrected energy balance step 2'!Q13</f>
        <v>0</v>
      </c>
      <c r="Q8">
        <f>'Corrected energy balance step 2'!R13</f>
        <v>0</v>
      </c>
      <c r="R8">
        <f>'Corrected energy balance step 2'!S13</f>
        <v>0</v>
      </c>
      <c r="S8">
        <f>'Corrected energy balance step 2'!T13</f>
        <v>0</v>
      </c>
      <c r="T8">
        <f>'Corrected energy balance step 2'!U13</f>
        <v>0</v>
      </c>
      <c r="U8">
        <f>'Corrected energy balance step 2'!V13</f>
        <v>0</v>
      </c>
      <c r="V8">
        <f>'Corrected energy balance step 2'!W13</f>
        <v>0</v>
      </c>
      <c r="W8">
        <f>'Corrected energy balance step 2'!X13</f>
        <v>0</v>
      </c>
      <c r="X8">
        <f>'Corrected energy balance step 2'!Y13</f>
        <v>0</v>
      </c>
      <c r="Y8">
        <f>'Corrected energy balance step 2'!Z13</f>
        <v>0</v>
      </c>
      <c r="Z8">
        <f>'Corrected energy balance step 2'!AA13</f>
        <v>0</v>
      </c>
      <c r="AA8">
        <f>'Corrected energy balance step 2'!AB13</f>
        <v>0</v>
      </c>
      <c r="AB8">
        <f>'Corrected energy balance step 2'!AC13</f>
        <v>0</v>
      </c>
      <c r="AC8">
        <f>'Corrected energy balance step 2'!AD13</f>
        <v>0</v>
      </c>
      <c r="AD8">
        <f>'Corrected energy balance step 2'!AE13</f>
        <v>0</v>
      </c>
      <c r="AE8">
        <f>'Corrected energy balance step 2'!AF13</f>
        <v>0</v>
      </c>
      <c r="AF8">
        <f>'Corrected energy balance step 2'!AG13</f>
        <v>0</v>
      </c>
      <c r="AG8">
        <f>'Corrected energy balance step 2'!AH13</f>
        <v>0</v>
      </c>
      <c r="AH8">
        <f>'Corrected energy balance step 2'!AI13</f>
        <v>0</v>
      </c>
      <c r="AI8">
        <f>'Corrected energy balance step 2'!AJ13</f>
        <v>0</v>
      </c>
      <c r="AJ8">
        <f>'Corrected energy balance step 2'!AK13</f>
        <v>0</v>
      </c>
      <c r="AK8">
        <f>'Corrected energy balance step 2'!AL13</f>
        <v>0</v>
      </c>
      <c r="AL8">
        <f>'Corrected energy balance step 2'!AM13</f>
        <v>0</v>
      </c>
      <c r="AM8">
        <f>'Corrected energy balance step 2'!AN13</f>
        <v>0</v>
      </c>
      <c r="AN8">
        <f>'Corrected energy balance step 2'!AO13</f>
        <v>0</v>
      </c>
      <c r="AO8">
        <f>'Corrected energy balance step 2'!AP13</f>
        <v>0</v>
      </c>
      <c r="AP8">
        <f>'Corrected energy balance step 2'!AQ13</f>
        <v>0</v>
      </c>
      <c r="AQ8">
        <f>'Corrected energy balance step 2'!AR13</f>
        <v>0</v>
      </c>
      <c r="AR8">
        <f>'Corrected energy balance step 2'!AS13</f>
        <v>0</v>
      </c>
      <c r="AS8">
        <f>'Corrected energy balance step 2'!AT13</f>
        <v>0</v>
      </c>
      <c r="AT8">
        <f>'Corrected energy balance step 2'!AU13</f>
        <v>0</v>
      </c>
      <c r="AU8">
        <f>'Corrected energy balance step 2'!AV13</f>
        <v>0</v>
      </c>
      <c r="AV8">
        <f>'Corrected energy balance step 2'!AW13</f>
        <v>0</v>
      </c>
      <c r="AW8">
        <f>'Corrected energy balance step 2'!AX13</f>
        <v>0</v>
      </c>
      <c r="AX8">
        <f>'Corrected energy balance step 2'!AY13</f>
        <v>0</v>
      </c>
      <c r="AY8">
        <f>'Corrected energy balance step 2'!AZ13</f>
        <v>0</v>
      </c>
      <c r="AZ8">
        <f>'Corrected energy balance step 2'!BA13</f>
        <v>0</v>
      </c>
      <c r="BA8">
        <f>'Corrected energy balance step 2'!BB13</f>
        <v>0</v>
      </c>
      <c r="BB8">
        <f>'Corrected energy balance step 2'!BC13</f>
        <v>0</v>
      </c>
      <c r="BC8">
        <f>'Corrected energy balance step 2'!BD13</f>
        <v>0</v>
      </c>
      <c r="BD8">
        <f>'Corrected energy balance step 2'!BE13</f>
        <v>0</v>
      </c>
      <c r="BE8">
        <f>'Corrected energy balance step 2'!BF13</f>
        <v>0</v>
      </c>
      <c r="BF8">
        <f>'Corrected energy balance step 2'!BG13</f>
        <v>0</v>
      </c>
      <c r="BG8">
        <f>'Corrected energy balance step 2'!BH13</f>
        <v>0</v>
      </c>
      <c r="BH8">
        <f>'Corrected energy balance step 2'!BI13</f>
        <v>0</v>
      </c>
      <c r="BI8">
        <f>'Corrected energy balance step 2'!BJ13</f>
        <v>0</v>
      </c>
      <c r="BJ8">
        <f>'Corrected energy balance step 2'!BK13</f>
        <v>0</v>
      </c>
      <c r="BK8">
        <f>'Corrected energy balance step 2'!BL13</f>
        <v>0</v>
      </c>
      <c r="BL8">
        <f>'Corrected energy balance step 2'!BM13</f>
        <v>0</v>
      </c>
      <c r="BM8">
        <f>'Corrected energy balance step 2'!BN13</f>
        <v>0</v>
      </c>
      <c r="BN8">
        <f>'Corrected energy balance step 2'!BO13</f>
        <v>0</v>
      </c>
    </row>
    <row r="9" spans="1:66" x14ac:dyDescent="0.2">
      <c r="A9" t="s">
        <v>56</v>
      </c>
      <c r="B9">
        <f>'Corrected energy balance step 2'!C14</f>
        <v>0</v>
      </c>
      <c r="C9">
        <f>'Corrected energy balance step 2'!D14</f>
        <v>0</v>
      </c>
      <c r="D9">
        <f>'Corrected energy balance step 2'!E14</f>
        <v>0</v>
      </c>
      <c r="E9">
        <f>'Corrected energy balance step 2'!F14</f>
        <v>0</v>
      </c>
      <c r="F9">
        <f>'Corrected energy balance step 2'!G14</f>
        <v>0</v>
      </c>
      <c r="G9">
        <f>'Corrected energy balance step 2'!H14</f>
        <v>0</v>
      </c>
      <c r="H9">
        <f>'Corrected energy balance step 2'!I14</f>
        <v>0</v>
      </c>
      <c r="I9">
        <f>'Corrected energy balance step 2'!J14</f>
        <v>0</v>
      </c>
      <c r="J9">
        <f>'Corrected energy balance step 2'!K14</f>
        <v>0</v>
      </c>
      <c r="K9">
        <f>'Corrected energy balance step 2'!L14</f>
        <v>0</v>
      </c>
      <c r="L9">
        <f>'Corrected energy balance step 2'!M14</f>
        <v>0</v>
      </c>
      <c r="M9">
        <f>'Corrected energy balance step 2'!N14</f>
        <v>0</v>
      </c>
      <c r="N9">
        <f>'Corrected energy balance step 2'!O14</f>
        <v>0</v>
      </c>
      <c r="O9">
        <f>'Corrected energy balance step 2'!P14</f>
        <v>0</v>
      </c>
      <c r="P9">
        <f>'Corrected energy balance step 2'!Q14</f>
        <v>0</v>
      </c>
      <c r="Q9">
        <f>'Corrected energy balance step 2'!R14</f>
        <v>0</v>
      </c>
      <c r="R9">
        <f>'Corrected energy balance step 2'!S14</f>
        <v>0</v>
      </c>
      <c r="S9">
        <f>'Corrected energy balance step 2'!T14</f>
        <v>0</v>
      </c>
      <c r="T9">
        <f>'Corrected energy balance step 2'!U14</f>
        <v>0</v>
      </c>
      <c r="U9">
        <f>'Corrected energy balance step 2'!V14</f>
        <v>0</v>
      </c>
      <c r="V9">
        <f>'Corrected energy balance step 2'!W14</f>
        <v>0</v>
      </c>
      <c r="W9">
        <f>'Corrected energy balance step 2'!X14</f>
        <v>0</v>
      </c>
      <c r="X9">
        <f>'Corrected energy balance step 2'!Y14</f>
        <v>0</v>
      </c>
      <c r="Y9">
        <f>'Corrected energy balance step 2'!Z14</f>
        <v>0</v>
      </c>
      <c r="Z9">
        <f>'Corrected energy balance step 2'!AA14</f>
        <v>0</v>
      </c>
      <c r="AA9">
        <f>'Corrected energy balance step 2'!AB14</f>
        <v>0</v>
      </c>
      <c r="AB9">
        <f>'Corrected energy balance step 2'!AC14</f>
        <v>0</v>
      </c>
      <c r="AC9">
        <f>'Corrected energy balance step 2'!AD14</f>
        <v>0</v>
      </c>
      <c r="AD9">
        <f>'Corrected energy balance step 2'!AE14</f>
        <v>0</v>
      </c>
      <c r="AE9">
        <f>'Corrected energy balance step 2'!AF14</f>
        <v>0</v>
      </c>
      <c r="AF9">
        <f>'Corrected energy balance step 2'!AG14</f>
        <v>0</v>
      </c>
      <c r="AG9">
        <f>'Corrected energy balance step 2'!AH14</f>
        <v>0</v>
      </c>
      <c r="AH9">
        <f>'Corrected energy balance step 2'!AI14</f>
        <v>0</v>
      </c>
      <c r="AI9">
        <f>'Corrected energy balance step 2'!AJ14</f>
        <v>0</v>
      </c>
      <c r="AJ9">
        <f>'Corrected energy balance step 2'!AK14</f>
        <v>0</v>
      </c>
      <c r="AK9">
        <f>'Corrected energy balance step 2'!AL14</f>
        <v>0</v>
      </c>
      <c r="AL9">
        <f>'Corrected energy balance step 2'!AM14</f>
        <v>0</v>
      </c>
      <c r="AM9">
        <f>'Corrected energy balance step 2'!AN14</f>
        <v>0</v>
      </c>
      <c r="AN9">
        <f>'Corrected energy balance step 2'!AO14</f>
        <v>0</v>
      </c>
      <c r="AO9">
        <f>'Corrected energy balance step 2'!AP14</f>
        <v>0</v>
      </c>
      <c r="AP9">
        <f>'Corrected energy balance step 2'!AQ14</f>
        <v>0</v>
      </c>
      <c r="AQ9">
        <f>'Corrected energy balance step 2'!AR14</f>
        <v>0</v>
      </c>
      <c r="AR9">
        <f>'Corrected energy balance step 2'!AS14</f>
        <v>0</v>
      </c>
      <c r="AS9">
        <f>'Corrected energy balance step 2'!AT14</f>
        <v>0</v>
      </c>
      <c r="AT9">
        <f>'Corrected energy balance step 2'!AU14</f>
        <v>0</v>
      </c>
      <c r="AU9">
        <f>'Corrected energy balance step 2'!AV14</f>
        <v>0</v>
      </c>
      <c r="AV9">
        <f>'Corrected energy balance step 2'!AW14</f>
        <v>0</v>
      </c>
      <c r="AW9">
        <f>'Corrected energy balance step 2'!AX14</f>
        <v>0</v>
      </c>
      <c r="AX9">
        <f>'Corrected energy balance step 2'!AY14</f>
        <v>0</v>
      </c>
      <c r="AY9">
        <f>'Corrected energy balance step 2'!AZ14</f>
        <v>0</v>
      </c>
      <c r="AZ9">
        <f>'Corrected energy balance step 2'!BA14</f>
        <v>0</v>
      </c>
      <c r="BA9">
        <f>'Corrected energy balance step 2'!BB14</f>
        <v>0</v>
      </c>
      <c r="BB9">
        <f>'Corrected energy balance step 2'!BC14</f>
        <v>0</v>
      </c>
      <c r="BC9">
        <f>'Corrected energy balance step 2'!BD14</f>
        <v>0</v>
      </c>
      <c r="BD9">
        <f>'Corrected energy balance step 2'!BE14</f>
        <v>0</v>
      </c>
      <c r="BE9">
        <f>'Corrected energy balance step 2'!BF14</f>
        <v>0</v>
      </c>
      <c r="BF9">
        <f>'Corrected energy balance step 2'!BG14</f>
        <v>0</v>
      </c>
      <c r="BG9">
        <f>'Corrected energy balance step 2'!BH14</f>
        <v>0</v>
      </c>
      <c r="BH9">
        <f>'Corrected energy balance step 2'!BI14</f>
        <v>0</v>
      </c>
      <c r="BI9">
        <f>'Corrected energy balance step 2'!BJ14</f>
        <v>0</v>
      </c>
      <c r="BJ9">
        <f>'Corrected energy balance step 2'!BK14</f>
        <v>0</v>
      </c>
      <c r="BK9">
        <f>'Corrected energy balance step 2'!BL14</f>
        <v>0</v>
      </c>
      <c r="BL9">
        <f>'Corrected energy balance step 2'!BM14</f>
        <v>0</v>
      </c>
      <c r="BM9">
        <f>'Corrected energy balance step 2'!BN14</f>
        <v>0</v>
      </c>
      <c r="BN9">
        <f>'Corrected energy balance step 2'!BO14</f>
        <v>0</v>
      </c>
    </row>
    <row r="10" spans="1:66" x14ac:dyDescent="0.2">
      <c r="A10" t="s">
        <v>57</v>
      </c>
      <c r="B10" t="e">
        <f>'Corrected energy balance step 2'!C15</f>
        <v>#DIV/0!</v>
      </c>
      <c r="C10" t="e">
        <f>'Corrected energy balance step 2'!D15</f>
        <v>#DIV/0!</v>
      </c>
      <c r="D10" t="e">
        <f>'Corrected energy balance step 2'!E15</f>
        <v>#DIV/0!</v>
      </c>
      <c r="E10" t="e">
        <f>'Corrected energy balance step 2'!F15</f>
        <v>#DIV/0!</v>
      </c>
      <c r="F10" t="e">
        <f>'Corrected energy balance step 2'!G15</f>
        <v>#DIV/0!</v>
      </c>
      <c r="G10" t="e">
        <f>'Corrected energy balance step 2'!H15</f>
        <v>#DIV/0!</v>
      </c>
      <c r="H10" t="e">
        <f>'Corrected energy balance step 2'!I15</f>
        <v>#DIV/0!</v>
      </c>
      <c r="I10" t="e">
        <f>'Corrected energy balance step 2'!J15</f>
        <v>#DIV/0!</v>
      </c>
      <c r="J10" t="e">
        <f>'Corrected energy balance step 2'!K15</f>
        <v>#DIV/0!</v>
      </c>
      <c r="K10" t="e">
        <f>'Corrected energy balance step 2'!L15</f>
        <v>#DIV/0!</v>
      </c>
      <c r="L10" t="e">
        <f>'Corrected energy balance step 2'!M15</f>
        <v>#DIV/0!</v>
      </c>
      <c r="M10" t="e">
        <f>'Corrected energy balance step 2'!N15</f>
        <v>#DIV/0!</v>
      </c>
      <c r="N10">
        <f>'Corrected energy balance step 2'!O15</f>
        <v>0</v>
      </c>
      <c r="O10">
        <f>'Corrected energy balance step 2'!P15</f>
        <v>0</v>
      </c>
      <c r="P10">
        <f>'Corrected energy balance step 2'!Q15</f>
        <v>0</v>
      </c>
      <c r="Q10">
        <f>'Corrected energy balance step 2'!R15</f>
        <v>0</v>
      </c>
      <c r="R10" t="e">
        <f>'Corrected energy balance step 2'!S15</f>
        <v>#DIV/0!</v>
      </c>
      <c r="S10" t="e">
        <f>'Corrected energy balance step 2'!T15</f>
        <v>#DIV/0!</v>
      </c>
      <c r="T10" t="e">
        <f>'Corrected energy balance step 2'!U15</f>
        <v>#DIV/0!</v>
      </c>
      <c r="U10" t="e">
        <f>'Corrected energy balance step 2'!V15</f>
        <v>#DIV/0!</v>
      </c>
      <c r="V10" t="e">
        <f>'Corrected energy balance step 2'!W15</f>
        <v>#DIV/0!</v>
      </c>
      <c r="W10" t="e">
        <f>'Corrected energy balance step 2'!X15</f>
        <v>#DIV/0!</v>
      </c>
      <c r="X10" t="e">
        <f>'Corrected energy balance step 2'!Y15</f>
        <v>#DIV/0!</v>
      </c>
      <c r="Y10" t="e">
        <f>'Corrected energy balance step 2'!Z15</f>
        <v>#DIV/0!</v>
      </c>
      <c r="Z10" t="e">
        <f>'Corrected energy balance step 2'!AA15</f>
        <v>#DIV/0!</v>
      </c>
      <c r="AA10" t="e">
        <f>'Corrected energy balance step 2'!AB15</f>
        <v>#DIV/0!</v>
      </c>
      <c r="AB10" t="e">
        <f>'Corrected energy balance step 2'!AC15</f>
        <v>#DIV/0!</v>
      </c>
      <c r="AC10" t="e">
        <f>'Corrected energy balance step 2'!AD15</f>
        <v>#DIV/0!</v>
      </c>
      <c r="AD10" t="e">
        <f>'Corrected energy balance step 2'!AE15</f>
        <v>#DIV/0!</v>
      </c>
      <c r="AE10" t="e">
        <f>'Corrected energy balance step 2'!AF15</f>
        <v>#DIV/0!</v>
      </c>
      <c r="AF10" t="e">
        <f>'Corrected energy balance step 2'!AG15</f>
        <v>#DIV/0!</v>
      </c>
      <c r="AG10" t="e">
        <f>'Corrected energy balance step 2'!AH15</f>
        <v>#DIV/0!</v>
      </c>
      <c r="AH10" t="e">
        <f>'Corrected energy balance step 2'!AI15</f>
        <v>#DIV/0!</v>
      </c>
      <c r="AI10" t="e">
        <f>'Corrected energy balance step 2'!AJ15</f>
        <v>#DIV/0!</v>
      </c>
      <c r="AJ10" t="e">
        <f>'Corrected energy balance step 2'!AK15</f>
        <v>#DIV/0!</v>
      </c>
      <c r="AK10" t="e">
        <f>'Corrected energy balance step 2'!AL15</f>
        <v>#DIV/0!</v>
      </c>
      <c r="AL10" t="e">
        <f>'Corrected energy balance step 2'!AM15</f>
        <v>#DIV/0!</v>
      </c>
      <c r="AM10" t="e">
        <f>'Corrected energy balance step 2'!AN15</f>
        <v>#DIV/0!</v>
      </c>
      <c r="AN10" t="e">
        <f>'Corrected energy balance step 2'!AO15</f>
        <v>#DIV/0!</v>
      </c>
      <c r="AO10" t="e">
        <f>'Corrected energy balance step 2'!AP15</f>
        <v>#DIV/0!</v>
      </c>
      <c r="AP10" t="e">
        <f>'Corrected energy balance step 2'!AQ15</f>
        <v>#DIV/0!</v>
      </c>
      <c r="AQ10" t="e">
        <f>'Corrected energy balance step 2'!AR15</f>
        <v>#DIV/0!</v>
      </c>
      <c r="AR10" t="e">
        <f>'Corrected energy balance step 2'!AS15</f>
        <v>#DIV/0!</v>
      </c>
      <c r="AS10" t="e">
        <f>'Corrected energy balance step 2'!AT15</f>
        <v>#DIV/0!</v>
      </c>
      <c r="AT10" t="e">
        <f>'Corrected energy balance step 2'!AU15</f>
        <v>#DIV/0!</v>
      </c>
      <c r="AU10" t="e">
        <f>'Corrected energy balance step 2'!AV15</f>
        <v>#DIV/0!</v>
      </c>
      <c r="AV10">
        <f>'Corrected energy balance step 2'!AW15</f>
        <v>0</v>
      </c>
      <c r="AW10">
        <f>'Corrected energy balance step 2'!AX15</f>
        <v>0</v>
      </c>
      <c r="AX10">
        <f>'Corrected energy balance step 2'!AY15</f>
        <v>0</v>
      </c>
      <c r="AY10" t="e">
        <f>'Corrected energy balance step 2'!AZ15</f>
        <v>#DIV/0!</v>
      </c>
      <c r="AZ10">
        <f>'Corrected energy balance step 2'!BA15</f>
        <v>0</v>
      </c>
      <c r="BA10">
        <f>'Corrected energy balance step 2'!BB15</f>
        <v>0</v>
      </c>
      <c r="BB10">
        <f>'Corrected energy balance step 2'!BC15</f>
        <v>0</v>
      </c>
      <c r="BC10" t="e">
        <f>'Corrected energy balance step 2'!BD15</f>
        <v>#DIV/0!</v>
      </c>
      <c r="BD10">
        <f>'Corrected energy balance step 2'!BE15</f>
        <v>0</v>
      </c>
      <c r="BE10" t="e">
        <f>'Corrected energy balance step 2'!BF15</f>
        <v>#DIV/0!</v>
      </c>
      <c r="BF10">
        <f>'Corrected energy balance step 2'!BG15</f>
        <v>0</v>
      </c>
      <c r="BG10" t="e">
        <f>'Corrected energy balance step 2'!BH15</f>
        <v>#DIV/0!</v>
      </c>
      <c r="BH10">
        <f>'Corrected energy balance step 2'!BI15</f>
        <v>0</v>
      </c>
      <c r="BI10">
        <f>'Corrected energy balance step 2'!BJ15</f>
        <v>0</v>
      </c>
      <c r="BJ10">
        <f>'Corrected energy balance step 2'!BK15</f>
        <v>0</v>
      </c>
      <c r="BK10">
        <f>'Corrected energy balance step 2'!BL15</f>
        <v>0</v>
      </c>
      <c r="BL10">
        <f>'Corrected energy balance step 2'!BM15</f>
        <v>0</v>
      </c>
      <c r="BM10" t="e">
        <f>'Corrected energy balance step 2'!BN15</f>
        <v>#DIV/0!</v>
      </c>
      <c r="BN10">
        <f>'Corrected energy balance step 2'!BO15</f>
        <v>0</v>
      </c>
    </row>
    <row r="11" spans="1:66" x14ac:dyDescent="0.2">
      <c r="A11" t="s">
        <v>58</v>
      </c>
      <c r="B11">
        <f>'Corrected energy balance step 2'!C16</f>
        <v>0</v>
      </c>
      <c r="C11">
        <f>'Corrected energy balance step 2'!D16</f>
        <v>0</v>
      </c>
      <c r="D11">
        <f>'Corrected energy balance step 2'!E16</f>
        <v>0</v>
      </c>
      <c r="E11">
        <f>'Corrected energy balance step 2'!F16</f>
        <v>0</v>
      </c>
      <c r="F11">
        <f>'Corrected energy balance step 2'!G16</f>
        <v>0</v>
      </c>
      <c r="G11">
        <f>'Corrected energy balance step 2'!H16</f>
        <v>0</v>
      </c>
      <c r="H11">
        <f>'Corrected energy balance step 2'!I16</f>
        <v>0</v>
      </c>
      <c r="I11">
        <f>'Corrected energy balance step 2'!J16</f>
        <v>0</v>
      </c>
      <c r="J11">
        <f>'Corrected energy balance step 2'!K16</f>
        <v>0</v>
      </c>
      <c r="K11">
        <f>'Corrected energy balance step 2'!L16</f>
        <v>0</v>
      </c>
      <c r="L11">
        <f>'Corrected energy balance step 2'!M16</f>
        <v>0</v>
      </c>
      <c r="M11">
        <f>'Corrected energy balance step 2'!N16</f>
        <v>0</v>
      </c>
      <c r="N11">
        <f>'Corrected energy balance step 2'!O16</f>
        <v>0</v>
      </c>
      <c r="O11">
        <f>'Corrected energy balance step 2'!P16</f>
        <v>0</v>
      </c>
      <c r="P11">
        <f>'Corrected energy balance step 2'!Q16</f>
        <v>0</v>
      </c>
      <c r="Q11">
        <f>'Corrected energy balance step 2'!R16</f>
        <v>0</v>
      </c>
      <c r="R11">
        <f>'Corrected energy balance step 2'!S16</f>
        <v>0</v>
      </c>
      <c r="S11">
        <f>'Corrected energy balance step 2'!T16</f>
        <v>0</v>
      </c>
      <c r="T11">
        <f>'Corrected energy balance step 2'!U16</f>
        <v>0</v>
      </c>
      <c r="U11">
        <f>'Corrected energy balance step 2'!V16</f>
        <v>0</v>
      </c>
      <c r="V11">
        <f>'Corrected energy balance step 2'!W16</f>
        <v>0</v>
      </c>
      <c r="W11">
        <f>'Corrected energy balance step 2'!X16</f>
        <v>0</v>
      </c>
      <c r="X11">
        <f>'Corrected energy balance step 2'!Y16</f>
        <v>0</v>
      </c>
      <c r="Y11">
        <f>'Corrected energy balance step 2'!Z16</f>
        <v>0</v>
      </c>
      <c r="Z11">
        <f>'Corrected energy balance step 2'!AA16</f>
        <v>0</v>
      </c>
      <c r="AA11">
        <f>'Corrected energy balance step 2'!AB16</f>
        <v>0</v>
      </c>
      <c r="AB11">
        <f>'Corrected energy balance step 2'!AC16</f>
        <v>0</v>
      </c>
      <c r="AC11">
        <f>'Corrected energy balance step 2'!AD16</f>
        <v>0</v>
      </c>
      <c r="AD11">
        <f>'Corrected energy balance step 2'!AE16</f>
        <v>0</v>
      </c>
      <c r="AE11">
        <f>'Corrected energy balance step 2'!AF16</f>
        <v>0</v>
      </c>
      <c r="AF11">
        <f>'Corrected energy balance step 2'!AG16</f>
        <v>0</v>
      </c>
      <c r="AG11">
        <f>'Corrected energy balance step 2'!AH16</f>
        <v>0</v>
      </c>
      <c r="AH11">
        <f>'Corrected energy balance step 2'!AI16</f>
        <v>0</v>
      </c>
      <c r="AI11">
        <f>'Corrected energy balance step 2'!AJ16</f>
        <v>0</v>
      </c>
      <c r="AJ11">
        <f>'Corrected energy balance step 2'!AK16</f>
        <v>0</v>
      </c>
      <c r="AK11">
        <f>'Corrected energy balance step 2'!AL16</f>
        <v>0</v>
      </c>
      <c r="AL11">
        <f>'Corrected energy balance step 2'!AM16</f>
        <v>0</v>
      </c>
      <c r="AM11">
        <f>'Corrected energy balance step 2'!AN16</f>
        <v>0</v>
      </c>
      <c r="AN11">
        <f>'Corrected energy balance step 2'!AO16</f>
        <v>0</v>
      </c>
      <c r="AO11">
        <f>'Corrected energy balance step 2'!AP16</f>
        <v>0</v>
      </c>
      <c r="AP11">
        <f>'Corrected energy balance step 2'!AQ16</f>
        <v>0</v>
      </c>
      <c r="AQ11">
        <f>'Corrected energy balance step 2'!AR16</f>
        <v>0</v>
      </c>
      <c r="AR11">
        <f>'Corrected energy balance step 2'!AS16</f>
        <v>0</v>
      </c>
      <c r="AS11">
        <f>'Corrected energy balance step 2'!AT16</f>
        <v>0</v>
      </c>
      <c r="AT11">
        <f>'Corrected energy balance step 2'!AU16</f>
        <v>0</v>
      </c>
      <c r="AU11">
        <f>'Corrected energy balance step 2'!AV16</f>
        <v>0</v>
      </c>
      <c r="AV11">
        <f>'Corrected energy balance step 2'!AW16</f>
        <v>0</v>
      </c>
      <c r="AW11">
        <f>'Corrected energy balance step 2'!AX16</f>
        <v>0</v>
      </c>
      <c r="AX11">
        <f>'Corrected energy balance step 2'!AY16</f>
        <v>0</v>
      </c>
      <c r="AY11">
        <f>'Corrected energy balance step 2'!AZ16</f>
        <v>0</v>
      </c>
      <c r="AZ11">
        <f>'Corrected energy balance step 2'!BA16</f>
        <v>0</v>
      </c>
      <c r="BA11">
        <f>'Corrected energy balance step 2'!BB16</f>
        <v>0</v>
      </c>
      <c r="BB11">
        <f>'Corrected energy balance step 2'!BC16</f>
        <v>0</v>
      </c>
      <c r="BC11">
        <f>'Corrected energy balance step 2'!BD16</f>
        <v>0</v>
      </c>
      <c r="BD11">
        <f>'Corrected energy balance step 2'!BE16</f>
        <v>0</v>
      </c>
      <c r="BE11">
        <f>'Corrected energy balance step 2'!BF16</f>
        <v>0</v>
      </c>
      <c r="BF11">
        <f>'Corrected energy balance step 2'!BG16</f>
        <v>0</v>
      </c>
      <c r="BG11">
        <f>'Corrected energy balance step 2'!BH16</f>
        <v>0</v>
      </c>
      <c r="BH11">
        <f>'Corrected energy balance step 2'!BI16</f>
        <v>0</v>
      </c>
      <c r="BI11">
        <f>'Corrected energy balance step 2'!BJ16</f>
        <v>0</v>
      </c>
      <c r="BJ11">
        <f>'Corrected energy balance step 2'!BK16</f>
        <v>0</v>
      </c>
      <c r="BK11">
        <f>'Corrected energy balance step 2'!BL16</f>
        <v>0</v>
      </c>
      <c r="BL11">
        <f>'Corrected energy balance step 2'!BM16</f>
        <v>0</v>
      </c>
      <c r="BM11">
        <f>'Corrected energy balance step 2'!BN16</f>
        <v>0</v>
      </c>
      <c r="BN11">
        <f>'Corrected energy balance step 2'!BO16</f>
        <v>0</v>
      </c>
    </row>
    <row r="12" spans="1:66" x14ac:dyDescent="0.2">
      <c r="A12" t="s">
        <v>59</v>
      </c>
      <c r="B12">
        <f>'Corrected energy balance step 2'!C17</f>
        <v>0</v>
      </c>
      <c r="C12">
        <f>'Corrected energy balance step 2'!D17</f>
        <v>0</v>
      </c>
      <c r="D12">
        <f>'Corrected energy balance step 2'!E17</f>
        <v>0</v>
      </c>
      <c r="E12">
        <f>'Corrected energy balance step 2'!F17</f>
        <v>0</v>
      </c>
      <c r="F12">
        <f>'Corrected energy balance step 2'!G17</f>
        <v>0</v>
      </c>
      <c r="G12">
        <f>'Corrected energy balance step 2'!H17</f>
        <v>0</v>
      </c>
      <c r="H12">
        <f>'Corrected energy balance step 2'!I17</f>
        <v>0</v>
      </c>
      <c r="I12">
        <f>'Corrected energy balance step 2'!J17</f>
        <v>0</v>
      </c>
      <c r="J12">
        <f>'Corrected energy balance step 2'!K17</f>
        <v>0</v>
      </c>
      <c r="K12">
        <f>'Corrected energy balance step 2'!L17</f>
        <v>0</v>
      </c>
      <c r="L12">
        <f>'Corrected energy balance step 2'!M17</f>
        <v>0</v>
      </c>
      <c r="M12">
        <f>'Corrected energy balance step 2'!N17</f>
        <v>0</v>
      </c>
      <c r="N12">
        <f>'Corrected energy balance step 2'!O17</f>
        <v>0</v>
      </c>
      <c r="O12">
        <f>'Corrected energy balance step 2'!P17</f>
        <v>0</v>
      </c>
      <c r="P12">
        <f>'Corrected energy balance step 2'!Q17</f>
        <v>0</v>
      </c>
      <c r="Q12">
        <f>'Corrected energy balance step 2'!R17</f>
        <v>0</v>
      </c>
      <c r="R12">
        <f>'Corrected energy balance step 2'!S17</f>
        <v>0</v>
      </c>
      <c r="S12">
        <f>'Corrected energy balance step 2'!T17</f>
        <v>0</v>
      </c>
      <c r="T12">
        <f>'Corrected energy balance step 2'!U17</f>
        <v>0</v>
      </c>
      <c r="U12">
        <f>'Corrected energy balance step 2'!V17</f>
        <v>0</v>
      </c>
      <c r="V12">
        <f>'Corrected energy balance step 2'!W17</f>
        <v>0</v>
      </c>
      <c r="W12">
        <f>'Corrected energy balance step 2'!X17</f>
        <v>0</v>
      </c>
      <c r="X12">
        <f>'Corrected energy balance step 2'!Y17</f>
        <v>0</v>
      </c>
      <c r="Y12">
        <f>'Corrected energy balance step 2'!Z17</f>
        <v>0</v>
      </c>
      <c r="Z12">
        <f>'Corrected energy balance step 2'!AA17</f>
        <v>0</v>
      </c>
      <c r="AA12">
        <f>'Corrected energy balance step 2'!AB17</f>
        <v>0</v>
      </c>
      <c r="AB12">
        <f>'Corrected energy balance step 2'!AC17</f>
        <v>0</v>
      </c>
      <c r="AC12">
        <f>'Corrected energy balance step 2'!AD17</f>
        <v>0</v>
      </c>
      <c r="AD12">
        <f>'Corrected energy balance step 2'!AE17</f>
        <v>0</v>
      </c>
      <c r="AE12">
        <f>'Corrected energy balance step 2'!AF17</f>
        <v>0</v>
      </c>
      <c r="AF12">
        <f>'Corrected energy balance step 2'!AG17</f>
        <v>0</v>
      </c>
      <c r="AG12">
        <f>'Corrected energy balance step 2'!AH17</f>
        <v>0</v>
      </c>
      <c r="AH12">
        <f>'Corrected energy balance step 2'!AI17</f>
        <v>0</v>
      </c>
      <c r="AI12">
        <f>'Corrected energy balance step 2'!AJ17</f>
        <v>0</v>
      </c>
      <c r="AJ12">
        <f>'Corrected energy balance step 2'!AK17</f>
        <v>0</v>
      </c>
      <c r="AK12">
        <f>'Corrected energy balance step 2'!AL17</f>
        <v>0</v>
      </c>
      <c r="AL12">
        <f>'Corrected energy balance step 2'!AM17</f>
        <v>0</v>
      </c>
      <c r="AM12">
        <f>'Corrected energy balance step 2'!AN17</f>
        <v>0</v>
      </c>
      <c r="AN12">
        <f>'Corrected energy balance step 2'!AO17</f>
        <v>0</v>
      </c>
      <c r="AO12">
        <f>'Corrected energy balance step 2'!AP17</f>
        <v>0</v>
      </c>
      <c r="AP12">
        <f>'Corrected energy balance step 2'!AQ17</f>
        <v>0</v>
      </c>
      <c r="AQ12">
        <f>'Corrected energy balance step 2'!AR17</f>
        <v>0</v>
      </c>
      <c r="AR12">
        <f>'Corrected energy balance step 2'!AS17</f>
        <v>0</v>
      </c>
      <c r="AS12">
        <f>'Corrected energy balance step 2'!AT17</f>
        <v>0</v>
      </c>
      <c r="AT12">
        <f>'Corrected energy balance step 2'!AU17</f>
        <v>0</v>
      </c>
      <c r="AU12">
        <f>'Corrected energy balance step 2'!AV17</f>
        <v>0</v>
      </c>
      <c r="AV12">
        <f>'Corrected energy balance step 2'!AW17</f>
        <v>0</v>
      </c>
      <c r="AW12">
        <f>'Corrected energy balance step 2'!AX17</f>
        <v>0</v>
      </c>
      <c r="AX12">
        <f>'Corrected energy balance step 2'!AY17</f>
        <v>0</v>
      </c>
      <c r="AY12">
        <f>'Corrected energy balance step 2'!AZ17</f>
        <v>0</v>
      </c>
      <c r="AZ12">
        <f>'Corrected energy balance step 2'!BA17</f>
        <v>0</v>
      </c>
      <c r="BA12">
        <f>'Corrected energy balance step 2'!BB17</f>
        <v>0</v>
      </c>
      <c r="BB12">
        <f>'Corrected energy balance step 2'!BC17</f>
        <v>0</v>
      </c>
      <c r="BC12">
        <f>'Corrected energy balance step 2'!BD17</f>
        <v>0</v>
      </c>
      <c r="BD12">
        <f>'Corrected energy balance step 2'!BE17</f>
        <v>0</v>
      </c>
      <c r="BE12">
        <f>'Corrected energy balance step 2'!BF17</f>
        <v>0</v>
      </c>
      <c r="BF12">
        <f>'Corrected energy balance step 2'!BG17</f>
        <v>0</v>
      </c>
      <c r="BG12">
        <f>'Corrected energy balance step 2'!BH17</f>
        <v>0</v>
      </c>
      <c r="BH12">
        <f>'Corrected energy balance step 2'!BI17</f>
        <v>0</v>
      </c>
      <c r="BI12">
        <f>'Corrected energy balance step 2'!BJ17</f>
        <v>0</v>
      </c>
      <c r="BJ12">
        <f>'Corrected energy balance step 2'!BK17</f>
        <v>0</v>
      </c>
      <c r="BK12">
        <f>'Corrected energy balance step 2'!BL17</f>
        <v>0</v>
      </c>
      <c r="BL12">
        <f>'Corrected energy balance step 2'!BM17</f>
        <v>0</v>
      </c>
      <c r="BM12">
        <f>'Corrected energy balance step 2'!BN17</f>
        <v>0</v>
      </c>
      <c r="BN12">
        <f>'Corrected energy balance step 2'!BO17</f>
        <v>0</v>
      </c>
    </row>
    <row r="13" spans="1:66" x14ac:dyDescent="0.2">
      <c r="A13" t="s">
        <v>60</v>
      </c>
      <c r="B13" t="e">
        <f>'Corrected energy balance step 2'!C18</f>
        <v>#DIV/0!</v>
      </c>
      <c r="C13" t="e">
        <f>'Corrected energy balance step 2'!D18</f>
        <v>#DIV/0!</v>
      </c>
      <c r="D13" t="e">
        <f>'Corrected energy balance step 2'!E18</f>
        <v>#DIV/0!</v>
      </c>
      <c r="E13" t="e">
        <f>'Corrected energy balance step 2'!F18</f>
        <v>#DIV/0!</v>
      </c>
      <c r="F13" t="e">
        <f>'Corrected energy balance step 2'!G18</f>
        <v>#DIV/0!</v>
      </c>
      <c r="G13" t="e">
        <f>'Corrected energy balance step 2'!H18</f>
        <v>#DIV/0!</v>
      </c>
      <c r="H13" t="e">
        <f>'Corrected energy balance step 2'!I18</f>
        <v>#DIV/0!</v>
      </c>
      <c r="I13" t="e">
        <f>'Corrected energy balance step 2'!J18</f>
        <v>#DIV/0!</v>
      </c>
      <c r="J13" t="e">
        <f>'Corrected energy balance step 2'!K18</f>
        <v>#DIV/0!</v>
      </c>
      <c r="K13" t="e">
        <f>'Corrected energy balance step 2'!L18</f>
        <v>#DIV/0!</v>
      </c>
      <c r="L13" t="e">
        <f>'Corrected energy balance step 2'!M18</f>
        <v>#DIV/0!</v>
      </c>
      <c r="M13" t="e">
        <f>'Corrected energy balance step 2'!N18</f>
        <v>#DIV/0!</v>
      </c>
      <c r="N13">
        <f>'Corrected energy balance step 2'!O18</f>
        <v>0</v>
      </c>
      <c r="O13">
        <f>'Corrected energy balance step 2'!P18</f>
        <v>0</v>
      </c>
      <c r="P13">
        <f>'Corrected energy balance step 2'!Q18</f>
        <v>0</v>
      </c>
      <c r="Q13">
        <f>'Corrected energy balance step 2'!R18</f>
        <v>0</v>
      </c>
      <c r="R13" t="e">
        <f>'Corrected energy balance step 2'!S18</f>
        <v>#DIV/0!</v>
      </c>
      <c r="S13" t="e">
        <f>'Corrected energy balance step 2'!T18</f>
        <v>#DIV/0!</v>
      </c>
      <c r="T13" t="e">
        <f>'Corrected energy balance step 2'!U18</f>
        <v>#DIV/0!</v>
      </c>
      <c r="U13" t="e">
        <f>'Corrected energy balance step 2'!V18</f>
        <v>#DIV/0!</v>
      </c>
      <c r="V13" t="e">
        <f>'Corrected energy balance step 2'!W18</f>
        <v>#DIV/0!</v>
      </c>
      <c r="W13" t="e">
        <f>'Corrected energy balance step 2'!X18</f>
        <v>#DIV/0!</v>
      </c>
      <c r="X13" t="e">
        <f>'Corrected energy balance step 2'!Y18</f>
        <v>#DIV/0!</v>
      </c>
      <c r="Y13" t="e">
        <f>'Corrected energy balance step 2'!Z18</f>
        <v>#DIV/0!</v>
      </c>
      <c r="Z13" t="e">
        <f>'Corrected energy balance step 2'!AA18</f>
        <v>#DIV/0!</v>
      </c>
      <c r="AA13" t="e">
        <f>'Corrected energy balance step 2'!AB18</f>
        <v>#DIV/0!</v>
      </c>
      <c r="AB13" t="e">
        <f>'Corrected energy balance step 2'!AC18</f>
        <v>#DIV/0!</v>
      </c>
      <c r="AC13" t="e">
        <f>'Corrected energy balance step 2'!AD18</f>
        <v>#DIV/0!</v>
      </c>
      <c r="AD13" t="e">
        <f>'Corrected energy balance step 2'!AE18</f>
        <v>#DIV/0!</v>
      </c>
      <c r="AE13" t="e">
        <f>'Corrected energy balance step 2'!AF18</f>
        <v>#DIV/0!</v>
      </c>
      <c r="AF13" t="e">
        <f>'Corrected energy balance step 2'!AG18</f>
        <v>#DIV/0!</v>
      </c>
      <c r="AG13" t="e">
        <f>'Corrected energy balance step 2'!AH18</f>
        <v>#DIV/0!</v>
      </c>
      <c r="AH13" t="e">
        <f>'Corrected energy balance step 2'!AI18</f>
        <v>#DIV/0!</v>
      </c>
      <c r="AI13" t="e">
        <f>'Corrected energy balance step 2'!AJ18</f>
        <v>#DIV/0!</v>
      </c>
      <c r="AJ13" t="e">
        <f>'Corrected energy balance step 2'!AK18</f>
        <v>#DIV/0!</v>
      </c>
      <c r="AK13" t="e">
        <f>'Corrected energy balance step 2'!AL18</f>
        <v>#DIV/0!</v>
      </c>
      <c r="AL13" t="e">
        <f>'Corrected energy balance step 2'!AM18</f>
        <v>#DIV/0!</v>
      </c>
      <c r="AM13" t="e">
        <f>'Corrected energy balance step 2'!AN18</f>
        <v>#DIV/0!</v>
      </c>
      <c r="AN13" t="e">
        <f>'Corrected energy balance step 2'!AO18</f>
        <v>#DIV/0!</v>
      </c>
      <c r="AO13" t="e">
        <f>'Corrected energy balance step 2'!AP18</f>
        <v>#DIV/0!</v>
      </c>
      <c r="AP13" t="e">
        <f>'Corrected energy balance step 2'!AQ18</f>
        <v>#DIV/0!</v>
      </c>
      <c r="AQ13" t="e">
        <f>'Corrected energy balance step 2'!AR18</f>
        <v>#DIV/0!</v>
      </c>
      <c r="AR13" t="e">
        <f>'Corrected energy balance step 2'!AS18</f>
        <v>#DIV/0!</v>
      </c>
      <c r="AS13" t="e">
        <f>'Corrected energy balance step 2'!AT18</f>
        <v>#DIV/0!</v>
      </c>
      <c r="AT13" t="e">
        <f>'Corrected energy balance step 2'!AU18</f>
        <v>#DIV/0!</v>
      </c>
      <c r="AU13" t="e">
        <f>'Corrected energy balance step 2'!AV18</f>
        <v>#DIV/0!</v>
      </c>
      <c r="AV13">
        <f>'Corrected energy balance step 2'!AW18</f>
        <v>0</v>
      </c>
      <c r="AW13">
        <f>'Corrected energy balance step 2'!AX18</f>
        <v>0</v>
      </c>
      <c r="AX13">
        <f>'Corrected energy balance step 2'!AY18</f>
        <v>0</v>
      </c>
      <c r="AY13" t="e">
        <f>'Corrected energy balance step 2'!AZ18</f>
        <v>#DIV/0!</v>
      </c>
      <c r="AZ13">
        <f>'Corrected energy balance step 2'!BA18</f>
        <v>0</v>
      </c>
      <c r="BA13">
        <f>'Corrected energy balance step 2'!BB18</f>
        <v>0</v>
      </c>
      <c r="BB13">
        <f>'Corrected energy balance step 2'!BC18</f>
        <v>0</v>
      </c>
      <c r="BC13" t="e">
        <f>'Corrected energy balance step 2'!BD18</f>
        <v>#DIV/0!</v>
      </c>
      <c r="BD13">
        <f>'Corrected energy balance step 2'!BE18</f>
        <v>0</v>
      </c>
      <c r="BE13" t="e">
        <f>'Corrected energy balance step 2'!BF18</f>
        <v>#DIV/0!</v>
      </c>
      <c r="BF13">
        <f>'Corrected energy balance step 2'!BG18</f>
        <v>0</v>
      </c>
      <c r="BG13" t="e">
        <f>'Corrected energy balance step 2'!BH18</f>
        <v>#DIV/0!</v>
      </c>
      <c r="BH13">
        <f>'Corrected energy balance step 2'!BI18</f>
        <v>0</v>
      </c>
      <c r="BI13">
        <f>'Corrected energy balance step 2'!BJ18</f>
        <v>0</v>
      </c>
      <c r="BJ13">
        <f>'Corrected energy balance step 2'!BK18</f>
        <v>0</v>
      </c>
      <c r="BK13">
        <f>'Corrected energy balance step 2'!BL18</f>
        <v>0</v>
      </c>
      <c r="BL13">
        <f>'Corrected energy balance step 2'!BM18</f>
        <v>0</v>
      </c>
      <c r="BM13" t="e">
        <f>'Corrected energy balance step 2'!BN18</f>
        <v>#DIV/0!</v>
      </c>
      <c r="BN13">
        <f>'Corrected energy balance step 2'!BO18</f>
        <v>0</v>
      </c>
    </row>
    <row r="14" spans="1:66" x14ac:dyDescent="0.2">
      <c r="A14" t="s">
        <v>61</v>
      </c>
      <c r="B14" t="e">
        <f>'Corrected energy balance step 2'!C19</f>
        <v>#DIV/0!</v>
      </c>
      <c r="C14" t="e">
        <f>'Corrected energy balance step 2'!D19</f>
        <v>#DIV/0!</v>
      </c>
      <c r="D14" t="e">
        <f>'Corrected energy balance step 2'!E19</f>
        <v>#DIV/0!</v>
      </c>
      <c r="E14" t="e">
        <f>'Corrected energy balance step 2'!F19</f>
        <v>#DIV/0!</v>
      </c>
      <c r="F14" t="e">
        <f>'Corrected energy balance step 2'!G19</f>
        <v>#DIV/0!</v>
      </c>
      <c r="G14" t="e">
        <f>'Corrected energy balance step 2'!H19</f>
        <v>#DIV/0!</v>
      </c>
      <c r="H14" t="e">
        <f>'Corrected energy balance step 2'!I19</f>
        <v>#DIV/0!</v>
      </c>
      <c r="I14" t="e">
        <f>'Corrected energy balance step 2'!J19</f>
        <v>#DIV/0!</v>
      </c>
      <c r="J14" t="e">
        <f>'Corrected energy balance step 2'!K19</f>
        <v>#DIV/0!</v>
      </c>
      <c r="K14" t="e">
        <f>'Corrected energy balance step 2'!L19</f>
        <v>#DIV/0!</v>
      </c>
      <c r="L14" t="e">
        <f>'Corrected energy balance step 2'!M19</f>
        <v>#DIV/0!</v>
      </c>
      <c r="M14" t="e">
        <f>'Corrected energy balance step 2'!N19</f>
        <v>#DIV/0!</v>
      </c>
      <c r="N14">
        <f>'Corrected energy balance step 2'!O19</f>
        <v>0</v>
      </c>
      <c r="O14">
        <f>'Corrected energy balance step 2'!P19</f>
        <v>0</v>
      </c>
      <c r="P14">
        <f>'Corrected energy balance step 2'!Q19</f>
        <v>0</v>
      </c>
      <c r="Q14">
        <f>'Corrected energy balance step 2'!R19</f>
        <v>0</v>
      </c>
      <c r="R14" t="e">
        <f>'Corrected energy balance step 2'!S19</f>
        <v>#DIV/0!</v>
      </c>
      <c r="S14" t="e">
        <f>'Corrected energy balance step 2'!T19</f>
        <v>#DIV/0!</v>
      </c>
      <c r="T14" t="e">
        <f>'Corrected energy balance step 2'!U19</f>
        <v>#DIV/0!</v>
      </c>
      <c r="U14" t="e">
        <f>'Corrected energy balance step 2'!V19</f>
        <v>#DIV/0!</v>
      </c>
      <c r="V14" t="e">
        <f>'Corrected energy balance step 2'!W19</f>
        <v>#DIV/0!</v>
      </c>
      <c r="W14" t="e">
        <f>'Corrected energy balance step 2'!X19</f>
        <v>#DIV/0!</v>
      </c>
      <c r="X14" t="e">
        <f>'Corrected energy balance step 2'!Y19</f>
        <v>#DIV/0!</v>
      </c>
      <c r="Y14" t="e">
        <f>'Corrected energy balance step 2'!Z19</f>
        <v>#DIV/0!</v>
      </c>
      <c r="Z14" t="e">
        <f>'Corrected energy balance step 2'!AA19</f>
        <v>#DIV/0!</v>
      </c>
      <c r="AA14" t="e">
        <f>'Corrected energy balance step 2'!AB19</f>
        <v>#DIV/0!</v>
      </c>
      <c r="AB14" t="e">
        <f>'Corrected energy balance step 2'!AC19</f>
        <v>#DIV/0!</v>
      </c>
      <c r="AC14" t="e">
        <f>'Corrected energy balance step 2'!AD19</f>
        <v>#DIV/0!</v>
      </c>
      <c r="AD14" t="e">
        <f>'Corrected energy balance step 2'!AE19</f>
        <v>#DIV/0!</v>
      </c>
      <c r="AE14" t="e">
        <f>'Corrected energy balance step 2'!AF19</f>
        <v>#DIV/0!</v>
      </c>
      <c r="AF14" t="e">
        <f>'Corrected energy balance step 2'!AG19</f>
        <v>#DIV/0!</v>
      </c>
      <c r="AG14" t="e">
        <f>'Corrected energy balance step 2'!AH19</f>
        <v>#DIV/0!</v>
      </c>
      <c r="AH14" t="e">
        <f>'Corrected energy balance step 2'!AI19</f>
        <v>#DIV/0!</v>
      </c>
      <c r="AI14" t="e">
        <f>'Corrected energy balance step 2'!AJ19</f>
        <v>#DIV/0!</v>
      </c>
      <c r="AJ14" t="e">
        <f>'Corrected energy balance step 2'!AK19</f>
        <v>#DIV/0!</v>
      </c>
      <c r="AK14" t="e">
        <f>'Corrected energy balance step 2'!AL19</f>
        <v>#DIV/0!</v>
      </c>
      <c r="AL14" t="e">
        <f>'Corrected energy balance step 2'!AM19</f>
        <v>#DIV/0!</v>
      </c>
      <c r="AM14" t="e">
        <f>'Corrected energy balance step 2'!AN19</f>
        <v>#DIV/0!</v>
      </c>
      <c r="AN14" t="e">
        <f>'Corrected energy balance step 2'!AO19</f>
        <v>#DIV/0!</v>
      </c>
      <c r="AO14" t="e">
        <f>'Corrected energy balance step 2'!AP19</f>
        <v>#DIV/0!</v>
      </c>
      <c r="AP14" t="e">
        <f>'Corrected energy balance step 2'!AQ19</f>
        <v>#DIV/0!</v>
      </c>
      <c r="AQ14" t="e">
        <f>'Corrected energy balance step 2'!AR19</f>
        <v>#DIV/0!</v>
      </c>
      <c r="AR14" t="e">
        <f>'Corrected energy balance step 2'!AS19</f>
        <v>#DIV/0!</v>
      </c>
      <c r="AS14" t="e">
        <f>'Corrected energy balance step 2'!AT19</f>
        <v>#DIV/0!</v>
      </c>
      <c r="AT14" t="e">
        <f>'Corrected energy balance step 2'!AU19</f>
        <v>#DIV/0!</v>
      </c>
      <c r="AU14" t="e">
        <f>'Corrected energy balance step 2'!AV19</f>
        <v>#DIV/0!</v>
      </c>
      <c r="AV14">
        <f>'Corrected energy balance step 2'!AW19</f>
        <v>0</v>
      </c>
      <c r="AW14">
        <f>'Corrected energy balance step 2'!AX19</f>
        <v>0</v>
      </c>
      <c r="AX14">
        <f>'Corrected energy balance step 2'!AY19</f>
        <v>0</v>
      </c>
      <c r="AY14" t="e">
        <f>'Corrected energy balance step 2'!AZ19</f>
        <v>#DIV/0!</v>
      </c>
      <c r="AZ14">
        <f>'Corrected energy balance step 2'!BA19</f>
        <v>0</v>
      </c>
      <c r="BA14">
        <f>'Corrected energy balance step 2'!BB19</f>
        <v>0</v>
      </c>
      <c r="BB14">
        <f>'Corrected energy balance step 2'!BC19</f>
        <v>0</v>
      </c>
      <c r="BC14" t="e">
        <f>'Corrected energy balance step 2'!BD19</f>
        <v>#DIV/0!</v>
      </c>
      <c r="BD14">
        <f>'Corrected energy balance step 2'!BE19</f>
        <v>0</v>
      </c>
      <c r="BE14" t="e">
        <f>'Corrected energy balance step 2'!BF19</f>
        <v>#DIV/0!</v>
      </c>
      <c r="BF14">
        <f>'Corrected energy balance step 2'!BG19</f>
        <v>0</v>
      </c>
      <c r="BG14" t="e">
        <f>'Corrected energy balance step 2'!BH19</f>
        <v>#DIV/0!</v>
      </c>
      <c r="BH14">
        <f>'Corrected energy balance step 2'!BI19</f>
        <v>0</v>
      </c>
      <c r="BI14">
        <f>'Corrected energy balance step 2'!BJ19</f>
        <v>0</v>
      </c>
      <c r="BJ14">
        <f>'Corrected energy balance step 2'!BK19</f>
        <v>0</v>
      </c>
      <c r="BK14">
        <f>'Corrected energy balance step 2'!BL19</f>
        <v>0</v>
      </c>
      <c r="BL14">
        <f>'Corrected energy balance step 2'!BM19</f>
        <v>0</v>
      </c>
      <c r="BM14" t="e">
        <f>'Corrected energy balance step 2'!BN19</f>
        <v>#DIV/0!</v>
      </c>
      <c r="BN14">
        <f>'Corrected energy balance step 2'!BO19</f>
        <v>0</v>
      </c>
    </row>
    <row r="15" spans="1:66" x14ac:dyDescent="0.2">
      <c r="A15" t="s">
        <v>62</v>
      </c>
      <c r="B15">
        <f>'Corrected energy balance step 2'!C20</f>
        <v>0</v>
      </c>
      <c r="C15">
        <f>'Corrected energy balance step 2'!D20</f>
        <v>0</v>
      </c>
      <c r="D15">
        <f>'Corrected energy balance step 2'!E20</f>
        <v>0</v>
      </c>
      <c r="E15">
        <f>'Corrected energy balance step 2'!F20</f>
        <v>0</v>
      </c>
      <c r="F15">
        <f>'Corrected energy balance step 2'!G20</f>
        <v>0</v>
      </c>
      <c r="G15">
        <f>'Corrected energy balance step 2'!H20</f>
        <v>0</v>
      </c>
      <c r="H15">
        <f>'Corrected energy balance step 2'!I20</f>
        <v>0</v>
      </c>
      <c r="I15">
        <f>'Corrected energy balance step 2'!J20</f>
        <v>0</v>
      </c>
      <c r="J15">
        <f>'Corrected energy balance step 2'!K20</f>
        <v>0</v>
      </c>
      <c r="K15">
        <f>'Corrected energy balance step 2'!L20</f>
        <v>0</v>
      </c>
      <c r="L15">
        <f>'Corrected energy balance step 2'!M20</f>
        <v>0</v>
      </c>
      <c r="M15">
        <f>'Corrected energy balance step 2'!N20</f>
        <v>0</v>
      </c>
      <c r="N15">
        <f>'Corrected energy balance step 2'!O20</f>
        <v>0</v>
      </c>
      <c r="O15">
        <f>'Corrected energy balance step 2'!P20</f>
        <v>0</v>
      </c>
      <c r="P15">
        <f>'Corrected energy balance step 2'!Q20</f>
        <v>0</v>
      </c>
      <c r="Q15">
        <f>'Corrected energy balance step 2'!R20</f>
        <v>0</v>
      </c>
      <c r="R15">
        <f>'Corrected energy balance step 2'!S20</f>
        <v>0</v>
      </c>
      <c r="S15">
        <f>'Corrected energy balance step 2'!T20</f>
        <v>0</v>
      </c>
      <c r="T15">
        <f>'Corrected energy balance step 2'!U20</f>
        <v>0</v>
      </c>
      <c r="U15">
        <f>'Corrected energy balance step 2'!V20</f>
        <v>0</v>
      </c>
      <c r="V15">
        <f>'Corrected energy balance step 2'!W20</f>
        <v>0</v>
      </c>
      <c r="W15">
        <f>'Corrected energy balance step 2'!X20</f>
        <v>0</v>
      </c>
      <c r="X15">
        <f>'Corrected energy balance step 2'!Y20</f>
        <v>0</v>
      </c>
      <c r="Y15">
        <f>'Corrected energy balance step 2'!Z20</f>
        <v>0</v>
      </c>
      <c r="Z15">
        <f>'Corrected energy balance step 2'!AA20</f>
        <v>0</v>
      </c>
      <c r="AA15">
        <f>'Corrected energy balance step 2'!AB20</f>
        <v>0</v>
      </c>
      <c r="AB15">
        <f>'Corrected energy balance step 2'!AC20</f>
        <v>0</v>
      </c>
      <c r="AC15">
        <f>'Corrected energy balance step 2'!AD20</f>
        <v>0</v>
      </c>
      <c r="AD15">
        <f>'Corrected energy balance step 2'!AE20</f>
        <v>0</v>
      </c>
      <c r="AE15">
        <f>'Corrected energy balance step 2'!AF20</f>
        <v>0</v>
      </c>
      <c r="AF15">
        <f>'Corrected energy balance step 2'!AG20</f>
        <v>0</v>
      </c>
      <c r="AG15">
        <f>'Corrected energy balance step 2'!AH20</f>
        <v>0</v>
      </c>
      <c r="AH15">
        <f>'Corrected energy balance step 2'!AI20</f>
        <v>0</v>
      </c>
      <c r="AI15">
        <f>'Corrected energy balance step 2'!AJ20</f>
        <v>0</v>
      </c>
      <c r="AJ15">
        <f>'Corrected energy balance step 2'!AK20</f>
        <v>0</v>
      </c>
      <c r="AK15">
        <f>'Corrected energy balance step 2'!AL20</f>
        <v>0</v>
      </c>
      <c r="AL15">
        <f>'Corrected energy balance step 2'!AM20</f>
        <v>0</v>
      </c>
      <c r="AM15">
        <f>'Corrected energy balance step 2'!AN20</f>
        <v>0</v>
      </c>
      <c r="AN15">
        <f>'Corrected energy balance step 2'!AO20</f>
        <v>0</v>
      </c>
      <c r="AO15">
        <f>'Corrected energy balance step 2'!AP20</f>
        <v>0</v>
      </c>
      <c r="AP15">
        <f>'Corrected energy balance step 2'!AQ20</f>
        <v>0</v>
      </c>
      <c r="AQ15">
        <f>'Corrected energy balance step 2'!AR20</f>
        <v>0</v>
      </c>
      <c r="AR15">
        <f>'Corrected energy balance step 2'!AS20</f>
        <v>0</v>
      </c>
      <c r="AS15">
        <f>'Corrected energy balance step 2'!AT20</f>
        <v>0</v>
      </c>
      <c r="AT15">
        <f>'Corrected energy balance step 2'!AU20</f>
        <v>0</v>
      </c>
      <c r="AU15">
        <f>'Corrected energy balance step 2'!AV20</f>
        <v>0</v>
      </c>
      <c r="AV15">
        <f>'Corrected energy balance step 2'!AW20</f>
        <v>0</v>
      </c>
      <c r="AW15">
        <f>'Corrected energy balance step 2'!AX20</f>
        <v>0</v>
      </c>
      <c r="AX15">
        <f>'Corrected energy balance step 2'!AY20</f>
        <v>0</v>
      </c>
      <c r="AY15">
        <f>'Corrected energy balance step 2'!AZ20</f>
        <v>0</v>
      </c>
      <c r="AZ15">
        <f>'Corrected energy balance step 2'!BA20</f>
        <v>0</v>
      </c>
      <c r="BA15">
        <f>'Corrected energy balance step 2'!BB20</f>
        <v>0</v>
      </c>
      <c r="BB15">
        <f>'Corrected energy balance step 2'!BC20</f>
        <v>0</v>
      </c>
      <c r="BC15">
        <f>'Corrected energy balance step 2'!BD20</f>
        <v>0</v>
      </c>
      <c r="BD15">
        <f>'Corrected energy balance step 2'!BE20</f>
        <v>0</v>
      </c>
      <c r="BE15">
        <f>'Corrected energy balance step 2'!BF20</f>
        <v>0</v>
      </c>
      <c r="BF15">
        <f>'Corrected energy balance step 2'!BG20</f>
        <v>0</v>
      </c>
      <c r="BG15">
        <f>'Corrected energy balance step 2'!BH20</f>
        <v>0</v>
      </c>
      <c r="BH15">
        <f>'Corrected energy balance step 2'!BI20</f>
        <v>0</v>
      </c>
      <c r="BI15">
        <f>'Corrected energy balance step 2'!BJ20</f>
        <v>0</v>
      </c>
      <c r="BJ15">
        <f>'Corrected energy balance step 2'!BK20</f>
        <v>0</v>
      </c>
      <c r="BK15">
        <f>'Corrected energy balance step 2'!BL20</f>
        <v>0</v>
      </c>
      <c r="BL15">
        <f>'Corrected energy balance step 2'!BM20</f>
        <v>0</v>
      </c>
      <c r="BM15">
        <f>'Corrected energy balance step 2'!BN20</f>
        <v>0</v>
      </c>
      <c r="BN15">
        <f>'Corrected energy balance step 2'!BO20</f>
        <v>0</v>
      </c>
    </row>
    <row r="16" spans="1:66" x14ac:dyDescent="0.2">
      <c r="A16" t="s">
        <v>63</v>
      </c>
      <c r="B16">
        <f>'Corrected energy balance step 2'!C21</f>
        <v>0</v>
      </c>
      <c r="C16">
        <f>'Corrected energy balance step 2'!D21</f>
        <v>0</v>
      </c>
      <c r="D16">
        <f>'Corrected energy balance step 2'!E21</f>
        <v>0</v>
      </c>
      <c r="E16">
        <f>'Corrected energy balance step 2'!F21</f>
        <v>0</v>
      </c>
      <c r="F16">
        <f>'Corrected energy balance step 2'!G21</f>
        <v>0</v>
      </c>
      <c r="G16">
        <f>'Corrected energy balance step 2'!H21</f>
        <v>0</v>
      </c>
      <c r="H16">
        <f>'Corrected energy balance step 2'!I21</f>
        <v>0</v>
      </c>
      <c r="I16">
        <f>'Corrected energy balance step 2'!J21</f>
        <v>0</v>
      </c>
      <c r="J16">
        <f>'Corrected energy balance step 2'!K21</f>
        <v>0</v>
      </c>
      <c r="K16">
        <f>'Corrected energy balance step 2'!L21</f>
        <v>0</v>
      </c>
      <c r="L16">
        <f>'Corrected energy balance step 2'!M21</f>
        <v>0</v>
      </c>
      <c r="M16">
        <f>'Corrected energy balance step 2'!N21</f>
        <v>0</v>
      </c>
      <c r="N16">
        <f>'Corrected energy balance step 2'!O21</f>
        <v>0</v>
      </c>
      <c r="O16">
        <f>'Corrected energy balance step 2'!P21</f>
        <v>0</v>
      </c>
      <c r="P16">
        <f>'Corrected energy balance step 2'!Q21</f>
        <v>0</v>
      </c>
      <c r="Q16">
        <f>'Corrected energy balance step 2'!R21</f>
        <v>0</v>
      </c>
      <c r="R16">
        <f>'Corrected energy balance step 2'!S21</f>
        <v>0</v>
      </c>
      <c r="S16">
        <f>'Corrected energy balance step 2'!T21</f>
        <v>0</v>
      </c>
      <c r="T16">
        <f>'Corrected energy balance step 2'!U21</f>
        <v>0</v>
      </c>
      <c r="U16">
        <f>'Corrected energy balance step 2'!V21</f>
        <v>0</v>
      </c>
      <c r="V16">
        <f>'Corrected energy balance step 2'!W21</f>
        <v>0</v>
      </c>
      <c r="W16">
        <f>'Corrected energy balance step 2'!X21</f>
        <v>0</v>
      </c>
      <c r="X16">
        <f>'Corrected energy balance step 2'!Y21</f>
        <v>0</v>
      </c>
      <c r="Y16">
        <f>'Corrected energy balance step 2'!Z21</f>
        <v>0</v>
      </c>
      <c r="Z16">
        <f>'Corrected energy balance step 2'!AA21</f>
        <v>0</v>
      </c>
      <c r="AA16">
        <f>'Corrected energy balance step 2'!AB21</f>
        <v>0</v>
      </c>
      <c r="AB16">
        <f>'Corrected energy balance step 2'!AC21</f>
        <v>0</v>
      </c>
      <c r="AC16">
        <f>'Corrected energy balance step 2'!AD21</f>
        <v>0</v>
      </c>
      <c r="AD16">
        <f>'Corrected energy balance step 2'!AE21</f>
        <v>0</v>
      </c>
      <c r="AE16">
        <f>'Corrected energy balance step 2'!AF21</f>
        <v>0</v>
      </c>
      <c r="AF16">
        <f>'Corrected energy balance step 2'!AG21</f>
        <v>0</v>
      </c>
      <c r="AG16">
        <f>'Corrected energy balance step 2'!AH21</f>
        <v>0</v>
      </c>
      <c r="AH16">
        <f>'Corrected energy balance step 2'!AI21</f>
        <v>0</v>
      </c>
      <c r="AI16">
        <f>'Corrected energy balance step 2'!AJ21</f>
        <v>0</v>
      </c>
      <c r="AJ16">
        <f>'Corrected energy balance step 2'!AK21</f>
        <v>0</v>
      </c>
      <c r="AK16">
        <f>'Corrected energy balance step 2'!AL21</f>
        <v>0</v>
      </c>
      <c r="AL16">
        <f>'Corrected energy balance step 2'!AM21</f>
        <v>0</v>
      </c>
      <c r="AM16">
        <f>'Corrected energy balance step 2'!AN21</f>
        <v>0</v>
      </c>
      <c r="AN16">
        <f>'Corrected energy balance step 2'!AO21</f>
        <v>0</v>
      </c>
      <c r="AO16">
        <f>'Corrected energy balance step 2'!AP21</f>
        <v>0</v>
      </c>
      <c r="AP16">
        <f>'Corrected energy balance step 2'!AQ21</f>
        <v>0</v>
      </c>
      <c r="AQ16">
        <f>'Corrected energy balance step 2'!AR21</f>
        <v>0</v>
      </c>
      <c r="AR16">
        <f>'Corrected energy balance step 2'!AS21</f>
        <v>0</v>
      </c>
      <c r="AS16">
        <f>'Corrected energy balance step 2'!AT21</f>
        <v>0</v>
      </c>
      <c r="AT16">
        <f>'Corrected energy balance step 2'!AU21</f>
        <v>0</v>
      </c>
      <c r="AU16">
        <f>'Corrected energy balance step 2'!AV21</f>
        <v>0</v>
      </c>
      <c r="AV16">
        <f>'Corrected energy balance step 2'!AW21</f>
        <v>0</v>
      </c>
      <c r="AW16">
        <f>'Corrected energy balance step 2'!AX21</f>
        <v>0</v>
      </c>
      <c r="AX16">
        <f>'Corrected energy balance step 2'!AY21</f>
        <v>0</v>
      </c>
      <c r="AY16">
        <f>'Corrected energy balance step 2'!AZ21</f>
        <v>0</v>
      </c>
      <c r="AZ16">
        <f>'Corrected energy balance step 2'!BA21</f>
        <v>0</v>
      </c>
      <c r="BA16">
        <f>'Corrected energy balance step 2'!BB21</f>
        <v>0</v>
      </c>
      <c r="BB16">
        <f>'Corrected energy balance step 2'!BC21</f>
        <v>0</v>
      </c>
      <c r="BC16">
        <f>'Corrected energy balance step 2'!BD21</f>
        <v>0</v>
      </c>
      <c r="BD16">
        <f>'Corrected energy balance step 2'!BE21</f>
        <v>0</v>
      </c>
      <c r="BE16">
        <f>'Corrected energy balance step 2'!BF21</f>
        <v>0</v>
      </c>
      <c r="BF16">
        <f>'Corrected energy balance step 2'!BG21</f>
        <v>0</v>
      </c>
      <c r="BG16">
        <f>'Corrected energy balance step 2'!BH21</f>
        <v>0</v>
      </c>
      <c r="BH16">
        <f>'Corrected energy balance step 2'!BI21</f>
        <v>0</v>
      </c>
      <c r="BI16">
        <f>'Corrected energy balance step 2'!BJ21</f>
        <v>0</v>
      </c>
      <c r="BJ16">
        <f>'Corrected energy balance step 2'!BK21</f>
        <v>0</v>
      </c>
      <c r="BK16">
        <f>'Corrected energy balance step 2'!BL21</f>
        <v>0</v>
      </c>
      <c r="BL16">
        <f>'Corrected energy balance step 2'!BM21</f>
        <v>0</v>
      </c>
      <c r="BM16">
        <f>'Corrected energy balance step 2'!BN21</f>
        <v>0</v>
      </c>
      <c r="BN16">
        <f>'Corrected energy balance step 2'!BO21</f>
        <v>0</v>
      </c>
    </row>
    <row r="17" spans="1:66" x14ac:dyDescent="0.2">
      <c r="A17" t="s">
        <v>64</v>
      </c>
      <c r="B17">
        <f>'Corrected energy balance step 2'!C22</f>
        <v>0</v>
      </c>
      <c r="C17">
        <f>'Corrected energy balance step 2'!D22</f>
        <v>0</v>
      </c>
      <c r="D17">
        <f>'Corrected energy balance step 2'!E22</f>
        <v>0</v>
      </c>
      <c r="E17">
        <f>'Corrected energy balance step 2'!F22</f>
        <v>0</v>
      </c>
      <c r="F17">
        <f>'Corrected energy balance step 2'!G22</f>
        <v>0</v>
      </c>
      <c r="G17">
        <f>'Corrected energy balance step 2'!H22</f>
        <v>0</v>
      </c>
      <c r="H17">
        <f>'Corrected energy balance step 2'!I22</f>
        <v>0</v>
      </c>
      <c r="I17">
        <f>'Corrected energy balance step 2'!J22</f>
        <v>0</v>
      </c>
      <c r="J17">
        <f>'Corrected energy balance step 2'!K22</f>
        <v>0</v>
      </c>
      <c r="K17">
        <f>'Corrected energy balance step 2'!L22</f>
        <v>0</v>
      </c>
      <c r="L17">
        <f>'Corrected energy balance step 2'!M22</f>
        <v>0</v>
      </c>
      <c r="M17">
        <f>'Corrected energy balance step 2'!N22</f>
        <v>0</v>
      </c>
      <c r="N17">
        <f>'Corrected energy balance step 2'!O22</f>
        <v>0</v>
      </c>
      <c r="O17">
        <f>'Corrected energy balance step 2'!P22</f>
        <v>0</v>
      </c>
      <c r="P17">
        <f>'Corrected energy balance step 2'!Q22</f>
        <v>0</v>
      </c>
      <c r="Q17">
        <f>'Corrected energy balance step 2'!R22</f>
        <v>0</v>
      </c>
      <c r="R17">
        <f>'Corrected energy balance step 2'!S22</f>
        <v>0</v>
      </c>
      <c r="S17">
        <f>'Corrected energy balance step 2'!T22</f>
        <v>0</v>
      </c>
      <c r="T17">
        <f>'Corrected energy balance step 2'!U22</f>
        <v>0</v>
      </c>
      <c r="U17">
        <f>'Corrected energy balance step 2'!V22</f>
        <v>0</v>
      </c>
      <c r="V17">
        <f>'Corrected energy balance step 2'!W22</f>
        <v>0</v>
      </c>
      <c r="W17">
        <f>'Corrected energy balance step 2'!X22</f>
        <v>0</v>
      </c>
      <c r="X17">
        <f>'Corrected energy balance step 2'!Y22</f>
        <v>0</v>
      </c>
      <c r="Y17">
        <f>'Corrected energy balance step 2'!Z22</f>
        <v>0</v>
      </c>
      <c r="Z17">
        <f>'Corrected energy balance step 2'!AA22</f>
        <v>0</v>
      </c>
      <c r="AA17">
        <f>'Corrected energy balance step 2'!AB22</f>
        <v>0</v>
      </c>
      <c r="AB17">
        <f>'Corrected energy balance step 2'!AC22</f>
        <v>0</v>
      </c>
      <c r="AC17">
        <f>'Corrected energy balance step 2'!AD22</f>
        <v>0</v>
      </c>
      <c r="AD17">
        <f>'Corrected energy balance step 2'!AE22</f>
        <v>0</v>
      </c>
      <c r="AE17">
        <f>'Corrected energy balance step 2'!AF22</f>
        <v>0</v>
      </c>
      <c r="AF17">
        <f>'Corrected energy balance step 2'!AG22</f>
        <v>0</v>
      </c>
      <c r="AG17">
        <f>'Corrected energy balance step 2'!AH22</f>
        <v>0</v>
      </c>
      <c r="AH17">
        <f>'Corrected energy balance step 2'!AI22</f>
        <v>0</v>
      </c>
      <c r="AI17">
        <f>'Corrected energy balance step 2'!AJ22</f>
        <v>0</v>
      </c>
      <c r="AJ17">
        <f>'Corrected energy balance step 2'!AK22</f>
        <v>0</v>
      </c>
      <c r="AK17">
        <f>'Corrected energy balance step 2'!AL22</f>
        <v>0</v>
      </c>
      <c r="AL17">
        <f>'Corrected energy balance step 2'!AM22</f>
        <v>0</v>
      </c>
      <c r="AM17">
        <f>'Corrected energy balance step 2'!AN22</f>
        <v>0</v>
      </c>
      <c r="AN17">
        <f>'Corrected energy balance step 2'!AO22</f>
        <v>0</v>
      </c>
      <c r="AO17">
        <f>'Corrected energy balance step 2'!AP22</f>
        <v>0</v>
      </c>
      <c r="AP17">
        <f>'Corrected energy balance step 2'!AQ22</f>
        <v>0</v>
      </c>
      <c r="AQ17">
        <f>'Corrected energy balance step 2'!AR22</f>
        <v>0</v>
      </c>
      <c r="AR17">
        <f>'Corrected energy balance step 2'!AS22</f>
        <v>0</v>
      </c>
      <c r="AS17">
        <f>'Corrected energy balance step 2'!AT22</f>
        <v>0</v>
      </c>
      <c r="AT17">
        <f>'Corrected energy balance step 2'!AU22</f>
        <v>0</v>
      </c>
      <c r="AU17">
        <f>'Corrected energy balance step 2'!AV22</f>
        <v>0</v>
      </c>
      <c r="AV17">
        <f>'Corrected energy balance step 2'!AW22</f>
        <v>0</v>
      </c>
      <c r="AW17">
        <f>'Corrected energy balance step 2'!AX22</f>
        <v>0</v>
      </c>
      <c r="AX17">
        <f>'Corrected energy balance step 2'!AY22</f>
        <v>0</v>
      </c>
      <c r="AY17">
        <f>'Corrected energy balance step 2'!AZ22</f>
        <v>0</v>
      </c>
      <c r="AZ17">
        <f>'Corrected energy balance step 2'!BA22</f>
        <v>0</v>
      </c>
      <c r="BA17">
        <f>'Corrected energy balance step 2'!BB22</f>
        <v>0</v>
      </c>
      <c r="BB17">
        <f>'Corrected energy balance step 2'!BC22</f>
        <v>0</v>
      </c>
      <c r="BC17">
        <f>'Corrected energy balance step 2'!BD22</f>
        <v>0</v>
      </c>
      <c r="BD17">
        <f>'Corrected energy balance step 2'!BE22</f>
        <v>0</v>
      </c>
      <c r="BE17">
        <f>'Corrected energy balance step 2'!BF22</f>
        <v>0</v>
      </c>
      <c r="BF17">
        <f>'Corrected energy balance step 2'!BG22</f>
        <v>0</v>
      </c>
      <c r="BG17">
        <f>'Corrected energy balance step 2'!BH22</f>
        <v>0</v>
      </c>
      <c r="BH17">
        <f>'Corrected energy balance step 2'!BI22</f>
        <v>0</v>
      </c>
      <c r="BI17">
        <f>'Corrected energy balance step 2'!BJ22</f>
        <v>0</v>
      </c>
      <c r="BJ17">
        <f>'Corrected energy balance step 2'!BK22</f>
        <v>0</v>
      </c>
      <c r="BK17">
        <f>'Corrected energy balance step 2'!BL22</f>
        <v>0</v>
      </c>
      <c r="BL17">
        <f>'Corrected energy balance step 2'!BM22</f>
        <v>0</v>
      </c>
      <c r="BM17">
        <f>'Corrected energy balance step 2'!BN22</f>
        <v>0</v>
      </c>
      <c r="BN17">
        <f>'Corrected energy balance step 2'!BO22</f>
        <v>0</v>
      </c>
    </row>
    <row r="18" spans="1:66" x14ac:dyDescent="0.2">
      <c r="A18" t="s">
        <v>65</v>
      </c>
      <c r="B18" t="e">
        <f>'Corrected energy balance step 2'!C23</f>
        <v>#DIV/0!</v>
      </c>
      <c r="C18" t="e">
        <f>'Corrected energy balance step 2'!D23</f>
        <v>#DIV/0!</v>
      </c>
      <c r="D18" t="e">
        <f>'Corrected energy balance step 2'!E23</f>
        <v>#DIV/0!</v>
      </c>
      <c r="E18" t="e">
        <f>'Corrected energy balance step 2'!F23</f>
        <v>#DIV/0!</v>
      </c>
      <c r="F18" t="e">
        <f>'Corrected energy balance step 2'!G23</f>
        <v>#DIV/0!</v>
      </c>
      <c r="G18" t="e">
        <f>'Corrected energy balance step 2'!H23</f>
        <v>#DIV/0!</v>
      </c>
      <c r="H18" t="e">
        <f>'Corrected energy balance step 2'!I23</f>
        <v>#DIV/0!</v>
      </c>
      <c r="I18" t="e">
        <f>'Corrected energy balance step 2'!J23</f>
        <v>#DIV/0!</v>
      </c>
      <c r="J18" t="e">
        <f>'Corrected energy balance step 2'!K23</f>
        <v>#DIV/0!</v>
      </c>
      <c r="K18" t="e">
        <f>'Corrected energy balance step 2'!L23</f>
        <v>#DIV/0!</v>
      </c>
      <c r="L18" t="e">
        <f>'Corrected energy balance step 2'!M23</f>
        <v>#DIV/0!</v>
      </c>
      <c r="M18" t="e">
        <f>'Corrected energy balance step 2'!N23</f>
        <v>#DIV/0!</v>
      </c>
      <c r="N18">
        <f>'Corrected energy balance step 2'!O23</f>
        <v>0</v>
      </c>
      <c r="O18">
        <f>'Corrected energy balance step 2'!P23</f>
        <v>0</v>
      </c>
      <c r="P18">
        <f>'Corrected energy balance step 2'!Q23</f>
        <v>0</v>
      </c>
      <c r="Q18">
        <f>'Corrected energy balance step 2'!R23</f>
        <v>0</v>
      </c>
      <c r="R18" t="e">
        <f>'Corrected energy balance step 2'!S23</f>
        <v>#DIV/0!</v>
      </c>
      <c r="S18" t="e">
        <f>'Corrected energy balance step 2'!T23</f>
        <v>#DIV/0!</v>
      </c>
      <c r="T18" t="e">
        <f>'Corrected energy balance step 2'!U23</f>
        <v>#DIV/0!</v>
      </c>
      <c r="U18" t="e">
        <f>'Corrected energy balance step 2'!V23</f>
        <v>#DIV/0!</v>
      </c>
      <c r="V18" t="e">
        <f>'Corrected energy balance step 2'!W23</f>
        <v>#DIV/0!</v>
      </c>
      <c r="W18" t="e">
        <f>'Corrected energy balance step 2'!X23</f>
        <v>#DIV/0!</v>
      </c>
      <c r="X18" t="e">
        <f>'Corrected energy balance step 2'!Y23</f>
        <v>#DIV/0!</v>
      </c>
      <c r="Y18" t="e">
        <f>'Corrected energy balance step 2'!Z23</f>
        <v>#DIV/0!</v>
      </c>
      <c r="Z18" t="e">
        <f>'Corrected energy balance step 2'!AA23</f>
        <v>#DIV/0!</v>
      </c>
      <c r="AA18" t="e">
        <f>'Corrected energy balance step 2'!AB23</f>
        <v>#DIV/0!</v>
      </c>
      <c r="AB18" t="e">
        <f>'Corrected energy balance step 2'!AC23</f>
        <v>#DIV/0!</v>
      </c>
      <c r="AC18" t="e">
        <f>'Corrected energy balance step 2'!AD23</f>
        <v>#DIV/0!</v>
      </c>
      <c r="AD18" t="e">
        <f>'Corrected energy balance step 2'!AE23</f>
        <v>#DIV/0!</v>
      </c>
      <c r="AE18" t="e">
        <f>'Corrected energy balance step 2'!AF23</f>
        <v>#DIV/0!</v>
      </c>
      <c r="AF18" t="e">
        <f>'Corrected energy balance step 2'!AG23</f>
        <v>#DIV/0!</v>
      </c>
      <c r="AG18" t="e">
        <f>'Corrected energy balance step 2'!AH23</f>
        <v>#DIV/0!</v>
      </c>
      <c r="AH18" t="e">
        <f>'Corrected energy balance step 2'!AI23</f>
        <v>#DIV/0!</v>
      </c>
      <c r="AI18" t="e">
        <f>'Corrected energy balance step 2'!AJ23</f>
        <v>#DIV/0!</v>
      </c>
      <c r="AJ18" t="e">
        <f>'Corrected energy balance step 2'!AK23</f>
        <v>#DIV/0!</v>
      </c>
      <c r="AK18" t="e">
        <f>'Corrected energy balance step 2'!AL23</f>
        <v>#DIV/0!</v>
      </c>
      <c r="AL18" t="e">
        <f>'Corrected energy balance step 2'!AM23</f>
        <v>#DIV/0!</v>
      </c>
      <c r="AM18" t="e">
        <f>'Corrected energy balance step 2'!AN23</f>
        <v>#DIV/0!</v>
      </c>
      <c r="AN18" t="e">
        <f>'Corrected energy balance step 2'!AO23</f>
        <v>#DIV/0!</v>
      </c>
      <c r="AO18" t="e">
        <f>'Corrected energy balance step 2'!AP23</f>
        <v>#DIV/0!</v>
      </c>
      <c r="AP18" t="e">
        <f>'Corrected energy balance step 2'!AQ23</f>
        <v>#DIV/0!</v>
      </c>
      <c r="AQ18" t="e">
        <f>'Corrected energy balance step 2'!AR23</f>
        <v>#DIV/0!</v>
      </c>
      <c r="AR18" t="e">
        <f>'Corrected energy balance step 2'!AS23</f>
        <v>#DIV/0!</v>
      </c>
      <c r="AS18" t="e">
        <f>'Corrected energy balance step 2'!AT23</f>
        <v>#DIV/0!</v>
      </c>
      <c r="AT18" t="e">
        <f>'Corrected energy balance step 2'!AU23</f>
        <v>#DIV/0!</v>
      </c>
      <c r="AU18" t="e">
        <f>'Corrected energy balance step 2'!AV23</f>
        <v>#DIV/0!</v>
      </c>
      <c r="AV18">
        <f>'Corrected energy balance step 2'!AW23</f>
        <v>0</v>
      </c>
      <c r="AW18">
        <f>'Corrected energy balance step 2'!AX23</f>
        <v>0</v>
      </c>
      <c r="AX18">
        <f>'Corrected energy balance step 2'!AY23</f>
        <v>0</v>
      </c>
      <c r="AY18" t="e">
        <f>'Corrected energy balance step 2'!AZ23</f>
        <v>#DIV/0!</v>
      </c>
      <c r="AZ18">
        <f>'Corrected energy balance step 2'!BA23</f>
        <v>0</v>
      </c>
      <c r="BA18">
        <f>'Corrected energy balance step 2'!BB23</f>
        <v>0</v>
      </c>
      <c r="BB18">
        <f>'Corrected energy balance step 2'!BC23</f>
        <v>0</v>
      </c>
      <c r="BC18">
        <f>'Corrected energy balance step 2'!BD23</f>
        <v>0</v>
      </c>
      <c r="BD18">
        <f>'Corrected energy balance step 2'!BE23</f>
        <v>0</v>
      </c>
      <c r="BE18">
        <f>'Corrected energy balance step 2'!BF23</f>
        <v>0</v>
      </c>
      <c r="BF18">
        <f>'Corrected energy balance step 2'!BG23</f>
        <v>0</v>
      </c>
      <c r="BG18">
        <f>'Corrected energy balance step 2'!BH23</f>
        <v>0</v>
      </c>
      <c r="BH18">
        <f>'Corrected energy balance step 2'!BI23</f>
        <v>0</v>
      </c>
      <c r="BI18">
        <f>'Corrected energy balance step 2'!BJ23</f>
        <v>0</v>
      </c>
      <c r="BJ18">
        <f>'Corrected energy balance step 2'!BK23</f>
        <v>0</v>
      </c>
      <c r="BK18">
        <f>'Corrected energy balance step 2'!BL23</f>
        <v>0</v>
      </c>
      <c r="BL18">
        <f>'Corrected energy balance step 2'!BM23</f>
        <v>0</v>
      </c>
      <c r="BM18" t="e">
        <f>'Corrected energy balance step 2'!BN23</f>
        <v>#DIV/0!</v>
      </c>
      <c r="BN18">
        <f>'Corrected energy balance step 2'!BO23</f>
        <v>0</v>
      </c>
    </row>
    <row r="19" spans="1:66" x14ac:dyDescent="0.2">
      <c r="A19" t="s">
        <v>66</v>
      </c>
      <c r="B19">
        <f>'Corrected energy balance step 2'!C24</f>
        <v>0</v>
      </c>
      <c r="C19">
        <f>'Corrected energy balance step 2'!D24</f>
        <v>0</v>
      </c>
      <c r="D19">
        <f>'Corrected energy balance step 2'!E24</f>
        <v>0</v>
      </c>
      <c r="E19">
        <f>'Corrected energy balance step 2'!F24</f>
        <v>0</v>
      </c>
      <c r="F19">
        <f>'Corrected energy balance step 2'!G24</f>
        <v>0</v>
      </c>
      <c r="G19">
        <f>'Corrected energy balance step 2'!H24</f>
        <v>0</v>
      </c>
      <c r="H19">
        <f>'Corrected energy balance step 2'!I24</f>
        <v>0</v>
      </c>
      <c r="I19">
        <f>'Corrected energy balance step 2'!J24</f>
        <v>0</v>
      </c>
      <c r="J19">
        <f>'Corrected energy balance step 2'!K24</f>
        <v>0</v>
      </c>
      <c r="K19">
        <f>'Corrected energy balance step 2'!L24</f>
        <v>0</v>
      </c>
      <c r="L19">
        <f>'Corrected energy balance step 2'!M24</f>
        <v>0</v>
      </c>
      <c r="M19">
        <f>'Corrected energy balance step 2'!N24</f>
        <v>0</v>
      </c>
      <c r="N19">
        <f>'Corrected energy balance step 2'!O24</f>
        <v>0</v>
      </c>
      <c r="O19">
        <f>'Corrected energy balance step 2'!P24</f>
        <v>0</v>
      </c>
      <c r="P19">
        <f>'Corrected energy balance step 2'!Q24</f>
        <v>0</v>
      </c>
      <c r="Q19">
        <f>'Corrected energy balance step 2'!R24</f>
        <v>0</v>
      </c>
      <c r="R19">
        <f>'Corrected energy balance step 2'!S24</f>
        <v>0</v>
      </c>
      <c r="S19">
        <f>'Corrected energy balance step 2'!T24</f>
        <v>0</v>
      </c>
      <c r="T19">
        <f>'Corrected energy balance step 2'!U24</f>
        <v>0</v>
      </c>
      <c r="U19">
        <f>'Corrected energy balance step 2'!V24</f>
        <v>0</v>
      </c>
      <c r="V19">
        <f>'Corrected energy balance step 2'!W24</f>
        <v>0</v>
      </c>
      <c r="W19">
        <f>'Corrected energy balance step 2'!X24</f>
        <v>0</v>
      </c>
      <c r="X19">
        <f>'Corrected energy balance step 2'!Y24</f>
        <v>0</v>
      </c>
      <c r="Y19">
        <f>'Corrected energy balance step 2'!Z24</f>
        <v>0</v>
      </c>
      <c r="Z19">
        <f>'Corrected energy balance step 2'!AA24</f>
        <v>0</v>
      </c>
      <c r="AA19">
        <f>'Corrected energy balance step 2'!AB24</f>
        <v>0</v>
      </c>
      <c r="AB19">
        <f>'Corrected energy balance step 2'!AC24</f>
        <v>0</v>
      </c>
      <c r="AC19">
        <f>'Corrected energy balance step 2'!AD24</f>
        <v>0</v>
      </c>
      <c r="AD19">
        <f>'Corrected energy balance step 2'!AE24</f>
        <v>0</v>
      </c>
      <c r="AE19">
        <f>'Corrected energy balance step 2'!AF24</f>
        <v>0</v>
      </c>
      <c r="AF19">
        <f>'Corrected energy balance step 2'!AG24</f>
        <v>0</v>
      </c>
      <c r="AG19">
        <f>'Corrected energy balance step 2'!AH24</f>
        <v>0</v>
      </c>
      <c r="AH19">
        <f>'Corrected energy balance step 2'!AI24</f>
        <v>0</v>
      </c>
      <c r="AI19">
        <f>'Corrected energy balance step 2'!AJ24</f>
        <v>0</v>
      </c>
      <c r="AJ19">
        <f>'Corrected energy balance step 2'!AK24</f>
        <v>0</v>
      </c>
      <c r="AK19">
        <f>'Corrected energy balance step 2'!AL24</f>
        <v>0</v>
      </c>
      <c r="AL19">
        <f>'Corrected energy balance step 2'!AM24</f>
        <v>0</v>
      </c>
      <c r="AM19">
        <f>'Corrected energy balance step 2'!AN24</f>
        <v>0</v>
      </c>
      <c r="AN19">
        <f>'Corrected energy balance step 2'!AO24</f>
        <v>0</v>
      </c>
      <c r="AO19">
        <f>'Corrected energy balance step 2'!AP24</f>
        <v>0</v>
      </c>
      <c r="AP19">
        <f>'Corrected energy balance step 2'!AQ24</f>
        <v>0</v>
      </c>
      <c r="AQ19">
        <f>'Corrected energy balance step 2'!AR24</f>
        <v>0</v>
      </c>
      <c r="AR19">
        <f>'Corrected energy balance step 2'!AS24</f>
        <v>0</v>
      </c>
      <c r="AS19">
        <f>'Corrected energy balance step 2'!AT24</f>
        <v>0</v>
      </c>
      <c r="AT19">
        <f>'Corrected energy balance step 2'!AU24</f>
        <v>0</v>
      </c>
      <c r="AU19">
        <f>'Corrected energy balance step 2'!AV24</f>
        <v>0</v>
      </c>
      <c r="AV19">
        <f>'Corrected energy balance step 2'!AW24</f>
        <v>0</v>
      </c>
      <c r="AW19">
        <f>'Corrected energy balance step 2'!AX24</f>
        <v>0</v>
      </c>
      <c r="AX19">
        <f>'Corrected energy balance step 2'!AY24</f>
        <v>0</v>
      </c>
      <c r="AY19">
        <f>'Corrected energy balance step 2'!AZ24</f>
        <v>0</v>
      </c>
      <c r="AZ19">
        <f>'Corrected energy balance step 2'!BA24</f>
        <v>0</v>
      </c>
      <c r="BA19">
        <f>'Corrected energy balance step 2'!BB24</f>
        <v>0</v>
      </c>
      <c r="BB19">
        <f>'Corrected energy balance step 2'!BC24</f>
        <v>0</v>
      </c>
      <c r="BC19">
        <f>'Corrected energy balance step 2'!BD24</f>
        <v>0</v>
      </c>
      <c r="BD19">
        <f>'Corrected energy balance step 2'!BE24</f>
        <v>0</v>
      </c>
      <c r="BE19">
        <f>'Corrected energy balance step 2'!BF24</f>
        <v>0</v>
      </c>
      <c r="BF19">
        <f>'Corrected energy balance step 2'!BG24</f>
        <v>0</v>
      </c>
      <c r="BG19">
        <f>'Corrected energy balance step 2'!BH24</f>
        <v>0</v>
      </c>
      <c r="BH19">
        <f>'Corrected energy balance step 2'!BI24</f>
        <v>0</v>
      </c>
      <c r="BI19">
        <f>'Corrected energy balance step 2'!BJ24</f>
        <v>0</v>
      </c>
      <c r="BJ19">
        <f>'Corrected energy balance step 2'!BK24</f>
        <v>0</v>
      </c>
      <c r="BK19">
        <f>'Corrected energy balance step 2'!BL24</f>
        <v>0</v>
      </c>
      <c r="BL19">
        <f>'Corrected energy balance step 2'!BM24</f>
        <v>0</v>
      </c>
      <c r="BM19">
        <f>'Corrected energy balance step 2'!BN24</f>
        <v>0</v>
      </c>
      <c r="BN19">
        <f>'Corrected energy balance step 2'!BO24</f>
        <v>0</v>
      </c>
    </row>
    <row r="20" spans="1:66" x14ac:dyDescent="0.2">
      <c r="A20" t="s">
        <v>67</v>
      </c>
      <c r="B20">
        <f>'Corrected energy balance step 2'!C25</f>
        <v>0</v>
      </c>
      <c r="C20">
        <f>'Corrected energy balance step 2'!D25</f>
        <v>0</v>
      </c>
      <c r="D20">
        <f>'Corrected energy balance step 2'!E25</f>
        <v>0</v>
      </c>
      <c r="E20">
        <f>'Corrected energy balance step 2'!F25</f>
        <v>0</v>
      </c>
      <c r="F20">
        <f>'Corrected energy balance step 2'!G25</f>
        <v>0</v>
      </c>
      <c r="G20">
        <f>'Corrected energy balance step 2'!H25</f>
        <v>0</v>
      </c>
      <c r="H20">
        <f>'Corrected energy balance step 2'!I25</f>
        <v>0</v>
      </c>
      <c r="I20">
        <f>'Corrected energy balance step 2'!J25</f>
        <v>0</v>
      </c>
      <c r="J20">
        <f>'Corrected energy balance step 2'!K25</f>
        <v>0</v>
      </c>
      <c r="K20">
        <f>'Corrected energy balance step 2'!L25</f>
        <v>0</v>
      </c>
      <c r="L20">
        <f>'Corrected energy balance step 2'!M25</f>
        <v>0</v>
      </c>
      <c r="M20">
        <f>'Corrected energy balance step 2'!N25</f>
        <v>0</v>
      </c>
      <c r="N20">
        <f>'Corrected energy balance step 2'!O25</f>
        <v>0</v>
      </c>
      <c r="O20">
        <f>'Corrected energy balance step 2'!P25</f>
        <v>0</v>
      </c>
      <c r="P20">
        <f>'Corrected energy balance step 2'!Q25</f>
        <v>0</v>
      </c>
      <c r="Q20">
        <f>'Corrected energy balance step 2'!R25</f>
        <v>0</v>
      </c>
      <c r="R20">
        <f>'Corrected energy balance step 2'!S25</f>
        <v>0</v>
      </c>
      <c r="S20">
        <f>'Corrected energy balance step 2'!T25</f>
        <v>0</v>
      </c>
      <c r="T20">
        <f>'Corrected energy balance step 2'!U25</f>
        <v>0</v>
      </c>
      <c r="U20">
        <f>'Corrected energy balance step 2'!V25</f>
        <v>0</v>
      </c>
      <c r="V20">
        <f>'Corrected energy balance step 2'!W25</f>
        <v>0</v>
      </c>
      <c r="W20">
        <f>'Corrected energy balance step 2'!X25</f>
        <v>0</v>
      </c>
      <c r="X20">
        <f>'Corrected energy balance step 2'!Y25</f>
        <v>0</v>
      </c>
      <c r="Y20">
        <f>'Corrected energy balance step 2'!Z25</f>
        <v>0</v>
      </c>
      <c r="Z20">
        <f>'Corrected energy balance step 2'!AA25</f>
        <v>0</v>
      </c>
      <c r="AA20">
        <f>'Corrected energy balance step 2'!AB25</f>
        <v>0</v>
      </c>
      <c r="AB20">
        <f>'Corrected energy balance step 2'!AC25</f>
        <v>0</v>
      </c>
      <c r="AC20">
        <f>'Corrected energy balance step 2'!AD25</f>
        <v>0</v>
      </c>
      <c r="AD20">
        <f>'Corrected energy balance step 2'!AE25</f>
        <v>0</v>
      </c>
      <c r="AE20">
        <f>'Corrected energy balance step 2'!AF25</f>
        <v>0</v>
      </c>
      <c r="AF20">
        <f>'Corrected energy balance step 2'!AG25</f>
        <v>0</v>
      </c>
      <c r="AG20">
        <f>'Corrected energy balance step 2'!AH25</f>
        <v>0</v>
      </c>
      <c r="AH20">
        <f>'Corrected energy balance step 2'!AI25</f>
        <v>0</v>
      </c>
      <c r="AI20">
        <f>'Corrected energy balance step 2'!AJ25</f>
        <v>0</v>
      </c>
      <c r="AJ20">
        <f>'Corrected energy balance step 2'!AK25</f>
        <v>0</v>
      </c>
      <c r="AK20">
        <f>'Corrected energy balance step 2'!AL25</f>
        <v>0</v>
      </c>
      <c r="AL20">
        <f>'Corrected energy balance step 2'!AM25</f>
        <v>0</v>
      </c>
      <c r="AM20">
        <f>'Corrected energy balance step 2'!AN25</f>
        <v>0</v>
      </c>
      <c r="AN20">
        <f>'Corrected energy balance step 2'!AO25</f>
        <v>0</v>
      </c>
      <c r="AO20">
        <f>'Corrected energy balance step 2'!AP25</f>
        <v>0</v>
      </c>
      <c r="AP20">
        <f>'Corrected energy balance step 2'!AQ25</f>
        <v>0</v>
      </c>
      <c r="AQ20">
        <f>'Corrected energy balance step 2'!AR25</f>
        <v>0</v>
      </c>
      <c r="AR20">
        <f>'Corrected energy balance step 2'!AS25</f>
        <v>0</v>
      </c>
      <c r="AS20">
        <f>'Corrected energy balance step 2'!AT25</f>
        <v>0</v>
      </c>
      <c r="AT20">
        <f>'Corrected energy balance step 2'!AU25</f>
        <v>0</v>
      </c>
      <c r="AU20">
        <f>'Corrected energy balance step 2'!AV25</f>
        <v>0</v>
      </c>
      <c r="AV20">
        <f>'Corrected energy balance step 2'!AW25</f>
        <v>0</v>
      </c>
      <c r="AW20">
        <f>'Corrected energy balance step 2'!AX25</f>
        <v>0</v>
      </c>
      <c r="AX20">
        <f>'Corrected energy balance step 2'!AY25</f>
        <v>0</v>
      </c>
      <c r="AY20">
        <f>'Corrected energy balance step 2'!AZ25</f>
        <v>0</v>
      </c>
      <c r="AZ20">
        <f>'Corrected energy balance step 2'!BA25</f>
        <v>0</v>
      </c>
      <c r="BA20">
        <f>'Corrected energy balance step 2'!BB25</f>
        <v>0</v>
      </c>
      <c r="BB20">
        <f>'Corrected energy balance step 2'!BC25</f>
        <v>0</v>
      </c>
      <c r="BC20">
        <f>'Corrected energy balance step 2'!BD25</f>
        <v>0</v>
      </c>
      <c r="BD20">
        <f>'Corrected energy balance step 2'!BE25</f>
        <v>0</v>
      </c>
      <c r="BE20">
        <f>'Corrected energy balance step 2'!BF25</f>
        <v>0</v>
      </c>
      <c r="BF20">
        <f>'Corrected energy balance step 2'!BG25</f>
        <v>0</v>
      </c>
      <c r="BG20">
        <f>'Corrected energy balance step 2'!BH25</f>
        <v>0</v>
      </c>
      <c r="BH20">
        <f>'Corrected energy balance step 2'!BI25</f>
        <v>0</v>
      </c>
      <c r="BI20">
        <f>'Corrected energy balance step 2'!BJ25</f>
        <v>0</v>
      </c>
      <c r="BJ20">
        <f>'Corrected energy balance step 2'!BK25</f>
        <v>0</v>
      </c>
      <c r="BK20">
        <f>'Corrected energy balance step 2'!BL25</f>
        <v>0</v>
      </c>
      <c r="BL20">
        <f>'Corrected energy balance step 2'!BM25</f>
        <v>0</v>
      </c>
      <c r="BM20">
        <f>'Corrected energy balance step 2'!BN25</f>
        <v>0</v>
      </c>
      <c r="BN20">
        <f>'Corrected energy balance step 2'!BO25</f>
        <v>0</v>
      </c>
    </row>
    <row r="21" spans="1:66" x14ac:dyDescent="0.2">
      <c r="A21" t="s">
        <v>68</v>
      </c>
      <c r="B21">
        <f>'Corrected energy balance step 2'!C26</f>
        <v>0</v>
      </c>
      <c r="C21">
        <f>'Corrected energy balance step 2'!D26</f>
        <v>0</v>
      </c>
      <c r="D21">
        <f>'Corrected energy balance step 2'!E26</f>
        <v>0</v>
      </c>
      <c r="E21">
        <f>'Corrected energy balance step 2'!F26</f>
        <v>0</v>
      </c>
      <c r="F21">
        <f>'Corrected energy balance step 2'!G26</f>
        <v>0</v>
      </c>
      <c r="G21">
        <f>'Corrected energy balance step 2'!H26</f>
        <v>0</v>
      </c>
      <c r="H21">
        <f>'Corrected energy balance step 2'!I26</f>
        <v>0</v>
      </c>
      <c r="I21">
        <f>'Corrected energy balance step 2'!J26</f>
        <v>0</v>
      </c>
      <c r="J21">
        <f>'Corrected energy balance step 2'!K26</f>
        <v>0</v>
      </c>
      <c r="K21">
        <f>'Corrected energy balance step 2'!L26</f>
        <v>0</v>
      </c>
      <c r="L21">
        <f>'Corrected energy balance step 2'!M26</f>
        <v>0</v>
      </c>
      <c r="M21">
        <f>'Corrected energy balance step 2'!N26</f>
        <v>0</v>
      </c>
      <c r="N21">
        <f>'Corrected energy balance step 2'!O26</f>
        <v>0</v>
      </c>
      <c r="O21">
        <f>'Corrected energy balance step 2'!P26</f>
        <v>0</v>
      </c>
      <c r="P21">
        <f>'Corrected energy balance step 2'!Q26</f>
        <v>0</v>
      </c>
      <c r="Q21">
        <f>'Corrected energy balance step 2'!R26</f>
        <v>0</v>
      </c>
      <c r="R21">
        <f>'Corrected energy balance step 2'!S26</f>
        <v>0</v>
      </c>
      <c r="S21">
        <f>'Corrected energy balance step 2'!T26</f>
        <v>0</v>
      </c>
      <c r="T21">
        <f>'Corrected energy balance step 2'!U26</f>
        <v>0</v>
      </c>
      <c r="U21">
        <f>'Corrected energy balance step 2'!V26</f>
        <v>0</v>
      </c>
      <c r="V21">
        <f>'Corrected energy balance step 2'!W26</f>
        <v>0</v>
      </c>
      <c r="W21">
        <f>'Corrected energy balance step 2'!X26</f>
        <v>0</v>
      </c>
      <c r="X21">
        <f>'Corrected energy balance step 2'!Y26</f>
        <v>0</v>
      </c>
      <c r="Y21">
        <f>'Corrected energy balance step 2'!Z26</f>
        <v>0</v>
      </c>
      <c r="Z21">
        <f>'Corrected energy balance step 2'!AA26</f>
        <v>0</v>
      </c>
      <c r="AA21">
        <f>'Corrected energy balance step 2'!AB26</f>
        <v>0</v>
      </c>
      <c r="AB21">
        <f>'Corrected energy balance step 2'!AC26</f>
        <v>0</v>
      </c>
      <c r="AC21">
        <f>'Corrected energy balance step 2'!AD26</f>
        <v>0</v>
      </c>
      <c r="AD21">
        <f>'Corrected energy balance step 2'!AE26</f>
        <v>0</v>
      </c>
      <c r="AE21">
        <f>'Corrected energy balance step 2'!AF26</f>
        <v>0</v>
      </c>
      <c r="AF21">
        <f>'Corrected energy balance step 2'!AG26</f>
        <v>0</v>
      </c>
      <c r="AG21">
        <f>'Corrected energy balance step 2'!AH26</f>
        <v>0</v>
      </c>
      <c r="AH21">
        <f>'Corrected energy balance step 2'!AI26</f>
        <v>0</v>
      </c>
      <c r="AI21">
        <f>'Corrected energy balance step 2'!AJ26</f>
        <v>0</v>
      </c>
      <c r="AJ21">
        <f>'Corrected energy balance step 2'!AK26</f>
        <v>0</v>
      </c>
      <c r="AK21">
        <f>'Corrected energy balance step 2'!AL26</f>
        <v>0</v>
      </c>
      <c r="AL21">
        <f>'Corrected energy balance step 2'!AM26</f>
        <v>0</v>
      </c>
      <c r="AM21">
        <f>'Corrected energy balance step 2'!AN26</f>
        <v>0</v>
      </c>
      <c r="AN21">
        <f>'Corrected energy balance step 2'!AO26</f>
        <v>0</v>
      </c>
      <c r="AO21">
        <f>'Corrected energy balance step 2'!AP26</f>
        <v>0</v>
      </c>
      <c r="AP21">
        <f>'Corrected energy balance step 2'!AQ26</f>
        <v>0</v>
      </c>
      <c r="AQ21">
        <f>'Corrected energy balance step 2'!AR26</f>
        <v>0</v>
      </c>
      <c r="AR21">
        <f>'Corrected energy balance step 2'!AS26</f>
        <v>0</v>
      </c>
      <c r="AS21">
        <f>'Corrected energy balance step 2'!AT26</f>
        <v>0</v>
      </c>
      <c r="AT21">
        <f>'Corrected energy balance step 2'!AU26</f>
        <v>0</v>
      </c>
      <c r="AU21">
        <f>'Corrected energy balance step 2'!AV26</f>
        <v>0</v>
      </c>
      <c r="AV21">
        <f>'Corrected energy balance step 2'!AW26</f>
        <v>0</v>
      </c>
      <c r="AW21">
        <f>'Corrected energy balance step 2'!AX26</f>
        <v>0</v>
      </c>
      <c r="AX21">
        <f>'Corrected energy balance step 2'!AY26</f>
        <v>0</v>
      </c>
      <c r="AY21">
        <f>'Corrected energy balance step 2'!AZ26</f>
        <v>0</v>
      </c>
      <c r="AZ21">
        <f>'Corrected energy balance step 2'!BA26</f>
        <v>0</v>
      </c>
      <c r="BA21">
        <f>'Corrected energy balance step 2'!BB26</f>
        <v>0</v>
      </c>
      <c r="BB21">
        <f>'Corrected energy balance step 2'!BC26</f>
        <v>0</v>
      </c>
      <c r="BC21">
        <f>'Corrected energy balance step 2'!BD26</f>
        <v>0</v>
      </c>
      <c r="BD21">
        <f>'Corrected energy balance step 2'!BE26</f>
        <v>0</v>
      </c>
      <c r="BE21">
        <f>'Corrected energy balance step 2'!BF26</f>
        <v>0</v>
      </c>
      <c r="BF21">
        <f>'Corrected energy balance step 2'!BG26</f>
        <v>0</v>
      </c>
      <c r="BG21">
        <f>'Corrected energy balance step 2'!BH26</f>
        <v>0</v>
      </c>
      <c r="BH21">
        <f>'Corrected energy balance step 2'!BI26</f>
        <v>0</v>
      </c>
      <c r="BI21">
        <f>'Corrected energy balance step 2'!BJ26</f>
        <v>0</v>
      </c>
      <c r="BJ21">
        <f>'Corrected energy balance step 2'!BK26</f>
        <v>0</v>
      </c>
      <c r="BK21">
        <f>'Corrected energy balance step 2'!BL26</f>
        <v>0</v>
      </c>
      <c r="BL21">
        <f>'Corrected energy balance step 2'!BM26</f>
        <v>0</v>
      </c>
      <c r="BM21">
        <f>'Corrected energy balance step 2'!BN26</f>
        <v>0</v>
      </c>
      <c r="BN21">
        <f>'Corrected energy balance step 2'!BO26</f>
        <v>0</v>
      </c>
    </row>
    <row r="22" spans="1:66" x14ac:dyDescent="0.2">
      <c r="A22" t="s">
        <v>69</v>
      </c>
      <c r="B22">
        <f>'Corrected energy balance step 2'!C27</f>
        <v>0</v>
      </c>
      <c r="C22">
        <f>'Corrected energy balance step 2'!D27</f>
        <v>0</v>
      </c>
      <c r="D22">
        <f>'Corrected energy balance step 2'!E27</f>
        <v>0</v>
      </c>
      <c r="E22">
        <f>'Corrected energy balance step 2'!F27</f>
        <v>0</v>
      </c>
      <c r="F22">
        <f>'Corrected energy balance step 2'!G27</f>
        <v>0</v>
      </c>
      <c r="G22">
        <f>'Corrected energy balance step 2'!H27</f>
        <v>0</v>
      </c>
      <c r="H22">
        <f>'Corrected energy balance step 2'!I27</f>
        <v>0</v>
      </c>
      <c r="I22">
        <f>'Corrected energy balance step 2'!J27</f>
        <v>0</v>
      </c>
      <c r="J22">
        <f>'Corrected energy balance step 2'!K27</f>
        <v>0</v>
      </c>
      <c r="K22">
        <f>'Corrected energy balance step 2'!L27</f>
        <v>0</v>
      </c>
      <c r="L22">
        <f>'Corrected energy balance step 2'!M27</f>
        <v>0</v>
      </c>
      <c r="M22">
        <f>'Corrected energy balance step 2'!N27</f>
        <v>0</v>
      </c>
      <c r="N22">
        <f>'Corrected energy balance step 2'!O27</f>
        <v>0</v>
      </c>
      <c r="O22">
        <f>'Corrected energy balance step 2'!P27</f>
        <v>0</v>
      </c>
      <c r="P22">
        <f>'Corrected energy balance step 2'!Q27</f>
        <v>0</v>
      </c>
      <c r="Q22">
        <f>'Corrected energy balance step 2'!R27</f>
        <v>0</v>
      </c>
      <c r="R22">
        <f>'Corrected energy balance step 2'!S27</f>
        <v>0</v>
      </c>
      <c r="S22">
        <f>'Corrected energy balance step 2'!T27</f>
        <v>0</v>
      </c>
      <c r="T22">
        <f>'Corrected energy balance step 2'!U27</f>
        <v>0</v>
      </c>
      <c r="U22">
        <f>'Corrected energy balance step 2'!V27</f>
        <v>0</v>
      </c>
      <c r="V22">
        <f>'Corrected energy balance step 2'!W27</f>
        <v>0</v>
      </c>
      <c r="W22">
        <f>'Corrected energy balance step 2'!X27</f>
        <v>0</v>
      </c>
      <c r="X22">
        <f>'Corrected energy balance step 2'!Y27</f>
        <v>0</v>
      </c>
      <c r="Y22">
        <f>'Corrected energy balance step 2'!Z27</f>
        <v>0</v>
      </c>
      <c r="Z22">
        <f>'Corrected energy balance step 2'!AA27</f>
        <v>0</v>
      </c>
      <c r="AA22">
        <f>'Corrected energy balance step 2'!AB27</f>
        <v>0</v>
      </c>
      <c r="AB22">
        <f>'Corrected energy balance step 2'!AC27</f>
        <v>0</v>
      </c>
      <c r="AC22">
        <f>'Corrected energy balance step 2'!AD27</f>
        <v>0</v>
      </c>
      <c r="AD22">
        <f>'Corrected energy balance step 2'!AE27</f>
        <v>0</v>
      </c>
      <c r="AE22">
        <f>'Corrected energy balance step 2'!AF27</f>
        <v>0</v>
      </c>
      <c r="AF22">
        <f>'Corrected energy balance step 2'!AG27</f>
        <v>0</v>
      </c>
      <c r="AG22">
        <f>'Corrected energy balance step 2'!AH27</f>
        <v>0</v>
      </c>
      <c r="AH22">
        <f>'Corrected energy balance step 2'!AI27</f>
        <v>0</v>
      </c>
      <c r="AI22">
        <f>'Corrected energy balance step 2'!AJ27</f>
        <v>0</v>
      </c>
      <c r="AJ22">
        <f>'Corrected energy balance step 2'!AK27</f>
        <v>0</v>
      </c>
      <c r="AK22">
        <f>'Corrected energy balance step 2'!AL27</f>
        <v>0</v>
      </c>
      <c r="AL22">
        <f>'Corrected energy balance step 2'!AM27</f>
        <v>0</v>
      </c>
      <c r="AM22">
        <f>'Corrected energy balance step 2'!AN27</f>
        <v>0</v>
      </c>
      <c r="AN22">
        <f>'Corrected energy balance step 2'!AO27</f>
        <v>0</v>
      </c>
      <c r="AO22">
        <f>'Corrected energy balance step 2'!AP27</f>
        <v>0</v>
      </c>
      <c r="AP22">
        <f>'Corrected energy balance step 2'!AQ27</f>
        <v>0</v>
      </c>
      <c r="AQ22">
        <f>'Corrected energy balance step 2'!AR27</f>
        <v>0</v>
      </c>
      <c r="AR22">
        <f>'Corrected energy balance step 2'!AS27</f>
        <v>0</v>
      </c>
      <c r="AS22">
        <f>'Corrected energy balance step 2'!AT27</f>
        <v>0</v>
      </c>
      <c r="AT22">
        <f>'Corrected energy balance step 2'!AU27</f>
        <v>0</v>
      </c>
      <c r="AU22">
        <f>'Corrected energy balance step 2'!AV27</f>
        <v>0</v>
      </c>
      <c r="AV22">
        <f>'Corrected energy balance step 2'!AW27</f>
        <v>0</v>
      </c>
      <c r="AW22">
        <f>'Corrected energy balance step 2'!AX27</f>
        <v>0</v>
      </c>
      <c r="AX22">
        <f>'Corrected energy balance step 2'!AY27</f>
        <v>0</v>
      </c>
      <c r="AY22">
        <f>'Corrected energy balance step 2'!AZ27</f>
        <v>0</v>
      </c>
      <c r="AZ22">
        <f>'Corrected energy balance step 2'!BA27</f>
        <v>0</v>
      </c>
      <c r="BA22">
        <f>'Corrected energy balance step 2'!BB27</f>
        <v>0</v>
      </c>
      <c r="BB22">
        <f>'Corrected energy balance step 2'!BC27</f>
        <v>0</v>
      </c>
      <c r="BC22">
        <f>'Corrected energy balance step 2'!BD27</f>
        <v>0</v>
      </c>
      <c r="BD22">
        <f>'Corrected energy balance step 2'!BE27</f>
        <v>0</v>
      </c>
      <c r="BE22">
        <f>'Corrected energy balance step 2'!BF27</f>
        <v>0</v>
      </c>
      <c r="BF22">
        <f>'Corrected energy balance step 2'!BG27</f>
        <v>0</v>
      </c>
      <c r="BG22">
        <f>'Corrected energy balance step 2'!BH27</f>
        <v>0</v>
      </c>
      <c r="BH22">
        <f>'Corrected energy balance step 2'!BI27</f>
        <v>0</v>
      </c>
      <c r="BI22">
        <f>'Corrected energy balance step 2'!BJ27</f>
        <v>0</v>
      </c>
      <c r="BJ22">
        <f>'Corrected energy balance step 2'!BK27</f>
        <v>0</v>
      </c>
      <c r="BK22">
        <f>'Corrected energy balance step 2'!BL27</f>
        <v>0</v>
      </c>
      <c r="BL22">
        <f>'Corrected energy balance step 2'!BM27</f>
        <v>0</v>
      </c>
      <c r="BM22">
        <f>'Corrected energy balance step 2'!BN27</f>
        <v>0</v>
      </c>
      <c r="BN22">
        <f>'Corrected energy balance step 2'!BO27</f>
        <v>0</v>
      </c>
    </row>
    <row r="23" spans="1:66" x14ac:dyDescent="0.2">
      <c r="A23" s="281" t="s">
        <v>511</v>
      </c>
      <c r="B23">
        <f>'Corrected energy balance step 2'!C28</f>
        <v>0</v>
      </c>
      <c r="C23">
        <f>'Corrected energy balance step 2'!D28</f>
        <v>0</v>
      </c>
      <c r="D23">
        <f>'Corrected energy balance step 2'!E28</f>
        <v>0</v>
      </c>
      <c r="E23">
        <f>'Corrected energy balance step 2'!F28</f>
        <v>0</v>
      </c>
      <c r="F23">
        <f>'Corrected energy balance step 2'!G28</f>
        <v>0</v>
      </c>
      <c r="G23">
        <f>'Corrected energy balance step 2'!H28</f>
        <v>0</v>
      </c>
      <c r="H23">
        <f>'Corrected energy balance step 2'!I28</f>
        <v>0</v>
      </c>
      <c r="I23">
        <f>'Corrected energy balance step 2'!J28</f>
        <v>0</v>
      </c>
      <c r="J23">
        <f>'Corrected energy balance step 2'!K28</f>
        <v>0</v>
      </c>
      <c r="K23">
        <f>'Corrected energy balance step 2'!L28</f>
        <v>0</v>
      </c>
      <c r="L23">
        <f>'Corrected energy balance step 2'!M28</f>
        <v>0</v>
      </c>
      <c r="M23">
        <f>'Corrected energy balance step 2'!N28</f>
        <v>0</v>
      </c>
      <c r="N23">
        <f>'Corrected energy balance step 2'!O28</f>
        <v>0</v>
      </c>
      <c r="O23">
        <f>'Corrected energy balance step 2'!P28</f>
        <v>0</v>
      </c>
      <c r="P23">
        <f>'Corrected energy balance step 2'!Q28</f>
        <v>0</v>
      </c>
      <c r="Q23">
        <f>'Corrected energy balance step 2'!R28</f>
        <v>0</v>
      </c>
      <c r="R23">
        <f>'Corrected energy balance step 2'!S28</f>
        <v>0</v>
      </c>
      <c r="S23">
        <f>'Corrected energy balance step 2'!T28</f>
        <v>0</v>
      </c>
      <c r="T23">
        <f>'Corrected energy balance step 2'!U28</f>
        <v>0</v>
      </c>
      <c r="U23">
        <f>'Corrected energy balance step 2'!V28</f>
        <v>0</v>
      </c>
      <c r="V23">
        <f>'Corrected energy balance step 2'!W28</f>
        <v>0</v>
      </c>
      <c r="W23">
        <f>'Corrected energy balance step 2'!X28</f>
        <v>0</v>
      </c>
      <c r="X23">
        <f>'Corrected energy balance step 2'!Y28</f>
        <v>0</v>
      </c>
      <c r="Y23">
        <f>'Corrected energy balance step 2'!Z28</f>
        <v>0</v>
      </c>
      <c r="Z23">
        <f>'Corrected energy balance step 2'!AA28</f>
        <v>0</v>
      </c>
      <c r="AA23">
        <f>'Corrected energy balance step 2'!AB28</f>
        <v>0</v>
      </c>
      <c r="AB23">
        <f>'Corrected energy balance step 2'!AC28</f>
        <v>0</v>
      </c>
      <c r="AC23">
        <f>'Corrected energy balance step 2'!AD28</f>
        <v>0</v>
      </c>
      <c r="AD23">
        <f>'Corrected energy balance step 2'!AE28</f>
        <v>0</v>
      </c>
      <c r="AE23">
        <f>'Corrected energy balance step 2'!AF28</f>
        <v>0</v>
      </c>
      <c r="AF23">
        <f>'Corrected energy balance step 2'!AG28</f>
        <v>0</v>
      </c>
      <c r="AG23">
        <f>'Corrected energy balance step 2'!AH28</f>
        <v>0</v>
      </c>
      <c r="AH23">
        <f>'Corrected energy balance step 2'!AI28</f>
        <v>0</v>
      </c>
      <c r="AI23">
        <f>'Corrected energy balance step 2'!AJ28</f>
        <v>0</v>
      </c>
      <c r="AJ23">
        <f>'Corrected energy balance step 2'!AK28</f>
        <v>0</v>
      </c>
      <c r="AK23">
        <f>'Corrected energy balance step 2'!AL28</f>
        <v>0</v>
      </c>
      <c r="AL23">
        <f>'Corrected energy balance step 2'!AM28</f>
        <v>0</v>
      </c>
      <c r="AM23">
        <f>'Corrected energy balance step 2'!AN28</f>
        <v>0</v>
      </c>
      <c r="AN23">
        <f>'Corrected energy balance step 2'!AO28</f>
        <v>0</v>
      </c>
      <c r="AO23">
        <f>'Corrected energy balance step 2'!AP28</f>
        <v>0</v>
      </c>
      <c r="AP23">
        <f>'Corrected energy balance step 2'!AQ28</f>
        <v>0</v>
      </c>
      <c r="AQ23">
        <f>'Corrected energy balance step 2'!AR28</f>
        <v>0</v>
      </c>
      <c r="AR23">
        <f>'Corrected energy balance step 2'!AS28</f>
        <v>0</v>
      </c>
      <c r="AS23">
        <f>'Corrected energy balance step 2'!AT28</f>
        <v>0</v>
      </c>
      <c r="AT23">
        <f>'Corrected energy balance step 2'!AU28</f>
        <v>0</v>
      </c>
      <c r="AU23">
        <f>'Corrected energy balance step 2'!AV28</f>
        <v>0</v>
      </c>
      <c r="AV23">
        <f>'Corrected energy balance step 2'!AW28</f>
        <v>0</v>
      </c>
      <c r="AW23">
        <f>'Corrected energy balance step 2'!AX28</f>
        <v>0</v>
      </c>
      <c r="AX23">
        <f>'Corrected energy balance step 2'!AY28</f>
        <v>0</v>
      </c>
      <c r="AY23">
        <f>'Corrected energy balance step 2'!AZ28</f>
        <v>0</v>
      </c>
      <c r="AZ23">
        <f>'Corrected energy balance step 2'!BA28</f>
        <v>0</v>
      </c>
      <c r="BA23">
        <f>'Corrected energy balance step 2'!BB28</f>
        <v>0</v>
      </c>
      <c r="BB23">
        <f>'Corrected energy balance step 2'!BC28</f>
        <v>0</v>
      </c>
      <c r="BC23">
        <f>'Corrected energy balance step 2'!BD28</f>
        <v>0</v>
      </c>
      <c r="BD23">
        <f>'Corrected energy balance step 2'!BE28</f>
        <v>0</v>
      </c>
      <c r="BE23">
        <f>'Corrected energy balance step 2'!BF28</f>
        <v>0</v>
      </c>
      <c r="BF23">
        <f>'Corrected energy balance step 2'!BG28</f>
        <v>0</v>
      </c>
      <c r="BG23">
        <f>'Corrected energy balance step 2'!BH28</f>
        <v>0</v>
      </c>
      <c r="BH23">
        <f>'Corrected energy balance step 2'!BI28</f>
        <v>0</v>
      </c>
      <c r="BI23">
        <f>'Corrected energy balance step 2'!BJ28</f>
        <v>0</v>
      </c>
      <c r="BJ23">
        <f>'Corrected energy balance step 2'!BK28</f>
        <v>0</v>
      </c>
      <c r="BK23">
        <f>'Corrected energy balance step 2'!BL28</f>
        <v>0</v>
      </c>
      <c r="BL23">
        <f>'Corrected energy balance step 2'!BM28</f>
        <v>0</v>
      </c>
      <c r="BM23">
        <f>'Corrected energy balance step 2'!BN28</f>
        <v>0</v>
      </c>
      <c r="BN23">
        <f>'Corrected energy balance step 2'!BO28</f>
        <v>0</v>
      </c>
    </row>
    <row r="24" spans="1:66" x14ac:dyDescent="0.2">
      <c r="A24" s="226" t="s">
        <v>497</v>
      </c>
      <c r="B24">
        <f>'Corrected energy balance step 2'!C29</f>
        <v>0</v>
      </c>
      <c r="C24">
        <f>'Corrected energy balance step 2'!D29</f>
        <v>0</v>
      </c>
      <c r="D24">
        <f>'Corrected energy balance step 2'!E29</f>
        <v>0</v>
      </c>
      <c r="E24">
        <f>'Corrected energy balance step 2'!F29</f>
        <v>0</v>
      </c>
      <c r="F24">
        <f>'Corrected energy balance step 2'!G29</f>
        <v>0</v>
      </c>
      <c r="G24">
        <f>'Corrected energy balance step 2'!H29</f>
        <v>0</v>
      </c>
      <c r="H24">
        <f>'Corrected energy balance step 2'!I29</f>
        <v>0</v>
      </c>
      <c r="I24">
        <f>'Corrected energy balance step 2'!J29</f>
        <v>0</v>
      </c>
      <c r="J24">
        <f>'Corrected energy balance step 2'!K29</f>
        <v>0</v>
      </c>
      <c r="K24">
        <f>'Corrected energy balance step 2'!L29</f>
        <v>0</v>
      </c>
      <c r="L24">
        <f>'Corrected energy balance step 2'!M29</f>
        <v>0</v>
      </c>
      <c r="M24">
        <f>'Corrected energy balance step 2'!N29</f>
        <v>0</v>
      </c>
      <c r="N24">
        <f>'Corrected energy balance step 2'!O29</f>
        <v>0</v>
      </c>
      <c r="O24">
        <f>'Corrected energy balance step 2'!P29</f>
        <v>0</v>
      </c>
      <c r="P24">
        <f>'Corrected energy balance step 2'!Q29</f>
        <v>0</v>
      </c>
      <c r="Q24">
        <f>'Corrected energy balance step 2'!R29</f>
        <v>0</v>
      </c>
      <c r="R24">
        <f>'Corrected energy balance step 2'!S29</f>
        <v>0</v>
      </c>
      <c r="S24">
        <f>'Corrected energy balance step 2'!T29</f>
        <v>0</v>
      </c>
      <c r="T24">
        <f>'Corrected energy balance step 2'!U29</f>
        <v>0</v>
      </c>
      <c r="U24">
        <f>'Corrected energy balance step 2'!V29</f>
        <v>0</v>
      </c>
      <c r="V24">
        <f>'Corrected energy balance step 2'!W29</f>
        <v>0</v>
      </c>
      <c r="W24">
        <f>'Corrected energy balance step 2'!X29</f>
        <v>0</v>
      </c>
      <c r="X24">
        <f>'Corrected energy balance step 2'!Y29</f>
        <v>0</v>
      </c>
      <c r="Y24">
        <f>'Corrected energy balance step 2'!Z29</f>
        <v>0</v>
      </c>
      <c r="Z24">
        <f>'Corrected energy balance step 2'!AA29</f>
        <v>0</v>
      </c>
      <c r="AA24">
        <f>'Corrected energy balance step 2'!AB29</f>
        <v>0</v>
      </c>
      <c r="AB24">
        <f>'Corrected energy balance step 2'!AC29</f>
        <v>0</v>
      </c>
      <c r="AC24">
        <f>'Corrected energy balance step 2'!AD29</f>
        <v>0</v>
      </c>
      <c r="AD24">
        <f>'Corrected energy balance step 2'!AE29</f>
        <v>0</v>
      </c>
      <c r="AE24">
        <f>'Corrected energy balance step 2'!AF29</f>
        <v>0</v>
      </c>
      <c r="AF24">
        <f>'Corrected energy balance step 2'!AG29</f>
        <v>0</v>
      </c>
      <c r="AG24">
        <f>'Corrected energy balance step 2'!AH29</f>
        <v>0</v>
      </c>
      <c r="AH24">
        <f>'Corrected energy balance step 2'!AI29</f>
        <v>0</v>
      </c>
      <c r="AI24">
        <f>'Corrected energy balance step 2'!AJ29</f>
        <v>0</v>
      </c>
      <c r="AJ24">
        <f>'Corrected energy balance step 2'!AK29</f>
        <v>0</v>
      </c>
      <c r="AK24">
        <f>'Corrected energy balance step 2'!AL29</f>
        <v>0</v>
      </c>
      <c r="AL24">
        <f>'Corrected energy balance step 2'!AM29</f>
        <v>0</v>
      </c>
      <c r="AM24">
        <f>'Corrected energy balance step 2'!AN29</f>
        <v>0</v>
      </c>
      <c r="AN24">
        <f>'Corrected energy balance step 2'!AO29</f>
        <v>0</v>
      </c>
      <c r="AO24">
        <f>'Corrected energy balance step 2'!AP29</f>
        <v>0</v>
      </c>
      <c r="AP24">
        <f>'Corrected energy balance step 2'!AQ29</f>
        <v>0</v>
      </c>
      <c r="AQ24">
        <f>'Corrected energy balance step 2'!AR29</f>
        <v>0</v>
      </c>
      <c r="AR24">
        <f>'Corrected energy balance step 2'!AS29</f>
        <v>0</v>
      </c>
      <c r="AS24">
        <f>'Corrected energy balance step 2'!AT29</f>
        <v>0</v>
      </c>
      <c r="AT24">
        <f>'Corrected energy balance step 2'!AU29</f>
        <v>0</v>
      </c>
      <c r="AU24">
        <f>'Corrected energy balance step 2'!AV29</f>
        <v>0</v>
      </c>
      <c r="AV24">
        <f>'Corrected energy balance step 2'!AW29</f>
        <v>0</v>
      </c>
      <c r="AW24">
        <f>'Corrected energy balance step 2'!AX29</f>
        <v>0</v>
      </c>
      <c r="AX24">
        <f>'Corrected energy balance step 2'!AY29</f>
        <v>0</v>
      </c>
      <c r="AY24">
        <f>'Corrected energy balance step 2'!AZ29</f>
        <v>0</v>
      </c>
      <c r="AZ24">
        <f>'Corrected energy balance step 2'!BA29</f>
        <v>0</v>
      </c>
      <c r="BA24">
        <f>'Corrected energy balance step 2'!BB29</f>
        <v>0</v>
      </c>
      <c r="BB24">
        <f>'Corrected energy balance step 2'!BC29</f>
        <v>0</v>
      </c>
      <c r="BC24">
        <f>'Corrected energy balance step 2'!BD29</f>
        <v>0</v>
      </c>
      <c r="BD24">
        <f>'Corrected energy balance step 2'!BE29</f>
        <v>0</v>
      </c>
      <c r="BE24">
        <f>'Corrected energy balance step 2'!BF29</f>
        <v>0</v>
      </c>
      <c r="BF24">
        <f>'Corrected energy balance step 2'!BG29</f>
        <v>0</v>
      </c>
      <c r="BG24">
        <f>'Corrected energy balance step 2'!BH29</f>
        <v>0</v>
      </c>
      <c r="BH24">
        <f>'Corrected energy balance step 2'!BI29</f>
        <v>0</v>
      </c>
      <c r="BI24">
        <f>'Corrected energy balance step 2'!BJ29</f>
        <v>0</v>
      </c>
      <c r="BJ24">
        <f>'Corrected energy balance step 2'!BK29</f>
        <v>0</v>
      </c>
      <c r="BK24">
        <f>'Corrected energy balance step 2'!BL29</f>
        <v>0</v>
      </c>
      <c r="BL24">
        <f>'Corrected energy balance step 2'!BM29</f>
        <v>0</v>
      </c>
      <c r="BM24">
        <f>'Corrected energy balance step 2'!BN29</f>
        <v>0</v>
      </c>
      <c r="BN24">
        <f>'Corrected energy balance step 2'!BO29</f>
        <v>0</v>
      </c>
    </row>
    <row r="25" spans="1:66" x14ac:dyDescent="0.2">
      <c r="A25" s="226" t="s">
        <v>498</v>
      </c>
      <c r="B25">
        <f>'Corrected energy balance step 2'!C30</f>
        <v>0</v>
      </c>
      <c r="C25">
        <f>'Corrected energy balance step 2'!D30</f>
        <v>0</v>
      </c>
      <c r="D25">
        <f>'Corrected energy balance step 2'!E30</f>
        <v>0</v>
      </c>
      <c r="E25">
        <f>'Corrected energy balance step 2'!F30</f>
        <v>0</v>
      </c>
      <c r="F25">
        <f>'Corrected energy balance step 2'!G30</f>
        <v>0</v>
      </c>
      <c r="G25">
        <f>'Corrected energy balance step 2'!H30</f>
        <v>0</v>
      </c>
      <c r="H25">
        <f>'Corrected energy balance step 2'!I30</f>
        <v>0</v>
      </c>
      <c r="I25">
        <f>'Corrected energy balance step 2'!J30</f>
        <v>0</v>
      </c>
      <c r="J25">
        <f>'Corrected energy balance step 2'!K30</f>
        <v>0</v>
      </c>
      <c r="K25">
        <f>'Corrected energy balance step 2'!L30</f>
        <v>0</v>
      </c>
      <c r="L25">
        <f>'Corrected energy balance step 2'!M30</f>
        <v>0</v>
      </c>
      <c r="M25">
        <f>'Corrected energy balance step 2'!N30</f>
        <v>0</v>
      </c>
      <c r="N25">
        <f>'Corrected energy balance step 2'!O30</f>
        <v>0</v>
      </c>
      <c r="O25">
        <f>'Corrected energy balance step 2'!P30</f>
        <v>0</v>
      </c>
      <c r="P25">
        <f>'Corrected energy balance step 2'!Q30</f>
        <v>0</v>
      </c>
      <c r="Q25">
        <f>'Corrected energy balance step 2'!R30</f>
        <v>0</v>
      </c>
      <c r="R25">
        <f>'Corrected energy balance step 2'!S30</f>
        <v>0</v>
      </c>
      <c r="S25">
        <f>'Corrected energy balance step 2'!T30</f>
        <v>0</v>
      </c>
      <c r="T25">
        <f>'Corrected energy balance step 2'!U30</f>
        <v>0</v>
      </c>
      <c r="U25">
        <f>'Corrected energy balance step 2'!V30</f>
        <v>0</v>
      </c>
      <c r="V25">
        <f>'Corrected energy balance step 2'!W30</f>
        <v>0</v>
      </c>
      <c r="W25">
        <f>'Corrected energy balance step 2'!X30</f>
        <v>0</v>
      </c>
      <c r="X25">
        <f>'Corrected energy balance step 2'!Y30</f>
        <v>0</v>
      </c>
      <c r="Y25">
        <f>'Corrected energy balance step 2'!Z30</f>
        <v>0</v>
      </c>
      <c r="Z25">
        <f>'Corrected energy balance step 2'!AA30</f>
        <v>0</v>
      </c>
      <c r="AA25">
        <f>'Corrected energy balance step 2'!AB30</f>
        <v>0</v>
      </c>
      <c r="AB25">
        <f>'Corrected energy balance step 2'!AC30</f>
        <v>0</v>
      </c>
      <c r="AC25">
        <f>'Corrected energy balance step 2'!AD30</f>
        <v>0</v>
      </c>
      <c r="AD25">
        <f>'Corrected energy balance step 2'!AE30</f>
        <v>0</v>
      </c>
      <c r="AE25">
        <f>'Corrected energy balance step 2'!AF30</f>
        <v>0</v>
      </c>
      <c r="AF25">
        <f>'Corrected energy balance step 2'!AG30</f>
        <v>0</v>
      </c>
      <c r="AG25">
        <f>'Corrected energy balance step 2'!AH30</f>
        <v>0</v>
      </c>
      <c r="AH25">
        <f>'Corrected energy balance step 2'!AI30</f>
        <v>0</v>
      </c>
      <c r="AI25">
        <f>'Corrected energy balance step 2'!AJ30</f>
        <v>0</v>
      </c>
      <c r="AJ25">
        <f>'Corrected energy balance step 2'!AK30</f>
        <v>0</v>
      </c>
      <c r="AK25">
        <f>'Corrected energy balance step 2'!AL30</f>
        <v>0</v>
      </c>
      <c r="AL25">
        <f>'Corrected energy balance step 2'!AM30</f>
        <v>0</v>
      </c>
      <c r="AM25">
        <f>'Corrected energy balance step 2'!AN30</f>
        <v>0</v>
      </c>
      <c r="AN25">
        <f>'Corrected energy balance step 2'!AO30</f>
        <v>0</v>
      </c>
      <c r="AO25">
        <f>'Corrected energy balance step 2'!AP30</f>
        <v>0</v>
      </c>
      <c r="AP25">
        <f>'Corrected energy balance step 2'!AQ30</f>
        <v>0</v>
      </c>
      <c r="AQ25">
        <f>'Corrected energy balance step 2'!AR30</f>
        <v>0</v>
      </c>
      <c r="AR25">
        <f>'Corrected energy balance step 2'!AS30</f>
        <v>0</v>
      </c>
      <c r="AS25">
        <f>'Corrected energy balance step 2'!AT30</f>
        <v>0</v>
      </c>
      <c r="AT25">
        <f>'Corrected energy balance step 2'!AU30</f>
        <v>0</v>
      </c>
      <c r="AU25">
        <f>'Corrected energy balance step 2'!AV30</f>
        <v>0</v>
      </c>
      <c r="AV25">
        <f>'Corrected energy balance step 2'!AW30</f>
        <v>0</v>
      </c>
      <c r="AW25">
        <f>'Corrected energy balance step 2'!AX30</f>
        <v>0</v>
      </c>
      <c r="AX25">
        <f>'Corrected energy balance step 2'!AY30</f>
        <v>0</v>
      </c>
      <c r="AY25">
        <f>'Corrected energy balance step 2'!AZ30</f>
        <v>0</v>
      </c>
      <c r="AZ25">
        <f>'Corrected energy balance step 2'!BA30</f>
        <v>0</v>
      </c>
      <c r="BA25">
        <f>'Corrected energy balance step 2'!BB30</f>
        <v>0</v>
      </c>
      <c r="BB25">
        <f>'Corrected energy balance step 2'!BC30</f>
        <v>0</v>
      </c>
      <c r="BC25">
        <f>'Corrected energy balance step 2'!BD30</f>
        <v>0</v>
      </c>
      <c r="BD25">
        <f>'Corrected energy balance step 2'!BE30</f>
        <v>0</v>
      </c>
      <c r="BE25">
        <f>'Corrected energy balance step 2'!BF30</f>
        <v>0</v>
      </c>
      <c r="BF25">
        <f>'Corrected energy balance step 2'!BG30</f>
        <v>0</v>
      </c>
      <c r="BG25">
        <f>'Corrected energy balance step 2'!BH30</f>
        <v>0</v>
      </c>
      <c r="BH25">
        <f>'Corrected energy balance step 2'!BI30</f>
        <v>0</v>
      </c>
      <c r="BI25">
        <f>'Corrected energy balance step 2'!BJ30</f>
        <v>0</v>
      </c>
      <c r="BJ25">
        <f>'Corrected energy balance step 2'!BK30</f>
        <v>0</v>
      </c>
      <c r="BK25">
        <f>'Corrected energy balance step 2'!BL30</f>
        <v>0</v>
      </c>
      <c r="BL25">
        <f>'Corrected energy balance step 2'!BM30</f>
        <v>0</v>
      </c>
      <c r="BM25">
        <f>'Corrected energy balance step 2'!BN30</f>
        <v>0</v>
      </c>
      <c r="BN25">
        <f>'Corrected energy balance step 2'!BO30</f>
        <v>0</v>
      </c>
    </row>
    <row r="26" spans="1:66" x14ac:dyDescent="0.2">
      <c r="A26" s="226" t="s">
        <v>499</v>
      </c>
      <c r="B26">
        <f>'Corrected energy balance step 2'!C31</f>
        <v>0</v>
      </c>
      <c r="C26">
        <f>'Corrected energy balance step 2'!D31</f>
        <v>0</v>
      </c>
      <c r="D26">
        <f>'Corrected energy balance step 2'!E31</f>
        <v>0</v>
      </c>
      <c r="E26">
        <f>'Corrected energy balance step 2'!F31</f>
        <v>0</v>
      </c>
      <c r="F26">
        <f>'Corrected energy balance step 2'!G31</f>
        <v>0</v>
      </c>
      <c r="G26">
        <f>'Corrected energy balance step 2'!H31</f>
        <v>0</v>
      </c>
      <c r="H26">
        <f>'Corrected energy balance step 2'!I31</f>
        <v>0</v>
      </c>
      <c r="I26">
        <f>'Corrected energy balance step 2'!J31</f>
        <v>0</v>
      </c>
      <c r="J26">
        <f>'Corrected energy balance step 2'!K31</f>
        <v>0</v>
      </c>
      <c r="K26">
        <f>'Corrected energy balance step 2'!L31</f>
        <v>0</v>
      </c>
      <c r="L26">
        <f>'Corrected energy balance step 2'!M31</f>
        <v>0</v>
      </c>
      <c r="M26">
        <f>'Corrected energy balance step 2'!N31</f>
        <v>0</v>
      </c>
      <c r="N26">
        <f>'Corrected energy balance step 2'!O31</f>
        <v>0</v>
      </c>
      <c r="O26">
        <f>'Corrected energy balance step 2'!P31</f>
        <v>0</v>
      </c>
      <c r="P26">
        <f>'Corrected energy balance step 2'!Q31</f>
        <v>0</v>
      </c>
      <c r="Q26">
        <f>'Corrected energy balance step 2'!R31</f>
        <v>0</v>
      </c>
      <c r="R26">
        <f>'Corrected energy balance step 2'!S31</f>
        <v>0</v>
      </c>
      <c r="S26">
        <f>'Corrected energy balance step 2'!T31</f>
        <v>0</v>
      </c>
      <c r="T26">
        <f>'Corrected energy balance step 2'!U31</f>
        <v>0</v>
      </c>
      <c r="U26">
        <f>'Corrected energy balance step 2'!V31</f>
        <v>0</v>
      </c>
      <c r="V26">
        <f>'Corrected energy balance step 2'!W31</f>
        <v>0</v>
      </c>
      <c r="W26">
        <f>'Corrected energy balance step 2'!X31</f>
        <v>0</v>
      </c>
      <c r="X26">
        <f>'Corrected energy balance step 2'!Y31</f>
        <v>0</v>
      </c>
      <c r="Y26">
        <f>'Corrected energy balance step 2'!Z31</f>
        <v>0</v>
      </c>
      <c r="Z26">
        <f>'Corrected energy balance step 2'!AA31</f>
        <v>0</v>
      </c>
      <c r="AA26">
        <f>'Corrected energy balance step 2'!AB31</f>
        <v>0</v>
      </c>
      <c r="AB26">
        <f>'Corrected energy balance step 2'!AC31</f>
        <v>0</v>
      </c>
      <c r="AC26">
        <f>'Corrected energy balance step 2'!AD31</f>
        <v>0</v>
      </c>
      <c r="AD26">
        <f>'Corrected energy balance step 2'!AE31</f>
        <v>0</v>
      </c>
      <c r="AE26">
        <f>'Corrected energy balance step 2'!AF31</f>
        <v>0</v>
      </c>
      <c r="AF26">
        <f>'Corrected energy balance step 2'!AG31</f>
        <v>0</v>
      </c>
      <c r="AG26">
        <f>'Corrected energy balance step 2'!AH31</f>
        <v>0</v>
      </c>
      <c r="AH26">
        <f>'Corrected energy balance step 2'!AI31</f>
        <v>0</v>
      </c>
      <c r="AI26">
        <f>'Corrected energy balance step 2'!AJ31</f>
        <v>0</v>
      </c>
      <c r="AJ26">
        <f>'Corrected energy balance step 2'!AK31</f>
        <v>0</v>
      </c>
      <c r="AK26">
        <f>'Corrected energy balance step 2'!AL31</f>
        <v>0</v>
      </c>
      <c r="AL26">
        <f>'Corrected energy balance step 2'!AM31</f>
        <v>0</v>
      </c>
      <c r="AM26">
        <f>'Corrected energy balance step 2'!AN31</f>
        <v>0</v>
      </c>
      <c r="AN26">
        <f>'Corrected energy balance step 2'!AO31</f>
        <v>0</v>
      </c>
      <c r="AO26">
        <f>'Corrected energy balance step 2'!AP31</f>
        <v>0</v>
      </c>
      <c r="AP26">
        <f>'Corrected energy balance step 2'!AQ31</f>
        <v>0</v>
      </c>
      <c r="AQ26">
        <f>'Corrected energy balance step 2'!AR31</f>
        <v>0</v>
      </c>
      <c r="AR26">
        <f>'Corrected energy balance step 2'!AS31</f>
        <v>0</v>
      </c>
      <c r="AS26">
        <f>'Corrected energy balance step 2'!AT31</f>
        <v>0</v>
      </c>
      <c r="AT26">
        <f>'Corrected energy balance step 2'!AU31</f>
        <v>0</v>
      </c>
      <c r="AU26">
        <f>'Corrected energy balance step 2'!AV31</f>
        <v>0</v>
      </c>
      <c r="AV26">
        <f>'Corrected energy balance step 2'!AW31</f>
        <v>0</v>
      </c>
      <c r="AW26">
        <f>'Corrected energy balance step 2'!AX31</f>
        <v>0</v>
      </c>
      <c r="AX26">
        <f>'Corrected energy balance step 2'!AY31</f>
        <v>0</v>
      </c>
      <c r="AY26">
        <f>'Corrected energy balance step 2'!AZ31</f>
        <v>0</v>
      </c>
      <c r="AZ26">
        <f>'Corrected energy balance step 2'!BA31</f>
        <v>0</v>
      </c>
      <c r="BA26">
        <f>'Corrected energy balance step 2'!BB31</f>
        <v>0</v>
      </c>
      <c r="BB26">
        <f>'Corrected energy balance step 2'!BC31</f>
        <v>0</v>
      </c>
      <c r="BC26">
        <f>'Corrected energy balance step 2'!BD31</f>
        <v>0</v>
      </c>
      <c r="BD26">
        <f>'Corrected energy balance step 2'!BE31</f>
        <v>0</v>
      </c>
      <c r="BE26">
        <f>'Corrected energy balance step 2'!BF31</f>
        <v>0</v>
      </c>
      <c r="BF26">
        <f>'Corrected energy balance step 2'!BG31</f>
        <v>0</v>
      </c>
      <c r="BG26">
        <f>'Corrected energy balance step 2'!BH31</f>
        <v>0</v>
      </c>
      <c r="BH26">
        <f>'Corrected energy balance step 2'!BI31</f>
        <v>0</v>
      </c>
      <c r="BI26">
        <f>'Corrected energy balance step 2'!BJ31</f>
        <v>0</v>
      </c>
      <c r="BJ26">
        <f>'Corrected energy balance step 2'!BK31</f>
        <v>0</v>
      </c>
      <c r="BK26">
        <f>'Corrected energy balance step 2'!BL31</f>
        <v>0</v>
      </c>
      <c r="BL26">
        <f>'Corrected energy balance step 2'!BM31</f>
        <v>0</v>
      </c>
      <c r="BM26">
        <f>'Corrected energy balance step 2'!BN31</f>
        <v>0</v>
      </c>
      <c r="BN26">
        <f>'Corrected energy balance step 2'!BO31</f>
        <v>0</v>
      </c>
    </row>
    <row r="27" spans="1:66" x14ac:dyDescent="0.2">
      <c r="A27" s="226" t="s">
        <v>500</v>
      </c>
      <c r="B27">
        <f>'Corrected energy balance step 2'!C32</f>
        <v>0</v>
      </c>
      <c r="C27">
        <f>'Corrected energy balance step 2'!D32</f>
        <v>0</v>
      </c>
      <c r="D27">
        <f>'Corrected energy balance step 2'!E32</f>
        <v>0</v>
      </c>
      <c r="E27">
        <f>'Corrected energy balance step 2'!F32</f>
        <v>0</v>
      </c>
      <c r="F27">
        <f>'Corrected energy balance step 2'!G32</f>
        <v>0</v>
      </c>
      <c r="G27">
        <f>'Corrected energy balance step 2'!H32</f>
        <v>0</v>
      </c>
      <c r="H27">
        <f>'Corrected energy balance step 2'!I32</f>
        <v>0</v>
      </c>
      <c r="I27">
        <f>'Corrected energy balance step 2'!J32</f>
        <v>0</v>
      </c>
      <c r="J27">
        <f>'Corrected energy balance step 2'!K32</f>
        <v>0</v>
      </c>
      <c r="K27">
        <f>'Corrected energy balance step 2'!L32</f>
        <v>0</v>
      </c>
      <c r="L27">
        <f>'Corrected energy balance step 2'!M32</f>
        <v>0</v>
      </c>
      <c r="M27">
        <f>'Corrected energy balance step 2'!N32</f>
        <v>0</v>
      </c>
      <c r="N27">
        <f>'Corrected energy balance step 2'!O32</f>
        <v>0</v>
      </c>
      <c r="O27">
        <f>'Corrected energy balance step 2'!P32</f>
        <v>0</v>
      </c>
      <c r="P27">
        <f>'Corrected energy balance step 2'!Q32</f>
        <v>0</v>
      </c>
      <c r="Q27">
        <f>'Corrected energy balance step 2'!R32</f>
        <v>0</v>
      </c>
      <c r="R27">
        <f>'Corrected energy balance step 2'!S32</f>
        <v>0</v>
      </c>
      <c r="S27">
        <f>'Corrected energy balance step 2'!T32</f>
        <v>0</v>
      </c>
      <c r="T27">
        <f>'Corrected energy balance step 2'!U32</f>
        <v>0</v>
      </c>
      <c r="U27">
        <f>'Corrected energy balance step 2'!V32</f>
        <v>0</v>
      </c>
      <c r="V27">
        <f>'Corrected energy balance step 2'!W32</f>
        <v>0</v>
      </c>
      <c r="W27">
        <f>'Corrected energy balance step 2'!X32</f>
        <v>0</v>
      </c>
      <c r="X27">
        <f>'Corrected energy balance step 2'!Y32</f>
        <v>0</v>
      </c>
      <c r="Y27">
        <f>'Corrected energy balance step 2'!Z32</f>
        <v>0</v>
      </c>
      <c r="Z27">
        <f>'Corrected energy balance step 2'!AA32</f>
        <v>0</v>
      </c>
      <c r="AA27">
        <f>'Corrected energy balance step 2'!AB32</f>
        <v>0</v>
      </c>
      <c r="AB27">
        <f>'Corrected energy balance step 2'!AC32</f>
        <v>0</v>
      </c>
      <c r="AC27">
        <f>'Corrected energy balance step 2'!AD32</f>
        <v>0</v>
      </c>
      <c r="AD27">
        <f>'Corrected energy balance step 2'!AE32</f>
        <v>0</v>
      </c>
      <c r="AE27">
        <f>'Corrected energy balance step 2'!AF32</f>
        <v>0</v>
      </c>
      <c r="AF27">
        <f>'Corrected energy balance step 2'!AG32</f>
        <v>0</v>
      </c>
      <c r="AG27">
        <f>'Corrected energy balance step 2'!AH32</f>
        <v>0</v>
      </c>
      <c r="AH27">
        <f>'Corrected energy balance step 2'!AI32</f>
        <v>0</v>
      </c>
      <c r="AI27">
        <f>'Corrected energy balance step 2'!AJ32</f>
        <v>0</v>
      </c>
      <c r="AJ27">
        <f>'Corrected energy balance step 2'!AK32</f>
        <v>0</v>
      </c>
      <c r="AK27">
        <f>'Corrected energy balance step 2'!AL32</f>
        <v>0</v>
      </c>
      <c r="AL27">
        <f>'Corrected energy balance step 2'!AM32</f>
        <v>0</v>
      </c>
      <c r="AM27">
        <f>'Corrected energy balance step 2'!AN32</f>
        <v>0</v>
      </c>
      <c r="AN27">
        <f>'Corrected energy balance step 2'!AO32</f>
        <v>0</v>
      </c>
      <c r="AO27">
        <f>'Corrected energy balance step 2'!AP32</f>
        <v>0</v>
      </c>
      <c r="AP27">
        <f>'Corrected energy balance step 2'!AQ32</f>
        <v>0</v>
      </c>
      <c r="AQ27">
        <f>'Corrected energy balance step 2'!AR32</f>
        <v>0</v>
      </c>
      <c r="AR27">
        <f>'Corrected energy balance step 2'!AS32</f>
        <v>0</v>
      </c>
      <c r="AS27">
        <f>'Corrected energy balance step 2'!AT32</f>
        <v>0</v>
      </c>
      <c r="AT27">
        <f>'Corrected energy balance step 2'!AU32</f>
        <v>0</v>
      </c>
      <c r="AU27">
        <f>'Corrected energy balance step 2'!AV32</f>
        <v>0</v>
      </c>
      <c r="AV27">
        <f>'Corrected energy balance step 2'!AW32</f>
        <v>0</v>
      </c>
      <c r="AW27">
        <f>'Corrected energy balance step 2'!AX32</f>
        <v>0</v>
      </c>
      <c r="AX27">
        <f>'Corrected energy balance step 2'!AY32</f>
        <v>0</v>
      </c>
      <c r="AY27">
        <f>'Corrected energy balance step 2'!AZ32</f>
        <v>0</v>
      </c>
      <c r="AZ27">
        <f>'Corrected energy balance step 2'!BA32</f>
        <v>0</v>
      </c>
      <c r="BA27">
        <f>'Corrected energy balance step 2'!BB32</f>
        <v>0</v>
      </c>
      <c r="BB27">
        <f>'Corrected energy balance step 2'!BC32</f>
        <v>0</v>
      </c>
      <c r="BC27">
        <f>'Corrected energy balance step 2'!BD32</f>
        <v>0</v>
      </c>
      <c r="BD27">
        <f>'Corrected energy balance step 2'!BE32</f>
        <v>0</v>
      </c>
      <c r="BE27">
        <f>'Corrected energy balance step 2'!BF32</f>
        <v>0</v>
      </c>
      <c r="BF27">
        <f>'Corrected energy balance step 2'!BG32</f>
        <v>0</v>
      </c>
      <c r="BG27">
        <f>'Corrected energy balance step 2'!BH32</f>
        <v>0</v>
      </c>
      <c r="BH27">
        <f>'Corrected energy balance step 2'!BI32</f>
        <v>0</v>
      </c>
      <c r="BI27">
        <f>'Corrected energy balance step 2'!BJ32</f>
        <v>0</v>
      </c>
      <c r="BJ27">
        <f>'Corrected energy balance step 2'!BK32</f>
        <v>0</v>
      </c>
      <c r="BK27">
        <f>'Corrected energy balance step 2'!BL32</f>
        <v>0</v>
      </c>
      <c r="BL27">
        <f>'Corrected energy balance step 2'!BM32</f>
        <v>0</v>
      </c>
      <c r="BM27">
        <f>'Corrected energy balance step 2'!BN32</f>
        <v>0</v>
      </c>
      <c r="BN27">
        <f>'Corrected energy balance step 2'!BO32</f>
        <v>0</v>
      </c>
    </row>
    <row r="28" spans="1:66" x14ac:dyDescent="0.2">
      <c r="A28" s="226" t="s">
        <v>501</v>
      </c>
      <c r="B28">
        <f>'Corrected energy balance step 2'!C33</f>
        <v>0</v>
      </c>
      <c r="C28">
        <f>'Corrected energy balance step 2'!D33</f>
        <v>0</v>
      </c>
      <c r="D28">
        <f>'Corrected energy balance step 2'!E33</f>
        <v>0</v>
      </c>
      <c r="E28">
        <f>'Corrected energy balance step 2'!F33</f>
        <v>0</v>
      </c>
      <c r="F28">
        <f>'Corrected energy balance step 2'!G33</f>
        <v>0</v>
      </c>
      <c r="G28">
        <f>'Corrected energy balance step 2'!H33</f>
        <v>0</v>
      </c>
      <c r="H28">
        <f>'Corrected energy balance step 2'!I33</f>
        <v>0</v>
      </c>
      <c r="I28">
        <f>'Corrected energy balance step 2'!J33</f>
        <v>0</v>
      </c>
      <c r="J28">
        <f>'Corrected energy balance step 2'!K33</f>
        <v>0</v>
      </c>
      <c r="K28">
        <f>'Corrected energy balance step 2'!L33</f>
        <v>0</v>
      </c>
      <c r="L28">
        <f>'Corrected energy balance step 2'!M33</f>
        <v>0</v>
      </c>
      <c r="M28">
        <f>'Corrected energy balance step 2'!N33</f>
        <v>0</v>
      </c>
      <c r="N28">
        <f>'Corrected energy balance step 2'!O33</f>
        <v>0</v>
      </c>
      <c r="O28">
        <f>'Corrected energy balance step 2'!P33</f>
        <v>0</v>
      </c>
      <c r="P28">
        <f>'Corrected energy balance step 2'!Q33</f>
        <v>0</v>
      </c>
      <c r="Q28">
        <f>'Corrected energy balance step 2'!R33</f>
        <v>0</v>
      </c>
      <c r="R28">
        <f>'Corrected energy balance step 2'!S33</f>
        <v>0</v>
      </c>
      <c r="S28">
        <f>'Corrected energy balance step 2'!T33</f>
        <v>0</v>
      </c>
      <c r="T28">
        <f>'Corrected energy balance step 2'!U33</f>
        <v>0</v>
      </c>
      <c r="U28">
        <f>'Corrected energy balance step 2'!V33</f>
        <v>0</v>
      </c>
      <c r="V28">
        <f>'Corrected energy balance step 2'!W33</f>
        <v>0</v>
      </c>
      <c r="W28">
        <f>'Corrected energy balance step 2'!X33</f>
        <v>0</v>
      </c>
      <c r="X28">
        <f>'Corrected energy balance step 2'!Y33</f>
        <v>0</v>
      </c>
      <c r="Y28">
        <f>'Corrected energy balance step 2'!Z33</f>
        <v>0</v>
      </c>
      <c r="Z28">
        <f>'Corrected energy balance step 2'!AA33</f>
        <v>0</v>
      </c>
      <c r="AA28">
        <f>'Corrected energy balance step 2'!AB33</f>
        <v>0</v>
      </c>
      <c r="AB28">
        <f>'Corrected energy balance step 2'!AC33</f>
        <v>0</v>
      </c>
      <c r="AC28">
        <f>'Corrected energy balance step 2'!AD33</f>
        <v>0</v>
      </c>
      <c r="AD28">
        <f>'Corrected energy balance step 2'!AE33</f>
        <v>0</v>
      </c>
      <c r="AE28">
        <f>'Corrected energy balance step 2'!AF33</f>
        <v>0</v>
      </c>
      <c r="AF28">
        <f>'Corrected energy balance step 2'!AG33</f>
        <v>0</v>
      </c>
      <c r="AG28">
        <f>'Corrected energy balance step 2'!AH33</f>
        <v>0</v>
      </c>
      <c r="AH28">
        <f>'Corrected energy balance step 2'!AI33</f>
        <v>0</v>
      </c>
      <c r="AI28">
        <f>'Corrected energy balance step 2'!AJ33</f>
        <v>0</v>
      </c>
      <c r="AJ28">
        <f>'Corrected energy balance step 2'!AK33</f>
        <v>0</v>
      </c>
      <c r="AK28">
        <f>'Corrected energy balance step 2'!AL33</f>
        <v>0</v>
      </c>
      <c r="AL28">
        <f>'Corrected energy balance step 2'!AM33</f>
        <v>0</v>
      </c>
      <c r="AM28">
        <f>'Corrected energy balance step 2'!AN33</f>
        <v>0</v>
      </c>
      <c r="AN28">
        <f>'Corrected energy balance step 2'!AO33</f>
        <v>0</v>
      </c>
      <c r="AO28">
        <f>'Corrected energy balance step 2'!AP33</f>
        <v>0</v>
      </c>
      <c r="AP28">
        <f>'Corrected energy balance step 2'!AQ33</f>
        <v>0</v>
      </c>
      <c r="AQ28">
        <f>'Corrected energy balance step 2'!AR33</f>
        <v>0</v>
      </c>
      <c r="AR28">
        <f>'Corrected energy balance step 2'!AS33</f>
        <v>0</v>
      </c>
      <c r="AS28">
        <f>'Corrected energy balance step 2'!AT33</f>
        <v>0</v>
      </c>
      <c r="AT28">
        <f>'Corrected energy balance step 2'!AU33</f>
        <v>0</v>
      </c>
      <c r="AU28">
        <f>'Corrected energy balance step 2'!AV33</f>
        <v>0</v>
      </c>
      <c r="AV28">
        <f>'Corrected energy balance step 2'!AW33</f>
        <v>0</v>
      </c>
      <c r="AW28">
        <f>'Corrected energy balance step 2'!AX33</f>
        <v>0</v>
      </c>
      <c r="AX28">
        <f>'Corrected energy balance step 2'!AY33</f>
        <v>0</v>
      </c>
      <c r="AY28">
        <f>'Corrected energy balance step 2'!AZ33</f>
        <v>0</v>
      </c>
      <c r="AZ28">
        <f>'Corrected energy balance step 2'!BA33</f>
        <v>0</v>
      </c>
      <c r="BA28">
        <f>'Corrected energy balance step 2'!BB33</f>
        <v>0</v>
      </c>
      <c r="BB28">
        <f>'Corrected energy balance step 2'!BC33</f>
        <v>0</v>
      </c>
      <c r="BC28">
        <f>'Corrected energy balance step 2'!BD33</f>
        <v>0</v>
      </c>
      <c r="BD28">
        <f>'Corrected energy balance step 2'!BE33</f>
        <v>0</v>
      </c>
      <c r="BE28">
        <f>'Corrected energy balance step 2'!BF33</f>
        <v>0</v>
      </c>
      <c r="BF28">
        <f>'Corrected energy balance step 2'!BG33</f>
        <v>0</v>
      </c>
      <c r="BG28">
        <f>'Corrected energy balance step 2'!BH33</f>
        <v>0</v>
      </c>
      <c r="BH28">
        <f>'Corrected energy balance step 2'!BI33</f>
        <v>0</v>
      </c>
      <c r="BI28">
        <f>'Corrected energy balance step 2'!BJ33</f>
        <v>0</v>
      </c>
      <c r="BJ28">
        <f>'Corrected energy balance step 2'!BK33</f>
        <v>0</v>
      </c>
      <c r="BK28">
        <f>'Corrected energy balance step 2'!BL33</f>
        <v>0</v>
      </c>
      <c r="BL28">
        <f>'Corrected energy balance step 2'!BM33</f>
        <v>0</v>
      </c>
      <c r="BM28">
        <f>'Corrected energy balance step 2'!BN33</f>
        <v>0</v>
      </c>
      <c r="BN28">
        <f>'Corrected energy balance step 2'!BO33</f>
        <v>0</v>
      </c>
    </row>
    <row r="29" spans="1:66" x14ac:dyDescent="0.2">
      <c r="A29" t="s">
        <v>76</v>
      </c>
      <c r="B29">
        <f>'Corrected energy balance step 2'!C34</f>
        <v>0</v>
      </c>
      <c r="C29">
        <f>'Corrected energy balance step 2'!D34</f>
        <v>0</v>
      </c>
      <c r="D29">
        <f>'Corrected energy balance step 2'!E34</f>
        <v>0</v>
      </c>
      <c r="E29">
        <f>'Corrected energy balance step 2'!F34</f>
        <v>0</v>
      </c>
      <c r="F29">
        <f>'Corrected energy balance step 2'!G34</f>
        <v>0</v>
      </c>
      <c r="G29">
        <f>'Corrected energy balance step 2'!H34</f>
        <v>0</v>
      </c>
      <c r="H29">
        <f>'Corrected energy balance step 2'!I34</f>
        <v>0</v>
      </c>
      <c r="I29">
        <f>'Corrected energy balance step 2'!J34</f>
        <v>0</v>
      </c>
      <c r="J29">
        <f>'Corrected energy balance step 2'!K34</f>
        <v>0</v>
      </c>
      <c r="K29">
        <f>'Corrected energy balance step 2'!L34</f>
        <v>0</v>
      </c>
      <c r="L29">
        <f>'Corrected energy balance step 2'!M34</f>
        <v>0</v>
      </c>
      <c r="M29">
        <f>'Corrected energy balance step 2'!N34</f>
        <v>0</v>
      </c>
      <c r="N29">
        <f>'Corrected energy balance step 2'!O34</f>
        <v>0</v>
      </c>
      <c r="O29">
        <f>'Corrected energy balance step 2'!P34</f>
        <v>0</v>
      </c>
      <c r="P29">
        <f>'Corrected energy balance step 2'!Q34</f>
        <v>0</v>
      </c>
      <c r="Q29">
        <f>'Corrected energy balance step 2'!R34</f>
        <v>0</v>
      </c>
      <c r="R29">
        <f>'Corrected energy balance step 2'!S34</f>
        <v>0</v>
      </c>
      <c r="S29">
        <f>'Corrected energy balance step 2'!T34</f>
        <v>0</v>
      </c>
      <c r="T29">
        <f>'Corrected energy balance step 2'!U34</f>
        <v>0</v>
      </c>
      <c r="U29">
        <f>'Corrected energy balance step 2'!V34</f>
        <v>0</v>
      </c>
      <c r="V29">
        <f>'Corrected energy balance step 2'!W34</f>
        <v>0</v>
      </c>
      <c r="W29">
        <f>'Corrected energy balance step 2'!X34</f>
        <v>0</v>
      </c>
      <c r="X29">
        <f>'Corrected energy balance step 2'!Y34</f>
        <v>0</v>
      </c>
      <c r="Y29">
        <f>'Corrected energy balance step 2'!Z34</f>
        <v>0</v>
      </c>
      <c r="Z29">
        <f>'Corrected energy balance step 2'!AA34</f>
        <v>0</v>
      </c>
      <c r="AA29">
        <f>'Corrected energy balance step 2'!AB34</f>
        <v>0</v>
      </c>
      <c r="AB29">
        <f>'Corrected energy balance step 2'!AC34</f>
        <v>0</v>
      </c>
      <c r="AC29">
        <f>'Corrected energy balance step 2'!AD34</f>
        <v>0</v>
      </c>
      <c r="AD29">
        <f>'Corrected energy balance step 2'!AE34</f>
        <v>0</v>
      </c>
      <c r="AE29">
        <f>'Corrected energy balance step 2'!AF34</f>
        <v>0</v>
      </c>
      <c r="AF29">
        <f>'Corrected energy balance step 2'!AG34</f>
        <v>0</v>
      </c>
      <c r="AG29">
        <f>'Corrected energy balance step 2'!AH34</f>
        <v>0</v>
      </c>
      <c r="AH29">
        <f>'Corrected energy balance step 2'!AI34</f>
        <v>0</v>
      </c>
      <c r="AI29">
        <f>'Corrected energy balance step 2'!AJ34</f>
        <v>0</v>
      </c>
      <c r="AJ29">
        <f>'Corrected energy balance step 2'!AK34</f>
        <v>0</v>
      </c>
      <c r="AK29">
        <f>'Corrected energy balance step 2'!AL34</f>
        <v>0</v>
      </c>
      <c r="AL29">
        <f>'Corrected energy balance step 2'!AM34</f>
        <v>0</v>
      </c>
      <c r="AM29">
        <f>'Corrected energy balance step 2'!AN34</f>
        <v>0</v>
      </c>
      <c r="AN29">
        <f>'Corrected energy balance step 2'!AO34</f>
        <v>0</v>
      </c>
      <c r="AO29">
        <f>'Corrected energy balance step 2'!AP34</f>
        <v>0</v>
      </c>
      <c r="AP29">
        <f>'Corrected energy balance step 2'!AQ34</f>
        <v>0</v>
      </c>
      <c r="AQ29">
        <f>'Corrected energy balance step 2'!AR34</f>
        <v>0</v>
      </c>
      <c r="AR29">
        <f>'Corrected energy balance step 2'!AS34</f>
        <v>0</v>
      </c>
      <c r="AS29">
        <f>'Corrected energy balance step 2'!AT34</f>
        <v>0</v>
      </c>
      <c r="AT29">
        <f>'Corrected energy balance step 2'!AU34</f>
        <v>0</v>
      </c>
      <c r="AU29">
        <f>'Corrected energy balance step 2'!AV34</f>
        <v>0</v>
      </c>
      <c r="AV29">
        <f>'Corrected energy balance step 2'!AW34</f>
        <v>0</v>
      </c>
      <c r="AW29">
        <f>'Corrected energy balance step 2'!AX34</f>
        <v>0</v>
      </c>
      <c r="AX29">
        <f>'Corrected energy balance step 2'!AY34</f>
        <v>0</v>
      </c>
      <c r="AY29">
        <f>'Corrected energy balance step 2'!AZ34</f>
        <v>0</v>
      </c>
      <c r="AZ29">
        <f>'Corrected energy balance step 2'!BA34</f>
        <v>0</v>
      </c>
      <c r="BA29">
        <f>'Corrected energy balance step 2'!BB34</f>
        <v>0</v>
      </c>
      <c r="BB29">
        <f>'Corrected energy balance step 2'!BC34</f>
        <v>0</v>
      </c>
      <c r="BC29">
        <f>'Corrected energy balance step 2'!BD34</f>
        <v>0</v>
      </c>
      <c r="BD29">
        <f>'Corrected energy balance step 2'!BE34</f>
        <v>0</v>
      </c>
      <c r="BE29">
        <f>'Corrected energy balance step 2'!BF34</f>
        <v>0</v>
      </c>
      <c r="BF29">
        <f>'Corrected energy balance step 2'!BG34</f>
        <v>0</v>
      </c>
      <c r="BG29">
        <f>'Corrected energy balance step 2'!BH34</f>
        <v>0</v>
      </c>
      <c r="BH29">
        <f>'Corrected energy balance step 2'!BI34</f>
        <v>0</v>
      </c>
      <c r="BI29">
        <f>'Corrected energy balance step 2'!BJ34</f>
        <v>0</v>
      </c>
      <c r="BJ29">
        <f>'Corrected energy balance step 2'!BK34</f>
        <v>0</v>
      </c>
      <c r="BK29">
        <f>'Corrected energy balance step 2'!BL34</f>
        <v>0</v>
      </c>
      <c r="BL29">
        <f>'Corrected energy balance step 2'!BM34</f>
        <v>0</v>
      </c>
      <c r="BM29">
        <f>'Corrected energy balance step 2'!BN34</f>
        <v>0</v>
      </c>
      <c r="BN29">
        <f>'Corrected energy balance step 2'!BO34</f>
        <v>0</v>
      </c>
    </row>
    <row r="30" spans="1:66" x14ac:dyDescent="0.2">
      <c r="A30" s="226" t="s">
        <v>502</v>
      </c>
      <c r="B30">
        <f>'Corrected energy balance step 2'!C35</f>
        <v>0</v>
      </c>
      <c r="C30">
        <f>'Corrected energy balance step 2'!D35</f>
        <v>0</v>
      </c>
      <c r="D30">
        <f>'Corrected energy balance step 2'!E35</f>
        <v>0</v>
      </c>
      <c r="E30">
        <f>'Corrected energy balance step 2'!F35</f>
        <v>0</v>
      </c>
      <c r="F30">
        <f>'Corrected energy balance step 2'!G35</f>
        <v>0</v>
      </c>
      <c r="G30">
        <f>'Corrected energy balance step 2'!H35</f>
        <v>0</v>
      </c>
      <c r="H30">
        <f>'Corrected energy balance step 2'!I35</f>
        <v>0</v>
      </c>
      <c r="I30">
        <f>'Corrected energy balance step 2'!J35</f>
        <v>0</v>
      </c>
      <c r="J30">
        <f>'Corrected energy balance step 2'!K35</f>
        <v>0</v>
      </c>
      <c r="K30">
        <f>'Corrected energy balance step 2'!L35</f>
        <v>0</v>
      </c>
      <c r="L30">
        <f>'Corrected energy balance step 2'!M35</f>
        <v>0</v>
      </c>
      <c r="M30">
        <f>'Corrected energy balance step 2'!N35</f>
        <v>0</v>
      </c>
      <c r="N30">
        <f>'Corrected energy balance step 2'!O35</f>
        <v>0</v>
      </c>
      <c r="O30">
        <f>'Corrected energy balance step 2'!P35</f>
        <v>0</v>
      </c>
      <c r="P30">
        <f>'Corrected energy balance step 2'!Q35</f>
        <v>0</v>
      </c>
      <c r="Q30">
        <f>'Corrected energy balance step 2'!R35</f>
        <v>0</v>
      </c>
      <c r="R30">
        <f>'Corrected energy balance step 2'!S35</f>
        <v>0</v>
      </c>
      <c r="S30">
        <f>'Corrected energy balance step 2'!T35</f>
        <v>0</v>
      </c>
      <c r="T30">
        <f>'Corrected energy balance step 2'!U35</f>
        <v>0</v>
      </c>
      <c r="U30">
        <f>'Corrected energy balance step 2'!V35</f>
        <v>0</v>
      </c>
      <c r="V30">
        <f>'Corrected energy balance step 2'!W35</f>
        <v>0</v>
      </c>
      <c r="W30">
        <f>'Corrected energy balance step 2'!X35</f>
        <v>0</v>
      </c>
      <c r="X30">
        <f>'Corrected energy balance step 2'!Y35</f>
        <v>0</v>
      </c>
      <c r="Y30">
        <f>'Corrected energy balance step 2'!Z35</f>
        <v>0</v>
      </c>
      <c r="Z30">
        <f>'Corrected energy balance step 2'!AA35</f>
        <v>0</v>
      </c>
      <c r="AA30">
        <f>'Corrected energy balance step 2'!AB35</f>
        <v>0</v>
      </c>
      <c r="AB30">
        <f>'Corrected energy balance step 2'!AC35</f>
        <v>0</v>
      </c>
      <c r="AC30">
        <f>'Corrected energy balance step 2'!AD35</f>
        <v>0</v>
      </c>
      <c r="AD30">
        <f>'Corrected energy balance step 2'!AE35</f>
        <v>0</v>
      </c>
      <c r="AE30">
        <f>'Corrected energy balance step 2'!AF35</f>
        <v>0</v>
      </c>
      <c r="AF30">
        <f>'Corrected energy balance step 2'!AG35</f>
        <v>0</v>
      </c>
      <c r="AG30">
        <f>'Corrected energy balance step 2'!AH35</f>
        <v>0</v>
      </c>
      <c r="AH30">
        <f>'Corrected energy balance step 2'!AI35</f>
        <v>0</v>
      </c>
      <c r="AI30">
        <f>'Corrected energy balance step 2'!AJ35</f>
        <v>0</v>
      </c>
      <c r="AJ30">
        <f>'Corrected energy balance step 2'!AK35</f>
        <v>0</v>
      </c>
      <c r="AK30">
        <f>'Corrected energy balance step 2'!AL35</f>
        <v>0</v>
      </c>
      <c r="AL30">
        <f>'Corrected energy balance step 2'!AM35</f>
        <v>0</v>
      </c>
      <c r="AM30">
        <f>'Corrected energy balance step 2'!AN35</f>
        <v>0</v>
      </c>
      <c r="AN30">
        <f>'Corrected energy balance step 2'!AO35</f>
        <v>0</v>
      </c>
      <c r="AO30">
        <f>'Corrected energy balance step 2'!AP35</f>
        <v>0</v>
      </c>
      <c r="AP30">
        <f>'Corrected energy balance step 2'!AQ35</f>
        <v>0</v>
      </c>
      <c r="AQ30">
        <f>'Corrected energy balance step 2'!AR35</f>
        <v>0</v>
      </c>
      <c r="AR30">
        <f>'Corrected energy balance step 2'!AS35</f>
        <v>0</v>
      </c>
      <c r="AS30">
        <f>'Corrected energy balance step 2'!AT35</f>
        <v>0</v>
      </c>
      <c r="AT30">
        <f>'Corrected energy balance step 2'!AU35</f>
        <v>0</v>
      </c>
      <c r="AU30">
        <f>'Corrected energy balance step 2'!AV35</f>
        <v>0</v>
      </c>
      <c r="AV30">
        <f>'Corrected energy balance step 2'!AW35</f>
        <v>0</v>
      </c>
      <c r="AW30">
        <f>'Corrected energy balance step 2'!AX35</f>
        <v>0</v>
      </c>
      <c r="AX30">
        <f>'Corrected energy balance step 2'!AY35</f>
        <v>0</v>
      </c>
      <c r="AY30">
        <f>'Corrected energy balance step 2'!AZ35</f>
        <v>0</v>
      </c>
      <c r="AZ30">
        <f>'Corrected energy balance step 2'!BA35</f>
        <v>0</v>
      </c>
      <c r="BA30">
        <f>'Corrected energy balance step 2'!BB35</f>
        <v>0</v>
      </c>
      <c r="BB30">
        <f>'Corrected energy balance step 2'!BC35</f>
        <v>0</v>
      </c>
      <c r="BC30">
        <f>'Corrected energy balance step 2'!BD35</f>
        <v>0</v>
      </c>
      <c r="BD30">
        <f>'Corrected energy balance step 2'!BE35</f>
        <v>0</v>
      </c>
      <c r="BE30">
        <f>'Corrected energy balance step 2'!BF35</f>
        <v>0</v>
      </c>
      <c r="BF30">
        <f>'Corrected energy balance step 2'!BG35</f>
        <v>0</v>
      </c>
      <c r="BG30">
        <f>'Corrected energy balance step 2'!BH35</f>
        <v>0</v>
      </c>
      <c r="BH30">
        <f>'Corrected energy balance step 2'!BI35</f>
        <v>0</v>
      </c>
      <c r="BI30">
        <f>'Corrected energy balance step 2'!BJ35</f>
        <v>0</v>
      </c>
      <c r="BJ30">
        <f>'Corrected energy balance step 2'!BK35</f>
        <v>0</v>
      </c>
      <c r="BK30">
        <f>'Corrected energy balance step 2'!BL35</f>
        <v>0</v>
      </c>
      <c r="BL30">
        <f>'Corrected energy balance step 2'!BM35</f>
        <v>0</v>
      </c>
      <c r="BM30">
        <f>'Corrected energy balance step 2'!BN35</f>
        <v>0</v>
      </c>
      <c r="BN30">
        <f>'Corrected energy balance step 2'!BO35</f>
        <v>0</v>
      </c>
    </row>
    <row r="31" spans="1:66" x14ac:dyDescent="0.2">
      <c r="A31" s="226" t="s">
        <v>503</v>
      </c>
      <c r="B31">
        <f>'Corrected energy balance step 2'!C36</f>
        <v>0</v>
      </c>
      <c r="C31">
        <f>'Corrected energy balance step 2'!D36</f>
        <v>0</v>
      </c>
      <c r="D31">
        <f>'Corrected energy balance step 2'!E36</f>
        <v>0</v>
      </c>
      <c r="E31">
        <f>'Corrected energy balance step 2'!F36</f>
        <v>0</v>
      </c>
      <c r="F31">
        <f>'Corrected energy balance step 2'!G36</f>
        <v>0</v>
      </c>
      <c r="G31">
        <f>'Corrected energy balance step 2'!H36</f>
        <v>0</v>
      </c>
      <c r="H31">
        <f>'Corrected energy balance step 2'!I36</f>
        <v>0</v>
      </c>
      <c r="I31">
        <f>'Corrected energy balance step 2'!J36</f>
        <v>0</v>
      </c>
      <c r="J31">
        <f>'Corrected energy balance step 2'!K36</f>
        <v>0</v>
      </c>
      <c r="K31">
        <f>'Corrected energy balance step 2'!L36</f>
        <v>0</v>
      </c>
      <c r="L31">
        <f>'Corrected energy balance step 2'!M36</f>
        <v>0</v>
      </c>
      <c r="M31">
        <f>'Corrected energy balance step 2'!N36</f>
        <v>0</v>
      </c>
      <c r="N31">
        <f>'Corrected energy balance step 2'!O36</f>
        <v>0</v>
      </c>
      <c r="O31">
        <f>'Corrected energy balance step 2'!P36</f>
        <v>0</v>
      </c>
      <c r="P31">
        <f>'Corrected energy balance step 2'!Q36</f>
        <v>0</v>
      </c>
      <c r="Q31">
        <f>'Corrected energy balance step 2'!R36</f>
        <v>0</v>
      </c>
      <c r="R31">
        <f>'Corrected energy balance step 2'!S36</f>
        <v>0</v>
      </c>
      <c r="S31">
        <f>'Corrected energy balance step 2'!T36</f>
        <v>0</v>
      </c>
      <c r="T31">
        <f>'Corrected energy balance step 2'!U36</f>
        <v>0</v>
      </c>
      <c r="U31">
        <f>'Corrected energy balance step 2'!V36</f>
        <v>0</v>
      </c>
      <c r="V31">
        <f>'Corrected energy balance step 2'!W36</f>
        <v>0</v>
      </c>
      <c r="W31">
        <f>'Corrected energy balance step 2'!X36</f>
        <v>0</v>
      </c>
      <c r="X31">
        <f>'Corrected energy balance step 2'!Y36</f>
        <v>0</v>
      </c>
      <c r="Y31">
        <f>'Corrected energy balance step 2'!Z36</f>
        <v>0</v>
      </c>
      <c r="Z31">
        <f>'Corrected energy balance step 2'!AA36</f>
        <v>0</v>
      </c>
      <c r="AA31">
        <f>'Corrected energy balance step 2'!AB36</f>
        <v>0</v>
      </c>
      <c r="AB31">
        <f>'Corrected energy balance step 2'!AC36</f>
        <v>0</v>
      </c>
      <c r="AC31">
        <f>'Corrected energy balance step 2'!AD36</f>
        <v>0</v>
      </c>
      <c r="AD31">
        <f>'Corrected energy balance step 2'!AE36</f>
        <v>0</v>
      </c>
      <c r="AE31">
        <f>'Corrected energy balance step 2'!AF36</f>
        <v>0</v>
      </c>
      <c r="AF31">
        <f>'Corrected energy balance step 2'!AG36</f>
        <v>0</v>
      </c>
      <c r="AG31">
        <f>'Corrected energy balance step 2'!AH36</f>
        <v>0</v>
      </c>
      <c r="AH31">
        <f>'Corrected energy balance step 2'!AI36</f>
        <v>0</v>
      </c>
      <c r="AI31">
        <f>'Corrected energy balance step 2'!AJ36</f>
        <v>0</v>
      </c>
      <c r="AJ31">
        <f>'Corrected energy balance step 2'!AK36</f>
        <v>0</v>
      </c>
      <c r="AK31">
        <f>'Corrected energy balance step 2'!AL36</f>
        <v>0</v>
      </c>
      <c r="AL31">
        <f>'Corrected energy balance step 2'!AM36</f>
        <v>0</v>
      </c>
      <c r="AM31">
        <f>'Corrected energy balance step 2'!AN36</f>
        <v>0</v>
      </c>
      <c r="AN31">
        <f>'Corrected energy balance step 2'!AO36</f>
        <v>0</v>
      </c>
      <c r="AO31">
        <f>'Corrected energy balance step 2'!AP36</f>
        <v>0</v>
      </c>
      <c r="AP31">
        <f>'Corrected energy balance step 2'!AQ36</f>
        <v>0</v>
      </c>
      <c r="AQ31">
        <f>'Corrected energy balance step 2'!AR36</f>
        <v>0</v>
      </c>
      <c r="AR31">
        <f>'Corrected energy balance step 2'!AS36</f>
        <v>0</v>
      </c>
      <c r="AS31">
        <f>'Corrected energy balance step 2'!AT36</f>
        <v>0</v>
      </c>
      <c r="AT31">
        <f>'Corrected energy balance step 2'!AU36</f>
        <v>0</v>
      </c>
      <c r="AU31">
        <f>'Corrected energy balance step 2'!AV36</f>
        <v>0</v>
      </c>
      <c r="AV31">
        <f>'Corrected energy balance step 2'!AW36</f>
        <v>0</v>
      </c>
      <c r="AW31">
        <f>'Corrected energy balance step 2'!AX36</f>
        <v>0</v>
      </c>
      <c r="AX31">
        <f>'Corrected energy balance step 2'!AY36</f>
        <v>0</v>
      </c>
      <c r="AY31">
        <f>'Corrected energy balance step 2'!AZ36</f>
        <v>0</v>
      </c>
      <c r="AZ31">
        <f>'Corrected energy balance step 2'!BA36</f>
        <v>0</v>
      </c>
      <c r="BA31">
        <f>'Corrected energy balance step 2'!BB36</f>
        <v>0</v>
      </c>
      <c r="BB31">
        <f>'Corrected energy balance step 2'!BC36</f>
        <v>0</v>
      </c>
      <c r="BC31">
        <f>'Corrected energy balance step 2'!BD36</f>
        <v>0</v>
      </c>
      <c r="BD31">
        <f>'Corrected energy balance step 2'!BE36</f>
        <v>0</v>
      </c>
      <c r="BE31">
        <f>'Corrected energy balance step 2'!BF36</f>
        <v>0</v>
      </c>
      <c r="BF31">
        <f>'Corrected energy balance step 2'!BG36</f>
        <v>0</v>
      </c>
      <c r="BG31">
        <f>'Corrected energy balance step 2'!BH36</f>
        <v>0</v>
      </c>
      <c r="BH31">
        <f>'Corrected energy balance step 2'!BI36</f>
        <v>0</v>
      </c>
      <c r="BI31">
        <f>'Corrected energy balance step 2'!BJ36</f>
        <v>0</v>
      </c>
      <c r="BJ31">
        <f>'Corrected energy balance step 2'!BK36</f>
        <v>0</v>
      </c>
      <c r="BK31">
        <f>'Corrected energy balance step 2'!BL36</f>
        <v>0</v>
      </c>
      <c r="BL31">
        <f>'Corrected energy balance step 2'!BM36</f>
        <v>0</v>
      </c>
      <c r="BM31">
        <f>'Corrected energy balance step 2'!BN36</f>
        <v>0</v>
      </c>
      <c r="BN31">
        <f>'Corrected energy balance step 2'!BO36</f>
        <v>0</v>
      </c>
    </row>
    <row r="32" spans="1:66" x14ac:dyDescent="0.2">
      <c r="A32" t="s">
        <v>79</v>
      </c>
      <c r="B32">
        <f>'Corrected energy balance step 2'!C37</f>
        <v>0</v>
      </c>
      <c r="C32">
        <f>'Corrected energy balance step 2'!D37</f>
        <v>0</v>
      </c>
      <c r="D32">
        <f>'Corrected energy balance step 2'!E37</f>
        <v>0</v>
      </c>
      <c r="E32">
        <f>'Corrected energy balance step 2'!F37</f>
        <v>0</v>
      </c>
      <c r="F32">
        <f>'Corrected energy balance step 2'!G37</f>
        <v>0</v>
      </c>
      <c r="G32">
        <f>'Corrected energy balance step 2'!H37</f>
        <v>0</v>
      </c>
      <c r="H32">
        <f>'Corrected energy balance step 2'!I37</f>
        <v>0</v>
      </c>
      <c r="I32">
        <f>'Corrected energy balance step 2'!J37</f>
        <v>0</v>
      </c>
      <c r="J32">
        <f>'Corrected energy balance step 2'!K37</f>
        <v>0</v>
      </c>
      <c r="K32">
        <f>'Corrected energy balance step 2'!L37</f>
        <v>0</v>
      </c>
      <c r="L32">
        <f>'Corrected energy balance step 2'!M37</f>
        <v>0</v>
      </c>
      <c r="M32">
        <f>'Corrected energy balance step 2'!N37</f>
        <v>0</v>
      </c>
      <c r="N32">
        <f>'Corrected energy balance step 2'!O37</f>
        <v>0</v>
      </c>
      <c r="O32">
        <f>'Corrected energy balance step 2'!P37</f>
        <v>0</v>
      </c>
      <c r="P32">
        <f>'Corrected energy balance step 2'!Q37</f>
        <v>0</v>
      </c>
      <c r="Q32">
        <f>'Corrected energy balance step 2'!R37</f>
        <v>0</v>
      </c>
      <c r="R32">
        <f>'Corrected energy balance step 2'!S37</f>
        <v>0</v>
      </c>
      <c r="S32">
        <f>'Corrected energy balance step 2'!T37</f>
        <v>0</v>
      </c>
      <c r="T32">
        <f>'Corrected energy balance step 2'!U37</f>
        <v>0</v>
      </c>
      <c r="U32">
        <f>'Corrected energy balance step 2'!V37</f>
        <v>0</v>
      </c>
      <c r="V32">
        <f>'Corrected energy balance step 2'!W37</f>
        <v>0</v>
      </c>
      <c r="W32">
        <f>'Corrected energy balance step 2'!X37</f>
        <v>0</v>
      </c>
      <c r="X32">
        <f>'Corrected energy balance step 2'!Y37</f>
        <v>0</v>
      </c>
      <c r="Y32">
        <f>'Corrected energy balance step 2'!Z37</f>
        <v>0</v>
      </c>
      <c r="Z32">
        <f>'Corrected energy balance step 2'!AA37</f>
        <v>0</v>
      </c>
      <c r="AA32">
        <f>'Corrected energy balance step 2'!AB37</f>
        <v>0</v>
      </c>
      <c r="AB32">
        <f>'Corrected energy balance step 2'!AC37</f>
        <v>0</v>
      </c>
      <c r="AC32">
        <f>'Corrected energy balance step 2'!AD37</f>
        <v>0</v>
      </c>
      <c r="AD32">
        <f>'Corrected energy balance step 2'!AE37</f>
        <v>0</v>
      </c>
      <c r="AE32">
        <f>'Corrected energy balance step 2'!AF37</f>
        <v>0</v>
      </c>
      <c r="AF32">
        <f>'Corrected energy balance step 2'!AG37</f>
        <v>0</v>
      </c>
      <c r="AG32">
        <f>'Corrected energy balance step 2'!AH37</f>
        <v>0</v>
      </c>
      <c r="AH32">
        <f>'Corrected energy balance step 2'!AI37</f>
        <v>0</v>
      </c>
      <c r="AI32">
        <f>'Corrected energy balance step 2'!AJ37</f>
        <v>0</v>
      </c>
      <c r="AJ32">
        <f>'Corrected energy balance step 2'!AK37</f>
        <v>0</v>
      </c>
      <c r="AK32">
        <f>'Corrected energy balance step 2'!AL37</f>
        <v>0</v>
      </c>
      <c r="AL32">
        <f>'Corrected energy balance step 2'!AM37</f>
        <v>0</v>
      </c>
      <c r="AM32">
        <f>'Corrected energy balance step 2'!AN37</f>
        <v>0</v>
      </c>
      <c r="AN32">
        <f>'Corrected energy balance step 2'!AO37</f>
        <v>0</v>
      </c>
      <c r="AO32">
        <f>'Corrected energy balance step 2'!AP37</f>
        <v>0</v>
      </c>
      <c r="AP32">
        <f>'Corrected energy balance step 2'!AQ37</f>
        <v>0</v>
      </c>
      <c r="AQ32">
        <f>'Corrected energy balance step 2'!AR37</f>
        <v>0</v>
      </c>
      <c r="AR32">
        <f>'Corrected energy balance step 2'!AS37</f>
        <v>0</v>
      </c>
      <c r="AS32">
        <f>'Corrected energy balance step 2'!AT37</f>
        <v>0</v>
      </c>
      <c r="AT32">
        <f>'Corrected energy balance step 2'!AU37</f>
        <v>0</v>
      </c>
      <c r="AU32">
        <f>'Corrected energy balance step 2'!AV37</f>
        <v>0</v>
      </c>
      <c r="AV32">
        <f>'Corrected energy balance step 2'!AW37</f>
        <v>0</v>
      </c>
      <c r="AW32">
        <f>'Corrected energy balance step 2'!AX37</f>
        <v>0</v>
      </c>
      <c r="AX32">
        <f>'Corrected energy balance step 2'!AY37</f>
        <v>0</v>
      </c>
      <c r="AY32">
        <f>'Corrected energy balance step 2'!AZ37</f>
        <v>0</v>
      </c>
      <c r="AZ32">
        <f>'Corrected energy balance step 2'!BA37</f>
        <v>0</v>
      </c>
      <c r="BA32">
        <f>'Corrected energy balance step 2'!BB37</f>
        <v>0</v>
      </c>
      <c r="BB32">
        <f>'Corrected energy balance step 2'!BC37</f>
        <v>0</v>
      </c>
      <c r="BC32">
        <f>'Corrected energy balance step 2'!BD37</f>
        <v>0</v>
      </c>
      <c r="BD32">
        <f>'Corrected energy balance step 2'!BE37</f>
        <v>0</v>
      </c>
      <c r="BE32">
        <f>'Corrected energy balance step 2'!BF37</f>
        <v>0</v>
      </c>
      <c r="BF32">
        <f>'Corrected energy balance step 2'!BG37</f>
        <v>0</v>
      </c>
      <c r="BG32">
        <f>'Corrected energy balance step 2'!BH37</f>
        <v>0</v>
      </c>
      <c r="BH32">
        <f>'Corrected energy balance step 2'!BI37</f>
        <v>0</v>
      </c>
      <c r="BI32">
        <f>'Corrected energy balance step 2'!BJ37</f>
        <v>0</v>
      </c>
      <c r="BJ32">
        <f>'Corrected energy balance step 2'!BK37</f>
        <v>0</v>
      </c>
      <c r="BK32">
        <f>'Corrected energy balance step 2'!BL37</f>
        <v>0</v>
      </c>
      <c r="BL32">
        <f>'Corrected energy balance step 2'!BM37</f>
        <v>0</v>
      </c>
      <c r="BM32">
        <f>'Corrected energy balance step 2'!BN37</f>
        <v>0</v>
      </c>
      <c r="BN32">
        <f>'Corrected energy balance step 2'!BO37</f>
        <v>0</v>
      </c>
    </row>
    <row r="33" spans="1:66" x14ac:dyDescent="0.2">
      <c r="A33" t="s">
        <v>80</v>
      </c>
      <c r="B33">
        <f>'Corrected energy balance step 2'!C38</f>
        <v>0</v>
      </c>
      <c r="C33">
        <f>'Corrected energy balance step 2'!D38</f>
        <v>0</v>
      </c>
      <c r="D33">
        <f>'Corrected energy balance step 2'!E38</f>
        <v>0</v>
      </c>
      <c r="E33">
        <f>'Corrected energy balance step 2'!F38</f>
        <v>0</v>
      </c>
      <c r="F33">
        <f>'Corrected energy balance step 2'!G38</f>
        <v>0</v>
      </c>
      <c r="G33">
        <f>'Corrected energy balance step 2'!H38</f>
        <v>0</v>
      </c>
      <c r="H33">
        <f>'Corrected energy balance step 2'!I38</f>
        <v>0</v>
      </c>
      <c r="I33">
        <f>'Corrected energy balance step 2'!J38</f>
        <v>0</v>
      </c>
      <c r="J33">
        <f>'Corrected energy balance step 2'!K38</f>
        <v>0</v>
      </c>
      <c r="K33">
        <f>'Corrected energy balance step 2'!L38</f>
        <v>0</v>
      </c>
      <c r="L33">
        <f>'Corrected energy balance step 2'!M38</f>
        <v>0</v>
      </c>
      <c r="M33">
        <f>'Corrected energy balance step 2'!N38</f>
        <v>0</v>
      </c>
      <c r="N33">
        <f>'Corrected energy balance step 2'!O38</f>
        <v>0</v>
      </c>
      <c r="O33">
        <f>'Corrected energy balance step 2'!P38</f>
        <v>0</v>
      </c>
      <c r="P33">
        <f>'Corrected energy balance step 2'!Q38</f>
        <v>0</v>
      </c>
      <c r="Q33">
        <f>'Corrected energy balance step 2'!R38</f>
        <v>0</v>
      </c>
      <c r="R33">
        <f>'Corrected energy balance step 2'!S38</f>
        <v>0</v>
      </c>
      <c r="S33">
        <f>'Corrected energy balance step 2'!T38</f>
        <v>0</v>
      </c>
      <c r="T33">
        <f>'Corrected energy balance step 2'!U38</f>
        <v>0</v>
      </c>
      <c r="U33">
        <f>'Corrected energy balance step 2'!V38</f>
        <v>0</v>
      </c>
      <c r="V33">
        <f>'Corrected energy balance step 2'!W38</f>
        <v>0</v>
      </c>
      <c r="W33">
        <f>'Corrected energy balance step 2'!X38</f>
        <v>0</v>
      </c>
      <c r="X33">
        <f>'Corrected energy balance step 2'!Y38</f>
        <v>0</v>
      </c>
      <c r="Y33">
        <f>'Corrected energy balance step 2'!Z38</f>
        <v>0</v>
      </c>
      <c r="Z33">
        <f>'Corrected energy balance step 2'!AA38</f>
        <v>0</v>
      </c>
      <c r="AA33">
        <f>'Corrected energy balance step 2'!AB38</f>
        <v>0</v>
      </c>
      <c r="AB33">
        <f>'Corrected energy balance step 2'!AC38</f>
        <v>0</v>
      </c>
      <c r="AC33">
        <f>'Corrected energy balance step 2'!AD38</f>
        <v>0</v>
      </c>
      <c r="AD33">
        <f>'Corrected energy balance step 2'!AE38</f>
        <v>0</v>
      </c>
      <c r="AE33">
        <f>'Corrected energy balance step 2'!AF38</f>
        <v>0</v>
      </c>
      <c r="AF33">
        <f>'Corrected energy balance step 2'!AG38</f>
        <v>0</v>
      </c>
      <c r="AG33">
        <f>'Corrected energy balance step 2'!AH38</f>
        <v>0</v>
      </c>
      <c r="AH33">
        <f>'Corrected energy balance step 2'!AI38</f>
        <v>0</v>
      </c>
      <c r="AI33">
        <f>'Corrected energy balance step 2'!AJ38</f>
        <v>0</v>
      </c>
      <c r="AJ33">
        <f>'Corrected energy balance step 2'!AK38</f>
        <v>0</v>
      </c>
      <c r="AK33">
        <f>'Corrected energy balance step 2'!AL38</f>
        <v>0</v>
      </c>
      <c r="AL33">
        <f>'Corrected energy balance step 2'!AM38</f>
        <v>0</v>
      </c>
      <c r="AM33">
        <f>'Corrected energy balance step 2'!AN38</f>
        <v>0</v>
      </c>
      <c r="AN33">
        <f>'Corrected energy balance step 2'!AO38</f>
        <v>0</v>
      </c>
      <c r="AO33">
        <f>'Corrected energy balance step 2'!AP38</f>
        <v>0</v>
      </c>
      <c r="AP33">
        <f>'Corrected energy balance step 2'!AQ38</f>
        <v>0</v>
      </c>
      <c r="AQ33">
        <f>'Corrected energy balance step 2'!AR38</f>
        <v>0</v>
      </c>
      <c r="AR33">
        <f>'Corrected energy balance step 2'!AS38</f>
        <v>0</v>
      </c>
      <c r="AS33">
        <f>'Corrected energy balance step 2'!AT38</f>
        <v>0</v>
      </c>
      <c r="AT33">
        <f>'Corrected energy balance step 2'!AU38</f>
        <v>0</v>
      </c>
      <c r="AU33">
        <f>'Corrected energy balance step 2'!AV38</f>
        <v>0</v>
      </c>
      <c r="AV33">
        <f>'Corrected energy balance step 2'!AW38</f>
        <v>0</v>
      </c>
      <c r="AW33">
        <f>'Corrected energy balance step 2'!AX38</f>
        <v>0</v>
      </c>
      <c r="AX33">
        <f>'Corrected energy balance step 2'!AY38</f>
        <v>0</v>
      </c>
      <c r="AY33">
        <f>'Corrected energy balance step 2'!AZ38</f>
        <v>0</v>
      </c>
      <c r="AZ33">
        <f>'Corrected energy balance step 2'!BA38</f>
        <v>0</v>
      </c>
      <c r="BA33">
        <f>'Corrected energy balance step 2'!BB38</f>
        <v>0</v>
      </c>
      <c r="BB33">
        <f>'Corrected energy balance step 2'!BC38</f>
        <v>0</v>
      </c>
      <c r="BC33">
        <f>'Corrected energy balance step 2'!BD38</f>
        <v>0</v>
      </c>
      <c r="BD33">
        <f>'Corrected energy balance step 2'!BE38</f>
        <v>0</v>
      </c>
      <c r="BE33">
        <f>'Corrected energy balance step 2'!BF38</f>
        <v>0</v>
      </c>
      <c r="BF33">
        <f>'Corrected energy balance step 2'!BG38</f>
        <v>0</v>
      </c>
      <c r="BG33">
        <f>'Corrected energy balance step 2'!BH38</f>
        <v>0</v>
      </c>
      <c r="BH33">
        <f>'Corrected energy balance step 2'!BI38</f>
        <v>0</v>
      </c>
      <c r="BI33">
        <f>'Corrected energy balance step 2'!BJ38</f>
        <v>0</v>
      </c>
      <c r="BJ33">
        <f>'Corrected energy balance step 2'!BK38</f>
        <v>0</v>
      </c>
      <c r="BK33">
        <f>'Corrected energy balance step 2'!BL38</f>
        <v>0</v>
      </c>
      <c r="BL33">
        <f>'Corrected energy balance step 2'!BM38</f>
        <v>0</v>
      </c>
      <c r="BM33">
        <f>'Corrected energy balance step 2'!BN38</f>
        <v>0</v>
      </c>
      <c r="BN33">
        <f>'Corrected energy balance step 2'!BO38</f>
        <v>0</v>
      </c>
    </row>
    <row r="34" spans="1:66" x14ac:dyDescent="0.2">
      <c r="A34" t="s">
        <v>81</v>
      </c>
      <c r="B34">
        <f>'Corrected energy balance step 2'!C39</f>
        <v>0</v>
      </c>
      <c r="C34">
        <f>'Corrected energy balance step 2'!D39</f>
        <v>0</v>
      </c>
      <c r="D34">
        <f>'Corrected energy balance step 2'!E39</f>
        <v>0</v>
      </c>
      <c r="E34">
        <f>'Corrected energy balance step 2'!F39</f>
        <v>0</v>
      </c>
      <c r="F34">
        <f>'Corrected energy balance step 2'!G39</f>
        <v>0</v>
      </c>
      <c r="G34">
        <f>'Corrected energy balance step 2'!H39</f>
        <v>0</v>
      </c>
      <c r="H34">
        <f>'Corrected energy balance step 2'!I39</f>
        <v>0</v>
      </c>
      <c r="I34">
        <f>'Corrected energy balance step 2'!J39</f>
        <v>0</v>
      </c>
      <c r="J34">
        <f>'Corrected energy balance step 2'!K39</f>
        <v>0</v>
      </c>
      <c r="K34">
        <f>'Corrected energy balance step 2'!L39</f>
        <v>0</v>
      </c>
      <c r="L34">
        <f>'Corrected energy balance step 2'!M39</f>
        <v>0</v>
      </c>
      <c r="M34">
        <f>'Corrected energy balance step 2'!N39</f>
        <v>0</v>
      </c>
      <c r="N34">
        <f>'Corrected energy balance step 2'!O39</f>
        <v>0</v>
      </c>
      <c r="O34">
        <f>'Corrected energy balance step 2'!P39</f>
        <v>0</v>
      </c>
      <c r="P34">
        <f>'Corrected energy balance step 2'!Q39</f>
        <v>0</v>
      </c>
      <c r="Q34">
        <f>'Corrected energy balance step 2'!R39</f>
        <v>0</v>
      </c>
      <c r="R34">
        <f>'Corrected energy balance step 2'!S39</f>
        <v>0</v>
      </c>
      <c r="S34">
        <f>'Corrected energy balance step 2'!T39</f>
        <v>0</v>
      </c>
      <c r="T34">
        <f>'Corrected energy balance step 2'!U39</f>
        <v>0</v>
      </c>
      <c r="U34">
        <f>'Corrected energy balance step 2'!V39</f>
        <v>0</v>
      </c>
      <c r="V34">
        <f>'Corrected energy balance step 2'!W39</f>
        <v>0</v>
      </c>
      <c r="W34">
        <f>'Corrected energy balance step 2'!X39</f>
        <v>0</v>
      </c>
      <c r="X34">
        <f>'Corrected energy balance step 2'!Y39</f>
        <v>0</v>
      </c>
      <c r="Y34">
        <f>'Corrected energy balance step 2'!Z39</f>
        <v>0</v>
      </c>
      <c r="Z34">
        <f>'Corrected energy balance step 2'!AA39</f>
        <v>0</v>
      </c>
      <c r="AA34">
        <f>'Corrected energy balance step 2'!AB39</f>
        <v>0</v>
      </c>
      <c r="AB34">
        <f>'Corrected energy balance step 2'!AC39</f>
        <v>0</v>
      </c>
      <c r="AC34">
        <f>'Corrected energy balance step 2'!AD39</f>
        <v>0</v>
      </c>
      <c r="AD34">
        <f>'Corrected energy balance step 2'!AE39</f>
        <v>0</v>
      </c>
      <c r="AE34">
        <f>'Corrected energy balance step 2'!AF39</f>
        <v>0</v>
      </c>
      <c r="AF34">
        <f>'Corrected energy balance step 2'!AG39</f>
        <v>0</v>
      </c>
      <c r="AG34">
        <f>'Corrected energy balance step 2'!AH39</f>
        <v>0</v>
      </c>
      <c r="AH34">
        <f>'Corrected energy balance step 2'!AI39</f>
        <v>0</v>
      </c>
      <c r="AI34">
        <f>'Corrected energy balance step 2'!AJ39</f>
        <v>0</v>
      </c>
      <c r="AJ34">
        <f>'Corrected energy balance step 2'!AK39</f>
        <v>0</v>
      </c>
      <c r="AK34">
        <f>'Corrected energy balance step 2'!AL39</f>
        <v>0</v>
      </c>
      <c r="AL34">
        <f>'Corrected energy balance step 2'!AM39</f>
        <v>0</v>
      </c>
      <c r="AM34">
        <f>'Corrected energy balance step 2'!AN39</f>
        <v>0</v>
      </c>
      <c r="AN34">
        <f>'Corrected energy balance step 2'!AO39</f>
        <v>0</v>
      </c>
      <c r="AO34">
        <f>'Corrected energy balance step 2'!AP39</f>
        <v>0</v>
      </c>
      <c r="AP34">
        <f>'Corrected energy balance step 2'!AQ39</f>
        <v>0</v>
      </c>
      <c r="AQ34">
        <f>'Corrected energy balance step 2'!AR39</f>
        <v>0</v>
      </c>
      <c r="AR34">
        <f>'Corrected energy balance step 2'!AS39</f>
        <v>0</v>
      </c>
      <c r="AS34">
        <f>'Corrected energy balance step 2'!AT39</f>
        <v>0</v>
      </c>
      <c r="AT34">
        <f>'Corrected energy balance step 2'!AU39</f>
        <v>0</v>
      </c>
      <c r="AU34">
        <f>'Corrected energy balance step 2'!AV39</f>
        <v>0</v>
      </c>
      <c r="AV34">
        <f>'Corrected energy balance step 2'!AW39</f>
        <v>0</v>
      </c>
      <c r="AW34">
        <f>'Corrected energy balance step 2'!AX39</f>
        <v>0</v>
      </c>
      <c r="AX34">
        <f>'Corrected energy balance step 2'!AY39</f>
        <v>0</v>
      </c>
      <c r="AY34">
        <f>'Corrected energy balance step 2'!AZ39</f>
        <v>0</v>
      </c>
      <c r="AZ34">
        <f>'Corrected energy balance step 2'!BA39</f>
        <v>0</v>
      </c>
      <c r="BA34">
        <f>'Corrected energy balance step 2'!BB39</f>
        <v>0</v>
      </c>
      <c r="BB34">
        <f>'Corrected energy balance step 2'!BC39</f>
        <v>0</v>
      </c>
      <c r="BC34">
        <f>'Corrected energy balance step 2'!BD39</f>
        <v>0</v>
      </c>
      <c r="BD34">
        <f>'Corrected energy balance step 2'!BE39</f>
        <v>0</v>
      </c>
      <c r="BE34">
        <f>'Corrected energy balance step 2'!BF39</f>
        <v>0</v>
      </c>
      <c r="BF34">
        <f>'Corrected energy balance step 2'!BG39</f>
        <v>0</v>
      </c>
      <c r="BG34">
        <f>'Corrected energy balance step 2'!BH39</f>
        <v>0</v>
      </c>
      <c r="BH34">
        <f>'Corrected energy balance step 2'!BI39</f>
        <v>0</v>
      </c>
      <c r="BI34">
        <f>'Corrected energy balance step 2'!BJ39</f>
        <v>0</v>
      </c>
      <c r="BJ34">
        <f>'Corrected energy balance step 2'!BK39</f>
        <v>0</v>
      </c>
      <c r="BK34">
        <f>'Corrected energy balance step 2'!BL39</f>
        <v>0</v>
      </c>
      <c r="BL34">
        <f>'Corrected energy balance step 2'!BM39</f>
        <v>0</v>
      </c>
      <c r="BM34">
        <f>'Corrected energy balance step 2'!BN39</f>
        <v>0</v>
      </c>
      <c r="BN34">
        <f>'Corrected energy balance step 2'!BO39</f>
        <v>0</v>
      </c>
    </row>
    <row r="35" spans="1:66" x14ac:dyDescent="0.2">
      <c r="A35" t="s">
        <v>82</v>
      </c>
      <c r="B35">
        <f>'Corrected energy balance step 2'!C40</f>
        <v>0</v>
      </c>
      <c r="C35">
        <f>'Corrected energy balance step 2'!D40</f>
        <v>0</v>
      </c>
      <c r="D35">
        <f>'Corrected energy balance step 2'!E40</f>
        <v>0</v>
      </c>
      <c r="E35">
        <f>'Corrected energy balance step 2'!F40</f>
        <v>0</v>
      </c>
      <c r="F35">
        <f>'Corrected energy balance step 2'!G40</f>
        <v>0</v>
      </c>
      <c r="G35">
        <f>'Corrected energy balance step 2'!H40</f>
        <v>0</v>
      </c>
      <c r="H35">
        <f>'Corrected energy balance step 2'!I40</f>
        <v>0</v>
      </c>
      <c r="I35">
        <f>'Corrected energy balance step 2'!J40</f>
        <v>0</v>
      </c>
      <c r="J35">
        <f>'Corrected energy balance step 2'!K40</f>
        <v>0</v>
      </c>
      <c r="K35">
        <f>'Corrected energy balance step 2'!L40</f>
        <v>0</v>
      </c>
      <c r="L35">
        <f>'Corrected energy balance step 2'!M40</f>
        <v>0</v>
      </c>
      <c r="M35">
        <f>'Corrected energy balance step 2'!N40</f>
        <v>0</v>
      </c>
      <c r="N35">
        <f>'Corrected energy balance step 2'!O40</f>
        <v>0</v>
      </c>
      <c r="O35">
        <f>'Corrected energy balance step 2'!P40</f>
        <v>0</v>
      </c>
      <c r="P35">
        <f>'Corrected energy balance step 2'!Q40</f>
        <v>0</v>
      </c>
      <c r="Q35">
        <f>'Corrected energy balance step 2'!R40</f>
        <v>0</v>
      </c>
      <c r="R35">
        <f>'Corrected energy balance step 2'!S40</f>
        <v>0</v>
      </c>
      <c r="S35">
        <f>'Corrected energy balance step 2'!T40</f>
        <v>0</v>
      </c>
      <c r="T35">
        <f>'Corrected energy balance step 2'!U40</f>
        <v>0</v>
      </c>
      <c r="U35">
        <f>'Corrected energy balance step 2'!V40</f>
        <v>0</v>
      </c>
      <c r="V35">
        <f>'Corrected energy balance step 2'!W40</f>
        <v>0</v>
      </c>
      <c r="W35">
        <f>'Corrected energy balance step 2'!X40</f>
        <v>0</v>
      </c>
      <c r="X35">
        <f>'Corrected energy balance step 2'!Y40</f>
        <v>0</v>
      </c>
      <c r="Y35">
        <f>'Corrected energy balance step 2'!Z40</f>
        <v>0</v>
      </c>
      <c r="Z35">
        <f>'Corrected energy balance step 2'!AA40</f>
        <v>0</v>
      </c>
      <c r="AA35">
        <f>'Corrected energy balance step 2'!AB40</f>
        <v>0</v>
      </c>
      <c r="AB35">
        <f>'Corrected energy balance step 2'!AC40</f>
        <v>0</v>
      </c>
      <c r="AC35">
        <f>'Corrected energy balance step 2'!AD40</f>
        <v>0</v>
      </c>
      <c r="AD35">
        <f>'Corrected energy balance step 2'!AE40</f>
        <v>0</v>
      </c>
      <c r="AE35">
        <f>'Corrected energy balance step 2'!AF40</f>
        <v>0</v>
      </c>
      <c r="AF35">
        <f>'Corrected energy balance step 2'!AG40</f>
        <v>0</v>
      </c>
      <c r="AG35">
        <f>'Corrected energy balance step 2'!AH40</f>
        <v>0</v>
      </c>
      <c r="AH35">
        <f>'Corrected energy balance step 2'!AI40</f>
        <v>0</v>
      </c>
      <c r="AI35">
        <f>'Corrected energy balance step 2'!AJ40</f>
        <v>0</v>
      </c>
      <c r="AJ35">
        <f>'Corrected energy balance step 2'!AK40</f>
        <v>0</v>
      </c>
      <c r="AK35">
        <f>'Corrected energy balance step 2'!AL40</f>
        <v>0</v>
      </c>
      <c r="AL35">
        <f>'Corrected energy balance step 2'!AM40</f>
        <v>0</v>
      </c>
      <c r="AM35">
        <f>'Corrected energy balance step 2'!AN40</f>
        <v>0</v>
      </c>
      <c r="AN35">
        <f>'Corrected energy balance step 2'!AO40</f>
        <v>0</v>
      </c>
      <c r="AO35">
        <f>'Corrected energy balance step 2'!AP40</f>
        <v>0</v>
      </c>
      <c r="AP35">
        <f>'Corrected energy balance step 2'!AQ40</f>
        <v>0</v>
      </c>
      <c r="AQ35">
        <f>'Corrected energy balance step 2'!AR40</f>
        <v>0</v>
      </c>
      <c r="AR35">
        <f>'Corrected energy balance step 2'!AS40</f>
        <v>0</v>
      </c>
      <c r="AS35">
        <f>'Corrected energy balance step 2'!AT40</f>
        <v>0</v>
      </c>
      <c r="AT35">
        <f>'Corrected energy balance step 2'!AU40</f>
        <v>0</v>
      </c>
      <c r="AU35">
        <f>'Corrected energy balance step 2'!AV40</f>
        <v>0</v>
      </c>
      <c r="AV35">
        <f>'Corrected energy balance step 2'!AW40</f>
        <v>0</v>
      </c>
      <c r="AW35">
        <f>'Corrected energy balance step 2'!AX40</f>
        <v>0</v>
      </c>
      <c r="AX35">
        <f>'Corrected energy balance step 2'!AY40</f>
        <v>0</v>
      </c>
      <c r="AY35">
        <f>'Corrected energy balance step 2'!AZ40</f>
        <v>0</v>
      </c>
      <c r="AZ35">
        <f>'Corrected energy balance step 2'!BA40</f>
        <v>0</v>
      </c>
      <c r="BA35">
        <f>'Corrected energy balance step 2'!BB40</f>
        <v>0</v>
      </c>
      <c r="BB35">
        <f>'Corrected energy balance step 2'!BC40</f>
        <v>0</v>
      </c>
      <c r="BC35">
        <f>'Corrected energy balance step 2'!BD40</f>
        <v>0</v>
      </c>
      <c r="BD35">
        <f>'Corrected energy balance step 2'!BE40</f>
        <v>0</v>
      </c>
      <c r="BE35">
        <f>'Corrected energy balance step 2'!BF40</f>
        <v>0</v>
      </c>
      <c r="BF35">
        <f>'Corrected energy balance step 2'!BG40</f>
        <v>0</v>
      </c>
      <c r="BG35">
        <f>'Corrected energy balance step 2'!BH40</f>
        <v>0</v>
      </c>
      <c r="BH35">
        <f>'Corrected energy balance step 2'!BI40</f>
        <v>0</v>
      </c>
      <c r="BI35">
        <f>'Corrected energy balance step 2'!BJ40</f>
        <v>0</v>
      </c>
      <c r="BJ35">
        <f>'Corrected energy balance step 2'!BK40</f>
        <v>0</v>
      </c>
      <c r="BK35">
        <f>'Corrected energy balance step 2'!BL40</f>
        <v>0</v>
      </c>
      <c r="BL35">
        <f>'Corrected energy balance step 2'!BM40</f>
        <v>0</v>
      </c>
      <c r="BM35">
        <f>'Corrected energy balance step 2'!BN40</f>
        <v>0</v>
      </c>
      <c r="BN35">
        <f>'Corrected energy balance step 2'!BO40</f>
        <v>0</v>
      </c>
    </row>
    <row r="36" spans="1:66" x14ac:dyDescent="0.2">
      <c r="A36" t="s">
        <v>83</v>
      </c>
      <c r="B36">
        <f>'Corrected energy balance step 2'!C41</f>
        <v>0</v>
      </c>
      <c r="C36">
        <f>'Corrected energy balance step 2'!D41</f>
        <v>0</v>
      </c>
      <c r="D36">
        <f>'Corrected energy balance step 2'!E41</f>
        <v>0</v>
      </c>
      <c r="E36">
        <f>'Corrected energy balance step 2'!F41</f>
        <v>0</v>
      </c>
      <c r="F36">
        <f>'Corrected energy balance step 2'!G41</f>
        <v>0</v>
      </c>
      <c r="G36">
        <f>'Corrected energy balance step 2'!H41</f>
        <v>0</v>
      </c>
      <c r="H36">
        <f>'Corrected energy balance step 2'!I41</f>
        <v>0</v>
      </c>
      <c r="I36">
        <f>'Corrected energy balance step 2'!J41</f>
        <v>0</v>
      </c>
      <c r="J36">
        <f>'Corrected energy balance step 2'!K41</f>
        <v>0</v>
      </c>
      <c r="K36">
        <f>'Corrected energy balance step 2'!L41</f>
        <v>0</v>
      </c>
      <c r="L36">
        <f>'Corrected energy balance step 2'!M41</f>
        <v>0</v>
      </c>
      <c r="M36">
        <f>'Corrected energy balance step 2'!N41</f>
        <v>0</v>
      </c>
      <c r="N36">
        <f>'Corrected energy balance step 2'!O41</f>
        <v>0</v>
      </c>
      <c r="O36">
        <f>'Corrected energy balance step 2'!P41</f>
        <v>0</v>
      </c>
      <c r="P36">
        <f>'Corrected energy balance step 2'!Q41</f>
        <v>0</v>
      </c>
      <c r="Q36">
        <f>'Corrected energy balance step 2'!R41</f>
        <v>0</v>
      </c>
      <c r="R36">
        <f>'Corrected energy balance step 2'!S41</f>
        <v>0</v>
      </c>
      <c r="S36">
        <f>'Corrected energy balance step 2'!T41</f>
        <v>0</v>
      </c>
      <c r="T36">
        <f>'Corrected energy balance step 2'!U41</f>
        <v>0</v>
      </c>
      <c r="U36">
        <f>'Corrected energy balance step 2'!V41</f>
        <v>0</v>
      </c>
      <c r="V36">
        <f>'Corrected energy balance step 2'!W41</f>
        <v>0</v>
      </c>
      <c r="W36">
        <f>'Corrected energy balance step 2'!X41</f>
        <v>0</v>
      </c>
      <c r="X36">
        <f>'Corrected energy balance step 2'!Y41</f>
        <v>0</v>
      </c>
      <c r="Y36">
        <f>'Corrected energy balance step 2'!Z41</f>
        <v>0</v>
      </c>
      <c r="Z36">
        <f>'Corrected energy balance step 2'!AA41</f>
        <v>0</v>
      </c>
      <c r="AA36">
        <f>'Corrected energy balance step 2'!AB41</f>
        <v>0</v>
      </c>
      <c r="AB36">
        <f>'Corrected energy balance step 2'!AC41</f>
        <v>0</v>
      </c>
      <c r="AC36">
        <f>'Corrected energy balance step 2'!AD41</f>
        <v>0</v>
      </c>
      <c r="AD36">
        <f>'Corrected energy balance step 2'!AE41</f>
        <v>0</v>
      </c>
      <c r="AE36">
        <f>'Corrected energy balance step 2'!AF41</f>
        <v>0</v>
      </c>
      <c r="AF36">
        <f>'Corrected energy balance step 2'!AG41</f>
        <v>0</v>
      </c>
      <c r="AG36">
        <f>'Corrected energy balance step 2'!AH41</f>
        <v>0</v>
      </c>
      <c r="AH36">
        <f>'Corrected energy balance step 2'!AI41</f>
        <v>0</v>
      </c>
      <c r="AI36">
        <f>'Corrected energy balance step 2'!AJ41</f>
        <v>0</v>
      </c>
      <c r="AJ36">
        <f>'Corrected energy balance step 2'!AK41</f>
        <v>0</v>
      </c>
      <c r="AK36">
        <f>'Corrected energy balance step 2'!AL41</f>
        <v>0</v>
      </c>
      <c r="AL36">
        <f>'Corrected energy balance step 2'!AM41</f>
        <v>0</v>
      </c>
      <c r="AM36">
        <f>'Corrected energy balance step 2'!AN41</f>
        <v>0</v>
      </c>
      <c r="AN36">
        <f>'Corrected energy balance step 2'!AO41</f>
        <v>0</v>
      </c>
      <c r="AO36">
        <f>'Corrected energy balance step 2'!AP41</f>
        <v>0</v>
      </c>
      <c r="AP36">
        <f>'Corrected energy balance step 2'!AQ41</f>
        <v>0</v>
      </c>
      <c r="AQ36">
        <f>'Corrected energy balance step 2'!AR41</f>
        <v>0</v>
      </c>
      <c r="AR36">
        <f>'Corrected energy balance step 2'!AS41</f>
        <v>0</v>
      </c>
      <c r="AS36">
        <f>'Corrected energy balance step 2'!AT41</f>
        <v>0</v>
      </c>
      <c r="AT36">
        <f>'Corrected energy balance step 2'!AU41</f>
        <v>0</v>
      </c>
      <c r="AU36">
        <f>'Corrected energy balance step 2'!AV41</f>
        <v>0</v>
      </c>
      <c r="AV36">
        <f>'Corrected energy balance step 2'!AW41</f>
        <v>0</v>
      </c>
      <c r="AW36">
        <f>'Corrected energy balance step 2'!AX41</f>
        <v>0</v>
      </c>
      <c r="AX36">
        <f>'Corrected energy balance step 2'!AY41</f>
        <v>0</v>
      </c>
      <c r="AY36">
        <f>'Corrected energy balance step 2'!AZ41</f>
        <v>0</v>
      </c>
      <c r="AZ36">
        <f>'Corrected energy balance step 2'!BA41</f>
        <v>0</v>
      </c>
      <c r="BA36">
        <f>'Corrected energy balance step 2'!BB41</f>
        <v>0</v>
      </c>
      <c r="BB36">
        <f>'Corrected energy balance step 2'!BC41</f>
        <v>0</v>
      </c>
      <c r="BC36">
        <f>'Corrected energy balance step 2'!BD41</f>
        <v>0</v>
      </c>
      <c r="BD36">
        <f>'Corrected energy balance step 2'!BE41</f>
        <v>0</v>
      </c>
      <c r="BE36">
        <f>'Corrected energy balance step 2'!BF41</f>
        <v>0</v>
      </c>
      <c r="BF36">
        <f>'Corrected energy balance step 2'!BG41</f>
        <v>0</v>
      </c>
      <c r="BG36">
        <f>'Corrected energy balance step 2'!BH41</f>
        <v>0</v>
      </c>
      <c r="BH36">
        <f>'Corrected energy balance step 2'!BI41</f>
        <v>0</v>
      </c>
      <c r="BI36">
        <f>'Corrected energy balance step 2'!BJ41</f>
        <v>0</v>
      </c>
      <c r="BJ36">
        <f>'Corrected energy balance step 2'!BK41</f>
        <v>0</v>
      </c>
      <c r="BK36">
        <f>'Corrected energy balance step 2'!BL41</f>
        <v>0</v>
      </c>
      <c r="BL36">
        <f>'Corrected energy balance step 2'!BM41</f>
        <v>0</v>
      </c>
      <c r="BM36">
        <f>'Corrected energy balance step 2'!BN41</f>
        <v>0</v>
      </c>
      <c r="BN36">
        <f>'Corrected energy balance step 2'!BO41</f>
        <v>0</v>
      </c>
    </row>
    <row r="37" spans="1:66" x14ac:dyDescent="0.2">
      <c r="A37" t="s">
        <v>84</v>
      </c>
      <c r="B37">
        <f>'Corrected energy balance step 2'!C42</f>
        <v>0</v>
      </c>
      <c r="C37">
        <f>'Corrected energy balance step 2'!D42</f>
        <v>0</v>
      </c>
      <c r="D37">
        <f>'Corrected energy balance step 2'!E42</f>
        <v>0</v>
      </c>
      <c r="E37">
        <f>'Corrected energy balance step 2'!F42</f>
        <v>0</v>
      </c>
      <c r="F37">
        <f>'Corrected energy balance step 2'!G42</f>
        <v>0</v>
      </c>
      <c r="G37">
        <f>'Corrected energy balance step 2'!H42</f>
        <v>0</v>
      </c>
      <c r="H37">
        <f>'Corrected energy balance step 2'!I42</f>
        <v>0</v>
      </c>
      <c r="I37">
        <f>'Corrected energy balance step 2'!J42</f>
        <v>0</v>
      </c>
      <c r="J37">
        <f>'Corrected energy balance step 2'!K42</f>
        <v>0</v>
      </c>
      <c r="K37">
        <f>'Corrected energy balance step 2'!L42</f>
        <v>0</v>
      </c>
      <c r="L37">
        <f>'Corrected energy balance step 2'!M42</f>
        <v>0</v>
      </c>
      <c r="M37">
        <f>'Corrected energy balance step 2'!N42</f>
        <v>0</v>
      </c>
      <c r="N37">
        <f>'Corrected energy balance step 2'!O42</f>
        <v>0</v>
      </c>
      <c r="O37">
        <f>'Corrected energy balance step 2'!P42</f>
        <v>0</v>
      </c>
      <c r="P37">
        <f>'Corrected energy balance step 2'!Q42</f>
        <v>0</v>
      </c>
      <c r="Q37">
        <f>'Corrected energy balance step 2'!R42</f>
        <v>0</v>
      </c>
      <c r="R37">
        <f>'Corrected energy balance step 2'!S42</f>
        <v>0</v>
      </c>
      <c r="S37">
        <f>'Corrected energy balance step 2'!T42</f>
        <v>0</v>
      </c>
      <c r="T37">
        <f>'Corrected energy balance step 2'!U42</f>
        <v>0</v>
      </c>
      <c r="U37">
        <f>'Corrected energy balance step 2'!V42</f>
        <v>0</v>
      </c>
      <c r="V37">
        <f>'Corrected energy balance step 2'!W42</f>
        <v>0</v>
      </c>
      <c r="W37">
        <f>'Corrected energy balance step 2'!X42</f>
        <v>0</v>
      </c>
      <c r="X37">
        <f>'Corrected energy balance step 2'!Y42</f>
        <v>0</v>
      </c>
      <c r="Y37">
        <f>'Corrected energy balance step 2'!Z42</f>
        <v>0</v>
      </c>
      <c r="Z37">
        <f>'Corrected energy balance step 2'!AA42</f>
        <v>0</v>
      </c>
      <c r="AA37">
        <f>'Corrected energy balance step 2'!AB42</f>
        <v>0</v>
      </c>
      <c r="AB37">
        <f>'Corrected energy balance step 2'!AC42</f>
        <v>0</v>
      </c>
      <c r="AC37">
        <f>'Corrected energy balance step 2'!AD42</f>
        <v>0</v>
      </c>
      <c r="AD37">
        <f>'Corrected energy balance step 2'!AE42</f>
        <v>0</v>
      </c>
      <c r="AE37">
        <f>'Corrected energy balance step 2'!AF42</f>
        <v>0</v>
      </c>
      <c r="AF37">
        <f>'Corrected energy balance step 2'!AG42</f>
        <v>0</v>
      </c>
      <c r="AG37">
        <f>'Corrected energy balance step 2'!AH42</f>
        <v>0</v>
      </c>
      <c r="AH37">
        <f>'Corrected energy balance step 2'!AI42</f>
        <v>0</v>
      </c>
      <c r="AI37">
        <f>'Corrected energy balance step 2'!AJ42</f>
        <v>0</v>
      </c>
      <c r="AJ37">
        <f>'Corrected energy balance step 2'!AK42</f>
        <v>0</v>
      </c>
      <c r="AK37">
        <f>'Corrected energy balance step 2'!AL42</f>
        <v>0</v>
      </c>
      <c r="AL37">
        <f>'Corrected energy balance step 2'!AM42</f>
        <v>0</v>
      </c>
      <c r="AM37">
        <f>'Corrected energy balance step 2'!AN42</f>
        <v>0</v>
      </c>
      <c r="AN37">
        <f>'Corrected energy balance step 2'!AO42</f>
        <v>0</v>
      </c>
      <c r="AO37">
        <f>'Corrected energy balance step 2'!AP42</f>
        <v>0</v>
      </c>
      <c r="AP37">
        <f>'Corrected energy balance step 2'!AQ42</f>
        <v>0</v>
      </c>
      <c r="AQ37">
        <f>'Corrected energy balance step 2'!AR42</f>
        <v>0</v>
      </c>
      <c r="AR37">
        <f>'Corrected energy balance step 2'!AS42</f>
        <v>0</v>
      </c>
      <c r="AS37">
        <f>'Corrected energy balance step 2'!AT42</f>
        <v>0</v>
      </c>
      <c r="AT37">
        <f>'Corrected energy balance step 2'!AU42</f>
        <v>0</v>
      </c>
      <c r="AU37">
        <f>'Corrected energy balance step 2'!AV42</f>
        <v>0</v>
      </c>
      <c r="AV37">
        <f>'Corrected energy balance step 2'!AW42</f>
        <v>0</v>
      </c>
      <c r="AW37">
        <f>'Corrected energy balance step 2'!AX42</f>
        <v>0</v>
      </c>
      <c r="AX37">
        <f>'Corrected energy balance step 2'!AY42</f>
        <v>0</v>
      </c>
      <c r="AY37">
        <f>'Corrected energy balance step 2'!AZ42</f>
        <v>0</v>
      </c>
      <c r="AZ37">
        <f>'Corrected energy balance step 2'!BA42</f>
        <v>0</v>
      </c>
      <c r="BA37">
        <f>'Corrected energy balance step 2'!BB42</f>
        <v>0</v>
      </c>
      <c r="BB37">
        <f>'Corrected energy balance step 2'!BC42</f>
        <v>0</v>
      </c>
      <c r="BC37">
        <f>'Corrected energy balance step 2'!BD42</f>
        <v>0</v>
      </c>
      <c r="BD37">
        <f>'Corrected energy balance step 2'!BE42</f>
        <v>0</v>
      </c>
      <c r="BE37">
        <f>'Corrected energy balance step 2'!BF42</f>
        <v>0</v>
      </c>
      <c r="BF37">
        <f>'Corrected energy balance step 2'!BG42</f>
        <v>0</v>
      </c>
      <c r="BG37">
        <f>'Corrected energy balance step 2'!BH42</f>
        <v>0</v>
      </c>
      <c r="BH37">
        <f>'Corrected energy balance step 2'!BI42</f>
        <v>0</v>
      </c>
      <c r="BI37">
        <f>'Corrected energy balance step 2'!BJ42</f>
        <v>0</v>
      </c>
      <c r="BJ37">
        <f>'Corrected energy balance step 2'!BK42</f>
        <v>0</v>
      </c>
      <c r="BK37">
        <f>'Corrected energy balance step 2'!BL42</f>
        <v>0</v>
      </c>
      <c r="BL37">
        <f>'Corrected energy balance step 2'!BM42</f>
        <v>0</v>
      </c>
      <c r="BM37">
        <f>'Corrected energy balance step 2'!BN42</f>
        <v>0</v>
      </c>
      <c r="BN37">
        <f>'Corrected energy balance step 2'!BO42</f>
        <v>0</v>
      </c>
    </row>
    <row r="38" spans="1:66" x14ac:dyDescent="0.2">
      <c r="A38" s="281" t="s">
        <v>496</v>
      </c>
      <c r="B38">
        <f>'Corrected energy balance step 2'!C43</f>
        <v>0</v>
      </c>
      <c r="C38">
        <f>'Corrected energy balance step 2'!D43</f>
        <v>0</v>
      </c>
      <c r="D38">
        <f>'Corrected energy balance step 2'!E43</f>
        <v>0</v>
      </c>
      <c r="E38">
        <f>'Corrected energy balance step 2'!F43</f>
        <v>0</v>
      </c>
      <c r="F38">
        <f>'Corrected energy balance step 2'!G43</f>
        <v>0</v>
      </c>
      <c r="G38">
        <f>'Corrected energy balance step 2'!H43</f>
        <v>0</v>
      </c>
      <c r="H38">
        <f>'Corrected energy balance step 2'!I43</f>
        <v>0</v>
      </c>
      <c r="I38">
        <f>'Corrected energy balance step 2'!J43</f>
        <v>0</v>
      </c>
      <c r="J38">
        <f>'Corrected energy balance step 2'!K43</f>
        <v>0</v>
      </c>
      <c r="K38">
        <f>'Corrected energy balance step 2'!L43</f>
        <v>0</v>
      </c>
      <c r="L38">
        <f>'Corrected energy balance step 2'!M43</f>
        <v>0</v>
      </c>
      <c r="M38">
        <f>'Corrected energy balance step 2'!N43</f>
        <v>0</v>
      </c>
      <c r="N38">
        <f>'Corrected energy balance step 2'!O43</f>
        <v>0</v>
      </c>
      <c r="O38">
        <f>'Corrected energy balance step 2'!P43</f>
        <v>0</v>
      </c>
      <c r="P38">
        <f>'Corrected energy balance step 2'!Q43</f>
        <v>0</v>
      </c>
      <c r="Q38">
        <f>'Corrected energy balance step 2'!R43</f>
        <v>0</v>
      </c>
      <c r="R38">
        <f>'Corrected energy balance step 2'!S43</f>
        <v>0</v>
      </c>
      <c r="S38">
        <f>'Corrected energy balance step 2'!T43</f>
        <v>0</v>
      </c>
      <c r="T38">
        <f>'Corrected energy balance step 2'!U43</f>
        <v>0</v>
      </c>
      <c r="U38">
        <f>'Corrected energy balance step 2'!V43</f>
        <v>0</v>
      </c>
      <c r="V38">
        <f>'Corrected energy balance step 2'!W43</f>
        <v>0</v>
      </c>
      <c r="W38">
        <f>'Corrected energy balance step 2'!X43</f>
        <v>0</v>
      </c>
      <c r="X38">
        <f>'Corrected energy balance step 2'!Y43</f>
        <v>0</v>
      </c>
      <c r="Y38">
        <f>'Corrected energy balance step 2'!Z43</f>
        <v>0</v>
      </c>
      <c r="Z38">
        <f>'Corrected energy balance step 2'!AA43</f>
        <v>0</v>
      </c>
      <c r="AA38">
        <f>'Corrected energy balance step 2'!AB43</f>
        <v>0</v>
      </c>
      <c r="AB38">
        <f>'Corrected energy balance step 2'!AC43</f>
        <v>0</v>
      </c>
      <c r="AC38">
        <f>'Corrected energy balance step 2'!AD43</f>
        <v>0</v>
      </c>
      <c r="AD38">
        <f>'Corrected energy balance step 2'!AE43</f>
        <v>0</v>
      </c>
      <c r="AE38">
        <f>'Corrected energy balance step 2'!AF43</f>
        <v>0</v>
      </c>
      <c r="AF38">
        <f>'Corrected energy balance step 2'!AG43</f>
        <v>0</v>
      </c>
      <c r="AG38">
        <f>'Corrected energy balance step 2'!AH43</f>
        <v>0</v>
      </c>
      <c r="AH38">
        <f>'Corrected energy balance step 2'!AI43</f>
        <v>0</v>
      </c>
      <c r="AI38">
        <f>'Corrected energy balance step 2'!AJ43</f>
        <v>0</v>
      </c>
      <c r="AJ38">
        <f>'Corrected energy balance step 2'!AK43</f>
        <v>0</v>
      </c>
      <c r="AK38">
        <f>'Corrected energy balance step 2'!AL43</f>
        <v>0</v>
      </c>
      <c r="AL38">
        <f>'Corrected energy balance step 2'!AM43</f>
        <v>0</v>
      </c>
      <c r="AM38">
        <f>'Corrected energy balance step 2'!AN43</f>
        <v>0</v>
      </c>
      <c r="AN38">
        <f>'Corrected energy balance step 2'!AO43</f>
        <v>0</v>
      </c>
      <c r="AO38">
        <f>'Corrected energy balance step 2'!AP43</f>
        <v>0</v>
      </c>
      <c r="AP38">
        <f>'Corrected energy balance step 2'!AQ43</f>
        <v>0</v>
      </c>
      <c r="AQ38">
        <f>'Corrected energy balance step 2'!AR43</f>
        <v>0</v>
      </c>
      <c r="AR38">
        <f>'Corrected energy balance step 2'!AS43</f>
        <v>0</v>
      </c>
      <c r="AS38">
        <f>'Corrected energy balance step 2'!AT43</f>
        <v>0</v>
      </c>
      <c r="AT38">
        <f>'Corrected energy balance step 2'!AU43</f>
        <v>0</v>
      </c>
      <c r="AU38">
        <f>'Corrected energy balance step 2'!AV43</f>
        <v>0</v>
      </c>
      <c r="AV38">
        <f>'Corrected energy balance step 2'!AW43</f>
        <v>0</v>
      </c>
      <c r="AW38">
        <f>'Corrected energy balance step 2'!AX43</f>
        <v>0</v>
      </c>
      <c r="AX38">
        <f>'Corrected energy balance step 2'!AY43</f>
        <v>0</v>
      </c>
      <c r="AY38">
        <f>'Corrected energy balance step 2'!AZ43</f>
        <v>0</v>
      </c>
      <c r="AZ38">
        <f>'Corrected energy balance step 2'!BA43</f>
        <v>0</v>
      </c>
      <c r="BA38">
        <f>'Corrected energy balance step 2'!BB43</f>
        <v>0</v>
      </c>
      <c r="BB38">
        <f>'Corrected energy balance step 2'!BC43</f>
        <v>0</v>
      </c>
      <c r="BC38">
        <f>'Corrected energy balance step 2'!BD43</f>
        <v>0</v>
      </c>
      <c r="BD38">
        <f>'Corrected energy balance step 2'!BE43</f>
        <v>0</v>
      </c>
      <c r="BE38">
        <f>'Corrected energy balance step 2'!BF43</f>
        <v>0</v>
      </c>
      <c r="BF38">
        <f>'Corrected energy balance step 2'!BG43</f>
        <v>0</v>
      </c>
      <c r="BG38">
        <f>'Corrected energy balance step 2'!BH43</f>
        <v>0</v>
      </c>
      <c r="BH38">
        <f>'Corrected energy balance step 2'!BI43</f>
        <v>0</v>
      </c>
      <c r="BI38">
        <f>'Corrected energy balance step 2'!BJ43</f>
        <v>0</v>
      </c>
      <c r="BJ38">
        <f>'Corrected energy balance step 2'!BK43</f>
        <v>0</v>
      </c>
      <c r="BK38">
        <f>'Corrected energy balance step 2'!BL43</f>
        <v>0</v>
      </c>
      <c r="BL38">
        <f>'Corrected energy balance step 2'!BM43</f>
        <v>0</v>
      </c>
      <c r="BM38">
        <f>'Corrected energy balance step 2'!BN43</f>
        <v>0</v>
      </c>
      <c r="BN38">
        <f>'Corrected energy balance step 2'!BO43</f>
        <v>0</v>
      </c>
    </row>
    <row r="39" spans="1:66" x14ac:dyDescent="0.2">
      <c r="A39" s="226" t="s">
        <v>504</v>
      </c>
      <c r="B39">
        <f>'Corrected energy balance step 2'!C44</f>
        <v>0</v>
      </c>
      <c r="C39">
        <f>'Corrected energy balance step 2'!D44</f>
        <v>0</v>
      </c>
      <c r="D39">
        <f>'Corrected energy balance step 2'!E44</f>
        <v>0</v>
      </c>
      <c r="E39">
        <f>'Corrected energy balance step 2'!F44</f>
        <v>0</v>
      </c>
      <c r="F39">
        <f>'Corrected energy balance step 2'!G44</f>
        <v>0</v>
      </c>
      <c r="G39">
        <f>'Corrected energy balance step 2'!H44</f>
        <v>0</v>
      </c>
      <c r="H39">
        <f>'Corrected energy balance step 2'!I44</f>
        <v>0</v>
      </c>
      <c r="I39">
        <f>'Corrected energy balance step 2'!J44</f>
        <v>0</v>
      </c>
      <c r="J39">
        <f>'Corrected energy balance step 2'!K44</f>
        <v>0</v>
      </c>
      <c r="K39">
        <f>'Corrected energy balance step 2'!L44</f>
        <v>0</v>
      </c>
      <c r="L39">
        <f>'Corrected energy balance step 2'!M44</f>
        <v>0</v>
      </c>
      <c r="M39">
        <f>'Corrected energy balance step 2'!N44</f>
        <v>0</v>
      </c>
      <c r="N39">
        <f>'Corrected energy balance step 2'!O44</f>
        <v>0</v>
      </c>
      <c r="O39">
        <f>'Corrected energy balance step 2'!P44</f>
        <v>0</v>
      </c>
      <c r="P39">
        <f>'Corrected energy balance step 2'!Q44</f>
        <v>0</v>
      </c>
      <c r="Q39">
        <f>'Corrected energy balance step 2'!R44</f>
        <v>0</v>
      </c>
      <c r="R39">
        <f>'Corrected energy balance step 2'!S44</f>
        <v>0</v>
      </c>
      <c r="S39">
        <f>'Corrected energy balance step 2'!T44</f>
        <v>0</v>
      </c>
      <c r="T39">
        <f>'Corrected energy balance step 2'!U44</f>
        <v>0</v>
      </c>
      <c r="U39">
        <f>'Corrected energy balance step 2'!V44</f>
        <v>0</v>
      </c>
      <c r="V39">
        <f>'Corrected energy balance step 2'!W44</f>
        <v>0</v>
      </c>
      <c r="W39">
        <f>'Corrected energy balance step 2'!X44</f>
        <v>0</v>
      </c>
      <c r="X39">
        <f>'Corrected energy balance step 2'!Y44</f>
        <v>0</v>
      </c>
      <c r="Y39">
        <f>'Corrected energy balance step 2'!Z44</f>
        <v>0</v>
      </c>
      <c r="Z39">
        <f>'Corrected energy balance step 2'!AA44</f>
        <v>0</v>
      </c>
      <c r="AA39">
        <f>'Corrected energy balance step 2'!AB44</f>
        <v>0</v>
      </c>
      <c r="AB39">
        <f>'Corrected energy balance step 2'!AC44</f>
        <v>0</v>
      </c>
      <c r="AC39">
        <f>'Corrected energy balance step 2'!AD44</f>
        <v>0</v>
      </c>
      <c r="AD39">
        <f>'Corrected energy balance step 2'!AE44</f>
        <v>0</v>
      </c>
      <c r="AE39">
        <f>'Corrected energy balance step 2'!AF44</f>
        <v>0</v>
      </c>
      <c r="AF39">
        <f>'Corrected energy balance step 2'!AG44</f>
        <v>0</v>
      </c>
      <c r="AG39">
        <f>'Corrected energy balance step 2'!AH44</f>
        <v>0</v>
      </c>
      <c r="AH39">
        <f>'Corrected energy balance step 2'!AI44</f>
        <v>0</v>
      </c>
      <c r="AI39">
        <f>'Corrected energy balance step 2'!AJ44</f>
        <v>0</v>
      </c>
      <c r="AJ39">
        <f>'Corrected energy balance step 2'!AK44</f>
        <v>0</v>
      </c>
      <c r="AK39">
        <f>'Corrected energy balance step 2'!AL44</f>
        <v>0</v>
      </c>
      <c r="AL39">
        <f>'Corrected energy balance step 2'!AM44</f>
        <v>0</v>
      </c>
      <c r="AM39">
        <f>'Corrected energy balance step 2'!AN44</f>
        <v>0</v>
      </c>
      <c r="AN39">
        <f>'Corrected energy balance step 2'!AO44</f>
        <v>0</v>
      </c>
      <c r="AO39">
        <f>'Corrected energy balance step 2'!AP44</f>
        <v>0</v>
      </c>
      <c r="AP39">
        <f>'Corrected energy balance step 2'!AQ44</f>
        <v>0</v>
      </c>
      <c r="AQ39">
        <f>'Corrected energy balance step 2'!AR44</f>
        <v>0</v>
      </c>
      <c r="AR39">
        <f>'Corrected energy balance step 2'!AS44</f>
        <v>0</v>
      </c>
      <c r="AS39">
        <f>'Corrected energy balance step 2'!AT44</f>
        <v>0</v>
      </c>
      <c r="AT39">
        <f>'Corrected energy balance step 2'!AU44</f>
        <v>0</v>
      </c>
      <c r="AU39">
        <f>'Corrected energy balance step 2'!AV44</f>
        <v>0</v>
      </c>
      <c r="AV39">
        <f>'Corrected energy balance step 2'!AW44</f>
        <v>0</v>
      </c>
      <c r="AW39">
        <f>'Corrected energy balance step 2'!AX44</f>
        <v>0</v>
      </c>
      <c r="AX39">
        <f>'Corrected energy balance step 2'!AY44</f>
        <v>0</v>
      </c>
      <c r="AY39">
        <f>'Corrected energy balance step 2'!AZ44</f>
        <v>0</v>
      </c>
      <c r="AZ39">
        <f>'Corrected energy balance step 2'!BA44</f>
        <v>0</v>
      </c>
      <c r="BA39">
        <f>'Corrected energy balance step 2'!BB44</f>
        <v>0</v>
      </c>
      <c r="BB39">
        <f>'Corrected energy balance step 2'!BC44</f>
        <v>0</v>
      </c>
      <c r="BC39">
        <f>'Corrected energy balance step 2'!BD44</f>
        <v>0</v>
      </c>
      <c r="BD39">
        <f>'Corrected energy balance step 2'!BE44</f>
        <v>0</v>
      </c>
      <c r="BE39">
        <f>'Corrected energy balance step 2'!BF44</f>
        <v>0</v>
      </c>
      <c r="BF39">
        <f>'Corrected energy balance step 2'!BG44</f>
        <v>0</v>
      </c>
      <c r="BG39">
        <f>'Corrected energy balance step 2'!BH44</f>
        <v>0</v>
      </c>
      <c r="BH39">
        <f>'Corrected energy balance step 2'!BI44</f>
        <v>0</v>
      </c>
      <c r="BI39">
        <f>'Corrected energy balance step 2'!BJ44</f>
        <v>0</v>
      </c>
      <c r="BJ39">
        <f>'Corrected energy balance step 2'!BK44</f>
        <v>0</v>
      </c>
      <c r="BK39">
        <f>'Corrected energy balance step 2'!BL44</f>
        <v>0</v>
      </c>
      <c r="BL39">
        <f>'Corrected energy balance step 2'!BM44</f>
        <v>0</v>
      </c>
      <c r="BM39">
        <f>'Corrected energy balance step 2'!BN44</f>
        <v>0</v>
      </c>
      <c r="BN39">
        <f>'Corrected energy balance step 2'!BO44</f>
        <v>0</v>
      </c>
    </row>
    <row r="40" spans="1:66" x14ac:dyDescent="0.2">
      <c r="A40" t="s">
        <v>85</v>
      </c>
      <c r="B40">
        <f>'Corrected energy balance step 2'!C45</f>
        <v>0</v>
      </c>
      <c r="C40">
        <f>'Corrected energy balance step 2'!D45</f>
        <v>0</v>
      </c>
      <c r="D40">
        <f>'Corrected energy balance step 2'!E45</f>
        <v>0</v>
      </c>
      <c r="E40">
        <f>'Corrected energy balance step 2'!F45</f>
        <v>0</v>
      </c>
      <c r="F40">
        <f>'Corrected energy balance step 2'!G45</f>
        <v>0</v>
      </c>
      <c r="G40">
        <f>'Corrected energy balance step 2'!H45</f>
        <v>0</v>
      </c>
      <c r="H40">
        <f>'Corrected energy balance step 2'!I45</f>
        <v>0</v>
      </c>
      <c r="I40">
        <f>'Corrected energy balance step 2'!J45</f>
        <v>0</v>
      </c>
      <c r="J40">
        <f>'Corrected energy balance step 2'!K45</f>
        <v>0</v>
      </c>
      <c r="K40">
        <f>'Corrected energy balance step 2'!L45</f>
        <v>0</v>
      </c>
      <c r="L40">
        <f>'Corrected energy balance step 2'!M45</f>
        <v>0</v>
      </c>
      <c r="M40">
        <f>'Corrected energy balance step 2'!N45</f>
        <v>0</v>
      </c>
      <c r="N40">
        <f>'Corrected energy balance step 2'!O45</f>
        <v>0</v>
      </c>
      <c r="O40">
        <f>'Corrected energy balance step 2'!P45</f>
        <v>0</v>
      </c>
      <c r="P40">
        <f>'Corrected energy balance step 2'!Q45</f>
        <v>0</v>
      </c>
      <c r="Q40">
        <f>'Corrected energy balance step 2'!R45</f>
        <v>0</v>
      </c>
      <c r="R40">
        <f>'Corrected energy balance step 2'!S45</f>
        <v>0</v>
      </c>
      <c r="S40">
        <f>'Corrected energy balance step 2'!T45</f>
        <v>0</v>
      </c>
      <c r="T40">
        <f>'Corrected energy balance step 2'!U45</f>
        <v>0</v>
      </c>
      <c r="U40">
        <f>'Corrected energy balance step 2'!V45</f>
        <v>0</v>
      </c>
      <c r="V40">
        <f>'Corrected energy balance step 2'!W45</f>
        <v>0</v>
      </c>
      <c r="W40">
        <f>'Corrected energy balance step 2'!X45</f>
        <v>0</v>
      </c>
      <c r="X40">
        <f>'Corrected energy balance step 2'!Y45</f>
        <v>0</v>
      </c>
      <c r="Y40">
        <f>'Corrected energy balance step 2'!Z45</f>
        <v>0</v>
      </c>
      <c r="Z40">
        <f>'Corrected energy balance step 2'!AA45</f>
        <v>0</v>
      </c>
      <c r="AA40">
        <f>'Corrected energy balance step 2'!AB45</f>
        <v>0</v>
      </c>
      <c r="AB40">
        <f>'Corrected energy balance step 2'!AC45</f>
        <v>0</v>
      </c>
      <c r="AC40">
        <f>'Corrected energy balance step 2'!AD45</f>
        <v>0</v>
      </c>
      <c r="AD40">
        <f>'Corrected energy balance step 2'!AE45</f>
        <v>0</v>
      </c>
      <c r="AE40">
        <f>'Corrected energy balance step 2'!AF45</f>
        <v>0</v>
      </c>
      <c r="AF40">
        <f>'Corrected energy balance step 2'!AG45</f>
        <v>0</v>
      </c>
      <c r="AG40">
        <f>'Corrected energy balance step 2'!AH45</f>
        <v>0</v>
      </c>
      <c r="AH40">
        <f>'Corrected energy balance step 2'!AI45</f>
        <v>0</v>
      </c>
      <c r="AI40">
        <f>'Corrected energy balance step 2'!AJ45</f>
        <v>0</v>
      </c>
      <c r="AJ40">
        <f>'Corrected energy balance step 2'!AK45</f>
        <v>0</v>
      </c>
      <c r="AK40">
        <f>'Corrected energy balance step 2'!AL45</f>
        <v>0</v>
      </c>
      <c r="AL40">
        <f>'Corrected energy balance step 2'!AM45</f>
        <v>0</v>
      </c>
      <c r="AM40">
        <f>'Corrected energy balance step 2'!AN45</f>
        <v>0</v>
      </c>
      <c r="AN40">
        <f>'Corrected energy balance step 2'!AO45</f>
        <v>0</v>
      </c>
      <c r="AO40">
        <f>'Corrected energy balance step 2'!AP45</f>
        <v>0</v>
      </c>
      <c r="AP40">
        <f>'Corrected energy balance step 2'!AQ45</f>
        <v>0</v>
      </c>
      <c r="AQ40">
        <f>'Corrected energy balance step 2'!AR45</f>
        <v>0</v>
      </c>
      <c r="AR40">
        <f>'Corrected energy balance step 2'!AS45</f>
        <v>0</v>
      </c>
      <c r="AS40">
        <f>'Corrected energy balance step 2'!AT45</f>
        <v>0</v>
      </c>
      <c r="AT40">
        <f>'Corrected energy balance step 2'!AU45</f>
        <v>0</v>
      </c>
      <c r="AU40">
        <f>'Corrected energy balance step 2'!AV45</f>
        <v>0</v>
      </c>
      <c r="AV40">
        <f>'Corrected energy balance step 2'!AW45</f>
        <v>0</v>
      </c>
      <c r="AW40">
        <f>'Corrected energy balance step 2'!AX45</f>
        <v>0</v>
      </c>
      <c r="AX40">
        <f>'Corrected energy balance step 2'!AY45</f>
        <v>0</v>
      </c>
      <c r="AY40">
        <f>'Corrected energy balance step 2'!AZ45</f>
        <v>0</v>
      </c>
      <c r="AZ40">
        <f>'Corrected energy balance step 2'!BA45</f>
        <v>0</v>
      </c>
      <c r="BA40">
        <f>'Corrected energy balance step 2'!BB45</f>
        <v>0</v>
      </c>
      <c r="BB40">
        <f>'Corrected energy balance step 2'!BC45</f>
        <v>0</v>
      </c>
      <c r="BC40">
        <f>'Corrected energy balance step 2'!BD45</f>
        <v>0</v>
      </c>
      <c r="BD40">
        <f>'Corrected energy balance step 2'!BE45</f>
        <v>0</v>
      </c>
      <c r="BE40">
        <f>'Corrected energy balance step 2'!BF45</f>
        <v>0</v>
      </c>
      <c r="BF40">
        <f>'Corrected energy balance step 2'!BG45</f>
        <v>0</v>
      </c>
      <c r="BG40">
        <f>'Corrected energy balance step 2'!BH45</f>
        <v>0</v>
      </c>
      <c r="BH40">
        <f>'Corrected energy balance step 2'!BI45</f>
        <v>0</v>
      </c>
      <c r="BI40">
        <f>'Corrected energy balance step 2'!BJ45</f>
        <v>0</v>
      </c>
      <c r="BJ40">
        <f>'Corrected energy balance step 2'!BK45</f>
        <v>0</v>
      </c>
      <c r="BK40">
        <f>'Corrected energy balance step 2'!BL45</f>
        <v>0</v>
      </c>
      <c r="BL40">
        <f>'Corrected energy balance step 2'!BM45</f>
        <v>0</v>
      </c>
      <c r="BM40">
        <f>'Corrected energy balance step 2'!BN45</f>
        <v>0</v>
      </c>
      <c r="BN40">
        <f>'Corrected energy balance step 2'!BO45</f>
        <v>0</v>
      </c>
    </row>
    <row r="41" spans="1:66" x14ac:dyDescent="0.2">
      <c r="A41" s="226" t="s">
        <v>505</v>
      </c>
      <c r="B41">
        <f>'Corrected energy balance step 2'!C46</f>
        <v>0</v>
      </c>
      <c r="C41">
        <f>'Corrected energy balance step 2'!D46</f>
        <v>0</v>
      </c>
      <c r="D41">
        <f>'Corrected energy balance step 2'!E46</f>
        <v>0</v>
      </c>
      <c r="E41">
        <f>'Corrected energy balance step 2'!F46</f>
        <v>0</v>
      </c>
      <c r="F41">
        <f>'Corrected energy balance step 2'!G46</f>
        <v>0</v>
      </c>
      <c r="G41">
        <f>'Corrected energy balance step 2'!H46</f>
        <v>0</v>
      </c>
      <c r="H41">
        <f>'Corrected energy balance step 2'!I46</f>
        <v>0</v>
      </c>
      <c r="I41">
        <f>'Corrected energy balance step 2'!J46</f>
        <v>0</v>
      </c>
      <c r="J41">
        <f>'Corrected energy balance step 2'!K46</f>
        <v>0</v>
      </c>
      <c r="K41">
        <f>'Corrected energy balance step 2'!L46</f>
        <v>0</v>
      </c>
      <c r="L41">
        <f>'Corrected energy balance step 2'!M46</f>
        <v>0</v>
      </c>
      <c r="M41">
        <f>'Corrected energy balance step 2'!N46</f>
        <v>0</v>
      </c>
      <c r="N41">
        <f>'Corrected energy balance step 2'!O46</f>
        <v>0</v>
      </c>
      <c r="O41">
        <f>'Corrected energy balance step 2'!P46</f>
        <v>0</v>
      </c>
      <c r="P41">
        <f>'Corrected energy balance step 2'!Q46</f>
        <v>0</v>
      </c>
      <c r="Q41">
        <f>'Corrected energy balance step 2'!R46</f>
        <v>0</v>
      </c>
      <c r="R41">
        <f>'Corrected energy balance step 2'!S46</f>
        <v>0</v>
      </c>
      <c r="S41">
        <f>'Corrected energy balance step 2'!T46</f>
        <v>0</v>
      </c>
      <c r="T41">
        <f>'Corrected energy balance step 2'!U46</f>
        <v>0</v>
      </c>
      <c r="U41">
        <f>'Corrected energy balance step 2'!V46</f>
        <v>0</v>
      </c>
      <c r="V41">
        <f>'Corrected energy balance step 2'!W46</f>
        <v>0</v>
      </c>
      <c r="W41">
        <f>'Corrected energy balance step 2'!X46</f>
        <v>0</v>
      </c>
      <c r="X41">
        <f>'Corrected energy balance step 2'!Y46</f>
        <v>0</v>
      </c>
      <c r="Y41">
        <f>'Corrected energy balance step 2'!Z46</f>
        <v>0</v>
      </c>
      <c r="Z41">
        <f>'Corrected energy balance step 2'!AA46</f>
        <v>0</v>
      </c>
      <c r="AA41">
        <f>'Corrected energy balance step 2'!AB46</f>
        <v>0</v>
      </c>
      <c r="AB41">
        <f>'Corrected energy balance step 2'!AC46</f>
        <v>0</v>
      </c>
      <c r="AC41">
        <f>'Corrected energy balance step 2'!AD46</f>
        <v>0</v>
      </c>
      <c r="AD41">
        <f>'Corrected energy balance step 2'!AE46</f>
        <v>0</v>
      </c>
      <c r="AE41">
        <f>'Corrected energy balance step 2'!AF46</f>
        <v>0</v>
      </c>
      <c r="AF41">
        <f>'Corrected energy balance step 2'!AG46</f>
        <v>0</v>
      </c>
      <c r="AG41">
        <f>'Corrected energy balance step 2'!AH46</f>
        <v>0</v>
      </c>
      <c r="AH41">
        <f>'Corrected energy balance step 2'!AI46</f>
        <v>0</v>
      </c>
      <c r="AI41">
        <f>'Corrected energy balance step 2'!AJ46</f>
        <v>0</v>
      </c>
      <c r="AJ41">
        <f>'Corrected energy balance step 2'!AK46</f>
        <v>0</v>
      </c>
      <c r="AK41">
        <f>'Corrected energy balance step 2'!AL46</f>
        <v>0</v>
      </c>
      <c r="AL41">
        <f>'Corrected energy balance step 2'!AM46</f>
        <v>0</v>
      </c>
      <c r="AM41">
        <f>'Corrected energy balance step 2'!AN46</f>
        <v>0</v>
      </c>
      <c r="AN41">
        <f>'Corrected energy balance step 2'!AO46</f>
        <v>0</v>
      </c>
      <c r="AO41">
        <f>'Corrected energy balance step 2'!AP46</f>
        <v>0</v>
      </c>
      <c r="AP41">
        <f>'Corrected energy balance step 2'!AQ46</f>
        <v>0</v>
      </c>
      <c r="AQ41">
        <f>'Corrected energy balance step 2'!AR46</f>
        <v>0</v>
      </c>
      <c r="AR41">
        <f>'Corrected energy balance step 2'!AS46</f>
        <v>0</v>
      </c>
      <c r="AS41">
        <f>'Corrected energy balance step 2'!AT46</f>
        <v>0</v>
      </c>
      <c r="AT41">
        <f>'Corrected energy balance step 2'!AU46</f>
        <v>0</v>
      </c>
      <c r="AU41">
        <f>'Corrected energy balance step 2'!AV46</f>
        <v>0</v>
      </c>
      <c r="AV41">
        <f>'Corrected energy balance step 2'!AW46</f>
        <v>0</v>
      </c>
      <c r="AW41">
        <f>'Corrected energy balance step 2'!AX46</f>
        <v>0</v>
      </c>
      <c r="AX41">
        <f>'Corrected energy balance step 2'!AY46</f>
        <v>0</v>
      </c>
      <c r="AY41">
        <f>'Corrected energy balance step 2'!AZ46</f>
        <v>0</v>
      </c>
      <c r="AZ41">
        <f>'Corrected energy balance step 2'!BA46</f>
        <v>0</v>
      </c>
      <c r="BA41">
        <f>'Corrected energy balance step 2'!BB46</f>
        <v>0</v>
      </c>
      <c r="BB41">
        <f>'Corrected energy balance step 2'!BC46</f>
        <v>0</v>
      </c>
      <c r="BC41">
        <f>'Corrected energy balance step 2'!BD46</f>
        <v>0</v>
      </c>
      <c r="BD41">
        <f>'Corrected energy balance step 2'!BE46</f>
        <v>0</v>
      </c>
      <c r="BE41">
        <f>'Corrected energy balance step 2'!BF46</f>
        <v>0</v>
      </c>
      <c r="BF41">
        <f>'Corrected energy balance step 2'!BG46</f>
        <v>0</v>
      </c>
      <c r="BG41">
        <f>'Corrected energy balance step 2'!BH46</f>
        <v>0</v>
      </c>
      <c r="BH41">
        <f>'Corrected energy balance step 2'!BI46</f>
        <v>0</v>
      </c>
      <c r="BI41">
        <f>'Corrected energy balance step 2'!BJ46</f>
        <v>0</v>
      </c>
      <c r="BJ41">
        <f>'Corrected energy balance step 2'!BK46</f>
        <v>0</v>
      </c>
      <c r="BK41">
        <f>'Corrected energy balance step 2'!BL46</f>
        <v>0</v>
      </c>
      <c r="BL41">
        <f>'Corrected energy balance step 2'!BM46</f>
        <v>0</v>
      </c>
      <c r="BM41">
        <f>'Corrected energy balance step 2'!BN46</f>
        <v>0</v>
      </c>
      <c r="BN41">
        <f>'Corrected energy balance step 2'!BO46</f>
        <v>0</v>
      </c>
    </row>
    <row r="42" spans="1:66" x14ac:dyDescent="0.2">
      <c r="A42" s="226" t="s">
        <v>506</v>
      </c>
      <c r="B42">
        <f>'Corrected energy balance step 2'!C47</f>
        <v>0</v>
      </c>
      <c r="C42">
        <f>'Corrected energy balance step 2'!D47</f>
        <v>0</v>
      </c>
      <c r="D42">
        <f>'Corrected energy balance step 2'!E47</f>
        <v>0</v>
      </c>
      <c r="E42">
        <f>'Corrected energy balance step 2'!F47</f>
        <v>0</v>
      </c>
      <c r="F42">
        <f>'Corrected energy balance step 2'!G47</f>
        <v>0</v>
      </c>
      <c r="G42">
        <f>'Corrected energy balance step 2'!H47</f>
        <v>0</v>
      </c>
      <c r="H42">
        <f>'Corrected energy balance step 2'!I47</f>
        <v>0</v>
      </c>
      <c r="I42">
        <f>'Corrected energy balance step 2'!J47</f>
        <v>0</v>
      </c>
      <c r="J42">
        <f>'Corrected energy balance step 2'!K47</f>
        <v>0</v>
      </c>
      <c r="K42">
        <f>'Corrected energy balance step 2'!L47</f>
        <v>0</v>
      </c>
      <c r="L42">
        <f>'Corrected energy balance step 2'!M47</f>
        <v>0</v>
      </c>
      <c r="M42">
        <f>'Corrected energy balance step 2'!N47</f>
        <v>0</v>
      </c>
      <c r="N42">
        <f>'Corrected energy balance step 2'!O47</f>
        <v>0</v>
      </c>
      <c r="O42">
        <f>'Corrected energy balance step 2'!P47</f>
        <v>0</v>
      </c>
      <c r="P42">
        <f>'Corrected energy balance step 2'!Q47</f>
        <v>0</v>
      </c>
      <c r="Q42">
        <f>'Corrected energy balance step 2'!R47</f>
        <v>0</v>
      </c>
      <c r="R42">
        <f>'Corrected energy balance step 2'!S47</f>
        <v>0</v>
      </c>
      <c r="S42">
        <f>'Corrected energy balance step 2'!T47</f>
        <v>0</v>
      </c>
      <c r="T42">
        <f>'Corrected energy balance step 2'!U47</f>
        <v>0</v>
      </c>
      <c r="U42">
        <f>'Corrected energy balance step 2'!V47</f>
        <v>0</v>
      </c>
      <c r="V42">
        <f>'Corrected energy balance step 2'!W47</f>
        <v>0</v>
      </c>
      <c r="W42">
        <f>'Corrected energy balance step 2'!X47</f>
        <v>0</v>
      </c>
      <c r="X42">
        <f>'Corrected energy balance step 2'!Y47</f>
        <v>0</v>
      </c>
      <c r="Y42">
        <f>'Corrected energy balance step 2'!Z47</f>
        <v>0</v>
      </c>
      <c r="Z42">
        <f>'Corrected energy balance step 2'!AA47</f>
        <v>0</v>
      </c>
      <c r="AA42">
        <f>'Corrected energy balance step 2'!AB47</f>
        <v>0</v>
      </c>
      <c r="AB42">
        <f>'Corrected energy balance step 2'!AC47</f>
        <v>0</v>
      </c>
      <c r="AC42">
        <f>'Corrected energy balance step 2'!AD47</f>
        <v>0</v>
      </c>
      <c r="AD42">
        <f>'Corrected energy balance step 2'!AE47</f>
        <v>0</v>
      </c>
      <c r="AE42">
        <f>'Corrected energy balance step 2'!AF47</f>
        <v>0</v>
      </c>
      <c r="AF42">
        <f>'Corrected energy balance step 2'!AG47</f>
        <v>0</v>
      </c>
      <c r="AG42">
        <f>'Corrected energy balance step 2'!AH47</f>
        <v>0</v>
      </c>
      <c r="AH42">
        <f>'Corrected energy balance step 2'!AI47</f>
        <v>0</v>
      </c>
      <c r="AI42">
        <f>'Corrected energy balance step 2'!AJ47</f>
        <v>0</v>
      </c>
      <c r="AJ42">
        <f>'Corrected energy balance step 2'!AK47</f>
        <v>0</v>
      </c>
      <c r="AK42">
        <f>'Corrected energy balance step 2'!AL47</f>
        <v>0</v>
      </c>
      <c r="AL42">
        <f>'Corrected energy balance step 2'!AM47</f>
        <v>0</v>
      </c>
      <c r="AM42">
        <f>'Corrected energy balance step 2'!AN47</f>
        <v>0</v>
      </c>
      <c r="AN42">
        <f>'Corrected energy balance step 2'!AO47</f>
        <v>0</v>
      </c>
      <c r="AO42">
        <f>'Corrected energy balance step 2'!AP47</f>
        <v>0</v>
      </c>
      <c r="AP42">
        <f>'Corrected energy balance step 2'!AQ47</f>
        <v>0</v>
      </c>
      <c r="AQ42">
        <f>'Corrected energy balance step 2'!AR47</f>
        <v>0</v>
      </c>
      <c r="AR42">
        <f>'Corrected energy balance step 2'!AS47</f>
        <v>0</v>
      </c>
      <c r="AS42">
        <f>'Corrected energy balance step 2'!AT47</f>
        <v>0</v>
      </c>
      <c r="AT42">
        <f>'Corrected energy balance step 2'!AU47</f>
        <v>0</v>
      </c>
      <c r="AU42">
        <f>'Corrected energy balance step 2'!AV47</f>
        <v>0</v>
      </c>
      <c r="AV42">
        <f>'Corrected energy balance step 2'!AW47</f>
        <v>0</v>
      </c>
      <c r="AW42">
        <f>'Corrected energy balance step 2'!AX47</f>
        <v>0</v>
      </c>
      <c r="AX42">
        <f>'Corrected energy balance step 2'!AY47</f>
        <v>0</v>
      </c>
      <c r="AY42">
        <f>'Corrected energy balance step 2'!AZ47</f>
        <v>0</v>
      </c>
      <c r="AZ42">
        <f>'Corrected energy balance step 2'!BA47</f>
        <v>0</v>
      </c>
      <c r="BA42">
        <f>'Corrected energy balance step 2'!BB47</f>
        <v>0</v>
      </c>
      <c r="BB42">
        <f>'Corrected energy balance step 2'!BC47</f>
        <v>0</v>
      </c>
      <c r="BC42">
        <f>'Corrected energy balance step 2'!BD47</f>
        <v>0</v>
      </c>
      <c r="BD42">
        <f>'Corrected energy balance step 2'!BE47</f>
        <v>0</v>
      </c>
      <c r="BE42">
        <f>'Corrected energy balance step 2'!BF47</f>
        <v>0</v>
      </c>
      <c r="BF42">
        <f>'Corrected energy balance step 2'!BG47</f>
        <v>0</v>
      </c>
      <c r="BG42">
        <f>'Corrected energy balance step 2'!BH47</f>
        <v>0</v>
      </c>
      <c r="BH42">
        <f>'Corrected energy balance step 2'!BI47</f>
        <v>0</v>
      </c>
      <c r="BI42">
        <f>'Corrected energy balance step 2'!BJ47</f>
        <v>0</v>
      </c>
      <c r="BJ42">
        <f>'Corrected energy balance step 2'!BK47</f>
        <v>0</v>
      </c>
      <c r="BK42">
        <f>'Corrected energy balance step 2'!BL47</f>
        <v>0</v>
      </c>
      <c r="BL42">
        <f>'Corrected energy balance step 2'!BM47</f>
        <v>0</v>
      </c>
      <c r="BM42">
        <f>'Corrected energy balance step 2'!BN47</f>
        <v>0</v>
      </c>
      <c r="BN42">
        <f>'Corrected energy balance step 2'!BO47</f>
        <v>0</v>
      </c>
    </row>
    <row r="43" spans="1:66" x14ac:dyDescent="0.2">
      <c r="A43" s="226" t="s">
        <v>507</v>
      </c>
      <c r="B43">
        <f>'Corrected energy balance step 2'!C48</f>
        <v>0</v>
      </c>
      <c r="C43">
        <f>'Corrected energy balance step 2'!D48</f>
        <v>0</v>
      </c>
      <c r="D43">
        <f>'Corrected energy balance step 2'!E48</f>
        <v>0</v>
      </c>
      <c r="E43">
        <f>'Corrected energy balance step 2'!F48</f>
        <v>0</v>
      </c>
      <c r="F43">
        <f>'Corrected energy balance step 2'!G48</f>
        <v>0</v>
      </c>
      <c r="G43">
        <f>'Corrected energy balance step 2'!H48</f>
        <v>0</v>
      </c>
      <c r="H43">
        <f>'Corrected energy balance step 2'!I48</f>
        <v>0</v>
      </c>
      <c r="I43">
        <f>'Corrected energy balance step 2'!J48</f>
        <v>0</v>
      </c>
      <c r="J43">
        <f>'Corrected energy balance step 2'!K48</f>
        <v>0</v>
      </c>
      <c r="K43">
        <f>'Corrected energy balance step 2'!L48</f>
        <v>0</v>
      </c>
      <c r="L43">
        <f>'Corrected energy balance step 2'!M48</f>
        <v>0</v>
      </c>
      <c r="M43">
        <f>'Corrected energy balance step 2'!N48</f>
        <v>0</v>
      </c>
      <c r="N43">
        <f>'Corrected energy balance step 2'!O48</f>
        <v>0</v>
      </c>
      <c r="O43">
        <f>'Corrected energy balance step 2'!P48</f>
        <v>0</v>
      </c>
      <c r="P43">
        <f>'Corrected energy balance step 2'!Q48</f>
        <v>0</v>
      </c>
      <c r="Q43">
        <f>'Corrected energy balance step 2'!R48</f>
        <v>0</v>
      </c>
      <c r="R43">
        <f>'Corrected energy balance step 2'!S48</f>
        <v>0</v>
      </c>
      <c r="S43">
        <f>'Corrected energy balance step 2'!T48</f>
        <v>0</v>
      </c>
      <c r="T43">
        <f>'Corrected energy balance step 2'!U48</f>
        <v>0</v>
      </c>
      <c r="U43">
        <f>'Corrected energy balance step 2'!V48</f>
        <v>0</v>
      </c>
      <c r="V43">
        <f>'Corrected energy balance step 2'!W48</f>
        <v>0</v>
      </c>
      <c r="W43">
        <f>'Corrected energy balance step 2'!X48</f>
        <v>0</v>
      </c>
      <c r="X43">
        <f>'Corrected energy balance step 2'!Y48</f>
        <v>0</v>
      </c>
      <c r="Y43">
        <f>'Corrected energy balance step 2'!Z48</f>
        <v>0</v>
      </c>
      <c r="Z43">
        <f>'Corrected energy balance step 2'!AA48</f>
        <v>0</v>
      </c>
      <c r="AA43">
        <f>'Corrected energy balance step 2'!AB48</f>
        <v>0</v>
      </c>
      <c r="AB43">
        <f>'Corrected energy balance step 2'!AC48</f>
        <v>0</v>
      </c>
      <c r="AC43">
        <f>'Corrected energy balance step 2'!AD48</f>
        <v>0</v>
      </c>
      <c r="AD43">
        <f>'Corrected energy balance step 2'!AE48</f>
        <v>0</v>
      </c>
      <c r="AE43">
        <f>'Corrected energy balance step 2'!AF48</f>
        <v>0</v>
      </c>
      <c r="AF43">
        <f>'Corrected energy balance step 2'!AG48</f>
        <v>0</v>
      </c>
      <c r="AG43">
        <f>'Corrected energy balance step 2'!AH48</f>
        <v>0</v>
      </c>
      <c r="AH43">
        <f>'Corrected energy balance step 2'!AI48</f>
        <v>0</v>
      </c>
      <c r="AI43">
        <f>'Corrected energy balance step 2'!AJ48</f>
        <v>0</v>
      </c>
      <c r="AJ43">
        <f>'Corrected energy balance step 2'!AK48</f>
        <v>0</v>
      </c>
      <c r="AK43">
        <f>'Corrected energy balance step 2'!AL48</f>
        <v>0</v>
      </c>
      <c r="AL43">
        <f>'Corrected energy balance step 2'!AM48</f>
        <v>0</v>
      </c>
      <c r="AM43">
        <f>'Corrected energy balance step 2'!AN48</f>
        <v>0</v>
      </c>
      <c r="AN43">
        <f>'Corrected energy balance step 2'!AO48</f>
        <v>0</v>
      </c>
      <c r="AO43">
        <f>'Corrected energy balance step 2'!AP48</f>
        <v>0</v>
      </c>
      <c r="AP43">
        <f>'Corrected energy balance step 2'!AQ48</f>
        <v>0</v>
      </c>
      <c r="AQ43">
        <f>'Corrected energy balance step 2'!AR48</f>
        <v>0</v>
      </c>
      <c r="AR43">
        <f>'Corrected energy balance step 2'!AS48</f>
        <v>0</v>
      </c>
      <c r="AS43">
        <f>'Corrected energy balance step 2'!AT48</f>
        <v>0</v>
      </c>
      <c r="AT43">
        <f>'Corrected energy balance step 2'!AU48</f>
        <v>0</v>
      </c>
      <c r="AU43">
        <f>'Corrected energy balance step 2'!AV48</f>
        <v>0</v>
      </c>
      <c r="AV43">
        <f>'Corrected energy balance step 2'!AW48</f>
        <v>0</v>
      </c>
      <c r="AW43">
        <f>'Corrected energy balance step 2'!AX48</f>
        <v>0</v>
      </c>
      <c r="AX43">
        <f>'Corrected energy balance step 2'!AY48</f>
        <v>0</v>
      </c>
      <c r="AY43">
        <f>'Corrected energy balance step 2'!AZ48</f>
        <v>0</v>
      </c>
      <c r="AZ43">
        <f>'Corrected energy balance step 2'!BA48</f>
        <v>0</v>
      </c>
      <c r="BA43">
        <f>'Corrected energy balance step 2'!BB48</f>
        <v>0</v>
      </c>
      <c r="BB43">
        <f>'Corrected energy balance step 2'!BC48</f>
        <v>0</v>
      </c>
      <c r="BC43">
        <f>'Corrected energy balance step 2'!BD48</f>
        <v>0</v>
      </c>
      <c r="BD43">
        <f>'Corrected energy balance step 2'!BE48</f>
        <v>0</v>
      </c>
      <c r="BE43">
        <f>'Corrected energy balance step 2'!BF48</f>
        <v>0</v>
      </c>
      <c r="BF43">
        <f>'Corrected energy balance step 2'!BG48</f>
        <v>0</v>
      </c>
      <c r="BG43">
        <f>'Corrected energy balance step 2'!BH48</f>
        <v>0</v>
      </c>
      <c r="BH43">
        <f>'Corrected energy balance step 2'!BI48</f>
        <v>0</v>
      </c>
      <c r="BI43">
        <f>'Corrected energy balance step 2'!BJ48</f>
        <v>0</v>
      </c>
      <c r="BJ43">
        <f>'Corrected energy balance step 2'!BK48</f>
        <v>0</v>
      </c>
      <c r="BK43">
        <f>'Corrected energy balance step 2'!BL48</f>
        <v>0</v>
      </c>
      <c r="BL43">
        <f>'Corrected energy balance step 2'!BM48</f>
        <v>0</v>
      </c>
      <c r="BM43">
        <f>'Corrected energy balance step 2'!BN48</f>
        <v>0</v>
      </c>
      <c r="BN43">
        <f>'Corrected energy balance step 2'!BO48</f>
        <v>0</v>
      </c>
    </row>
    <row r="44" spans="1:66" x14ac:dyDescent="0.2">
      <c r="A44" s="226" t="s">
        <v>508</v>
      </c>
      <c r="B44">
        <f>'Corrected energy balance step 2'!C49</f>
        <v>0</v>
      </c>
      <c r="C44">
        <f>'Corrected energy balance step 2'!D49</f>
        <v>0</v>
      </c>
      <c r="D44">
        <f>'Corrected energy balance step 2'!E49</f>
        <v>0</v>
      </c>
      <c r="E44">
        <f>'Corrected energy balance step 2'!F49</f>
        <v>0</v>
      </c>
      <c r="F44">
        <f>'Corrected energy balance step 2'!G49</f>
        <v>0</v>
      </c>
      <c r="G44">
        <f>'Corrected energy balance step 2'!H49</f>
        <v>0</v>
      </c>
      <c r="H44">
        <f>'Corrected energy balance step 2'!I49</f>
        <v>0</v>
      </c>
      <c r="I44">
        <f>'Corrected energy balance step 2'!J49</f>
        <v>0</v>
      </c>
      <c r="J44">
        <f>'Corrected energy balance step 2'!K49</f>
        <v>0</v>
      </c>
      <c r="K44">
        <f>'Corrected energy balance step 2'!L49</f>
        <v>0</v>
      </c>
      <c r="L44">
        <f>'Corrected energy balance step 2'!M49</f>
        <v>0</v>
      </c>
      <c r="M44">
        <f>'Corrected energy balance step 2'!N49</f>
        <v>0</v>
      </c>
      <c r="N44">
        <f>'Corrected energy balance step 2'!O49</f>
        <v>0</v>
      </c>
      <c r="O44">
        <f>'Corrected energy balance step 2'!P49</f>
        <v>0</v>
      </c>
      <c r="P44">
        <f>'Corrected energy balance step 2'!Q49</f>
        <v>0</v>
      </c>
      <c r="Q44">
        <f>'Corrected energy balance step 2'!R49</f>
        <v>0</v>
      </c>
      <c r="R44">
        <f>'Corrected energy balance step 2'!S49</f>
        <v>0</v>
      </c>
      <c r="S44">
        <f>'Corrected energy balance step 2'!T49</f>
        <v>0</v>
      </c>
      <c r="T44">
        <f>'Corrected energy balance step 2'!U49</f>
        <v>0</v>
      </c>
      <c r="U44">
        <f>'Corrected energy balance step 2'!V49</f>
        <v>0</v>
      </c>
      <c r="V44">
        <f>'Corrected energy balance step 2'!W49</f>
        <v>0</v>
      </c>
      <c r="W44">
        <f>'Corrected energy balance step 2'!X49</f>
        <v>0</v>
      </c>
      <c r="X44">
        <f>'Corrected energy balance step 2'!Y49</f>
        <v>0</v>
      </c>
      <c r="Y44">
        <f>'Corrected energy balance step 2'!Z49</f>
        <v>0</v>
      </c>
      <c r="Z44">
        <f>'Corrected energy balance step 2'!AA49</f>
        <v>0</v>
      </c>
      <c r="AA44">
        <f>'Corrected energy balance step 2'!AB49</f>
        <v>0</v>
      </c>
      <c r="AB44">
        <f>'Corrected energy balance step 2'!AC49</f>
        <v>0</v>
      </c>
      <c r="AC44">
        <f>'Corrected energy balance step 2'!AD49</f>
        <v>0</v>
      </c>
      <c r="AD44">
        <f>'Corrected energy balance step 2'!AE49</f>
        <v>0</v>
      </c>
      <c r="AE44">
        <f>'Corrected energy balance step 2'!AF49</f>
        <v>0</v>
      </c>
      <c r="AF44">
        <f>'Corrected energy balance step 2'!AG49</f>
        <v>0</v>
      </c>
      <c r="AG44">
        <f>'Corrected energy balance step 2'!AH49</f>
        <v>0</v>
      </c>
      <c r="AH44">
        <f>'Corrected energy balance step 2'!AI49</f>
        <v>0</v>
      </c>
      <c r="AI44">
        <f>'Corrected energy balance step 2'!AJ49</f>
        <v>0</v>
      </c>
      <c r="AJ44">
        <f>'Corrected energy balance step 2'!AK49</f>
        <v>0</v>
      </c>
      <c r="AK44">
        <f>'Corrected energy balance step 2'!AL49</f>
        <v>0</v>
      </c>
      <c r="AL44">
        <f>'Corrected energy balance step 2'!AM49</f>
        <v>0</v>
      </c>
      <c r="AM44">
        <f>'Corrected energy balance step 2'!AN49</f>
        <v>0</v>
      </c>
      <c r="AN44">
        <f>'Corrected energy balance step 2'!AO49</f>
        <v>0</v>
      </c>
      <c r="AO44">
        <f>'Corrected energy balance step 2'!AP49</f>
        <v>0</v>
      </c>
      <c r="AP44">
        <f>'Corrected energy balance step 2'!AQ49</f>
        <v>0</v>
      </c>
      <c r="AQ44">
        <f>'Corrected energy balance step 2'!AR49</f>
        <v>0</v>
      </c>
      <c r="AR44">
        <f>'Corrected energy balance step 2'!AS49</f>
        <v>0</v>
      </c>
      <c r="AS44">
        <f>'Corrected energy balance step 2'!AT49</f>
        <v>0</v>
      </c>
      <c r="AT44">
        <f>'Corrected energy balance step 2'!AU49</f>
        <v>0</v>
      </c>
      <c r="AU44">
        <f>'Corrected energy balance step 2'!AV49</f>
        <v>0</v>
      </c>
      <c r="AV44">
        <f>'Corrected energy balance step 2'!AW49</f>
        <v>0</v>
      </c>
      <c r="AW44">
        <f>'Corrected energy balance step 2'!AX49</f>
        <v>0</v>
      </c>
      <c r="AX44">
        <f>'Corrected energy balance step 2'!AY49</f>
        <v>0</v>
      </c>
      <c r="AY44">
        <f>'Corrected energy balance step 2'!AZ49</f>
        <v>0</v>
      </c>
      <c r="AZ44">
        <f>'Corrected energy balance step 2'!BA49</f>
        <v>0</v>
      </c>
      <c r="BA44">
        <f>'Corrected energy balance step 2'!BB49</f>
        <v>0</v>
      </c>
      <c r="BB44">
        <f>'Corrected energy balance step 2'!BC49</f>
        <v>0</v>
      </c>
      <c r="BC44">
        <f>'Corrected energy balance step 2'!BD49</f>
        <v>0</v>
      </c>
      <c r="BD44">
        <f>'Corrected energy balance step 2'!BE49</f>
        <v>0</v>
      </c>
      <c r="BE44">
        <f>'Corrected energy balance step 2'!BF49</f>
        <v>0</v>
      </c>
      <c r="BF44">
        <f>'Corrected energy balance step 2'!BG49</f>
        <v>0</v>
      </c>
      <c r="BG44">
        <f>'Corrected energy balance step 2'!BH49</f>
        <v>0</v>
      </c>
      <c r="BH44">
        <f>'Corrected energy balance step 2'!BI49</f>
        <v>0</v>
      </c>
      <c r="BI44">
        <f>'Corrected energy balance step 2'!BJ49</f>
        <v>0</v>
      </c>
      <c r="BJ44">
        <f>'Corrected energy balance step 2'!BK49</f>
        <v>0</v>
      </c>
      <c r="BK44">
        <f>'Corrected energy balance step 2'!BL49</f>
        <v>0</v>
      </c>
      <c r="BL44">
        <f>'Corrected energy balance step 2'!BM49</f>
        <v>0</v>
      </c>
      <c r="BM44">
        <f>'Corrected energy balance step 2'!BN49</f>
        <v>0</v>
      </c>
      <c r="BN44">
        <f>'Corrected energy balance step 2'!BO49</f>
        <v>0</v>
      </c>
    </row>
    <row r="45" spans="1:66" x14ac:dyDescent="0.2">
      <c r="A45" s="226" t="s">
        <v>509</v>
      </c>
      <c r="B45">
        <f>'Corrected energy balance step 2'!C50</f>
        <v>0</v>
      </c>
      <c r="C45">
        <f>'Corrected energy balance step 2'!D50</f>
        <v>0</v>
      </c>
      <c r="D45">
        <f>'Corrected energy balance step 2'!E50</f>
        <v>0</v>
      </c>
      <c r="E45">
        <f>'Corrected energy balance step 2'!F50</f>
        <v>0</v>
      </c>
      <c r="F45">
        <f>'Corrected energy balance step 2'!G50</f>
        <v>0</v>
      </c>
      <c r="G45">
        <f>'Corrected energy balance step 2'!H50</f>
        <v>0</v>
      </c>
      <c r="H45">
        <f>'Corrected energy balance step 2'!I50</f>
        <v>0</v>
      </c>
      <c r="I45">
        <f>'Corrected energy balance step 2'!J50</f>
        <v>0</v>
      </c>
      <c r="J45">
        <f>'Corrected energy balance step 2'!K50</f>
        <v>0</v>
      </c>
      <c r="K45">
        <f>'Corrected energy balance step 2'!L50</f>
        <v>0</v>
      </c>
      <c r="L45">
        <f>'Corrected energy balance step 2'!M50</f>
        <v>0</v>
      </c>
      <c r="M45">
        <f>'Corrected energy balance step 2'!N50</f>
        <v>0</v>
      </c>
      <c r="N45">
        <f>'Corrected energy balance step 2'!O50</f>
        <v>0</v>
      </c>
      <c r="O45">
        <f>'Corrected energy balance step 2'!P50</f>
        <v>0</v>
      </c>
      <c r="P45">
        <f>'Corrected energy balance step 2'!Q50</f>
        <v>0</v>
      </c>
      <c r="Q45">
        <f>'Corrected energy balance step 2'!R50</f>
        <v>0</v>
      </c>
      <c r="R45">
        <f>'Corrected energy balance step 2'!S50</f>
        <v>0</v>
      </c>
      <c r="S45">
        <f>'Corrected energy balance step 2'!T50</f>
        <v>0</v>
      </c>
      <c r="T45">
        <f>'Corrected energy balance step 2'!U50</f>
        <v>0</v>
      </c>
      <c r="U45">
        <f>'Corrected energy balance step 2'!V50</f>
        <v>0</v>
      </c>
      <c r="V45">
        <f>'Corrected energy balance step 2'!W50</f>
        <v>0</v>
      </c>
      <c r="W45">
        <f>'Corrected energy balance step 2'!X50</f>
        <v>0</v>
      </c>
      <c r="X45">
        <f>'Corrected energy balance step 2'!Y50</f>
        <v>0</v>
      </c>
      <c r="Y45">
        <f>'Corrected energy balance step 2'!Z50</f>
        <v>0</v>
      </c>
      <c r="Z45">
        <f>'Corrected energy balance step 2'!AA50</f>
        <v>0</v>
      </c>
      <c r="AA45">
        <f>'Corrected energy balance step 2'!AB50</f>
        <v>0</v>
      </c>
      <c r="AB45">
        <f>'Corrected energy balance step 2'!AC50</f>
        <v>0</v>
      </c>
      <c r="AC45">
        <f>'Corrected energy balance step 2'!AD50</f>
        <v>0</v>
      </c>
      <c r="AD45">
        <f>'Corrected energy balance step 2'!AE50</f>
        <v>0</v>
      </c>
      <c r="AE45">
        <f>'Corrected energy balance step 2'!AF50</f>
        <v>0</v>
      </c>
      <c r="AF45">
        <f>'Corrected energy balance step 2'!AG50</f>
        <v>0</v>
      </c>
      <c r="AG45">
        <f>'Corrected energy balance step 2'!AH50</f>
        <v>0</v>
      </c>
      <c r="AH45">
        <f>'Corrected energy balance step 2'!AI50</f>
        <v>0</v>
      </c>
      <c r="AI45">
        <f>'Corrected energy balance step 2'!AJ50</f>
        <v>0</v>
      </c>
      <c r="AJ45">
        <f>'Corrected energy balance step 2'!AK50</f>
        <v>0</v>
      </c>
      <c r="AK45">
        <f>'Corrected energy balance step 2'!AL50</f>
        <v>0</v>
      </c>
      <c r="AL45">
        <f>'Corrected energy balance step 2'!AM50</f>
        <v>0</v>
      </c>
      <c r="AM45">
        <f>'Corrected energy balance step 2'!AN50</f>
        <v>0</v>
      </c>
      <c r="AN45">
        <f>'Corrected energy balance step 2'!AO50</f>
        <v>0</v>
      </c>
      <c r="AO45">
        <f>'Corrected energy balance step 2'!AP50</f>
        <v>0</v>
      </c>
      <c r="AP45">
        <f>'Corrected energy balance step 2'!AQ50</f>
        <v>0</v>
      </c>
      <c r="AQ45">
        <f>'Corrected energy balance step 2'!AR50</f>
        <v>0</v>
      </c>
      <c r="AR45">
        <f>'Corrected energy balance step 2'!AS50</f>
        <v>0</v>
      </c>
      <c r="AS45">
        <f>'Corrected energy balance step 2'!AT50</f>
        <v>0</v>
      </c>
      <c r="AT45">
        <f>'Corrected energy balance step 2'!AU50</f>
        <v>0</v>
      </c>
      <c r="AU45">
        <f>'Corrected energy balance step 2'!AV50</f>
        <v>0</v>
      </c>
      <c r="AV45">
        <f>'Corrected energy balance step 2'!AW50</f>
        <v>0</v>
      </c>
      <c r="AW45">
        <f>'Corrected energy balance step 2'!AX50</f>
        <v>0</v>
      </c>
      <c r="AX45">
        <f>'Corrected energy balance step 2'!AY50</f>
        <v>0</v>
      </c>
      <c r="AY45">
        <f>'Corrected energy balance step 2'!AZ50</f>
        <v>0</v>
      </c>
      <c r="AZ45">
        <f>'Corrected energy balance step 2'!BA50</f>
        <v>0</v>
      </c>
      <c r="BA45">
        <f>'Corrected energy balance step 2'!BB50</f>
        <v>0</v>
      </c>
      <c r="BB45">
        <f>'Corrected energy balance step 2'!BC50</f>
        <v>0</v>
      </c>
      <c r="BC45">
        <f>'Corrected energy balance step 2'!BD50</f>
        <v>0</v>
      </c>
      <c r="BD45">
        <f>'Corrected energy balance step 2'!BE50</f>
        <v>0</v>
      </c>
      <c r="BE45">
        <f>'Corrected energy balance step 2'!BF50</f>
        <v>0</v>
      </c>
      <c r="BF45">
        <f>'Corrected energy balance step 2'!BG50</f>
        <v>0</v>
      </c>
      <c r="BG45">
        <f>'Corrected energy balance step 2'!BH50</f>
        <v>0</v>
      </c>
      <c r="BH45">
        <f>'Corrected energy balance step 2'!BI50</f>
        <v>0</v>
      </c>
      <c r="BI45">
        <f>'Corrected energy balance step 2'!BJ50</f>
        <v>0</v>
      </c>
      <c r="BJ45">
        <f>'Corrected energy balance step 2'!BK50</f>
        <v>0</v>
      </c>
      <c r="BK45">
        <f>'Corrected energy balance step 2'!BL50</f>
        <v>0</v>
      </c>
      <c r="BL45">
        <f>'Corrected energy balance step 2'!BM50</f>
        <v>0</v>
      </c>
      <c r="BM45">
        <f>'Corrected energy balance step 2'!BN50</f>
        <v>0</v>
      </c>
      <c r="BN45">
        <f>'Corrected energy balance step 2'!BO50</f>
        <v>0</v>
      </c>
    </row>
    <row r="46" spans="1:66" x14ac:dyDescent="0.2">
      <c r="A46" t="s">
        <v>86</v>
      </c>
      <c r="B46">
        <f>'Corrected energy balance step 2'!C51</f>
        <v>0</v>
      </c>
      <c r="C46">
        <f>'Corrected energy balance step 2'!D51</f>
        <v>0</v>
      </c>
      <c r="D46">
        <f>'Corrected energy balance step 2'!E51</f>
        <v>0</v>
      </c>
      <c r="E46">
        <f>'Corrected energy balance step 2'!F51</f>
        <v>0</v>
      </c>
      <c r="F46">
        <f>'Corrected energy balance step 2'!G51</f>
        <v>0</v>
      </c>
      <c r="G46">
        <f>'Corrected energy balance step 2'!H51</f>
        <v>0</v>
      </c>
      <c r="H46">
        <f>'Corrected energy balance step 2'!I51</f>
        <v>0</v>
      </c>
      <c r="I46">
        <f>'Corrected energy balance step 2'!J51</f>
        <v>0</v>
      </c>
      <c r="J46">
        <f>'Corrected energy balance step 2'!K51</f>
        <v>0</v>
      </c>
      <c r="K46">
        <f>'Corrected energy balance step 2'!L51</f>
        <v>0</v>
      </c>
      <c r="L46">
        <f>'Corrected energy balance step 2'!M51</f>
        <v>0</v>
      </c>
      <c r="M46">
        <f>'Corrected energy balance step 2'!N51</f>
        <v>0</v>
      </c>
      <c r="N46">
        <f>'Corrected energy balance step 2'!O51</f>
        <v>0</v>
      </c>
      <c r="O46">
        <f>'Corrected energy balance step 2'!P51</f>
        <v>0</v>
      </c>
      <c r="P46">
        <f>'Corrected energy balance step 2'!Q51</f>
        <v>0</v>
      </c>
      <c r="Q46">
        <f>'Corrected energy balance step 2'!R51</f>
        <v>0</v>
      </c>
      <c r="R46">
        <f>'Corrected energy balance step 2'!S51</f>
        <v>0</v>
      </c>
      <c r="S46">
        <f>'Corrected energy balance step 2'!T51</f>
        <v>0</v>
      </c>
      <c r="T46">
        <f>'Corrected energy balance step 2'!U51</f>
        <v>0</v>
      </c>
      <c r="U46">
        <f>'Corrected energy balance step 2'!V51</f>
        <v>0</v>
      </c>
      <c r="V46">
        <f>'Corrected energy balance step 2'!W51</f>
        <v>0</v>
      </c>
      <c r="W46">
        <f>'Corrected energy balance step 2'!X51</f>
        <v>0</v>
      </c>
      <c r="X46">
        <f>'Corrected energy balance step 2'!Y51</f>
        <v>0</v>
      </c>
      <c r="Y46">
        <f>'Corrected energy balance step 2'!Z51</f>
        <v>0</v>
      </c>
      <c r="Z46">
        <f>'Corrected energy balance step 2'!AA51</f>
        <v>0</v>
      </c>
      <c r="AA46">
        <f>'Corrected energy balance step 2'!AB51</f>
        <v>0</v>
      </c>
      <c r="AB46">
        <f>'Corrected energy balance step 2'!AC51</f>
        <v>0</v>
      </c>
      <c r="AC46">
        <f>'Corrected energy balance step 2'!AD51</f>
        <v>0</v>
      </c>
      <c r="AD46">
        <f>'Corrected energy balance step 2'!AE51</f>
        <v>0</v>
      </c>
      <c r="AE46">
        <f>'Corrected energy balance step 2'!AF51</f>
        <v>0</v>
      </c>
      <c r="AF46">
        <f>'Corrected energy balance step 2'!AG51</f>
        <v>0</v>
      </c>
      <c r="AG46">
        <f>'Corrected energy balance step 2'!AH51</f>
        <v>0</v>
      </c>
      <c r="AH46">
        <f>'Corrected energy balance step 2'!AI51</f>
        <v>0</v>
      </c>
      <c r="AI46">
        <f>'Corrected energy balance step 2'!AJ51</f>
        <v>0</v>
      </c>
      <c r="AJ46">
        <f>'Corrected energy balance step 2'!AK51</f>
        <v>0</v>
      </c>
      <c r="AK46">
        <f>'Corrected energy balance step 2'!AL51</f>
        <v>0</v>
      </c>
      <c r="AL46">
        <f>'Corrected energy balance step 2'!AM51</f>
        <v>0</v>
      </c>
      <c r="AM46">
        <f>'Corrected energy balance step 2'!AN51</f>
        <v>0</v>
      </c>
      <c r="AN46">
        <f>'Corrected energy balance step 2'!AO51</f>
        <v>0</v>
      </c>
      <c r="AO46">
        <f>'Corrected energy balance step 2'!AP51</f>
        <v>0</v>
      </c>
      <c r="AP46">
        <f>'Corrected energy balance step 2'!AQ51</f>
        <v>0</v>
      </c>
      <c r="AQ46">
        <f>'Corrected energy balance step 2'!AR51</f>
        <v>0</v>
      </c>
      <c r="AR46">
        <f>'Corrected energy balance step 2'!AS51</f>
        <v>0</v>
      </c>
      <c r="AS46">
        <f>'Corrected energy balance step 2'!AT51</f>
        <v>0</v>
      </c>
      <c r="AT46">
        <f>'Corrected energy balance step 2'!AU51</f>
        <v>0</v>
      </c>
      <c r="AU46">
        <f>'Corrected energy balance step 2'!AV51</f>
        <v>0</v>
      </c>
      <c r="AV46">
        <f>'Corrected energy balance step 2'!AW51</f>
        <v>0</v>
      </c>
      <c r="AW46">
        <f>'Corrected energy balance step 2'!AX51</f>
        <v>0</v>
      </c>
      <c r="AX46">
        <f>'Corrected energy balance step 2'!AY51</f>
        <v>0</v>
      </c>
      <c r="AY46">
        <f>'Corrected energy balance step 2'!AZ51</f>
        <v>0</v>
      </c>
      <c r="AZ46">
        <f>'Corrected energy balance step 2'!BA51</f>
        <v>0</v>
      </c>
      <c r="BA46">
        <f>'Corrected energy balance step 2'!BB51</f>
        <v>0</v>
      </c>
      <c r="BB46">
        <f>'Corrected energy balance step 2'!BC51</f>
        <v>0</v>
      </c>
      <c r="BC46">
        <f>'Corrected energy balance step 2'!BD51</f>
        <v>0</v>
      </c>
      <c r="BD46">
        <f>'Corrected energy balance step 2'!BE51</f>
        <v>0</v>
      </c>
      <c r="BE46">
        <f>'Corrected energy balance step 2'!BF51</f>
        <v>0</v>
      </c>
      <c r="BF46">
        <f>'Corrected energy balance step 2'!BG51</f>
        <v>0</v>
      </c>
      <c r="BG46">
        <f>'Corrected energy balance step 2'!BH51</f>
        <v>0</v>
      </c>
      <c r="BH46">
        <f>'Corrected energy balance step 2'!BI51</f>
        <v>0</v>
      </c>
      <c r="BI46">
        <f>'Corrected energy balance step 2'!BJ51</f>
        <v>0</v>
      </c>
      <c r="BJ46">
        <f>'Corrected energy balance step 2'!BK51</f>
        <v>0</v>
      </c>
      <c r="BK46">
        <f>'Corrected energy balance step 2'!BL51</f>
        <v>0</v>
      </c>
      <c r="BL46">
        <f>'Corrected energy balance step 2'!BM51</f>
        <v>0</v>
      </c>
      <c r="BM46">
        <f>'Corrected energy balance step 2'!BN51</f>
        <v>0</v>
      </c>
      <c r="BN46">
        <f>'Corrected energy balance step 2'!BO51</f>
        <v>0</v>
      </c>
    </row>
    <row r="47" spans="1:66" x14ac:dyDescent="0.2">
      <c r="A47" s="226" t="s">
        <v>510</v>
      </c>
      <c r="B47">
        <f>'Corrected energy balance step 2'!C52</f>
        <v>0</v>
      </c>
      <c r="C47">
        <f>'Corrected energy balance step 2'!D52</f>
        <v>0</v>
      </c>
      <c r="D47">
        <f>'Corrected energy balance step 2'!E52</f>
        <v>0</v>
      </c>
      <c r="E47">
        <f>'Corrected energy balance step 2'!F52</f>
        <v>0</v>
      </c>
      <c r="F47">
        <f>'Corrected energy balance step 2'!G52</f>
        <v>0</v>
      </c>
      <c r="G47">
        <f>'Corrected energy balance step 2'!H52</f>
        <v>0</v>
      </c>
      <c r="H47">
        <f>'Corrected energy balance step 2'!I52</f>
        <v>0</v>
      </c>
      <c r="I47">
        <f>'Corrected energy balance step 2'!J52</f>
        <v>0</v>
      </c>
      <c r="J47">
        <f>'Corrected energy balance step 2'!K52</f>
        <v>0</v>
      </c>
      <c r="K47">
        <f>'Corrected energy balance step 2'!L52</f>
        <v>0</v>
      </c>
      <c r="L47">
        <f>'Corrected energy balance step 2'!M52</f>
        <v>0</v>
      </c>
      <c r="M47">
        <f>'Corrected energy balance step 2'!N52</f>
        <v>0</v>
      </c>
      <c r="N47">
        <f>'Corrected energy balance step 2'!O52</f>
        <v>0</v>
      </c>
      <c r="O47">
        <f>'Corrected energy balance step 2'!P52</f>
        <v>0</v>
      </c>
      <c r="P47">
        <f>'Corrected energy balance step 2'!Q52</f>
        <v>0</v>
      </c>
      <c r="Q47">
        <f>'Corrected energy balance step 2'!R52</f>
        <v>0</v>
      </c>
      <c r="R47">
        <f>'Corrected energy balance step 2'!S52</f>
        <v>0</v>
      </c>
      <c r="S47">
        <f>'Corrected energy balance step 2'!T52</f>
        <v>0</v>
      </c>
      <c r="T47">
        <f>'Corrected energy balance step 2'!U52</f>
        <v>0</v>
      </c>
      <c r="U47">
        <f>'Corrected energy balance step 2'!V52</f>
        <v>0</v>
      </c>
      <c r="V47">
        <f>'Corrected energy balance step 2'!W52</f>
        <v>0</v>
      </c>
      <c r="W47">
        <f>'Corrected energy balance step 2'!X52</f>
        <v>0</v>
      </c>
      <c r="X47">
        <f>'Corrected energy balance step 2'!Y52</f>
        <v>0</v>
      </c>
      <c r="Y47">
        <f>'Corrected energy balance step 2'!Z52</f>
        <v>0</v>
      </c>
      <c r="Z47">
        <f>'Corrected energy balance step 2'!AA52</f>
        <v>0</v>
      </c>
      <c r="AA47">
        <f>'Corrected energy balance step 2'!AB52</f>
        <v>0</v>
      </c>
      <c r="AB47">
        <f>'Corrected energy balance step 2'!AC52</f>
        <v>0</v>
      </c>
      <c r="AC47">
        <f>'Corrected energy balance step 2'!AD52</f>
        <v>0</v>
      </c>
      <c r="AD47">
        <f>'Corrected energy balance step 2'!AE52</f>
        <v>0</v>
      </c>
      <c r="AE47">
        <f>'Corrected energy balance step 2'!AF52</f>
        <v>0</v>
      </c>
      <c r="AF47">
        <f>'Corrected energy balance step 2'!AG52</f>
        <v>0</v>
      </c>
      <c r="AG47">
        <f>'Corrected energy balance step 2'!AH52</f>
        <v>0</v>
      </c>
      <c r="AH47">
        <f>'Corrected energy balance step 2'!AI52</f>
        <v>0</v>
      </c>
      <c r="AI47">
        <f>'Corrected energy balance step 2'!AJ52</f>
        <v>0</v>
      </c>
      <c r="AJ47">
        <f>'Corrected energy balance step 2'!AK52</f>
        <v>0</v>
      </c>
      <c r="AK47">
        <f>'Corrected energy balance step 2'!AL52</f>
        <v>0</v>
      </c>
      <c r="AL47">
        <f>'Corrected energy balance step 2'!AM52</f>
        <v>0</v>
      </c>
      <c r="AM47">
        <f>'Corrected energy balance step 2'!AN52</f>
        <v>0</v>
      </c>
      <c r="AN47">
        <f>'Corrected energy balance step 2'!AO52</f>
        <v>0</v>
      </c>
      <c r="AO47">
        <f>'Corrected energy balance step 2'!AP52</f>
        <v>0</v>
      </c>
      <c r="AP47">
        <f>'Corrected energy balance step 2'!AQ52</f>
        <v>0</v>
      </c>
      <c r="AQ47">
        <f>'Corrected energy balance step 2'!AR52</f>
        <v>0</v>
      </c>
      <c r="AR47">
        <f>'Corrected energy balance step 2'!AS52</f>
        <v>0</v>
      </c>
      <c r="AS47">
        <f>'Corrected energy balance step 2'!AT52</f>
        <v>0</v>
      </c>
      <c r="AT47">
        <f>'Corrected energy balance step 2'!AU52</f>
        <v>0</v>
      </c>
      <c r="AU47">
        <f>'Corrected energy balance step 2'!AV52</f>
        <v>0</v>
      </c>
      <c r="AV47">
        <f>'Corrected energy balance step 2'!AW52</f>
        <v>0</v>
      </c>
      <c r="AW47">
        <f>'Corrected energy balance step 2'!AX52</f>
        <v>0</v>
      </c>
      <c r="AX47">
        <f>'Corrected energy balance step 2'!AY52</f>
        <v>0</v>
      </c>
      <c r="AY47">
        <f>'Corrected energy balance step 2'!AZ52</f>
        <v>0</v>
      </c>
      <c r="AZ47">
        <f>'Corrected energy balance step 2'!BA52</f>
        <v>0</v>
      </c>
      <c r="BA47">
        <f>'Corrected energy balance step 2'!BB52</f>
        <v>0</v>
      </c>
      <c r="BB47">
        <f>'Corrected energy balance step 2'!BC52</f>
        <v>0</v>
      </c>
      <c r="BC47">
        <f>'Corrected energy balance step 2'!BD52</f>
        <v>0</v>
      </c>
      <c r="BD47">
        <f>'Corrected energy balance step 2'!BE52</f>
        <v>0</v>
      </c>
      <c r="BE47">
        <f>'Corrected energy balance step 2'!BF52</f>
        <v>0</v>
      </c>
      <c r="BF47">
        <f>'Corrected energy balance step 2'!BG52</f>
        <v>0</v>
      </c>
      <c r="BG47">
        <f>'Corrected energy balance step 2'!BH52</f>
        <v>0</v>
      </c>
      <c r="BH47">
        <f>'Corrected energy balance step 2'!BI52</f>
        <v>0</v>
      </c>
      <c r="BI47">
        <f>'Corrected energy balance step 2'!BJ52</f>
        <v>0</v>
      </c>
      <c r="BJ47">
        <f>'Corrected energy balance step 2'!BK52</f>
        <v>0</v>
      </c>
      <c r="BK47">
        <f>'Corrected energy balance step 2'!BL52</f>
        <v>0</v>
      </c>
      <c r="BL47">
        <f>'Corrected energy balance step 2'!BM52</f>
        <v>0</v>
      </c>
      <c r="BM47">
        <f>'Corrected energy balance step 2'!BN52</f>
        <v>0</v>
      </c>
      <c r="BN47">
        <f>'Corrected energy balance step 2'!BO52</f>
        <v>0</v>
      </c>
    </row>
    <row r="48" spans="1:66" x14ac:dyDescent="0.2">
      <c r="A48" t="s">
        <v>87</v>
      </c>
      <c r="B48">
        <f>'Corrected energy balance step 2'!C53</f>
        <v>0</v>
      </c>
      <c r="C48">
        <f>'Corrected energy balance step 2'!D53</f>
        <v>0</v>
      </c>
      <c r="D48">
        <f>'Corrected energy balance step 2'!E53</f>
        <v>0</v>
      </c>
      <c r="E48">
        <f>'Corrected energy balance step 2'!F53</f>
        <v>0</v>
      </c>
      <c r="F48">
        <f>'Corrected energy balance step 2'!G53</f>
        <v>0</v>
      </c>
      <c r="G48">
        <f>'Corrected energy balance step 2'!H53</f>
        <v>0</v>
      </c>
      <c r="H48">
        <f>'Corrected energy balance step 2'!I53</f>
        <v>0</v>
      </c>
      <c r="I48">
        <f>'Corrected energy balance step 2'!J53</f>
        <v>0</v>
      </c>
      <c r="J48">
        <f>'Corrected energy balance step 2'!K53</f>
        <v>0</v>
      </c>
      <c r="K48">
        <f>'Corrected energy balance step 2'!L53</f>
        <v>0</v>
      </c>
      <c r="L48">
        <f>'Corrected energy balance step 2'!M53</f>
        <v>0</v>
      </c>
      <c r="M48">
        <f>'Corrected energy balance step 2'!N53</f>
        <v>0</v>
      </c>
      <c r="N48">
        <f>'Corrected energy balance step 2'!O53</f>
        <v>0</v>
      </c>
      <c r="O48">
        <f>'Corrected energy balance step 2'!P53</f>
        <v>0</v>
      </c>
      <c r="P48">
        <f>'Corrected energy balance step 2'!Q53</f>
        <v>0</v>
      </c>
      <c r="Q48">
        <f>'Corrected energy balance step 2'!R53</f>
        <v>0</v>
      </c>
      <c r="R48">
        <f>'Corrected energy balance step 2'!S53</f>
        <v>0</v>
      </c>
      <c r="S48">
        <f>'Corrected energy balance step 2'!T53</f>
        <v>0</v>
      </c>
      <c r="T48">
        <f>'Corrected energy balance step 2'!U53</f>
        <v>0</v>
      </c>
      <c r="U48">
        <f>'Corrected energy balance step 2'!V53</f>
        <v>0</v>
      </c>
      <c r="V48">
        <f>'Corrected energy balance step 2'!W53</f>
        <v>0</v>
      </c>
      <c r="W48">
        <f>'Corrected energy balance step 2'!X53</f>
        <v>0</v>
      </c>
      <c r="X48">
        <f>'Corrected energy balance step 2'!Y53</f>
        <v>0</v>
      </c>
      <c r="Y48">
        <f>'Corrected energy balance step 2'!Z53</f>
        <v>0</v>
      </c>
      <c r="Z48">
        <f>'Corrected energy balance step 2'!AA53</f>
        <v>0</v>
      </c>
      <c r="AA48">
        <f>'Corrected energy balance step 2'!AB53</f>
        <v>0</v>
      </c>
      <c r="AB48">
        <f>'Corrected energy balance step 2'!AC53</f>
        <v>0</v>
      </c>
      <c r="AC48">
        <f>'Corrected energy balance step 2'!AD53</f>
        <v>0</v>
      </c>
      <c r="AD48">
        <f>'Corrected energy balance step 2'!AE53</f>
        <v>0</v>
      </c>
      <c r="AE48">
        <f>'Corrected energy balance step 2'!AF53</f>
        <v>0</v>
      </c>
      <c r="AF48">
        <f>'Corrected energy balance step 2'!AG53</f>
        <v>0</v>
      </c>
      <c r="AG48">
        <f>'Corrected energy balance step 2'!AH53</f>
        <v>0</v>
      </c>
      <c r="AH48">
        <f>'Corrected energy balance step 2'!AI53</f>
        <v>0</v>
      </c>
      <c r="AI48">
        <f>'Corrected energy balance step 2'!AJ53</f>
        <v>0</v>
      </c>
      <c r="AJ48">
        <f>'Corrected energy balance step 2'!AK53</f>
        <v>0</v>
      </c>
      <c r="AK48">
        <f>'Corrected energy balance step 2'!AL53</f>
        <v>0</v>
      </c>
      <c r="AL48">
        <f>'Corrected energy balance step 2'!AM53</f>
        <v>0</v>
      </c>
      <c r="AM48">
        <f>'Corrected energy balance step 2'!AN53</f>
        <v>0</v>
      </c>
      <c r="AN48">
        <f>'Corrected energy balance step 2'!AO53</f>
        <v>0</v>
      </c>
      <c r="AO48">
        <f>'Corrected energy balance step 2'!AP53</f>
        <v>0</v>
      </c>
      <c r="AP48">
        <f>'Corrected energy balance step 2'!AQ53</f>
        <v>0</v>
      </c>
      <c r="AQ48">
        <f>'Corrected energy balance step 2'!AR53</f>
        <v>0</v>
      </c>
      <c r="AR48">
        <f>'Corrected energy balance step 2'!AS53</f>
        <v>0</v>
      </c>
      <c r="AS48">
        <f>'Corrected energy balance step 2'!AT53</f>
        <v>0</v>
      </c>
      <c r="AT48">
        <f>'Corrected energy balance step 2'!AU53</f>
        <v>0</v>
      </c>
      <c r="AU48">
        <f>'Corrected energy balance step 2'!AV53</f>
        <v>0</v>
      </c>
      <c r="AV48">
        <f>'Corrected energy balance step 2'!AW53</f>
        <v>0</v>
      </c>
      <c r="AW48">
        <f>'Corrected energy balance step 2'!AX53</f>
        <v>0</v>
      </c>
      <c r="AX48">
        <f>'Corrected energy balance step 2'!AY53</f>
        <v>0</v>
      </c>
      <c r="AY48">
        <f>'Corrected energy balance step 2'!AZ53</f>
        <v>0</v>
      </c>
      <c r="AZ48">
        <f>'Corrected energy balance step 2'!BA53</f>
        <v>0</v>
      </c>
      <c r="BA48">
        <f>'Corrected energy balance step 2'!BB53</f>
        <v>0</v>
      </c>
      <c r="BB48">
        <f>'Corrected energy balance step 2'!BC53</f>
        <v>0</v>
      </c>
      <c r="BC48">
        <f>'Corrected energy balance step 2'!BD53</f>
        <v>0</v>
      </c>
      <c r="BD48">
        <f>'Corrected energy balance step 2'!BE53</f>
        <v>0</v>
      </c>
      <c r="BE48">
        <f>'Corrected energy balance step 2'!BF53</f>
        <v>0</v>
      </c>
      <c r="BF48">
        <f>'Corrected energy balance step 2'!BG53</f>
        <v>0</v>
      </c>
      <c r="BG48">
        <f>'Corrected energy balance step 2'!BH53</f>
        <v>0</v>
      </c>
      <c r="BH48">
        <f>'Corrected energy balance step 2'!BI53</f>
        <v>0</v>
      </c>
      <c r="BI48">
        <f>'Corrected energy balance step 2'!BJ53</f>
        <v>0</v>
      </c>
      <c r="BJ48">
        <f>'Corrected energy balance step 2'!BK53</f>
        <v>0</v>
      </c>
      <c r="BK48">
        <f>'Corrected energy balance step 2'!BL53</f>
        <v>0</v>
      </c>
      <c r="BL48">
        <f>'Corrected energy balance step 2'!BM53</f>
        <v>0</v>
      </c>
      <c r="BM48">
        <f>'Corrected energy balance step 2'!BN53</f>
        <v>0</v>
      </c>
      <c r="BN48">
        <f>'Corrected energy balance step 2'!BO53</f>
        <v>0</v>
      </c>
    </row>
    <row r="49" spans="1:66" x14ac:dyDescent="0.2">
      <c r="A49" t="s">
        <v>88</v>
      </c>
      <c r="B49">
        <f>'Corrected energy balance step 2'!C54</f>
        <v>0</v>
      </c>
      <c r="C49">
        <f>'Corrected energy balance step 2'!D54</f>
        <v>0</v>
      </c>
      <c r="D49">
        <f>'Corrected energy balance step 2'!E54</f>
        <v>0</v>
      </c>
      <c r="E49">
        <f>'Corrected energy balance step 2'!F54</f>
        <v>0</v>
      </c>
      <c r="F49">
        <f>'Corrected energy balance step 2'!G54</f>
        <v>0</v>
      </c>
      <c r="G49">
        <f>'Corrected energy balance step 2'!H54</f>
        <v>0</v>
      </c>
      <c r="H49">
        <f>'Corrected energy balance step 2'!I54</f>
        <v>0</v>
      </c>
      <c r="I49">
        <f>'Corrected energy balance step 2'!J54</f>
        <v>0</v>
      </c>
      <c r="J49">
        <f>'Corrected energy balance step 2'!K54</f>
        <v>0</v>
      </c>
      <c r="K49">
        <f>'Corrected energy balance step 2'!L54</f>
        <v>0</v>
      </c>
      <c r="L49">
        <f>'Corrected energy balance step 2'!M54</f>
        <v>0</v>
      </c>
      <c r="M49">
        <f>'Corrected energy balance step 2'!N54</f>
        <v>0</v>
      </c>
      <c r="N49">
        <f>'Corrected energy balance step 2'!O54</f>
        <v>0</v>
      </c>
      <c r="O49">
        <f>'Corrected energy balance step 2'!P54</f>
        <v>0</v>
      </c>
      <c r="P49">
        <f>'Corrected energy balance step 2'!Q54</f>
        <v>0</v>
      </c>
      <c r="Q49">
        <f>'Corrected energy balance step 2'!R54</f>
        <v>0</v>
      </c>
      <c r="R49">
        <f>'Corrected energy balance step 2'!S54</f>
        <v>0</v>
      </c>
      <c r="S49">
        <f>'Corrected energy balance step 2'!T54</f>
        <v>0</v>
      </c>
      <c r="T49">
        <f>'Corrected energy balance step 2'!U54</f>
        <v>0</v>
      </c>
      <c r="U49">
        <f>'Corrected energy balance step 2'!V54</f>
        <v>0</v>
      </c>
      <c r="V49">
        <f>'Corrected energy balance step 2'!W54</f>
        <v>0</v>
      </c>
      <c r="W49">
        <f>'Corrected energy balance step 2'!X54</f>
        <v>0</v>
      </c>
      <c r="X49">
        <f>'Corrected energy balance step 2'!Y54</f>
        <v>0</v>
      </c>
      <c r="Y49">
        <f>'Corrected energy balance step 2'!Z54</f>
        <v>0</v>
      </c>
      <c r="Z49">
        <f>'Corrected energy balance step 2'!AA54</f>
        <v>0</v>
      </c>
      <c r="AA49">
        <f>'Corrected energy balance step 2'!AB54</f>
        <v>0</v>
      </c>
      <c r="AB49">
        <f>'Corrected energy balance step 2'!AC54</f>
        <v>0</v>
      </c>
      <c r="AC49">
        <f>'Corrected energy balance step 2'!AD54</f>
        <v>0</v>
      </c>
      <c r="AD49">
        <f>'Corrected energy balance step 2'!AE54</f>
        <v>0</v>
      </c>
      <c r="AE49">
        <f>'Corrected energy balance step 2'!AF54</f>
        <v>0</v>
      </c>
      <c r="AF49">
        <f>'Corrected energy balance step 2'!AG54</f>
        <v>0</v>
      </c>
      <c r="AG49">
        <f>'Corrected energy balance step 2'!AH54</f>
        <v>0</v>
      </c>
      <c r="AH49">
        <f>'Corrected energy balance step 2'!AI54</f>
        <v>0</v>
      </c>
      <c r="AI49">
        <f>'Corrected energy balance step 2'!AJ54</f>
        <v>0</v>
      </c>
      <c r="AJ49">
        <f>'Corrected energy balance step 2'!AK54</f>
        <v>0</v>
      </c>
      <c r="AK49">
        <f>'Corrected energy balance step 2'!AL54</f>
        <v>0</v>
      </c>
      <c r="AL49">
        <f>'Corrected energy balance step 2'!AM54</f>
        <v>0</v>
      </c>
      <c r="AM49">
        <f>'Corrected energy balance step 2'!AN54</f>
        <v>0</v>
      </c>
      <c r="AN49">
        <f>'Corrected energy balance step 2'!AO54</f>
        <v>0</v>
      </c>
      <c r="AO49">
        <f>'Corrected energy balance step 2'!AP54</f>
        <v>0</v>
      </c>
      <c r="AP49">
        <f>'Corrected energy balance step 2'!AQ54</f>
        <v>0</v>
      </c>
      <c r="AQ49">
        <f>'Corrected energy balance step 2'!AR54</f>
        <v>0</v>
      </c>
      <c r="AR49">
        <f>'Corrected energy balance step 2'!AS54</f>
        <v>0</v>
      </c>
      <c r="AS49">
        <f>'Corrected energy balance step 2'!AT54</f>
        <v>0</v>
      </c>
      <c r="AT49">
        <f>'Corrected energy balance step 2'!AU54</f>
        <v>0</v>
      </c>
      <c r="AU49">
        <f>'Corrected energy balance step 2'!AV54</f>
        <v>0</v>
      </c>
      <c r="AV49">
        <f>'Corrected energy balance step 2'!AW54</f>
        <v>0</v>
      </c>
      <c r="AW49">
        <f>'Corrected energy balance step 2'!AX54</f>
        <v>0</v>
      </c>
      <c r="AX49">
        <f>'Corrected energy balance step 2'!AY54</f>
        <v>0</v>
      </c>
      <c r="AY49">
        <f>'Corrected energy balance step 2'!AZ54</f>
        <v>0</v>
      </c>
      <c r="AZ49">
        <f>'Corrected energy balance step 2'!BA54</f>
        <v>0</v>
      </c>
      <c r="BA49">
        <f>'Corrected energy balance step 2'!BB54</f>
        <v>0</v>
      </c>
      <c r="BB49">
        <f>'Corrected energy balance step 2'!BC54</f>
        <v>0</v>
      </c>
      <c r="BC49">
        <f>'Corrected energy balance step 2'!BD54</f>
        <v>0</v>
      </c>
      <c r="BD49">
        <f>'Corrected energy balance step 2'!BE54</f>
        <v>0</v>
      </c>
      <c r="BE49">
        <f>'Corrected energy balance step 2'!BF54</f>
        <v>0</v>
      </c>
      <c r="BF49">
        <f>'Corrected energy balance step 2'!BG54</f>
        <v>0</v>
      </c>
      <c r="BG49">
        <f>'Corrected energy balance step 2'!BH54</f>
        <v>0</v>
      </c>
      <c r="BH49">
        <f>'Corrected energy balance step 2'!BI54</f>
        <v>0</v>
      </c>
      <c r="BI49">
        <f>'Corrected energy balance step 2'!BJ54</f>
        <v>0</v>
      </c>
      <c r="BJ49">
        <f>'Corrected energy balance step 2'!BK54</f>
        <v>0</v>
      </c>
      <c r="BK49">
        <f>'Corrected energy balance step 2'!BL54</f>
        <v>0</v>
      </c>
      <c r="BL49">
        <f>'Corrected energy balance step 2'!BM54</f>
        <v>0</v>
      </c>
      <c r="BM49">
        <f>'Corrected energy balance step 2'!BN54</f>
        <v>0</v>
      </c>
      <c r="BN49">
        <f>'Corrected energy balance step 2'!BO54</f>
        <v>0</v>
      </c>
    </row>
    <row r="50" spans="1:66" x14ac:dyDescent="0.2">
      <c r="A50" t="s">
        <v>89</v>
      </c>
      <c r="B50">
        <f>'Corrected energy balance step 2'!C55</f>
        <v>0</v>
      </c>
      <c r="C50">
        <f>'Corrected energy balance step 2'!D55</f>
        <v>0</v>
      </c>
      <c r="D50">
        <f>'Corrected energy balance step 2'!E55</f>
        <v>0</v>
      </c>
      <c r="E50">
        <f>'Corrected energy balance step 2'!F55</f>
        <v>0</v>
      </c>
      <c r="F50">
        <f>'Corrected energy balance step 2'!G55</f>
        <v>0</v>
      </c>
      <c r="G50">
        <f>'Corrected energy balance step 2'!H55</f>
        <v>0</v>
      </c>
      <c r="H50">
        <f>'Corrected energy balance step 2'!I55</f>
        <v>0</v>
      </c>
      <c r="I50">
        <f>'Corrected energy balance step 2'!J55</f>
        <v>0</v>
      </c>
      <c r="J50">
        <f>'Corrected energy balance step 2'!K55</f>
        <v>0</v>
      </c>
      <c r="K50">
        <f>'Corrected energy balance step 2'!L55</f>
        <v>0</v>
      </c>
      <c r="L50">
        <f>'Corrected energy balance step 2'!M55</f>
        <v>0</v>
      </c>
      <c r="M50">
        <f>'Corrected energy balance step 2'!N55</f>
        <v>0</v>
      </c>
      <c r="N50">
        <f>'Corrected energy balance step 2'!O55</f>
        <v>0</v>
      </c>
      <c r="O50">
        <f>'Corrected energy balance step 2'!P55</f>
        <v>0</v>
      </c>
      <c r="P50">
        <f>'Corrected energy balance step 2'!Q55</f>
        <v>0</v>
      </c>
      <c r="Q50">
        <f>'Corrected energy balance step 2'!R55</f>
        <v>0</v>
      </c>
      <c r="R50">
        <f>'Corrected energy balance step 2'!S55</f>
        <v>0</v>
      </c>
      <c r="S50">
        <f>'Corrected energy balance step 2'!T55</f>
        <v>0</v>
      </c>
      <c r="T50">
        <f>'Corrected energy balance step 2'!U55</f>
        <v>0</v>
      </c>
      <c r="U50">
        <f>'Corrected energy balance step 2'!V55</f>
        <v>0</v>
      </c>
      <c r="V50">
        <f>'Corrected energy balance step 2'!W55</f>
        <v>0</v>
      </c>
      <c r="W50">
        <f>'Corrected energy balance step 2'!X55</f>
        <v>0</v>
      </c>
      <c r="X50">
        <f>'Corrected energy balance step 2'!Y55</f>
        <v>0</v>
      </c>
      <c r="Y50">
        <f>'Corrected energy balance step 2'!Z55</f>
        <v>0</v>
      </c>
      <c r="Z50">
        <f>'Corrected energy balance step 2'!AA55</f>
        <v>0</v>
      </c>
      <c r="AA50">
        <f>'Corrected energy balance step 2'!AB55</f>
        <v>0</v>
      </c>
      <c r="AB50">
        <f>'Corrected energy balance step 2'!AC55</f>
        <v>0</v>
      </c>
      <c r="AC50">
        <f>'Corrected energy balance step 2'!AD55</f>
        <v>0</v>
      </c>
      <c r="AD50">
        <f>'Corrected energy balance step 2'!AE55</f>
        <v>0</v>
      </c>
      <c r="AE50">
        <f>'Corrected energy balance step 2'!AF55</f>
        <v>0</v>
      </c>
      <c r="AF50">
        <f>'Corrected energy balance step 2'!AG55</f>
        <v>0</v>
      </c>
      <c r="AG50">
        <f>'Corrected energy balance step 2'!AH55</f>
        <v>0</v>
      </c>
      <c r="AH50">
        <f>'Corrected energy balance step 2'!AI55</f>
        <v>0</v>
      </c>
      <c r="AI50">
        <f>'Corrected energy balance step 2'!AJ55</f>
        <v>0</v>
      </c>
      <c r="AJ50">
        <f>'Corrected energy balance step 2'!AK55</f>
        <v>0</v>
      </c>
      <c r="AK50">
        <f>'Corrected energy balance step 2'!AL55</f>
        <v>0</v>
      </c>
      <c r="AL50">
        <f>'Corrected energy balance step 2'!AM55</f>
        <v>0</v>
      </c>
      <c r="AM50">
        <f>'Corrected energy balance step 2'!AN55</f>
        <v>0</v>
      </c>
      <c r="AN50">
        <f>'Corrected energy balance step 2'!AO55</f>
        <v>0</v>
      </c>
      <c r="AO50">
        <f>'Corrected energy balance step 2'!AP55</f>
        <v>0</v>
      </c>
      <c r="AP50">
        <f>'Corrected energy balance step 2'!AQ55</f>
        <v>0</v>
      </c>
      <c r="AQ50">
        <f>'Corrected energy balance step 2'!AR55</f>
        <v>0</v>
      </c>
      <c r="AR50">
        <f>'Corrected energy balance step 2'!AS55</f>
        <v>0</v>
      </c>
      <c r="AS50">
        <f>'Corrected energy balance step 2'!AT55</f>
        <v>0</v>
      </c>
      <c r="AT50">
        <f>'Corrected energy balance step 2'!AU55</f>
        <v>0</v>
      </c>
      <c r="AU50">
        <f>'Corrected energy balance step 2'!AV55</f>
        <v>0</v>
      </c>
      <c r="AV50">
        <f>'Corrected energy balance step 2'!AW55</f>
        <v>0</v>
      </c>
      <c r="AW50">
        <f>'Corrected energy balance step 2'!AX55</f>
        <v>0</v>
      </c>
      <c r="AX50">
        <f>'Corrected energy balance step 2'!AY55</f>
        <v>0</v>
      </c>
      <c r="AY50">
        <f>'Corrected energy balance step 2'!AZ55</f>
        <v>0</v>
      </c>
      <c r="AZ50">
        <f>'Corrected energy balance step 2'!BA55</f>
        <v>0</v>
      </c>
      <c r="BA50">
        <f>'Corrected energy balance step 2'!BB55</f>
        <v>0</v>
      </c>
      <c r="BB50">
        <f>'Corrected energy balance step 2'!BC55</f>
        <v>0</v>
      </c>
      <c r="BC50">
        <f>'Corrected energy balance step 2'!BD55</f>
        <v>0</v>
      </c>
      <c r="BD50">
        <f>'Corrected energy balance step 2'!BE55</f>
        <v>0</v>
      </c>
      <c r="BE50">
        <f>'Corrected energy balance step 2'!BF55</f>
        <v>0</v>
      </c>
      <c r="BF50">
        <f>'Corrected energy balance step 2'!BG55</f>
        <v>0</v>
      </c>
      <c r="BG50">
        <f>'Corrected energy balance step 2'!BH55</f>
        <v>0</v>
      </c>
      <c r="BH50">
        <f>'Corrected energy balance step 2'!BI55</f>
        <v>0</v>
      </c>
      <c r="BI50">
        <f>'Corrected energy balance step 2'!BJ55</f>
        <v>0</v>
      </c>
      <c r="BJ50">
        <f>'Corrected energy balance step 2'!BK55</f>
        <v>0</v>
      </c>
      <c r="BK50">
        <f>'Corrected energy balance step 2'!BL55</f>
        <v>0</v>
      </c>
      <c r="BL50">
        <f>'Corrected energy balance step 2'!BM55</f>
        <v>0</v>
      </c>
      <c r="BM50">
        <f>'Corrected energy balance step 2'!BN55</f>
        <v>0</v>
      </c>
      <c r="BN50">
        <f>'Corrected energy balance step 2'!BO55</f>
        <v>0</v>
      </c>
    </row>
    <row r="51" spans="1:66" x14ac:dyDescent="0.2">
      <c r="A51" t="s">
        <v>80</v>
      </c>
      <c r="B51">
        <f>'Corrected energy balance step 2'!C56</f>
        <v>0</v>
      </c>
      <c r="C51">
        <f>'Corrected energy balance step 2'!D56</f>
        <v>0</v>
      </c>
      <c r="D51">
        <f>'Corrected energy balance step 2'!E56</f>
        <v>0</v>
      </c>
      <c r="E51">
        <f>'Corrected energy balance step 2'!F56</f>
        <v>0</v>
      </c>
      <c r="F51">
        <f>'Corrected energy balance step 2'!G56</f>
        <v>0</v>
      </c>
      <c r="G51">
        <f>'Corrected energy balance step 2'!H56</f>
        <v>0</v>
      </c>
      <c r="H51">
        <f>'Corrected energy balance step 2'!I56</f>
        <v>0</v>
      </c>
      <c r="I51">
        <f>'Corrected energy balance step 2'!J56</f>
        <v>0</v>
      </c>
      <c r="J51">
        <f>'Corrected energy balance step 2'!K56</f>
        <v>0</v>
      </c>
      <c r="K51">
        <f>'Corrected energy balance step 2'!L56</f>
        <v>0</v>
      </c>
      <c r="L51">
        <f>'Corrected energy balance step 2'!M56</f>
        <v>0</v>
      </c>
      <c r="M51">
        <f>'Corrected energy balance step 2'!N56</f>
        <v>0</v>
      </c>
      <c r="N51">
        <f>'Corrected energy balance step 2'!O56</f>
        <v>0</v>
      </c>
      <c r="O51">
        <f>'Corrected energy balance step 2'!P56</f>
        <v>0</v>
      </c>
      <c r="P51">
        <f>'Corrected energy balance step 2'!Q56</f>
        <v>0</v>
      </c>
      <c r="Q51">
        <f>'Corrected energy balance step 2'!R56</f>
        <v>0</v>
      </c>
      <c r="R51">
        <f>'Corrected energy balance step 2'!S56</f>
        <v>0</v>
      </c>
      <c r="S51">
        <f>'Corrected energy balance step 2'!T56</f>
        <v>0</v>
      </c>
      <c r="T51">
        <f>'Corrected energy balance step 2'!U56</f>
        <v>0</v>
      </c>
      <c r="U51">
        <f>'Corrected energy balance step 2'!V56</f>
        <v>0</v>
      </c>
      <c r="V51">
        <f>'Corrected energy balance step 2'!W56</f>
        <v>0</v>
      </c>
      <c r="W51">
        <f>'Corrected energy balance step 2'!X56</f>
        <v>0</v>
      </c>
      <c r="X51">
        <f>'Corrected energy balance step 2'!Y56</f>
        <v>0</v>
      </c>
      <c r="Y51">
        <f>'Corrected energy balance step 2'!Z56</f>
        <v>0</v>
      </c>
      <c r="Z51">
        <f>'Corrected energy balance step 2'!AA56</f>
        <v>0</v>
      </c>
      <c r="AA51">
        <f>'Corrected energy balance step 2'!AB56</f>
        <v>0</v>
      </c>
      <c r="AB51">
        <f>'Corrected energy balance step 2'!AC56</f>
        <v>0</v>
      </c>
      <c r="AC51">
        <f>'Corrected energy balance step 2'!AD56</f>
        <v>0</v>
      </c>
      <c r="AD51">
        <f>'Corrected energy balance step 2'!AE56</f>
        <v>0</v>
      </c>
      <c r="AE51">
        <f>'Corrected energy balance step 2'!AF56</f>
        <v>0</v>
      </c>
      <c r="AF51">
        <f>'Corrected energy balance step 2'!AG56</f>
        <v>0</v>
      </c>
      <c r="AG51">
        <f>'Corrected energy balance step 2'!AH56</f>
        <v>0</v>
      </c>
      <c r="AH51">
        <f>'Corrected energy balance step 2'!AI56</f>
        <v>0</v>
      </c>
      <c r="AI51">
        <f>'Corrected energy balance step 2'!AJ56</f>
        <v>0</v>
      </c>
      <c r="AJ51">
        <f>'Corrected energy balance step 2'!AK56</f>
        <v>0</v>
      </c>
      <c r="AK51">
        <f>'Corrected energy balance step 2'!AL56</f>
        <v>0</v>
      </c>
      <c r="AL51">
        <f>'Corrected energy balance step 2'!AM56</f>
        <v>0</v>
      </c>
      <c r="AM51">
        <f>'Corrected energy balance step 2'!AN56</f>
        <v>0</v>
      </c>
      <c r="AN51">
        <f>'Corrected energy balance step 2'!AO56</f>
        <v>0</v>
      </c>
      <c r="AO51">
        <f>'Corrected energy balance step 2'!AP56</f>
        <v>0</v>
      </c>
      <c r="AP51">
        <f>'Corrected energy balance step 2'!AQ56</f>
        <v>0</v>
      </c>
      <c r="AQ51">
        <f>'Corrected energy balance step 2'!AR56</f>
        <v>0</v>
      </c>
      <c r="AR51">
        <f>'Corrected energy balance step 2'!AS56</f>
        <v>0</v>
      </c>
      <c r="AS51">
        <f>'Corrected energy balance step 2'!AT56</f>
        <v>0</v>
      </c>
      <c r="AT51">
        <f>'Corrected energy balance step 2'!AU56</f>
        <v>0</v>
      </c>
      <c r="AU51">
        <f>'Corrected energy balance step 2'!AV56</f>
        <v>0</v>
      </c>
      <c r="AV51">
        <f>'Corrected energy balance step 2'!AW56</f>
        <v>0</v>
      </c>
      <c r="AW51">
        <f>'Corrected energy balance step 2'!AX56</f>
        <v>0</v>
      </c>
      <c r="AX51">
        <f>'Corrected energy balance step 2'!AY56</f>
        <v>0</v>
      </c>
      <c r="AY51">
        <f>'Corrected energy balance step 2'!AZ56</f>
        <v>0</v>
      </c>
      <c r="AZ51">
        <f>'Corrected energy balance step 2'!BA56</f>
        <v>0</v>
      </c>
      <c r="BA51">
        <f>'Corrected energy balance step 2'!BB56</f>
        <v>0</v>
      </c>
      <c r="BB51">
        <f>'Corrected energy balance step 2'!BC56</f>
        <v>0</v>
      </c>
      <c r="BC51">
        <f>'Corrected energy balance step 2'!BD56</f>
        <v>0</v>
      </c>
      <c r="BD51">
        <f>'Corrected energy balance step 2'!BE56</f>
        <v>0</v>
      </c>
      <c r="BE51">
        <f>'Corrected energy balance step 2'!BF56</f>
        <v>0</v>
      </c>
      <c r="BF51">
        <f>'Corrected energy balance step 2'!BG56</f>
        <v>0</v>
      </c>
      <c r="BG51">
        <f>'Corrected energy balance step 2'!BH56</f>
        <v>0</v>
      </c>
      <c r="BH51">
        <f>'Corrected energy balance step 2'!BI56</f>
        <v>0</v>
      </c>
      <c r="BI51">
        <f>'Corrected energy balance step 2'!BJ56</f>
        <v>0</v>
      </c>
      <c r="BJ51">
        <f>'Corrected energy balance step 2'!BK56</f>
        <v>0</v>
      </c>
      <c r="BK51">
        <f>'Corrected energy balance step 2'!BL56</f>
        <v>0</v>
      </c>
      <c r="BL51">
        <f>'Corrected energy balance step 2'!BM56</f>
        <v>0</v>
      </c>
      <c r="BM51">
        <f>'Corrected energy balance step 2'!BN56</f>
        <v>0</v>
      </c>
      <c r="BN51">
        <f>'Corrected energy balance step 2'!BO56</f>
        <v>0</v>
      </c>
    </row>
    <row r="52" spans="1:66" x14ac:dyDescent="0.2">
      <c r="A52" t="s">
        <v>90</v>
      </c>
      <c r="B52">
        <f>'Corrected energy balance step 2'!C57</f>
        <v>0</v>
      </c>
      <c r="C52">
        <f>'Corrected energy balance step 2'!D57</f>
        <v>0</v>
      </c>
      <c r="D52">
        <f>'Corrected energy balance step 2'!E57</f>
        <v>0</v>
      </c>
      <c r="E52">
        <f>'Corrected energy balance step 2'!F57</f>
        <v>0</v>
      </c>
      <c r="F52">
        <f>'Corrected energy balance step 2'!G57</f>
        <v>0</v>
      </c>
      <c r="G52">
        <f>'Corrected energy balance step 2'!H57</f>
        <v>0</v>
      </c>
      <c r="H52">
        <f>'Corrected energy balance step 2'!I57</f>
        <v>0</v>
      </c>
      <c r="I52">
        <f>'Corrected energy balance step 2'!J57</f>
        <v>0</v>
      </c>
      <c r="J52">
        <f>'Corrected energy balance step 2'!K57</f>
        <v>0</v>
      </c>
      <c r="K52">
        <f>'Corrected energy balance step 2'!L57</f>
        <v>0</v>
      </c>
      <c r="L52">
        <f>'Corrected energy balance step 2'!M57</f>
        <v>0</v>
      </c>
      <c r="M52">
        <f>'Corrected energy balance step 2'!N57</f>
        <v>0</v>
      </c>
      <c r="N52">
        <f>'Corrected energy balance step 2'!O57</f>
        <v>0</v>
      </c>
      <c r="O52">
        <f>'Corrected energy balance step 2'!P57</f>
        <v>0</v>
      </c>
      <c r="P52">
        <f>'Corrected energy balance step 2'!Q57</f>
        <v>0</v>
      </c>
      <c r="Q52">
        <f>'Corrected energy balance step 2'!R57</f>
        <v>0</v>
      </c>
      <c r="R52">
        <f>'Corrected energy balance step 2'!S57</f>
        <v>0</v>
      </c>
      <c r="S52">
        <f>'Corrected energy balance step 2'!T57</f>
        <v>0</v>
      </c>
      <c r="T52">
        <f>'Corrected energy balance step 2'!U57</f>
        <v>0</v>
      </c>
      <c r="U52">
        <f>'Corrected energy balance step 2'!V57</f>
        <v>0</v>
      </c>
      <c r="V52">
        <f>'Corrected energy balance step 2'!W57</f>
        <v>0</v>
      </c>
      <c r="W52">
        <f>'Corrected energy balance step 2'!X57</f>
        <v>0</v>
      </c>
      <c r="X52">
        <f>'Corrected energy balance step 2'!Y57</f>
        <v>0</v>
      </c>
      <c r="Y52">
        <f>'Corrected energy balance step 2'!Z57</f>
        <v>0</v>
      </c>
      <c r="Z52">
        <f>'Corrected energy balance step 2'!AA57</f>
        <v>0</v>
      </c>
      <c r="AA52">
        <f>'Corrected energy balance step 2'!AB57</f>
        <v>0</v>
      </c>
      <c r="AB52">
        <f>'Corrected energy balance step 2'!AC57</f>
        <v>0</v>
      </c>
      <c r="AC52">
        <f>'Corrected energy balance step 2'!AD57</f>
        <v>0</v>
      </c>
      <c r="AD52">
        <f>'Corrected energy balance step 2'!AE57</f>
        <v>0</v>
      </c>
      <c r="AE52">
        <f>'Corrected energy balance step 2'!AF57</f>
        <v>0</v>
      </c>
      <c r="AF52">
        <f>'Corrected energy balance step 2'!AG57</f>
        <v>0</v>
      </c>
      <c r="AG52">
        <f>'Corrected energy balance step 2'!AH57</f>
        <v>0</v>
      </c>
      <c r="AH52">
        <f>'Corrected energy balance step 2'!AI57</f>
        <v>0</v>
      </c>
      <c r="AI52">
        <f>'Corrected energy balance step 2'!AJ57</f>
        <v>0</v>
      </c>
      <c r="AJ52">
        <f>'Corrected energy balance step 2'!AK57</f>
        <v>0</v>
      </c>
      <c r="AK52">
        <f>'Corrected energy balance step 2'!AL57</f>
        <v>0</v>
      </c>
      <c r="AL52">
        <f>'Corrected energy balance step 2'!AM57</f>
        <v>0</v>
      </c>
      <c r="AM52">
        <f>'Corrected energy balance step 2'!AN57</f>
        <v>0</v>
      </c>
      <c r="AN52">
        <f>'Corrected energy balance step 2'!AO57</f>
        <v>0</v>
      </c>
      <c r="AO52">
        <f>'Corrected energy balance step 2'!AP57</f>
        <v>0</v>
      </c>
      <c r="AP52">
        <f>'Corrected energy balance step 2'!AQ57</f>
        <v>0</v>
      </c>
      <c r="AQ52">
        <f>'Corrected energy balance step 2'!AR57</f>
        <v>0</v>
      </c>
      <c r="AR52">
        <f>'Corrected energy balance step 2'!AS57</f>
        <v>0</v>
      </c>
      <c r="AS52">
        <f>'Corrected energy balance step 2'!AT57</f>
        <v>0</v>
      </c>
      <c r="AT52">
        <f>'Corrected energy balance step 2'!AU57</f>
        <v>0</v>
      </c>
      <c r="AU52">
        <f>'Corrected energy balance step 2'!AV57</f>
        <v>0</v>
      </c>
      <c r="AV52">
        <f>'Corrected energy balance step 2'!AW57</f>
        <v>0</v>
      </c>
      <c r="AW52">
        <f>'Corrected energy balance step 2'!AX57</f>
        <v>0</v>
      </c>
      <c r="AX52">
        <f>'Corrected energy balance step 2'!AY57</f>
        <v>0</v>
      </c>
      <c r="AY52">
        <f>'Corrected energy balance step 2'!AZ57</f>
        <v>0</v>
      </c>
      <c r="AZ52">
        <f>'Corrected energy balance step 2'!BA57</f>
        <v>0</v>
      </c>
      <c r="BA52">
        <f>'Corrected energy balance step 2'!BB57</f>
        <v>0</v>
      </c>
      <c r="BB52">
        <f>'Corrected energy balance step 2'!BC57</f>
        <v>0</v>
      </c>
      <c r="BC52">
        <f>'Corrected energy balance step 2'!BD57</f>
        <v>0</v>
      </c>
      <c r="BD52">
        <f>'Corrected energy balance step 2'!BE57</f>
        <v>0</v>
      </c>
      <c r="BE52">
        <f>'Corrected energy balance step 2'!BF57</f>
        <v>0</v>
      </c>
      <c r="BF52">
        <f>'Corrected energy balance step 2'!BG57</f>
        <v>0</v>
      </c>
      <c r="BG52">
        <f>'Corrected energy balance step 2'!BH57</f>
        <v>0</v>
      </c>
      <c r="BH52">
        <f>'Corrected energy balance step 2'!BI57</f>
        <v>0</v>
      </c>
      <c r="BI52">
        <f>'Corrected energy balance step 2'!BJ57</f>
        <v>0</v>
      </c>
      <c r="BJ52">
        <f>'Corrected energy balance step 2'!BK57</f>
        <v>0</v>
      </c>
      <c r="BK52">
        <f>'Corrected energy balance step 2'!BL57</f>
        <v>0</v>
      </c>
      <c r="BL52">
        <f>'Corrected energy balance step 2'!BM57</f>
        <v>0</v>
      </c>
      <c r="BM52">
        <f>'Corrected energy balance step 2'!BN57</f>
        <v>0</v>
      </c>
      <c r="BN52">
        <f>'Corrected energy balance step 2'!BO57</f>
        <v>0</v>
      </c>
    </row>
    <row r="53" spans="1:66" x14ac:dyDescent="0.2">
      <c r="A53" t="s">
        <v>91</v>
      </c>
      <c r="B53">
        <f>'Corrected energy balance step 2'!C58</f>
        <v>0</v>
      </c>
      <c r="C53">
        <f>'Corrected energy balance step 2'!D58</f>
        <v>0</v>
      </c>
      <c r="D53">
        <f>'Corrected energy balance step 2'!E58</f>
        <v>0</v>
      </c>
      <c r="E53">
        <f>'Corrected energy balance step 2'!F58</f>
        <v>0</v>
      </c>
      <c r="F53">
        <f>'Corrected energy balance step 2'!G58</f>
        <v>0</v>
      </c>
      <c r="G53">
        <f>'Corrected energy balance step 2'!H58</f>
        <v>0</v>
      </c>
      <c r="H53">
        <f>'Corrected energy balance step 2'!I58</f>
        <v>0</v>
      </c>
      <c r="I53">
        <f>'Corrected energy balance step 2'!J58</f>
        <v>0</v>
      </c>
      <c r="J53">
        <f>'Corrected energy balance step 2'!K58</f>
        <v>0</v>
      </c>
      <c r="K53">
        <f>'Corrected energy balance step 2'!L58</f>
        <v>0</v>
      </c>
      <c r="L53">
        <f>'Corrected energy balance step 2'!M58</f>
        <v>0</v>
      </c>
      <c r="M53">
        <f>'Corrected energy balance step 2'!N58</f>
        <v>0</v>
      </c>
      <c r="N53">
        <f>'Corrected energy balance step 2'!O58</f>
        <v>0</v>
      </c>
      <c r="O53">
        <f>'Corrected energy balance step 2'!P58</f>
        <v>0</v>
      </c>
      <c r="P53">
        <f>'Corrected energy balance step 2'!Q58</f>
        <v>0</v>
      </c>
      <c r="Q53">
        <f>'Corrected energy balance step 2'!R58</f>
        <v>0</v>
      </c>
      <c r="R53">
        <f>'Corrected energy balance step 2'!S58</f>
        <v>0</v>
      </c>
      <c r="S53">
        <f>'Corrected energy balance step 2'!T58</f>
        <v>0</v>
      </c>
      <c r="T53">
        <f>'Corrected energy balance step 2'!U58</f>
        <v>0</v>
      </c>
      <c r="U53">
        <f>'Corrected energy balance step 2'!V58</f>
        <v>0</v>
      </c>
      <c r="V53">
        <f>'Corrected energy balance step 2'!W58</f>
        <v>0</v>
      </c>
      <c r="W53">
        <f>'Corrected energy balance step 2'!X58</f>
        <v>0</v>
      </c>
      <c r="X53">
        <f>'Corrected energy balance step 2'!Y58</f>
        <v>0</v>
      </c>
      <c r="Y53">
        <f>'Corrected energy balance step 2'!Z58</f>
        <v>0</v>
      </c>
      <c r="Z53">
        <f>'Corrected energy balance step 2'!AA58</f>
        <v>0</v>
      </c>
      <c r="AA53">
        <f>'Corrected energy balance step 2'!AB58</f>
        <v>0</v>
      </c>
      <c r="AB53">
        <f>'Corrected energy balance step 2'!AC58</f>
        <v>0</v>
      </c>
      <c r="AC53">
        <f>'Corrected energy balance step 2'!AD58</f>
        <v>0</v>
      </c>
      <c r="AD53">
        <f>'Corrected energy balance step 2'!AE58</f>
        <v>0</v>
      </c>
      <c r="AE53">
        <f>'Corrected energy balance step 2'!AF58</f>
        <v>0</v>
      </c>
      <c r="AF53">
        <f>'Corrected energy balance step 2'!AG58</f>
        <v>0</v>
      </c>
      <c r="AG53">
        <f>'Corrected energy balance step 2'!AH58</f>
        <v>0</v>
      </c>
      <c r="AH53">
        <f>'Corrected energy balance step 2'!AI58</f>
        <v>0</v>
      </c>
      <c r="AI53">
        <f>'Corrected energy balance step 2'!AJ58</f>
        <v>0</v>
      </c>
      <c r="AJ53">
        <f>'Corrected energy balance step 2'!AK58</f>
        <v>0</v>
      </c>
      <c r="AK53">
        <f>'Corrected energy balance step 2'!AL58</f>
        <v>0</v>
      </c>
      <c r="AL53">
        <f>'Corrected energy balance step 2'!AM58</f>
        <v>0</v>
      </c>
      <c r="AM53">
        <f>'Corrected energy balance step 2'!AN58</f>
        <v>0</v>
      </c>
      <c r="AN53">
        <f>'Corrected energy balance step 2'!AO58</f>
        <v>0</v>
      </c>
      <c r="AO53">
        <f>'Corrected energy balance step 2'!AP58</f>
        <v>0</v>
      </c>
      <c r="AP53">
        <f>'Corrected energy balance step 2'!AQ58</f>
        <v>0</v>
      </c>
      <c r="AQ53">
        <f>'Corrected energy balance step 2'!AR58</f>
        <v>0</v>
      </c>
      <c r="AR53">
        <f>'Corrected energy balance step 2'!AS58</f>
        <v>0</v>
      </c>
      <c r="AS53">
        <f>'Corrected energy balance step 2'!AT58</f>
        <v>0</v>
      </c>
      <c r="AT53">
        <f>'Corrected energy balance step 2'!AU58</f>
        <v>0</v>
      </c>
      <c r="AU53">
        <f>'Corrected energy balance step 2'!AV58</f>
        <v>0</v>
      </c>
      <c r="AV53">
        <f>'Corrected energy balance step 2'!AW58</f>
        <v>0</v>
      </c>
      <c r="AW53">
        <f>'Corrected energy balance step 2'!AX58</f>
        <v>0</v>
      </c>
      <c r="AX53">
        <f>'Corrected energy balance step 2'!AY58</f>
        <v>0</v>
      </c>
      <c r="AY53">
        <f>'Corrected energy balance step 2'!AZ58</f>
        <v>0</v>
      </c>
      <c r="AZ53">
        <f>'Corrected energy balance step 2'!BA58</f>
        <v>0</v>
      </c>
      <c r="BA53">
        <f>'Corrected energy balance step 2'!BB58</f>
        <v>0</v>
      </c>
      <c r="BB53">
        <f>'Corrected energy balance step 2'!BC58</f>
        <v>0</v>
      </c>
      <c r="BC53">
        <f>'Corrected energy balance step 2'!BD58</f>
        <v>0</v>
      </c>
      <c r="BD53">
        <f>'Corrected energy balance step 2'!BE58</f>
        <v>0</v>
      </c>
      <c r="BE53">
        <f>'Corrected energy balance step 2'!BF58</f>
        <v>0</v>
      </c>
      <c r="BF53">
        <f>'Corrected energy balance step 2'!BG58</f>
        <v>0</v>
      </c>
      <c r="BG53">
        <f>'Corrected energy balance step 2'!BH58</f>
        <v>0</v>
      </c>
      <c r="BH53">
        <f>'Corrected energy balance step 2'!BI58</f>
        <v>0</v>
      </c>
      <c r="BI53">
        <f>'Corrected energy balance step 2'!BJ58</f>
        <v>0</v>
      </c>
      <c r="BJ53">
        <f>'Corrected energy balance step 2'!BK58</f>
        <v>0</v>
      </c>
      <c r="BK53">
        <f>'Corrected energy balance step 2'!BL58</f>
        <v>0</v>
      </c>
      <c r="BL53">
        <f>'Corrected energy balance step 2'!BM58</f>
        <v>0</v>
      </c>
      <c r="BM53">
        <f>'Corrected energy balance step 2'!BN58</f>
        <v>0</v>
      </c>
      <c r="BN53">
        <f>'Corrected energy balance step 2'!BO58</f>
        <v>0</v>
      </c>
    </row>
    <row r="54" spans="1:66" x14ac:dyDescent="0.2">
      <c r="A54" t="s">
        <v>92</v>
      </c>
      <c r="B54">
        <f>'Corrected energy balance step 2'!C59</f>
        <v>0</v>
      </c>
      <c r="C54">
        <f>'Corrected energy balance step 2'!D59</f>
        <v>0</v>
      </c>
      <c r="D54">
        <f>'Corrected energy balance step 2'!E59</f>
        <v>0</v>
      </c>
      <c r="E54">
        <f>'Corrected energy balance step 2'!F59</f>
        <v>0</v>
      </c>
      <c r="F54">
        <f>'Corrected energy balance step 2'!G59</f>
        <v>0</v>
      </c>
      <c r="G54">
        <f>'Corrected energy balance step 2'!H59</f>
        <v>0</v>
      </c>
      <c r="H54">
        <f>'Corrected energy balance step 2'!I59</f>
        <v>0</v>
      </c>
      <c r="I54">
        <f>'Corrected energy balance step 2'!J59</f>
        <v>0</v>
      </c>
      <c r="J54">
        <f>'Corrected energy balance step 2'!K59</f>
        <v>0</v>
      </c>
      <c r="K54">
        <f>'Corrected energy balance step 2'!L59</f>
        <v>0</v>
      </c>
      <c r="L54">
        <f>'Corrected energy balance step 2'!M59</f>
        <v>0</v>
      </c>
      <c r="M54">
        <f>'Corrected energy balance step 2'!N59</f>
        <v>0</v>
      </c>
      <c r="N54">
        <f>'Corrected energy balance step 2'!O59</f>
        <v>0</v>
      </c>
      <c r="O54">
        <f>'Corrected energy balance step 2'!P59</f>
        <v>0</v>
      </c>
      <c r="P54">
        <f>'Corrected energy balance step 2'!Q59</f>
        <v>0</v>
      </c>
      <c r="Q54">
        <f>'Corrected energy balance step 2'!R59</f>
        <v>0</v>
      </c>
      <c r="R54">
        <f>'Corrected energy balance step 2'!S59</f>
        <v>0</v>
      </c>
      <c r="S54">
        <f>'Corrected energy balance step 2'!T59</f>
        <v>0</v>
      </c>
      <c r="T54">
        <f>'Corrected energy balance step 2'!U59</f>
        <v>0</v>
      </c>
      <c r="U54">
        <f>'Corrected energy balance step 2'!V59</f>
        <v>0</v>
      </c>
      <c r="V54">
        <f>'Corrected energy balance step 2'!W59</f>
        <v>0</v>
      </c>
      <c r="W54">
        <f>'Corrected energy balance step 2'!X59</f>
        <v>0</v>
      </c>
      <c r="X54">
        <f>'Corrected energy balance step 2'!Y59</f>
        <v>0</v>
      </c>
      <c r="Y54">
        <f>'Corrected energy balance step 2'!Z59</f>
        <v>0</v>
      </c>
      <c r="Z54">
        <f>'Corrected energy balance step 2'!AA59</f>
        <v>0</v>
      </c>
      <c r="AA54">
        <f>'Corrected energy balance step 2'!AB59</f>
        <v>0</v>
      </c>
      <c r="AB54">
        <f>'Corrected energy balance step 2'!AC59</f>
        <v>0</v>
      </c>
      <c r="AC54">
        <f>'Corrected energy balance step 2'!AD59</f>
        <v>0</v>
      </c>
      <c r="AD54">
        <f>'Corrected energy balance step 2'!AE59</f>
        <v>0</v>
      </c>
      <c r="AE54">
        <f>'Corrected energy balance step 2'!AF59</f>
        <v>0</v>
      </c>
      <c r="AF54">
        <f>'Corrected energy balance step 2'!AG59</f>
        <v>0</v>
      </c>
      <c r="AG54">
        <f>'Corrected energy balance step 2'!AH59</f>
        <v>0</v>
      </c>
      <c r="AH54">
        <f>'Corrected energy balance step 2'!AI59</f>
        <v>0</v>
      </c>
      <c r="AI54">
        <f>'Corrected energy balance step 2'!AJ59</f>
        <v>0</v>
      </c>
      <c r="AJ54">
        <f>'Corrected energy balance step 2'!AK59</f>
        <v>0</v>
      </c>
      <c r="AK54">
        <f>'Corrected energy balance step 2'!AL59</f>
        <v>0</v>
      </c>
      <c r="AL54">
        <f>'Corrected energy balance step 2'!AM59</f>
        <v>0</v>
      </c>
      <c r="AM54">
        <f>'Corrected energy balance step 2'!AN59</f>
        <v>0</v>
      </c>
      <c r="AN54">
        <f>'Corrected energy balance step 2'!AO59</f>
        <v>0</v>
      </c>
      <c r="AO54">
        <f>'Corrected energy balance step 2'!AP59</f>
        <v>0</v>
      </c>
      <c r="AP54">
        <f>'Corrected energy balance step 2'!AQ59</f>
        <v>0</v>
      </c>
      <c r="AQ54">
        <f>'Corrected energy balance step 2'!AR59</f>
        <v>0</v>
      </c>
      <c r="AR54">
        <f>'Corrected energy balance step 2'!AS59</f>
        <v>0</v>
      </c>
      <c r="AS54">
        <f>'Corrected energy balance step 2'!AT59</f>
        <v>0</v>
      </c>
      <c r="AT54">
        <f>'Corrected energy balance step 2'!AU59</f>
        <v>0</v>
      </c>
      <c r="AU54">
        <f>'Corrected energy balance step 2'!AV59</f>
        <v>0</v>
      </c>
      <c r="AV54">
        <f>'Corrected energy balance step 2'!AW59</f>
        <v>0</v>
      </c>
      <c r="AW54">
        <f>'Corrected energy balance step 2'!AX59</f>
        <v>0</v>
      </c>
      <c r="AX54">
        <f>'Corrected energy balance step 2'!AY59</f>
        <v>0</v>
      </c>
      <c r="AY54">
        <f>'Corrected energy balance step 2'!AZ59</f>
        <v>0</v>
      </c>
      <c r="AZ54">
        <f>'Corrected energy balance step 2'!BA59</f>
        <v>0</v>
      </c>
      <c r="BA54">
        <f>'Corrected energy balance step 2'!BB59</f>
        <v>0</v>
      </c>
      <c r="BB54">
        <f>'Corrected energy balance step 2'!BC59</f>
        <v>0</v>
      </c>
      <c r="BC54">
        <f>'Corrected energy balance step 2'!BD59</f>
        <v>0</v>
      </c>
      <c r="BD54">
        <f>'Corrected energy balance step 2'!BE59</f>
        <v>0</v>
      </c>
      <c r="BE54">
        <f>'Corrected energy balance step 2'!BF59</f>
        <v>0</v>
      </c>
      <c r="BF54">
        <f>'Corrected energy balance step 2'!BG59</f>
        <v>0</v>
      </c>
      <c r="BG54">
        <f>'Corrected energy balance step 2'!BH59</f>
        <v>0</v>
      </c>
      <c r="BH54">
        <f>'Corrected energy balance step 2'!BI59</f>
        <v>0</v>
      </c>
      <c r="BI54">
        <f>'Corrected energy balance step 2'!BJ59</f>
        <v>0</v>
      </c>
      <c r="BJ54">
        <f>'Corrected energy balance step 2'!BK59</f>
        <v>0</v>
      </c>
      <c r="BK54">
        <f>'Corrected energy balance step 2'!BL59</f>
        <v>0</v>
      </c>
      <c r="BL54">
        <f>'Corrected energy balance step 2'!BM59</f>
        <v>0</v>
      </c>
      <c r="BM54">
        <f>'Corrected energy balance step 2'!BN59</f>
        <v>0</v>
      </c>
      <c r="BN54">
        <f>'Corrected energy balance step 2'!BO59</f>
        <v>0</v>
      </c>
    </row>
    <row r="55" spans="1:66" x14ac:dyDescent="0.2">
      <c r="A55" t="s">
        <v>48</v>
      </c>
      <c r="B55">
        <f>'Corrected energy balance step 2'!C60</f>
        <v>0</v>
      </c>
      <c r="C55">
        <f>'Corrected energy balance step 2'!D60</f>
        <v>0</v>
      </c>
      <c r="D55">
        <f>'Corrected energy balance step 2'!E60</f>
        <v>0</v>
      </c>
      <c r="E55">
        <f>'Corrected energy balance step 2'!F60</f>
        <v>0</v>
      </c>
      <c r="F55">
        <f>'Corrected energy balance step 2'!G60</f>
        <v>0</v>
      </c>
      <c r="G55">
        <f>'Corrected energy balance step 2'!H60</f>
        <v>0</v>
      </c>
      <c r="H55">
        <f>'Corrected energy balance step 2'!I60</f>
        <v>0</v>
      </c>
      <c r="I55">
        <f>'Corrected energy balance step 2'!J60</f>
        <v>0</v>
      </c>
      <c r="J55">
        <f>'Corrected energy balance step 2'!K60</f>
        <v>0</v>
      </c>
      <c r="K55">
        <f>'Corrected energy balance step 2'!L60</f>
        <v>0</v>
      </c>
      <c r="L55">
        <f>'Corrected energy balance step 2'!M60</f>
        <v>0</v>
      </c>
      <c r="M55">
        <f>'Corrected energy balance step 2'!N60</f>
        <v>0</v>
      </c>
      <c r="N55">
        <f>'Corrected energy balance step 2'!O60</f>
        <v>0</v>
      </c>
      <c r="O55">
        <f>'Corrected energy balance step 2'!P60</f>
        <v>0</v>
      </c>
      <c r="P55">
        <f>'Corrected energy balance step 2'!Q60</f>
        <v>0</v>
      </c>
      <c r="Q55">
        <f>'Corrected energy balance step 2'!R60</f>
        <v>0</v>
      </c>
      <c r="R55">
        <f>'Corrected energy balance step 2'!S60</f>
        <v>0</v>
      </c>
      <c r="S55">
        <f>'Corrected energy balance step 2'!T60</f>
        <v>0</v>
      </c>
      <c r="T55">
        <f>'Corrected energy balance step 2'!U60</f>
        <v>0</v>
      </c>
      <c r="U55">
        <f>'Corrected energy balance step 2'!V60</f>
        <v>0</v>
      </c>
      <c r="V55">
        <f>'Corrected energy balance step 2'!W60</f>
        <v>0</v>
      </c>
      <c r="W55">
        <f>'Corrected energy balance step 2'!X60</f>
        <v>0</v>
      </c>
      <c r="X55">
        <f>'Corrected energy balance step 2'!Y60</f>
        <v>0</v>
      </c>
      <c r="Y55">
        <f>'Corrected energy balance step 2'!Z60</f>
        <v>0</v>
      </c>
      <c r="Z55">
        <f>'Corrected energy balance step 2'!AA60</f>
        <v>0</v>
      </c>
      <c r="AA55">
        <f>'Corrected energy balance step 2'!AB60</f>
        <v>0</v>
      </c>
      <c r="AB55">
        <f>'Corrected energy balance step 2'!AC60</f>
        <v>0</v>
      </c>
      <c r="AC55">
        <f>'Corrected energy balance step 2'!AD60</f>
        <v>0</v>
      </c>
      <c r="AD55">
        <f>'Corrected energy balance step 2'!AE60</f>
        <v>0</v>
      </c>
      <c r="AE55">
        <f>'Corrected energy balance step 2'!AF60</f>
        <v>0</v>
      </c>
      <c r="AF55">
        <f>'Corrected energy balance step 2'!AG60</f>
        <v>0</v>
      </c>
      <c r="AG55">
        <f>'Corrected energy balance step 2'!AH60</f>
        <v>0</v>
      </c>
      <c r="AH55">
        <f>'Corrected energy balance step 2'!AI60</f>
        <v>0</v>
      </c>
      <c r="AI55">
        <f>'Corrected energy balance step 2'!AJ60</f>
        <v>0</v>
      </c>
      <c r="AJ55">
        <f>'Corrected energy balance step 2'!AK60</f>
        <v>0</v>
      </c>
      <c r="AK55">
        <f>'Corrected energy balance step 2'!AL60</f>
        <v>0</v>
      </c>
      <c r="AL55">
        <f>'Corrected energy balance step 2'!AM60</f>
        <v>0</v>
      </c>
      <c r="AM55">
        <f>'Corrected energy balance step 2'!AN60</f>
        <v>0</v>
      </c>
      <c r="AN55">
        <f>'Corrected energy balance step 2'!AO60</f>
        <v>0</v>
      </c>
      <c r="AO55">
        <f>'Corrected energy balance step 2'!AP60</f>
        <v>0</v>
      </c>
      <c r="AP55">
        <f>'Corrected energy balance step 2'!AQ60</f>
        <v>0</v>
      </c>
      <c r="AQ55">
        <f>'Corrected energy balance step 2'!AR60</f>
        <v>0</v>
      </c>
      <c r="AR55">
        <f>'Corrected energy balance step 2'!AS60</f>
        <v>0</v>
      </c>
      <c r="AS55">
        <f>'Corrected energy balance step 2'!AT60</f>
        <v>0</v>
      </c>
      <c r="AT55">
        <f>'Corrected energy balance step 2'!AU60</f>
        <v>0</v>
      </c>
      <c r="AU55">
        <f>'Corrected energy balance step 2'!AV60</f>
        <v>0</v>
      </c>
      <c r="AV55">
        <f>'Corrected energy balance step 2'!AW60</f>
        <v>0</v>
      </c>
      <c r="AW55">
        <f>'Corrected energy balance step 2'!AX60</f>
        <v>0</v>
      </c>
      <c r="AX55">
        <f>'Corrected energy balance step 2'!AY60</f>
        <v>0</v>
      </c>
      <c r="AY55">
        <f>'Corrected energy balance step 2'!AZ60</f>
        <v>0</v>
      </c>
      <c r="AZ55">
        <f>'Corrected energy balance step 2'!BA60</f>
        <v>0</v>
      </c>
      <c r="BA55">
        <f>'Corrected energy balance step 2'!BB60</f>
        <v>0</v>
      </c>
      <c r="BB55">
        <f>'Corrected energy balance step 2'!BC60</f>
        <v>0</v>
      </c>
      <c r="BC55">
        <f>'Corrected energy balance step 2'!BD60</f>
        <v>0</v>
      </c>
      <c r="BD55">
        <f>'Corrected energy balance step 2'!BE60</f>
        <v>0</v>
      </c>
      <c r="BE55">
        <f>'Corrected energy balance step 2'!BF60</f>
        <v>0</v>
      </c>
      <c r="BF55">
        <f>'Corrected energy balance step 2'!BG60</f>
        <v>0</v>
      </c>
      <c r="BG55">
        <f>'Corrected energy balance step 2'!BH60</f>
        <v>0</v>
      </c>
      <c r="BH55">
        <f>'Corrected energy balance step 2'!BI60</f>
        <v>0</v>
      </c>
      <c r="BI55">
        <f>'Corrected energy balance step 2'!BJ60</f>
        <v>0</v>
      </c>
      <c r="BJ55">
        <f>'Corrected energy balance step 2'!BK60</f>
        <v>0</v>
      </c>
      <c r="BK55">
        <f>'Corrected energy balance step 2'!BL60</f>
        <v>0</v>
      </c>
      <c r="BL55">
        <f>'Corrected energy balance step 2'!BM60</f>
        <v>0</v>
      </c>
      <c r="BM55">
        <f>'Corrected energy balance step 2'!BN60</f>
        <v>0</v>
      </c>
      <c r="BN55">
        <f>'Corrected energy balance step 2'!BO60</f>
        <v>0</v>
      </c>
    </row>
    <row r="56" spans="1:66" x14ac:dyDescent="0.2">
      <c r="A56" t="s">
        <v>93</v>
      </c>
      <c r="B56">
        <f>'Corrected energy balance step 2'!C61</f>
        <v>0</v>
      </c>
      <c r="C56">
        <f>'Corrected energy balance step 2'!D61</f>
        <v>0</v>
      </c>
      <c r="D56">
        <f>'Corrected energy balance step 2'!E61</f>
        <v>0</v>
      </c>
      <c r="E56">
        <f>'Corrected energy balance step 2'!F61</f>
        <v>0</v>
      </c>
      <c r="F56">
        <f>'Corrected energy balance step 2'!G61</f>
        <v>0</v>
      </c>
      <c r="G56">
        <f>'Corrected energy balance step 2'!H61</f>
        <v>0</v>
      </c>
      <c r="H56">
        <f>'Corrected energy balance step 2'!I61</f>
        <v>0</v>
      </c>
      <c r="I56">
        <f>'Corrected energy balance step 2'!J61</f>
        <v>0</v>
      </c>
      <c r="J56">
        <f>'Corrected energy balance step 2'!K61</f>
        <v>0</v>
      </c>
      <c r="K56">
        <f>'Corrected energy balance step 2'!L61</f>
        <v>0</v>
      </c>
      <c r="L56">
        <f>'Corrected energy balance step 2'!M61</f>
        <v>0</v>
      </c>
      <c r="M56">
        <f>'Corrected energy balance step 2'!N61</f>
        <v>0</v>
      </c>
      <c r="N56">
        <f>'Corrected energy balance step 2'!O61</f>
        <v>0</v>
      </c>
      <c r="O56">
        <f>'Corrected energy balance step 2'!P61</f>
        <v>0</v>
      </c>
      <c r="P56">
        <f>'Corrected energy balance step 2'!Q61</f>
        <v>0</v>
      </c>
      <c r="Q56">
        <f>'Corrected energy balance step 2'!R61</f>
        <v>0</v>
      </c>
      <c r="R56">
        <f>'Corrected energy balance step 2'!S61</f>
        <v>0</v>
      </c>
      <c r="S56">
        <f>'Corrected energy balance step 2'!T61</f>
        <v>0</v>
      </c>
      <c r="T56">
        <f>'Corrected energy balance step 2'!U61</f>
        <v>0</v>
      </c>
      <c r="U56">
        <f>'Corrected energy balance step 2'!V61</f>
        <v>0</v>
      </c>
      <c r="V56">
        <f>'Corrected energy balance step 2'!W61</f>
        <v>0</v>
      </c>
      <c r="W56">
        <f>'Corrected energy balance step 2'!X61</f>
        <v>0</v>
      </c>
      <c r="X56">
        <f>'Corrected energy balance step 2'!Y61</f>
        <v>0</v>
      </c>
      <c r="Y56">
        <f>'Corrected energy balance step 2'!Z61</f>
        <v>0</v>
      </c>
      <c r="Z56">
        <f>'Corrected energy balance step 2'!AA61</f>
        <v>0</v>
      </c>
      <c r="AA56">
        <f>'Corrected energy balance step 2'!AB61</f>
        <v>0</v>
      </c>
      <c r="AB56">
        <f>'Corrected energy balance step 2'!AC61</f>
        <v>0</v>
      </c>
      <c r="AC56">
        <f>'Corrected energy balance step 2'!AD61</f>
        <v>0</v>
      </c>
      <c r="AD56">
        <f>'Corrected energy balance step 2'!AE61</f>
        <v>0</v>
      </c>
      <c r="AE56">
        <f>'Corrected energy balance step 2'!AF61</f>
        <v>0</v>
      </c>
      <c r="AF56">
        <f>'Corrected energy balance step 2'!AG61</f>
        <v>0</v>
      </c>
      <c r="AG56">
        <f>'Corrected energy balance step 2'!AH61</f>
        <v>0</v>
      </c>
      <c r="AH56">
        <f>'Corrected energy balance step 2'!AI61</f>
        <v>0</v>
      </c>
      <c r="AI56">
        <f>'Corrected energy balance step 2'!AJ61</f>
        <v>0</v>
      </c>
      <c r="AJ56">
        <f>'Corrected energy balance step 2'!AK61</f>
        <v>0</v>
      </c>
      <c r="AK56">
        <f>'Corrected energy balance step 2'!AL61</f>
        <v>0</v>
      </c>
      <c r="AL56">
        <f>'Corrected energy balance step 2'!AM61</f>
        <v>0</v>
      </c>
      <c r="AM56">
        <f>'Corrected energy balance step 2'!AN61</f>
        <v>0</v>
      </c>
      <c r="AN56">
        <f>'Corrected energy balance step 2'!AO61</f>
        <v>0</v>
      </c>
      <c r="AO56">
        <f>'Corrected energy balance step 2'!AP61</f>
        <v>0</v>
      </c>
      <c r="AP56">
        <f>'Corrected energy balance step 2'!AQ61</f>
        <v>0</v>
      </c>
      <c r="AQ56">
        <f>'Corrected energy balance step 2'!AR61</f>
        <v>0</v>
      </c>
      <c r="AR56">
        <f>'Corrected energy balance step 2'!AS61</f>
        <v>0</v>
      </c>
      <c r="AS56">
        <f>'Corrected energy balance step 2'!AT61</f>
        <v>0</v>
      </c>
      <c r="AT56">
        <f>'Corrected energy balance step 2'!AU61</f>
        <v>0</v>
      </c>
      <c r="AU56">
        <f>'Corrected energy balance step 2'!AV61</f>
        <v>0</v>
      </c>
      <c r="AV56">
        <f>'Corrected energy balance step 2'!AW61</f>
        <v>0</v>
      </c>
      <c r="AW56">
        <f>'Corrected energy balance step 2'!AX61</f>
        <v>0</v>
      </c>
      <c r="AX56">
        <f>'Corrected energy balance step 2'!AY61</f>
        <v>0</v>
      </c>
      <c r="AY56">
        <f>'Corrected energy balance step 2'!AZ61</f>
        <v>0</v>
      </c>
      <c r="AZ56">
        <f>'Corrected energy balance step 2'!BA61</f>
        <v>0</v>
      </c>
      <c r="BA56">
        <f>'Corrected energy balance step 2'!BB61</f>
        <v>0</v>
      </c>
      <c r="BB56">
        <f>'Corrected energy balance step 2'!BC61</f>
        <v>0</v>
      </c>
      <c r="BC56">
        <f>'Corrected energy balance step 2'!BD61</f>
        <v>0</v>
      </c>
      <c r="BD56">
        <f>'Corrected energy balance step 2'!BE61</f>
        <v>0</v>
      </c>
      <c r="BE56">
        <f>'Corrected energy balance step 2'!BF61</f>
        <v>0</v>
      </c>
      <c r="BF56">
        <f>'Corrected energy balance step 2'!BG61</f>
        <v>0</v>
      </c>
      <c r="BG56">
        <f>'Corrected energy balance step 2'!BH61</f>
        <v>0</v>
      </c>
      <c r="BH56">
        <f>'Corrected energy balance step 2'!BI61</f>
        <v>0</v>
      </c>
      <c r="BI56">
        <f>'Corrected energy balance step 2'!BJ61</f>
        <v>0</v>
      </c>
      <c r="BJ56">
        <f>'Corrected energy balance step 2'!BK61</f>
        <v>0</v>
      </c>
      <c r="BK56">
        <f>'Corrected energy balance step 2'!BL61</f>
        <v>0</v>
      </c>
      <c r="BL56">
        <f>'Corrected energy balance step 2'!BM61</f>
        <v>0</v>
      </c>
      <c r="BM56">
        <f>'Corrected energy balance step 2'!BN61</f>
        <v>0</v>
      </c>
      <c r="BN56">
        <f>'Corrected energy balance step 2'!BO61</f>
        <v>0</v>
      </c>
    </row>
    <row r="57" spans="1:66" x14ac:dyDescent="0.2">
      <c r="A57" t="s">
        <v>94</v>
      </c>
      <c r="B57">
        <f>'Corrected energy balance step 2'!C62</f>
        <v>0</v>
      </c>
      <c r="C57">
        <f>'Corrected energy balance step 2'!D62</f>
        <v>0</v>
      </c>
      <c r="D57">
        <f>'Corrected energy balance step 2'!E62</f>
        <v>0</v>
      </c>
      <c r="E57">
        <f>'Corrected energy balance step 2'!F62</f>
        <v>0</v>
      </c>
      <c r="F57">
        <f>'Corrected energy balance step 2'!G62</f>
        <v>0</v>
      </c>
      <c r="G57">
        <f>'Corrected energy balance step 2'!H62</f>
        <v>0</v>
      </c>
      <c r="H57">
        <f>'Corrected energy balance step 2'!I62</f>
        <v>0</v>
      </c>
      <c r="I57">
        <f>'Corrected energy balance step 2'!J62</f>
        <v>0</v>
      </c>
      <c r="J57">
        <f>'Corrected energy balance step 2'!K62</f>
        <v>0</v>
      </c>
      <c r="K57">
        <f>'Corrected energy balance step 2'!L62</f>
        <v>0</v>
      </c>
      <c r="L57">
        <f>'Corrected energy balance step 2'!M62</f>
        <v>0</v>
      </c>
      <c r="M57">
        <f>'Corrected energy balance step 2'!N62</f>
        <v>0</v>
      </c>
      <c r="N57">
        <f>'Corrected energy balance step 2'!O62</f>
        <v>0</v>
      </c>
      <c r="O57">
        <f>'Corrected energy balance step 2'!P62</f>
        <v>0</v>
      </c>
      <c r="P57">
        <f>'Corrected energy balance step 2'!Q62</f>
        <v>0</v>
      </c>
      <c r="Q57">
        <f>'Corrected energy balance step 2'!R62</f>
        <v>0</v>
      </c>
      <c r="R57">
        <f>'Corrected energy balance step 2'!S62</f>
        <v>0</v>
      </c>
      <c r="S57">
        <f>'Corrected energy balance step 2'!T62</f>
        <v>0</v>
      </c>
      <c r="T57">
        <f>'Corrected energy balance step 2'!U62</f>
        <v>0</v>
      </c>
      <c r="U57">
        <f>'Corrected energy balance step 2'!V62</f>
        <v>0</v>
      </c>
      <c r="V57">
        <f>'Corrected energy balance step 2'!W62</f>
        <v>0</v>
      </c>
      <c r="W57">
        <f>'Corrected energy balance step 2'!X62</f>
        <v>0</v>
      </c>
      <c r="X57">
        <f>'Corrected energy balance step 2'!Y62</f>
        <v>0</v>
      </c>
      <c r="Y57">
        <f>'Corrected energy balance step 2'!Z62</f>
        <v>0</v>
      </c>
      <c r="Z57">
        <f>'Corrected energy balance step 2'!AA62</f>
        <v>0</v>
      </c>
      <c r="AA57">
        <f>'Corrected energy balance step 2'!AB62</f>
        <v>0</v>
      </c>
      <c r="AB57">
        <f>'Corrected energy balance step 2'!AC62</f>
        <v>0</v>
      </c>
      <c r="AC57">
        <f>'Corrected energy balance step 2'!AD62</f>
        <v>0</v>
      </c>
      <c r="AD57">
        <f>'Corrected energy balance step 2'!AE62</f>
        <v>0</v>
      </c>
      <c r="AE57">
        <f>'Corrected energy balance step 2'!AF62</f>
        <v>0</v>
      </c>
      <c r="AF57">
        <f>'Corrected energy balance step 2'!AG62</f>
        <v>0</v>
      </c>
      <c r="AG57">
        <f>'Corrected energy balance step 2'!AH62</f>
        <v>0</v>
      </c>
      <c r="AH57">
        <f>'Corrected energy balance step 2'!AI62</f>
        <v>0</v>
      </c>
      <c r="AI57">
        <f>'Corrected energy balance step 2'!AJ62</f>
        <v>0</v>
      </c>
      <c r="AJ57">
        <f>'Corrected energy balance step 2'!AK62</f>
        <v>0</v>
      </c>
      <c r="AK57">
        <f>'Corrected energy balance step 2'!AL62</f>
        <v>0</v>
      </c>
      <c r="AL57">
        <f>'Corrected energy balance step 2'!AM62</f>
        <v>0</v>
      </c>
      <c r="AM57">
        <f>'Corrected energy balance step 2'!AN62</f>
        <v>0</v>
      </c>
      <c r="AN57">
        <f>'Corrected energy balance step 2'!AO62</f>
        <v>0</v>
      </c>
      <c r="AO57">
        <f>'Corrected energy balance step 2'!AP62</f>
        <v>0</v>
      </c>
      <c r="AP57">
        <f>'Corrected energy balance step 2'!AQ62</f>
        <v>0</v>
      </c>
      <c r="AQ57">
        <f>'Corrected energy balance step 2'!AR62</f>
        <v>0</v>
      </c>
      <c r="AR57">
        <f>'Corrected energy balance step 2'!AS62</f>
        <v>0</v>
      </c>
      <c r="AS57">
        <f>'Corrected energy balance step 2'!AT62</f>
        <v>0</v>
      </c>
      <c r="AT57">
        <f>'Corrected energy balance step 2'!AU62</f>
        <v>0</v>
      </c>
      <c r="AU57">
        <f>'Corrected energy balance step 2'!AV62</f>
        <v>0</v>
      </c>
      <c r="AV57">
        <f>'Corrected energy balance step 2'!AW62</f>
        <v>0</v>
      </c>
      <c r="AW57">
        <f>'Corrected energy balance step 2'!AX62</f>
        <v>0</v>
      </c>
      <c r="AX57">
        <f>'Corrected energy balance step 2'!AY62</f>
        <v>0</v>
      </c>
      <c r="AY57">
        <f>'Corrected energy balance step 2'!AZ62</f>
        <v>0</v>
      </c>
      <c r="AZ57">
        <f>'Corrected energy balance step 2'!BA62</f>
        <v>0</v>
      </c>
      <c r="BA57">
        <f>'Corrected energy balance step 2'!BB62</f>
        <v>0</v>
      </c>
      <c r="BB57">
        <f>'Corrected energy balance step 2'!BC62</f>
        <v>0</v>
      </c>
      <c r="BC57">
        <f>'Corrected energy balance step 2'!BD62</f>
        <v>0</v>
      </c>
      <c r="BD57">
        <f>'Corrected energy balance step 2'!BE62</f>
        <v>0</v>
      </c>
      <c r="BE57">
        <f>'Corrected energy balance step 2'!BF62</f>
        <v>0</v>
      </c>
      <c r="BF57">
        <f>'Corrected energy balance step 2'!BG62</f>
        <v>0</v>
      </c>
      <c r="BG57">
        <f>'Corrected energy balance step 2'!BH62</f>
        <v>0</v>
      </c>
      <c r="BH57">
        <f>'Corrected energy balance step 2'!BI62</f>
        <v>0</v>
      </c>
      <c r="BI57">
        <f>'Corrected energy balance step 2'!BJ62</f>
        <v>0</v>
      </c>
      <c r="BJ57">
        <f>'Corrected energy balance step 2'!BK62</f>
        <v>0</v>
      </c>
      <c r="BK57">
        <f>'Corrected energy balance step 2'!BL62</f>
        <v>0</v>
      </c>
      <c r="BL57">
        <f>'Corrected energy balance step 2'!BM62</f>
        <v>0</v>
      </c>
      <c r="BM57">
        <f>'Corrected energy balance step 2'!BN62</f>
        <v>0</v>
      </c>
      <c r="BN57">
        <f>'Corrected energy balance step 2'!BO62</f>
        <v>0</v>
      </c>
    </row>
    <row r="58" spans="1:66" x14ac:dyDescent="0.2">
      <c r="A58" t="s">
        <v>95</v>
      </c>
      <c r="B58">
        <f>'Corrected energy balance step 2'!C63</f>
        <v>0</v>
      </c>
      <c r="C58">
        <f>'Corrected energy balance step 2'!D63</f>
        <v>0</v>
      </c>
      <c r="D58">
        <f>'Corrected energy balance step 2'!E63</f>
        <v>0</v>
      </c>
      <c r="E58">
        <f>'Corrected energy balance step 2'!F63</f>
        <v>0</v>
      </c>
      <c r="F58">
        <f>'Corrected energy balance step 2'!G63</f>
        <v>0</v>
      </c>
      <c r="G58">
        <f>'Corrected energy balance step 2'!H63</f>
        <v>0</v>
      </c>
      <c r="H58">
        <f>'Corrected energy balance step 2'!I63</f>
        <v>0</v>
      </c>
      <c r="I58">
        <f>'Corrected energy balance step 2'!J63</f>
        <v>0</v>
      </c>
      <c r="J58">
        <f>'Corrected energy balance step 2'!K63</f>
        <v>0</v>
      </c>
      <c r="K58">
        <f>'Corrected energy balance step 2'!L63</f>
        <v>0</v>
      </c>
      <c r="L58">
        <f>'Corrected energy balance step 2'!M63</f>
        <v>0</v>
      </c>
      <c r="M58">
        <f>'Corrected energy balance step 2'!N63</f>
        <v>0</v>
      </c>
      <c r="N58">
        <f>'Corrected energy balance step 2'!O63</f>
        <v>0</v>
      </c>
      <c r="O58">
        <f>'Corrected energy balance step 2'!P63</f>
        <v>0</v>
      </c>
      <c r="P58">
        <f>'Corrected energy balance step 2'!Q63</f>
        <v>0</v>
      </c>
      <c r="Q58">
        <f>'Corrected energy balance step 2'!R63</f>
        <v>0</v>
      </c>
      <c r="R58">
        <f>'Corrected energy balance step 2'!S63</f>
        <v>0</v>
      </c>
      <c r="S58">
        <f>'Corrected energy balance step 2'!T63</f>
        <v>0</v>
      </c>
      <c r="T58">
        <f>'Corrected energy balance step 2'!U63</f>
        <v>0</v>
      </c>
      <c r="U58">
        <f>'Corrected energy balance step 2'!V63</f>
        <v>0</v>
      </c>
      <c r="V58">
        <f>'Corrected energy balance step 2'!W63</f>
        <v>0</v>
      </c>
      <c r="W58">
        <f>'Corrected energy balance step 2'!X63</f>
        <v>0</v>
      </c>
      <c r="X58">
        <f>'Corrected energy balance step 2'!Y63</f>
        <v>0</v>
      </c>
      <c r="Y58">
        <f>'Corrected energy balance step 2'!Z63</f>
        <v>0</v>
      </c>
      <c r="Z58">
        <f>'Corrected energy balance step 2'!AA63</f>
        <v>0</v>
      </c>
      <c r="AA58">
        <f>'Corrected energy balance step 2'!AB63</f>
        <v>0</v>
      </c>
      <c r="AB58">
        <f>'Corrected energy balance step 2'!AC63</f>
        <v>0</v>
      </c>
      <c r="AC58">
        <f>'Corrected energy balance step 2'!AD63</f>
        <v>0</v>
      </c>
      <c r="AD58">
        <f>'Corrected energy balance step 2'!AE63</f>
        <v>0</v>
      </c>
      <c r="AE58">
        <f>'Corrected energy balance step 2'!AF63</f>
        <v>0</v>
      </c>
      <c r="AF58">
        <f>'Corrected energy balance step 2'!AG63</f>
        <v>0</v>
      </c>
      <c r="AG58">
        <f>'Corrected energy balance step 2'!AH63</f>
        <v>0</v>
      </c>
      <c r="AH58">
        <f>'Corrected energy balance step 2'!AI63</f>
        <v>0</v>
      </c>
      <c r="AI58">
        <f>'Corrected energy balance step 2'!AJ63</f>
        <v>0</v>
      </c>
      <c r="AJ58">
        <f>'Corrected energy balance step 2'!AK63</f>
        <v>0</v>
      </c>
      <c r="AK58">
        <f>'Corrected energy balance step 2'!AL63</f>
        <v>0</v>
      </c>
      <c r="AL58">
        <f>'Corrected energy balance step 2'!AM63</f>
        <v>0</v>
      </c>
      <c r="AM58">
        <f>'Corrected energy balance step 2'!AN63</f>
        <v>0</v>
      </c>
      <c r="AN58">
        <f>'Corrected energy balance step 2'!AO63</f>
        <v>0</v>
      </c>
      <c r="AO58">
        <f>'Corrected energy balance step 2'!AP63</f>
        <v>0</v>
      </c>
      <c r="AP58">
        <f>'Corrected energy balance step 2'!AQ63</f>
        <v>0</v>
      </c>
      <c r="AQ58">
        <f>'Corrected energy balance step 2'!AR63</f>
        <v>0</v>
      </c>
      <c r="AR58">
        <f>'Corrected energy balance step 2'!AS63</f>
        <v>0</v>
      </c>
      <c r="AS58">
        <f>'Corrected energy balance step 2'!AT63</f>
        <v>0</v>
      </c>
      <c r="AT58">
        <f>'Corrected energy balance step 2'!AU63</f>
        <v>0</v>
      </c>
      <c r="AU58">
        <f>'Corrected energy balance step 2'!AV63</f>
        <v>0</v>
      </c>
      <c r="AV58">
        <f>'Corrected energy balance step 2'!AW63</f>
        <v>0</v>
      </c>
      <c r="AW58">
        <f>'Corrected energy balance step 2'!AX63</f>
        <v>0</v>
      </c>
      <c r="AX58">
        <f>'Corrected energy balance step 2'!AY63</f>
        <v>0</v>
      </c>
      <c r="AY58">
        <f>'Corrected energy balance step 2'!AZ63</f>
        <v>0</v>
      </c>
      <c r="AZ58">
        <f>'Corrected energy balance step 2'!BA63</f>
        <v>0</v>
      </c>
      <c r="BA58">
        <f>'Corrected energy balance step 2'!BB63</f>
        <v>0</v>
      </c>
      <c r="BB58">
        <f>'Corrected energy balance step 2'!BC63</f>
        <v>0</v>
      </c>
      <c r="BC58">
        <f>'Corrected energy balance step 2'!BD63</f>
        <v>0</v>
      </c>
      <c r="BD58">
        <f>'Corrected energy balance step 2'!BE63</f>
        <v>0</v>
      </c>
      <c r="BE58">
        <f>'Corrected energy balance step 2'!BF63</f>
        <v>0</v>
      </c>
      <c r="BF58">
        <f>'Corrected energy balance step 2'!BG63</f>
        <v>0</v>
      </c>
      <c r="BG58">
        <f>'Corrected energy balance step 2'!BH63</f>
        <v>0</v>
      </c>
      <c r="BH58">
        <f>'Corrected energy balance step 2'!BI63</f>
        <v>0</v>
      </c>
      <c r="BI58">
        <f>'Corrected energy balance step 2'!BJ63</f>
        <v>0</v>
      </c>
      <c r="BJ58">
        <f>'Corrected energy balance step 2'!BK63</f>
        <v>0</v>
      </c>
      <c r="BK58">
        <f>'Corrected energy balance step 2'!BL63</f>
        <v>0</v>
      </c>
      <c r="BL58">
        <f>'Corrected energy balance step 2'!BM63</f>
        <v>0</v>
      </c>
      <c r="BM58">
        <f>'Corrected energy balance step 2'!BN63</f>
        <v>0</v>
      </c>
      <c r="BN58">
        <f>'Corrected energy balance step 2'!BO63</f>
        <v>0</v>
      </c>
    </row>
    <row r="59" spans="1:66" x14ac:dyDescent="0.2">
      <c r="A59" t="s">
        <v>96</v>
      </c>
      <c r="B59">
        <f>'Corrected energy balance step 2'!C64</f>
        <v>0</v>
      </c>
      <c r="C59">
        <f>'Corrected energy balance step 2'!D64</f>
        <v>0</v>
      </c>
      <c r="D59">
        <f>'Corrected energy balance step 2'!E64</f>
        <v>0</v>
      </c>
      <c r="E59">
        <f>'Corrected energy balance step 2'!F64</f>
        <v>0</v>
      </c>
      <c r="F59">
        <f>'Corrected energy balance step 2'!G64</f>
        <v>0</v>
      </c>
      <c r="G59">
        <f>'Corrected energy balance step 2'!H64</f>
        <v>0</v>
      </c>
      <c r="H59">
        <f>'Corrected energy balance step 2'!I64</f>
        <v>0</v>
      </c>
      <c r="I59">
        <f>'Corrected energy balance step 2'!J64</f>
        <v>0</v>
      </c>
      <c r="J59">
        <f>'Corrected energy balance step 2'!K64</f>
        <v>0</v>
      </c>
      <c r="K59">
        <f>'Corrected energy balance step 2'!L64</f>
        <v>0</v>
      </c>
      <c r="L59">
        <f>'Corrected energy balance step 2'!M64</f>
        <v>0</v>
      </c>
      <c r="M59">
        <f>'Corrected energy balance step 2'!N64</f>
        <v>0</v>
      </c>
      <c r="N59">
        <f>'Corrected energy balance step 2'!O64</f>
        <v>0</v>
      </c>
      <c r="O59">
        <f>'Corrected energy balance step 2'!P64</f>
        <v>0</v>
      </c>
      <c r="P59">
        <f>'Corrected energy balance step 2'!Q64</f>
        <v>0</v>
      </c>
      <c r="Q59">
        <f>'Corrected energy balance step 2'!R64</f>
        <v>0</v>
      </c>
      <c r="R59">
        <f>'Corrected energy balance step 2'!S64</f>
        <v>0</v>
      </c>
      <c r="S59">
        <f>'Corrected energy balance step 2'!T64</f>
        <v>0</v>
      </c>
      <c r="T59">
        <f>'Corrected energy balance step 2'!U64</f>
        <v>0</v>
      </c>
      <c r="U59">
        <f>'Corrected energy balance step 2'!V64</f>
        <v>0</v>
      </c>
      <c r="V59">
        <f>'Corrected energy balance step 2'!W64</f>
        <v>0</v>
      </c>
      <c r="W59">
        <f>'Corrected energy balance step 2'!X64</f>
        <v>0</v>
      </c>
      <c r="X59">
        <f>'Corrected energy balance step 2'!Y64</f>
        <v>0</v>
      </c>
      <c r="Y59">
        <f>'Corrected energy balance step 2'!Z64</f>
        <v>0</v>
      </c>
      <c r="Z59">
        <f>'Corrected energy balance step 2'!AA64</f>
        <v>0</v>
      </c>
      <c r="AA59">
        <f>'Corrected energy balance step 2'!AB64</f>
        <v>0</v>
      </c>
      <c r="AB59">
        <f>'Corrected energy balance step 2'!AC64</f>
        <v>0</v>
      </c>
      <c r="AC59">
        <f>'Corrected energy balance step 2'!AD64</f>
        <v>0</v>
      </c>
      <c r="AD59">
        <f>'Corrected energy balance step 2'!AE64</f>
        <v>0</v>
      </c>
      <c r="AE59">
        <f>'Corrected energy balance step 2'!AF64</f>
        <v>0</v>
      </c>
      <c r="AF59">
        <f>'Corrected energy balance step 2'!AG64</f>
        <v>0</v>
      </c>
      <c r="AG59">
        <f>'Corrected energy balance step 2'!AH64</f>
        <v>0</v>
      </c>
      <c r="AH59">
        <f>'Corrected energy balance step 2'!AI64</f>
        <v>0</v>
      </c>
      <c r="AI59">
        <f>'Corrected energy balance step 2'!AJ64</f>
        <v>0</v>
      </c>
      <c r="AJ59">
        <f>'Corrected energy balance step 2'!AK64</f>
        <v>0</v>
      </c>
      <c r="AK59">
        <f>'Corrected energy balance step 2'!AL64</f>
        <v>0</v>
      </c>
      <c r="AL59">
        <f>'Corrected energy balance step 2'!AM64</f>
        <v>0</v>
      </c>
      <c r="AM59">
        <f>'Corrected energy balance step 2'!AN64</f>
        <v>0</v>
      </c>
      <c r="AN59">
        <f>'Corrected energy balance step 2'!AO64</f>
        <v>0</v>
      </c>
      <c r="AO59">
        <f>'Corrected energy balance step 2'!AP64</f>
        <v>0</v>
      </c>
      <c r="AP59">
        <f>'Corrected energy balance step 2'!AQ64</f>
        <v>0</v>
      </c>
      <c r="AQ59">
        <f>'Corrected energy balance step 2'!AR64</f>
        <v>0</v>
      </c>
      <c r="AR59">
        <f>'Corrected energy balance step 2'!AS64</f>
        <v>0</v>
      </c>
      <c r="AS59">
        <f>'Corrected energy balance step 2'!AT64</f>
        <v>0</v>
      </c>
      <c r="AT59">
        <f>'Corrected energy balance step 2'!AU64</f>
        <v>0</v>
      </c>
      <c r="AU59">
        <f>'Corrected energy balance step 2'!AV64</f>
        <v>0</v>
      </c>
      <c r="AV59">
        <f>'Corrected energy balance step 2'!AW64</f>
        <v>0</v>
      </c>
      <c r="AW59">
        <f>'Corrected energy balance step 2'!AX64</f>
        <v>0</v>
      </c>
      <c r="AX59">
        <f>'Corrected energy balance step 2'!AY64</f>
        <v>0</v>
      </c>
      <c r="AY59">
        <f>'Corrected energy balance step 2'!AZ64</f>
        <v>0</v>
      </c>
      <c r="AZ59">
        <f>'Corrected energy balance step 2'!BA64</f>
        <v>0</v>
      </c>
      <c r="BA59">
        <f>'Corrected energy balance step 2'!BB64</f>
        <v>0</v>
      </c>
      <c r="BB59">
        <f>'Corrected energy balance step 2'!BC64</f>
        <v>0</v>
      </c>
      <c r="BC59">
        <f>'Corrected energy balance step 2'!BD64</f>
        <v>0</v>
      </c>
      <c r="BD59">
        <f>'Corrected energy balance step 2'!BE64</f>
        <v>0</v>
      </c>
      <c r="BE59">
        <f>'Corrected energy balance step 2'!BF64</f>
        <v>0</v>
      </c>
      <c r="BF59">
        <f>'Corrected energy balance step 2'!BG64</f>
        <v>0</v>
      </c>
      <c r="BG59">
        <f>'Corrected energy balance step 2'!BH64</f>
        <v>0</v>
      </c>
      <c r="BH59">
        <f>'Corrected energy balance step 2'!BI64</f>
        <v>0</v>
      </c>
      <c r="BI59">
        <f>'Corrected energy balance step 2'!BJ64</f>
        <v>0</v>
      </c>
      <c r="BJ59">
        <f>'Corrected energy balance step 2'!BK64</f>
        <v>0</v>
      </c>
      <c r="BK59">
        <f>'Corrected energy balance step 2'!BL64</f>
        <v>0</v>
      </c>
      <c r="BL59">
        <f>'Corrected energy balance step 2'!BM64</f>
        <v>0</v>
      </c>
      <c r="BM59">
        <f>'Corrected energy balance step 2'!BN64</f>
        <v>0</v>
      </c>
      <c r="BN59">
        <f>'Corrected energy balance step 2'!BO64</f>
        <v>0</v>
      </c>
    </row>
    <row r="60" spans="1:66" x14ac:dyDescent="0.2">
      <c r="A60" t="s">
        <v>97</v>
      </c>
      <c r="B60">
        <f>'Corrected energy balance step 2'!C65</f>
        <v>0</v>
      </c>
      <c r="C60">
        <f>'Corrected energy balance step 2'!D65</f>
        <v>0</v>
      </c>
      <c r="D60">
        <f>'Corrected energy balance step 2'!E65</f>
        <v>0</v>
      </c>
      <c r="E60">
        <f>'Corrected energy balance step 2'!F65</f>
        <v>0</v>
      </c>
      <c r="F60">
        <f>'Corrected energy balance step 2'!G65</f>
        <v>0</v>
      </c>
      <c r="G60">
        <f>'Corrected energy balance step 2'!H65</f>
        <v>0</v>
      </c>
      <c r="H60">
        <f>'Corrected energy balance step 2'!I65</f>
        <v>0</v>
      </c>
      <c r="I60">
        <f>'Corrected energy balance step 2'!J65</f>
        <v>0</v>
      </c>
      <c r="J60">
        <f>'Corrected energy balance step 2'!K65</f>
        <v>0</v>
      </c>
      <c r="K60">
        <f>'Corrected energy balance step 2'!L65</f>
        <v>0</v>
      </c>
      <c r="L60">
        <f>'Corrected energy balance step 2'!M65</f>
        <v>0</v>
      </c>
      <c r="M60">
        <f>'Corrected energy balance step 2'!N65</f>
        <v>0</v>
      </c>
      <c r="N60">
        <f>'Corrected energy balance step 2'!O65</f>
        <v>0</v>
      </c>
      <c r="O60">
        <f>'Corrected energy balance step 2'!P65</f>
        <v>0</v>
      </c>
      <c r="P60">
        <f>'Corrected energy balance step 2'!Q65</f>
        <v>0</v>
      </c>
      <c r="Q60">
        <f>'Corrected energy balance step 2'!R65</f>
        <v>0</v>
      </c>
      <c r="R60">
        <f>'Corrected energy balance step 2'!S65</f>
        <v>0</v>
      </c>
      <c r="S60">
        <f>'Corrected energy balance step 2'!T65</f>
        <v>0</v>
      </c>
      <c r="T60">
        <f>'Corrected energy balance step 2'!U65</f>
        <v>0</v>
      </c>
      <c r="U60">
        <f>'Corrected energy balance step 2'!V65</f>
        <v>0</v>
      </c>
      <c r="V60">
        <f>'Corrected energy balance step 2'!W65</f>
        <v>0</v>
      </c>
      <c r="W60">
        <f>'Corrected energy balance step 2'!X65</f>
        <v>0</v>
      </c>
      <c r="X60">
        <f>'Corrected energy balance step 2'!Y65</f>
        <v>0</v>
      </c>
      <c r="Y60">
        <f>'Corrected energy balance step 2'!Z65</f>
        <v>0</v>
      </c>
      <c r="Z60">
        <f>'Corrected energy balance step 2'!AA65</f>
        <v>0</v>
      </c>
      <c r="AA60">
        <f>'Corrected energy balance step 2'!AB65</f>
        <v>0</v>
      </c>
      <c r="AB60">
        <f>'Corrected energy balance step 2'!AC65</f>
        <v>0</v>
      </c>
      <c r="AC60">
        <f>'Corrected energy balance step 2'!AD65</f>
        <v>0</v>
      </c>
      <c r="AD60">
        <f>'Corrected energy balance step 2'!AE65</f>
        <v>0</v>
      </c>
      <c r="AE60">
        <f>'Corrected energy balance step 2'!AF65</f>
        <v>0</v>
      </c>
      <c r="AF60">
        <f>'Corrected energy balance step 2'!AG65</f>
        <v>0</v>
      </c>
      <c r="AG60">
        <f>'Corrected energy balance step 2'!AH65</f>
        <v>0</v>
      </c>
      <c r="AH60">
        <f>'Corrected energy balance step 2'!AI65</f>
        <v>0</v>
      </c>
      <c r="AI60">
        <f>'Corrected energy balance step 2'!AJ65</f>
        <v>0</v>
      </c>
      <c r="AJ60">
        <f>'Corrected energy balance step 2'!AK65</f>
        <v>0</v>
      </c>
      <c r="AK60">
        <f>'Corrected energy balance step 2'!AL65</f>
        <v>0</v>
      </c>
      <c r="AL60">
        <f>'Corrected energy balance step 2'!AM65</f>
        <v>0</v>
      </c>
      <c r="AM60">
        <f>'Corrected energy balance step 2'!AN65</f>
        <v>0</v>
      </c>
      <c r="AN60">
        <f>'Corrected energy balance step 2'!AO65</f>
        <v>0</v>
      </c>
      <c r="AO60">
        <f>'Corrected energy balance step 2'!AP65</f>
        <v>0</v>
      </c>
      <c r="AP60">
        <f>'Corrected energy balance step 2'!AQ65</f>
        <v>0</v>
      </c>
      <c r="AQ60">
        <f>'Corrected energy balance step 2'!AR65</f>
        <v>0</v>
      </c>
      <c r="AR60">
        <f>'Corrected energy balance step 2'!AS65</f>
        <v>0</v>
      </c>
      <c r="AS60">
        <f>'Corrected energy balance step 2'!AT65</f>
        <v>0</v>
      </c>
      <c r="AT60">
        <f>'Corrected energy balance step 2'!AU65</f>
        <v>0</v>
      </c>
      <c r="AU60">
        <f>'Corrected energy balance step 2'!AV65</f>
        <v>0</v>
      </c>
      <c r="AV60">
        <f>'Corrected energy balance step 2'!AW65</f>
        <v>0</v>
      </c>
      <c r="AW60">
        <f>'Corrected energy balance step 2'!AX65</f>
        <v>0</v>
      </c>
      <c r="AX60">
        <f>'Corrected energy balance step 2'!AY65</f>
        <v>0</v>
      </c>
      <c r="AY60">
        <f>'Corrected energy balance step 2'!AZ65</f>
        <v>0</v>
      </c>
      <c r="AZ60">
        <f>'Corrected energy balance step 2'!BA65</f>
        <v>0</v>
      </c>
      <c r="BA60">
        <f>'Corrected energy balance step 2'!BB65</f>
        <v>0</v>
      </c>
      <c r="BB60">
        <f>'Corrected energy balance step 2'!BC65</f>
        <v>0</v>
      </c>
      <c r="BC60">
        <f>'Corrected energy balance step 2'!BD65</f>
        <v>0</v>
      </c>
      <c r="BD60">
        <f>'Corrected energy balance step 2'!BE65</f>
        <v>0</v>
      </c>
      <c r="BE60">
        <f>'Corrected energy balance step 2'!BF65</f>
        <v>0</v>
      </c>
      <c r="BF60">
        <f>'Corrected energy balance step 2'!BG65</f>
        <v>0</v>
      </c>
      <c r="BG60">
        <f>'Corrected energy balance step 2'!BH65</f>
        <v>0</v>
      </c>
      <c r="BH60">
        <f>'Corrected energy balance step 2'!BI65</f>
        <v>0</v>
      </c>
      <c r="BI60">
        <f>'Corrected energy balance step 2'!BJ65</f>
        <v>0</v>
      </c>
      <c r="BJ60">
        <f>'Corrected energy balance step 2'!BK65</f>
        <v>0</v>
      </c>
      <c r="BK60">
        <f>'Corrected energy balance step 2'!BL65</f>
        <v>0</v>
      </c>
      <c r="BL60">
        <f>'Corrected energy balance step 2'!BM65</f>
        <v>0</v>
      </c>
      <c r="BM60">
        <f>'Corrected energy balance step 2'!BN65</f>
        <v>0</v>
      </c>
      <c r="BN60">
        <f>'Corrected energy balance step 2'!BO65</f>
        <v>0</v>
      </c>
    </row>
    <row r="61" spans="1:66" x14ac:dyDescent="0.2">
      <c r="A61" t="s">
        <v>98</v>
      </c>
      <c r="B61">
        <f>'Corrected energy balance step 2'!C66</f>
        <v>0</v>
      </c>
      <c r="C61">
        <f>'Corrected energy balance step 2'!D66</f>
        <v>0</v>
      </c>
      <c r="D61">
        <f>'Corrected energy balance step 2'!E66</f>
        <v>0</v>
      </c>
      <c r="E61">
        <f>'Corrected energy balance step 2'!F66</f>
        <v>0</v>
      </c>
      <c r="F61">
        <f>'Corrected energy balance step 2'!G66</f>
        <v>0</v>
      </c>
      <c r="G61">
        <f>'Corrected energy balance step 2'!H66</f>
        <v>0</v>
      </c>
      <c r="H61">
        <f>'Corrected energy balance step 2'!I66</f>
        <v>0</v>
      </c>
      <c r="I61">
        <f>'Corrected energy balance step 2'!J66</f>
        <v>0</v>
      </c>
      <c r="J61">
        <f>'Corrected energy balance step 2'!K66</f>
        <v>0</v>
      </c>
      <c r="K61">
        <f>'Corrected energy balance step 2'!L66</f>
        <v>0</v>
      </c>
      <c r="L61">
        <f>'Corrected energy balance step 2'!M66</f>
        <v>0</v>
      </c>
      <c r="M61">
        <f>'Corrected energy balance step 2'!N66</f>
        <v>0</v>
      </c>
      <c r="N61">
        <f>'Corrected energy balance step 2'!O66</f>
        <v>0</v>
      </c>
      <c r="O61">
        <f>'Corrected energy balance step 2'!P66</f>
        <v>0</v>
      </c>
      <c r="P61">
        <f>'Corrected energy balance step 2'!Q66</f>
        <v>0</v>
      </c>
      <c r="Q61">
        <f>'Corrected energy balance step 2'!R66</f>
        <v>0</v>
      </c>
      <c r="R61">
        <f>'Corrected energy balance step 2'!S66</f>
        <v>0</v>
      </c>
      <c r="S61">
        <f>'Corrected energy balance step 2'!T66</f>
        <v>0</v>
      </c>
      <c r="T61">
        <f>'Corrected energy balance step 2'!U66</f>
        <v>0</v>
      </c>
      <c r="U61">
        <f>'Corrected energy balance step 2'!V66</f>
        <v>0</v>
      </c>
      <c r="V61">
        <f>'Corrected energy balance step 2'!W66</f>
        <v>0</v>
      </c>
      <c r="W61">
        <f>'Corrected energy balance step 2'!X66</f>
        <v>0</v>
      </c>
      <c r="X61">
        <f>'Corrected energy balance step 2'!Y66</f>
        <v>0</v>
      </c>
      <c r="Y61">
        <f>'Corrected energy balance step 2'!Z66</f>
        <v>0</v>
      </c>
      <c r="Z61">
        <f>'Corrected energy balance step 2'!AA66</f>
        <v>0</v>
      </c>
      <c r="AA61">
        <f>'Corrected energy balance step 2'!AB66</f>
        <v>0</v>
      </c>
      <c r="AB61">
        <f>'Corrected energy balance step 2'!AC66</f>
        <v>0</v>
      </c>
      <c r="AC61">
        <f>'Corrected energy balance step 2'!AD66</f>
        <v>0</v>
      </c>
      <c r="AD61">
        <f>'Corrected energy balance step 2'!AE66</f>
        <v>0</v>
      </c>
      <c r="AE61">
        <f>'Corrected energy balance step 2'!AF66</f>
        <v>0</v>
      </c>
      <c r="AF61">
        <f>'Corrected energy balance step 2'!AG66</f>
        <v>0</v>
      </c>
      <c r="AG61">
        <f>'Corrected energy balance step 2'!AH66</f>
        <v>0</v>
      </c>
      <c r="AH61">
        <f>'Corrected energy balance step 2'!AI66</f>
        <v>0</v>
      </c>
      <c r="AI61">
        <f>'Corrected energy balance step 2'!AJ66</f>
        <v>0</v>
      </c>
      <c r="AJ61">
        <f>'Corrected energy balance step 2'!AK66</f>
        <v>0</v>
      </c>
      <c r="AK61">
        <f>'Corrected energy balance step 2'!AL66</f>
        <v>0</v>
      </c>
      <c r="AL61">
        <f>'Corrected energy balance step 2'!AM66</f>
        <v>0</v>
      </c>
      <c r="AM61">
        <f>'Corrected energy balance step 2'!AN66</f>
        <v>0</v>
      </c>
      <c r="AN61">
        <f>'Corrected energy balance step 2'!AO66</f>
        <v>0</v>
      </c>
      <c r="AO61">
        <f>'Corrected energy balance step 2'!AP66</f>
        <v>0</v>
      </c>
      <c r="AP61">
        <f>'Corrected energy balance step 2'!AQ66</f>
        <v>0</v>
      </c>
      <c r="AQ61">
        <f>'Corrected energy balance step 2'!AR66</f>
        <v>0</v>
      </c>
      <c r="AR61">
        <f>'Corrected energy balance step 2'!AS66</f>
        <v>0</v>
      </c>
      <c r="AS61">
        <f>'Corrected energy balance step 2'!AT66</f>
        <v>0</v>
      </c>
      <c r="AT61">
        <f>'Corrected energy balance step 2'!AU66</f>
        <v>0</v>
      </c>
      <c r="AU61">
        <f>'Corrected energy balance step 2'!AV66</f>
        <v>0</v>
      </c>
      <c r="AV61">
        <f>'Corrected energy balance step 2'!AW66</f>
        <v>0</v>
      </c>
      <c r="AW61">
        <f>'Corrected energy balance step 2'!AX66</f>
        <v>0</v>
      </c>
      <c r="AX61">
        <f>'Corrected energy balance step 2'!AY66</f>
        <v>0</v>
      </c>
      <c r="AY61">
        <f>'Corrected energy balance step 2'!AZ66</f>
        <v>0</v>
      </c>
      <c r="AZ61">
        <f>'Corrected energy balance step 2'!BA66</f>
        <v>0</v>
      </c>
      <c r="BA61">
        <f>'Corrected energy balance step 2'!BB66</f>
        <v>0</v>
      </c>
      <c r="BB61">
        <f>'Corrected energy balance step 2'!BC66</f>
        <v>0</v>
      </c>
      <c r="BC61">
        <f>'Corrected energy balance step 2'!BD66</f>
        <v>0</v>
      </c>
      <c r="BD61">
        <f>'Corrected energy balance step 2'!BE66</f>
        <v>0</v>
      </c>
      <c r="BE61">
        <f>'Corrected energy balance step 2'!BF66</f>
        <v>0</v>
      </c>
      <c r="BF61">
        <f>'Corrected energy balance step 2'!BG66</f>
        <v>0</v>
      </c>
      <c r="BG61">
        <f>'Corrected energy balance step 2'!BH66</f>
        <v>0</v>
      </c>
      <c r="BH61">
        <f>'Corrected energy balance step 2'!BI66</f>
        <v>0</v>
      </c>
      <c r="BI61">
        <f>'Corrected energy balance step 2'!BJ66</f>
        <v>0</v>
      </c>
      <c r="BJ61">
        <f>'Corrected energy balance step 2'!BK66</f>
        <v>0</v>
      </c>
      <c r="BK61">
        <f>'Corrected energy balance step 2'!BL66</f>
        <v>0</v>
      </c>
      <c r="BL61">
        <f>'Corrected energy balance step 2'!BM66</f>
        <v>0</v>
      </c>
      <c r="BM61">
        <f>'Corrected energy balance step 2'!BN66</f>
        <v>0</v>
      </c>
      <c r="BN61">
        <f>'Corrected energy balance step 2'!BO66</f>
        <v>0</v>
      </c>
    </row>
    <row r="62" spans="1:66" x14ac:dyDescent="0.2">
      <c r="A62" t="s">
        <v>99</v>
      </c>
      <c r="B62">
        <f>'Corrected energy balance step 2'!C67</f>
        <v>0</v>
      </c>
      <c r="C62">
        <f>'Corrected energy balance step 2'!D67</f>
        <v>0</v>
      </c>
      <c r="D62">
        <f>'Corrected energy balance step 2'!E67</f>
        <v>0</v>
      </c>
      <c r="E62">
        <f>'Corrected energy balance step 2'!F67</f>
        <v>0</v>
      </c>
      <c r="F62">
        <f>'Corrected energy balance step 2'!G67</f>
        <v>0</v>
      </c>
      <c r="G62">
        <f>'Corrected energy balance step 2'!H67</f>
        <v>0</v>
      </c>
      <c r="H62">
        <f>'Corrected energy balance step 2'!I67</f>
        <v>0</v>
      </c>
      <c r="I62">
        <f>'Corrected energy balance step 2'!J67</f>
        <v>0</v>
      </c>
      <c r="J62">
        <f>'Corrected energy balance step 2'!K67</f>
        <v>0</v>
      </c>
      <c r="K62">
        <f>'Corrected energy balance step 2'!L67</f>
        <v>0</v>
      </c>
      <c r="L62">
        <f>'Corrected energy balance step 2'!M67</f>
        <v>0</v>
      </c>
      <c r="M62">
        <f>'Corrected energy balance step 2'!N67</f>
        <v>0</v>
      </c>
      <c r="N62">
        <f>'Corrected energy balance step 2'!O67</f>
        <v>0</v>
      </c>
      <c r="O62">
        <f>'Corrected energy balance step 2'!P67</f>
        <v>0</v>
      </c>
      <c r="P62">
        <f>'Corrected energy balance step 2'!Q67</f>
        <v>0</v>
      </c>
      <c r="Q62">
        <f>'Corrected energy balance step 2'!R67</f>
        <v>0</v>
      </c>
      <c r="R62">
        <f>'Corrected energy balance step 2'!S67</f>
        <v>0</v>
      </c>
      <c r="S62">
        <f>'Corrected energy balance step 2'!T67</f>
        <v>0</v>
      </c>
      <c r="T62">
        <f>'Corrected energy balance step 2'!U67</f>
        <v>0</v>
      </c>
      <c r="U62">
        <f>'Corrected energy balance step 2'!V67</f>
        <v>0</v>
      </c>
      <c r="V62">
        <f>'Corrected energy balance step 2'!W67</f>
        <v>0</v>
      </c>
      <c r="W62">
        <f>'Corrected energy balance step 2'!X67</f>
        <v>0</v>
      </c>
      <c r="X62">
        <f>'Corrected energy balance step 2'!Y67</f>
        <v>0</v>
      </c>
      <c r="Y62">
        <f>'Corrected energy balance step 2'!Z67</f>
        <v>0</v>
      </c>
      <c r="Z62">
        <f>'Corrected energy balance step 2'!AA67</f>
        <v>0</v>
      </c>
      <c r="AA62">
        <f>'Corrected energy balance step 2'!AB67</f>
        <v>0</v>
      </c>
      <c r="AB62">
        <f>'Corrected energy balance step 2'!AC67</f>
        <v>0</v>
      </c>
      <c r="AC62">
        <f>'Corrected energy balance step 2'!AD67</f>
        <v>0</v>
      </c>
      <c r="AD62">
        <f>'Corrected energy balance step 2'!AE67</f>
        <v>0</v>
      </c>
      <c r="AE62">
        <f>'Corrected energy balance step 2'!AF67</f>
        <v>0</v>
      </c>
      <c r="AF62">
        <f>'Corrected energy balance step 2'!AG67</f>
        <v>0</v>
      </c>
      <c r="AG62">
        <f>'Corrected energy balance step 2'!AH67</f>
        <v>0</v>
      </c>
      <c r="AH62">
        <f>'Corrected energy balance step 2'!AI67</f>
        <v>0</v>
      </c>
      <c r="AI62">
        <f>'Corrected energy balance step 2'!AJ67</f>
        <v>0</v>
      </c>
      <c r="AJ62">
        <f>'Corrected energy balance step 2'!AK67</f>
        <v>0</v>
      </c>
      <c r="AK62">
        <f>'Corrected energy balance step 2'!AL67</f>
        <v>0</v>
      </c>
      <c r="AL62">
        <f>'Corrected energy balance step 2'!AM67</f>
        <v>0</v>
      </c>
      <c r="AM62">
        <f>'Corrected energy balance step 2'!AN67</f>
        <v>0</v>
      </c>
      <c r="AN62">
        <f>'Corrected energy balance step 2'!AO67</f>
        <v>0</v>
      </c>
      <c r="AO62">
        <f>'Corrected energy balance step 2'!AP67</f>
        <v>0</v>
      </c>
      <c r="AP62">
        <f>'Corrected energy balance step 2'!AQ67</f>
        <v>0</v>
      </c>
      <c r="AQ62">
        <f>'Corrected energy balance step 2'!AR67</f>
        <v>0</v>
      </c>
      <c r="AR62">
        <f>'Corrected energy balance step 2'!AS67</f>
        <v>0</v>
      </c>
      <c r="AS62">
        <f>'Corrected energy balance step 2'!AT67</f>
        <v>0</v>
      </c>
      <c r="AT62">
        <f>'Corrected energy balance step 2'!AU67</f>
        <v>0</v>
      </c>
      <c r="AU62">
        <f>'Corrected energy balance step 2'!AV67</f>
        <v>0</v>
      </c>
      <c r="AV62">
        <f>'Corrected energy balance step 2'!AW67</f>
        <v>0</v>
      </c>
      <c r="AW62">
        <f>'Corrected energy balance step 2'!AX67</f>
        <v>0</v>
      </c>
      <c r="AX62">
        <f>'Corrected energy balance step 2'!AY67</f>
        <v>0</v>
      </c>
      <c r="AY62">
        <f>'Corrected energy balance step 2'!AZ67</f>
        <v>0</v>
      </c>
      <c r="AZ62">
        <f>'Corrected energy balance step 2'!BA67</f>
        <v>0</v>
      </c>
      <c r="BA62">
        <f>'Corrected energy balance step 2'!BB67</f>
        <v>0</v>
      </c>
      <c r="BB62">
        <f>'Corrected energy balance step 2'!BC67</f>
        <v>0</v>
      </c>
      <c r="BC62">
        <f>'Corrected energy balance step 2'!BD67</f>
        <v>0</v>
      </c>
      <c r="BD62">
        <f>'Corrected energy balance step 2'!BE67</f>
        <v>0</v>
      </c>
      <c r="BE62">
        <f>'Corrected energy balance step 2'!BF67</f>
        <v>0</v>
      </c>
      <c r="BF62">
        <f>'Corrected energy balance step 2'!BG67</f>
        <v>0</v>
      </c>
      <c r="BG62">
        <f>'Corrected energy balance step 2'!BH67</f>
        <v>0</v>
      </c>
      <c r="BH62">
        <f>'Corrected energy balance step 2'!BI67</f>
        <v>0</v>
      </c>
      <c r="BI62">
        <f>'Corrected energy balance step 2'!BJ67</f>
        <v>0</v>
      </c>
      <c r="BJ62">
        <f>'Corrected energy balance step 2'!BK67</f>
        <v>0</v>
      </c>
      <c r="BK62">
        <f>'Corrected energy balance step 2'!BL67</f>
        <v>0</v>
      </c>
      <c r="BL62">
        <f>'Corrected energy balance step 2'!BM67</f>
        <v>0</v>
      </c>
      <c r="BM62">
        <f>'Corrected energy balance step 2'!BN67</f>
        <v>0</v>
      </c>
      <c r="BN62">
        <f>'Corrected energy balance step 2'!BO67</f>
        <v>0</v>
      </c>
    </row>
    <row r="63" spans="1:66" x14ac:dyDescent="0.2">
      <c r="A63" t="s">
        <v>100</v>
      </c>
      <c r="B63">
        <f>'Corrected energy balance step 2'!C68</f>
        <v>0</v>
      </c>
      <c r="C63">
        <f>'Corrected energy balance step 2'!D68</f>
        <v>0</v>
      </c>
      <c r="D63">
        <f>'Corrected energy balance step 2'!E68</f>
        <v>0</v>
      </c>
      <c r="E63">
        <f>'Corrected energy balance step 2'!F68</f>
        <v>0</v>
      </c>
      <c r="F63">
        <f>'Corrected energy balance step 2'!G68</f>
        <v>0</v>
      </c>
      <c r="G63">
        <f>'Corrected energy balance step 2'!H68</f>
        <v>0</v>
      </c>
      <c r="H63">
        <f>'Corrected energy balance step 2'!I68</f>
        <v>0</v>
      </c>
      <c r="I63">
        <f>'Corrected energy balance step 2'!J68</f>
        <v>0</v>
      </c>
      <c r="J63">
        <f>'Corrected energy balance step 2'!K68</f>
        <v>0</v>
      </c>
      <c r="K63">
        <f>'Corrected energy balance step 2'!L68</f>
        <v>0</v>
      </c>
      <c r="L63">
        <f>'Corrected energy balance step 2'!M68</f>
        <v>0</v>
      </c>
      <c r="M63">
        <f>'Corrected energy balance step 2'!N68</f>
        <v>0</v>
      </c>
      <c r="N63">
        <f>'Corrected energy balance step 2'!O68</f>
        <v>0</v>
      </c>
      <c r="O63">
        <f>'Corrected energy balance step 2'!P68</f>
        <v>0</v>
      </c>
      <c r="P63">
        <f>'Corrected energy balance step 2'!Q68</f>
        <v>0</v>
      </c>
      <c r="Q63">
        <f>'Corrected energy balance step 2'!R68</f>
        <v>0</v>
      </c>
      <c r="R63">
        <f>'Corrected energy balance step 2'!S68</f>
        <v>0</v>
      </c>
      <c r="S63">
        <f>'Corrected energy balance step 2'!T68</f>
        <v>0</v>
      </c>
      <c r="T63">
        <f>'Corrected energy balance step 2'!U68</f>
        <v>0</v>
      </c>
      <c r="U63">
        <f>'Corrected energy balance step 2'!V68</f>
        <v>0</v>
      </c>
      <c r="V63">
        <f>'Corrected energy balance step 2'!W68</f>
        <v>0</v>
      </c>
      <c r="W63">
        <f>'Corrected energy balance step 2'!X68</f>
        <v>0</v>
      </c>
      <c r="X63">
        <f>'Corrected energy balance step 2'!Y68</f>
        <v>0</v>
      </c>
      <c r="Y63">
        <f>'Corrected energy balance step 2'!Z68</f>
        <v>0</v>
      </c>
      <c r="Z63">
        <f>'Corrected energy balance step 2'!AA68</f>
        <v>0</v>
      </c>
      <c r="AA63">
        <f>'Corrected energy balance step 2'!AB68</f>
        <v>0</v>
      </c>
      <c r="AB63">
        <f>'Corrected energy balance step 2'!AC68</f>
        <v>0</v>
      </c>
      <c r="AC63">
        <f>'Corrected energy balance step 2'!AD68</f>
        <v>0</v>
      </c>
      <c r="AD63">
        <f>'Corrected energy balance step 2'!AE68</f>
        <v>0</v>
      </c>
      <c r="AE63">
        <f>'Corrected energy balance step 2'!AF68</f>
        <v>0</v>
      </c>
      <c r="AF63">
        <f>'Corrected energy balance step 2'!AG68</f>
        <v>0</v>
      </c>
      <c r="AG63">
        <f>'Corrected energy balance step 2'!AH68</f>
        <v>0</v>
      </c>
      <c r="AH63">
        <f>'Corrected energy balance step 2'!AI68</f>
        <v>0</v>
      </c>
      <c r="AI63">
        <f>'Corrected energy balance step 2'!AJ68</f>
        <v>0</v>
      </c>
      <c r="AJ63">
        <f>'Corrected energy balance step 2'!AK68</f>
        <v>0</v>
      </c>
      <c r="AK63">
        <f>'Corrected energy balance step 2'!AL68</f>
        <v>0</v>
      </c>
      <c r="AL63">
        <f>'Corrected energy balance step 2'!AM68</f>
        <v>0</v>
      </c>
      <c r="AM63">
        <f>'Corrected energy balance step 2'!AN68</f>
        <v>0</v>
      </c>
      <c r="AN63">
        <f>'Corrected energy balance step 2'!AO68</f>
        <v>0</v>
      </c>
      <c r="AO63">
        <f>'Corrected energy balance step 2'!AP68</f>
        <v>0</v>
      </c>
      <c r="AP63">
        <f>'Corrected energy balance step 2'!AQ68</f>
        <v>0</v>
      </c>
      <c r="AQ63">
        <f>'Corrected energy balance step 2'!AR68</f>
        <v>0</v>
      </c>
      <c r="AR63">
        <f>'Corrected energy balance step 2'!AS68</f>
        <v>0</v>
      </c>
      <c r="AS63">
        <f>'Corrected energy balance step 2'!AT68</f>
        <v>0</v>
      </c>
      <c r="AT63">
        <f>'Corrected energy balance step 2'!AU68</f>
        <v>0</v>
      </c>
      <c r="AU63">
        <f>'Corrected energy balance step 2'!AV68</f>
        <v>0</v>
      </c>
      <c r="AV63">
        <f>'Corrected energy balance step 2'!AW68</f>
        <v>0</v>
      </c>
      <c r="AW63">
        <f>'Corrected energy balance step 2'!AX68</f>
        <v>0</v>
      </c>
      <c r="AX63">
        <f>'Corrected energy balance step 2'!AY68</f>
        <v>0</v>
      </c>
      <c r="AY63">
        <f>'Corrected energy balance step 2'!AZ68</f>
        <v>0</v>
      </c>
      <c r="AZ63">
        <f>'Corrected energy balance step 2'!BA68</f>
        <v>0</v>
      </c>
      <c r="BA63">
        <f>'Corrected energy balance step 2'!BB68</f>
        <v>0</v>
      </c>
      <c r="BB63">
        <f>'Corrected energy balance step 2'!BC68</f>
        <v>0</v>
      </c>
      <c r="BC63">
        <f>'Corrected energy balance step 2'!BD68</f>
        <v>0</v>
      </c>
      <c r="BD63">
        <f>'Corrected energy balance step 2'!BE68</f>
        <v>0</v>
      </c>
      <c r="BE63">
        <f>'Corrected energy balance step 2'!BF68</f>
        <v>0</v>
      </c>
      <c r="BF63">
        <f>'Corrected energy balance step 2'!BG68</f>
        <v>0</v>
      </c>
      <c r="BG63">
        <f>'Corrected energy balance step 2'!BH68</f>
        <v>0</v>
      </c>
      <c r="BH63">
        <f>'Corrected energy balance step 2'!BI68</f>
        <v>0</v>
      </c>
      <c r="BI63">
        <f>'Corrected energy balance step 2'!BJ68</f>
        <v>0</v>
      </c>
      <c r="BJ63">
        <f>'Corrected energy balance step 2'!BK68</f>
        <v>0</v>
      </c>
      <c r="BK63">
        <f>'Corrected energy balance step 2'!BL68</f>
        <v>0</v>
      </c>
      <c r="BL63">
        <f>'Corrected energy balance step 2'!BM68</f>
        <v>0</v>
      </c>
      <c r="BM63">
        <f>'Corrected energy balance step 2'!BN68</f>
        <v>0</v>
      </c>
      <c r="BN63">
        <f>'Corrected energy balance step 2'!BO68</f>
        <v>0</v>
      </c>
    </row>
    <row r="64" spans="1:66" x14ac:dyDescent="0.2">
      <c r="A64" t="s">
        <v>101</v>
      </c>
      <c r="B64">
        <f>'Corrected energy balance step 2'!C69</f>
        <v>0</v>
      </c>
      <c r="C64">
        <f>'Corrected energy balance step 2'!D69</f>
        <v>0</v>
      </c>
      <c r="D64">
        <f>'Corrected energy balance step 2'!E69</f>
        <v>0</v>
      </c>
      <c r="E64">
        <f>'Corrected energy balance step 2'!F69</f>
        <v>0</v>
      </c>
      <c r="F64">
        <f>'Corrected energy balance step 2'!G69</f>
        <v>0</v>
      </c>
      <c r="G64">
        <f>'Corrected energy balance step 2'!H69</f>
        <v>0</v>
      </c>
      <c r="H64">
        <f>'Corrected energy balance step 2'!I69</f>
        <v>0</v>
      </c>
      <c r="I64">
        <f>'Corrected energy balance step 2'!J69</f>
        <v>0</v>
      </c>
      <c r="J64">
        <f>'Corrected energy balance step 2'!K69</f>
        <v>0</v>
      </c>
      <c r="K64">
        <f>'Corrected energy balance step 2'!L69</f>
        <v>0</v>
      </c>
      <c r="L64">
        <f>'Corrected energy balance step 2'!M69</f>
        <v>0</v>
      </c>
      <c r="M64">
        <f>'Corrected energy balance step 2'!N69</f>
        <v>0</v>
      </c>
      <c r="N64">
        <f>'Corrected energy balance step 2'!O69</f>
        <v>0</v>
      </c>
      <c r="O64">
        <f>'Corrected energy balance step 2'!P69</f>
        <v>0</v>
      </c>
      <c r="P64">
        <f>'Corrected energy balance step 2'!Q69</f>
        <v>0</v>
      </c>
      <c r="Q64">
        <f>'Corrected energy balance step 2'!R69</f>
        <v>0</v>
      </c>
      <c r="R64">
        <f>'Corrected energy balance step 2'!S69</f>
        <v>0</v>
      </c>
      <c r="S64">
        <f>'Corrected energy balance step 2'!T69</f>
        <v>0</v>
      </c>
      <c r="T64">
        <f>'Corrected energy balance step 2'!U69</f>
        <v>0</v>
      </c>
      <c r="U64">
        <f>'Corrected energy balance step 2'!V69</f>
        <v>0</v>
      </c>
      <c r="V64">
        <f>'Corrected energy balance step 2'!W69</f>
        <v>0</v>
      </c>
      <c r="W64">
        <f>'Corrected energy balance step 2'!X69</f>
        <v>0</v>
      </c>
      <c r="X64">
        <f>'Corrected energy balance step 2'!Y69</f>
        <v>0</v>
      </c>
      <c r="Y64">
        <f>'Corrected energy balance step 2'!Z69</f>
        <v>0</v>
      </c>
      <c r="Z64">
        <f>'Corrected energy balance step 2'!AA69</f>
        <v>0</v>
      </c>
      <c r="AA64">
        <f>'Corrected energy balance step 2'!AB69</f>
        <v>0</v>
      </c>
      <c r="AB64">
        <f>'Corrected energy balance step 2'!AC69</f>
        <v>0</v>
      </c>
      <c r="AC64">
        <f>'Corrected energy balance step 2'!AD69</f>
        <v>0</v>
      </c>
      <c r="AD64">
        <f>'Corrected energy balance step 2'!AE69</f>
        <v>0</v>
      </c>
      <c r="AE64">
        <f>'Corrected energy balance step 2'!AF69</f>
        <v>0</v>
      </c>
      <c r="AF64">
        <f>'Corrected energy balance step 2'!AG69</f>
        <v>0</v>
      </c>
      <c r="AG64">
        <f>'Corrected energy balance step 2'!AH69</f>
        <v>0</v>
      </c>
      <c r="AH64">
        <f>'Corrected energy balance step 2'!AI69</f>
        <v>0</v>
      </c>
      <c r="AI64">
        <f>'Corrected energy balance step 2'!AJ69</f>
        <v>0</v>
      </c>
      <c r="AJ64">
        <f>'Corrected energy balance step 2'!AK69</f>
        <v>0</v>
      </c>
      <c r="AK64">
        <f>'Corrected energy balance step 2'!AL69</f>
        <v>0</v>
      </c>
      <c r="AL64">
        <f>'Corrected energy balance step 2'!AM69</f>
        <v>0</v>
      </c>
      <c r="AM64">
        <f>'Corrected energy balance step 2'!AN69</f>
        <v>0</v>
      </c>
      <c r="AN64">
        <f>'Corrected energy balance step 2'!AO69</f>
        <v>0</v>
      </c>
      <c r="AO64">
        <f>'Corrected energy balance step 2'!AP69</f>
        <v>0</v>
      </c>
      <c r="AP64">
        <f>'Corrected energy balance step 2'!AQ69</f>
        <v>0</v>
      </c>
      <c r="AQ64">
        <f>'Corrected energy balance step 2'!AR69</f>
        <v>0</v>
      </c>
      <c r="AR64">
        <f>'Corrected energy balance step 2'!AS69</f>
        <v>0</v>
      </c>
      <c r="AS64">
        <f>'Corrected energy balance step 2'!AT69</f>
        <v>0</v>
      </c>
      <c r="AT64">
        <f>'Corrected energy balance step 2'!AU69</f>
        <v>0</v>
      </c>
      <c r="AU64">
        <f>'Corrected energy balance step 2'!AV69</f>
        <v>0</v>
      </c>
      <c r="AV64">
        <f>'Corrected energy balance step 2'!AW69</f>
        <v>0</v>
      </c>
      <c r="AW64">
        <f>'Corrected energy balance step 2'!AX69</f>
        <v>0</v>
      </c>
      <c r="AX64">
        <f>'Corrected energy balance step 2'!AY69</f>
        <v>0</v>
      </c>
      <c r="AY64">
        <f>'Corrected energy balance step 2'!AZ69</f>
        <v>0</v>
      </c>
      <c r="AZ64">
        <f>'Corrected energy balance step 2'!BA69</f>
        <v>0</v>
      </c>
      <c r="BA64">
        <f>'Corrected energy balance step 2'!BB69</f>
        <v>0</v>
      </c>
      <c r="BB64">
        <f>'Corrected energy balance step 2'!BC69</f>
        <v>0</v>
      </c>
      <c r="BC64">
        <f>'Corrected energy balance step 2'!BD69</f>
        <v>0</v>
      </c>
      <c r="BD64">
        <f>'Corrected energy balance step 2'!BE69</f>
        <v>0</v>
      </c>
      <c r="BE64">
        <f>'Corrected energy balance step 2'!BF69</f>
        <v>0</v>
      </c>
      <c r="BF64">
        <f>'Corrected energy balance step 2'!BG69</f>
        <v>0</v>
      </c>
      <c r="BG64">
        <f>'Corrected energy balance step 2'!BH69</f>
        <v>0</v>
      </c>
      <c r="BH64">
        <f>'Corrected energy balance step 2'!BI69</f>
        <v>0</v>
      </c>
      <c r="BI64">
        <f>'Corrected energy balance step 2'!BJ69</f>
        <v>0</v>
      </c>
      <c r="BJ64">
        <f>'Corrected energy balance step 2'!BK69</f>
        <v>0</v>
      </c>
      <c r="BK64">
        <f>'Corrected energy balance step 2'!BL69</f>
        <v>0</v>
      </c>
      <c r="BL64">
        <f>'Corrected energy balance step 2'!BM69</f>
        <v>0</v>
      </c>
      <c r="BM64">
        <f>'Corrected energy balance step 2'!BN69</f>
        <v>0</v>
      </c>
      <c r="BN64">
        <f>'Corrected energy balance step 2'!BO69</f>
        <v>0</v>
      </c>
    </row>
    <row r="65" spans="1:66" x14ac:dyDescent="0.2">
      <c r="A65" t="s">
        <v>102</v>
      </c>
      <c r="B65">
        <f>'Corrected energy balance step 2'!C70</f>
        <v>0</v>
      </c>
      <c r="C65">
        <f>'Corrected energy balance step 2'!D70</f>
        <v>0</v>
      </c>
      <c r="D65">
        <f>'Corrected energy balance step 2'!E70</f>
        <v>0</v>
      </c>
      <c r="E65">
        <f>'Corrected energy balance step 2'!F70</f>
        <v>0</v>
      </c>
      <c r="F65">
        <f>'Corrected energy balance step 2'!G70</f>
        <v>0</v>
      </c>
      <c r="G65">
        <f>'Corrected energy balance step 2'!H70</f>
        <v>0</v>
      </c>
      <c r="H65">
        <f>'Corrected energy balance step 2'!I70</f>
        <v>0</v>
      </c>
      <c r="I65">
        <f>'Corrected energy balance step 2'!J70</f>
        <v>0</v>
      </c>
      <c r="J65">
        <f>'Corrected energy balance step 2'!K70</f>
        <v>0</v>
      </c>
      <c r="K65">
        <f>'Corrected energy balance step 2'!L70</f>
        <v>0</v>
      </c>
      <c r="L65">
        <f>'Corrected energy balance step 2'!M70</f>
        <v>0</v>
      </c>
      <c r="M65">
        <f>'Corrected energy balance step 2'!N70</f>
        <v>0</v>
      </c>
      <c r="N65">
        <f>'Corrected energy balance step 2'!O70</f>
        <v>0</v>
      </c>
      <c r="O65">
        <f>'Corrected energy balance step 2'!P70</f>
        <v>0</v>
      </c>
      <c r="P65">
        <f>'Corrected energy balance step 2'!Q70</f>
        <v>0</v>
      </c>
      <c r="Q65">
        <f>'Corrected energy balance step 2'!R70</f>
        <v>0</v>
      </c>
      <c r="R65">
        <f>'Corrected energy balance step 2'!S70</f>
        <v>0</v>
      </c>
      <c r="S65">
        <f>'Corrected energy balance step 2'!T70</f>
        <v>0</v>
      </c>
      <c r="T65">
        <f>'Corrected energy balance step 2'!U70</f>
        <v>0</v>
      </c>
      <c r="U65">
        <f>'Corrected energy balance step 2'!V70</f>
        <v>0</v>
      </c>
      <c r="V65">
        <f>'Corrected energy balance step 2'!W70</f>
        <v>0</v>
      </c>
      <c r="W65">
        <f>'Corrected energy balance step 2'!X70</f>
        <v>0</v>
      </c>
      <c r="X65">
        <f>'Corrected energy balance step 2'!Y70</f>
        <v>0</v>
      </c>
      <c r="Y65">
        <f>'Corrected energy balance step 2'!Z70</f>
        <v>0</v>
      </c>
      <c r="Z65">
        <f>'Corrected energy balance step 2'!AA70</f>
        <v>0</v>
      </c>
      <c r="AA65">
        <f>'Corrected energy balance step 2'!AB70</f>
        <v>0</v>
      </c>
      <c r="AB65">
        <f>'Corrected energy balance step 2'!AC70</f>
        <v>0</v>
      </c>
      <c r="AC65">
        <f>'Corrected energy balance step 2'!AD70</f>
        <v>0</v>
      </c>
      <c r="AD65">
        <f>'Corrected energy balance step 2'!AE70</f>
        <v>0</v>
      </c>
      <c r="AE65">
        <f>'Corrected energy balance step 2'!AF70</f>
        <v>0</v>
      </c>
      <c r="AF65">
        <f>'Corrected energy balance step 2'!AG70</f>
        <v>0</v>
      </c>
      <c r="AG65">
        <f>'Corrected energy balance step 2'!AH70</f>
        <v>0</v>
      </c>
      <c r="AH65">
        <f>'Corrected energy balance step 2'!AI70</f>
        <v>0</v>
      </c>
      <c r="AI65">
        <f>'Corrected energy balance step 2'!AJ70</f>
        <v>0</v>
      </c>
      <c r="AJ65">
        <f>'Corrected energy balance step 2'!AK70</f>
        <v>0</v>
      </c>
      <c r="AK65">
        <f>'Corrected energy balance step 2'!AL70</f>
        <v>0</v>
      </c>
      <c r="AL65">
        <f>'Corrected energy balance step 2'!AM70</f>
        <v>0</v>
      </c>
      <c r="AM65">
        <f>'Corrected energy balance step 2'!AN70</f>
        <v>0</v>
      </c>
      <c r="AN65">
        <f>'Corrected energy balance step 2'!AO70</f>
        <v>0</v>
      </c>
      <c r="AO65">
        <f>'Corrected energy balance step 2'!AP70</f>
        <v>0</v>
      </c>
      <c r="AP65">
        <f>'Corrected energy balance step 2'!AQ70</f>
        <v>0</v>
      </c>
      <c r="AQ65">
        <f>'Corrected energy balance step 2'!AR70</f>
        <v>0</v>
      </c>
      <c r="AR65">
        <f>'Corrected energy balance step 2'!AS70</f>
        <v>0</v>
      </c>
      <c r="AS65">
        <f>'Corrected energy balance step 2'!AT70</f>
        <v>0</v>
      </c>
      <c r="AT65">
        <f>'Corrected energy balance step 2'!AU70</f>
        <v>0</v>
      </c>
      <c r="AU65">
        <f>'Corrected energy balance step 2'!AV70</f>
        <v>0</v>
      </c>
      <c r="AV65">
        <f>'Corrected energy balance step 2'!AW70</f>
        <v>0</v>
      </c>
      <c r="AW65">
        <f>'Corrected energy balance step 2'!AX70</f>
        <v>0</v>
      </c>
      <c r="AX65">
        <f>'Corrected energy balance step 2'!AY70</f>
        <v>0</v>
      </c>
      <c r="AY65">
        <f>'Corrected energy balance step 2'!AZ70</f>
        <v>0</v>
      </c>
      <c r="AZ65">
        <f>'Corrected energy balance step 2'!BA70</f>
        <v>0</v>
      </c>
      <c r="BA65">
        <f>'Corrected energy balance step 2'!BB70</f>
        <v>0</v>
      </c>
      <c r="BB65">
        <f>'Corrected energy balance step 2'!BC70</f>
        <v>0</v>
      </c>
      <c r="BC65">
        <f>'Corrected energy balance step 2'!BD70</f>
        <v>0</v>
      </c>
      <c r="BD65">
        <f>'Corrected energy balance step 2'!BE70</f>
        <v>0</v>
      </c>
      <c r="BE65">
        <f>'Corrected energy balance step 2'!BF70</f>
        <v>0</v>
      </c>
      <c r="BF65">
        <f>'Corrected energy balance step 2'!BG70</f>
        <v>0</v>
      </c>
      <c r="BG65">
        <f>'Corrected energy balance step 2'!BH70</f>
        <v>0</v>
      </c>
      <c r="BH65">
        <f>'Corrected energy balance step 2'!BI70</f>
        <v>0</v>
      </c>
      <c r="BI65">
        <f>'Corrected energy balance step 2'!BJ70</f>
        <v>0</v>
      </c>
      <c r="BJ65">
        <f>'Corrected energy balance step 2'!BK70</f>
        <v>0</v>
      </c>
      <c r="BK65">
        <f>'Corrected energy balance step 2'!BL70</f>
        <v>0</v>
      </c>
      <c r="BL65">
        <f>'Corrected energy balance step 2'!BM70</f>
        <v>0</v>
      </c>
      <c r="BM65">
        <f>'Corrected energy balance step 2'!BN70</f>
        <v>0</v>
      </c>
      <c r="BN65">
        <f>'Corrected energy balance step 2'!BO70</f>
        <v>0</v>
      </c>
    </row>
    <row r="66" spans="1:66" x14ac:dyDescent="0.2">
      <c r="A66" t="s">
        <v>103</v>
      </c>
      <c r="B66">
        <f>'Corrected energy balance step 2'!C71</f>
        <v>0</v>
      </c>
      <c r="C66">
        <f>'Corrected energy balance step 2'!D71</f>
        <v>0</v>
      </c>
      <c r="D66">
        <f>'Corrected energy balance step 2'!E71</f>
        <v>0</v>
      </c>
      <c r="E66">
        <f>'Corrected energy balance step 2'!F71</f>
        <v>0</v>
      </c>
      <c r="F66">
        <f>'Corrected energy balance step 2'!G71</f>
        <v>0</v>
      </c>
      <c r="G66">
        <f>'Corrected energy balance step 2'!H71</f>
        <v>0</v>
      </c>
      <c r="H66">
        <f>'Corrected energy balance step 2'!I71</f>
        <v>0</v>
      </c>
      <c r="I66">
        <f>'Corrected energy balance step 2'!J71</f>
        <v>0</v>
      </c>
      <c r="J66">
        <f>'Corrected energy balance step 2'!K71</f>
        <v>0</v>
      </c>
      <c r="K66">
        <f>'Corrected energy balance step 2'!L71</f>
        <v>0</v>
      </c>
      <c r="L66">
        <f>'Corrected energy balance step 2'!M71</f>
        <v>0</v>
      </c>
      <c r="M66">
        <f>'Corrected energy balance step 2'!N71</f>
        <v>0</v>
      </c>
      <c r="N66">
        <f>'Corrected energy balance step 2'!O71</f>
        <v>0</v>
      </c>
      <c r="O66">
        <f>'Corrected energy balance step 2'!P71</f>
        <v>0</v>
      </c>
      <c r="P66">
        <f>'Corrected energy balance step 2'!Q71</f>
        <v>0</v>
      </c>
      <c r="Q66">
        <f>'Corrected energy balance step 2'!R71</f>
        <v>0</v>
      </c>
      <c r="R66">
        <f>'Corrected energy balance step 2'!S71</f>
        <v>0</v>
      </c>
      <c r="S66">
        <f>'Corrected energy balance step 2'!T71</f>
        <v>0</v>
      </c>
      <c r="T66">
        <f>'Corrected energy balance step 2'!U71</f>
        <v>0</v>
      </c>
      <c r="U66">
        <f>'Corrected energy balance step 2'!V71</f>
        <v>0</v>
      </c>
      <c r="V66">
        <f>'Corrected energy balance step 2'!W71</f>
        <v>0</v>
      </c>
      <c r="W66">
        <f>'Corrected energy balance step 2'!X71</f>
        <v>0</v>
      </c>
      <c r="X66">
        <f>'Corrected energy balance step 2'!Y71</f>
        <v>0</v>
      </c>
      <c r="Y66">
        <f>'Corrected energy balance step 2'!Z71</f>
        <v>0</v>
      </c>
      <c r="Z66">
        <f>'Corrected energy balance step 2'!AA71</f>
        <v>0</v>
      </c>
      <c r="AA66">
        <f>'Corrected energy balance step 2'!AB71</f>
        <v>0</v>
      </c>
      <c r="AB66">
        <f>'Corrected energy balance step 2'!AC71</f>
        <v>0</v>
      </c>
      <c r="AC66">
        <f>'Corrected energy balance step 2'!AD71</f>
        <v>0</v>
      </c>
      <c r="AD66">
        <f>'Corrected energy balance step 2'!AE71</f>
        <v>0</v>
      </c>
      <c r="AE66">
        <f>'Corrected energy balance step 2'!AF71</f>
        <v>0</v>
      </c>
      <c r="AF66">
        <f>'Corrected energy balance step 2'!AG71</f>
        <v>0</v>
      </c>
      <c r="AG66">
        <f>'Corrected energy balance step 2'!AH71</f>
        <v>0</v>
      </c>
      <c r="AH66">
        <f>'Corrected energy balance step 2'!AI71</f>
        <v>0</v>
      </c>
      <c r="AI66">
        <f>'Corrected energy balance step 2'!AJ71</f>
        <v>0</v>
      </c>
      <c r="AJ66">
        <f>'Corrected energy balance step 2'!AK71</f>
        <v>0</v>
      </c>
      <c r="AK66">
        <f>'Corrected energy balance step 2'!AL71</f>
        <v>0</v>
      </c>
      <c r="AL66">
        <f>'Corrected energy balance step 2'!AM71</f>
        <v>0</v>
      </c>
      <c r="AM66">
        <f>'Corrected energy balance step 2'!AN71</f>
        <v>0</v>
      </c>
      <c r="AN66">
        <f>'Corrected energy balance step 2'!AO71</f>
        <v>0</v>
      </c>
      <c r="AO66">
        <f>'Corrected energy balance step 2'!AP71</f>
        <v>0</v>
      </c>
      <c r="AP66">
        <f>'Corrected energy balance step 2'!AQ71</f>
        <v>0</v>
      </c>
      <c r="AQ66">
        <f>'Corrected energy balance step 2'!AR71</f>
        <v>0</v>
      </c>
      <c r="AR66">
        <f>'Corrected energy balance step 2'!AS71</f>
        <v>0</v>
      </c>
      <c r="AS66">
        <f>'Corrected energy balance step 2'!AT71</f>
        <v>0</v>
      </c>
      <c r="AT66">
        <f>'Corrected energy balance step 2'!AU71</f>
        <v>0</v>
      </c>
      <c r="AU66">
        <f>'Corrected energy balance step 2'!AV71</f>
        <v>0</v>
      </c>
      <c r="AV66">
        <f>'Corrected energy balance step 2'!AW71</f>
        <v>0</v>
      </c>
      <c r="AW66">
        <f>'Corrected energy balance step 2'!AX71</f>
        <v>0</v>
      </c>
      <c r="AX66">
        <f>'Corrected energy balance step 2'!AY71</f>
        <v>0</v>
      </c>
      <c r="AY66">
        <f>'Corrected energy balance step 2'!AZ71</f>
        <v>0</v>
      </c>
      <c r="AZ66">
        <f>'Corrected energy balance step 2'!BA71</f>
        <v>0</v>
      </c>
      <c r="BA66">
        <f>'Corrected energy balance step 2'!BB71</f>
        <v>0</v>
      </c>
      <c r="BB66">
        <f>'Corrected energy balance step 2'!BC71</f>
        <v>0</v>
      </c>
      <c r="BC66">
        <f>'Corrected energy balance step 2'!BD71</f>
        <v>0</v>
      </c>
      <c r="BD66">
        <f>'Corrected energy balance step 2'!BE71</f>
        <v>0</v>
      </c>
      <c r="BE66">
        <f>'Corrected energy balance step 2'!BF71</f>
        <v>0</v>
      </c>
      <c r="BF66">
        <f>'Corrected energy balance step 2'!BG71</f>
        <v>0</v>
      </c>
      <c r="BG66">
        <f>'Corrected energy balance step 2'!BH71</f>
        <v>0</v>
      </c>
      <c r="BH66">
        <f>'Corrected energy balance step 2'!BI71</f>
        <v>0</v>
      </c>
      <c r="BI66">
        <f>'Corrected energy balance step 2'!BJ71</f>
        <v>0</v>
      </c>
      <c r="BJ66">
        <f>'Corrected energy balance step 2'!BK71</f>
        <v>0</v>
      </c>
      <c r="BK66">
        <f>'Corrected energy balance step 2'!BL71</f>
        <v>0</v>
      </c>
      <c r="BL66">
        <f>'Corrected energy balance step 2'!BM71</f>
        <v>0</v>
      </c>
      <c r="BM66">
        <f>'Corrected energy balance step 2'!BN71</f>
        <v>0</v>
      </c>
      <c r="BN66">
        <f>'Corrected energy balance step 2'!BO71</f>
        <v>0</v>
      </c>
    </row>
    <row r="67" spans="1:66" x14ac:dyDescent="0.2">
      <c r="A67" t="s">
        <v>104</v>
      </c>
      <c r="B67">
        <f>'Corrected energy balance step 2'!C72</f>
        <v>0</v>
      </c>
      <c r="C67">
        <f>'Corrected energy balance step 2'!D72</f>
        <v>0</v>
      </c>
      <c r="D67">
        <f>'Corrected energy balance step 2'!E72</f>
        <v>0</v>
      </c>
      <c r="E67">
        <f>'Corrected energy balance step 2'!F72</f>
        <v>0</v>
      </c>
      <c r="F67">
        <f>'Corrected energy balance step 2'!G72</f>
        <v>0</v>
      </c>
      <c r="G67">
        <f>'Corrected energy balance step 2'!H72</f>
        <v>0</v>
      </c>
      <c r="H67">
        <f>'Corrected energy balance step 2'!I72</f>
        <v>0</v>
      </c>
      <c r="I67">
        <f>'Corrected energy balance step 2'!J72</f>
        <v>0</v>
      </c>
      <c r="J67">
        <f>'Corrected energy balance step 2'!K72</f>
        <v>0</v>
      </c>
      <c r="K67">
        <f>'Corrected energy balance step 2'!L72</f>
        <v>0</v>
      </c>
      <c r="L67">
        <f>'Corrected energy balance step 2'!M72</f>
        <v>0</v>
      </c>
      <c r="M67">
        <f>'Corrected energy balance step 2'!N72</f>
        <v>0</v>
      </c>
      <c r="N67">
        <f>'Corrected energy balance step 2'!O72</f>
        <v>0</v>
      </c>
      <c r="O67">
        <f>'Corrected energy balance step 2'!P72</f>
        <v>0</v>
      </c>
      <c r="P67">
        <f>'Corrected energy balance step 2'!Q72</f>
        <v>0</v>
      </c>
      <c r="Q67">
        <f>'Corrected energy balance step 2'!R72</f>
        <v>0</v>
      </c>
      <c r="R67">
        <f>'Corrected energy balance step 2'!S72</f>
        <v>0</v>
      </c>
      <c r="S67">
        <f>'Corrected energy balance step 2'!T72</f>
        <v>0</v>
      </c>
      <c r="T67">
        <f>'Corrected energy balance step 2'!U72</f>
        <v>0</v>
      </c>
      <c r="U67">
        <f>'Corrected energy balance step 2'!V72</f>
        <v>0</v>
      </c>
      <c r="V67">
        <f>'Corrected energy balance step 2'!W72</f>
        <v>0</v>
      </c>
      <c r="W67">
        <f>'Corrected energy balance step 2'!X72</f>
        <v>0</v>
      </c>
      <c r="X67">
        <f>'Corrected energy balance step 2'!Y72</f>
        <v>0</v>
      </c>
      <c r="Y67">
        <f>'Corrected energy balance step 2'!Z72</f>
        <v>0</v>
      </c>
      <c r="Z67">
        <f>'Corrected energy balance step 2'!AA72</f>
        <v>0</v>
      </c>
      <c r="AA67">
        <f>'Corrected energy balance step 2'!AB72</f>
        <v>0</v>
      </c>
      <c r="AB67">
        <f>'Corrected energy balance step 2'!AC72</f>
        <v>0</v>
      </c>
      <c r="AC67">
        <f>'Corrected energy balance step 2'!AD72</f>
        <v>0</v>
      </c>
      <c r="AD67">
        <f>'Corrected energy balance step 2'!AE72</f>
        <v>0</v>
      </c>
      <c r="AE67">
        <f>'Corrected energy balance step 2'!AF72</f>
        <v>0</v>
      </c>
      <c r="AF67">
        <f>'Corrected energy balance step 2'!AG72</f>
        <v>0</v>
      </c>
      <c r="AG67">
        <f>'Corrected energy balance step 2'!AH72</f>
        <v>0</v>
      </c>
      <c r="AH67">
        <f>'Corrected energy balance step 2'!AI72</f>
        <v>0</v>
      </c>
      <c r="AI67">
        <f>'Corrected energy balance step 2'!AJ72</f>
        <v>0</v>
      </c>
      <c r="AJ67">
        <f>'Corrected energy balance step 2'!AK72</f>
        <v>0</v>
      </c>
      <c r="AK67">
        <f>'Corrected energy balance step 2'!AL72</f>
        <v>0</v>
      </c>
      <c r="AL67">
        <f>'Corrected energy balance step 2'!AM72</f>
        <v>0</v>
      </c>
      <c r="AM67">
        <f>'Corrected energy balance step 2'!AN72</f>
        <v>0</v>
      </c>
      <c r="AN67">
        <f>'Corrected energy balance step 2'!AO72</f>
        <v>0</v>
      </c>
      <c r="AO67">
        <f>'Corrected energy balance step 2'!AP72</f>
        <v>0</v>
      </c>
      <c r="AP67">
        <f>'Corrected energy balance step 2'!AQ72</f>
        <v>0</v>
      </c>
      <c r="AQ67">
        <f>'Corrected energy balance step 2'!AR72</f>
        <v>0</v>
      </c>
      <c r="AR67">
        <f>'Corrected energy balance step 2'!AS72</f>
        <v>0</v>
      </c>
      <c r="AS67">
        <f>'Corrected energy balance step 2'!AT72</f>
        <v>0</v>
      </c>
      <c r="AT67">
        <f>'Corrected energy balance step 2'!AU72</f>
        <v>0</v>
      </c>
      <c r="AU67">
        <f>'Corrected energy balance step 2'!AV72</f>
        <v>0</v>
      </c>
      <c r="AV67">
        <f>'Corrected energy balance step 2'!AW72</f>
        <v>0</v>
      </c>
      <c r="AW67">
        <f>'Corrected energy balance step 2'!AX72</f>
        <v>0</v>
      </c>
      <c r="AX67">
        <f>'Corrected energy balance step 2'!AY72</f>
        <v>0</v>
      </c>
      <c r="AY67">
        <f>'Corrected energy balance step 2'!AZ72</f>
        <v>0</v>
      </c>
      <c r="AZ67">
        <f>'Corrected energy balance step 2'!BA72</f>
        <v>0</v>
      </c>
      <c r="BA67">
        <f>'Corrected energy balance step 2'!BB72</f>
        <v>0</v>
      </c>
      <c r="BB67">
        <f>'Corrected energy balance step 2'!BC72</f>
        <v>0</v>
      </c>
      <c r="BC67">
        <f>'Corrected energy balance step 2'!BD72</f>
        <v>0</v>
      </c>
      <c r="BD67">
        <f>'Corrected energy balance step 2'!BE72</f>
        <v>0</v>
      </c>
      <c r="BE67">
        <f>'Corrected energy balance step 2'!BF72</f>
        <v>0</v>
      </c>
      <c r="BF67">
        <f>'Corrected energy balance step 2'!BG72</f>
        <v>0</v>
      </c>
      <c r="BG67">
        <f>'Corrected energy balance step 2'!BH72</f>
        <v>0</v>
      </c>
      <c r="BH67">
        <f>'Corrected energy balance step 2'!BI72</f>
        <v>0</v>
      </c>
      <c r="BI67">
        <f>'Corrected energy balance step 2'!BJ72</f>
        <v>0</v>
      </c>
      <c r="BJ67">
        <f>'Corrected energy balance step 2'!BK72</f>
        <v>0</v>
      </c>
      <c r="BK67">
        <f>'Corrected energy balance step 2'!BL72</f>
        <v>0</v>
      </c>
      <c r="BL67">
        <f>'Corrected energy balance step 2'!BM72</f>
        <v>0</v>
      </c>
      <c r="BM67">
        <f>'Corrected energy balance step 2'!BN72</f>
        <v>0</v>
      </c>
      <c r="BN67">
        <f>'Corrected energy balance step 2'!BO72</f>
        <v>0</v>
      </c>
    </row>
    <row r="68" spans="1:66" x14ac:dyDescent="0.2">
      <c r="A68" t="s">
        <v>105</v>
      </c>
      <c r="B68">
        <f>'Corrected energy balance step 2'!C73</f>
        <v>0</v>
      </c>
      <c r="C68">
        <f>'Corrected energy balance step 2'!D73</f>
        <v>0</v>
      </c>
      <c r="D68">
        <f>'Corrected energy balance step 2'!E73</f>
        <v>0</v>
      </c>
      <c r="E68">
        <f>'Corrected energy balance step 2'!F73</f>
        <v>0</v>
      </c>
      <c r="F68">
        <f>'Corrected energy balance step 2'!G73</f>
        <v>0</v>
      </c>
      <c r="G68">
        <f>'Corrected energy balance step 2'!H73</f>
        <v>0</v>
      </c>
      <c r="H68">
        <f>'Corrected energy balance step 2'!I73</f>
        <v>0</v>
      </c>
      <c r="I68">
        <f>'Corrected energy balance step 2'!J73</f>
        <v>0</v>
      </c>
      <c r="J68">
        <f>'Corrected energy balance step 2'!K73</f>
        <v>0</v>
      </c>
      <c r="K68">
        <f>'Corrected energy balance step 2'!L73</f>
        <v>0</v>
      </c>
      <c r="L68">
        <f>'Corrected energy balance step 2'!M73</f>
        <v>0</v>
      </c>
      <c r="M68">
        <f>'Corrected energy balance step 2'!N73</f>
        <v>0</v>
      </c>
      <c r="N68">
        <f>'Corrected energy balance step 2'!O73</f>
        <v>0</v>
      </c>
      <c r="O68">
        <f>'Corrected energy balance step 2'!P73</f>
        <v>0</v>
      </c>
      <c r="P68">
        <f>'Corrected energy balance step 2'!Q73</f>
        <v>0</v>
      </c>
      <c r="Q68">
        <f>'Corrected energy balance step 2'!R73</f>
        <v>0</v>
      </c>
      <c r="R68">
        <f>'Corrected energy balance step 2'!S73</f>
        <v>0</v>
      </c>
      <c r="S68">
        <f>'Corrected energy balance step 2'!T73</f>
        <v>0</v>
      </c>
      <c r="T68">
        <f>'Corrected energy balance step 2'!U73</f>
        <v>0</v>
      </c>
      <c r="U68">
        <f>'Corrected energy balance step 2'!V73</f>
        <v>0</v>
      </c>
      <c r="V68">
        <f>'Corrected energy balance step 2'!W73</f>
        <v>0</v>
      </c>
      <c r="W68">
        <f>'Corrected energy balance step 2'!X73</f>
        <v>0</v>
      </c>
      <c r="X68">
        <f>'Corrected energy balance step 2'!Y73</f>
        <v>0</v>
      </c>
      <c r="Y68">
        <f>'Corrected energy balance step 2'!Z73</f>
        <v>0</v>
      </c>
      <c r="Z68">
        <f>'Corrected energy balance step 2'!AA73</f>
        <v>0</v>
      </c>
      <c r="AA68">
        <f>'Corrected energy balance step 2'!AB73</f>
        <v>0</v>
      </c>
      <c r="AB68">
        <f>'Corrected energy balance step 2'!AC73</f>
        <v>0</v>
      </c>
      <c r="AC68">
        <f>'Corrected energy balance step 2'!AD73</f>
        <v>0</v>
      </c>
      <c r="AD68">
        <f>'Corrected energy balance step 2'!AE73</f>
        <v>0</v>
      </c>
      <c r="AE68">
        <f>'Corrected energy balance step 2'!AF73</f>
        <v>0</v>
      </c>
      <c r="AF68">
        <f>'Corrected energy balance step 2'!AG73</f>
        <v>0</v>
      </c>
      <c r="AG68">
        <f>'Corrected energy balance step 2'!AH73</f>
        <v>0</v>
      </c>
      <c r="AH68">
        <f>'Corrected energy balance step 2'!AI73</f>
        <v>0</v>
      </c>
      <c r="AI68">
        <f>'Corrected energy balance step 2'!AJ73</f>
        <v>0</v>
      </c>
      <c r="AJ68">
        <f>'Corrected energy balance step 2'!AK73</f>
        <v>0</v>
      </c>
      <c r="AK68">
        <f>'Corrected energy balance step 2'!AL73</f>
        <v>0</v>
      </c>
      <c r="AL68">
        <f>'Corrected energy balance step 2'!AM73</f>
        <v>0</v>
      </c>
      <c r="AM68">
        <f>'Corrected energy balance step 2'!AN73</f>
        <v>0</v>
      </c>
      <c r="AN68">
        <f>'Corrected energy balance step 2'!AO73</f>
        <v>0</v>
      </c>
      <c r="AO68">
        <f>'Corrected energy balance step 2'!AP73</f>
        <v>0</v>
      </c>
      <c r="AP68">
        <f>'Corrected energy balance step 2'!AQ73</f>
        <v>0</v>
      </c>
      <c r="AQ68">
        <f>'Corrected energy balance step 2'!AR73</f>
        <v>0</v>
      </c>
      <c r="AR68">
        <f>'Corrected energy balance step 2'!AS73</f>
        <v>0</v>
      </c>
      <c r="AS68">
        <f>'Corrected energy balance step 2'!AT73</f>
        <v>0</v>
      </c>
      <c r="AT68">
        <f>'Corrected energy balance step 2'!AU73</f>
        <v>0</v>
      </c>
      <c r="AU68">
        <f>'Corrected energy balance step 2'!AV73</f>
        <v>0</v>
      </c>
      <c r="AV68">
        <f>'Corrected energy balance step 2'!AW73</f>
        <v>0</v>
      </c>
      <c r="AW68">
        <f>'Corrected energy balance step 2'!AX73</f>
        <v>0</v>
      </c>
      <c r="AX68">
        <f>'Corrected energy balance step 2'!AY73</f>
        <v>0</v>
      </c>
      <c r="AY68">
        <f>'Corrected energy balance step 2'!AZ73</f>
        <v>0</v>
      </c>
      <c r="AZ68">
        <f>'Corrected energy balance step 2'!BA73</f>
        <v>0</v>
      </c>
      <c r="BA68">
        <f>'Corrected energy balance step 2'!BB73</f>
        <v>0</v>
      </c>
      <c r="BB68">
        <f>'Corrected energy balance step 2'!BC73</f>
        <v>0</v>
      </c>
      <c r="BC68">
        <f>'Corrected energy balance step 2'!BD73</f>
        <v>0</v>
      </c>
      <c r="BD68">
        <f>'Corrected energy balance step 2'!BE73</f>
        <v>0</v>
      </c>
      <c r="BE68">
        <f>'Corrected energy balance step 2'!BF73</f>
        <v>0</v>
      </c>
      <c r="BF68">
        <f>'Corrected energy balance step 2'!BG73</f>
        <v>0</v>
      </c>
      <c r="BG68">
        <f>'Corrected energy balance step 2'!BH73</f>
        <v>0</v>
      </c>
      <c r="BH68">
        <f>'Corrected energy balance step 2'!BI73</f>
        <v>0</v>
      </c>
      <c r="BI68">
        <f>'Corrected energy balance step 2'!BJ73</f>
        <v>0</v>
      </c>
      <c r="BJ68">
        <f>'Corrected energy balance step 2'!BK73</f>
        <v>0</v>
      </c>
      <c r="BK68">
        <f>'Corrected energy balance step 2'!BL73</f>
        <v>0</v>
      </c>
      <c r="BL68">
        <f>'Corrected energy balance step 2'!BM73</f>
        <v>0</v>
      </c>
      <c r="BM68">
        <f>'Corrected energy balance step 2'!BN73</f>
        <v>0</v>
      </c>
      <c r="BN68">
        <f>'Corrected energy balance step 2'!BO73</f>
        <v>0</v>
      </c>
    </row>
    <row r="69" spans="1:66" x14ac:dyDescent="0.2">
      <c r="A69" t="s">
        <v>106</v>
      </c>
      <c r="B69">
        <f>'Corrected energy balance step 2'!C74</f>
        <v>0</v>
      </c>
      <c r="C69">
        <f>'Corrected energy balance step 2'!D74</f>
        <v>0</v>
      </c>
      <c r="D69">
        <f>'Corrected energy balance step 2'!E74</f>
        <v>0</v>
      </c>
      <c r="E69">
        <f>'Corrected energy balance step 2'!F74</f>
        <v>0</v>
      </c>
      <c r="F69">
        <f>'Corrected energy balance step 2'!G74</f>
        <v>0</v>
      </c>
      <c r="G69">
        <f>'Corrected energy balance step 2'!H74</f>
        <v>0</v>
      </c>
      <c r="H69">
        <f>'Corrected energy balance step 2'!I74</f>
        <v>0</v>
      </c>
      <c r="I69">
        <f>'Corrected energy balance step 2'!J74</f>
        <v>0</v>
      </c>
      <c r="J69">
        <f>'Corrected energy balance step 2'!K74</f>
        <v>0</v>
      </c>
      <c r="K69">
        <f>'Corrected energy balance step 2'!L74</f>
        <v>0</v>
      </c>
      <c r="L69">
        <f>'Corrected energy balance step 2'!M74</f>
        <v>0</v>
      </c>
      <c r="M69">
        <f>'Corrected energy balance step 2'!N74</f>
        <v>0</v>
      </c>
      <c r="N69">
        <f>'Corrected energy balance step 2'!O74</f>
        <v>0</v>
      </c>
      <c r="O69">
        <f>'Corrected energy balance step 2'!P74</f>
        <v>0</v>
      </c>
      <c r="P69">
        <f>'Corrected energy balance step 2'!Q74</f>
        <v>0</v>
      </c>
      <c r="Q69">
        <f>'Corrected energy balance step 2'!R74</f>
        <v>0</v>
      </c>
      <c r="R69">
        <f>'Corrected energy balance step 2'!S74</f>
        <v>0</v>
      </c>
      <c r="S69">
        <f>'Corrected energy balance step 2'!T74</f>
        <v>0</v>
      </c>
      <c r="T69">
        <f>'Corrected energy balance step 2'!U74</f>
        <v>0</v>
      </c>
      <c r="U69">
        <f>'Corrected energy balance step 2'!V74</f>
        <v>0</v>
      </c>
      <c r="V69">
        <f>'Corrected energy balance step 2'!W74</f>
        <v>0</v>
      </c>
      <c r="W69">
        <f>'Corrected energy balance step 2'!X74</f>
        <v>0</v>
      </c>
      <c r="X69">
        <f>'Corrected energy balance step 2'!Y74</f>
        <v>0</v>
      </c>
      <c r="Y69">
        <f>'Corrected energy balance step 2'!Z74</f>
        <v>0</v>
      </c>
      <c r="Z69">
        <f>'Corrected energy balance step 2'!AA74</f>
        <v>0</v>
      </c>
      <c r="AA69">
        <f>'Corrected energy balance step 2'!AB74</f>
        <v>0</v>
      </c>
      <c r="AB69">
        <f>'Corrected energy balance step 2'!AC74</f>
        <v>0</v>
      </c>
      <c r="AC69">
        <f>'Corrected energy balance step 2'!AD74</f>
        <v>0</v>
      </c>
      <c r="AD69">
        <f>'Corrected energy balance step 2'!AE74</f>
        <v>0</v>
      </c>
      <c r="AE69">
        <f>'Corrected energy balance step 2'!AF74</f>
        <v>0</v>
      </c>
      <c r="AF69">
        <f>'Corrected energy balance step 2'!AG74</f>
        <v>0</v>
      </c>
      <c r="AG69">
        <f>'Corrected energy balance step 2'!AH74</f>
        <v>0</v>
      </c>
      <c r="AH69">
        <f>'Corrected energy balance step 2'!AI74</f>
        <v>0</v>
      </c>
      <c r="AI69">
        <f>'Corrected energy balance step 2'!AJ74</f>
        <v>0</v>
      </c>
      <c r="AJ69">
        <f>'Corrected energy balance step 2'!AK74</f>
        <v>0</v>
      </c>
      <c r="AK69">
        <f>'Corrected energy balance step 2'!AL74</f>
        <v>0</v>
      </c>
      <c r="AL69">
        <f>'Corrected energy balance step 2'!AM74</f>
        <v>0</v>
      </c>
      <c r="AM69">
        <f>'Corrected energy balance step 2'!AN74</f>
        <v>0</v>
      </c>
      <c r="AN69">
        <f>'Corrected energy balance step 2'!AO74</f>
        <v>0</v>
      </c>
      <c r="AO69">
        <f>'Corrected energy balance step 2'!AP74</f>
        <v>0</v>
      </c>
      <c r="AP69">
        <f>'Corrected energy balance step 2'!AQ74</f>
        <v>0</v>
      </c>
      <c r="AQ69">
        <f>'Corrected energy balance step 2'!AR74</f>
        <v>0</v>
      </c>
      <c r="AR69">
        <f>'Corrected energy balance step 2'!AS74</f>
        <v>0</v>
      </c>
      <c r="AS69">
        <f>'Corrected energy balance step 2'!AT74</f>
        <v>0</v>
      </c>
      <c r="AT69">
        <f>'Corrected energy balance step 2'!AU74</f>
        <v>0</v>
      </c>
      <c r="AU69">
        <f>'Corrected energy balance step 2'!AV74</f>
        <v>0</v>
      </c>
      <c r="AV69">
        <f>'Corrected energy balance step 2'!AW74</f>
        <v>0</v>
      </c>
      <c r="AW69">
        <f>'Corrected energy balance step 2'!AX74</f>
        <v>0</v>
      </c>
      <c r="AX69">
        <f>'Corrected energy balance step 2'!AY74</f>
        <v>0</v>
      </c>
      <c r="AY69">
        <f>'Corrected energy balance step 2'!AZ74</f>
        <v>0</v>
      </c>
      <c r="AZ69">
        <f>'Corrected energy balance step 2'!BA74</f>
        <v>0</v>
      </c>
      <c r="BA69">
        <f>'Corrected energy balance step 2'!BB74</f>
        <v>0</v>
      </c>
      <c r="BB69">
        <f>'Corrected energy balance step 2'!BC74</f>
        <v>0</v>
      </c>
      <c r="BC69">
        <f>'Corrected energy balance step 2'!BD74</f>
        <v>0</v>
      </c>
      <c r="BD69">
        <f>'Corrected energy balance step 2'!BE74</f>
        <v>0</v>
      </c>
      <c r="BE69">
        <f>'Corrected energy balance step 2'!BF74</f>
        <v>0</v>
      </c>
      <c r="BF69">
        <f>'Corrected energy balance step 2'!BG74</f>
        <v>0</v>
      </c>
      <c r="BG69">
        <f>'Corrected energy balance step 2'!BH74</f>
        <v>0</v>
      </c>
      <c r="BH69">
        <f>'Corrected energy balance step 2'!BI74</f>
        <v>0</v>
      </c>
      <c r="BI69">
        <f>'Corrected energy balance step 2'!BJ74</f>
        <v>0</v>
      </c>
      <c r="BJ69">
        <f>'Corrected energy balance step 2'!BK74</f>
        <v>0</v>
      </c>
      <c r="BK69">
        <f>'Corrected energy balance step 2'!BL74</f>
        <v>0</v>
      </c>
      <c r="BL69">
        <f>'Corrected energy balance step 2'!BM74</f>
        <v>0</v>
      </c>
      <c r="BM69">
        <f>'Corrected energy balance step 2'!BN74</f>
        <v>0</v>
      </c>
      <c r="BN69">
        <f>'Corrected energy balance step 2'!BO74</f>
        <v>0</v>
      </c>
    </row>
    <row r="70" spans="1:66" x14ac:dyDescent="0.2">
      <c r="A70" t="s">
        <v>107</v>
      </c>
      <c r="B70">
        <f>'Corrected energy balance step 2'!C75</f>
        <v>0</v>
      </c>
      <c r="C70">
        <f>'Corrected energy balance step 2'!D75</f>
        <v>0</v>
      </c>
      <c r="D70">
        <f>'Corrected energy balance step 2'!E75</f>
        <v>0</v>
      </c>
      <c r="E70">
        <f>'Corrected energy balance step 2'!F75</f>
        <v>0</v>
      </c>
      <c r="F70">
        <f>'Corrected energy balance step 2'!G75</f>
        <v>0</v>
      </c>
      <c r="G70">
        <f>'Corrected energy balance step 2'!H75</f>
        <v>0</v>
      </c>
      <c r="H70">
        <f>'Corrected energy balance step 2'!I75</f>
        <v>0</v>
      </c>
      <c r="I70">
        <f>'Corrected energy balance step 2'!J75</f>
        <v>0</v>
      </c>
      <c r="J70">
        <f>'Corrected energy balance step 2'!K75</f>
        <v>0</v>
      </c>
      <c r="K70">
        <f>'Corrected energy balance step 2'!L75</f>
        <v>0</v>
      </c>
      <c r="L70">
        <f>'Corrected energy balance step 2'!M75</f>
        <v>0</v>
      </c>
      <c r="M70">
        <f>'Corrected energy balance step 2'!N75</f>
        <v>0</v>
      </c>
      <c r="N70">
        <f>'Corrected energy balance step 2'!O75</f>
        <v>0</v>
      </c>
      <c r="O70">
        <f>'Corrected energy balance step 2'!P75</f>
        <v>0</v>
      </c>
      <c r="P70">
        <f>'Corrected energy balance step 2'!Q75</f>
        <v>0</v>
      </c>
      <c r="Q70">
        <f>'Corrected energy balance step 2'!R75</f>
        <v>0</v>
      </c>
      <c r="R70">
        <f>'Corrected energy balance step 2'!S75</f>
        <v>0</v>
      </c>
      <c r="S70">
        <f>'Corrected energy balance step 2'!T75</f>
        <v>0</v>
      </c>
      <c r="T70">
        <f>'Corrected energy balance step 2'!U75</f>
        <v>0</v>
      </c>
      <c r="U70">
        <f>'Corrected energy balance step 2'!V75</f>
        <v>0</v>
      </c>
      <c r="V70">
        <f>'Corrected energy balance step 2'!W75</f>
        <v>0</v>
      </c>
      <c r="W70">
        <f>'Corrected energy balance step 2'!X75</f>
        <v>0</v>
      </c>
      <c r="X70">
        <f>'Corrected energy balance step 2'!Y75</f>
        <v>0</v>
      </c>
      <c r="Y70">
        <f>'Corrected energy balance step 2'!Z75</f>
        <v>0</v>
      </c>
      <c r="Z70">
        <f>'Corrected energy balance step 2'!AA75</f>
        <v>0</v>
      </c>
      <c r="AA70">
        <f>'Corrected energy balance step 2'!AB75</f>
        <v>0</v>
      </c>
      <c r="AB70">
        <f>'Corrected energy balance step 2'!AC75</f>
        <v>0</v>
      </c>
      <c r="AC70">
        <f>'Corrected energy balance step 2'!AD75</f>
        <v>0</v>
      </c>
      <c r="AD70">
        <f>'Corrected energy balance step 2'!AE75</f>
        <v>0</v>
      </c>
      <c r="AE70">
        <f>'Corrected energy balance step 2'!AF75</f>
        <v>0</v>
      </c>
      <c r="AF70">
        <f>'Corrected energy balance step 2'!AG75</f>
        <v>0</v>
      </c>
      <c r="AG70">
        <f>'Corrected energy balance step 2'!AH75</f>
        <v>0</v>
      </c>
      <c r="AH70">
        <f>'Corrected energy balance step 2'!AI75</f>
        <v>0</v>
      </c>
      <c r="AI70">
        <f>'Corrected energy balance step 2'!AJ75</f>
        <v>0</v>
      </c>
      <c r="AJ70">
        <f>'Corrected energy balance step 2'!AK75</f>
        <v>0</v>
      </c>
      <c r="AK70">
        <f>'Corrected energy balance step 2'!AL75</f>
        <v>0</v>
      </c>
      <c r="AL70">
        <f>'Corrected energy balance step 2'!AM75</f>
        <v>0</v>
      </c>
      <c r="AM70">
        <f>'Corrected energy balance step 2'!AN75</f>
        <v>0</v>
      </c>
      <c r="AN70">
        <f>'Corrected energy balance step 2'!AO75</f>
        <v>0</v>
      </c>
      <c r="AO70">
        <f>'Corrected energy balance step 2'!AP75</f>
        <v>0</v>
      </c>
      <c r="AP70">
        <f>'Corrected energy balance step 2'!AQ75</f>
        <v>0</v>
      </c>
      <c r="AQ70">
        <f>'Corrected energy balance step 2'!AR75</f>
        <v>0</v>
      </c>
      <c r="AR70">
        <f>'Corrected energy balance step 2'!AS75</f>
        <v>0</v>
      </c>
      <c r="AS70">
        <f>'Corrected energy balance step 2'!AT75</f>
        <v>0</v>
      </c>
      <c r="AT70">
        <f>'Corrected energy balance step 2'!AU75</f>
        <v>0</v>
      </c>
      <c r="AU70">
        <f>'Corrected energy balance step 2'!AV75</f>
        <v>0</v>
      </c>
      <c r="AV70">
        <f>'Corrected energy balance step 2'!AW75</f>
        <v>0</v>
      </c>
      <c r="AW70">
        <f>'Corrected energy balance step 2'!AX75</f>
        <v>0</v>
      </c>
      <c r="AX70">
        <f>'Corrected energy balance step 2'!AY75</f>
        <v>0</v>
      </c>
      <c r="AY70">
        <f>'Corrected energy balance step 2'!AZ75</f>
        <v>0</v>
      </c>
      <c r="AZ70">
        <f>'Corrected energy balance step 2'!BA75</f>
        <v>0</v>
      </c>
      <c r="BA70">
        <f>'Corrected energy balance step 2'!BB75</f>
        <v>0</v>
      </c>
      <c r="BB70">
        <f>'Corrected energy balance step 2'!BC75</f>
        <v>0</v>
      </c>
      <c r="BC70">
        <f>'Corrected energy balance step 2'!BD75</f>
        <v>0</v>
      </c>
      <c r="BD70">
        <f>'Corrected energy balance step 2'!BE75</f>
        <v>0</v>
      </c>
      <c r="BE70">
        <f>'Corrected energy balance step 2'!BF75</f>
        <v>0</v>
      </c>
      <c r="BF70">
        <f>'Corrected energy balance step 2'!BG75</f>
        <v>0</v>
      </c>
      <c r="BG70">
        <f>'Corrected energy balance step 2'!BH75</f>
        <v>0</v>
      </c>
      <c r="BH70">
        <f>'Corrected energy balance step 2'!BI75</f>
        <v>0</v>
      </c>
      <c r="BI70">
        <f>'Corrected energy balance step 2'!BJ75</f>
        <v>0</v>
      </c>
      <c r="BJ70">
        <f>'Corrected energy balance step 2'!BK75</f>
        <v>0</v>
      </c>
      <c r="BK70">
        <f>'Corrected energy balance step 2'!BL75</f>
        <v>0</v>
      </c>
      <c r="BL70">
        <f>'Corrected energy balance step 2'!BM75</f>
        <v>0</v>
      </c>
      <c r="BM70">
        <f>'Corrected energy balance step 2'!BN75</f>
        <v>0</v>
      </c>
      <c r="BN70">
        <f>'Corrected energy balance step 2'!BO75</f>
        <v>0</v>
      </c>
    </row>
    <row r="71" spans="1:66" x14ac:dyDescent="0.2">
      <c r="A71" t="s">
        <v>108</v>
      </c>
      <c r="B71">
        <f>'Corrected energy balance step 2'!C76</f>
        <v>0</v>
      </c>
      <c r="C71">
        <f>'Corrected energy balance step 2'!D76</f>
        <v>0</v>
      </c>
      <c r="D71">
        <f>'Corrected energy balance step 2'!E76</f>
        <v>0</v>
      </c>
      <c r="E71">
        <f>'Corrected energy balance step 2'!F76</f>
        <v>0</v>
      </c>
      <c r="F71">
        <f>'Corrected energy balance step 2'!G76</f>
        <v>0</v>
      </c>
      <c r="G71">
        <f>'Corrected energy balance step 2'!H76</f>
        <v>0</v>
      </c>
      <c r="H71">
        <f>'Corrected energy balance step 2'!I76</f>
        <v>0</v>
      </c>
      <c r="I71">
        <f>'Corrected energy balance step 2'!J76</f>
        <v>0</v>
      </c>
      <c r="J71">
        <f>'Corrected energy balance step 2'!K76</f>
        <v>0</v>
      </c>
      <c r="K71">
        <f>'Corrected energy balance step 2'!L76</f>
        <v>0</v>
      </c>
      <c r="L71">
        <f>'Corrected energy balance step 2'!M76</f>
        <v>0</v>
      </c>
      <c r="M71">
        <f>'Corrected energy balance step 2'!N76</f>
        <v>0</v>
      </c>
      <c r="N71">
        <f>'Corrected energy balance step 2'!O76</f>
        <v>0</v>
      </c>
      <c r="O71">
        <f>'Corrected energy balance step 2'!P76</f>
        <v>0</v>
      </c>
      <c r="P71">
        <f>'Corrected energy balance step 2'!Q76</f>
        <v>0</v>
      </c>
      <c r="Q71">
        <f>'Corrected energy balance step 2'!R76</f>
        <v>0</v>
      </c>
      <c r="R71">
        <f>'Corrected energy balance step 2'!S76</f>
        <v>0</v>
      </c>
      <c r="S71">
        <f>'Corrected energy balance step 2'!T76</f>
        <v>0</v>
      </c>
      <c r="T71">
        <f>'Corrected energy balance step 2'!U76</f>
        <v>0</v>
      </c>
      <c r="U71">
        <f>'Corrected energy balance step 2'!V76</f>
        <v>0</v>
      </c>
      <c r="V71">
        <f>'Corrected energy balance step 2'!W76</f>
        <v>0</v>
      </c>
      <c r="W71">
        <f>'Corrected energy balance step 2'!X76</f>
        <v>0</v>
      </c>
      <c r="X71">
        <f>'Corrected energy balance step 2'!Y76</f>
        <v>0</v>
      </c>
      <c r="Y71">
        <f>'Corrected energy balance step 2'!Z76</f>
        <v>0</v>
      </c>
      <c r="Z71">
        <f>'Corrected energy balance step 2'!AA76</f>
        <v>0</v>
      </c>
      <c r="AA71">
        <f>'Corrected energy balance step 2'!AB76</f>
        <v>0</v>
      </c>
      <c r="AB71">
        <f>'Corrected energy balance step 2'!AC76</f>
        <v>0</v>
      </c>
      <c r="AC71">
        <f>'Corrected energy balance step 2'!AD76</f>
        <v>0</v>
      </c>
      <c r="AD71">
        <f>'Corrected energy balance step 2'!AE76</f>
        <v>0</v>
      </c>
      <c r="AE71">
        <f>'Corrected energy balance step 2'!AF76</f>
        <v>0</v>
      </c>
      <c r="AF71">
        <f>'Corrected energy balance step 2'!AG76</f>
        <v>0</v>
      </c>
      <c r="AG71">
        <f>'Corrected energy balance step 2'!AH76</f>
        <v>0</v>
      </c>
      <c r="AH71">
        <f>'Corrected energy balance step 2'!AI76</f>
        <v>0</v>
      </c>
      <c r="AI71">
        <f>'Corrected energy balance step 2'!AJ76</f>
        <v>0</v>
      </c>
      <c r="AJ71">
        <f>'Corrected energy balance step 2'!AK76</f>
        <v>0</v>
      </c>
      <c r="AK71">
        <f>'Corrected energy balance step 2'!AL76</f>
        <v>0</v>
      </c>
      <c r="AL71">
        <f>'Corrected energy balance step 2'!AM76</f>
        <v>0</v>
      </c>
      <c r="AM71">
        <f>'Corrected energy balance step 2'!AN76</f>
        <v>0</v>
      </c>
      <c r="AN71">
        <f>'Corrected energy balance step 2'!AO76</f>
        <v>0</v>
      </c>
      <c r="AO71">
        <f>'Corrected energy balance step 2'!AP76</f>
        <v>0</v>
      </c>
      <c r="AP71">
        <f>'Corrected energy balance step 2'!AQ76</f>
        <v>0</v>
      </c>
      <c r="AQ71">
        <f>'Corrected energy balance step 2'!AR76</f>
        <v>0</v>
      </c>
      <c r="AR71">
        <f>'Corrected energy balance step 2'!AS76</f>
        <v>0</v>
      </c>
      <c r="AS71">
        <f>'Corrected energy balance step 2'!AT76</f>
        <v>0</v>
      </c>
      <c r="AT71">
        <f>'Corrected energy balance step 2'!AU76</f>
        <v>0</v>
      </c>
      <c r="AU71">
        <f>'Corrected energy balance step 2'!AV76</f>
        <v>0</v>
      </c>
      <c r="AV71">
        <f>'Corrected energy balance step 2'!AW76</f>
        <v>0</v>
      </c>
      <c r="AW71">
        <f>'Corrected energy balance step 2'!AX76</f>
        <v>0</v>
      </c>
      <c r="AX71">
        <f>'Corrected energy balance step 2'!AY76</f>
        <v>0</v>
      </c>
      <c r="AY71">
        <f>'Corrected energy balance step 2'!AZ76</f>
        <v>0</v>
      </c>
      <c r="AZ71">
        <f>'Corrected energy balance step 2'!BA76</f>
        <v>0</v>
      </c>
      <c r="BA71">
        <f>'Corrected energy balance step 2'!BB76</f>
        <v>0</v>
      </c>
      <c r="BB71">
        <f>'Corrected energy balance step 2'!BC76</f>
        <v>0</v>
      </c>
      <c r="BC71">
        <f>'Corrected energy balance step 2'!BD76</f>
        <v>0</v>
      </c>
      <c r="BD71">
        <f>'Corrected energy balance step 2'!BE76</f>
        <v>0</v>
      </c>
      <c r="BE71">
        <f>'Corrected energy balance step 2'!BF76</f>
        <v>0</v>
      </c>
      <c r="BF71">
        <f>'Corrected energy balance step 2'!BG76</f>
        <v>0</v>
      </c>
      <c r="BG71">
        <f>'Corrected energy balance step 2'!BH76</f>
        <v>0</v>
      </c>
      <c r="BH71">
        <f>'Corrected energy balance step 2'!BI76</f>
        <v>0</v>
      </c>
      <c r="BI71">
        <f>'Corrected energy balance step 2'!BJ76</f>
        <v>0</v>
      </c>
      <c r="BJ71">
        <f>'Corrected energy balance step 2'!BK76</f>
        <v>0</v>
      </c>
      <c r="BK71">
        <f>'Corrected energy balance step 2'!BL76</f>
        <v>0</v>
      </c>
      <c r="BL71">
        <f>'Corrected energy balance step 2'!BM76</f>
        <v>0</v>
      </c>
      <c r="BM71">
        <f>'Corrected energy balance step 2'!BN76</f>
        <v>0</v>
      </c>
      <c r="BN71">
        <f>'Corrected energy balance step 2'!BO76</f>
        <v>0</v>
      </c>
    </row>
    <row r="72" spans="1:66" x14ac:dyDescent="0.2">
      <c r="A72" t="s">
        <v>109</v>
      </c>
      <c r="B72">
        <f>'Corrected energy balance step 2'!C77</f>
        <v>0</v>
      </c>
      <c r="C72">
        <f>'Corrected energy balance step 2'!D77</f>
        <v>0</v>
      </c>
      <c r="D72">
        <f>'Corrected energy balance step 2'!E77</f>
        <v>0</v>
      </c>
      <c r="E72">
        <f>'Corrected energy balance step 2'!F77</f>
        <v>0</v>
      </c>
      <c r="F72">
        <f>'Corrected energy balance step 2'!G77</f>
        <v>0</v>
      </c>
      <c r="G72">
        <f>'Corrected energy balance step 2'!H77</f>
        <v>0</v>
      </c>
      <c r="H72">
        <f>'Corrected energy balance step 2'!I77</f>
        <v>0</v>
      </c>
      <c r="I72">
        <f>'Corrected energy balance step 2'!J77</f>
        <v>0</v>
      </c>
      <c r="J72">
        <f>'Corrected energy balance step 2'!K77</f>
        <v>0</v>
      </c>
      <c r="K72">
        <f>'Corrected energy balance step 2'!L77</f>
        <v>0</v>
      </c>
      <c r="L72">
        <f>'Corrected energy balance step 2'!M77</f>
        <v>0</v>
      </c>
      <c r="M72">
        <f>'Corrected energy balance step 2'!N77</f>
        <v>0</v>
      </c>
      <c r="N72">
        <f>'Corrected energy balance step 2'!O77</f>
        <v>0</v>
      </c>
      <c r="O72">
        <f>'Corrected energy balance step 2'!P77</f>
        <v>0</v>
      </c>
      <c r="P72">
        <f>'Corrected energy balance step 2'!Q77</f>
        <v>0</v>
      </c>
      <c r="Q72">
        <f>'Corrected energy balance step 2'!R77</f>
        <v>0</v>
      </c>
      <c r="R72">
        <f>'Corrected energy balance step 2'!S77</f>
        <v>0</v>
      </c>
      <c r="S72">
        <f>'Corrected energy balance step 2'!T77</f>
        <v>0</v>
      </c>
      <c r="T72">
        <f>'Corrected energy balance step 2'!U77</f>
        <v>0</v>
      </c>
      <c r="U72">
        <f>'Corrected energy balance step 2'!V77</f>
        <v>0</v>
      </c>
      <c r="V72">
        <f>'Corrected energy balance step 2'!W77</f>
        <v>0</v>
      </c>
      <c r="W72">
        <f>'Corrected energy balance step 2'!X77</f>
        <v>0</v>
      </c>
      <c r="X72">
        <f>'Corrected energy balance step 2'!Y77</f>
        <v>0</v>
      </c>
      <c r="Y72">
        <f>'Corrected energy balance step 2'!Z77</f>
        <v>0</v>
      </c>
      <c r="Z72">
        <f>'Corrected energy balance step 2'!AA77</f>
        <v>0</v>
      </c>
      <c r="AA72">
        <f>'Corrected energy balance step 2'!AB77</f>
        <v>0</v>
      </c>
      <c r="AB72">
        <f>'Corrected energy balance step 2'!AC77</f>
        <v>0</v>
      </c>
      <c r="AC72">
        <f>'Corrected energy balance step 2'!AD77</f>
        <v>0</v>
      </c>
      <c r="AD72">
        <f>'Corrected energy balance step 2'!AE77</f>
        <v>0</v>
      </c>
      <c r="AE72">
        <f>'Corrected energy balance step 2'!AF77</f>
        <v>0</v>
      </c>
      <c r="AF72">
        <f>'Corrected energy balance step 2'!AG77</f>
        <v>0</v>
      </c>
      <c r="AG72">
        <f>'Corrected energy balance step 2'!AH77</f>
        <v>0</v>
      </c>
      <c r="AH72">
        <f>'Corrected energy balance step 2'!AI77</f>
        <v>0</v>
      </c>
      <c r="AI72">
        <f>'Corrected energy balance step 2'!AJ77</f>
        <v>0</v>
      </c>
      <c r="AJ72">
        <f>'Corrected energy balance step 2'!AK77</f>
        <v>0</v>
      </c>
      <c r="AK72">
        <f>'Corrected energy balance step 2'!AL77</f>
        <v>0</v>
      </c>
      <c r="AL72">
        <f>'Corrected energy balance step 2'!AM77</f>
        <v>0</v>
      </c>
      <c r="AM72">
        <f>'Corrected energy balance step 2'!AN77</f>
        <v>0</v>
      </c>
      <c r="AN72">
        <f>'Corrected energy balance step 2'!AO77</f>
        <v>0</v>
      </c>
      <c r="AO72">
        <f>'Corrected energy balance step 2'!AP77</f>
        <v>0</v>
      </c>
      <c r="AP72">
        <f>'Corrected energy balance step 2'!AQ77</f>
        <v>0</v>
      </c>
      <c r="AQ72">
        <f>'Corrected energy balance step 2'!AR77</f>
        <v>0</v>
      </c>
      <c r="AR72">
        <f>'Corrected energy balance step 2'!AS77</f>
        <v>0</v>
      </c>
      <c r="AS72">
        <f>'Corrected energy balance step 2'!AT77</f>
        <v>0</v>
      </c>
      <c r="AT72">
        <f>'Corrected energy balance step 2'!AU77</f>
        <v>0</v>
      </c>
      <c r="AU72">
        <f>'Corrected energy balance step 2'!AV77</f>
        <v>0</v>
      </c>
      <c r="AV72">
        <f>'Corrected energy balance step 2'!AW77</f>
        <v>0</v>
      </c>
      <c r="AW72">
        <f>'Corrected energy balance step 2'!AX77</f>
        <v>0</v>
      </c>
      <c r="AX72">
        <f>'Corrected energy balance step 2'!AY77</f>
        <v>0</v>
      </c>
      <c r="AY72">
        <f>'Corrected energy balance step 2'!AZ77</f>
        <v>0</v>
      </c>
      <c r="AZ72">
        <f>'Corrected energy balance step 2'!BA77</f>
        <v>0</v>
      </c>
      <c r="BA72">
        <f>'Corrected energy balance step 2'!BB77</f>
        <v>0</v>
      </c>
      <c r="BB72">
        <f>'Corrected energy balance step 2'!BC77</f>
        <v>0</v>
      </c>
      <c r="BC72">
        <f>'Corrected energy balance step 2'!BD77</f>
        <v>0</v>
      </c>
      <c r="BD72">
        <f>'Corrected energy balance step 2'!BE77</f>
        <v>0</v>
      </c>
      <c r="BE72">
        <f>'Corrected energy balance step 2'!BF77</f>
        <v>0</v>
      </c>
      <c r="BF72">
        <f>'Corrected energy balance step 2'!BG77</f>
        <v>0</v>
      </c>
      <c r="BG72">
        <f>'Corrected energy balance step 2'!BH77</f>
        <v>0</v>
      </c>
      <c r="BH72">
        <f>'Corrected energy balance step 2'!BI77</f>
        <v>0</v>
      </c>
      <c r="BI72">
        <f>'Corrected energy balance step 2'!BJ77</f>
        <v>0</v>
      </c>
      <c r="BJ72">
        <f>'Corrected energy balance step 2'!BK77</f>
        <v>0</v>
      </c>
      <c r="BK72">
        <f>'Corrected energy balance step 2'!BL77</f>
        <v>0</v>
      </c>
      <c r="BL72">
        <f>'Corrected energy balance step 2'!BM77</f>
        <v>0</v>
      </c>
      <c r="BM72">
        <f>'Corrected energy balance step 2'!BN77</f>
        <v>0</v>
      </c>
      <c r="BN72">
        <f>'Corrected energy balance step 2'!BO77</f>
        <v>0</v>
      </c>
    </row>
    <row r="73" spans="1:66" x14ac:dyDescent="0.2">
      <c r="A73" t="s">
        <v>110</v>
      </c>
      <c r="B73">
        <f>'Corrected energy balance step 2'!C78</f>
        <v>0</v>
      </c>
      <c r="C73">
        <f>'Corrected energy balance step 2'!D78</f>
        <v>0</v>
      </c>
      <c r="D73">
        <f>'Corrected energy balance step 2'!E78</f>
        <v>0</v>
      </c>
      <c r="E73">
        <f>'Corrected energy balance step 2'!F78</f>
        <v>0</v>
      </c>
      <c r="F73">
        <f>'Corrected energy balance step 2'!G78</f>
        <v>0</v>
      </c>
      <c r="G73">
        <f>'Corrected energy balance step 2'!H78</f>
        <v>0</v>
      </c>
      <c r="H73">
        <f>'Corrected energy balance step 2'!I78</f>
        <v>0</v>
      </c>
      <c r="I73">
        <f>'Corrected energy balance step 2'!J78</f>
        <v>0</v>
      </c>
      <c r="J73">
        <f>'Corrected energy balance step 2'!K78</f>
        <v>0</v>
      </c>
      <c r="K73">
        <f>'Corrected energy balance step 2'!L78</f>
        <v>0</v>
      </c>
      <c r="L73">
        <f>'Corrected energy balance step 2'!M78</f>
        <v>0</v>
      </c>
      <c r="M73">
        <f>'Corrected energy balance step 2'!N78</f>
        <v>0</v>
      </c>
      <c r="N73">
        <f>'Corrected energy balance step 2'!O78</f>
        <v>0</v>
      </c>
      <c r="O73">
        <f>'Corrected energy balance step 2'!P78</f>
        <v>0</v>
      </c>
      <c r="P73">
        <f>'Corrected energy balance step 2'!Q78</f>
        <v>0</v>
      </c>
      <c r="Q73">
        <f>'Corrected energy balance step 2'!R78</f>
        <v>0</v>
      </c>
      <c r="R73">
        <f>'Corrected energy balance step 2'!S78</f>
        <v>0</v>
      </c>
      <c r="S73">
        <f>'Corrected energy balance step 2'!T78</f>
        <v>0</v>
      </c>
      <c r="T73">
        <f>'Corrected energy balance step 2'!U78</f>
        <v>0</v>
      </c>
      <c r="U73">
        <f>'Corrected energy balance step 2'!V78</f>
        <v>0</v>
      </c>
      <c r="V73">
        <f>'Corrected energy balance step 2'!W78</f>
        <v>0</v>
      </c>
      <c r="W73">
        <f>'Corrected energy balance step 2'!X78</f>
        <v>0</v>
      </c>
      <c r="X73">
        <f>'Corrected energy balance step 2'!Y78</f>
        <v>0</v>
      </c>
      <c r="Y73">
        <f>'Corrected energy balance step 2'!Z78</f>
        <v>0</v>
      </c>
      <c r="Z73">
        <f>'Corrected energy balance step 2'!AA78</f>
        <v>0</v>
      </c>
      <c r="AA73">
        <f>'Corrected energy balance step 2'!AB78</f>
        <v>0</v>
      </c>
      <c r="AB73">
        <f>'Corrected energy balance step 2'!AC78</f>
        <v>0</v>
      </c>
      <c r="AC73">
        <f>'Corrected energy balance step 2'!AD78</f>
        <v>0</v>
      </c>
      <c r="AD73">
        <f>'Corrected energy balance step 2'!AE78</f>
        <v>0</v>
      </c>
      <c r="AE73">
        <f>'Corrected energy balance step 2'!AF78</f>
        <v>0</v>
      </c>
      <c r="AF73">
        <f>'Corrected energy balance step 2'!AG78</f>
        <v>0</v>
      </c>
      <c r="AG73">
        <f>'Corrected energy balance step 2'!AH78</f>
        <v>0</v>
      </c>
      <c r="AH73">
        <f>'Corrected energy balance step 2'!AI78</f>
        <v>0</v>
      </c>
      <c r="AI73">
        <f>'Corrected energy balance step 2'!AJ78</f>
        <v>0</v>
      </c>
      <c r="AJ73">
        <f>'Corrected energy balance step 2'!AK78</f>
        <v>0</v>
      </c>
      <c r="AK73">
        <f>'Corrected energy balance step 2'!AL78</f>
        <v>0</v>
      </c>
      <c r="AL73">
        <f>'Corrected energy balance step 2'!AM78</f>
        <v>0</v>
      </c>
      <c r="AM73">
        <f>'Corrected energy balance step 2'!AN78</f>
        <v>0</v>
      </c>
      <c r="AN73">
        <f>'Corrected energy balance step 2'!AO78</f>
        <v>0</v>
      </c>
      <c r="AO73">
        <f>'Corrected energy balance step 2'!AP78</f>
        <v>0</v>
      </c>
      <c r="AP73">
        <f>'Corrected energy balance step 2'!AQ78</f>
        <v>0</v>
      </c>
      <c r="AQ73">
        <f>'Corrected energy balance step 2'!AR78</f>
        <v>0</v>
      </c>
      <c r="AR73">
        <f>'Corrected energy balance step 2'!AS78</f>
        <v>0</v>
      </c>
      <c r="AS73">
        <f>'Corrected energy balance step 2'!AT78</f>
        <v>0</v>
      </c>
      <c r="AT73">
        <f>'Corrected energy balance step 2'!AU78</f>
        <v>0</v>
      </c>
      <c r="AU73">
        <f>'Corrected energy balance step 2'!AV78</f>
        <v>0</v>
      </c>
      <c r="AV73">
        <f>'Corrected energy balance step 2'!AW78</f>
        <v>0</v>
      </c>
      <c r="AW73">
        <f>'Corrected energy balance step 2'!AX78</f>
        <v>0</v>
      </c>
      <c r="AX73">
        <f>'Corrected energy balance step 2'!AY78</f>
        <v>0</v>
      </c>
      <c r="AY73">
        <f>'Corrected energy balance step 2'!AZ78</f>
        <v>0</v>
      </c>
      <c r="AZ73">
        <f>'Corrected energy balance step 2'!BA78</f>
        <v>0</v>
      </c>
      <c r="BA73">
        <f>'Corrected energy balance step 2'!BB78</f>
        <v>0</v>
      </c>
      <c r="BB73">
        <f>'Corrected energy balance step 2'!BC78</f>
        <v>0</v>
      </c>
      <c r="BC73">
        <f>'Corrected energy balance step 2'!BD78</f>
        <v>0</v>
      </c>
      <c r="BD73">
        <f>'Corrected energy balance step 2'!BE78</f>
        <v>0</v>
      </c>
      <c r="BE73">
        <f>'Corrected energy balance step 2'!BF78</f>
        <v>0</v>
      </c>
      <c r="BF73">
        <f>'Corrected energy balance step 2'!BG78</f>
        <v>0</v>
      </c>
      <c r="BG73">
        <f>'Corrected energy balance step 2'!BH78</f>
        <v>0</v>
      </c>
      <c r="BH73">
        <f>'Corrected energy balance step 2'!BI78</f>
        <v>0</v>
      </c>
      <c r="BI73">
        <f>'Corrected energy balance step 2'!BJ78</f>
        <v>0</v>
      </c>
      <c r="BJ73">
        <f>'Corrected energy balance step 2'!BK78</f>
        <v>0</v>
      </c>
      <c r="BK73">
        <f>'Corrected energy balance step 2'!BL78</f>
        <v>0</v>
      </c>
      <c r="BL73">
        <f>'Corrected energy balance step 2'!BM78</f>
        <v>0</v>
      </c>
      <c r="BM73">
        <f>'Corrected energy balance step 2'!BN78</f>
        <v>0</v>
      </c>
      <c r="BN73">
        <f>'Corrected energy balance step 2'!BO78</f>
        <v>0</v>
      </c>
    </row>
    <row r="74" spans="1:66" x14ac:dyDescent="0.2">
      <c r="A74" t="s">
        <v>111</v>
      </c>
      <c r="B74">
        <f>'Corrected energy balance step 2'!C79</f>
        <v>0</v>
      </c>
      <c r="C74">
        <f>'Corrected energy balance step 2'!D79</f>
        <v>0</v>
      </c>
      <c r="D74">
        <f>'Corrected energy balance step 2'!E79</f>
        <v>0</v>
      </c>
      <c r="E74">
        <f>'Corrected energy balance step 2'!F79</f>
        <v>0</v>
      </c>
      <c r="F74">
        <f>'Corrected energy balance step 2'!G79</f>
        <v>0</v>
      </c>
      <c r="G74">
        <f>'Corrected energy balance step 2'!H79</f>
        <v>0</v>
      </c>
      <c r="H74">
        <f>'Corrected energy balance step 2'!I79</f>
        <v>0</v>
      </c>
      <c r="I74">
        <f>'Corrected energy balance step 2'!J79</f>
        <v>0</v>
      </c>
      <c r="J74">
        <f>'Corrected energy balance step 2'!K79</f>
        <v>0</v>
      </c>
      <c r="K74">
        <f>'Corrected energy balance step 2'!L79</f>
        <v>0</v>
      </c>
      <c r="L74">
        <f>'Corrected energy balance step 2'!M79</f>
        <v>0</v>
      </c>
      <c r="M74">
        <f>'Corrected energy balance step 2'!N79</f>
        <v>0</v>
      </c>
      <c r="N74">
        <f>'Corrected energy balance step 2'!O79</f>
        <v>0</v>
      </c>
      <c r="O74">
        <f>'Corrected energy balance step 2'!P79</f>
        <v>0</v>
      </c>
      <c r="P74">
        <f>'Corrected energy balance step 2'!Q79</f>
        <v>0</v>
      </c>
      <c r="Q74">
        <f>'Corrected energy balance step 2'!R79</f>
        <v>0</v>
      </c>
      <c r="R74">
        <f>'Corrected energy balance step 2'!S79</f>
        <v>0</v>
      </c>
      <c r="S74">
        <f>'Corrected energy balance step 2'!T79</f>
        <v>0</v>
      </c>
      <c r="T74">
        <f>'Corrected energy balance step 2'!U79</f>
        <v>0</v>
      </c>
      <c r="U74">
        <f>'Corrected energy balance step 2'!V79</f>
        <v>0</v>
      </c>
      <c r="V74">
        <f>'Corrected energy balance step 2'!W79</f>
        <v>0</v>
      </c>
      <c r="W74">
        <f>'Corrected energy balance step 2'!X79</f>
        <v>0</v>
      </c>
      <c r="X74">
        <f>'Corrected energy balance step 2'!Y79</f>
        <v>0</v>
      </c>
      <c r="Y74">
        <f>'Corrected energy balance step 2'!Z79</f>
        <v>0</v>
      </c>
      <c r="Z74">
        <f>'Corrected energy balance step 2'!AA79</f>
        <v>0</v>
      </c>
      <c r="AA74">
        <f>'Corrected energy balance step 2'!AB79</f>
        <v>0</v>
      </c>
      <c r="AB74">
        <f>'Corrected energy balance step 2'!AC79</f>
        <v>0</v>
      </c>
      <c r="AC74">
        <f>'Corrected energy balance step 2'!AD79</f>
        <v>0</v>
      </c>
      <c r="AD74">
        <f>'Corrected energy balance step 2'!AE79</f>
        <v>0</v>
      </c>
      <c r="AE74">
        <f>'Corrected energy balance step 2'!AF79</f>
        <v>0</v>
      </c>
      <c r="AF74">
        <f>'Corrected energy balance step 2'!AG79</f>
        <v>0</v>
      </c>
      <c r="AG74">
        <f>'Corrected energy balance step 2'!AH79</f>
        <v>0</v>
      </c>
      <c r="AH74">
        <f>'Corrected energy balance step 2'!AI79</f>
        <v>0</v>
      </c>
      <c r="AI74">
        <f>'Corrected energy balance step 2'!AJ79</f>
        <v>0</v>
      </c>
      <c r="AJ74">
        <f>'Corrected energy balance step 2'!AK79</f>
        <v>0</v>
      </c>
      <c r="AK74">
        <f>'Corrected energy balance step 2'!AL79</f>
        <v>0</v>
      </c>
      <c r="AL74">
        <f>'Corrected energy balance step 2'!AM79</f>
        <v>0</v>
      </c>
      <c r="AM74">
        <f>'Corrected energy balance step 2'!AN79</f>
        <v>0</v>
      </c>
      <c r="AN74">
        <f>'Corrected energy balance step 2'!AO79</f>
        <v>0</v>
      </c>
      <c r="AO74">
        <f>'Corrected energy balance step 2'!AP79</f>
        <v>0</v>
      </c>
      <c r="AP74">
        <f>'Corrected energy balance step 2'!AQ79</f>
        <v>0</v>
      </c>
      <c r="AQ74">
        <f>'Corrected energy balance step 2'!AR79</f>
        <v>0</v>
      </c>
      <c r="AR74">
        <f>'Corrected energy balance step 2'!AS79</f>
        <v>0</v>
      </c>
      <c r="AS74">
        <f>'Corrected energy balance step 2'!AT79</f>
        <v>0</v>
      </c>
      <c r="AT74">
        <f>'Corrected energy balance step 2'!AU79</f>
        <v>0</v>
      </c>
      <c r="AU74">
        <f>'Corrected energy balance step 2'!AV79</f>
        <v>0</v>
      </c>
      <c r="AV74">
        <f>'Corrected energy balance step 2'!AW79</f>
        <v>0</v>
      </c>
      <c r="AW74">
        <f>'Corrected energy balance step 2'!AX79</f>
        <v>0</v>
      </c>
      <c r="AX74">
        <f>'Corrected energy balance step 2'!AY79</f>
        <v>0</v>
      </c>
      <c r="AY74">
        <f>'Corrected energy balance step 2'!AZ79</f>
        <v>0</v>
      </c>
      <c r="AZ74">
        <f>'Corrected energy balance step 2'!BA79</f>
        <v>0</v>
      </c>
      <c r="BA74">
        <f>'Corrected energy balance step 2'!BB79</f>
        <v>0</v>
      </c>
      <c r="BB74">
        <f>'Corrected energy balance step 2'!BC79</f>
        <v>0</v>
      </c>
      <c r="BC74">
        <f>'Corrected energy balance step 2'!BD79</f>
        <v>0</v>
      </c>
      <c r="BD74">
        <f>'Corrected energy balance step 2'!BE79</f>
        <v>0</v>
      </c>
      <c r="BE74">
        <f>'Corrected energy balance step 2'!BF79</f>
        <v>0</v>
      </c>
      <c r="BF74">
        <f>'Corrected energy balance step 2'!BG79</f>
        <v>0</v>
      </c>
      <c r="BG74">
        <f>'Corrected energy balance step 2'!BH79</f>
        <v>0</v>
      </c>
      <c r="BH74">
        <f>'Corrected energy balance step 2'!BI79</f>
        <v>0</v>
      </c>
      <c r="BI74">
        <f>'Corrected energy balance step 2'!BJ79</f>
        <v>0</v>
      </c>
      <c r="BJ74">
        <f>'Corrected energy balance step 2'!BK79</f>
        <v>0</v>
      </c>
      <c r="BK74">
        <f>'Corrected energy balance step 2'!BL79</f>
        <v>0</v>
      </c>
      <c r="BL74">
        <f>'Corrected energy balance step 2'!BM79</f>
        <v>0</v>
      </c>
      <c r="BM74">
        <f>'Corrected energy balance step 2'!BN79</f>
        <v>0</v>
      </c>
      <c r="BN74">
        <f>'Corrected energy balance step 2'!BO79</f>
        <v>0</v>
      </c>
    </row>
    <row r="75" spans="1:66" x14ac:dyDescent="0.2">
      <c r="A75" t="s">
        <v>112</v>
      </c>
      <c r="B75">
        <f>'Corrected energy balance step 2'!C80</f>
        <v>0</v>
      </c>
      <c r="C75">
        <f>'Corrected energy balance step 2'!D80</f>
        <v>0</v>
      </c>
      <c r="D75">
        <f>'Corrected energy balance step 2'!E80</f>
        <v>0</v>
      </c>
      <c r="E75">
        <f>'Corrected energy balance step 2'!F80</f>
        <v>0</v>
      </c>
      <c r="F75">
        <f>'Corrected energy balance step 2'!G80</f>
        <v>0</v>
      </c>
      <c r="G75">
        <f>'Corrected energy balance step 2'!H80</f>
        <v>0</v>
      </c>
      <c r="H75">
        <f>'Corrected energy balance step 2'!I80</f>
        <v>0</v>
      </c>
      <c r="I75">
        <f>'Corrected energy balance step 2'!J80</f>
        <v>0</v>
      </c>
      <c r="J75">
        <f>'Corrected energy balance step 2'!K80</f>
        <v>0</v>
      </c>
      <c r="K75">
        <f>'Corrected energy balance step 2'!L80</f>
        <v>0</v>
      </c>
      <c r="L75">
        <f>'Corrected energy balance step 2'!M80</f>
        <v>0</v>
      </c>
      <c r="M75">
        <f>'Corrected energy balance step 2'!N80</f>
        <v>0</v>
      </c>
      <c r="N75">
        <f>'Corrected energy balance step 2'!O80</f>
        <v>0</v>
      </c>
      <c r="O75">
        <f>'Corrected energy balance step 2'!P80</f>
        <v>0</v>
      </c>
      <c r="P75">
        <f>'Corrected energy balance step 2'!Q80</f>
        <v>0</v>
      </c>
      <c r="Q75">
        <f>'Corrected energy balance step 2'!R80</f>
        <v>0</v>
      </c>
      <c r="R75">
        <f>'Corrected energy balance step 2'!S80</f>
        <v>0</v>
      </c>
      <c r="S75">
        <f>'Corrected energy balance step 2'!T80</f>
        <v>0</v>
      </c>
      <c r="T75">
        <f>'Corrected energy balance step 2'!U80</f>
        <v>0</v>
      </c>
      <c r="U75">
        <f>'Corrected energy balance step 2'!V80</f>
        <v>0</v>
      </c>
      <c r="V75">
        <f>'Corrected energy balance step 2'!W80</f>
        <v>0</v>
      </c>
      <c r="W75">
        <f>'Corrected energy balance step 2'!X80</f>
        <v>0</v>
      </c>
      <c r="X75">
        <f>'Corrected energy balance step 2'!Y80</f>
        <v>0</v>
      </c>
      <c r="Y75">
        <f>'Corrected energy balance step 2'!Z80</f>
        <v>0</v>
      </c>
      <c r="Z75">
        <f>'Corrected energy balance step 2'!AA80</f>
        <v>0</v>
      </c>
      <c r="AA75">
        <f>'Corrected energy balance step 2'!AB80</f>
        <v>0</v>
      </c>
      <c r="AB75">
        <f>'Corrected energy balance step 2'!AC80</f>
        <v>0</v>
      </c>
      <c r="AC75">
        <f>'Corrected energy balance step 2'!AD80</f>
        <v>0</v>
      </c>
      <c r="AD75">
        <f>'Corrected energy balance step 2'!AE80</f>
        <v>0</v>
      </c>
      <c r="AE75">
        <f>'Corrected energy balance step 2'!AF80</f>
        <v>0</v>
      </c>
      <c r="AF75">
        <f>'Corrected energy balance step 2'!AG80</f>
        <v>0</v>
      </c>
      <c r="AG75">
        <f>'Corrected energy balance step 2'!AH80</f>
        <v>0</v>
      </c>
      <c r="AH75">
        <f>'Corrected energy balance step 2'!AI80</f>
        <v>0</v>
      </c>
      <c r="AI75">
        <f>'Corrected energy balance step 2'!AJ80</f>
        <v>0</v>
      </c>
      <c r="AJ75">
        <f>'Corrected energy balance step 2'!AK80</f>
        <v>0</v>
      </c>
      <c r="AK75">
        <f>'Corrected energy balance step 2'!AL80</f>
        <v>0</v>
      </c>
      <c r="AL75">
        <f>'Corrected energy balance step 2'!AM80</f>
        <v>0</v>
      </c>
      <c r="AM75">
        <f>'Corrected energy balance step 2'!AN80</f>
        <v>0</v>
      </c>
      <c r="AN75">
        <f>'Corrected energy balance step 2'!AO80</f>
        <v>0</v>
      </c>
      <c r="AO75">
        <f>'Corrected energy balance step 2'!AP80</f>
        <v>0</v>
      </c>
      <c r="AP75">
        <f>'Corrected energy balance step 2'!AQ80</f>
        <v>0</v>
      </c>
      <c r="AQ75">
        <f>'Corrected energy balance step 2'!AR80</f>
        <v>0</v>
      </c>
      <c r="AR75">
        <f>'Corrected energy balance step 2'!AS80</f>
        <v>0</v>
      </c>
      <c r="AS75">
        <f>'Corrected energy balance step 2'!AT80</f>
        <v>0</v>
      </c>
      <c r="AT75">
        <f>'Corrected energy balance step 2'!AU80</f>
        <v>0</v>
      </c>
      <c r="AU75">
        <f>'Corrected energy balance step 2'!AV80</f>
        <v>0</v>
      </c>
      <c r="AV75">
        <f>'Corrected energy balance step 2'!AW80</f>
        <v>0</v>
      </c>
      <c r="AW75">
        <f>'Corrected energy balance step 2'!AX80</f>
        <v>0</v>
      </c>
      <c r="AX75">
        <f>'Corrected energy balance step 2'!AY80</f>
        <v>0</v>
      </c>
      <c r="AY75">
        <f>'Corrected energy balance step 2'!AZ80</f>
        <v>0</v>
      </c>
      <c r="AZ75">
        <f>'Corrected energy balance step 2'!BA80</f>
        <v>0</v>
      </c>
      <c r="BA75">
        <f>'Corrected energy balance step 2'!BB80</f>
        <v>0</v>
      </c>
      <c r="BB75">
        <f>'Corrected energy balance step 2'!BC80</f>
        <v>0</v>
      </c>
      <c r="BC75">
        <f>'Corrected energy balance step 2'!BD80</f>
        <v>0</v>
      </c>
      <c r="BD75">
        <f>'Corrected energy balance step 2'!BE80</f>
        <v>0</v>
      </c>
      <c r="BE75">
        <f>'Corrected energy balance step 2'!BF80</f>
        <v>0</v>
      </c>
      <c r="BF75">
        <f>'Corrected energy balance step 2'!BG80</f>
        <v>0</v>
      </c>
      <c r="BG75">
        <f>'Corrected energy balance step 2'!BH80</f>
        <v>0</v>
      </c>
      <c r="BH75">
        <f>'Corrected energy balance step 2'!BI80</f>
        <v>0</v>
      </c>
      <c r="BI75">
        <f>'Corrected energy balance step 2'!BJ80</f>
        <v>0</v>
      </c>
      <c r="BJ75">
        <f>'Corrected energy balance step 2'!BK80</f>
        <v>0</v>
      </c>
      <c r="BK75">
        <f>'Corrected energy balance step 2'!BL80</f>
        <v>0</v>
      </c>
      <c r="BL75">
        <f>'Corrected energy balance step 2'!BM80</f>
        <v>0</v>
      </c>
      <c r="BM75">
        <f>'Corrected energy balance step 2'!BN80</f>
        <v>0</v>
      </c>
      <c r="BN75">
        <f>'Corrected energy balance step 2'!BO80</f>
        <v>0</v>
      </c>
    </row>
    <row r="76" spans="1:66" x14ac:dyDescent="0.2">
      <c r="A76" t="s">
        <v>113</v>
      </c>
      <c r="B76">
        <f>'Corrected energy balance step 2'!C81</f>
        <v>0</v>
      </c>
      <c r="C76">
        <f>'Corrected energy balance step 2'!D81</f>
        <v>0</v>
      </c>
      <c r="D76">
        <f>'Corrected energy balance step 2'!E81</f>
        <v>0</v>
      </c>
      <c r="E76">
        <f>'Corrected energy balance step 2'!F81</f>
        <v>0</v>
      </c>
      <c r="F76">
        <f>'Corrected energy balance step 2'!G81</f>
        <v>0</v>
      </c>
      <c r="G76">
        <f>'Corrected energy balance step 2'!H81</f>
        <v>0</v>
      </c>
      <c r="H76">
        <f>'Corrected energy balance step 2'!I81</f>
        <v>0</v>
      </c>
      <c r="I76">
        <f>'Corrected energy balance step 2'!J81</f>
        <v>0</v>
      </c>
      <c r="J76">
        <f>'Corrected energy balance step 2'!K81</f>
        <v>0</v>
      </c>
      <c r="K76">
        <f>'Corrected energy balance step 2'!L81</f>
        <v>0</v>
      </c>
      <c r="L76">
        <f>'Corrected energy balance step 2'!M81</f>
        <v>0</v>
      </c>
      <c r="M76">
        <f>'Corrected energy balance step 2'!N81</f>
        <v>0</v>
      </c>
      <c r="N76">
        <f>'Corrected energy balance step 2'!O81</f>
        <v>0</v>
      </c>
      <c r="O76">
        <f>'Corrected energy balance step 2'!P81</f>
        <v>0</v>
      </c>
      <c r="P76">
        <f>'Corrected energy balance step 2'!Q81</f>
        <v>0</v>
      </c>
      <c r="Q76">
        <f>'Corrected energy balance step 2'!R81</f>
        <v>0</v>
      </c>
      <c r="R76">
        <f>'Corrected energy balance step 2'!S81</f>
        <v>0</v>
      </c>
      <c r="S76">
        <f>'Corrected energy balance step 2'!T81</f>
        <v>0</v>
      </c>
      <c r="T76">
        <f>'Corrected energy balance step 2'!U81</f>
        <v>0</v>
      </c>
      <c r="U76">
        <f>'Corrected energy balance step 2'!V81</f>
        <v>0</v>
      </c>
      <c r="V76">
        <f>'Corrected energy balance step 2'!W81</f>
        <v>0</v>
      </c>
      <c r="W76">
        <f>'Corrected energy balance step 2'!X81</f>
        <v>0</v>
      </c>
      <c r="X76">
        <f>'Corrected energy balance step 2'!Y81</f>
        <v>0</v>
      </c>
      <c r="Y76">
        <f>'Corrected energy balance step 2'!Z81</f>
        <v>0</v>
      </c>
      <c r="Z76">
        <f>'Corrected energy balance step 2'!AA81</f>
        <v>0</v>
      </c>
      <c r="AA76">
        <f>'Corrected energy balance step 2'!AB81</f>
        <v>0</v>
      </c>
      <c r="AB76">
        <f>'Corrected energy balance step 2'!AC81</f>
        <v>0</v>
      </c>
      <c r="AC76">
        <f>'Corrected energy balance step 2'!AD81</f>
        <v>0</v>
      </c>
      <c r="AD76">
        <f>'Corrected energy balance step 2'!AE81</f>
        <v>0</v>
      </c>
      <c r="AE76">
        <f>'Corrected energy balance step 2'!AF81</f>
        <v>0</v>
      </c>
      <c r="AF76">
        <f>'Corrected energy balance step 2'!AG81</f>
        <v>0</v>
      </c>
      <c r="AG76">
        <f>'Corrected energy balance step 2'!AH81</f>
        <v>0</v>
      </c>
      <c r="AH76">
        <f>'Corrected energy balance step 2'!AI81</f>
        <v>0</v>
      </c>
      <c r="AI76">
        <f>'Corrected energy balance step 2'!AJ81</f>
        <v>0</v>
      </c>
      <c r="AJ76">
        <f>'Corrected energy balance step 2'!AK81</f>
        <v>0</v>
      </c>
      <c r="AK76">
        <f>'Corrected energy balance step 2'!AL81</f>
        <v>0</v>
      </c>
      <c r="AL76">
        <f>'Corrected energy balance step 2'!AM81</f>
        <v>0</v>
      </c>
      <c r="AM76">
        <f>'Corrected energy balance step 2'!AN81</f>
        <v>0</v>
      </c>
      <c r="AN76">
        <f>'Corrected energy balance step 2'!AO81</f>
        <v>0</v>
      </c>
      <c r="AO76">
        <f>'Corrected energy balance step 2'!AP81</f>
        <v>0</v>
      </c>
      <c r="AP76">
        <f>'Corrected energy balance step 2'!AQ81</f>
        <v>0</v>
      </c>
      <c r="AQ76">
        <f>'Corrected energy balance step 2'!AR81</f>
        <v>0</v>
      </c>
      <c r="AR76">
        <f>'Corrected energy balance step 2'!AS81</f>
        <v>0</v>
      </c>
      <c r="AS76">
        <f>'Corrected energy balance step 2'!AT81</f>
        <v>0</v>
      </c>
      <c r="AT76">
        <f>'Corrected energy balance step 2'!AU81</f>
        <v>0</v>
      </c>
      <c r="AU76">
        <f>'Corrected energy balance step 2'!AV81</f>
        <v>0</v>
      </c>
      <c r="AV76">
        <f>'Corrected energy balance step 2'!AW81</f>
        <v>0</v>
      </c>
      <c r="AW76">
        <f>'Corrected energy balance step 2'!AX81</f>
        <v>0</v>
      </c>
      <c r="AX76">
        <f>'Corrected energy balance step 2'!AY81</f>
        <v>0</v>
      </c>
      <c r="AY76">
        <f>'Corrected energy balance step 2'!AZ81</f>
        <v>0</v>
      </c>
      <c r="AZ76">
        <f>'Corrected energy balance step 2'!BA81</f>
        <v>0</v>
      </c>
      <c r="BA76">
        <f>'Corrected energy balance step 2'!BB81</f>
        <v>0</v>
      </c>
      <c r="BB76">
        <f>'Corrected energy balance step 2'!BC81</f>
        <v>0</v>
      </c>
      <c r="BC76">
        <f>'Corrected energy balance step 2'!BD81</f>
        <v>0</v>
      </c>
      <c r="BD76">
        <f>'Corrected energy balance step 2'!BE81</f>
        <v>0</v>
      </c>
      <c r="BE76">
        <f>'Corrected energy balance step 2'!BF81</f>
        <v>0</v>
      </c>
      <c r="BF76">
        <f>'Corrected energy balance step 2'!BG81</f>
        <v>0</v>
      </c>
      <c r="BG76">
        <f>'Corrected energy balance step 2'!BH81</f>
        <v>0</v>
      </c>
      <c r="BH76">
        <f>'Corrected energy balance step 2'!BI81</f>
        <v>0</v>
      </c>
      <c r="BI76">
        <f>'Corrected energy balance step 2'!BJ81</f>
        <v>0</v>
      </c>
      <c r="BJ76">
        <f>'Corrected energy balance step 2'!BK81</f>
        <v>0</v>
      </c>
      <c r="BK76">
        <f>'Corrected energy balance step 2'!BL81</f>
        <v>0</v>
      </c>
      <c r="BL76">
        <f>'Corrected energy balance step 2'!BM81</f>
        <v>0</v>
      </c>
      <c r="BM76">
        <f>'Corrected energy balance step 2'!BN81</f>
        <v>0</v>
      </c>
      <c r="BN76">
        <f>'Corrected energy balance step 2'!BO81</f>
        <v>0</v>
      </c>
    </row>
    <row r="77" spans="1:66" x14ac:dyDescent="0.2">
      <c r="A77" t="s">
        <v>114</v>
      </c>
      <c r="B77">
        <f>'Corrected energy balance step 2'!C82</f>
        <v>0</v>
      </c>
      <c r="C77">
        <f>'Corrected energy balance step 2'!D82</f>
        <v>0</v>
      </c>
      <c r="D77">
        <f>'Corrected energy balance step 2'!E82</f>
        <v>0</v>
      </c>
      <c r="E77">
        <f>'Corrected energy balance step 2'!F82</f>
        <v>0</v>
      </c>
      <c r="F77">
        <f>'Corrected energy balance step 2'!G82</f>
        <v>0</v>
      </c>
      <c r="G77">
        <f>'Corrected energy balance step 2'!H82</f>
        <v>0</v>
      </c>
      <c r="H77">
        <f>'Corrected energy balance step 2'!I82</f>
        <v>0</v>
      </c>
      <c r="I77">
        <f>'Corrected energy balance step 2'!J82</f>
        <v>0</v>
      </c>
      <c r="J77">
        <f>'Corrected energy balance step 2'!K82</f>
        <v>0</v>
      </c>
      <c r="K77">
        <f>'Corrected energy balance step 2'!L82</f>
        <v>0</v>
      </c>
      <c r="L77">
        <f>'Corrected energy balance step 2'!M82</f>
        <v>0</v>
      </c>
      <c r="M77">
        <f>'Corrected energy balance step 2'!N82</f>
        <v>0</v>
      </c>
      <c r="N77">
        <f>'Corrected energy balance step 2'!O82</f>
        <v>0</v>
      </c>
      <c r="O77">
        <f>'Corrected energy balance step 2'!P82</f>
        <v>0</v>
      </c>
      <c r="P77">
        <f>'Corrected energy balance step 2'!Q82</f>
        <v>0</v>
      </c>
      <c r="Q77">
        <f>'Corrected energy balance step 2'!R82</f>
        <v>0</v>
      </c>
      <c r="R77">
        <f>'Corrected energy balance step 2'!S82</f>
        <v>0</v>
      </c>
      <c r="S77">
        <f>'Corrected energy balance step 2'!T82</f>
        <v>0</v>
      </c>
      <c r="T77">
        <f>'Corrected energy balance step 2'!U82</f>
        <v>0</v>
      </c>
      <c r="U77">
        <f>'Corrected energy balance step 2'!V82</f>
        <v>0</v>
      </c>
      <c r="V77">
        <f>'Corrected energy balance step 2'!W82</f>
        <v>0</v>
      </c>
      <c r="W77">
        <f>'Corrected energy balance step 2'!X82</f>
        <v>0</v>
      </c>
      <c r="X77">
        <f>'Corrected energy balance step 2'!Y82</f>
        <v>0</v>
      </c>
      <c r="Y77">
        <f>'Corrected energy balance step 2'!Z82</f>
        <v>0</v>
      </c>
      <c r="Z77">
        <f>'Corrected energy balance step 2'!AA82</f>
        <v>0</v>
      </c>
      <c r="AA77">
        <f>'Corrected energy balance step 2'!AB82</f>
        <v>0</v>
      </c>
      <c r="AB77">
        <f>'Corrected energy balance step 2'!AC82</f>
        <v>0</v>
      </c>
      <c r="AC77">
        <f>'Corrected energy balance step 2'!AD82</f>
        <v>0</v>
      </c>
      <c r="AD77">
        <f>'Corrected energy balance step 2'!AE82</f>
        <v>0</v>
      </c>
      <c r="AE77">
        <f>'Corrected energy balance step 2'!AF82</f>
        <v>0</v>
      </c>
      <c r="AF77">
        <f>'Corrected energy balance step 2'!AG82</f>
        <v>0</v>
      </c>
      <c r="AG77">
        <f>'Corrected energy balance step 2'!AH82</f>
        <v>0</v>
      </c>
      <c r="AH77">
        <f>'Corrected energy balance step 2'!AI82</f>
        <v>0</v>
      </c>
      <c r="AI77">
        <f>'Corrected energy balance step 2'!AJ82</f>
        <v>0</v>
      </c>
      <c r="AJ77">
        <f>'Corrected energy balance step 2'!AK82</f>
        <v>0</v>
      </c>
      <c r="AK77">
        <f>'Corrected energy balance step 2'!AL82</f>
        <v>0</v>
      </c>
      <c r="AL77">
        <f>'Corrected energy balance step 2'!AM82</f>
        <v>0</v>
      </c>
      <c r="AM77">
        <f>'Corrected energy balance step 2'!AN82</f>
        <v>0</v>
      </c>
      <c r="AN77">
        <f>'Corrected energy balance step 2'!AO82</f>
        <v>0</v>
      </c>
      <c r="AO77">
        <f>'Corrected energy balance step 2'!AP82</f>
        <v>0</v>
      </c>
      <c r="AP77">
        <f>'Corrected energy balance step 2'!AQ82</f>
        <v>0</v>
      </c>
      <c r="AQ77">
        <f>'Corrected energy balance step 2'!AR82</f>
        <v>0</v>
      </c>
      <c r="AR77">
        <f>'Corrected energy balance step 2'!AS82</f>
        <v>0</v>
      </c>
      <c r="AS77">
        <f>'Corrected energy balance step 2'!AT82</f>
        <v>0</v>
      </c>
      <c r="AT77">
        <f>'Corrected energy balance step 2'!AU82</f>
        <v>0</v>
      </c>
      <c r="AU77">
        <f>'Corrected energy balance step 2'!AV82</f>
        <v>0</v>
      </c>
      <c r="AV77">
        <f>'Corrected energy balance step 2'!AW82</f>
        <v>0</v>
      </c>
      <c r="AW77">
        <f>'Corrected energy balance step 2'!AX82</f>
        <v>0</v>
      </c>
      <c r="AX77">
        <f>'Corrected energy balance step 2'!AY82</f>
        <v>0</v>
      </c>
      <c r="AY77">
        <f>'Corrected energy balance step 2'!AZ82</f>
        <v>0</v>
      </c>
      <c r="AZ77">
        <f>'Corrected energy balance step 2'!BA82</f>
        <v>0</v>
      </c>
      <c r="BA77">
        <f>'Corrected energy balance step 2'!BB82</f>
        <v>0</v>
      </c>
      <c r="BB77">
        <f>'Corrected energy balance step 2'!BC82</f>
        <v>0</v>
      </c>
      <c r="BC77">
        <f>'Corrected energy balance step 2'!BD82</f>
        <v>0</v>
      </c>
      <c r="BD77">
        <f>'Corrected energy balance step 2'!BE82</f>
        <v>0</v>
      </c>
      <c r="BE77">
        <f>'Corrected energy balance step 2'!BF82</f>
        <v>0</v>
      </c>
      <c r="BF77">
        <f>'Corrected energy balance step 2'!BG82</f>
        <v>0</v>
      </c>
      <c r="BG77">
        <f>'Corrected energy balance step 2'!BH82</f>
        <v>0</v>
      </c>
      <c r="BH77">
        <f>'Corrected energy balance step 2'!BI82</f>
        <v>0</v>
      </c>
      <c r="BI77">
        <f>'Corrected energy balance step 2'!BJ82</f>
        <v>0</v>
      </c>
      <c r="BJ77">
        <f>'Corrected energy balance step 2'!BK82</f>
        <v>0</v>
      </c>
      <c r="BK77">
        <f>'Corrected energy balance step 2'!BL82</f>
        <v>0</v>
      </c>
      <c r="BL77">
        <f>'Corrected energy balance step 2'!BM82</f>
        <v>0</v>
      </c>
      <c r="BM77">
        <f>'Corrected energy balance step 2'!BN82</f>
        <v>0</v>
      </c>
      <c r="BN77">
        <f>'Corrected energy balance step 2'!BO82</f>
        <v>0</v>
      </c>
    </row>
    <row r="78" spans="1:66" x14ac:dyDescent="0.2">
      <c r="A78" t="s">
        <v>115</v>
      </c>
      <c r="B78">
        <f>'Corrected energy balance step 2'!C83</f>
        <v>0</v>
      </c>
      <c r="C78">
        <f>'Corrected energy balance step 2'!D83</f>
        <v>0</v>
      </c>
      <c r="D78">
        <f>'Corrected energy balance step 2'!E83</f>
        <v>0</v>
      </c>
      <c r="E78">
        <f>'Corrected energy balance step 2'!F83</f>
        <v>0</v>
      </c>
      <c r="F78">
        <f>'Corrected energy balance step 2'!G83</f>
        <v>0</v>
      </c>
      <c r="G78">
        <f>'Corrected energy balance step 2'!H83</f>
        <v>0</v>
      </c>
      <c r="H78">
        <f>'Corrected energy balance step 2'!I83</f>
        <v>0</v>
      </c>
      <c r="I78">
        <f>'Corrected energy balance step 2'!J83</f>
        <v>0</v>
      </c>
      <c r="J78">
        <f>'Corrected energy balance step 2'!K83</f>
        <v>0</v>
      </c>
      <c r="K78">
        <f>'Corrected energy balance step 2'!L83</f>
        <v>0</v>
      </c>
      <c r="L78">
        <f>'Corrected energy balance step 2'!M83</f>
        <v>0</v>
      </c>
      <c r="M78">
        <f>'Corrected energy balance step 2'!N83</f>
        <v>0</v>
      </c>
      <c r="N78">
        <f>'Corrected energy balance step 2'!O83</f>
        <v>0</v>
      </c>
      <c r="O78">
        <f>'Corrected energy balance step 2'!P83</f>
        <v>0</v>
      </c>
      <c r="P78">
        <f>'Corrected energy balance step 2'!Q83</f>
        <v>0</v>
      </c>
      <c r="Q78">
        <f>'Corrected energy balance step 2'!R83</f>
        <v>0</v>
      </c>
      <c r="R78">
        <f>'Corrected energy balance step 2'!S83</f>
        <v>0</v>
      </c>
      <c r="S78">
        <f>'Corrected energy balance step 2'!T83</f>
        <v>0</v>
      </c>
      <c r="T78">
        <f>'Corrected energy balance step 2'!U83</f>
        <v>0</v>
      </c>
      <c r="U78">
        <f>'Corrected energy balance step 2'!V83</f>
        <v>0</v>
      </c>
      <c r="V78">
        <f>'Corrected energy balance step 2'!W83</f>
        <v>0</v>
      </c>
      <c r="W78">
        <f>'Corrected energy balance step 2'!X83</f>
        <v>0</v>
      </c>
      <c r="X78">
        <f>'Corrected energy balance step 2'!Y83</f>
        <v>0</v>
      </c>
      <c r="Y78">
        <f>'Corrected energy balance step 2'!Z83</f>
        <v>0</v>
      </c>
      <c r="Z78">
        <f>'Corrected energy balance step 2'!AA83</f>
        <v>0</v>
      </c>
      <c r="AA78">
        <f>'Corrected energy balance step 2'!AB83</f>
        <v>0</v>
      </c>
      <c r="AB78">
        <f>'Corrected energy balance step 2'!AC83</f>
        <v>0</v>
      </c>
      <c r="AC78">
        <f>'Corrected energy balance step 2'!AD83</f>
        <v>0</v>
      </c>
      <c r="AD78">
        <f>'Corrected energy balance step 2'!AE83</f>
        <v>0</v>
      </c>
      <c r="AE78">
        <f>'Corrected energy balance step 2'!AF83</f>
        <v>0</v>
      </c>
      <c r="AF78">
        <f>'Corrected energy balance step 2'!AG83</f>
        <v>0</v>
      </c>
      <c r="AG78">
        <f>'Corrected energy balance step 2'!AH83</f>
        <v>0</v>
      </c>
      <c r="AH78">
        <f>'Corrected energy balance step 2'!AI83</f>
        <v>0</v>
      </c>
      <c r="AI78">
        <f>'Corrected energy balance step 2'!AJ83</f>
        <v>0</v>
      </c>
      <c r="AJ78">
        <f>'Corrected energy balance step 2'!AK83</f>
        <v>0</v>
      </c>
      <c r="AK78">
        <f>'Corrected energy balance step 2'!AL83</f>
        <v>0</v>
      </c>
      <c r="AL78">
        <f>'Corrected energy balance step 2'!AM83</f>
        <v>0</v>
      </c>
      <c r="AM78">
        <f>'Corrected energy balance step 2'!AN83</f>
        <v>0</v>
      </c>
      <c r="AN78">
        <f>'Corrected energy balance step 2'!AO83</f>
        <v>0</v>
      </c>
      <c r="AO78">
        <f>'Corrected energy balance step 2'!AP83</f>
        <v>0</v>
      </c>
      <c r="AP78">
        <f>'Corrected energy balance step 2'!AQ83</f>
        <v>0</v>
      </c>
      <c r="AQ78">
        <f>'Corrected energy balance step 2'!AR83</f>
        <v>0</v>
      </c>
      <c r="AR78">
        <f>'Corrected energy balance step 2'!AS83</f>
        <v>0</v>
      </c>
      <c r="AS78">
        <f>'Corrected energy balance step 2'!AT83</f>
        <v>0</v>
      </c>
      <c r="AT78">
        <f>'Corrected energy balance step 2'!AU83</f>
        <v>0</v>
      </c>
      <c r="AU78">
        <f>'Corrected energy balance step 2'!AV83</f>
        <v>0</v>
      </c>
      <c r="AV78">
        <f>'Corrected energy balance step 2'!AW83</f>
        <v>0</v>
      </c>
      <c r="AW78">
        <f>'Corrected energy balance step 2'!AX83</f>
        <v>0</v>
      </c>
      <c r="AX78">
        <f>'Corrected energy balance step 2'!AY83</f>
        <v>0</v>
      </c>
      <c r="AY78">
        <f>'Corrected energy balance step 2'!AZ83</f>
        <v>0</v>
      </c>
      <c r="AZ78">
        <f>'Corrected energy balance step 2'!BA83</f>
        <v>0</v>
      </c>
      <c r="BA78">
        <f>'Corrected energy balance step 2'!BB83</f>
        <v>0</v>
      </c>
      <c r="BB78">
        <f>'Corrected energy balance step 2'!BC83</f>
        <v>0</v>
      </c>
      <c r="BC78">
        <f>'Corrected energy balance step 2'!BD83</f>
        <v>0</v>
      </c>
      <c r="BD78">
        <f>'Corrected energy balance step 2'!BE83</f>
        <v>0</v>
      </c>
      <c r="BE78">
        <f>'Corrected energy balance step 2'!BF83</f>
        <v>0</v>
      </c>
      <c r="BF78">
        <f>'Corrected energy balance step 2'!BG83</f>
        <v>0</v>
      </c>
      <c r="BG78">
        <f>'Corrected energy balance step 2'!BH83</f>
        <v>0</v>
      </c>
      <c r="BH78">
        <f>'Corrected energy balance step 2'!BI83</f>
        <v>0</v>
      </c>
      <c r="BI78">
        <f>'Corrected energy balance step 2'!BJ83</f>
        <v>0</v>
      </c>
      <c r="BJ78">
        <f>'Corrected energy balance step 2'!BK83</f>
        <v>0</v>
      </c>
      <c r="BK78">
        <f>'Corrected energy balance step 2'!BL83</f>
        <v>0</v>
      </c>
      <c r="BL78">
        <f>'Corrected energy balance step 2'!BM83</f>
        <v>0</v>
      </c>
      <c r="BM78">
        <f>'Corrected energy balance step 2'!BN83</f>
        <v>0</v>
      </c>
      <c r="BN78">
        <f>'Corrected energy balance step 2'!BO83</f>
        <v>0</v>
      </c>
    </row>
    <row r="79" spans="1:66" x14ac:dyDescent="0.2">
      <c r="A79" t="s">
        <v>116</v>
      </c>
      <c r="B79">
        <f>'Corrected energy balance step 2'!C84</f>
        <v>0</v>
      </c>
      <c r="C79">
        <f>'Corrected energy balance step 2'!D84</f>
        <v>0</v>
      </c>
      <c r="D79">
        <f>'Corrected energy balance step 2'!E84</f>
        <v>0</v>
      </c>
      <c r="E79">
        <f>'Corrected energy balance step 2'!F84</f>
        <v>0</v>
      </c>
      <c r="F79">
        <f>'Corrected energy balance step 2'!G84</f>
        <v>0</v>
      </c>
      <c r="G79">
        <f>'Corrected energy balance step 2'!H84</f>
        <v>0</v>
      </c>
      <c r="H79">
        <f>'Corrected energy balance step 2'!I84</f>
        <v>0</v>
      </c>
      <c r="I79">
        <f>'Corrected energy balance step 2'!J84</f>
        <v>0</v>
      </c>
      <c r="J79">
        <f>'Corrected energy balance step 2'!K84</f>
        <v>0</v>
      </c>
      <c r="K79">
        <f>'Corrected energy balance step 2'!L84</f>
        <v>0</v>
      </c>
      <c r="L79">
        <f>'Corrected energy balance step 2'!M84</f>
        <v>0</v>
      </c>
      <c r="M79">
        <f>'Corrected energy balance step 2'!N84</f>
        <v>0</v>
      </c>
      <c r="N79">
        <f>'Corrected energy balance step 2'!O84</f>
        <v>0</v>
      </c>
      <c r="O79">
        <f>'Corrected energy balance step 2'!P84</f>
        <v>0</v>
      </c>
      <c r="P79">
        <f>'Corrected energy balance step 2'!Q84</f>
        <v>0</v>
      </c>
      <c r="Q79">
        <f>'Corrected energy balance step 2'!R84</f>
        <v>0</v>
      </c>
      <c r="R79">
        <f>'Corrected energy balance step 2'!S84</f>
        <v>0</v>
      </c>
      <c r="S79">
        <f>'Corrected energy balance step 2'!T84</f>
        <v>0</v>
      </c>
      <c r="T79">
        <f>'Corrected energy balance step 2'!U84</f>
        <v>0</v>
      </c>
      <c r="U79">
        <f>'Corrected energy balance step 2'!V84</f>
        <v>0</v>
      </c>
      <c r="V79">
        <f>'Corrected energy balance step 2'!W84</f>
        <v>0</v>
      </c>
      <c r="W79">
        <f>'Corrected energy balance step 2'!X84</f>
        <v>0</v>
      </c>
      <c r="X79">
        <f>'Corrected energy balance step 2'!Y84</f>
        <v>0</v>
      </c>
      <c r="Y79">
        <f>'Corrected energy balance step 2'!Z84</f>
        <v>0</v>
      </c>
      <c r="Z79">
        <f>'Corrected energy balance step 2'!AA84</f>
        <v>0</v>
      </c>
      <c r="AA79">
        <f>'Corrected energy balance step 2'!AB84</f>
        <v>0</v>
      </c>
      <c r="AB79">
        <f>'Corrected energy balance step 2'!AC84</f>
        <v>0</v>
      </c>
      <c r="AC79">
        <f>'Corrected energy balance step 2'!AD84</f>
        <v>0</v>
      </c>
      <c r="AD79">
        <f>'Corrected energy balance step 2'!AE84</f>
        <v>0</v>
      </c>
      <c r="AE79">
        <f>'Corrected energy balance step 2'!AF84</f>
        <v>0</v>
      </c>
      <c r="AF79">
        <f>'Corrected energy balance step 2'!AG84</f>
        <v>0</v>
      </c>
      <c r="AG79">
        <f>'Corrected energy balance step 2'!AH84</f>
        <v>0</v>
      </c>
      <c r="AH79">
        <f>'Corrected energy balance step 2'!AI84</f>
        <v>0</v>
      </c>
      <c r="AI79">
        <f>'Corrected energy balance step 2'!AJ84</f>
        <v>0</v>
      </c>
      <c r="AJ79">
        <f>'Corrected energy balance step 2'!AK84</f>
        <v>0</v>
      </c>
      <c r="AK79">
        <f>'Corrected energy balance step 2'!AL84</f>
        <v>0</v>
      </c>
      <c r="AL79">
        <f>'Corrected energy balance step 2'!AM84</f>
        <v>0</v>
      </c>
      <c r="AM79">
        <f>'Corrected energy balance step 2'!AN84</f>
        <v>0</v>
      </c>
      <c r="AN79">
        <f>'Corrected energy balance step 2'!AO84</f>
        <v>0</v>
      </c>
      <c r="AO79">
        <f>'Corrected energy balance step 2'!AP84</f>
        <v>0</v>
      </c>
      <c r="AP79">
        <f>'Corrected energy balance step 2'!AQ84</f>
        <v>0</v>
      </c>
      <c r="AQ79">
        <f>'Corrected energy balance step 2'!AR84</f>
        <v>0</v>
      </c>
      <c r="AR79">
        <f>'Corrected energy balance step 2'!AS84</f>
        <v>0</v>
      </c>
      <c r="AS79">
        <f>'Corrected energy balance step 2'!AT84</f>
        <v>0</v>
      </c>
      <c r="AT79">
        <f>'Corrected energy balance step 2'!AU84</f>
        <v>0</v>
      </c>
      <c r="AU79">
        <f>'Corrected energy balance step 2'!AV84</f>
        <v>0</v>
      </c>
      <c r="AV79">
        <f>'Corrected energy balance step 2'!AW84</f>
        <v>0</v>
      </c>
      <c r="AW79">
        <f>'Corrected energy balance step 2'!AX84</f>
        <v>0</v>
      </c>
      <c r="AX79">
        <f>'Corrected energy balance step 2'!AY84</f>
        <v>0</v>
      </c>
      <c r="AY79">
        <f>'Corrected energy balance step 2'!AZ84</f>
        <v>0</v>
      </c>
      <c r="AZ79">
        <f>'Corrected energy balance step 2'!BA84</f>
        <v>0</v>
      </c>
      <c r="BA79">
        <f>'Corrected energy balance step 2'!BB84</f>
        <v>0</v>
      </c>
      <c r="BB79">
        <f>'Corrected energy balance step 2'!BC84</f>
        <v>0</v>
      </c>
      <c r="BC79">
        <f>'Corrected energy balance step 2'!BD84</f>
        <v>0</v>
      </c>
      <c r="BD79">
        <f>'Corrected energy balance step 2'!BE84</f>
        <v>0</v>
      </c>
      <c r="BE79">
        <f>'Corrected energy balance step 2'!BF84</f>
        <v>0</v>
      </c>
      <c r="BF79">
        <f>'Corrected energy balance step 2'!BG84</f>
        <v>0</v>
      </c>
      <c r="BG79">
        <f>'Corrected energy balance step 2'!BH84</f>
        <v>0</v>
      </c>
      <c r="BH79">
        <f>'Corrected energy balance step 2'!BI84</f>
        <v>0</v>
      </c>
      <c r="BI79">
        <f>'Corrected energy balance step 2'!BJ84</f>
        <v>0</v>
      </c>
      <c r="BJ79">
        <f>'Corrected energy balance step 2'!BK84</f>
        <v>0</v>
      </c>
      <c r="BK79">
        <f>'Corrected energy balance step 2'!BL84</f>
        <v>0</v>
      </c>
      <c r="BL79">
        <f>'Corrected energy balance step 2'!BM84</f>
        <v>0</v>
      </c>
      <c r="BM79">
        <f>'Corrected energy balance step 2'!BN84</f>
        <v>0</v>
      </c>
      <c r="BN79">
        <f>'Corrected energy balance step 2'!BO84</f>
        <v>0</v>
      </c>
    </row>
    <row r="80" spans="1:66" x14ac:dyDescent="0.2">
      <c r="A80" t="s">
        <v>117</v>
      </c>
      <c r="B80">
        <f>'Corrected energy balance step 2'!C85</f>
        <v>0</v>
      </c>
      <c r="C80">
        <f>'Corrected energy balance step 2'!D85</f>
        <v>0</v>
      </c>
      <c r="D80">
        <f>'Corrected energy balance step 2'!E85</f>
        <v>0</v>
      </c>
      <c r="E80">
        <f>'Corrected energy balance step 2'!F85</f>
        <v>0</v>
      </c>
      <c r="F80">
        <f>'Corrected energy balance step 2'!G85</f>
        <v>0</v>
      </c>
      <c r="G80">
        <f>'Corrected energy balance step 2'!H85</f>
        <v>0</v>
      </c>
      <c r="H80">
        <f>'Corrected energy balance step 2'!I85</f>
        <v>0</v>
      </c>
      <c r="I80">
        <f>'Corrected energy balance step 2'!J85</f>
        <v>0</v>
      </c>
      <c r="J80">
        <f>'Corrected energy balance step 2'!K85</f>
        <v>0</v>
      </c>
      <c r="K80">
        <f>'Corrected energy balance step 2'!L85</f>
        <v>0</v>
      </c>
      <c r="L80">
        <f>'Corrected energy balance step 2'!M85</f>
        <v>0</v>
      </c>
      <c r="M80">
        <f>'Corrected energy balance step 2'!N85</f>
        <v>0</v>
      </c>
      <c r="N80">
        <f>'Corrected energy balance step 2'!O85</f>
        <v>0</v>
      </c>
      <c r="O80">
        <f>'Corrected energy balance step 2'!P85</f>
        <v>0</v>
      </c>
      <c r="P80">
        <f>'Corrected energy balance step 2'!Q85</f>
        <v>0</v>
      </c>
      <c r="Q80">
        <f>'Corrected energy balance step 2'!R85</f>
        <v>0</v>
      </c>
      <c r="R80">
        <f>'Corrected energy balance step 2'!S85</f>
        <v>0</v>
      </c>
      <c r="S80">
        <f>'Corrected energy balance step 2'!T85</f>
        <v>0</v>
      </c>
      <c r="T80">
        <f>'Corrected energy balance step 2'!U85</f>
        <v>0</v>
      </c>
      <c r="U80">
        <f>'Corrected energy balance step 2'!V85</f>
        <v>0</v>
      </c>
      <c r="V80">
        <f>'Corrected energy balance step 2'!W85</f>
        <v>0</v>
      </c>
      <c r="W80">
        <f>'Corrected energy balance step 2'!X85</f>
        <v>0</v>
      </c>
      <c r="X80">
        <f>'Corrected energy balance step 2'!Y85</f>
        <v>0</v>
      </c>
      <c r="Y80">
        <f>'Corrected energy balance step 2'!Z85</f>
        <v>0</v>
      </c>
      <c r="Z80">
        <f>'Corrected energy balance step 2'!AA85</f>
        <v>0</v>
      </c>
      <c r="AA80">
        <f>'Corrected energy balance step 2'!AB85</f>
        <v>0</v>
      </c>
      <c r="AB80">
        <f>'Corrected energy balance step 2'!AC85</f>
        <v>0</v>
      </c>
      <c r="AC80">
        <f>'Corrected energy balance step 2'!AD85</f>
        <v>0</v>
      </c>
      <c r="AD80">
        <f>'Corrected energy balance step 2'!AE85</f>
        <v>0</v>
      </c>
      <c r="AE80">
        <f>'Corrected energy balance step 2'!AF85</f>
        <v>0</v>
      </c>
      <c r="AF80">
        <f>'Corrected energy balance step 2'!AG85</f>
        <v>0</v>
      </c>
      <c r="AG80">
        <f>'Corrected energy balance step 2'!AH85</f>
        <v>0</v>
      </c>
      <c r="AH80">
        <f>'Corrected energy balance step 2'!AI85</f>
        <v>0</v>
      </c>
      <c r="AI80">
        <f>'Corrected energy balance step 2'!AJ85</f>
        <v>0</v>
      </c>
      <c r="AJ80">
        <f>'Corrected energy balance step 2'!AK85</f>
        <v>0</v>
      </c>
      <c r="AK80">
        <f>'Corrected energy balance step 2'!AL85</f>
        <v>0</v>
      </c>
      <c r="AL80">
        <f>'Corrected energy balance step 2'!AM85</f>
        <v>0</v>
      </c>
      <c r="AM80">
        <f>'Corrected energy balance step 2'!AN85</f>
        <v>0</v>
      </c>
      <c r="AN80">
        <f>'Corrected energy balance step 2'!AO85</f>
        <v>0</v>
      </c>
      <c r="AO80">
        <f>'Corrected energy balance step 2'!AP85</f>
        <v>0</v>
      </c>
      <c r="AP80">
        <f>'Corrected energy balance step 2'!AQ85</f>
        <v>0</v>
      </c>
      <c r="AQ80">
        <f>'Corrected energy balance step 2'!AR85</f>
        <v>0</v>
      </c>
      <c r="AR80">
        <f>'Corrected energy balance step 2'!AS85</f>
        <v>0</v>
      </c>
      <c r="AS80">
        <f>'Corrected energy balance step 2'!AT85</f>
        <v>0</v>
      </c>
      <c r="AT80">
        <f>'Corrected energy balance step 2'!AU85</f>
        <v>0</v>
      </c>
      <c r="AU80">
        <f>'Corrected energy balance step 2'!AV85</f>
        <v>0</v>
      </c>
      <c r="AV80">
        <f>'Corrected energy balance step 2'!AW85</f>
        <v>0</v>
      </c>
      <c r="AW80">
        <f>'Corrected energy balance step 2'!AX85</f>
        <v>0</v>
      </c>
      <c r="AX80">
        <f>'Corrected energy balance step 2'!AY85</f>
        <v>0</v>
      </c>
      <c r="AY80">
        <f>'Corrected energy balance step 2'!AZ85</f>
        <v>0</v>
      </c>
      <c r="AZ80">
        <f>'Corrected energy balance step 2'!BA85</f>
        <v>0</v>
      </c>
      <c r="BA80">
        <f>'Corrected energy balance step 2'!BB85</f>
        <v>0</v>
      </c>
      <c r="BB80">
        <f>'Corrected energy balance step 2'!BC85</f>
        <v>0</v>
      </c>
      <c r="BC80">
        <f>'Corrected energy balance step 2'!BD85</f>
        <v>0</v>
      </c>
      <c r="BD80">
        <f>'Corrected energy balance step 2'!BE85</f>
        <v>0</v>
      </c>
      <c r="BE80">
        <f>'Corrected energy balance step 2'!BF85</f>
        <v>0</v>
      </c>
      <c r="BF80">
        <f>'Corrected energy balance step 2'!BG85</f>
        <v>0</v>
      </c>
      <c r="BG80">
        <f>'Corrected energy balance step 2'!BH85</f>
        <v>0</v>
      </c>
      <c r="BH80">
        <f>'Corrected energy balance step 2'!BI85</f>
        <v>0</v>
      </c>
      <c r="BI80">
        <f>'Corrected energy balance step 2'!BJ85</f>
        <v>0</v>
      </c>
      <c r="BJ80">
        <f>'Corrected energy balance step 2'!BK85</f>
        <v>0</v>
      </c>
      <c r="BK80">
        <f>'Corrected energy balance step 2'!BL85</f>
        <v>0</v>
      </c>
      <c r="BL80">
        <f>'Corrected energy balance step 2'!BM85</f>
        <v>0</v>
      </c>
      <c r="BM80">
        <f>'Corrected energy balance step 2'!BN85</f>
        <v>0</v>
      </c>
      <c r="BN80">
        <f>'Corrected energy balance step 2'!BO85</f>
        <v>0</v>
      </c>
    </row>
    <row r="81" spans="1:66" x14ac:dyDescent="0.2">
      <c r="A81" t="s">
        <v>118</v>
      </c>
      <c r="B81">
        <f>'Corrected energy balance step 2'!C86</f>
        <v>0</v>
      </c>
      <c r="C81">
        <f>'Corrected energy balance step 2'!D86</f>
        <v>0</v>
      </c>
      <c r="D81">
        <f>'Corrected energy balance step 2'!E86</f>
        <v>0</v>
      </c>
      <c r="E81">
        <f>'Corrected energy balance step 2'!F86</f>
        <v>0</v>
      </c>
      <c r="F81">
        <f>'Corrected energy balance step 2'!G86</f>
        <v>0</v>
      </c>
      <c r="G81">
        <f>'Corrected energy balance step 2'!H86</f>
        <v>0</v>
      </c>
      <c r="H81">
        <f>'Corrected energy balance step 2'!I86</f>
        <v>0</v>
      </c>
      <c r="I81">
        <f>'Corrected energy balance step 2'!J86</f>
        <v>0</v>
      </c>
      <c r="J81">
        <f>'Corrected energy balance step 2'!K86</f>
        <v>0</v>
      </c>
      <c r="K81">
        <f>'Corrected energy balance step 2'!L86</f>
        <v>0</v>
      </c>
      <c r="L81">
        <f>'Corrected energy balance step 2'!M86</f>
        <v>0</v>
      </c>
      <c r="M81">
        <f>'Corrected energy balance step 2'!N86</f>
        <v>0</v>
      </c>
      <c r="N81">
        <f>'Corrected energy balance step 2'!O86</f>
        <v>0</v>
      </c>
      <c r="O81">
        <f>'Corrected energy balance step 2'!P86</f>
        <v>0</v>
      </c>
      <c r="P81">
        <f>'Corrected energy balance step 2'!Q86</f>
        <v>0</v>
      </c>
      <c r="Q81">
        <f>'Corrected energy balance step 2'!R86</f>
        <v>0</v>
      </c>
      <c r="R81">
        <f>'Corrected energy balance step 2'!S86</f>
        <v>0</v>
      </c>
      <c r="S81">
        <f>'Corrected energy balance step 2'!T86</f>
        <v>0</v>
      </c>
      <c r="T81">
        <f>'Corrected energy balance step 2'!U86</f>
        <v>0</v>
      </c>
      <c r="U81">
        <f>'Corrected energy balance step 2'!V86</f>
        <v>0</v>
      </c>
      <c r="V81">
        <f>'Corrected energy balance step 2'!W86</f>
        <v>0</v>
      </c>
      <c r="W81">
        <f>'Corrected energy balance step 2'!X86</f>
        <v>0</v>
      </c>
      <c r="X81">
        <f>'Corrected energy balance step 2'!Y86</f>
        <v>0</v>
      </c>
      <c r="Y81">
        <f>'Corrected energy balance step 2'!Z86</f>
        <v>0</v>
      </c>
      <c r="Z81">
        <f>'Corrected energy balance step 2'!AA86</f>
        <v>0</v>
      </c>
      <c r="AA81">
        <f>'Corrected energy balance step 2'!AB86</f>
        <v>0</v>
      </c>
      <c r="AB81">
        <f>'Corrected energy balance step 2'!AC86</f>
        <v>0</v>
      </c>
      <c r="AC81">
        <f>'Corrected energy balance step 2'!AD86</f>
        <v>0</v>
      </c>
      <c r="AD81">
        <f>'Corrected energy balance step 2'!AE86</f>
        <v>0</v>
      </c>
      <c r="AE81">
        <f>'Corrected energy balance step 2'!AF86</f>
        <v>0</v>
      </c>
      <c r="AF81">
        <f>'Corrected energy balance step 2'!AG86</f>
        <v>0</v>
      </c>
      <c r="AG81">
        <f>'Corrected energy balance step 2'!AH86</f>
        <v>0</v>
      </c>
      <c r="AH81">
        <f>'Corrected energy balance step 2'!AI86</f>
        <v>0</v>
      </c>
      <c r="AI81">
        <f>'Corrected energy balance step 2'!AJ86</f>
        <v>0</v>
      </c>
      <c r="AJ81">
        <f>'Corrected energy balance step 2'!AK86</f>
        <v>0</v>
      </c>
      <c r="AK81">
        <f>'Corrected energy balance step 2'!AL86</f>
        <v>0</v>
      </c>
      <c r="AL81">
        <f>'Corrected energy balance step 2'!AM86</f>
        <v>0</v>
      </c>
      <c r="AM81">
        <f>'Corrected energy balance step 2'!AN86</f>
        <v>0</v>
      </c>
      <c r="AN81">
        <f>'Corrected energy balance step 2'!AO86</f>
        <v>0</v>
      </c>
      <c r="AO81">
        <f>'Corrected energy balance step 2'!AP86</f>
        <v>0</v>
      </c>
      <c r="AP81">
        <f>'Corrected energy balance step 2'!AQ86</f>
        <v>0</v>
      </c>
      <c r="AQ81">
        <f>'Corrected energy balance step 2'!AR86</f>
        <v>0</v>
      </c>
      <c r="AR81">
        <f>'Corrected energy balance step 2'!AS86</f>
        <v>0</v>
      </c>
      <c r="AS81">
        <f>'Corrected energy balance step 2'!AT86</f>
        <v>0</v>
      </c>
      <c r="AT81">
        <f>'Corrected energy balance step 2'!AU86</f>
        <v>0</v>
      </c>
      <c r="AU81">
        <f>'Corrected energy balance step 2'!AV86</f>
        <v>0</v>
      </c>
      <c r="AV81">
        <f>'Corrected energy balance step 2'!AW86</f>
        <v>0</v>
      </c>
      <c r="AW81">
        <f>'Corrected energy balance step 2'!AX86</f>
        <v>0</v>
      </c>
      <c r="AX81">
        <f>'Corrected energy balance step 2'!AY86</f>
        <v>0</v>
      </c>
      <c r="AY81">
        <f>'Corrected energy balance step 2'!AZ86</f>
        <v>0</v>
      </c>
      <c r="AZ81">
        <f>'Corrected energy balance step 2'!BA86</f>
        <v>0</v>
      </c>
      <c r="BA81">
        <f>'Corrected energy balance step 2'!BB86</f>
        <v>0</v>
      </c>
      <c r="BB81">
        <f>'Corrected energy balance step 2'!BC86</f>
        <v>0</v>
      </c>
      <c r="BC81">
        <f>'Corrected energy balance step 2'!BD86</f>
        <v>0</v>
      </c>
      <c r="BD81">
        <f>'Corrected energy balance step 2'!BE86</f>
        <v>0</v>
      </c>
      <c r="BE81">
        <f>'Corrected energy balance step 2'!BF86</f>
        <v>0</v>
      </c>
      <c r="BF81">
        <f>'Corrected energy balance step 2'!BG86</f>
        <v>0</v>
      </c>
      <c r="BG81">
        <f>'Corrected energy balance step 2'!BH86</f>
        <v>0</v>
      </c>
      <c r="BH81">
        <f>'Corrected energy balance step 2'!BI86</f>
        <v>0</v>
      </c>
      <c r="BI81">
        <f>'Corrected energy balance step 2'!BJ86</f>
        <v>0</v>
      </c>
      <c r="BJ81">
        <f>'Corrected energy balance step 2'!BK86</f>
        <v>0</v>
      </c>
      <c r="BK81">
        <f>'Corrected energy balance step 2'!BL86</f>
        <v>0</v>
      </c>
      <c r="BL81">
        <f>'Corrected energy balance step 2'!BM86</f>
        <v>0</v>
      </c>
      <c r="BM81">
        <f>'Corrected energy balance step 2'!BN86</f>
        <v>0</v>
      </c>
      <c r="BN81">
        <f>'Corrected energy balance step 2'!BO86</f>
        <v>0</v>
      </c>
    </row>
    <row r="82" spans="1:66" x14ac:dyDescent="0.2">
      <c r="A82" t="s">
        <v>119</v>
      </c>
      <c r="B82">
        <f>'Corrected energy balance step 2'!C87</f>
        <v>0</v>
      </c>
      <c r="C82">
        <f>'Corrected energy balance step 2'!D87</f>
        <v>0</v>
      </c>
      <c r="D82">
        <f>'Corrected energy balance step 2'!E87</f>
        <v>0</v>
      </c>
      <c r="E82">
        <f>'Corrected energy balance step 2'!F87</f>
        <v>0</v>
      </c>
      <c r="F82">
        <f>'Corrected energy balance step 2'!G87</f>
        <v>0</v>
      </c>
      <c r="G82">
        <f>'Corrected energy balance step 2'!H87</f>
        <v>0</v>
      </c>
      <c r="H82">
        <f>'Corrected energy balance step 2'!I87</f>
        <v>0</v>
      </c>
      <c r="I82">
        <f>'Corrected energy balance step 2'!J87</f>
        <v>0</v>
      </c>
      <c r="J82">
        <f>'Corrected energy balance step 2'!K87</f>
        <v>0</v>
      </c>
      <c r="K82">
        <f>'Corrected energy balance step 2'!L87</f>
        <v>0</v>
      </c>
      <c r="L82">
        <f>'Corrected energy balance step 2'!M87</f>
        <v>0</v>
      </c>
      <c r="M82">
        <f>'Corrected energy balance step 2'!N87</f>
        <v>0</v>
      </c>
      <c r="N82">
        <f>'Corrected energy balance step 2'!O87</f>
        <v>0</v>
      </c>
      <c r="O82">
        <f>'Corrected energy balance step 2'!P87</f>
        <v>0</v>
      </c>
      <c r="P82">
        <f>'Corrected energy balance step 2'!Q87</f>
        <v>0</v>
      </c>
      <c r="Q82">
        <f>'Corrected energy balance step 2'!R87</f>
        <v>0</v>
      </c>
      <c r="R82">
        <f>'Corrected energy balance step 2'!S87</f>
        <v>0</v>
      </c>
      <c r="S82">
        <f>'Corrected energy balance step 2'!T87</f>
        <v>0</v>
      </c>
      <c r="T82">
        <f>'Corrected energy balance step 2'!U87</f>
        <v>0</v>
      </c>
      <c r="U82">
        <f>'Corrected energy balance step 2'!V87</f>
        <v>0</v>
      </c>
      <c r="V82">
        <f>'Corrected energy balance step 2'!W87</f>
        <v>0</v>
      </c>
      <c r="W82">
        <f>'Corrected energy balance step 2'!X87</f>
        <v>0</v>
      </c>
      <c r="X82">
        <f>'Corrected energy balance step 2'!Y87</f>
        <v>0</v>
      </c>
      <c r="Y82">
        <f>'Corrected energy balance step 2'!Z87</f>
        <v>0</v>
      </c>
      <c r="Z82">
        <f>'Corrected energy balance step 2'!AA87</f>
        <v>0</v>
      </c>
      <c r="AA82">
        <f>'Corrected energy balance step 2'!AB87</f>
        <v>0</v>
      </c>
      <c r="AB82">
        <f>'Corrected energy balance step 2'!AC87</f>
        <v>0</v>
      </c>
      <c r="AC82">
        <f>'Corrected energy balance step 2'!AD87</f>
        <v>0</v>
      </c>
      <c r="AD82">
        <f>'Corrected energy balance step 2'!AE87</f>
        <v>0</v>
      </c>
      <c r="AE82">
        <f>'Corrected energy balance step 2'!AF87</f>
        <v>0</v>
      </c>
      <c r="AF82">
        <f>'Corrected energy balance step 2'!AG87</f>
        <v>0</v>
      </c>
      <c r="AG82">
        <f>'Corrected energy balance step 2'!AH87</f>
        <v>0</v>
      </c>
      <c r="AH82">
        <f>'Corrected energy balance step 2'!AI87</f>
        <v>0</v>
      </c>
      <c r="AI82">
        <f>'Corrected energy balance step 2'!AJ87</f>
        <v>0</v>
      </c>
      <c r="AJ82">
        <f>'Corrected energy balance step 2'!AK87</f>
        <v>0</v>
      </c>
      <c r="AK82">
        <f>'Corrected energy balance step 2'!AL87</f>
        <v>0</v>
      </c>
      <c r="AL82">
        <f>'Corrected energy balance step 2'!AM87</f>
        <v>0</v>
      </c>
      <c r="AM82">
        <f>'Corrected energy balance step 2'!AN87</f>
        <v>0</v>
      </c>
      <c r="AN82">
        <f>'Corrected energy balance step 2'!AO87</f>
        <v>0</v>
      </c>
      <c r="AO82">
        <f>'Corrected energy balance step 2'!AP87</f>
        <v>0</v>
      </c>
      <c r="AP82">
        <f>'Corrected energy balance step 2'!AQ87</f>
        <v>0</v>
      </c>
      <c r="AQ82">
        <f>'Corrected energy balance step 2'!AR87</f>
        <v>0</v>
      </c>
      <c r="AR82">
        <f>'Corrected energy balance step 2'!AS87</f>
        <v>0</v>
      </c>
      <c r="AS82">
        <f>'Corrected energy balance step 2'!AT87</f>
        <v>0</v>
      </c>
      <c r="AT82">
        <f>'Corrected energy balance step 2'!AU87</f>
        <v>0</v>
      </c>
      <c r="AU82">
        <f>'Corrected energy balance step 2'!AV87</f>
        <v>0</v>
      </c>
      <c r="AV82">
        <f>'Corrected energy balance step 2'!AW87</f>
        <v>0</v>
      </c>
      <c r="AW82">
        <f>'Corrected energy balance step 2'!AX87</f>
        <v>0</v>
      </c>
      <c r="AX82">
        <f>'Corrected energy balance step 2'!AY87</f>
        <v>0</v>
      </c>
      <c r="AY82">
        <f>'Corrected energy balance step 2'!AZ87</f>
        <v>0</v>
      </c>
      <c r="AZ82">
        <f>'Corrected energy balance step 2'!BA87</f>
        <v>0</v>
      </c>
      <c r="BA82">
        <f>'Corrected energy balance step 2'!BB87</f>
        <v>0</v>
      </c>
      <c r="BB82">
        <f>'Corrected energy balance step 2'!BC87</f>
        <v>0</v>
      </c>
      <c r="BC82">
        <f>'Corrected energy balance step 2'!BD87</f>
        <v>0</v>
      </c>
      <c r="BD82">
        <f>'Corrected energy balance step 2'!BE87</f>
        <v>0</v>
      </c>
      <c r="BE82">
        <f>'Corrected energy balance step 2'!BF87</f>
        <v>0</v>
      </c>
      <c r="BF82">
        <f>'Corrected energy balance step 2'!BG87</f>
        <v>0</v>
      </c>
      <c r="BG82">
        <f>'Corrected energy balance step 2'!BH87</f>
        <v>0</v>
      </c>
      <c r="BH82">
        <f>'Corrected energy balance step 2'!BI87</f>
        <v>0</v>
      </c>
      <c r="BI82">
        <f>'Corrected energy balance step 2'!BJ87</f>
        <v>0</v>
      </c>
      <c r="BJ82">
        <f>'Corrected energy balance step 2'!BK87</f>
        <v>0</v>
      </c>
      <c r="BK82">
        <f>'Corrected energy balance step 2'!BL87</f>
        <v>0</v>
      </c>
      <c r="BL82">
        <f>'Corrected energy balance step 2'!BM87</f>
        <v>0</v>
      </c>
      <c r="BM82">
        <f>'Corrected energy balance step 2'!BN87</f>
        <v>0</v>
      </c>
      <c r="BN82">
        <f>'Corrected energy balance step 2'!BO87</f>
        <v>0</v>
      </c>
    </row>
    <row r="83" spans="1:66" x14ac:dyDescent="0.2">
      <c r="A83" t="s">
        <v>120</v>
      </c>
      <c r="B83">
        <f>'Corrected energy balance step 2'!C88</f>
        <v>0</v>
      </c>
      <c r="C83">
        <f>'Corrected energy balance step 2'!D88</f>
        <v>0</v>
      </c>
      <c r="D83">
        <f>'Corrected energy balance step 2'!E88</f>
        <v>0</v>
      </c>
      <c r="E83">
        <f>'Corrected energy balance step 2'!F88</f>
        <v>0</v>
      </c>
      <c r="F83">
        <f>'Corrected energy balance step 2'!G88</f>
        <v>0</v>
      </c>
      <c r="G83">
        <f>'Corrected energy balance step 2'!H88</f>
        <v>0</v>
      </c>
      <c r="H83">
        <f>'Corrected energy balance step 2'!I88</f>
        <v>0</v>
      </c>
      <c r="I83">
        <f>'Corrected energy balance step 2'!J88</f>
        <v>0</v>
      </c>
      <c r="J83">
        <f>'Corrected energy balance step 2'!K88</f>
        <v>0</v>
      </c>
      <c r="K83">
        <f>'Corrected energy balance step 2'!L88</f>
        <v>0</v>
      </c>
      <c r="L83">
        <f>'Corrected energy balance step 2'!M88</f>
        <v>0</v>
      </c>
      <c r="M83">
        <f>'Corrected energy balance step 2'!N88</f>
        <v>0</v>
      </c>
      <c r="N83">
        <f>'Corrected energy balance step 2'!O88</f>
        <v>0</v>
      </c>
      <c r="O83">
        <f>'Corrected energy balance step 2'!P88</f>
        <v>0</v>
      </c>
      <c r="P83">
        <f>'Corrected energy balance step 2'!Q88</f>
        <v>0</v>
      </c>
      <c r="Q83">
        <f>'Corrected energy balance step 2'!R88</f>
        <v>0</v>
      </c>
      <c r="R83">
        <f>'Corrected energy balance step 2'!S88</f>
        <v>0</v>
      </c>
      <c r="S83">
        <f>'Corrected energy balance step 2'!T88</f>
        <v>0</v>
      </c>
      <c r="T83">
        <f>'Corrected energy balance step 2'!U88</f>
        <v>0</v>
      </c>
      <c r="U83">
        <f>'Corrected energy balance step 2'!V88</f>
        <v>0</v>
      </c>
      <c r="V83">
        <f>'Corrected energy balance step 2'!W88</f>
        <v>0</v>
      </c>
      <c r="W83">
        <f>'Corrected energy balance step 2'!X88</f>
        <v>0</v>
      </c>
      <c r="X83">
        <f>'Corrected energy balance step 2'!Y88</f>
        <v>0</v>
      </c>
      <c r="Y83">
        <f>'Corrected energy balance step 2'!Z88</f>
        <v>0</v>
      </c>
      <c r="Z83">
        <f>'Corrected energy balance step 2'!AA88</f>
        <v>0</v>
      </c>
      <c r="AA83">
        <f>'Corrected energy balance step 2'!AB88</f>
        <v>0</v>
      </c>
      <c r="AB83">
        <f>'Corrected energy balance step 2'!AC88</f>
        <v>0</v>
      </c>
      <c r="AC83">
        <f>'Corrected energy balance step 2'!AD88</f>
        <v>0</v>
      </c>
      <c r="AD83">
        <f>'Corrected energy balance step 2'!AE88</f>
        <v>0</v>
      </c>
      <c r="AE83">
        <f>'Corrected energy balance step 2'!AF88</f>
        <v>0</v>
      </c>
      <c r="AF83">
        <f>'Corrected energy balance step 2'!AG88</f>
        <v>0</v>
      </c>
      <c r="AG83">
        <f>'Corrected energy balance step 2'!AH88</f>
        <v>0</v>
      </c>
      <c r="AH83">
        <f>'Corrected energy balance step 2'!AI88</f>
        <v>0</v>
      </c>
      <c r="AI83">
        <f>'Corrected energy balance step 2'!AJ88</f>
        <v>0</v>
      </c>
      <c r="AJ83">
        <f>'Corrected energy balance step 2'!AK88</f>
        <v>0</v>
      </c>
      <c r="AK83">
        <f>'Corrected energy balance step 2'!AL88</f>
        <v>0</v>
      </c>
      <c r="AL83">
        <f>'Corrected energy balance step 2'!AM88</f>
        <v>0</v>
      </c>
      <c r="AM83">
        <f>'Corrected energy balance step 2'!AN88</f>
        <v>0</v>
      </c>
      <c r="AN83">
        <f>'Corrected energy balance step 2'!AO88</f>
        <v>0</v>
      </c>
      <c r="AO83">
        <f>'Corrected energy balance step 2'!AP88</f>
        <v>0</v>
      </c>
      <c r="AP83">
        <f>'Corrected energy balance step 2'!AQ88</f>
        <v>0</v>
      </c>
      <c r="AQ83">
        <f>'Corrected energy balance step 2'!AR88</f>
        <v>0</v>
      </c>
      <c r="AR83">
        <f>'Corrected energy balance step 2'!AS88</f>
        <v>0</v>
      </c>
      <c r="AS83">
        <f>'Corrected energy balance step 2'!AT88</f>
        <v>0</v>
      </c>
      <c r="AT83">
        <f>'Corrected energy balance step 2'!AU88</f>
        <v>0</v>
      </c>
      <c r="AU83">
        <f>'Corrected energy balance step 2'!AV88</f>
        <v>0</v>
      </c>
      <c r="AV83">
        <f>'Corrected energy balance step 2'!AW88</f>
        <v>0</v>
      </c>
      <c r="AW83">
        <f>'Corrected energy balance step 2'!AX88</f>
        <v>0</v>
      </c>
      <c r="AX83">
        <f>'Corrected energy balance step 2'!AY88</f>
        <v>0</v>
      </c>
      <c r="AY83">
        <f>'Corrected energy balance step 2'!AZ88</f>
        <v>0</v>
      </c>
      <c r="AZ83">
        <f>'Corrected energy balance step 2'!BA88</f>
        <v>0</v>
      </c>
      <c r="BA83">
        <f>'Corrected energy balance step 2'!BB88</f>
        <v>0</v>
      </c>
      <c r="BB83">
        <f>'Corrected energy balance step 2'!BC88</f>
        <v>0</v>
      </c>
      <c r="BC83">
        <f>'Corrected energy balance step 2'!BD88</f>
        <v>0</v>
      </c>
      <c r="BD83">
        <f>'Corrected energy balance step 2'!BE88</f>
        <v>0</v>
      </c>
      <c r="BE83">
        <f>'Corrected energy balance step 2'!BF88</f>
        <v>0</v>
      </c>
      <c r="BF83">
        <f>'Corrected energy balance step 2'!BG88</f>
        <v>0</v>
      </c>
      <c r="BG83">
        <f>'Corrected energy balance step 2'!BH88</f>
        <v>0</v>
      </c>
      <c r="BH83">
        <f>'Corrected energy balance step 2'!BI88</f>
        <v>0</v>
      </c>
      <c r="BI83">
        <f>'Corrected energy balance step 2'!BJ88</f>
        <v>0</v>
      </c>
      <c r="BJ83">
        <f>'Corrected energy balance step 2'!BK88</f>
        <v>0</v>
      </c>
      <c r="BK83">
        <f>'Corrected energy balance step 2'!BL88</f>
        <v>0</v>
      </c>
      <c r="BL83">
        <f>'Corrected energy balance step 2'!BM88</f>
        <v>0</v>
      </c>
      <c r="BM83">
        <f>'Corrected energy balance step 2'!BN88</f>
        <v>0</v>
      </c>
      <c r="BN83">
        <f>'Corrected energy balance step 2'!BO88</f>
        <v>0</v>
      </c>
    </row>
    <row r="84" spans="1:66" x14ac:dyDescent="0.2">
      <c r="A84" t="s">
        <v>121</v>
      </c>
      <c r="B84">
        <f>'Corrected energy balance step 2'!C89</f>
        <v>0</v>
      </c>
      <c r="C84">
        <f>'Corrected energy balance step 2'!D89</f>
        <v>0</v>
      </c>
      <c r="D84">
        <f>'Corrected energy balance step 2'!E89</f>
        <v>0</v>
      </c>
      <c r="E84">
        <f>'Corrected energy balance step 2'!F89</f>
        <v>0</v>
      </c>
      <c r="F84">
        <f>'Corrected energy balance step 2'!G89</f>
        <v>0</v>
      </c>
      <c r="G84">
        <f>'Corrected energy balance step 2'!H89</f>
        <v>0</v>
      </c>
      <c r="H84">
        <f>'Corrected energy balance step 2'!I89</f>
        <v>0</v>
      </c>
      <c r="I84">
        <f>'Corrected energy balance step 2'!J89</f>
        <v>0</v>
      </c>
      <c r="J84">
        <f>'Corrected energy balance step 2'!K89</f>
        <v>0</v>
      </c>
      <c r="K84">
        <f>'Corrected energy balance step 2'!L89</f>
        <v>0</v>
      </c>
      <c r="L84">
        <f>'Corrected energy balance step 2'!M89</f>
        <v>0</v>
      </c>
      <c r="M84">
        <f>'Corrected energy balance step 2'!N89</f>
        <v>0</v>
      </c>
      <c r="N84">
        <f>'Corrected energy balance step 2'!O89</f>
        <v>0</v>
      </c>
      <c r="O84">
        <f>'Corrected energy balance step 2'!P89</f>
        <v>0</v>
      </c>
      <c r="P84">
        <f>'Corrected energy balance step 2'!Q89</f>
        <v>0</v>
      </c>
      <c r="Q84">
        <f>'Corrected energy balance step 2'!R89</f>
        <v>0</v>
      </c>
      <c r="R84">
        <f>'Corrected energy balance step 2'!S89</f>
        <v>0</v>
      </c>
      <c r="S84">
        <f>'Corrected energy balance step 2'!T89</f>
        <v>0</v>
      </c>
      <c r="T84">
        <f>'Corrected energy balance step 2'!U89</f>
        <v>0</v>
      </c>
      <c r="U84">
        <f>'Corrected energy balance step 2'!V89</f>
        <v>0</v>
      </c>
      <c r="V84">
        <f>'Corrected energy balance step 2'!W89</f>
        <v>0</v>
      </c>
      <c r="W84">
        <f>'Corrected energy balance step 2'!X89</f>
        <v>0</v>
      </c>
      <c r="X84">
        <f>'Corrected energy balance step 2'!Y89</f>
        <v>0</v>
      </c>
      <c r="Y84">
        <f>'Corrected energy balance step 2'!Z89</f>
        <v>0</v>
      </c>
      <c r="Z84">
        <f>'Corrected energy balance step 2'!AA89</f>
        <v>0</v>
      </c>
      <c r="AA84">
        <f>'Corrected energy balance step 2'!AB89</f>
        <v>0</v>
      </c>
      <c r="AB84">
        <f>'Corrected energy balance step 2'!AC89</f>
        <v>0</v>
      </c>
      <c r="AC84">
        <f>'Corrected energy balance step 2'!AD89</f>
        <v>0</v>
      </c>
      <c r="AD84">
        <f>'Corrected energy balance step 2'!AE89</f>
        <v>0</v>
      </c>
      <c r="AE84">
        <f>'Corrected energy balance step 2'!AF89</f>
        <v>0</v>
      </c>
      <c r="AF84">
        <f>'Corrected energy balance step 2'!AG89</f>
        <v>0</v>
      </c>
      <c r="AG84">
        <f>'Corrected energy balance step 2'!AH89</f>
        <v>0</v>
      </c>
      <c r="AH84">
        <f>'Corrected energy balance step 2'!AI89</f>
        <v>0</v>
      </c>
      <c r="AI84">
        <f>'Corrected energy balance step 2'!AJ89</f>
        <v>0</v>
      </c>
      <c r="AJ84">
        <f>'Corrected energy balance step 2'!AK89</f>
        <v>0</v>
      </c>
      <c r="AK84">
        <f>'Corrected energy balance step 2'!AL89</f>
        <v>0</v>
      </c>
      <c r="AL84">
        <f>'Corrected energy balance step 2'!AM89</f>
        <v>0</v>
      </c>
      <c r="AM84">
        <f>'Corrected energy balance step 2'!AN89</f>
        <v>0</v>
      </c>
      <c r="AN84">
        <f>'Corrected energy balance step 2'!AO89</f>
        <v>0</v>
      </c>
      <c r="AO84">
        <f>'Corrected energy balance step 2'!AP89</f>
        <v>0</v>
      </c>
      <c r="AP84">
        <f>'Corrected energy balance step 2'!AQ89</f>
        <v>0</v>
      </c>
      <c r="AQ84">
        <f>'Corrected energy balance step 2'!AR89</f>
        <v>0</v>
      </c>
      <c r="AR84">
        <f>'Corrected energy balance step 2'!AS89</f>
        <v>0</v>
      </c>
      <c r="AS84">
        <f>'Corrected energy balance step 2'!AT89</f>
        <v>0</v>
      </c>
      <c r="AT84">
        <f>'Corrected energy balance step 2'!AU89</f>
        <v>0</v>
      </c>
      <c r="AU84">
        <f>'Corrected energy balance step 2'!AV89</f>
        <v>0</v>
      </c>
      <c r="AV84">
        <f>'Corrected energy balance step 2'!AW89</f>
        <v>0</v>
      </c>
      <c r="AW84">
        <f>'Corrected energy balance step 2'!AX89</f>
        <v>0</v>
      </c>
      <c r="AX84">
        <f>'Corrected energy balance step 2'!AY89</f>
        <v>0</v>
      </c>
      <c r="AY84">
        <f>'Corrected energy balance step 2'!AZ89</f>
        <v>0</v>
      </c>
      <c r="AZ84">
        <f>'Corrected energy balance step 2'!BA89</f>
        <v>0</v>
      </c>
      <c r="BA84">
        <f>'Corrected energy balance step 2'!BB89</f>
        <v>0</v>
      </c>
      <c r="BB84">
        <f>'Corrected energy balance step 2'!BC89</f>
        <v>0</v>
      </c>
      <c r="BC84">
        <f>'Corrected energy balance step 2'!BD89</f>
        <v>0</v>
      </c>
      <c r="BD84">
        <f>'Corrected energy balance step 2'!BE89</f>
        <v>0</v>
      </c>
      <c r="BE84">
        <f>'Corrected energy balance step 2'!BF89</f>
        <v>0</v>
      </c>
      <c r="BF84">
        <f>'Corrected energy balance step 2'!BG89</f>
        <v>0</v>
      </c>
      <c r="BG84">
        <f>'Corrected energy balance step 2'!BH89</f>
        <v>0</v>
      </c>
      <c r="BH84">
        <f>'Corrected energy balance step 2'!BI89</f>
        <v>0</v>
      </c>
      <c r="BI84">
        <f>'Corrected energy balance step 2'!BJ89</f>
        <v>0</v>
      </c>
      <c r="BJ84">
        <f>'Corrected energy balance step 2'!BK89</f>
        <v>0</v>
      </c>
      <c r="BK84">
        <f>'Corrected energy balance step 2'!BL89</f>
        <v>0</v>
      </c>
      <c r="BL84">
        <f>'Corrected energy balance step 2'!BM89</f>
        <v>0</v>
      </c>
      <c r="BM84">
        <f>'Corrected energy balance step 2'!BN89</f>
        <v>0</v>
      </c>
      <c r="BN84">
        <f>'Corrected energy balance step 2'!BO89</f>
        <v>0</v>
      </c>
    </row>
    <row r="85" spans="1:66" x14ac:dyDescent="0.2">
      <c r="A85" t="s">
        <v>122</v>
      </c>
      <c r="B85">
        <f>'Corrected energy balance step 2'!C90</f>
        <v>0</v>
      </c>
      <c r="C85">
        <f>'Corrected energy balance step 2'!D90</f>
        <v>0</v>
      </c>
      <c r="D85">
        <f>'Corrected energy balance step 2'!E90</f>
        <v>0</v>
      </c>
      <c r="E85">
        <f>'Corrected energy balance step 2'!F90</f>
        <v>0</v>
      </c>
      <c r="F85">
        <f>'Corrected energy balance step 2'!G90</f>
        <v>0</v>
      </c>
      <c r="G85">
        <f>'Corrected energy balance step 2'!H90</f>
        <v>0</v>
      </c>
      <c r="H85">
        <f>'Corrected energy balance step 2'!I90</f>
        <v>0</v>
      </c>
      <c r="I85">
        <f>'Corrected energy balance step 2'!J90</f>
        <v>0</v>
      </c>
      <c r="J85">
        <f>'Corrected energy balance step 2'!K90</f>
        <v>0</v>
      </c>
      <c r="K85">
        <f>'Corrected energy balance step 2'!L90</f>
        <v>0</v>
      </c>
      <c r="L85">
        <f>'Corrected energy balance step 2'!M90</f>
        <v>0</v>
      </c>
      <c r="M85">
        <f>'Corrected energy balance step 2'!N90</f>
        <v>0</v>
      </c>
      <c r="N85">
        <f>'Corrected energy balance step 2'!O90</f>
        <v>0</v>
      </c>
      <c r="O85">
        <f>'Corrected energy balance step 2'!P90</f>
        <v>0</v>
      </c>
      <c r="P85">
        <f>'Corrected energy balance step 2'!Q90</f>
        <v>0</v>
      </c>
      <c r="Q85">
        <f>'Corrected energy balance step 2'!R90</f>
        <v>0</v>
      </c>
      <c r="R85">
        <f>'Corrected energy balance step 2'!S90</f>
        <v>0</v>
      </c>
      <c r="S85">
        <f>'Corrected energy balance step 2'!T90</f>
        <v>0</v>
      </c>
      <c r="T85">
        <f>'Corrected energy balance step 2'!U90</f>
        <v>0</v>
      </c>
      <c r="U85">
        <f>'Corrected energy balance step 2'!V90</f>
        <v>0</v>
      </c>
      <c r="V85">
        <f>'Corrected energy balance step 2'!W90</f>
        <v>0</v>
      </c>
      <c r="W85">
        <f>'Corrected energy balance step 2'!X90</f>
        <v>0</v>
      </c>
      <c r="X85">
        <f>'Corrected energy balance step 2'!Y90</f>
        <v>0</v>
      </c>
      <c r="Y85">
        <f>'Corrected energy balance step 2'!Z90</f>
        <v>0</v>
      </c>
      <c r="Z85">
        <f>'Corrected energy balance step 2'!AA90</f>
        <v>0</v>
      </c>
      <c r="AA85">
        <f>'Corrected energy balance step 2'!AB90</f>
        <v>0</v>
      </c>
      <c r="AB85">
        <f>'Corrected energy balance step 2'!AC90</f>
        <v>0</v>
      </c>
      <c r="AC85">
        <f>'Corrected energy balance step 2'!AD90</f>
        <v>0</v>
      </c>
      <c r="AD85">
        <f>'Corrected energy balance step 2'!AE90</f>
        <v>0</v>
      </c>
      <c r="AE85">
        <f>'Corrected energy balance step 2'!AF90</f>
        <v>0</v>
      </c>
      <c r="AF85">
        <f>'Corrected energy balance step 2'!AG90</f>
        <v>0</v>
      </c>
      <c r="AG85">
        <f>'Corrected energy balance step 2'!AH90</f>
        <v>0</v>
      </c>
      <c r="AH85">
        <f>'Corrected energy balance step 2'!AI90</f>
        <v>0</v>
      </c>
      <c r="AI85">
        <f>'Corrected energy balance step 2'!AJ90</f>
        <v>0</v>
      </c>
      <c r="AJ85">
        <f>'Corrected energy balance step 2'!AK90</f>
        <v>0</v>
      </c>
      <c r="AK85">
        <f>'Corrected energy balance step 2'!AL90</f>
        <v>0</v>
      </c>
      <c r="AL85">
        <f>'Corrected energy balance step 2'!AM90</f>
        <v>0</v>
      </c>
      <c r="AM85">
        <f>'Corrected energy balance step 2'!AN90</f>
        <v>0</v>
      </c>
      <c r="AN85">
        <f>'Corrected energy balance step 2'!AO90</f>
        <v>0</v>
      </c>
      <c r="AO85">
        <f>'Corrected energy balance step 2'!AP90</f>
        <v>0</v>
      </c>
      <c r="AP85">
        <f>'Corrected energy balance step 2'!AQ90</f>
        <v>0</v>
      </c>
      <c r="AQ85">
        <f>'Corrected energy balance step 2'!AR90</f>
        <v>0</v>
      </c>
      <c r="AR85">
        <f>'Corrected energy balance step 2'!AS90</f>
        <v>0</v>
      </c>
      <c r="AS85">
        <f>'Corrected energy balance step 2'!AT90</f>
        <v>0</v>
      </c>
      <c r="AT85">
        <f>'Corrected energy balance step 2'!AU90</f>
        <v>0</v>
      </c>
      <c r="AU85">
        <f>'Corrected energy balance step 2'!AV90</f>
        <v>0</v>
      </c>
      <c r="AV85">
        <f>'Corrected energy balance step 2'!AW90</f>
        <v>0</v>
      </c>
      <c r="AW85">
        <f>'Corrected energy balance step 2'!AX90</f>
        <v>0</v>
      </c>
      <c r="AX85">
        <f>'Corrected energy balance step 2'!AY90</f>
        <v>0</v>
      </c>
      <c r="AY85">
        <f>'Corrected energy balance step 2'!AZ90</f>
        <v>0</v>
      </c>
      <c r="AZ85">
        <f>'Corrected energy balance step 2'!BA90</f>
        <v>0</v>
      </c>
      <c r="BA85">
        <f>'Corrected energy balance step 2'!BB90</f>
        <v>0</v>
      </c>
      <c r="BB85">
        <f>'Corrected energy balance step 2'!BC90</f>
        <v>0</v>
      </c>
      <c r="BC85">
        <f>'Corrected energy balance step 2'!BD90</f>
        <v>0</v>
      </c>
      <c r="BD85">
        <f>'Corrected energy balance step 2'!BE90</f>
        <v>0</v>
      </c>
      <c r="BE85">
        <f>'Corrected energy balance step 2'!BF90</f>
        <v>0</v>
      </c>
      <c r="BF85">
        <f>'Corrected energy balance step 2'!BG90</f>
        <v>0</v>
      </c>
      <c r="BG85">
        <f>'Corrected energy balance step 2'!BH90</f>
        <v>0</v>
      </c>
      <c r="BH85">
        <f>'Corrected energy balance step 2'!BI90</f>
        <v>0</v>
      </c>
      <c r="BI85">
        <f>'Corrected energy balance step 2'!BJ90</f>
        <v>0</v>
      </c>
      <c r="BJ85">
        <f>'Corrected energy balance step 2'!BK90</f>
        <v>0</v>
      </c>
      <c r="BK85">
        <f>'Corrected energy balance step 2'!BL90</f>
        <v>0</v>
      </c>
      <c r="BL85">
        <f>'Corrected energy balance step 2'!BM90</f>
        <v>0</v>
      </c>
      <c r="BM85">
        <f>'Corrected energy balance step 2'!BN90</f>
        <v>0</v>
      </c>
      <c r="BN85">
        <f>'Corrected energy balance step 2'!BO90</f>
        <v>0</v>
      </c>
    </row>
    <row r="86" spans="1:66" x14ac:dyDescent="0.2">
      <c r="A86" t="s">
        <v>123</v>
      </c>
      <c r="B86">
        <f>'Corrected energy balance step 2'!C91</f>
        <v>0</v>
      </c>
      <c r="C86">
        <f>'Corrected energy balance step 2'!D91</f>
        <v>0</v>
      </c>
      <c r="D86">
        <f>'Corrected energy balance step 2'!E91</f>
        <v>0</v>
      </c>
      <c r="E86">
        <f>'Corrected energy balance step 2'!F91</f>
        <v>0</v>
      </c>
      <c r="F86">
        <f>'Corrected energy balance step 2'!G91</f>
        <v>0</v>
      </c>
      <c r="G86">
        <f>'Corrected energy balance step 2'!H91</f>
        <v>0</v>
      </c>
      <c r="H86">
        <f>'Corrected energy balance step 2'!I91</f>
        <v>0</v>
      </c>
      <c r="I86">
        <f>'Corrected energy balance step 2'!J91</f>
        <v>0</v>
      </c>
      <c r="J86">
        <f>'Corrected energy balance step 2'!K91</f>
        <v>0</v>
      </c>
      <c r="K86">
        <f>'Corrected energy balance step 2'!L91</f>
        <v>0</v>
      </c>
      <c r="L86">
        <f>'Corrected energy balance step 2'!M91</f>
        <v>0</v>
      </c>
      <c r="M86">
        <f>'Corrected energy balance step 2'!N91</f>
        <v>0</v>
      </c>
      <c r="N86">
        <f>'Corrected energy balance step 2'!O91</f>
        <v>0</v>
      </c>
      <c r="O86">
        <f>'Corrected energy balance step 2'!P91</f>
        <v>0</v>
      </c>
      <c r="P86">
        <f>'Corrected energy balance step 2'!Q91</f>
        <v>0</v>
      </c>
      <c r="Q86">
        <f>'Corrected energy balance step 2'!R91</f>
        <v>0</v>
      </c>
      <c r="R86">
        <f>'Corrected energy balance step 2'!S91</f>
        <v>0</v>
      </c>
      <c r="S86">
        <f>'Corrected energy balance step 2'!T91</f>
        <v>0</v>
      </c>
      <c r="T86">
        <f>'Corrected energy balance step 2'!U91</f>
        <v>0</v>
      </c>
      <c r="U86">
        <f>'Corrected energy balance step 2'!V91</f>
        <v>0</v>
      </c>
      <c r="V86">
        <f>'Corrected energy balance step 2'!W91</f>
        <v>0</v>
      </c>
      <c r="W86">
        <f>'Corrected energy balance step 2'!X91</f>
        <v>0</v>
      </c>
      <c r="X86">
        <f>'Corrected energy balance step 2'!Y91</f>
        <v>0</v>
      </c>
      <c r="Y86">
        <f>'Corrected energy balance step 2'!Z91</f>
        <v>0</v>
      </c>
      <c r="Z86">
        <f>'Corrected energy balance step 2'!AA91</f>
        <v>0</v>
      </c>
      <c r="AA86">
        <f>'Corrected energy balance step 2'!AB91</f>
        <v>0</v>
      </c>
      <c r="AB86">
        <f>'Corrected energy balance step 2'!AC91</f>
        <v>0</v>
      </c>
      <c r="AC86">
        <f>'Corrected energy balance step 2'!AD91</f>
        <v>0</v>
      </c>
      <c r="AD86">
        <f>'Corrected energy balance step 2'!AE91</f>
        <v>0</v>
      </c>
      <c r="AE86">
        <f>'Corrected energy balance step 2'!AF91</f>
        <v>0</v>
      </c>
      <c r="AF86">
        <f>'Corrected energy balance step 2'!AG91</f>
        <v>0</v>
      </c>
      <c r="AG86">
        <f>'Corrected energy balance step 2'!AH91</f>
        <v>0</v>
      </c>
      <c r="AH86">
        <f>'Corrected energy balance step 2'!AI91</f>
        <v>0</v>
      </c>
      <c r="AI86">
        <f>'Corrected energy balance step 2'!AJ91</f>
        <v>0</v>
      </c>
      <c r="AJ86">
        <f>'Corrected energy balance step 2'!AK91</f>
        <v>0</v>
      </c>
      <c r="AK86">
        <f>'Corrected energy balance step 2'!AL91</f>
        <v>0</v>
      </c>
      <c r="AL86">
        <f>'Corrected energy balance step 2'!AM91</f>
        <v>0</v>
      </c>
      <c r="AM86">
        <f>'Corrected energy balance step 2'!AN91</f>
        <v>0</v>
      </c>
      <c r="AN86">
        <f>'Corrected energy balance step 2'!AO91</f>
        <v>0</v>
      </c>
      <c r="AO86">
        <f>'Corrected energy balance step 2'!AP91</f>
        <v>0</v>
      </c>
      <c r="AP86">
        <f>'Corrected energy balance step 2'!AQ91</f>
        <v>0</v>
      </c>
      <c r="AQ86">
        <f>'Corrected energy balance step 2'!AR91</f>
        <v>0</v>
      </c>
      <c r="AR86">
        <f>'Corrected energy balance step 2'!AS91</f>
        <v>0</v>
      </c>
      <c r="AS86">
        <f>'Corrected energy balance step 2'!AT91</f>
        <v>0</v>
      </c>
      <c r="AT86">
        <f>'Corrected energy balance step 2'!AU91</f>
        <v>0</v>
      </c>
      <c r="AU86">
        <f>'Corrected energy balance step 2'!AV91</f>
        <v>0</v>
      </c>
      <c r="AV86">
        <f>'Corrected energy balance step 2'!AW91</f>
        <v>0</v>
      </c>
      <c r="AW86">
        <f>'Corrected energy balance step 2'!AX91</f>
        <v>0</v>
      </c>
      <c r="AX86">
        <f>'Corrected energy balance step 2'!AY91</f>
        <v>0</v>
      </c>
      <c r="AY86">
        <f>'Corrected energy balance step 2'!AZ91</f>
        <v>0</v>
      </c>
      <c r="AZ86">
        <f>'Corrected energy balance step 2'!BA91</f>
        <v>0</v>
      </c>
      <c r="BA86">
        <f>'Corrected energy balance step 2'!BB91</f>
        <v>0</v>
      </c>
      <c r="BB86">
        <f>'Corrected energy balance step 2'!BC91</f>
        <v>0</v>
      </c>
      <c r="BC86">
        <f>'Corrected energy balance step 2'!BD91</f>
        <v>0</v>
      </c>
      <c r="BD86">
        <f>'Corrected energy balance step 2'!BE91</f>
        <v>0</v>
      </c>
      <c r="BE86">
        <f>'Corrected energy balance step 2'!BF91</f>
        <v>0</v>
      </c>
      <c r="BF86">
        <f>'Corrected energy balance step 2'!BG91</f>
        <v>0</v>
      </c>
      <c r="BG86">
        <f>'Corrected energy balance step 2'!BH91</f>
        <v>0</v>
      </c>
      <c r="BH86">
        <f>'Corrected energy balance step 2'!BI91</f>
        <v>0</v>
      </c>
      <c r="BI86">
        <f>'Corrected energy balance step 2'!BJ91</f>
        <v>0</v>
      </c>
      <c r="BJ86">
        <f>'Corrected energy balance step 2'!BK91</f>
        <v>0</v>
      </c>
      <c r="BK86">
        <f>'Corrected energy balance step 2'!BL91</f>
        <v>0</v>
      </c>
      <c r="BL86">
        <f>'Corrected energy balance step 2'!BM91</f>
        <v>0</v>
      </c>
      <c r="BM86">
        <f>'Corrected energy balance step 2'!BN91</f>
        <v>0</v>
      </c>
      <c r="BN86">
        <f>'Corrected energy balance step 2'!BO91</f>
        <v>0</v>
      </c>
    </row>
    <row r="87" spans="1:66" x14ac:dyDescent="0.2">
      <c r="A87" t="s">
        <v>124</v>
      </c>
      <c r="B87">
        <f>'Corrected energy balance step 2'!C92</f>
        <v>0</v>
      </c>
      <c r="C87">
        <f>'Corrected energy balance step 2'!D92</f>
        <v>0</v>
      </c>
      <c r="D87">
        <f>'Corrected energy balance step 2'!E92</f>
        <v>0</v>
      </c>
      <c r="E87">
        <f>'Corrected energy balance step 2'!F92</f>
        <v>0</v>
      </c>
      <c r="F87">
        <f>'Corrected energy balance step 2'!G92</f>
        <v>0</v>
      </c>
      <c r="G87">
        <f>'Corrected energy balance step 2'!H92</f>
        <v>0</v>
      </c>
      <c r="H87">
        <f>'Corrected energy balance step 2'!I92</f>
        <v>0</v>
      </c>
      <c r="I87">
        <f>'Corrected energy balance step 2'!J92</f>
        <v>0</v>
      </c>
      <c r="J87">
        <f>'Corrected energy balance step 2'!K92</f>
        <v>0</v>
      </c>
      <c r="K87">
        <f>'Corrected energy balance step 2'!L92</f>
        <v>0</v>
      </c>
      <c r="L87">
        <f>'Corrected energy balance step 2'!M92</f>
        <v>0</v>
      </c>
      <c r="M87">
        <f>'Corrected energy balance step 2'!N92</f>
        <v>0</v>
      </c>
      <c r="N87">
        <f>'Corrected energy balance step 2'!O92</f>
        <v>0</v>
      </c>
      <c r="O87">
        <f>'Corrected energy balance step 2'!P92</f>
        <v>0</v>
      </c>
      <c r="P87">
        <f>'Corrected energy balance step 2'!Q92</f>
        <v>0</v>
      </c>
      <c r="Q87">
        <f>'Corrected energy balance step 2'!R92</f>
        <v>0</v>
      </c>
      <c r="R87">
        <f>'Corrected energy balance step 2'!S92</f>
        <v>0</v>
      </c>
      <c r="S87">
        <f>'Corrected energy balance step 2'!T92</f>
        <v>0</v>
      </c>
      <c r="T87">
        <f>'Corrected energy balance step 2'!U92</f>
        <v>0</v>
      </c>
      <c r="U87">
        <f>'Corrected energy balance step 2'!V92</f>
        <v>0</v>
      </c>
      <c r="V87">
        <f>'Corrected energy balance step 2'!W92</f>
        <v>0</v>
      </c>
      <c r="W87">
        <f>'Corrected energy balance step 2'!X92</f>
        <v>0</v>
      </c>
      <c r="X87">
        <f>'Corrected energy balance step 2'!Y92</f>
        <v>0</v>
      </c>
      <c r="Y87">
        <f>'Corrected energy balance step 2'!Z92</f>
        <v>0</v>
      </c>
      <c r="Z87">
        <f>'Corrected energy balance step 2'!AA92</f>
        <v>0</v>
      </c>
      <c r="AA87">
        <f>'Corrected energy balance step 2'!AB92</f>
        <v>0</v>
      </c>
      <c r="AB87">
        <f>'Corrected energy balance step 2'!AC92</f>
        <v>0</v>
      </c>
      <c r="AC87">
        <f>'Corrected energy balance step 2'!AD92</f>
        <v>0</v>
      </c>
      <c r="AD87">
        <f>'Corrected energy balance step 2'!AE92</f>
        <v>0</v>
      </c>
      <c r="AE87">
        <f>'Corrected energy balance step 2'!AF92</f>
        <v>0</v>
      </c>
      <c r="AF87">
        <f>'Corrected energy balance step 2'!AG92</f>
        <v>0</v>
      </c>
      <c r="AG87">
        <f>'Corrected energy balance step 2'!AH92</f>
        <v>0</v>
      </c>
      <c r="AH87">
        <f>'Corrected energy balance step 2'!AI92</f>
        <v>0</v>
      </c>
      <c r="AI87">
        <f>'Corrected energy balance step 2'!AJ92</f>
        <v>0</v>
      </c>
      <c r="AJ87">
        <f>'Corrected energy balance step 2'!AK92</f>
        <v>0</v>
      </c>
      <c r="AK87">
        <f>'Corrected energy balance step 2'!AL92</f>
        <v>0</v>
      </c>
      <c r="AL87">
        <f>'Corrected energy balance step 2'!AM92</f>
        <v>0</v>
      </c>
      <c r="AM87">
        <f>'Corrected energy balance step 2'!AN92</f>
        <v>0</v>
      </c>
      <c r="AN87">
        <f>'Corrected energy balance step 2'!AO92</f>
        <v>0</v>
      </c>
      <c r="AO87">
        <f>'Corrected energy balance step 2'!AP92</f>
        <v>0</v>
      </c>
      <c r="AP87">
        <f>'Corrected energy balance step 2'!AQ92</f>
        <v>0</v>
      </c>
      <c r="AQ87">
        <f>'Corrected energy balance step 2'!AR92</f>
        <v>0</v>
      </c>
      <c r="AR87">
        <f>'Corrected energy balance step 2'!AS92</f>
        <v>0</v>
      </c>
      <c r="AS87">
        <f>'Corrected energy balance step 2'!AT92</f>
        <v>0</v>
      </c>
      <c r="AT87">
        <f>'Corrected energy balance step 2'!AU92</f>
        <v>0</v>
      </c>
      <c r="AU87">
        <f>'Corrected energy balance step 2'!AV92</f>
        <v>0</v>
      </c>
      <c r="AV87">
        <f>'Corrected energy balance step 2'!AW92</f>
        <v>0</v>
      </c>
      <c r="AW87">
        <f>'Corrected energy balance step 2'!AX92</f>
        <v>0</v>
      </c>
      <c r="AX87">
        <f>'Corrected energy balance step 2'!AY92</f>
        <v>0</v>
      </c>
      <c r="AY87">
        <f>'Corrected energy balance step 2'!AZ92</f>
        <v>0</v>
      </c>
      <c r="AZ87">
        <f>'Corrected energy balance step 2'!BA92</f>
        <v>0</v>
      </c>
      <c r="BA87">
        <f>'Corrected energy balance step 2'!BB92</f>
        <v>0</v>
      </c>
      <c r="BB87">
        <f>'Corrected energy balance step 2'!BC92</f>
        <v>0</v>
      </c>
      <c r="BC87">
        <f>'Corrected energy balance step 2'!BD92</f>
        <v>0</v>
      </c>
      <c r="BD87">
        <f>'Corrected energy balance step 2'!BE92</f>
        <v>0</v>
      </c>
      <c r="BE87">
        <f>'Corrected energy balance step 2'!BF92</f>
        <v>0</v>
      </c>
      <c r="BF87">
        <f>'Corrected energy balance step 2'!BG92</f>
        <v>0</v>
      </c>
      <c r="BG87">
        <f>'Corrected energy balance step 2'!BH92</f>
        <v>0</v>
      </c>
      <c r="BH87">
        <f>'Corrected energy balance step 2'!BI92</f>
        <v>0</v>
      </c>
      <c r="BI87">
        <f>'Corrected energy balance step 2'!BJ92</f>
        <v>0</v>
      </c>
      <c r="BJ87">
        <f>'Corrected energy balance step 2'!BK92</f>
        <v>0</v>
      </c>
      <c r="BK87">
        <f>'Corrected energy balance step 2'!BL92</f>
        <v>0</v>
      </c>
      <c r="BL87">
        <f>'Corrected energy balance step 2'!BM92</f>
        <v>0</v>
      </c>
      <c r="BM87">
        <f>'Corrected energy balance step 2'!BN92</f>
        <v>0</v>
      </c>
      <c r="BN87">
        <f>'Corrected energy balance step 2'!BO92</f>
        <v>0</v>
      </c>
    </row>
    <row r="88" spans="1:66" x14ac:dyDescent="0.2">
      <c r="A88" t="s">
        <v>125</v>
      </c>
      <c r="B88">
        <f>'Corrected energy balance step 2'!C93</f>
        <v>0</v>
      </c>
      <c r="C88">
        <f>'Corrected energy balance step 2'!D93</f>
        <v>0</v>
      </c>
      <c r="D88">
        <f>'Corrected energy balance step 2'!E93</f>
        <v>0</v>
      </c>
      <c r="E88">
        <f>'Corrected energy balance step 2'!F93</f>
        <v>0</v>
      </c>
      <c r="F88">
        <f>'Corrected energy balance step 2'!G93</f>
        <v>0</v>
      </c>
      <c r="G88">
        <f>'Corrected energy balance step 2'!H93</f>
        <v>0</v>
      </c>
      <c r="H88">
        <f>'Corrected energy balance step 2'!I93</f>
        <v>0</v>
      </c>
      <c r="I88">
        <f>'Corrected energy balance step 2'!J93</f>
        <v>0</v>
      </c>
      <c r="J88">
        <f>'Corrected energy balance step 2'!K93</f>
        <v>0</v>
      </c>
      <c r="K88">
        <f>'Corrected energy balance step 2'!L93</f>
        <v>0</v>
      </c>
      <c r="L88">
        <f>'Corrected energy balance step 2'!M93</f>
        <v>0</v>
      </c>
      <c r="M88">
        <f>'Corrected energy balance step 2'!N93</f>
        <v>0</v>
      </c>
      <c r="N88">
        <f>'Corrected energy balance step 2'!O93</f>
        <v>0</v>
      </c>
      <c r="O88">
        <f>'Corrected energy balance step 2'!P93</f>
        <v>0</v>
      </c>
      <c r="P88">
        <f>'Corrected energy balance step 2'!Q93</f>
        <v>0</v>
      </c>
      <c r="Q88">
        <f>'Corrected energy balance step 2'!R93</f>
        <v>0</v>
      </c>
      <c r="R88">
        <f>'Corrected energy balance step 2'!S93</f>
        <v>0</v>
      </c>
      <c r="S88">
        <f>'Corrected energy balance step 2'!T93</f>
        <v>0</v>
      </c>
      <c r="T88">
        <f>'Corrected energy balance step 2'!U93</f>
        <v>0</v>
      </c>
      <c r="U88">
        <f>'Corrected energy balance step 2'!V93</f>
        <v>0</v>
      </c>
      <c r="V88">
        <f>'Corrected energy balance step 2'!W93</f>
        <v>0</v>
      </c>
      <c r="W88">
        <f>'Corrected energy balance step 2'!X93</f>
        <v>0</v>
      </c>
      <c r="X88">
        <f>'Corrected energy balance step 2'!Y93</f>
        <v>0</v>
      </c>
      <c r="Y88">
        <f>'Corrected energy balance step 2'!Z93</f>
        <v>0</v>
      </c>
      <c r="Z88">
        <f>'Corrected energy balance step 2'!AA93</f>
        <v>0</v>
      </c>
      <c r="AA88">
        <f>'Corrected energy balance step 2'!AB93</f>
        <v>0</v>
      </c>
      <c r="AB88">
        <f>'Corrected energy balance step 2'!AC93</f>
        <v>0</v>
      </c>
      <c r="AC88">
        <f>'Corrected energy balance step 2'!AD93</f>
        <v>0</v>
      </c>
      <c r="AD88">
        <f>'Corrected energy balance step 2'!AE93</f>
        <v>0</v>
      </c>
      <c r="AE88">
        <f>'Corrected energy balance step 2'!AF93</f>
        <v>0</v>
      </c>
      <c r="AF88">
        <f>'Corrected energy balance step 2'!AG93</f>
        <v>0</v>
      </c>
      <c r="AG88">
        <f>'Corrected energy balance step 2'!AH93</f>
        <v>0</v>
      </c>
      <c r="AH88">
        <f>'Corrected energy balance step 2'!AI93</f>
        <v>0</v>
      </c>
      <c r="AI88">
        <f>'Corrected energy balance step 2'!AJ93</f>
        <v>0</v>
      </c>
      <c r="AJ88">
        <f>'Corrected energy balance step 2'!AK93</f>
        <v>0</v>
      </c>
      <c r="AK88">
        <f>'Corrected energy balance step 2'!AL93</f>
        <v>0</v>
      </c>
      <c r="AL88">
        <f>'Corrected energy balance step 2'!AM93</f>
        <v>0</v>
      </c>
      <c r="AM88">
        <f>'Corrected energy balance step 2'!AN93</f>
        <v>0</v>
      </c>
      <c r="AN88">
        <f>'Corrected energy balance step 2'!AO93</f>
        <v>0</v>
      </c>
      <c r="AO88">
        <f>'Corrected energy balance step 2'!AP93</f>
        <v>0</v>
      </c>
      <c r="AP88">
        <f>'Corrected energy balance step 2'!AQ93</f>
        <v>0</v>
      </c>
      <c r="AQ88">
        <f>'Corrected energy balance step 2'!AR93</f>
        <v>0</v>
      </c>
      <c r="AR88">
        <f>'Corrected energy balance step 2'!AS93</f>
        <v>0</v>
      </c>
      <c r="AS88">
        <f>'Corrected energy balance step 2'!AT93</f>
        <v>0</v>
      </c>
      <c r="AT88">
        <f>'Corrected energy balance step 2'!AU93</f>
        <v>0</v>
      </c>
      <c r="AU88">
        <f>'Corrected energy balance step 2'!AV93</f>
        <v>0</v>
      </c>
      <c r="AV88">
        <f>'Corrected energy balance step 2'!AW93</f>
        <v>0</v>
      </c>
      <c r="AW88">
        <f>'Corrected energy balance step 2'!AX93</f>
        <v>0</v>
      </c>
      <c r="AX88">
        <f>'Corrected energy balance step 2'!AY93</f>
        <v>0</v>
      </c>
      <c r="AY88">
        <f>'Corrected energy balance step 2'!AZ93</f>
        <v>0</v>
      </c>
      <c r="AZ88">
        <f>'Corrected energy balance step 2'!BA93</f>
        <v>0</v>
      </c>
      <c r="BA88">
        <f>'Corrected energy balance step 2'!BB93</f>
        <v>0</v>
      </c>
      <c r="BB88">
        <f>'Corrected energy balance step 2'!BC93</f>
        <v>0</v>
      </c>
      <c r="BC88">
        <f>'Corrected energy balance step 2'!BD93</f>
        <v>0</v>
      </c>
      <c r="BD88">
        <f>'Corrected energy balance step 2'!BE93</f>
        <v>0</v>
      </c>
      <c r="BE88">
        <f>'Corrected energy balance step 2'!BF93</f>
        <v>0</v>
      </c>
      <c r="BF88">
        <f>'Corrected energy balance step 2'!BG93</f>
        <v>0</v>
      </c>
      <c r="BG88">
        <f>'Corrected energy balance step 2'!BH93</f>
        <v>0</v>
      </c>
      <c r="BH88">
        <f>'Corrected energy balance step 2'!BI93</f>
        <v>0</v>
      </c>
      <c r="BI88">
        <f>'Corrected energy balance step 2'!BJ93</f>
        <v>0</v>
      </c>
      <c r="BJ88">
        <f>'Corrected energy balance step 2'!BK93</f>
        <v>0</v>
      </c>
      <c r="BK88">
        <f>'Corrected energy balance step 2'!BL93</f>
        <v>0</v>
      </c>
      <c r="BL88">
        <f>'Corrected energy balance step 2'!BM93</f>
        <v>0</v>
      </c>
      <c r="BM88">
        <f>'Corrected energy balance step 2'!BN93</f>
        <v>0</v>
      </c>
      <c r="BN88">
        <f>'Corrected energy balance step 2'!BO93</f>
        <v>0</v>
      </c>
    </row>
    <row r="89" spans="1:66" x14ac:dyDescent="0.2">
      <c r="A89" t="s">
        <v>126</v>
      </c>
      <c r="B89">
        <f>'Corrected energy balance step 2'!C94</f>
        <v>0</v>
      </c>
      <c r="C89">
        <f>'Corrected energy balance step 2'!D94</f>
        <v>0</v>
      </c>
      <c r="D89">
        <f>'Corrected energy balance step 2'!E94</f>
        <v>0</v>
      </c>
      <c r="E89">
        <f>'Corrected energy balance step 2'!F94</f>
        <v>0</v>
      </c>
      <c r="F89">
        <f>'Corrected energy balance step 2'!G94</f>
        <v>0</v>
      </c>
      <c r="G89">
        <f>'Corrected energy balance step 2'!H94</f>
        <v>0</v>
      </c>
      <c r="H89">
        <f>'Corrected energy balance step 2'!I94</f>
        <v>0</v>
      </c>
      <c r="I89">
        <f>'Corrected energy balance step 2'!J94</f>
        <v>0</v>
      </c>
      <c r="J89">
        <f>'Corrected energy balance step 2'!K94</f>
        <v>0</v>
      </c>
      <c r="K89">
        <f>'Corrected energy balance step 2'!L94</f>
        <v>0</v>
      </c>
      <c r="L89">
        <f>'Corrected energy balance step 2'!M94</f>
        <v>0</v>
      </c>
      <c r="M89">
        <f>'Corrected energy balance step 2'!N94</f>
        <v>0</v>
      </c>
      <c r="N89">
        <f>'Corrected energy balance step 2'!O94</f>
        <v>0</v>
      </c>
      <c r="O89">
        <f>'Corrected energy balance step 2'!P94</f>
        <v>0</v>
      </c>
      <c r="P89">
        <f>'Corrected energy balance step 2'!Q94</f>
        <v>0</v>
      </c>
      <c r="Q89">
        <f>'Corrected energy balance step 2'!R94</f>
        <v>0</v>
      </c>
      <c r="R89">
        <f>'Corrected energy balance step 2'!S94</f>
        <v>0</v>
      </c>
      <c r="S89">
        <f>'Corrected energy balance step 2'!T94</f>
        <v>0</v>
      </c>
      <c r="T89">
        <f>'Corrected energy balance step 2'!U94</f>
        <v>0</v>
      </c>
      <c r="U89">
        <f>'Corrected energy balance step 2'!V94</f>
        <v>0</v>
      </c>
      <c r="V89">
        <f>'Corrected energy balance step 2'!W94</f>
        <v>0</v>
      </c>
      <c r="W89">
        <f>'Corrected energy balance step 2'!X94</f>
        <v>0</v>
      </c>
      <c r="X89">
        <f>'Corrected energy balance step 2'!Y94</f>
        <v>0</v>
      </c>
      <c r="Y89">
        <f>'Corrected energy balance step 2'!Z94</f>
        <v>0</v>
      </c>
      <c r="Z89">
        <f>'Corrected energy balance step 2'!AA94</f>
        <v>0</v>
      </c>
      <c r="AA89">
        <f>'Corrected energy balance step 2'!AB94</f>
        <v>0</v>
      </c>
      <c r="AB89">
        <f>'Corrected energy balance step 2'!AC94</f>
        <v>0</v>
      </c>
      <c r="AC89">
        <f>'Corrected energy balance step 2'!AD94</f>
        <v>0</v>
      </c>
      <c r="AD89">
        <f>'Corrected energy balance step 2'!AE94</f>
        <v>0</v>
      </c>
      <c r="AE89">
        <f>'Corrected energy balance step 2'!AF94</f>
        <v>0</v>
      </c>
      <c r="AF89">
        <f>'Corrected energy balance step 2'!AG94</f>
        <v>0</v>
      </c>
      <c r="AG89">
        <f>'Corrected energy balance step 2'!AH94</f>
        <v>0</v>
      </c>
      <c r="AH89">
        <f>'Corrected energy balance step 2'!AI94</f>
        <v>0</v>
      </c>
      <c r="AI89">
        <f>'Corrected energy balance step 2'!AJ94</f>
        <v>0</v>
      </c>
      <c r="AJ89">
        <f>'Corrected energy balance step 2'!AK94</f>
        <v>0</v>
      </c>
      <c r="AK89">
        <f>'Corrected energy balance step 2'!AL94</f>
        <v>0</v>
      </c>
      <c r="AL89">
        <f>'Corrected energy balance step 2'!AM94</f>
        <v>0</v>
      </c>
      <c r="AM89">
        <f>'Corrected energy balance step 2'!AN94</f>
        <v>0</v>
      </c>
      <c r="AN89">
        <f>'Corrected energy balance step 2'!AO94</f>
        <v>0</v>
      </c>
      <c r="AO89">
        <f>'Corrected energy balance step 2'!AP94</f>
        <v>0</v>
      </c>
      <c r="AP89">
        <f>'Corrected energy balance step 2'!AQ94</f>
        <v>0</v>
      </c>
      <c r="AQ89">
        <f>'Corrected energy balance step 2'!AR94</f>
        <v>0</v>
      </c>
      <c r="AR89">
        <f>'Corrected energy balance step 2'!AS94</f>
        <v>0</v>
      </c>
      <c r="AS89">
        <f>'Corrected energy balance step 2'!AT94</f>
        <v>0</v>
      </c>
      <c r="AT89">
        <f>'Corrected energy balance step 2'!AU94</f>
        <v>0</v>
      </c>
      <c r="AU89">
        <f>'Corrected energy balance step 2'!AV94</f>
        <v>0</v>
      </c>
      <c r="AV89">
        <f>'Corrected energy balance step 2'!AW94</f>
        <v>0</v>
      </c>
      <c r="AW89">
        <f>'Corrected energy balance step 2'!AX94</f>
        <v>0</v>
      </c>
      <c r="AX89">
        <f>'Corrected energy balance step 2'!AY94</f>
        <v>0</v>
      </c>
      <c r="AY89">
        <f>'Corrected energy balance step 2'!AZ94</f>
        <v>0</v>
      </c>
      <c r="AZ89">
        <f>'Corrected energy balance step 2'!BA94</f>
        <v>0</v>
      </c>
      <c r="BA89">
        <f>'Corrected energy balance step 2'!BB94</f>
        <v>0</v>
      </c>
      <c r="BB89">
        <f>'Corrected energy balance step 2'!BC94</f>
        <v>0</v>
      </c>
      <c r="BC89">
        <f>'Corrected energy balance step 2'!BD94</f>
        <v>0</v>
      </c>
      <c r="BD89">
        <f>'Corrected energy balance step 2'!BE94</f>
        <v>0</v>
      </c>
      <c r="BE89">
        <f>'Corrected energy balance step 2'!BF94</f>
        <v>0</v>
      </c>
      <c r="BF89">
        <f>'Corrected energy balance step 2'!BG94</f>
        <v>0</v>
      </c>
      <c r="BG89">
        <f>'Corrected energy balance step 2'!BH94</f>
        <v>0</v>
      </c>
      <c r="BH89">
        <f>'Corrected energy balance step 2'!BI94</f>
        <v>0</v>
      </c>
      <c r="BI89">
        <f>'Corrected energy balance step 2'!BJ94</f>
        <v>0</v>
      </c>
      <c r="BJ89">
        <f>'Corrected energy balance step 2'!BK94</f>
        <v>0</v>
      </c>
      <c r="BK89">
        <f>'Corrected energy balance step 2'!BL94</f>
        <v>0</v>
      </c>
      <c r="BL89">
        <f>'Corrected energy balance step 2'!BM94</f>
        <v>0</v>
      </c>
      <c r="BM89">
        <f>'Corrected energy balance step 2'!BN94</f>
        <v>0</v>
      </c>
      <c r="BN89">
        <f>'Corrected energy balance step 2'!BO94</f>
        <v>0</v>
      </c>
    </row>
    <row r="90" spans="1:66" x14ac:dyDescent="0.2">
      <c r="A90" t="s">
        <v>127</v>
      </c>
      <c r="B90">
        <f>'Corrected energy balance step 2'!C95</f>
        <v>0</v>
      </c>
      <c r="C90">
        <f>'Corrected energy balance step 2'!D95</f>
        <v>0</v>
      </c>
      <c r="D90">
        <f>'Corrected energy balance step 2'!E95</f>
        <v>0</v>
      </c>
      <c r="E90">
        <f>'Corrected energy balance step 2'!F95</f>
        <v>0</v>
      </c>
      <c r="F90">
        <f>'Corrected energy balance step 2'!G95</f>
        <v>0</v>
      </c>
      <c r="G90">
        <f>'Corrected energy balance step 2'!H95</f>
        <v>0</v>
      </c>
      <c r="H90">
        <f>'Corrected energy balance step 2'!I95</f>
        <v>0</v>
      </c>
      <c r="I90">
        <f>'Corrected energy balance step 2'!J95</f>
        <v>0</v>
      </c>
      <c r="J90">
        <f>'Corrected energy balance step 2'!K95</f>
        <v>0</v>
      </c>
      <c r="K90">
        <f>'Corrected energy balance step 2'!L95</f>
        <v>0</v>
      </c>
      <c r="L90">
        <f>'Corrected energy balance step 2'!M95</f>
        <v>0</v>
      </c>
      <c r="M90">
        <f>'Corrected energy balance step 2'!N95</f>
        <v>0</v>
      </c>
      <c r="N90">
        <f>'Corrected energy balance step 2'!O95</f>
        <v>0</v>
      </c>
      <c r="O90">
        <f>'Corrected energy balance step 2'!P95</f>
        <v>0</v>
      </c>
      <c r="P90">
        <f>'Corrected energy balance step 2'!Q95</f>
        <v>0</v>
      </c>
      <c r="Q90">
        <f>'Corrected energy balance step 2'!R95</f>
        <v>0</v>
      </c>
      <c r="R90">
        <f>'Corrected energy balance step 2'!S95</f>
        <v>0</v>
      </c>
      <c r="S90">
        <f>'Corrected energy balance step 2'!T95</f>
        <v>0</v>
      </c>
      <c r="T90">
        <f>'Corrected energy balance step 2'!U95</f>
        <v>0</v>
      </c>
      <c r="U90">
        <f>'Corrected energy balance step 2'!V95</f>
        <v>0</v>
      </c>
      <c r="V90">
        <f>'Corrected energy balance step 2'!W95</f>
        <v>0</v>
      </c>
      <c r="W90">
        <f>'Corrected energy balance step 2'!X95</f>
        <v>0</v>
      </c>
      <c r="X90">
        <f>'Corrected energy balance step 2'!Y95</f>
        <v>0</v>
      </c>
      <c r="Y90">
        <f>'Corrected energy balance step 2'!Z95</f>
        <v>0</v>
      </c>
      <c r="Z90">
        <f>'Corrected energy balance step 2'!AA95</f>
        <v>0</v>
      </c>
      <c r="AA90">
        <f>'Corrected energy balance step 2'!AB95</f>
        <v>0</v>
      </c>
      <c r="AB90">
        <f>'Corrected energy balance step 2'!AC95</f>
        <v>0</v>
      </c>
      <c r="AC90">
        <f>'Corrected energy balance step 2'!AD95</f>
        <v>0</v>
      </c>
      <c r="AD90">
        <f>'Corrected energy balance step 2'!AE95</f>
        <v>0</v>
      </c>
      <c r="AE90">
        <f>'Corrected energy balance step 2'!AF95</f>
        <v>0</v>
      </c>
      <c r="AF90">
        <f>'Corrected energy balance step 2'!AG95</f>
        <v>0</v>
      </c>
      <c r="AG90">
        <f>'Corrected energy balance step 2'!AH95</f>
        <v>0</v>
      </c>
      <c r="AH90">
        <f>'Corrected energy balance step 2'!AI95</f>
        <v>0</v>
      </c>
      <c r="AI90">
        <f>'Corrected energy balance step 2'!AJ95</f>
        <v>0</v>
      </c>
      <c r="AJ90">
        <f>'Corrected energy balance step 2'!AK95</f>
        <v>0</v>
      </c>
      <c r="AK90">
        <f>'Corrected energy balance step 2'!AL95</f>
        <v>0</v>
      </c>
      <c r="AL90">
        <f>'Corrected energy balance step 2'!AM95</f>
        <v>0</v>
      </c>
      <c r="AM90">
        <f>'Corrected energy balance step 2'!AN95</f>
        <v>0</v>
      </c>
      <c r="AN90">
        <f>'Corrected energy balance step 2'!AO95</f>
        <v>0</v>
      </c>
      <c r="AO90">
        <f>'Corrected energy balance step 2'!AP95</f>
        <v>0</v>
      </c>
      <c r="AP90">
        <f>'Corrected energy balance step 2'!AQ95</f>
        <v>0</v>
      </c>
      <c r="AQ90">
        <f>'Corrected energy balance step 2'!AR95</f>
        <v>0</v>
      </c>
      <c r="AR90">
        <f>'Corrected energy balance step 2'!AS95</f>
        <v>0</v>
      </c>
      <c r="AS90">
        <f>'Corrected energy balance step 2'!AT95</f>
        <v>0</v>
      </c>
      <c r="AT90">
        <f>'Corrected energy balance step 2'!AU95</f>
        <v>0</v>
      </c>
      <c r="AU90">
        <f>'Corrected energy balance step 2'!AV95</f>
        <v>0</v>
      </c>
      <c r="AV90">
        <f>'Corrected energy balance step 2'!AW95</f>
        <v>0</v>
      </c>
      <c r="AW90">
        <f>'Corrected energy balance step 2'!AX95</f>
        <v>0</v>
      </c>
      <c r="AX90">
        <f>'Corrected energy balance step 2'!AY95</f>
        <v>0</v>
      </c>
      <c r="AY90">
        <f>'Corrected energy balance step 2'!AZ95</f>
        <v>0</v>
      </c>
      <c r="AZ90">
        <f>'Corrected energy balance step 2'!BA95</f>
        <v>0</v>
      </c>
      <c r="BA90">
        <f>'Corrected energy balance step 2'!BB95</f>
        <v>0</v>
      </c>
      <c r="BB90">
        <f>'Corrected energy balance step 2'!BC95</f>
        <v>0</v>
      </c>
      <c r="BC90">
        <f>'Corrected energy balance step 2'!BD95</f>
        <v>0</v>
      </c>
      <c r="BD90">
        <f>'Corrected energy balance step 2'!BE95</f>
        <v>0</v>
      </c>
      <c r="BE90">
        <f>'Corrected energy balance step 2'!BF95</f>
        <v>0</v>
      </c>
      <c r="BF90">
        <f>'Corrected energy balance step 2'!BG95</f>
        <v>0</v>
      </c>
      <c r="BG90">
        <f>'Corrected energy balance step 2'!BH95</f>
        <v>0</v>
      </c>
      <c r="BH90">
        <f>'Corrected energy balance step 2'!BI95</f>
        <v>0</v>
      </c>
      <c r="BI90">
        <f>'Corrected energy balance step 2'!BJ95</f>
        <v>0</v>
      </c>
      <c r="BJ90">
        <f>'Corrected energy balance step 2'!BK95</f>
        <v>0</v>
      </c>
      <c r="BK90">
        <f>'Corrected energy balance step 2'!BL95</f>
        <v>0</v>
      </c>
      <c r="BL90">
        <f>'Corrected energy balance step 2'!BM95</f>
        <v>0</v>
      </c>
      <c r="BM90">
        <f>'Corrected energy balance step 2'!BN95</f>
        <v>0</v>
      </c>
      <c r="BN90">
        <f>'Corrected energy balance step 2'!BO95</f>
        <v>0</v>
      </c>
    </row>
    <row r="91" spans="1:66" x14ac:dyDescent="0.2">
      <c r="A91" t="s">
        <v>128</v>
      </c>
      <c r="B91">
        <f>'Corrected energy balance step 2'!C96</f>
        <v>0</v>
      </c>
      <c r="C91">
        <f>'Corrected energy balance step 2'!D96</f>
        <v>0</v>
      </c>
      <c r="D91">
        <f>'Corrected energy balance step 2'!E96</f>
        <v>0</v>
      </c>
      <c r="E91">
        <f>'Corrected energy balance step 2'!F96</f>
        <v>0</v>
      </c>
      <c r="F91">
        <f>'Corrected energy balance step 2'!G96</f>
        <v>0</v>
      </c>
      <c r="G91">
        <f>'Corrected energy balance step 2'!H96</f>
        <v>0</v>
      </c>
      <c r="H91">
        <f>'Corrected energy balance step 2'!I96</f>
        <v>0</v>
      </c>
      <c r="I91">
        <f>'Corrected energy balance step 2'!J96</f>
        <v>0</v>
      </c>
      <c r="J91">
        <f>'Corrected energy balance step 2'!K96</f>
        <v>0</v>
      </c>
      <c r="K91">
        <f>'Corrected energy balance step 2'!L96</f>
        <v>0</v>
      </c>
      <c r="L91">
        <f>'Corrected energy balance step 2'!M96</f>
        <v>0</v>
      </c>
      <c r="M91">
        <f>'Corrected energy balance step 2'!N96</f>
        <v>0</v>
      </c>
      <c r="N91">
        <f>'Corrected energy balance step 2'!O96</f>
        <v>0</v>
      </c>
      <c r="O91">
        <f>'Corrected energy balance step 2'!P96</f>
        <v>0</v>
      </c>
      <c r="P91">
        <f>'Corrected energy balance step 2'!Q96</f>
        <v>0</v>
      </c>
      <c r="Q91">
        <f>'Corrected energy balance step 2'!R96</f>
        <v>0</v>
      </c>
      <c r="R91">
        <f>'Corrected energy balance step 2'!S96</f>
        <v>0</v>
      </c>
      <c r="S91">
        <f>'Corrected energy balance step 2'!T96</f>
        <v>0</v>
      </c>
      <c r="T91">
        <f>'Corrected energy balance step 2'!U96</f>
        <v>0</v>
      </c>
      <c r="U91">
        <f>'Corrected energy balance step 2'!V96</f>
        <v>0</v>
      </c>
      <c r="V91">
        <f>'Corrected energy balance step 2'!W96</f>
        <v>0</v>
      </c>
      <c r="W91">
        <f>'Corrected energy balance step 2'!X96</f>
        <v>0</v>
      </c>
      <c r="X91">
        <f>'Corrected energy balance step 2'!Y96</f>
        <v>0</v>
      </c>
      <c r="Y91">
        <f>'Corrected energy balance step 2'!Z96</f>
        <v>0</v>
      </c>
      <c r="Z91">
        <f>'Corrected energy balance step 2'!AA96</f>
        <v>0</v>
      </c>
      <c r="AA91">
        <f>'Corrected energy balance step 2'!AB96</f>
        <v>0</v>
      </c>
      <c r="AB91">
        <f>'Corrected energy balance step 2'!AC96</f>
        <v>0</v>
      </c>
      <c r="AC91">
        <f>'Corrected energy balance step 2'!AD96</f>
        <v>0</v>
      </c>
      <c r="AD91">
        <f>'Corrected energy balance step 2'!AE96</f>
        <v>0</v>
      </c>
      <c r="AE91">
        <f>'Corrected energy balance step 2'!AF96</f>
        <v>0</v>
      </c>
      <c r="AF91">
        <f>'Corrected energy balance step 2'!AG96</f>
        <v>0</v>
      </c>
      <c r="AG91">
        <f>'Corrected energy balance step 2'!AH96</f>
        <v>0</v>
      </c>
      <c r="AH91">
        <f>'Corrected energy balance step 2'!AI96</f>
        <v>0</v>
      </c>
      <c r="AI91">
        <f>'Corrected energy balance step 2'!AJ96</f>
        <v>0</v>
      </c>
      <c r="AJ91">
        <f>'Corrected energy balance step 2'!AK96</f>
        <v>0</v>
      </c>
      <c r="AK91">
        <f>'Corrected energy balance step 2'!AL96</f>
        <v>0</v>
      </c>
      <c r="AL91">
        <f>'Corrected energy balance step 2'!AM96</f>
        <v>0</v>
      </c>
      <c r="AM91">
        <f>'Corrected energy balance step 2'!AN96</f>
        <v>0</v>
      </c>
      <c r="AN91">
        <f>'Corrected energy balance step 2'!AO96</f>
        <v>0</v>
      </c>
      <c r="AO91">
        <f>'Corrected energy balance step 2'!AP96</f>
        <v>0</v>
      </c>
      <c r="AP91">
        <f>'Corrected energy balance step 2'!AQ96</f>
        <v>0</v>
      </c>
      <c r="AQ91">
        <f>'Corrected energy balance step 2'!AR96</f>
        <v>0</v>
      </c>
      <c r="AR91">
        <f>'Corrected energy balance step 2'!AS96</f>
        <v>0</v>
      </c>
      <c r="AS91">
        <f>'Corrected energy balance step 2'!AT96</f>
        <v>0</v>
      </c>
      <c r="AT91">
        <f>'Corrected energy balance step 2'!AU96</f>
        <v>0</v>
      </c>
      <c r="AU91">
        <f>'Corrected energy balance step 2'!AV96</f>
        <v>0</v>
      </c>
      <c r="AV91">
        <f>'Corrected energy balance step 2'!AW96</f>
        <v>0</v>
      </c>
      <c r="AW91">
        <f>'Corrected energy balance step 2'!AX96</f>
        <v>0</v>
      </c>
      <c r="AX91">
        <f>'Corrected energy balance step 2'!AY96</f>
        <v>0</v>
      </c>
      <c r="AY91">
        <f>'Corrected energy balance step 2'!AZ96</f>
        <v>0</v>
      </c>
      <c r="AZ91">
        <f>'Corrected energy balance step 2'!BA96</f>
        <v>0</v>
      </c>
      <c r="BA91">
        <f>'Corrected energy balance step 2'!BB96</f>
        <v>0</v>
      </c>
      <c r="BB91">
        <f>'Corrected energy balance step 2'!BC96</f>
        <v>0</v>
      </c>
      <c r="BC91">
        <f>'Corrected energy balance step 2'!BD96</f>
        <v>0</v>
      </c>
      <c r="BD91">
        <f>'Corrected energy balance step 2'!BE96</f>
        <v>0</v>
      </c>
      <c r="BE91">
        <f>'Corrected energy balance step 2'!BF96</f>
        <v>0</v>
      </c>
      <c r="BF91">
        <f>'Corrected energy balance step 2'!BG96</f>
        <v>0</v>
      </c>
      <c r="BG91">
        <f>'Corrected energy balance step 2'!BH96</f>
        <v>0</v>
      </c>
      <c r="BH91">
        <f>'Corrected energy balance step 2'!BI96</f>
        <v>0</v>
      </c>
      <c r="BI91">
        <f>'Corrected energy balance step 2'!BJ96</f>
        <v>0</v>
      </c>
      <c r="BJ91">
        <f>'Corrected energy balance step 2'!BK96</f>
        <v>0</v>
      </c>
      <c r="BK91">
        <f>'Corrected energy balance step 2'!BL96</f>
        <v>0</v>
      </c>
      <c r="BL91">
        <f>'Corrected energy balance step 2'!BM96</f>
        <v>0</v>
      </c>
      <c r="BM91">
        <f>'Corrected energy balance step 2'!BN96</f>
        <v>0</v>
      </c>
      <c r="BN91">
        <f>'Corrected energy balance step 2'!BO96</f>
        <v>0</v>
      </c>
    </row>
    <row r="92" spans="1:66" x14ac:dyDescent="0.2">
      <c r="A92" t="s">
        <v>129</v>
      </c>
      <c r="B92">
        <f>'Corrected energy balance step 2'!C97</f>
        <v>0</v>
      </c>
      <c r="C92">
        <f>'Corrected energy balance step 2'!D97</f>
        <v>0</v>
      </c>
      <c r="D92">
        <f>'Corrected energy balance step 2'!E97</f>
        <v>0</v>
      </c>
      <c r="E92">
        <f>'Corrected energy balance step 2'!F97</f>
        <v>0</v>
      </c>
      <c r="F92">
        <f>'Corrected energy balance step 2'!G97</f>
        <v>0</v>
      </c>
      <c r="G92">
        <f>'Corrected energy balance step 2'!H97</f>
        <v>0</v>
      </c>
      <c r="H92">
        <f>'Corrected energy balance step 2'!I97</f>
        <v>0</v>
      </c>
      <c r="I92">
        <f>'Corrected energy balance step 2'!J97</f>
        <v>0</v>
      </c>
      <c r="J92">
        <f>'Corrected energy balance step 2'!K97</f>
        <v>0</v>
      </c>
      <c r="K92">
        <f>'Corrected energy balance step 2'!L97</f>
        <v>0</v>
      </c>
      <c r="L92">
        <f>'Corrected energy balance step 2'!M97</f>
        <v>0</v>
      </c>
      <c r="M92">
        <f>'Corrected energy balance step 2'!N97</f>
        <v>0</v>
      </c>
      <c r="N92">
        <f>'Corrected energy balance step 2'!O97</f>
        <v>0</v>
      </c>
      <c r="O92">
        <f>'Corrected energy balance step 2'!P97</f>
        <v>0</v>
      </c>
      <c r="P92">
        <f>'Corrected energy balance step 2'!Q97</f>
        <v>0</v>
      </c>
      <c r="Q92">
        <f>'Corrected energy balance step 2'!R97</f>
        <v>0</v>
      </c>
      <c r="R92">
        <f>'Corrected energy balance step 2'!S97</f>
        <v>0</v>
      </c>
      <c r="S92">
        <f>'Corrected energy balance step 2'!T97</f>
        <v>0</v>
      </c>
      <c r="T92">
        <f>'Corrected energy balance step 2'!U97</f>
        <v>0</v>
      </c>
      <c r="U92">
        <f>'Corrected energy balance step 2'!V97</f>
        <v>0</v>
      </c>
      <c r="V92">
        <f>'Corrected energy balance step 2'!W97</f>
        <v>0</v>
      </c>
      <c r="W92">
        <f>'Corrected energy balance step 2'!X97</f>
        <v>0</v>
      </c>
      <c r="X92">
        <f>'Corrected energy balance step 2'!Y97</f>
        <v>0</v>
      </c>
      <c r="Y92">
        <f>'Corrected energy balance step 2'!Z97</f>
        <v>0</v>
      </c>
      <c r="Z92">
        <f>'Corrected energy balance step 2'!AA97</f>
        <v>0</v>
      </c>
      <c r="AA92">
        <f>'Corrected energy balance step 2'!AB97</f>
        <v>0</v>
      </c>
      <c r="AB92">
        <f>'Corrected energy balance step 2'!AC97</f>
        <v>0</v>
      </c>
      <c r="AC92">
        <f>'Corrected energy balance step 2'!AD97</f>
        <v>0</v>
      </c>
      <c r="AD92">
        <f>'Corrected energy balance step 2'!AE97</f>
        <v>0</v>
      </c>
      <c r="AE92">
        <f>'Corrected energy balance step 2'!AF97</f>
        <v>0</v>
      </c>
      <c r="AF92">
        <f>'Corrected energy balance step 2'!AG97</f>
        <v>0</v>
      </c>
      <c r="AG92">
        <f>'Corrected energy balance step 2'!AH97</f>
        <v>0</v>
      </c>
      <c r="AH92">
        <f>'Corrected energy balance step 2'!AI97</f>
        <v>0</v>
      </c>
      <c r="AI92">
        <f>'Corrected energy balance step 2'!AJ97</f>
        <v>0</v>
      </c>
      <c r="AJ92">
        <f>'Corrected energy balance step 2'!AK97</f>
        <v>0</v>
      </c>
      <c r="AK92">
        <f>'Corrected energy balance step 2'!AL97</f>
        <v>0</v>
      </c>
      <c r="AL92">
        <f>'Corrected energy balance step 2'!AM97</f>
        <v>0</v>
      </c>
      <c r="AM92">
        <f>'Corrected energy balance step 2'!AN97</f>
        <v>0</v>
      </c>
      <c r="AN92">
        <f>'Corrected energy balance step 2'!AO97</f>
        <v>0</v>
      </c>
      <c r="AO92">
        <f>'Corrected energy balance step 2'!AP97</f>
        <v>0</v>
      </c>
      <c r="AP92">
        <f>'Corrected energy balance step 2'!AQ97</f>
        <v>0</v>
      </c>
      <c r="AQ92">
        <f>'Corrected energy balance step 2'!AR97</f>
        <v>0</v>
      </c>
      <c r="AR92">
        <f>'Corrected energy balance step 2'!AS97</f>
        <v>0</v>
      </c>
      <c r="AS92">
        <f>'Corrected energy balance step 2'!AT97</f>
        <v>0</v>
      </c>
      <c r="AT92">
        <f>'Corrected energy balance step 2'!AU97</f>
        <v>0</v>
      </c>
      <c r="AU92">
        <f>'Corrected energy balance step 2'!AV97</f>
        <v>0</v>
      </c>
      <c r="AV92">
        <f>'Corrected energy balance step 2'!AW97</f>
        <v>0</v>
      </c>
      <c r="AW92">
        <f>'Corrected energy balance step 2'!AX97</f>
        <v>0</v>
      </c>
      <c r="AX92">
        <f>'Corrected energy balance step 2'!AY97</f>
        <v>0</v>
      </c>
      <c r="AY92">
        <f>'Corrected energy balance step 2'!AZ97</f>
        <v>0</v>
      </c>
      <c r="AZ92">
        <f>'Corrected energy balance step 2'!BA97</f>
        <v>0</v>
      </c>
      <c r="BA92">
        <f>'Corrected energy balance step 2'!BB97</f>
        <v>0</v>
      </c>
      <c r="BB92">
        <f>'Corrected energy balance step 2'!BC97</f>
        <v>0</v>
      </c>
      <c r="BC92">
        <f>'Corrected energy balance step 2'!BD97</f>
        <v>0</v>
      </c>
      <c r="BD92">
        <f>'Corrected energy balance step 2'!BE97</f>
        <v>0</v>
      </c>
      <c r="BE92">
        <f>'Corrected energy balance step 2'!BF97</f>
        <v>0</v>
      </c>
      <c r="BF92">
        <f>'Corrected energy balance step 2'!BG97</f>
        <v>0</v>
      </c>
      <c r="BG92">
        <f>'Corrected energy balance step 2'!BH97</f>
        <v>0</v>
      </c>
      <c r="BH92">
        <f>'Corrected energy balance step 2'!BI97</f>
        <v>0</v>
      </c>
      <c r="BI92">
        <f>'Corrected energy balance step 2'!BJ97</f>
        <v>0</v>
      </c>
      <c r="BJ92">
        <f>'Corrected energy balance step 2'!BK97</f>
        <v>0</v>
      </c>
      <c r="BK92">
        <f>'Corrected energy balance step 2'!BL97</f>
        <v>0</v>
      </c>
      <c r="BL92">
        <f>'Corrected energy balance step 2'!BM97</f>
        <v>0</v>
      </c>
      <c r="BM92">
        <f>'Corrected energy balance step 2'!BN97</f>
        <v>0</v>
      </c>
      <c r="BN92">
        <f>'Corrected energy balance step 2'!BO97</f>
        <v>0</v>
      </c>
    </row>
    <row r="93" spans="1:66" x14ac:dyDescent="0.2">
      <c r="A93" t="s">
        <v>130</v>
      </c>
      <c r="B93">
        <f>'Corrected energy balance step 2'!C98</f>
        <v>0</v>
      </c>
      <c r="C93">
        <f>'Corrected energy balance step 2'!D98</f>
        <v>0</v>
      </c>
      <c r="D93">
        <f>'Corrected energy balance step 2'!E98</f>
        <v>0</v>
      </c>
      <c r="E93">
        <f>'Corrected energy balance step 2'!F98</f>
        <v>0</v>
      </c>
      <c r="F93">
        <f>'Corrected energy balance step 2'!G98</f>
        <v>0</v>
      </c>
      <c r="G93">
        <f>'Corrected energy balance step 2'!H98</f>
        <v>0</v>
      </c>
      <c r="H93">
        <f>'Corrected energy balance step 2'!I98</f>
        <v>0</v>
      </c>
      <c r="I93">
        <f>'Corrected energy balance step 2'!J98</f>
        <v>0</v>
      </c>
      <c r="J93">
        <f>'Corrected energy balance step 2'!K98</f>
        <v>0</v>
      </c>
      <c r="K93">
        <f>'Corrected energy balance step 2'!L98</f>
        <v>0</v>
      </c>
      <c r="L93">
        <f>'Corrected energy balance step 2'!M98</f>
        <v>0</v>
      </c>
      <c r="M93">
        <f>'Corrected energy balance step 2'!N98</f>
        <v>0</v>
      </c>
      <c r="N93">
        <f>'Corrected energy balance step 2'!O98</f>
        <v>0</v>
      </c>
      <c r="O93">
        <f>'Corrected energy balance step 2'!P98</f>
        <v>0</v>
      </c>
      <c r="P93">
        <f>'Corrected energy balance step 2'!Q98</f>
        <v>0</v>
      </c>
      <c r="Q93">
        <f>'Corrected energy balance step 2'!R98</f>
        <v>0</v>
      </c>
      <c r="R93">
        <f>'Corrected energy balance step 2'!S98</f>
        <v>0</v>
      </c>
      <c r="S93">
        <f>'Corrected energy balance step 2'!T98</f>
        <v>0</v>
      </c>
      <c r="T93">
        <f>'Corrected energy balance step 2'!U98</f>
        <v>0</v>
      </c>
      <c r="U93">
        <f>'Corrected energy balance step 2'!V98</f>
        <v>0</v>
      </c>
      <c r="V93">
        <f>'Corrected energy balance step 2'!W98</f>
        <v>0</v>
      </c>
      <c r="W93">
        <f>'Corrected energy balance step 2'!X98</f>
        <v>0</v>
      </c>
      <c r="X93">
        <f>'Corrected energy balance step 2'!Y98</f>
        <v>0</v>
      </c>
      <c r="Y93">
        <f>'Corrected energy balance step 2'!Z98</f>
        <v>0</v>
      </c>
      <c r="Z93">
        <f>'Corrected energy balance step 2'!AA98</f>
        <v>0</v>
      </c>
      <c r="AA93">
        <f>'Corrected energy balance step 2'!AB98</f>
        <v>0</v>
      </c>
      <c r="AB93">
        <f>'Corrected energy balance step 2'!AC98</f>
        <v>0</v>
      </c>
      <c r="AC93">
        <f>'Corrected energy balance step 2'!AD98</f>
        <v>0</v>
      </c>
      <c r="AD93">
        <f>'Corrected energy balance step 2'!AE98</f>
        <v>0</v>
      </c>
      <c r="AE93">
        <f>'Corrected energy balance step 2'!AF98</f>
        <v>0</v>
      </c>
      <c r="AF93">
        <f>'Corrected energy balance step 2'!AG98</f>
        <v>0</v>
      </c>
      <c r="AG93">
        <f>'Corrected energy balance step 2'!AH98</f>
        <v>0</v>
      </c>
      <c r="AH93">
        <f>'Corrected energy balance step 2'!AI98</f>
        <v>0</v>
      </c>
      <c r="AI93">
        <f>'Corrected energy balance step 2'!AJ98</f>
        <v>0</v>
      </c>
      <c r="AJ93">
        <f>'Corrected energy balance step 2'!AK98</f>
        <v>0</v>
      </c>
      <c r="AK93">
        <f>'Corrected energy balance step 2'!AL98</f>
        <v>0</v>
      </c>
      <c r="AL93">
        <f>'Corrected energy balance step 2'!AM98</f>
        <v>0</v>
      </c>
      <c r="AM93">
        <f>'Corrected energy balance step 2'!AN98</f>
        <v>0</v>
      </c>
      <c r="AN93">
        <f>'Corrected energy balance step 2'!AO98</f>
        <v>0</v>
      </c>
      <c r="AO93">
        <f>'Corrected energy balance step 2'!AP98</f>
        <v>0</v>
      </c>
      <c r="AP93">
        <f>'Corrected energy balance step 2'!AQ98</f>
        <v>0</v>
      </c>
      <c r="AQ93">
        <f>'Corrected energy balance step 2'!AR98</f>
        <v>0</v>
      </c>
      <c r="AR93">
        <f>'Corrected energy balance step 2'!AS98</f>
        <v>0</v>
      </c>
      <c r="AS93">
        <f>'Corrected energy balance step 2'!AT98</f>
        <v>0</v>
      </c>
      <c r="AT93">
        <f>'Corrected energy balance step 2'!AU98</f>
        <v>0</v>
      </c>
      <c r="AU93">
        <f>'Corrected energy balance step 2'!AV98</f>
        <v>0</v>
      </c>
      <c r="AV93">
        <f>'Corrected energy balance step 2'!AW98</f>
        <v>0</v>
      </c>
      <c r="AW93">
        <f>'Corrected energy balance step 2'!AX98</f>
        <v>0</v>
      </c>
      <c r="AX93">
        <f>'Corrected energy balance step 2'!AY98</f>
        <v>0</v>
      </c>
      <c r="AY93">
        <f>'Corrected energy balance step 2'!AZ98</f>
        <v>0</v>
      </c>
      <c r="AZ93">
        <f>'Corrected energy balance step 2'!BA98</f>
        <v>0</v>
      </c>
      <c r="BA93">
        <f>'Corrected energy balance step 2'!BB98</f>
        <v>0</v>
      </c>
      <c r="BB93">
        <f>'Corrected energy balance step 2'!BC98</f>
        <v>0</v>
      </c>
      <c r="BC93">
        <f>'Corrected energy balance step 2'!BD98</f>
        <v>0</v>
      </c>
      <c r="BD93">
        <f>'Corrected energy balance step 2'!BE98</f>
        <v>0</v>
      </c>
      <c r="BE93">
        <f>'Corrected energy balance step 2'!BF98</f>
        <v>0</v>
      </c>
      <c r="BF93">
        <f>'Corrected energy balance step 2'!BG98</f>
        <v>0</v>
      </c>
      <c r="BG93">
        <f>'Corrected energy balance step 2'!BH98</f>
        <v>0</v>
      </c>
      <c r="BH93">
        <f>'Corrected energy balance step 2'!BI98</f>
        <v>0</v>
      </c>
      <c r="BI93">
        <f>'Corrected energy balance step 2'!BJ98</f>
        <v>0</v>
      </c>
      <c r="BJ93">
        <f>'Corrected energy balance step 2'!BK98</f>
        <v>0</v>
      </c>
      <c r="BK93">
        <f>'Corrected energy balance step 2'!BL98</f>
        <v>0</v>
      </c>
      <c r="BL93">
        <f>'Corrected energy balance step 2'!BM98</f>
        <v>0</v>
      </c>
      <c r="BM93">
        <f>'Corrected energy balance step 2'!BN98</f>
        <v>0</v>
      </c>
      <c r="BN93">
        <f>'Corrected energy balance step 2'!BO98</f>
        <v>0</v>
      </c>
    </row>
    <row r="94" spans="1:66" x14ac:dyDescent="0.2">
      <c r="A94" t="s">
        <v>131</v>
      </c>
      <c r="B94">
        <f>'Corrected energy balance step 2'!C99</f>
        <v>0</v>
      </c>
      <c r="C94">
        <f>'Corrected energy balance step 2'!D99</f>
        <v>0</v>
      </c>
      <c r="D94">
        <f>'Corrected energy balance step 2'!E99</f>
        <v>0</v>
      </c>
      <c r="E94">
        <f>'Corrected energy balance step 2'!F99</f>
        <v>0</v>
      </c>
      <c r="F94">
        <f>'Corrected energy balance step 2'!G99</f>
        <v>0</v>
      </c>
      <c r="G94">
        <f>'Corrected energy balance step 2'!H99</f>
        <v>0</v>
      </c>
      <c r="H94">
        <f>'Corrected energy balance step 2'!I99</f>
        <v>0</v>
      </c>
      <c r="I94">
        <f>'Corrected energy balance step 2'!J99</f>
        <v>0</v>
      </c>
      <c r="J94">
        <f>'Corrected energy balance step 2'!K99</f>
        <v>0</v>
      </c>
      <c r="K94">
        <f>'Corrected energy balance step 2'!L99</f>
        <v>0</v>
      </c>
      <c r="L94">
        <f>'Corrected energy balance step 2'!M99</f>
        <v>0</v>
      </c>
      <c r="M94">
        <f>'Corrected energy balance step 2'!N99</f>
        <v>0</v>
      </c>
      <c r="N94">
        <f>'Corrected energy balance step 2'!O99</f>
        <v>0</v>
      </c>
      <c r="O94">
        <f>'Corrected energy balance step 2'!P99</f>
        <v>0</v>
      </c>
      <c r="P94">
        <f>'Corrected energy balance step 2'!Q99</f>
        <v>0</v>
      </c>
      <c r="Q94">
        <f>'Corrected energy balance step 2'!R99</f>
        <v>0</v>
      </c>
      <c r="R94">
        <f>'Corrected energy balance step 2'!S99</f>
        <v>0</v>
      </c>
      <c r="S94">
        <f>'Corrected energy balance step 2'!T99</f>
        <v>0</v>
      </c>
      <c r="T94">
        <f>'Corrected energy balance step 2'!U99</f>
        <v>0</v>
      </c>
      <c r="U94">
        <f>'Corrected energy balance step 2'!V99</f>
        <v>0</v>
      </c>
      <c r="V94">
        <f>'Corrected energy balance step 2'!W99</f>
        <v>0</v>
      </c>
      <c r="W94">
        <f>'Corrected energy balance step 2'!X99</f>
        <v>0</v>
      </c>
      <c r="X94">
        <f>'Corrected energy balance step 2'!Y99</f>
        <v>0</v>
      </c>
      <c r="Y94">
        <f>'Corrected energy balance step 2'!Z99</f>
        <v>0</v>
      </c>
      <c r="Z94">
        <f>'Corrected energy balance step 2'!AA99</f>
        <v>0</v>
      </c>
      <c r="AA94">
        <f>'Corrected energy balance step 2'!AB99</f>
        <v>0</v>
      </c>
      <c r="AB94">
        <f>'Corrected energy balance step 2'!AC99</f>
        <v>0</v>
      </c>
      <c r="AC94">
        <f>'Corrected energy balance step 2'!AD99</f>
        <v>0</v>
      </c>
      <c r="AD94">
        <f>'Corrected energy balance step 2'!AE99</f>
        <v>0</v>
      </c>
      <c r="AE94">
        <f>'Corrected energy balance step 2'!AF99</f>
        <v>0</v>
      </c>
      <c r="AF94">
        <f>'Corrected energy balance step 2'!AG99</f>
        <v>0</v>
      </c>
      <c r="AG94">
        <f>'Corrected energy balance step 2'!AH99</f>
        <v>0</v>
      </c>
      <c r="AH94">
        <f>'Corrected energy balance step 2'!AI99</f>
        <v>0</v>
      </c>
      <c r="AI94">
        <f>'Corrected energy balance step 2'!AJ99</f>
        <v>0</v>
      </c>
      <c r="AJ94">
        <f>'Corrected energy balance step 2'!AK99</f>
        <v>0</v>
      </c>
      <c r="AK94">
        <f>'Corrected energy balance step 2'!AL99</f>
        <v>0</v>
      </c>
      <c r="AL94">
        <f>'Corrected energy balance step 2'!AM99</f>
        <v>0</v>
      </c>
      <c r="AM94">
        <f>'Corrected energy balance step 2'!AN99</f>
        <v>0</v>
      </c>
      <c r="AN94">
        <f>'Corrected energy balance step 2'!AO99</f>
        <v>0</v>
      </c>
      <c r="AO94">
        <f>'Corrected energy balance step 2'!AP99</f>
        <v>0</v>
      </c>
      <c r="AP94">
        <f>'Corrected energy balance step 2'!AQ99</f>
        <v>0</v>
      </c>
      <c r="AQ94">
        <f>'Corrected energy balance step 2'!AR99</f>
        <v>0</v>
      </c>
      <c r="AR94">
        <f>'Corrected energy balance step 2'!AS99</f>
        <v>0</v>
      </c>
      <c r="AS94">
        <f>'Corrected energy balance step 2'!AT99</f>
        <v>0</v>
      </c>
      <c r="AT94">
        <f>'Corrected energy balance step 2'!AU99</f>
        <v>0</v>
      </c>
      <c r="AU94">
        <f>'Corrected energy balance step 2'!AV99</f>
        <v>0</v>
      </c>
      <c r="AV94">
        <f>'Corrected energy balance step 2'!AW99</f>
        <v>0</v>
      </c>
      <c r="AW94">
        <f>'Corrected energy balance step 2'!AX99</f>
        <v>0</v>
      </c>
      <c r="AX94">
        <f>'Corrected energy balance step 2'!AY99</f>
        <v>0</v>
      </c>
      <c r="AY94">
        <f>'Corrected energy balance step 2'!AZ99</f>
        <v>0</v>
      </c>
      <c r="AZ94">
        <f>'Corrected energy balance step 2'!BA99</f>
        <v>0</v>
      </c>
      <c r="BA94">
        <f>'Corrected energy balance step 2'!BB99</f>
        <v>0</v>
      </c>
      <c r="BB94">
        <f>'Corrected energy balance step 2'!BC99</f>
        <v>0</v>
      </c>
      <c r="BC94">
        <f>'Corrected energy balance step 2'!BD99</f>
        <v>0</v>
      </c>
      <c r="BD94">
        <f>'Corrected energy balance step 2'!BE99</f>
        <v>0</v>
      </c>
      <c r="BE94">
        <f>'Corrected energy balance step 2'!BF99</f>
        <v>0</v>
      </c>
      <c r="BF94">
        <f>'Corrected energy balance step 2'!BG99</f>
        <v>0</v>
      </c>
      <c r="BG94">
        <f>'Corrected energy balance step 2'!BH99</f>
        <v>0</v>
      </c>
      <c r="BH94">
        <f>'Corrected energy balance step 2'!BI99</f>
        <v>0</v>
      </c>
      <c r="BI94">
        <f>'Corrected energy balance step 2'!BJ99</f>
        <v>0</v>
      </c>
      <c r="BJ94">
        <f>'Corrected energy balance step 2'!BK99</f>
        <v>0</v>
      </c>
      <c r="BK94">
        <f>'Corrected energy balance step 2'!BL99</f>
        <v>0</v>
      </c>
      <c r="BL94">
        <f>'Corrected energy balance step 2'!BM99</f>
        <v>0</v>
      </c>
      <c r="BM94">
        <f>'Corrected energy balance step 2'!BN99</f>
        <v>0</v>
      </c>
      <c r="BN94">
        <f>'Corrected energy balance step 2'!BO99</f>
        <v>0</v>
      </c>
    </row>
    <row r="95" spans="1:66" x14ac:dyDescent="0.2">
      <c r="A95" t="s">
        <v>132</v>
      </c>
      <c r="B95">
        <f>'Corrected energy balance step 2'!C100</f>
        <v>0</v>
      </c>
      <c r="C95">
        <f>'Corrected energy balance step 2'!D100</f>
        <v>0</v>
      </c>
      <c r="D95">
        <f>'Corrected energy balance step 2'!E100</f>
        <v>0</v>
      </c>
      <c r="E95">
        <f>'Corrected energy balance step 2'!F100</f>
        <v>0</v>
      </c>
      <c r="F95">
        <f>'Corrected energy balance step 2'!G100</f>
        <v>0</v>
      </c>
      <c r="G95">
        <f>'Corrected energy balance step 2'!H100</f>
        <v>0</v>
      </c>
      <c r="H95">
        <f>'Corrected energy balance step 2'!I100</f>
        <v>0</v>
      </c>
      <c r="I95">
        <f>'Corrected energy balance step 2'!J100</f>
        <v>0</v>
      </c>
      <c r="J95">
        <f>'Corrected energy balance step 2'!K100</f>
        <v>0</v>
      </c>
      <c r="K95">
        <f>'Corrected energy balance step 2'!L100</f>
        <v>0</v>
      </c>
      <c r="L95">
        <f>'Corrected energy balance step 2'!M100</f>
        <v>0</v>
      </c>
      <c r="M95">
        <f>'Corrected energy balance step 2'!N100</f>
        <v>0</v>
      </c>
      <c r="N95">
        <f>'Corrected energy balance step 2'!O100</f>
        <v>0</v>
      </c>
      <c r="O95">
        <f>'Corrected energy balance step 2'!P100</f>
        <v>0</v>
      </c>
      <c r="P95">
        <f>'Corrected energy balance step 2'!Q100</f>
        <v>0</v>
      </c>
      <c r="Q95">
        <f>'Corrected energy balance step 2'!R100</f>
        <v>0</v>
      </c>
      <c r="R95">
        <f>'Corrected energy balance step 2'!S100</f>
        <v>0</v>
      </c>
      <c r="S95">
        <f>'Corrected energy balance step 2'!T100</f>
        <v>0</v>
      </c>
      <c r="T95">
        <f>'Corrected energy balance step 2'!U100</f>
        <v>0</v>
      </c>
      <c r="U95">
        <f>'Corrected energy balance step 2'!V100</f>
        <v>0</v>
      </c>
      <c r="V95">
        <f>'Corrected energy balance step 2'!W100</f>
        <v>0</v>
      </c>
      <c r="W95">
        <f>'Corrected energy balance step 2'!X100</f>
        <v>0</v>
      </c>
      <c r="X95">
        <f>'Corrected energy balance step 2'!Y100</f>
        <v>0</v>
      </c>
      <c r="Y95">
        <f>'Corrected energy balance step 2'!Z100</f>
        <v>0</v>
      </c>
      <c r="Z95">
        <f>'Corrected energy balance step 2'!AA100</f>
        <v>0</v>
      </c>
      <c r="AA95">
        <f>'Corrected energy balance step 2'!AB100</f>
        <v>0</v>
      </c>
      <c r="AB95">
        <f>'Corrected energy balance step 2'!AC100</f>
        <v>0</v>
      </c>
      <c r="AC95">
        <f>'Corrected energy balance step 2'!AD100</f>
        <v>0</v>
      </c>
      <c r="AD95">
        <f>'Corrected energy balance step 2'!AE100</f>
        <v>0</v>
      </c>
      <c r="AE95">
        <f>'Corrected energy balance step 2'!AF100</f>
        <v>0</v>
      </c>
      <c r="AF95">
        <f>'Corrected energy balance step 2'!AG100</f>
        <v>0</v>
      </c>
      <c r="AG95">
        <f>'Corrected energy balance step 2'!AH100</f>
        <v>0</v>
      </c>
      <c r="AH95">
        <f>'Corrected energy balance step 2'!AI100</f>
        <v>0</v>
      </c>
      <c r="AI95">
        <f>'Corrected energy balance step 2'!AJ100</f>
        <v>0</v>
      </c>
      <c r="AJ95">
        <f>'Corrected energy balance step 2'!AK100</f>
        <v>0</v>
      </c>
      <c r="AK95">
        <f>'Corrected energy balance step 2'!AL100</f>
        <v>0</v>
      </c>
      <c r="AL95">
        <f>'Corrected energy balance step 2'!AM100</f>
        <v>0</v>
      </c>
      <c r="AM95">
        <f>'Corrected energy balance step 2'!AN100</f>
        <v>0</v>
      </c>
      <c r="AN95">
        <f>'Corrected energy balance step 2'!AO100</f>
        <v>0</v>
      </c>
      <c r="AO95">
        <f>'Corrected energy balance step 2'!AP100</f>
        <v>0</v>
      </c>
      <c r="AP95">
        <f>'Corrected energy balance step 2'!AQ100</f>
        <v>0</v>
      </c>
      <c r="AQ95">
        <f>'Corrected energy balance step 2'!AR100</f>
        <v>0</v>
      </c>
      <c r="AR95">
        <f>'Corrected energy balance step 2'!AS100</f>
        <v>0</v>
      </c>
      <c r="AS95">
        <f>'Corrected energy balance step 2'!AT100</f>
        <v>0</v>
      </c>
      <c r="AT95">
        <f>'Corrected energy balance step 2'!AU100</f>
        <v>0</v>
      </c>
      <c r="AU95">
        <f>'Corrected energy balance step 2'!AV100</f>
        <v>0</v>
      </c>
      <c r="AV95">
        <f>'Corrected energy balance step 2'!AW100</f>
        <v>0</v>
      </c>
      <c r="AW95">
        <f>'Corrected energy balance step 2'!AX100</f>
        <v>0</v>
      </c>
      <c r="AX95">
        <f>'Corrected energy balance step 2'!AY100</f>
        <v>0</v>
      </c>
      <c r="AY95">
        <f>'Corrected energy balance step 2'!AZ100</f>
        <v>0</v>
      </c>
      <c r="AZ95">
        <f>'Corrected energy balance step 2'!BA100</f>
        <v>0</v>
      </c>
      <c r="BA95">
        <f>'Corrected energy balance step 2'!BB100</f>
        <v>0</v>
      </c>
      <c r="BB95">
        <f>'Corrected energy balance step 2'!BC100</f>
        <v>0</v>
      </c>
      <c r="BC95">
        <f>'Corrected energy balance step 2'!BD100</f>
        <v>0</v>
      </c>
      <c r="BD95">
        <f>'Corrected energy balance step 2'!BE100</f>
        <v>0</v>
      </c>
      <c r="BE95">
        <f>'Corrected energy balance step 2'!BF100</f>
        <v>0</v>
      </c>
      <c r="BF95">
        <f>'Corrected energy balance step 2'!BG100</f>
        <v>0</v>
      </c>
      <c r="BG95">
        <f>'Corrected energy balance step 2'!BH100</f>
        <v>0</v>
      </c>
      <c r="BH95">
        <f>'Corrected energy balance step 2'!BI100</f>
        <v>0</v>
      </c>
      <c r="BI95">
        <f>'Corrected energy balance step 2'!BJ100</f>
        <v>0</v>
      </c>
      <c r="BJ95">
        <f>'Corrected energy balance step 2'!BK100</f>
        <v>0</v>
      </c>
      <c r="BK95">
        <f>'Corrected energy balance step 2'!BL100</f>
        <v>0</v>
      </c>
      <c r="BL95">
        <f>'Corrected energy balance step 2'!BM100</f>
        <v>0</v>
      </c>
      <c r="BM95">
        <f>'Corrected energy balance step 2'!BN100</f>
        <v>0</v>
      </c>
      <c r="BN95">
        <f>'Corrected energy balance step 2'!BO100</f>
        <v>0</v>
      </c>
    </row>
    <row r="96" spans="1:66" x14ac:dyDescent="0.2">
      <c r="A96" t="s">
        <v>133</v>
      </c>
      <c r="B96">
        <f>'Corrected energy balance step 2'!C101</f>
        <v>0</v>
      </c>
      <c r="C96">
        <f>'Corrected energy balance step 2'!D101</f>
        <v>0</v>
      </c>
      <c r="D96">
        <f>'Corrected energy balance step 2'!E101</f>
        <v>0</v>
      </c>
      <c r="E96">
        <f>'Corrected energy balance step 2'!F101</f>
        <v>0</v>
      </c>
      <c r="F96">
        <f>'Corrected energy balance step 2'!G101</f>
        <v>0</v>
      </c>
      <c r="G96">
        <f>'Corrected energy balance step 2'!H101</f>
        <v>0</v>
      </c>
      <c r="H96">
        <f>'Corrected energy balance step 2'!I101</f>
        <v>0</v>
      </c>
      <c r="I96">
        <f>'Corrected energy balance step 2'!J101</f>
        <v>0</v>
      </c>
      <c r="J96">
        <f>'Corrected energy balance step 2'!K101</f>
        <v>0</v>
      </c>
      <c r="K96">
        <f>'Corrected energy balance step 2'!L101</f>
        <v>0</v>
      </c>
      <c r="L96">
        <f>'Corrected energy balance step 2'!M101</f>
        <v>0</v>
      </c>
      <c r="M96">
        <f>'Corrected energy balance step 2'!N101</f>
        <v>0</v>
      </c>
      <c r="N96">
        <f>'Corrected energy balance step 2'!O101</f>
        <v>0</v>
      </c>
      <c r="O96">
        <f>'Corrected energy balance step 2'!P101</f>
        <v>0</v>
      </c>
      <c r="P96">
        <f>'Corrected energy balance step 2'!Q101</f>
        <v>0</v>
      </c>
      <c r="Q96">
        <f>'Corrected energy balance step 2'!R101</f>
        <v>0</v>
      </c>
      <c r="R96">
        <f>'Corrected energy balance step 2'!S101</f>
        <v>0</v>
      </c>
      <c r="S96">
        <f>'Corrected energy balance step 2'!T101</f>
        <v>0</v>
      </c>
      <c r="T96">
        <f>'Corrected energy balance step 2'!U101</f>
        <v>0</v>
      </c>
      <c r="U96">
        <f>'Corrected energy balance step 2'!V101</f>
        <v>0</v>
      </c>
      <c r="V96">
        <f>'Corrected energy balance step 2'!W101</f>
        <v>0</v>
      </c>
      <c r="W96">
        <f>'Corrected energy balance step 2'!X101</f>
        <v>0</v>
      </c>
      <c r="X96">
        <f>'Corrected energy balance step 2'!Y101</f>
        <v>0</v>
      </c>
      <c r="Y96">
        <f>'Corrected energy balance step 2'!Z101</f>
        <v>0</v>
      </c>
      <c r="Z96">
        <f>'Corrected energy balance step 2'!AA101</f>
        <v>0</v>
      </c>
      <c r="AA96">
        <f>'Corrected energy balance step 2'!AB101</f>
        <v>0</v>
      </c>
      <c r="AB96">
        <f>'Corrected energy balance step 2'!AC101</f>
        <v>0</v>
      </c>
      <c r="AC96">
        <f>'Corrected energy balance step 2'!AD101</f>
        <v>0</v>
      </c>
      <c r="AD96">
        <f>'Corrected energy balance step 2'!AE101</f>
        <v>0</v>
      </c>
      <c r="AE96">
        <f>'Corrected energy balance step 2'!AF101</f>
        <v>0</v>
      </c>
      <c r="AF96">
        <f>'Corrected energy balance step 2'!AG101</f>
        <v>0</v>
      </c>
      <c r="AG96">
        <f>'Corrected energy balance step 2'!AH101</f>
        <v>0</v>
      </c>
      <c r="AH96">
        <f>'Corrected energy balance step 2'!AI101</f>
        <v>0</v>
      </c>
      <c r="AI96">
        <f>'Corrected energy balance step 2'!AJ101</f>
        <v>0</v>
      </c>
      <c r="AJ96">
        <f>'Corrected energy balance step 2'!AK101</f>
        <v>0</v>
      </c>
      <c r="AK96">
        <f>'Corrected energy balance step 2'!AL101</f>
        <v>0</v>
      </c>
      <c r="AL96">
        <f>'Corrected energy balance step 2'!AM101</f>
        <v>0</v>
      </c>
      <c r="AM96">
        <f>'Corrected energy balance step 2'!AN101</f>
        <v>0</v>
      </c>
      <c r="AN96">
        <f>'Corrected energy balance step 2'!AO101</f>
        <v>0</v>
      </c>
      <c r="AO96">
        <f>'Corrected energy balance step 2'!AP101</f>
        <v>0</v>
      </c>
      <c r="AP96">
        <f>'Corrected energy balance step 2'!AQ101</f>
        <v>0</v>
      </c>
      <c r="AQ96">
        <f>'Corrected energy balance step 2'!AR101</f>
        <v>0</v>
      </c>
      <c r="AR96">
        <f>'Corrected energy balance step 2'!AS101</f>
        <v>0</v>
      </c>
      <c r="AS96">
        <f>'Corrected energy balance step 2'!AT101</f>
        <v>0</v>
      </c>
      <c r="AT96">
        <f>'Corrected energy balance step 2'!AU101</f>
        <v>0</v>
      </c>
      <c r="AU96">
        <f>'Corrected energy balance step 2'!AV101</f>
        <v>0</v>
      </c>
      <c r="AV96">
        <f>'Corrected energy balance step 2'!AW101</f>
        <v>0</v>
      </c>
      <c r="AW96">
        <f>'Corrected energy balance step 2'!AX101</f>
        <v>0</v>
      </c>
      <c r="AX96">
        <f>'Corrected energy balance step 2'!AY101</f>
        <v>0</v>
      </c>
      <c r="AY96">
        <f>'Corrected energy balance step 2'!AZ101</f>
        <v>0</v>
      </c>
      <c r="AZ96">
        <f>'Corrected energy balance step 2'!BA101</f>
        <v>0</v>
      </c>
      <c r="BA96">
        <f>'Corrected energy balance step 2'!BB101</f>
        <v>0</v>
      </c>
      <c r="BB96">
        <f>'Corrected energy balance step 2'!BC101</f>
        <v>0</v>
      </c>
      <c r="BC96">
        <f>'Corrected energy balance step 2'!BD101</f>
        <v>0</v>
      </c>
      <c r="BD96">
        <f>'Corrected energy balance step 2'!BE101</f>
        <v>0</v>
      </c>
      <c r="BE96">
        <f>'Corrected energy balance step 2'!BF101</f>
        <v>0</v>
      </c>
      <c r="BF96">
        <f>'Corrected energy balance step 2'!BG101</f>
        <v>0</v>
      </c>
      <c r="BG96">
        <f>'Corrected energy balance step 2'!BH101</f>
        <v>0</v>
      </c>
      <c r="BH96">
        <f>'Corrected energy balance step 2'!BI101</f>
        <v>0</v>
      </c>
      <c r="BI96">
        <f>'Corrected energy balance step 2'!BJ101</f>
        <v>0</v>
      </c>
      <c r="BJ96">
        <f>'Corrected energy balance step 2'!BK101</f>
        <v>0</v>
      </c>
      <c r="BK96">
        <f>'Corrected energy balance step 2'!BL101</f>
        <v>0</v>
      </c>
      <c r="BL96">
        <f>'Corrected energy balance step 2'!BM101</f>
        <v>0</v>
      </c>
      <c r="BM96">
        <f>'Corrected energy balance step 2'!BN101</f>
        <v>0</v>
      </c>
      <c r="BN96">
        <f>'Corrected energy balance step 2'!BO101</f>
        <v>0</v>
      </c>
    </row>
  </sheetData>
  <pageMargins left="0.75" right="0.75" top="1" bottom="1" header="0.5" footer="0.5"/>
  <extLst>
    <ext xmlns:mx="http://schemas.microsoft.com/office/mac/excel/2008/main" uri="{64002731-A6B0-56B0-2670-7721B7C09600}">
      <mx:PLV Mode="0" OnePage="0" WScale="0"/>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tabColor theme="7" tint="0.39997558519241921"/>
  </sheetPr>
  <dimension ref="A1:H70"/>
  <sheetViews>
    <sheetView workbookViewId="0">
      <selection activeCell="B59" sqref="B59"/>
    </sheetView>
  </sheetViews>
  <sheetFormatPr baseColWidth="10" defaultRowHeight="16" x14ac:dyDescent="0.2"/>
  <cols>
    <col min="1" max="1" width="51.5" customWidth="1"/>
    <col min="3" max="4" width="15.33203125" customWidth="1"/>
  </cols>
  <sheetData>
    <row r="1" spans="1:8" x14ac:dyDescent="0.2">
      <c r="A1" t="s">
        <v>845</v>
      </c>
    </row>
    <row r="2" spans="1:8" x14ac:dyDescent="0.2">
      <c r="A2" t="s">
        <v>324</v>
      </c>
      <c r="B2" s="282" t="s">
        <v>204</v>
      </c>
      <c r="C2" s="282" t="s">
        <v>270</v>
      </c>
      <c r="D2" t="s">
        <v>858</v>
      </c>
      <c r="E2" t="s">
        <v>939</v>
      </c>
    </row>
    <row r="3" spans="1:8" x14ac:dyDescent="0.2">
      <c r="A3" t="s">
        <v>793</v>
      </c>
      <c r="B3" s="282" t="e">
        <f>'Results by machine'!E49</f>
        <v>#DIV/0!</v>
      </c>
      <c r="C3" s="282">
        <f>'Results by machine'!L49</f>
        <v>2190</v>
      </c>
      <c r="D3" s="557"/>
      <c r="E3" s="557">
        <f>all_technical_specs!G47</f>
        <v>0</v>
      </c>
    </row>
    <row r="4" spans="1:8" x14ac:dyDescent="0.2">
      <c r="A4" t="s">
        <v>794</v>
      </c>
      <c r="B4" s="282" t="e">
        <f>'Results by machine'!E45</f>
        <v>#DIV/0!</v>
      </c>
      <c r="C4" s="282">
        <f>'Results by machine'!L45</f>
        <v>2190</v>
      </c>
      <c r="D4" s="557"/>
      <c r="E4" s="557">
        <f>all_technical_specs!G42</f>
        <v>0</v>
      </c>
    </row>
    <row r="5" spans="1:8" x14ac:dyDescent="0.2">
      <c r="A5" t="s">
        <v>799</v>
      </c>
      <c r="B5" s="282">
        <v>0</v>
      </c>
      <c r="C5" s="282">
        <f>'Results by machine'!L46</f>
        <v>2190</v>
      </c>
      <c r="D5" s="557"/>
      <c r="E5" s="557">
        <f>all_technical_specs!G49</f>
        <v>0</v>
      </c>
    </row>
    <row r="6" spans="1:8" x14ac:dyDescent="0.2">
      <c r="A6" t="s">
        <v>796</v>
      </c>
      <c r="B6" s="282" t="e">
        <f>'Results by machine'!E47</f>
        <v>#DIV/0!</v>
      </c>
      <c r="C6" s="282">
        <f>'Results by machine'!L47</f>
        <v>2190</v>
      </c>
      <c r="D6" s="557"/>
      <c r="E6" s="557">
        <f>all_technical_specs!G45</f>
        <v>0</v>
      </c>
    </row>
    <row r="7" spans="1:8" x14ac:dyDescent="0.2">
      <c r="A7" t="s">
        <v>797</v>
      </c>
      <c r="B7" s="282" t="e">
        <f>'Results by machine'!E46</f>
        <v>#DIV/0!</v>
      </c>
      <c r="C7" s="282">
        <f>'Results by machine'!L46</f>
        <v>2190</v>
      </c>
      <c r="D7" s="557"/>
      <c r="E7" s="557">
        <f>all_technical_specs!G44</f>
        <v>0</v>
      </c>
    </row>
    <row r="8" spans="1:8" x14ac:dyDescent="0.2">
      <c r="A8" t="s">
        <v>846</v>
      </c>
      <c r="B8" s="282">
        <v>0</v>
      </c>
      <c r="C8" s="282">
        <f>Dashboard!E142</f>
        <v>0</v>
      </c>
    </row>
    <row r="9" spans="1:8" x14ac:dyDescent="0.2">
      <c r="A9" t="s">
        <v>798</v>
      </c>
      <c r="B9" s="282" t="e">
        <f>'Results by machine'!E48</f>
        <v>#DIV/0!</v>
      </c>
      <c r="C9" s="282">
        <f>'Results by machine'!L48</f>
        <v>2190</v>
      </c>
      <c r="D9" s="557"/>
      <c r="E9" s="557">
        <f>all_technical_specs!G46</f>
        <v>0</v>
      </c>
    </row>
    <row r="10" spans="1:8" x14ac:dyDescent="0.2">
      <c r="A10" t="s">
        <v>800</v>
      </c>
      <c r="B10" s="282">
        <v>0</v>
      </c>
      <c r="C10" s="282">
        <f>Dashboard!E141</f>
        <v>6500</v>
      </c>
      <c r="D10" s="557"/>
      <c r="E10" s="557">
        <f>all_technical_specs!G48</f>
        <v>0</v>
      </c>
    </row>
    <row r="11" spans="1:8" x14ac:dyDescent="0.2">
      <c r="A11" t="s">
        <v>780</v>
      </c>
      <c r="B11" s="282" t="e">
        <f>'Results by machine'!E63</f>
        <v>#DIV/0!</v>
      </c>
      <c r="C11" s="282">
        <f>'Results by machine'!L63</f>
        <v>0</v>
      </c>
      <c r="D11" s="606">
        <f>INDEX('Production table step 1'!$A:$F,MATCH(csv_central_producers!$A11,'Production table step 1'!$A:$A,0),COLUMN())</f>
        <v>0</v>
      </c>
      <c r="E11" s="606">
        <f>INDEX('Production table step 1'!$A:$F,MATCH(csv_central_producers!$A11,'Production table step 1'!$A:$A,0),COLUMN())</f>
        <v>0</v>
      </c>
      <c r="F11" s="56"/>
      <c r="G11" s="306"/>
      <c r="H11" s="80"/>
    </row>
    <row r="12" spans="1:8" x14ac:dyDescent="0.2">
      <c r="A12" t="s">
        <v>781</v>
      </c>
      <c r="B12" s="282">
        <f>INDEX('Production table step 1'!$A:$C,MATCH(csv_central_producers!$A12,'Production table step 1'!$A:$A,0),COLUMN())</f>
        <v>0</v>
      </c>
      <c r="C12" s="282">
        <f>INDEX('Production table step 1'!$A:$C,MATCH(csv_central_producers!$A12,'Production table step 1'!$A:$A,0),COLUMN())</f>
        <v>0</v>
      </c>
      <c r="D12" s="606">
        <f>INDEX('Production table step 1'!$A:$F,MATCH(csv_central_producers!$A12,'Production table step 1'!$A:$A,0),COLUMN())</f>
        <v>0</v>
      </c>
      <c r="E12" s="606">
        <f>INDEX('Production table step 1'!$A:$F,MATCH(csv_central_producers!$A12,'Production table step 1'!$A:$A,0),COLUMN())</f>
        <v>0</v>
      </c>
      <c r="F12" s="56"/>
      <c r="G12" s="306"/>
      <c r="H12" s="80"/>
    </row>
    <row r="13" spans="1:8" x14ac:dyDescent="0.2">
      <c r="A13" t="s">
        <v>782</v>
      </c>
      <c r="B13" s="282">
        <f>INDEX('Production table step 1'!$A:$C,MATCH(csv_central_producers!$A13,'Production table step 1'!$A:$A,0),COLUMN())</f>
        <v>0</v>
      </c>
      <c r="C13" s="282">
        <f>INDEX('Production table step 1'!$A:$C,MATCH(csv_central_producers!$A13,'Production table step 1'!$A:$A,0),COLUMN())</f>
        <v>0</v>
      </c>
      <c r="D13" s="606">
        <f>INDEX('Production table step 1'!$A:$F,MATCH(csv_central_producers!$A13,'Production table step 1'!$A:$A,0),COLUMN())</f>
        <v>0</v>
      </c>
      <c r="E13" s="606">
        <f>INDEX('Production table step 1'!$A:$F,MATCH(csv_central_producers!$A13,'Production table step 1'!$A:$A,0),COLUMN())</f>
        <v>0</v>
      </c>
      <c r="F13" s="56"/>
      <c r="G13" s="306"/>
      <c r="H13" s="80"/>
    </row>
    <row r="14" spans="1:8" x14ac:dyDescent="0.2">
      <c r="A14" s="177" t="s">
        <v>409</v>
      </c>
      <c r="B14" s="282" t="e">
        <f>'Results by machine'!E59</f>
        <v>#DIV/0!</v>
      </c>
      <c r="C14" s="282">
        <f>'Results by machine'!L59</f>
        <v>0</v>
      </c>
      <c r="D14" s="606">
        <f>INDEX('Production table step 1'!$A:$F,MATCH(csv_central_producers!$A14,'Production table step 1'!$A:$A,0),COLUMN())</f>
        <v>0</v>
      </c>
      <c r="E14" s="606">
        <f>INDEX('Production table step 1'!$A:$F,MATCH(csv_central_producers!$A14,'Production table step 1'!$A:$A,0),COLUMN())</f>
        <v>0</v>
      </c>
      <c r="F14" s="56"/>
      <c r="G14" s="306"/>
      <c r="H14" s="80"/>
    </row>
    <row r="15" spans="1:8" x14ac:dyDescent="0.2">
      <c r="A15" s="177" t="s">
        <v>634</v>
      </c>
      <c r="B15" s="282">
        <f>INDEX('Production table step 1'!$A:$C,MATCH(csv_central_producers!$A15,'Production table step 1'!$A:$A,0),COLUMN())</f>
        <v>0</v>
      </c>
      <c r="C15" s="282">
        <f>INDEX('Production table step 1'!$A:$C,MATCH(csv_central_producers!$A15,'Production table step 1'!$A:$A,0),COLUMN())</f>
        <v>0</v>
      </c>
      <c r="D15" s="606">
        <f>INDEX('Production table step 1'!$A:$F,MATCH(csv_central_producers!$A15,'Production table step 1'!$A:$A,0),COLUMN())</f>
        <v>0</v>
      </c>
      <c r="E15" s="606">
        <f>INDEX('Production table step 1'!$A:$F,MATCH(csv_central_producers!$A15,'Production table step 1'!$A:$A,0),COLUMN())</f>
        <v>0</v>
      </c>
      <c r="F15" s="56"/>
      <c r="G15" s="306"/>
      <c r="H15" s="80"/>
    </row>
    <row r="16" spans="1:8" x14ac:dyDescent="0.2">
      <c r="A16" s="177" t="s">
        <v>635</v>
      </c>
      <c r="B16" s="282">
        <f>INDEX('Production table step 1'!$A:$C,MATCH(csv_central_producers!$A16,'Production table step 1'!$A:$A,0),COLUMN())</f>
        <v>0</v>
      </c>
      <c r="C16" s="282">
        <f>INDEX('Production table step 1'!$A:$C,MATCH(csv_central_producers!$A16,'Production table step 1'!$A:$A,0),COLUMN())</f>
        <v>0</v>
      </c>
      <c r="D16" s="606">
        <f>INDEX('Production table step 1'!$A:$F,MATCH(csv_central_producers!$A16,'Production table step 1'!$A:$A,0),COLUMN())</f>
        <v>0</v>
      </c>
      <c r="E16" s="606">
        <f>INDEX('Production table step 1'!$A:$F,MATCH(csv_central_producers!$A16,'Production table step 1'!$A:$A,0),COLUMN())</f>
        <v>0</v>
      </c>
      <c r="F16" s="56"/>
      <c r="G16" s="306"/>
      <c r="H16" s="80"/>
    </row>
    <row r="17" spans="1:8" x14ac:dyDescent="0.2">
      <c r="A17" s="177" t="s">
        <v>410</v>
      </c>
      <c r="B17" s="282">
        <f>INDEX('Production table step 1'!$A:$C,MATCH(csv_central_producers!$A17,'Production table step 1'!$A:$A,0),COLUMN())</f>
        <v>0</v>
      </c>
      <c r="C17" s="282">
        <f>INDEX('Production table step 1'!$A:$C,MATCH(csv_central_producers!$A17,'Production table step 1'!$A:$A,0),COLUMN())</f>
        <v>0</v>
      </c>
      <c r="D17" s="606">
        <f>INDEX('Production table step 1'!$A:$F,MATCH(csv_central_producers!$A17,'Production table step 1'!$A:$A,0),COLUMN())</f>
        <v>0</v>
      </c>
      <c r="E17" s="606">
        <f>INDEX('Production table step 1'!$A:$F,MATCH(csv_central_producers!$A17,'Production table step 1'!$A:$A,0),COLUMN())</f>
        <v>0</v>
      </c>
      <c r="F17" s="56"/>
      <c r="G17" s="306"/>
      <c r="H17" s="80"/>
    </row>
    <row r="18" spans="1:8" x14ac:dyDescent="0.2">
      <c r="A18" s="177" t="s">
        <v>411</v>
      </c>
      <c r="B18" s="282">
        <f>INDEX('Production table step 1'!$A:$C,MATCH(csv_central_producers!$A18,'Production table step 1'!$A:$A,0),COLUMN())</f>
        <v>0</v>
      </c>
      <c r="C18" s="282">
        <f>INDEX('Production table step 1'!$A:$C,MATCH(csv_central_producers!$A18,'Production table step 1'!$A:$A,0),COLUMN())</f>
        <v>0</v>
      </c>
      <c r="D18" s="606">
        <f>INDEX('Production table step 1'!$A:$F,MATCH(csv_central_producers!$A18,'Production table step 1'!$A:$A,0),COLUMN())</f>
        <v>0</v>
      </c>
      <c r="E18" s="606">
        <f>INDEX('Production table step 1'!$A:$F,MATCH(csv_central_producers!$A18,'Production table step 1'!$A:$A,0),COLUMN())</f>
        <v>0</v>
      </c>
      <c r="F18" s="56"/>
      <c r="G18" s="306"/>
      <c r="H18" s="80"/>
    </row>
    <row r="19" spans="1:8" x14ac:dyDescent="0.2">
      <c r="A19" t="s">
        <v>717</v>
      </c>
      <c r="B19">
        <f>Dashboard!E226</f>
        <v>0</v>
      </c>
      <c r="C19">
        <f>Dashboard!E228</f>
        <v>0</v>
      </c>
    </row>
    <row r="20" spans="1:8" x14ac:dyDescent="0.2">
      <c r="A20" t="s">
        <v>716</v>
      </c>
      <c r="B20">
        <f>Dashboard!E227</f>
        <v>0</v>
      </c>
      <c r="C20">
        <f>Dashboard!E229</f>
        <v>0</v>
      </c>
    </row>
    <row r="21" spans="1:8" x14ac:dyDescent="0.2">
      <c r="A21" t="s">
        <v>718</v>
      </c>
      <c r="B21">
        <f>Dashboard!E232</f>
        <v>0</v>
      </c>
      <c r="C21">
        <f>Dashboard!E234</f>
        <v>0</v>
      </c>
    </row>
    <row r="22" spans="1:8" x14ac:dyDescent="0.2">
      <c r="A22" t="s">
        <v>715</v>
      </c>
      <c r="B22">
        <f>Dashboard!E233</f>
        <v>0</v>
      </c>
      <c r="C22">
        <f>Dashboard!E235</f>
        <v>0</v>
      </c>
    </row>
    <row r="23" spans="1:8" x14ac:dyDescent="0.2">
      <c r="A23" t="s">
        <v>756</v>
      </c>
      <c r="B23">
        <f>Dashboard!E214</f>
        <v>0</v>
      </c>
      <c r="C23">
        <f>Dashboard!E216</f>
        <v>0</v>
      </c>
    </row>
    <row r="24" spans="1:8" x14ac:dyDescent="0.2">
      <c r="A24" t="s">
        <v>757</v>
      </c>
      <c r="B24">
        <f>Dashboard!E215</f>
        <v>0</v>
      </c>
      <c r="C24">
        <f>Dashboard!E217</f>
        <v>0</v>
      </c>
    </row>
    <row r="25" spans="1:8" x14ac:dyDescent="0.2">
      <c r="A25" t="s">
        <v>759</v>
      </c>
      <c r="B25">
        <f>Dashboard!E220</f>
        <v>0</v>
      </c>
      <c r="C25">
        <f>Dashboard!E222</f>
        <v>0</v>
      </c>
    </row>
    <row r="26" spans="1:8" x14ac:dyDescent="0.2">
      <c r="A26" t="s">
        <v>758</v>
      </c>
      <c r="B26">
        <f>Dashboard!E221</f>
        <v>0</v>
      </c>
      <c r="C26">
        <f>Dashboard!E223</f>
        <v>0</v>
      </c>
    </row>
    <row r="27" spans="1:8" x14ac:dyDescent="0.2">
      <c r="A27" s="56" t="s">
        <v>326</v>
      </c>
      <c r="B27" s="158" t="e">
        <f>'Results by machine'!E12</f>
        <v>#DIV/0!</v>
      </c>
      <c r="C27">
        <f>'Results by machine'!L12</f>
        <v>0</v>
      </c>
      <c r="D27" s="557">
        <f>all_technical_specs!F11</f>
        <v>0</v>
      </c>
      <c r="E27" s="557"/>
    </row>
    <row r="28" spans="1:8" x14ac:dyDescent="0.2">
      <c r="A28" s="56" t="s">
        <v>636</v>
      </c>
      <c r="B28" s="158" t="e">
        <f>'Results by machine'!E13</f>
        <v>#DIV/0!</v>
      </c>
      <c r="C28">
        <f>'Results by machine'!L13</f>
        <v>0</v>
      </c>
      <c r="D28" s="557">
        <f>all_technical_specs!F12</f>
        <v>0</v>
      </c>
      <c r="E28" s="557"/>
    </row>
    <row r="29" spans="1:8" x14ac:dyDescent="0.2">
      <c r="A29" s="56" t="s">
        <v>327</v>
      </c>
      <c r="B29" s="158" t="e">
        <f>'Results by machine'!E14</f>
        <v>#DIV/0!</v>
      </c>
      <c r="C29">
        <f>'Results by machine'!L14</f>
        <v>0</v>
      </c>
      <c r="D29" s="557">
        <f>all_technical_specs!F13</f>
        <v>0</v>
      </c>
      <c r="E29" s="557"/>
    </row>
    <row r="30" spans="1:8" x14ac:dyDescent="0.2">
      <c r="A30" s="56" t="s">
        <v>637</v>
      </c>
      <c r="B30" s="158" t="e">
        <f>'Results by machine'!E11</f>
        <v>#DIV/0!</v>
      </c>
      <c r="C30">
        <f>'Results by machine'!L11</f>
        <v>0</v>
      </c>
      <c r="D30" s="557">
        <f>all_technical_specs!F14</f>
        <v>0</v>
      </c>
      <c r="E30" s="557"/>
    </row>
    <row r="31" spans="1:8" x14ac:dyDescent="0.2">
      <c r="A31" s="56" t="s">
        <v>330</v>
      </c>
      <c r="B31" s="158" t="e">
        <f>'Results by machine'!E15</f>
        <v>#DIV/0!</v>
      </c>
      <c r="C31">
        <f>'Results by machine'!L15</f>
        <v>0</v>
      </c>
      <c r="D31" s="557">
        <f>all_technical_specs!F15</f>
        <v>0</v>
      </c>
      <c r="E31" s="557"/>
    </row>
    <row r="32" spans="1:8" x14ac:dyDescent="0.2">
      <c r="A32" s="56" t="s">
        <v>329</v>
      </c>
      <c r="B32" s="158" t="e">
        <f>'Results by machine'!E16</f>
        <v>#DIV/0!</v>
      </c>
      <c r="C32">
        <f>'Results by machine'!L16</f>
        <v>0</v>
      </c>
      <c r="D32" s="557">
        <f>all_technical_specs!F16</f>
        <v>0</v>
      </c>
      <c r="E32" s="557"/>
    </row>
    <row r="33" spans="1:5" x14ac:dyDescent="0.2">
      <c r="A33" s="56" t="s">
        <v>958</v>
      </c>
      <c r="B33" s="158">
        <f>'Results by machine'!E17</f>
        <v>0</v>
      </c>
      <c r="C33">
        <f>'Results by machine'!L17</f>
        <v>0</v>
      </c>
      <c r="D33" s="601">
        <f>all_technical_specs!F17</f>
        <v>0.1</v>
      </c>
      <c r="E33" s="601"/>
    </row>
    <row r="34" spans="1:5" x14ac:dyDescent="0.2">
      <c r="A34" s="56" t="s">
        <v>328</v>
      </c>
      <c r="B34" s="158" t="e">
        <f>'Results by machine'!E18</f>
        <v>#DIV/0!</v>
      </c>
      <c r="C34">
        <f>'Results by machine'!L18</f>
        <v>0</v>
      </c>
      <c r="D34" s="557">
        <f>all_technical_specs!F18</f>
        <v>0</v>
      </c>
      <c r="E34" s="557"/>
    </row>
    <row r="35" spans="1:5" x14ac:dyDescent="0.2">
      <c r="A35" s="56" t="s">
        <v>325</v>
      </c>
      <c r="B35" s="158" t="e">
        <f>'Results by machine'!E19</f>
        <v>#DIV/0!</v>
      </c>
      <c r="C35">
        <f>'Results by machine'!L19</f>
        <v>0</v>
      </c>
      <c r="D35" s="557">
        <f>all_technical_specs!F19</f>
        <v>0</v>
      </c>
      <c r="E35" s="557"/>
    </row>
    <row r="36" spans="1:5" x14ac:dyDescent="0.2">
      <c r="A36" s="56" t="s">
        <v>342</v>
      </c>
      <c r="B36" s="158" t="e">
        <f>'Results by machine'!E21</f>
        <v>#DIV/0!</v>
      </c>
      <c r="C36">
        <f>'Results by machine'!L21</f>
        <v>0</v>
      </c>
      <c r="D36" s="557">
        <f>all_technical_specs!F21</f>
        <v>0</v>
      </c>
      <c r="E36" s="557"/>
    </row>
    <row r="37" spans="1:5" x14ac:dyDescent="0.2">
      <c r="A37" s="56" t="s">
        <v>341</v>
      </c>
      <c r="B37" s="158" t="e">
        <f>'Results by machine'!E22</f>
        <v>#DIV/0!</v>
      </c>
      <c r="C37">
        <f>'Results by machine'!L22</f>
        <v>0</v>
      </c>
      <c r="D37" s="557">
        <f>all_technical_specs!F22</f>
        <v>0</v>
      </c>
      <c r="E37" s="557"/>
    </row>
    <row r="38" spans="1:5" x14ac:dyDescent="0.2">
      <c r="A38" s="56" t="s">
        <v>340</v>
      </c>
      <c r="B38" s="158" t="e">
        <f>'Results by machine'!E23</f>
        <v>#DIV/0!</v>
      </c>
      <c r="C38">
        <f>'Results by machine'!L23</f>
        <v>0</v>
      </c>
      <c r="D38" s="557">
        <f>all_technical_specs!F23</f>
        <v>0</v>
      </c>
      <c r="E38" s="557"/>
    </row>
    <row r="39" spans="1:5" x14ac:dyDescent="0.2">
      <c r="A39" s="56" t="s">
        <v>343</v>
      </c>
      <c r="B39" s="158" t="e">
        <f>'Results by machine'!E24</f>
        <v>#DIV/0!</v>
      </c>
      <c r="C39">
        <f>'Results by machine'!L24</f>
        <v>0</v>
      </c>
      <c r="D39" s="557">
        <f>all_technical_specs!F24</f>
        <v>0</v>
      </c>
      <c r="E39" s="557"/>
    </row>
    <row r="40" spans="1:5" x14ac:dyDescent="0.2">
      <c r="A40" s="56" t="s">
        <v>336</v>
      </c>
      <c r="B40" s="158" t="e">
        <f>'Results by machine'!E25</f>
        <v>#DIV/0!</v>
      </c>
      <c r="C40">
        <f>'Results by machine'!L25</f>
        <v>0</v>
      </c>
      <c r="D40" s="557">
        <f>all_technical_specs!F25</f>
        <v>0</v>
      </c>
      <c r="E40" s="557"/>
    </row>
    <row r="41" spans="1:5" x14ac:dyDescent="0.2">
      <c r="A41" s="56" t="s">
        <v>337</v>
      </c>
      <c r="B41" s="158" t="e">
        <f>'Results by machine'!E26</f>
        <v>#DIV/0!</v>
      </c>
      <c r="C41">
        <f>'Results by machine'!L26</f>
        <v>0</v>
      </c>
      <c r="D41" s="557">
        <f>all_technical_specs!F26</f>
        <v>0</v>
      </c>
      <c r="E41" s="557"/>
    </row>
    <row r="42" spans="1:5" x14ac:dyDescent="0.2">
      <c r="A42" s="56" t="s">
        <v>692</v>
      </c>
      <c r="B42" s="158" t="e">
        <f>'Results by machine'!E20</f>
        <v>#DIV/0!</v>
      </c>
      <c r="C42" s="158">
        <f>'Results by machine'!L20</f>
        <v>0</v>
      </c>
      <c r="D42" s="557">
        <f>all_technical_specs!F20</f>
        <v>0</v>
      </c>
      <c r="E42" s="557"/>
    </row>
    <row r="43" spans="1:5" x14ac:dyDescent="0.2">
      <c r="A43" s="56" t="s">
        <v>344</v>
      </c>
      <c r="B43" s="158" t="e">
        <f>'Results by machine'!E27</f>
        <v>#DIV/0!</v>
      </c>
      <c r="C43">
        <f>'Results by machine'!L27</f>
        <v>0</v>
      </c>
      <c r="D43" s="557">
        <f>all_technical_specs!F27</f>
        <v>0</v>
      </c>
      <c r="E43" s="557"/>
    </row>
    <row r="44" spans="1:5" x14ac:dyDescent="0.2">
      <c r="A44" s="56" t="s">
        <v>338</v>
      </c>
      <c r="B44" s="158" t="e">
        <f>'Results by machine'!E28</f>
        <v>#DIV/0!</v>
      </c>
      <c r="C44">
        <f>'Results by machine'!L28</f>
        <v>0</v>
      </c>
      <c r="D44" s="557">
        <f>all_technical_specs!F28</f>
        <v>0</v>
      </c>
      <c r="E44" s="557"/>
    </row>
    <row r="45" spans="1:5" x14ac:dyDescent="0.2">
      <c r="A45" s="56" t="s">
        <v>339</v>
      </c>
      <c r="B45" s="158" t="e">
        <f>'Results by machine'!E29</f>
        <v>#DIV/0!</v>
      </c>
      <c r="C45">
        <f>'Results by machine'!L29</f>
        <v>0</v>
      </c>
      <c r="D45" s="557">
        <f>all_technical_specs!F29</f>
        <v>0</v>
      </c>
      <c r="E45" s="557"/>
    </row>
    <row r="46" spans="1:5" x14ac:dyDescent="0.2">
      <c r="A46" s="56" t="s">
        <v>335</v>
      </c>
      <c r="B46" s="158" t="e">
        <f>'Results by machine'!E30</f>
        <v>#DIV/0!</v>
      </c>
      <c r="C46">
        <f>'Results by machine'!L30</f>
        <v>0</v>
      </c>
    </row>
    <row r="47" spans="1:5" x14ac:dyDescent="0.2">
      <c r="A47" s="56" t="s">
        <v>331</v>
      </c>
      <c r="B47" s="158" t="e">
        <f>'Results by machine'!E31</f>
        <v>#DIV/0!</v>
      </c>
      <c r="C47">
        <f>'Results by machine'!L31</f>
        <v>0</v>
      </c>
    </row>
    <row r="48" spans="1:5" x14ac:dyDescent="0.2">
      <c r="A48" s="56" t="s">
        <v>373</v>
      </c>
      <c r="B48" s="158" t="e">
        <f>'Results by machine'!E32</f>
        <v>#DIV/0!</v>
      </c>
      <c r="C48">
        <f>'Results by machine'!L32</f>
        <v>0</v>
      </c>
    </row>
    <row r="49" spans="1:8" x14ac:dyDescent="0.2">
      <c r="A49" s="56" t="s">
        <v>372</v>
      </c>
      <c r="B49" s="158" t="e">
        <f>'Results by machine'!E33</f>
        <v>#DIV/0!</v>
      </c>
      <c r="C49">
        <f>'Results by machine'!L33</f>
        <v>0</v>
      </c>
    </row>
    <row r="50" spans="1:8" x14ac:dyDescent="0.2">
      <c r="A50" s="56" t="s">
        <v>430</v>
      </c>
      <c r="B50" s="158" t="e">
        <f>'Results by machine'!E34</f>
        <v>#DIV/0!</v>
      </c>
      <c r="C50">
        <f>'Results by machine'!L34</f>
        <v>0</v>
      </c>
    </row>
    <row r="51" spans="1:8" x14ac:dyDescent="0.2">
      <c r="A51" s="177" t="s">
        <v>728</v>
      </c>
      <c r="B51" s="282">
        <f>Dashboard!E107</f>
        <v>0</v>
      </c>
      <c r="C51" s="282">
        <f>Dashboard!E106</f>
        <v>0</v>
      </c>
      <c r="F51" s="56"/>
      <c r="G51" s="306"/>
      <c r="H51" s="80"/>
    </row>
    <row r="52" spans="1:8" x14ac:dyDescent="0.2">
      <c r="A52" s="56" t="s">
        <v>332</v>
      </c>
      <c r="B52" s="158" t="e">
        <f>'Results by machine'!E35</f>
        <v>#DIV/0!</v>
      </c>
      <c r="C52">
        <f>'Results by machine'!L35</f>
        <v>0</v>
      </c>
    </row>
    <row r="53" spans="1:8" x14ac:dyDescent="0.2">
      <c r="A53" s="56" t="s">
        <v>333</v>
      </c>
      <c r="B53" s="158" t="e">
        <f>'Results by machine'!E36</f>
        <v>#DIV/0!</v>
      </c>
      <c r="C53">
        <f>'Results by machine'!L36</f>
        <v>0</v>
      </c>
    </row>
    <row r="54" spans="1:8" x14ac:dyDescent="0.2">
      <c r="A54" s="56" t="s">
        <v>334</v>
      </c>
      <c r="B54" s="158" t="e">
        <f>'Results by machine'!E37</f>
        <v>#DIV/0!</v>
      </c>
      <c r="C54">
        <f>'Results by machine'!L37</f>
        <v>0</v>
      </c>
    </row>
    <row r="55" spans="1:8" x14ac:dyDescent="0.2">
      <c r="A55" s="56" t="s">
        <v>520</v>
      </c>
      <c r="B55" s="158" t="e">
        <f>'PV solar'!D18</f>
        <v>#DIV/0!</v>
      </c>
      <c r="C55">
        <f>Dashboard!E94</f>
        <v>0</v>
      </c>
    </row>
    <row r="56" spans="1:8" x14ac:dyDescent="0.2">
      <c r="A56" s="56" t="s">
        <v>521</v>
      </c>
      <c r="B56" s="158" t="e">
        <f>'PV solar'!D15</f>
        <v>#DIV/0!</v>
      </c>
      <c r="C56">
        <f>Dashboard!E93</f>
        <v>0</v>
      </c>
    </row>
    <row r="57" spans="1:8" x14ac:dyDescent="0.2">
      <c r="A57" s="177" t="s">
        <v>405</v>
      </c>
      <c r="B57" s="282">
        <f>INDEX('Production table step 1'!$A:$C,MATCH(csv_central_producers!$A57,'Production table step 1'!$A:$A,0),COLUMN())</f>
        <v>0</v>
      </c>
      <c r="C57" s="282">
        <f>INDEX('Production table step 1'!$A:$C,MATCH(csv_central_producers!$A57,'Production table step 1'!$A:$A,0),COLUMN())</f>
        <v>0</v>
      </c>
      <c r="D57" s="606">
        <f>INDEX('Production table step 1'!$A:$E,MATCH(csv_central_producers!$A57,'Production table step 1'!$A:$A,0),COLUMN())</f>
        <v>0</v>
      </c>
      <c r="E57" s="606">
        <f>INDEX('Production table step 1'!$A:$E,MATCH(csv_central_producers!$A57,'Production table step 1'!$A:$A,0),COLUMN())</f>
        <v>0</v>
      </c>
      <c r="F57" s="56"/>
      <c r="G57" s="306"/>
      <c r="H57" s="80"/>
    </row>
    <row r="58" spans="1:8" x14ac:dyDescent="0.2">
      <c r="A58" s="177" t="s">
        <v>406</v>
      </c>
      <c r="B58" s="282" t="e">
        <f>'Results by machine'!E64</f>
        <v>#DIV/0!</v>
      </c>
      <c r="C58" s="282">
        <f>'Results by machine'!L64</f>
        <v>0</v>
      </c>
      <c r="D58" s="606">
        <f>INDEX('Production table step 1'!$A:$E,MATCH(csv_central_producers!$A58,'Production table step 1'!$A:$A,0),COLUMN())</f>
        <v>0</v>
      </c>
      <c r="E58" s="606">
        <f>INDEX('Production table step 1'!$A:$E,MATCH(csv_central_producers!$A58,'Production table step 1'!$A:$A,0),COLUMN())</f>
        <v>0</v>
      </c>
      <c r="F58" s="56"/>
      <c r="G58" s="306"/>
      <c r="H58" s="80"/>
    </row>
    <row r="59" spans="1:8" x14ac:dyDescent="0.2">
      <c r="A59" s="177" t="s">
        <v>407</v>
      </c>
      <c r="B59" s="282" t="e">
        <f>'Results by machine'!E60</f>
        <v>#DIV/0!</v>
      </c>
      <c r="C59" s="282">
        <f>'Results by machine'!L60</f>
        <v>0</v>
      </c>
      <c r="D59" s="606">
        <f>INDEX('Production table step 1'!$A:$E,MATCH(csv_central_producers!$A59,'Production table step 1'!$A:$A,0),COLUMN())</f>
        <v>0</v>
      </c>
      <c r="E59" s="606">
        <f>INDEX('Production table step 1'!$A:$E,MATCH(csv_central_producers!$A59,'Production table step 1'!$A:$A,0),COLUMN())</f>
        <v>0</v>
      </c>
      <c r="F59" s="56"/>
      <c r="G59" s="306"/>
      <c r="H59" s="80"/>
    </row>
    <row r="60" spans="1:8" x14ac:dyDescent="0.2">
      <c r="A60" s="56" t="s">
        <v>955</v>
      </c>
      <c r="B60" s="282">
        <f>INDEX('Production table step 1'!$A:$C,MATCH(csv_central_producers!$A60,'Production table step 1'!$A:$A,0),COLUMN())</f>
        <v>0</v>
      </c>
      <c r="C60" s="282">
        <f>INDEX('Production table step 1'!$A:$C,MATCH(csv_central_producers!$A60,'Production table step 1'!$A:$A,0),COLUMN())</f>
        <v>0</v>
      </c>
      <c r="D60" s="606">
        <f>INDEX('Production table step 1'!$A:$E,MATCH(csv_central_producers!$A60,'Production table step 1'!$A:$A,0),COLUMN())</f>
        <v>0</v>
      </c>
      <c r="E60" s="606">
        <f>INDEX('Production table step 1'!$A:$E,MATCH(csv_central_producers!$A60,'Production table step 1'!$A:$A,0),COLUMN())</f>
        <v>0</v>
      </c>
      <c r="F60" s="56"/>
      <c r="G60" s="306"/>
      <c r="H60" s="80"/>
    </row>
    <row r="61" spans="1:8" x14ac:dyDescent="0.2">
      <c r="A61" s="177" t="s">
        <v>408</v>
      </c>
      <c r="B61" s="282">
        <f>INDEX('Production table step 1'!$A:$C,MATCH(csv_central_producers!$A61,'Production table step 1'!$A:$A,0),COLUMN())</f>
        <v>0</v>
      </c>
      <c r="C61" s="282">
        <f>INDEX('Production table step 1'!$A:$C,MATCH(csv_central_producers!$A61,'Production table step 1'!$A:$A,0),COLUMN())</f>
        <v>0</v>
      </c>
      <c r="D61" s="606">
        <f>INDEX('Production table step 1'!$A:$E,MATCH(csv_central_producers!$A61,'Production table step 1'!$A:$A,0),COLUMN())</f>
        <v>0</v>
      </c>
      <c r="E61" s="606">
        <f>INDEX('Production table step 1'!$A:$E,MATCH(csv_central_producers!$A61,'Production table step 1'!$A:$A,0),COLUMN())</f>
        <v>0</v>
      </c>
      <c r="F61" s="56"/>
      <c r="G61" s="306"/>
      <c r="H61" s="80"/>
    </row>
    <row r="62" spans="1:8" x14ac:dyDescent="0.2">
      <c r="A62" t="s">
        <v>801</v>
      </c>
      <c r="B62" s="282">
        <f>INDEX('Production table step 1'!$A:$C,MATCH(csv_central_producers!$A62,'Production table step 1'!$A:$A,0),COLUMN())</f>
        <v>0</v>
      </c>
      <c r="C62" s="282">
        <f>INDEX('Production table step 1'!$A:$C,MATCH(csv_central_producers!$A62,'Production table step 1'!$A:$A,0),COLUMN())</f>
        <v>0</v>
      </c>
      <c r="D62" s="606">
        <f>INDEX('Production table step 1'!$A:$E,MATCH(csv_central_producers!$A62,'Production table step 1'!$A:$A,0),COLUMN())</f>
        <v>0</v>
      </c>
      <c r="E62" s="606">
        <f>INDEX('Production table step 1'!$A:$E,MATCH(csv_central_producers!$A62,'Production table step 1'!$A:$A,0),COLUMN())</f>
        <v>0</v>
      </c>
    </row>
    <row r="63" spans="1:8" x14ac:dyDescent="0.2">
      <c r="A63" s="56" t="s">
        <v>795</v>
      </c>
      <c r="B63" s="158" t="e">
        <f>'Results by machine'!E54</f>
        <v>#DIV/0!</v>
      </c>
      <c r="C63">
        <f>'Results by machine'!L54</f>
        <v>2190</v>
      </c>
      <c r="D63" s="557"/>
      <c r="E63" s="557">
        <f>all_technical_specs!G43</f>
        <v>0</v>
      </c>
    </row>
    <row r="64" spans="1:8" x14ac:dyDescent="0.2">
      <c r="A64" s="56" t="s">
        <v>804</v>
      </c>
      <c r="B64" s="158" t="e">
        <f>'Results by machine'!E53</f>
        <v>#DIV/0!</v>
      </c>
      <c r="C64">
        <f>'Results by machine'!L53</f>
        <v>2190</v>
      </c>
      <c r="D64" s="557"/>
      <c r="E64" s="557">
        <f>all_technical_specs!G50</f>
        <v>0</v>
      </c>
    </row>
    <row r="65" spans="1:5" x14ac:dyDescent="0.2">
      <c r="A65" s="177" t="s">
        <v>805</v>
      </c>
      <c r="B65" s="158" t="e">
        <f>'Results by machine'!E55</f>
        <v>#DIV/0!</v>
      </c>
      <c r="C65">
        <f>'Results by machine'!L55</f>
        <v>2190</v>
      </c>
      <c r="D65" s="557"/>
      <c r="E65" s="557">
        <f>all_technical_specs!G51</f>
        <v>0</v>
      </c>
    </row>
    <row r="66" spans="1:5" x14ac:dyDescent="0.2">
      <c r="A66" s="177" t="s">
        <v>963</v>
      </c>
      <c r="B66" s="158">
        <f>INDEX('Production table step 1'!$A:$C,MATCH(csv_central_producers!$A66,'Production table step 1'!$A:$A,0),COLUMN())</f>
        <v>0</v>
      </c>
      <c r="C66" s="282">
        <f>INDEX('Production table step 1'!$A:$C,MATCH(csv_central_producers!$A66,'Production table step 1'!$A:$A,0),COLUMN())</f>
        <v>0</v>
      </c>
      <c r="D66" s="606">
        <f>INDEX('Production table step 1'!$A:$F,MATCH(csv_central_producers!$A66,'Production table step 1'!$A:$A,0),COLUMN())</f>
        <v>0</v>
      </c>
      <c r="E66" s="606">
        <f>INDEX('Production table step 1'!$A:$F,MATCH(csv_central_producers!$A66,'Production table step 1'!$A:$A,0),COLUMN())</f>
        <v>0</v>
      </c>
    </row>
    <row r="67" spans="1:5" x14ac:dyDescent="0.2">
      <c r="A67" s="177" t="s">
        <v>964</v>
      </c>
      <c r="B67" s="158">
        <f>INDEX('Production table step 1'!$A:$C,MATCH(csv_central_producers!$A67,'Production table step 1'!$A:$A,0),COLUMN())</f>
        <v>0</v>
      </c>
      <c r="C67" s="282">
        <f>INDEX('Production table step 1'!$A:$C,MATCH(csv_central_producers!$A67,'Production table step 1'!$A:$A,0),COLUMN())</f>
        <v>0</v>
      </c>
      <c r="D67" s="606">
        <f>INDEX('Production table step 1'!$A:$F,MATCH(csv_central_producers!$A67,'Production table step 1'!$A:$A,0),COLUMN())</f>
        <v>0</v>
      </c>
      <c r="E67" s="606">
        <f>INDEX('Production table step 1'!$A:$F,MATCH(csv_central_producers!$A67,'Production table step 1'!$A:$A,0),COLUMN())</f>
        <v>0</v>
      </c>
    </row>
    <row r="68" spans="1:5" x14ac:dyDescent="0.2">
      <c r="A68" s="177" t="s">
        <v>965</v>
      </c>
      <c r="B68" s="158">
        <f>INDEX('Production table step 1'!$A:$C,MATCH(csv_central_producers!$A68,'Production table step 1'!$A:$A,0),COLUMN())</f>
        <v>0</v>
      </c>
      <c r="C68" s="282">
        <f>INDEX('Production table step 1'!$A:$C,MATCH(csv_central_producers!$A68,'Production table step 1'!$A:$A,0),COLUMN())</f>
        <v>0</v>
      </c>
      <c r="D68" s="606">
        <f>INDEX('Production table step 1'!$A:$F,MATCH(csv_central_producers!$A68,'Production table step 1'!$A:$A,0),COLUMN())</f>
        <v>0</v>
      </c>
      <c r="E68" s="606">
        <f>INDEX('Production table step 1'!$A:$F,MATCH(csv_central_producers!$A68,'Production table step 1'!$A:$A,0),COLUMN())</f>
        <v>0</v>
      </c>
    </row>
    <row r="69" spans="1:5" x14ac:dyDescent="0.2">
      <c r="A69" s="177"/>
      <c r="B69" s="158"/>
      <c r="D69" s="606"/>
      <c r="E69" s="606"/>
    </row>
    <row r="70" spans="1:5" x14ac:dyDescent="0.2">
      <c r="B70" s="158"/>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0517F-C1D9-5B4F-A6EC-DA620B339D5A}">
  <sheetPr codeName="Sheet27">
    <tabColor theme="7" tint="0.39997558519241921"/>
  </sheetPr>
  <dimension ref="A1:B5"/>
  <sheetViews>
    <sheetView workbookViewId="0">
      <selection activeCell="A3" sqref="A3"/>
    </sheetView>
  </sheetViews>
  <sheetFormatPr baseColWidth="10" defaultRowHeight="16" x14ac:dyDescent="0.2"/>
  <cols>
    <col min="1" max="1" width="45" customWidth="1"/>
  </cols>
  <sheetData>
    <row r="1" spans="1:2" x14ac:dyDescent="0.2">
      <c r="A1" t="s">
        <v>726</v>
      </c>
    </row>
    <row r="2" spans="1:2" x14ac:dyDescent="0.2">
      <c r="A2" t="s">
        <v>324</v>
      </c>
      <c r="B2" t="s">
        <v>725</v>
      </c>
    </row>
    <row r="3" spans="1:2" x14ac:dyDescent="0.2">
      <c r="A3" t="s">
        <v>715</v>
      </c>
      <c r="B3" s="520">
        <f>Dashboard!E237</f>
        <v>0</v>
      </c>
    </row>
    <row r="4" spans="1:2" x14ac:dyDescent="0.2">
      <c r="A4" t="s">
        <v>727</v>
      </c>
      <c r="B4" s="520">
        <f>Dashboard!E238</f>
        <v>0</v>
      </c>
    </row>
    <row r="5" spans="1:2" x14ac:dyDescent="0.2">
      <c r="A5" s="80"/>
      <c r="B5" s="520"/>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C326E-5131-D144-BDE8-EF9192080537}">
  <sheetPr codeName="Sheet28">
    <tabColor theme="7" tint="0.39997558519241921"/>
  </sheetPr>
  <dimension ref="A1:B5"/>
  <sheetViews>
    <sheetView workbookViewId="0">
      <selection activeCell="B4" sqref="B4"/>
    </sheetView>
  </sheetViews>
  <sheetFormatPr baseColWidth="10" defaultRowHeight="16" x14ac:dyDescent="0.2"/>
  <cols>
    <col min="1" max="1" width="45" customWidth="1"/>
  </cols>
  <sheetData>
    <row r="1" spans="1:2" x14ac:dyDescent="0.2">
      <c r="A1" t="s">
        <v>841</v>
      </c>
    </row>
    <row r="2" spans="1:2" x14ac:dyDescent="0.2">
      <c r="A2" t="s">
        <v>324</v>
      </c>
      <c r="B2" t="s">
        <v>725</v>
      </c>
    </row>
    <row r="3" spans="1:2" x14ac:dyDescent="0.2">
      <c r="A3" t="s">
        <v>827</v>
      </c>
      <c r="B3" s="520" t="e">
        <f>'Co-fueling shares'!F36</f>
        <v>#DIV/0!</v>
      </c>
    </row>
    <row r="4" spans="1:2" x14ac:dyDescent="0.2">
      <c r="A4" t="s">
        <v>828</v>
      </c>
      <c r="B4" s="520" t="e">
        <f>'Co-fueling shares'!F35</f>
        <v>#DIV/0!</v>
      </c>
    </row>
    <row r="5" spans="1:2" x14ac:dyDescent="0.2">
      <c r="A5" s="80" t="s">
        <v>829</v>
      </c>
      <c r="B5" s="520" t="e">
        <f>1-B3-B4</f>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3</vt:i4>
      </vt:variant>
    </vt:vector>
  </HeadingPairs>
  <TitlesOfParts>
    <vt:vector size="33" baseType="lpstr">
      <vt:lpstr>Cover sheet</vt:lpstr>
      <vt:lpstr>Changelog</vt:lpstr>
      <vt:lpstr>Contents</vt:lpstr>
      <vt:lpstr>Introduction</vt:lpstr>
      <vt:lpstr>Dataflow</vt:lpstr>
      <vt:lpstr>Assumptions</vt:lpstr>
      <vt:lpstr>Dashboard</vt:lpstr>
      <vt:lpstr>Corrected energy balance step 1</vt:lpstr>
      <vt:lpstr>autoproducer prod.</vt:lpstr>
      <vt:lpstr>Production table step 1</vt:lpstr>
      <vt:lpstr>all_technical_specs</vt:lpstr>
      <vt:lpstr>technical_specs</vt:lpstr>
      <vt:lpstr>Results by fuel</vt:lpstr>
      <vt:lpstr>Results by machine</vt:lpstr>
      <vt:lpstr>Delta energy balance</vt:lpstr>
      <vt:lpstr>Corrected energy balance step 2</vt:lpstr>
      <vt:lpstr>CEB allocation</vt:lpstr>
      <vt:lpstr>Main activity power plants</vt:lpstr>
      <vt:lpstr>Main activity heat plants</vt:lpstr>
      <vt:lpstr>Co-fueling shares</vt:lpstr>
      <vt:lpstr>PV solar</vt:lpstr>
      <vt:lpstr>Fuel aggregation PP</vt:lpstr>
      <vt:lpstr>Fuel aggregation HP</vt:lpstr>
      <vt:lpstr>Oil aggregation CHP</vt:lpstr>
      <vt:lpstr>Mobile machinery</vt:lpstr>
      <vt:lpstr>Fuel aggregation matrix</vt:lpstr>
      <vt:lpstr>csv_corrected_energy_balance_2</vt:lpstr>
      <vt:lpstr>csv_central_producers</vt:lpstr>
      <vt:lpstr>csv_energy_hydrogen_solar_pv_ps</vt:lpstr>
      <vt:lpstr>csv_energy_mixer_for_gas_cs</vt:lpstr>
      <vt:lpstr>base_year</vt:lpstr>
      <vt:lpstr>country</vt:lpstr>
      <vt:lpstr>kWh_MJ_conversion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Quintel Intelligence</dc:creator>
  <cp:lastModifiedBy>Mathijs Bijkerk</cp:lastModifiedBy>
  <cp:lastPrinted>2013-07-16T11:10:02Z</cp:lastPrinted>
  <dcterms:created xsi:type="dcterms:W3CDTF">2013-06-19T08:12:31Z</dcterms:created>
  <dcterms:modified xsi:type="dcterms:W3CDTF">2025-09-16T10:18:54Z</dcterms:modified>
</cp:coreProperties>
</file>