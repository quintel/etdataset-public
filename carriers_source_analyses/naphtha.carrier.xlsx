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showInkAnnotation="0" codeName="ThisWorkbook" autoCompressPictures="0"/>
  <mc:AlternateContent xmlns:mc="http://schemas.openxmlformats.org/markup-compatibility/2006">
    <mc:Choice Requires="x15">
      <x15ac:absPath xmlns:x15ac="http://schemas.microsoft.com/office/spreadsheetml/2010/11/ac" url="/Users/kaskranenburg/Code/etdataset/carriers_source_analyses/"/>
    </mc:Choice>
  </mc:AlternateContent>
  <xr:revisionPtr revIDLastSave="0" documentId="13_ncr:1_{DE53F50D-11C4-6D40-988F-068782E1B2C8}" xr6:coauthVersionLast="47" xr6:coauthVersionMax="47" xr10:uidLastSave="{00000000-0000-0000-0000-000000000000}"/>
  <bookViews>
    <workbookView xWindow="20" yWindow="500" windowWidth="51200" windowHeight="28300" tabRatio="762" activeTab="4" xr2:uid="{00000000-000D-0000-FFFF-FFFF00000000}"/>
  </bookViews>
  <sheets>
    <sheet name="Cover sheet" sheetId="14" r:id="rId1"/>
    <sheet name="Dashboard" sheetId="12" r:id="rId2"/>
    <sheet name="Research data" sheetId="13" r:id="rId3"/>
    <sheet name="Sources" sheetId="15" r:id="rId4"/>
    <sheet name="Notes" sheetId="16" r:id="rId5"/>
  </sheets>
  <externalReferences>
    <externalReference r:id="rId6"/>
  </externalReferences>
  <definedNames>
    <definedName name="dollar_data">#REF!</definedName>
    <definedName name="dollar_per_euro">#REF!</definedName>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itres_per_barrel">Notes!$G$132</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12" i="12" l="1"/>
  <c r="E13" i="12"/>
  <c r="E14" i="12"/>
  <c r="E11" i="12"/>
  <c r="M7" i="13"/>
  <c r="G7" i="13" s="1"/>
  <c r="E7" i="16"/>
  <c r="I8" i="13"/>
  <c r="K10" i="13"/>
  <c r="E9" i="16"/>
  <c r="D149" i="16"/>
  <c r="D154" i="16"/>
  <c r="D153" i="16"/>
  <c r="E10" i="16"/>
  <c r="I9" i="13" s="1"/>
  <c r="G9" i="13" s="1"/>
  <c r="E8" i="16"/>
  <c r="G10" i="13"/>
  <c r="G8" i="13"/>
  <c r="E10" i="12"/>
</calcChain>
</file>

<file path=xl/sharedStrings.xml><?xml version="1.0" encoding="utf-8"?>
<sst xmlns="http://schemas.openxmlformats.org/spreadsheetml/2006/main" count="132" uniqueCount="80">
  <si>
    <t>Source</t>
  </si>
  <si>
    <t>-</t>
  </si>
  <si>
    <t>Value</t>
  </si>
  <si>
    <t>Definition</t>
  </si>
  <si>
    <t>Unit</t>
  </si>
  <si>
    <t>Cover Sheet</t>
  </si>
  <si>
    <t>Organization</t>
  </si>
  <si>
    <t>Quintel Intelligence</t>
  </si>
  <si>
    <t>Definition on the sources</t>
  </si>
  <si>
    <t>Date published</t>
  </si>
  <si>
    <t>Attribute</t>
  </si>
  <si>
    <t>Author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</si>
  <si>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</si>
  <si>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</si>
  <si>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</si>
  <si>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</si>
  <si>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</si>
  <si>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</si>
  <si>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</si>
  <si>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</si>
  <si>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</si>
  <si>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</si>
  <si>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</si>
  <si>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</si>
  <si>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</si>
  <si>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</si>
  <si>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</si>
  <si>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Parameter</t>
  </si>
  <si>
    <t>Comments</t>
  </si>
  <si>
    <t>Notes</t>
  </si>
  <si>
    <t>Subject year</t>
  </si>
  <si>
    <t>Date retrieved</t>
  </si>
  <si>
    <t>sustainable</t>
  </si>
  <si>
    <t>cost_per_mj</t>
  </si>
  <si>
    <t>co2_conversion_per_mj</t>
  </si>
  <si>
    <t>Whether or not this carrier is renewable</t>
  </si>
  <si>
    <t>Quintel assumption</t>
  </si>
  <si>
    <t>kg/MJ</t>
  </si>
  <si>
    <t>energy content</t>
  </si>
  <si>
    <t>MJ/kg</t>
  </si>
  <si>
    <t>EUR/MJ</t>
  </si>
  <si>
    <t>Carrier (gobal properties)</t>
  </si>
  <si>
    <t>Page</t>
  </si>
  <si>
    <t xml:space="preserve"> </t>
  </si>
  <si>
    <t>density</t>
  </si>
  <si>
    <t>kg/L</t>
  </si>
  <si>
    <t>Document</t>
  </si>
  <si>
    <t>mj_per_kg</t>
  </si>
  <si>
    <t>Carrier (global properties)</t>
  </si>
  <si>
    <t>kg_per_liter</t>
  </si>
  <si>
    <t>This sheet summarizes all carrier attributes formatted in the way they are used by the Energy Transition Model. This sheet contains only pure carrier values. For some countries and carriers Fuel Chain Emissions are defined (only for NL); if so these FCE are documented in a separate sheet (e.g. nl_fce). Use the Excel formulas to find the original data and sources for these numbers. 
- The carrier analysis can be imported on ETSource by running the following rake task: rake import:carrier CARRIER="carrier name" (eg rake import:carrier CARRIER=crude_oil) 
- The fce analysis can be imported on ETSource by running the following rake task: rake import:fce DATASET="dataset" CARRIER="carrier name" (eg rake import:fce DATASET=nl CARRIER=bio_ethanol)</t>
  </si>
  <si>
    <t>RVO</t>
  </si>
  <si>
    <t>co2/MJ</t>
  </si>
  <si>
    <t>cost/MJ</t>
  </si>
  <si>
    <t>https://www.cbs.nl/en-gb/our-services/methods/definitions/calorific-value</t>
  </si>
  <si>
    <t>z</t>
  </si>
  <si>
    <t>kg/l</t>
  </si>
  <si>
    <t>Kg/l</t>
  </si>
  <si>
    <t>https://www.cbs.nl/en-gb/our-services/methods/definitions/weight-units-energy</t>
  </si>
  <si>
    <t>Source: https://www.cbs.nl/en-gb/our-services/methods/definitions/weight-units-energy</t>
  </si>
  <si>
    <t xml:space="preserve">Soource: </t>
  </si>
  <si>
    <t>https://refman.energytransitionmodel.com/publications/2216</t>
  </si>
  <si>
    <t>CBS</t>
  </si>
  <si>
    <t>kg/GJ</t>
  </si>
  <si>
    <t>Avrage in Europe in 2023</t>
  </si>
  <si>
    <t>＄/ kg</t>
  </si>
  <si>
    <t>https://www.exchangerates.org.uk/EUR-USD-spot-exchange-rates-history-2023.html#:~:text=Best%20exchange%20rate%3A%201.1244%20USD,USD%20on%2003%20Oct%202023.</t>
  </si>
  <si>
    <t>Euro/USD</t>
  </si>
  <si>
    <t>Euro to dollar conversion (2023)</t>
  </si>
  <si>
    <t xml:space="preserve">Euro per kg </t>
  </si>
  <si>
    <t>Euro/kg</t>
  </si>
  <si>
    <t>Euro per MJ</t>
  </si>
  <si>
    <t>Euro/MJ</t>
  </si>
  <si>
    <t>Business analytics</t>
  </si>
  <si>
    <t>URL</t>
  </si>
  <si>
    <t>25/06/2025</t>
  </si>
  <si>
    <t>https://businessanalytiq.com/procurementanalytics/index/naphtha-price-index/</t>
  </si>
  <si>
    <t>https://refman.energytransitionmodel.com/publications/2217</t>
  </si>
  <si>
    <t>Kas Kranenburg</t>
  </si>
  <si>
    <t>naphtha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</si>
</sst>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
    <numFmt numFmtId="166" formatCode="0.000"/>
    <numFmt numFmtId="168" formatCode="yyyy\-mm\-dd"/>
    <numFmt numFmtId="170" formatCode="0.00000000000"/>
  </numFmts>
  <fonts count="26">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b/>
      <sz val="14"/>
      <color theme="1"/>
      <name val="Calibri"/>
      <family val="2"/>
      <scheme val="minor"/>
    </font>
    <font>
      <sz val="12"/>
      <name val="Calibri"/>
      <family val="2"/>
      <scheme val="minor"/>
    </font>
    <font>
      <b/>
      <sz val="12"/>
      <name val="Calibri"/>
      <family val="2"/>
      <scheme val="minor"/>
    </font>
    <font>
      <sz val="12"/>
      <color rgb="FF000000"/>
      <name val="Calibri"/>
      <family val="2"/>
    </font>
    <font>
      <i/>
      <sz val="12"/>
      <color theme="1"/>
      <name val="Calibri"/>
      <family val="2"/>
      <scheme val="minor"/>
    </font>
    <font>
      <sz val="9"/>
      <name val="Arial"/>
      <family val="2"/>
    </font>
    <font>
      <b/>
      <sz val="12"/>
      <color rgb="FF000000"/>
      <name val="Calibri"/>
      <family val="2"/>
    </font>
    <font>
      <sz val="10"/>
      <name val="Verdana"/>
      <family val="2"/>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s>
  <borders count="22">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s>
  <cellStyleXfs count="345">
    <xf numFmtId="0" fontId="0"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25"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cellStyleXfs>
  <cellXfs count="145">
    <xf numFmtId="0" fontId="0" fillId="0" borderId="0" xfId="0"/>
    <xf numFmtId="0" fontId="13" fillId="2" borderId="19" xfId="0" applyFont="1" applyFill="1" applyBorder="1" applyAlignment="1">
      <alignment vertical="center"/>
    </xf>
    <xf numFmtId="0" fontId="13" fillId="2" borderId="5" xfId="0" applyFont="1" applyFill="1" applyBorder="1" applyAlignment="1">
      <alignment vertical="center"/>
    </xf>
    <xf numFmtId="0" fontId="8" fillId="0" borderId="5" xfId="0" applyFont="1" applyBorder="1"/>
    <xf numFmtId="166" fontId="4" fillId="2" borderId="0" xfId="0" applyNumberFormat="1" applyFont="1" applyFill="1" applyAlignment="1">
      <alignment vertical="center"/>
    </xf>
    <xf numFmtId="0" fontId="4" fillId="2" borderId="6" xfId="0" applyFont="1" applyFill="1" applyBorder="1"/>
    <xf numFmtId="0" fontId="4" fillId="2" borderId="0" xfId="0" applyFont="1" applyFill="1"/>
    <xf numFmtId="0" fontId="14" fillId="3" borderId="7" xfId="0" applyFont="1" applyFill="1" applyBorder="1"/>
    <xf numFmtId="0" fontId="15" fillId="3" borderId="17" xfId="0" applyFont="1" applyFill="1" applyBorder="1"/>
    <xf numFmtId="0" fontId="14" fillId="3" borderId="13" xfId="0" applyFont="1" applyFill="1" applyBorder="1"/>
    <xf numFmtId="0" fontId="16" fillId="3" borderId="7" xfId="0" applyFont="1" applyFill="1" applyBorder="1" applyAlignment="1">
      <alignment vertical="center"/>
    </xf>
    <xf numFmtId="2" fontId="14" fillId="3" borderId="8" xfId="0" applyNumberFormat="1" applyFont="1" applyFill="1" applyBorder="1" applyAlignment="1">
      <alignment horizontal="left"/>
    </xf>
    <xf numFmtId="0" fontId="16" fillId="3" borderId="1" xfId="0" applyFont="1" applyFill="1" applyBorder="1" applyAlignment="1">
      <alignment vertical="center"/>
    </xf>
    <xf numFmtId="0" fontId="14" fillId="3" borderId="14" xfId="0" applyFont="1" applyFill="1" applyBorder="1"/>
    <xf numFmtId="0" fontId="14" fillId="3" borderId="0" xfId="0" applyFont="1" applyFill="1"/>
    <xf numFmtId="0" fontId="13" fillId="2" borderId="0" xfId="0" applyFont="1" applyFill="1" applyAlignment="1">
      <alignment vertical="center"/>
    </xf>
    <xf numFmtId="1" fontId="13" fillId="2" borderId="0" xfId="0" applyNumberFormat="1" applyFont="1" applyFill="1" applyAlignment="1">
      <alignment vertical="center"/>
    </xf>
    <xf numFmtId="1" fontId="13" fillId="2" borderId="0" xfId="0" applyNumberFormat="1" applyFont="1" applyFill="1" applyAlignment="1">
      <alignment horizontal="right" vertical="center"/>
    </xf>
    <xf numFmtId="2" fontId="13" fillId="2" borderId="0" xfId="0" applyNumberFormat="1" applyFont="1" applyFill="1" applyAlignment="1">
      <alignment horizontal="right" vertical="center"/>
    </xf>
    <xf numFmtId="0" fontId="13" fillId="2" borderId="0" xfId="0" applyFont="1" applyFill="1"/>
    <xf numFmtId="0" fontId="13" fillId="2" borderId="9" xfId="0" applyFont="1" applyFill="1" applyBorder="1"/>
    <xf numFmtId="0" fontId="13" fillId="2" borderId="4" xfId="0" applyFont="1" applyFill="1" applyBorder="1"/>
    <xf numFmtId="0" fontId="10" fillId="2" borderId="0" xfId="0" applyFont="1" applyFill="1"/>
    <xf numFmtId="0" fontId="14" fillId="0" borderId="0" xfId="0" applyFont="1"/>
    <xf numFmtId="0" fontId="13" fillId="2" borderId="6" xfId="0" applyFont="1" applyFill="1" applyBorder="1"/>
    <xf numFmtId="0" fontId="14" fillId="3" borderId="17" xfId="0" applyFont="1" applyFill="1" applyBorder="1"/>
    <xf numFmtId="0" fontId="14" fillId="3" borderId="2" xfId="0" applyFont="1" applyFill="1" applyBorder="1"/>
    <xf numFmtId="0" fontId="10" fillId="2" borderId="2" xfId="0" applyFont="1" applyFill="1" applyBorder="1"/>
    <xf numFmtId="0" fontId="17" fillId="3" borderId="0" xfId="0" applyFont="1" applyFill="1"/>
    <xf numFmtId="0" fontId="10" fillId="2" borderId="7" xfId="0" applyFont="1" applyFill="1" applyBorder="1"/>
    <xf numFmtId="0" fontId="13" fillId="0" borderId="0" xfId="0" applyFont="1"/>
    <xf numFmtId="0" fontId="15" fillId="3" borderId="0" xfId="0" applyFont="1" applyFill="1"/>
    <xf numFmtId="0" fontId="13" fillId="2" borderId="0" xfId="0" applyFont="1" applyFill="1" applyAlignment="1">
      <alignment horizontal="left" vertical="center"/>
    </xf>
    <xf numFmtId="0" fontId="9" fillId="2" borderId="0" xfId="0" applyFont="1" applyFill="1"/>
    <xf numFmtId="0" fontId="9" fillId="0" borderId="0" xfId="0" applyFont="1"/>
    <xf numFmtId="0" fontId="9" fillId="2" borderId="3" xfId="0" applyFont="1" applyFill="1" applyBorder="1"/>
    <xf numFmtId="0" fontId="9" fillId="2" borderId="15" xfId="0" applyFont="1" applyFill="1" applyBorder="1"/>
    <xf numFmtId="0" fontId="9" fillId="2" borderId="10" xfId="0" applyFont="1" applyFill="1" applyBorder="1"/>
    <xf numFmtId="0" fontId="9" fillId="2" borderId="11" xfId="0" applyFont="1" applyFill="1" applyBorder="1"/>
    <xf numFmtId="0" fontId="9" fillId="2" borderId="12" xfId="0" applyFont="1" applyFill="1" applyBorder="1"/>
    <xf numFmtId="0" fontId="18" fillId="2" borderId="0" xfId="0" applyFont="1" applyFill="1"/>
    <xf numFmtId="0" fontId="18" fillId="2" borderId="5" xfId="0" applyFont="1" applyFill="1" applyBorder="1"/>
    <xf numFmtId="2" fontId="9" fillId="2" borderId="18" xfId="0" applyNumberFormat="1" applyFont="1" applyFill="1" applyBorder="1"/>
    <xf numFmtId="164" fontId="9" fillId="2" borderId="18" xfId="0" applyNumberFormat="1" applyFont="1" applyFill="1" applyBorder="1"/>
    <xf numFmtId="0" fontId="19" fillId="2" borderId="0" xfId="0" applyFont="1" applyFill="1"/>
    <xf numFmtId="49" fontId="19" fillId="2" borderId="0" xfId="0" applyNumberFormat="1" applyFont="1" applyFill="1"/>
    <xf numFmtId="0" fontId="19" fillId="2" borderId="3" xfId="0" applyFont="1" applyFill="1" applyBorder="1"/>
    <xf numFmtId="0" fontId="19" fillId="2" borderId="4" xfId="0" applyFont="1" applyFill="1" applyBorder="1"/>
    <xf numFmtId="49" fontId="19" fillId="2" borderId="4" xfId="0" applyNumberFormat="1" applyFont="1" applyFill="1" applyBorder="1"/>
    <xf numFmtId="0" fontId="19" fillId="2" borderId="6" xfId="0" applyFont="1" applyFill="1" applyBorder="1"/>
    <xf numFmtId="0" fontId="20" fillId="2" borderId="0" xfId="0" applyFont="1" applyFill="1"/>
    <xf numFmtId="49" fontId="20" fillId="2" borderId="0" xfId="0" applyNumberFormat="1" applyFont="1" applyFill="1"/>
    <xf numFmtId="0" fontId="19" fillId="2" borderId="16" xfId="0" applyFont="1" applyFill="1" applyBorder="1"/>
    <xf numFmtId="0" fontId="20" fillId="2" borderId="9" xfId="0" applyFont="1" applyFill="1" applyBorder="1"/>
    <xf numFmtId="49" fontId="20" fillId="2" borderId="9" xfId="0" applyNumberFormat="1" applyFont="1" applyFill="1" applyBorder="1"/>
    <xf numFmtId="0" fontId="19" fillId="2" borderId="0" xfId="0" applyFont="1" applyFill="1" applyAlignment="1">
      <alignment vertical="top"/>
    </xf>
    <xf numFmtId="2" fontId="13" fillId="2" borderId="9" xfId="0" applyNumberFormat="1" applyFont="1" applyFill="1" applyBorder="1" applyAlignment="1">
      <alignment vertical="center"/>
    </xf>
    <xf numFmtId="0" fontId="19" fillId="2" borderId="0" xfId="0" applyFont="1" applyFill="1" applyAlignment="1">
      <alignment horizontal="left" vertical="top"/>
    </xf>
    <xf numFmtId="0" fontId="8" fillId="2" borderId="0" xfId="0" applyFont="1" applyFill="1"/>
    <xf numFmtId="2" fontId="8" fillId="2" borderId="0" xfId="0" applyNumberFormat="1" applyFont="1" applyFill="1"/>
    <xf numFmtId="0" fontId="8" fillId="2" borderId="3" xfId="0" applyFont="1" applyFill="1" applyBorder="1"/>
    <xf numFmtId="0" fontId="8" fillId="2" borderId="4" xfId="0" applyFont="1" applyFill="1" applyBorder="1"/>
    <xf numFmtId="2" fontId="8" fillId="2" borderId="4" xfId="0" applyNumberFormat="1" applyFont="1" applyFill="1" applyBorder="1"/>
    <xf numFmtId="0" fontId="8" fillId="2" borderId="15" xfId="0" applyFont="1" applyFill="1" applyBorder="1"/>
    <xf numFmtId="0" fontId="8" fillId="2" borderId="6" xfId="0" applyFont="1" applyFill="1" applyBorder="1"/>
    <xf numFmtId="0" fontId="8" fillId="2" borderId="0" xfId="0" applyFont="1" applyFill="1" applyAlignment="1">
      <alignment horizontal="left" vertical="center"/>
    </xf>
    <xf numFmtId="1" fontId="8" fillId="2" borderId="0" xfId="0" applyNumberFormat="1" applyFont="1" applyFill="1" applyAlignment="1">
      <alignment vertical="center"/>
    </xf>
    <xf numFmtId="166" fontId="8" fillId="2" borderId="0" xfId="0" applyNumberFormat="1" applyFont="1" applyFill="1" applyAlignment="1">
      <alignment vertical="center"/>
    </xf>
    <xf numFmtId="0" fontId="8" fillId="2" borderId="10" xfId="0" applyFont="1" applyFill="1" applyBorder="1"/>
    <xf numFmtId="2" fontId="8" fillId="2" borderId="11" xfId="0" applyNumberFormat="1" applyFont="1" applyFill="1" applyBorder="1"/>
    <xf numFmtId="0" fontId="8" fillId="2" borderId="12" xfId="0" applyFont="1" applyFill="1" applyBorder="1"/>
    <xf numFmtId="0" fontId="13" fillId="2" borderId="17" xfId="0" applyFont="1" applyFill="1" applyBorder="1"/>
    <xf numFmtId="0" fontId="7" fillId="2" borderId="2" xfId="0" applyFont="1" applyFill="1" applyBorder="1"/>
    <xf numFmtId="0" fontId="13" fillId="2" borderId="7" xfId="0" applyFont="1" applyFill="1" applyBorder="1"/>
    <xf numFmtId="0" fontId="7" fillId="2" borderId="0" xfId="0" applyFont="1" applyFill="1"/>
    <xf numFmtId="0" fontId="22" fillId="2" borderId="0" xfId="0" applyFont="1" applyFill="1"/>
    <xf numFmtId="0" fontId="7" fillId="2" borderId="18" xfId="0" applyFont="1" applyFill="1" applyBorder="1"/>
    <xf numFmtId="0" fontId="7" fillId="5" borderId="0" xfId="0" applyFont="1" applyFill="1"/>
    <xf numFmtId="0" fontId="7" fillId="6" borderId="0" xfId="0" applyFont="1" applyFill="1"/>
    <xf numFmtId="0" fontId="7" fillId="7" borderId="0" xfId="0" applyFont="1" applyFill="1"/>
    <xf numFmtId="0" fontId="7" fillId="8" borderId="0" xfId="0" applyFont="1" applyFill="1"/>
    <xf numFmtId="0" fontId="7" fillId="2" borderId="7" xfId="0" applyFont="1" applyFill="1" applyBorder="1"/>
    <xf numFmtId="0" fontId="7" fillId="9" borderId="0" xfId="0" applyFont="1" applyFill="1"/>
    <xf numFmtId="0" fontId="7" fillId="10" borderId="0" xfId="0" applyFont="1" applyFill="1"/>
    <xf numFmtId="0" fontId="7" fillId="11" borderId="0" xfId="0" applyFont="1" applyFill="1"/>
    <xf numFmtId="0" fontId="7" fillId="12" borderId="0" xfId="0" applyFont="1" applyFill="1"/>
    <xf numFmtId="0" fontId="13" fillId="2" borderId="16" xfId="0" applyFont="1" applyFill="1" applyBorder="1"/>
    <xf numFmtId="0" fontId="15" fillId="2" borderId="9" xfId="0" applyFont="1" applyFill="1" applyBorder="1"/>
    <xf numFmtId="0" fontId="18" fillId="2" borderId="19" xfId="0" applyFont="1" applyFill="1" applyBorder="1"/>
    <xf numFmtId="1" fontId="13" fillId="2" borderId="0" xfId="0" applyNumberFormat="1" applyFont="1" applyFill="1" applyAlignment="1">
      <alignment horizontal="left" vertical="center"/>
    </xf>
    <xf numFmtId="2" fontId="13" fillId="2" borderId="0" xfId="0" applyNumberFormat="1" applyFont="1" applyFill="1" applyAlignment="1">
      <alignment horizontal="left" vertical="center"/>
    </xf>
    <xf numFmtId="2" fontId="13" fillId="2" borderId="0" xfId="0" applyNumberFormat="1" applyFont="1" applyFill="1" applyAlignment="1">
      <alignment vertical="center"/>
    </xf>
    <xf numFmtId="0" fontId="13" fillId="2" borderId="9" xfId="0" applyFont="1" applyFill="1" applyBorder="1" applyAlignment="1">
      <alignment vertical="center"/>
    </xf>
    <xf numFmtId="0" fontId="6" fillId="0" borderId="0" xfId="0" applyFont="1"/>
    <xf numFmtId="165" fontId="9" fillId="2" borderId="18" xfId="0" applyNumberFormat="1" applyFont="1" applyFill="1" applyBorder="1"/>
    <xf numFmtId="0" fontId="5" fillId="2" borderId="0" xfId="0" applyFont="1" applyFill="1"/>
    <xf numFmtId="0" fontId="5" fillId="2" borderId="6" xfId="0" applyFont="1" applyFill="1" applyBorder="1"/>
    <xf numFmtId="0" fontId="13" fillId="2" borderId="20" xfId="0" applyFont="1" applyFill="1" applyBorder="1"/>
    <xf numFmtId="0" fontId="13" fillId="2" borderId="21" xfId="0" applyFont="1" applyFill="1" applyBorder="1"/>
    <xf numFmtId="0" fontId="3" fillId="0" borderId="0" xfId="0" applyFont="1"/>
    <xf numFmtId="0" fontId="3" fillId="2" borderId="18" xfId="0" applyFont="1" applyFill="1" applyBorder="1"/>
    <xf numFmtId="1" fontId="9" fillId="2" borderId="18" xfId="0" applyNumberFormat="1" applyFont="1" applyFill="1" applyBorder="1"/>
    <xf numFmtId="0" fontId="6" fillId="0" borderId="0" xfId="0" applyFont="1" applyAlignment="1">
      <alignment horizontal="left" indent="2"/>
    </xf>
    <xf numFmtId="0" fontId="3" fillId="0" borderId="0" xfId="0" applyFont="1" applyAlignment="1">
      <alignment horizontal="left" indent="2"/>
    </xf>
    <xf numFmtId="0" fontId="9" fillId="0" borderId="0" xfId="0" applyFont="1" applyAlignment="1">
      <alignment horizontal="left" indent="2"/>
    </xf>
    <xf numFmtId="0" fontId="23" fillId="0" borderId="0" xfId="0" applyFont="1"/>
    <xf numFmtId="0" fontId="23" fillId="0" borderId="0" xfId="0" applyFont="1" applyAlignment="1">
      <alignment horizontal="left"/>
    </xf>
    <xf numFmtId="0" fontId="3" fillId="0" borderId="5" xfId="0" applyFont="1" applyBorder="1"/>
    <xf numFmtId="0" fontId="3" fillId="2" borderId="0" xfId="0" applyFont="1" applyFill="1" applyAlignment="1">
      <alignment horizontal="left" indent="2"/>
    </xf>
    <xf numFmtId="0" fontId="2" fillId="2" borderId="0" xfId="0" applyFont="1" applyFill="1"/>
    <xf numFmtId="0" fontId="2" fillId="0" borderId="5" xfId="0" applyFont="1" applyBorder="1"/>
    <xf numFmtId="0" fontId="2" fillId="2" borderId="6" xfId="0" applyFont="1" applyFill="1" applyBorder="1"/>
    <xf numFmtId="0" fontId="2" fillId="0" borderId="0" xfId="0" applyFont="1" applyAlignment="1">
      <alignment horizontal="left" indent="2"/>
    </xf>
    <xf numFmtId="166" fontId="2" fillId="2" borderId="18" xfId="0" applyNumberFormat="1" applyFont="1" applyFill="1" applyBorder="1"/>
    <xf numFmtId="166" fontId="2" fillId="2" borderId="0" xfId="0" applyNumberFormat="1" applyFont="1" applyFill="1" applyAlignment="1">
      <alignment vertical="center"/>
    </xf>
    <xf numFmtId="0" fontId="19" fillId="2" borderId="0" xfId="0" applyFont="1" applyFill="1" applyAlignment="1">
      <alignment horizontal="left" vertical="center"/>
    </xf>
    <xf numFmtId="0" fontId="19" fillId="2" borderId="0" xfId="0" applyFont="1" applyFill="1" applyAlignment="1">
      <alignment horizontal="left"/>
    </xf>
    <xf numFmtId="164" fontId="19" fillId="2" borderId="0" xfId="0" applyNumberFormat="1" applyFont="1" applyFill="1" applyAlignment="1">
      <alignment vertical="center"/>
    </xf>
    <xf numFmtId="0" fontId="24" fillId="4" borderId="0" xfId="0" applyFont="1" applyFill="1"/>
    <xf numFmtId="0" fontId="10" fillId="2" borderId="13" xfId="0" applyFont="1" applyFill="1" applyBorder="1"/>
    <xf numFmtId="0" fontId="10" fillId="2" borderId="8" xfId="0" applyFont="1" applyFill="1" applyBorder="1"/>
    <xf numFmtId="0" fontId="10" fillId="2" borderId="1" xfId="0" applyFont="1" applyFill="1" applyBorder="1"/>
    <xf numFmtId="0" fontId="10" fillId="2" borderId="9" xfId="0" applyFont="1" applyFill="1" applyBorder="1"/>
    <xf numFmtId="0" fontId="10" fillId="2" borderId="14" xfId="0" applyFont="1" applyFill="1" applyBorder="1"/>
    <xf numFmtId="170" fontId="9" fillId="2" borderId="18" xfId="0" applyNumberFormat="1" applyFont="1" applyFill="1" applyBorder="1"/>
    <xf numFmtId="0" fontId="21" fillId="0" borderId="0" xfId="0" applyFont="1"/>
    <xf numFmtId="0" fontId="21" fillId="0" borderId="0" xfId="0" applyFont="1" applyAlignment="1" applyProtection="1">
      <alignment vertical="top"/>
      <protection locked="0"/>
    </xf>
    <xf numFmtId="168" fontId="21" fillId="0" borderId="0" xfId="0" applyNumberFormat="1" applyFont="1" applyAlignment="1" applyProtection="1">
      <alignment vertical="top"/>
      <protection locked="0"/>
    </xf>
    <xf numFmtId="0" fontId="21" fillId="4" borderId="17" xfId="0" applyFont="1" applyFill="1" applyBorder="1" applyAlignment="1">
      <alignment horizontal="left" vertical="top" wrapText="1"/>
    </xf>
    <xf numFmtId="0" fontId="21" fillId="4" borderId="2" xfId="0" applyFont="1" applyFill="1" applyBorder="1" applyAlignment="1">
      <alignment horizontal="left" vertical="top" wrapText="1"/>
    </xf>
    <xf numFmtId="0" fontId="21" fillId="4" borderId="13" xfId="0" applyFont="1" applyFill="1" applyBorder="1" applyAlignment="1">
      <alignment horizontal="left" vertical="top" wrapText="1"/>
    </xf>
    <xf numFmtId="0" fontId="21" fillId="4" borderId="7" xfId="0" applyFont="1" applyFill="1" applyBorder="1" applyAlignment="1">
      <alignment horizontal="left" vertical="top" wrapText="1"/>
    </xf>
    <xf numFmtId="0" fontId="21" fillId="4" borderId="0" xfId="0" applyFont="1" applyFill="1" applyAlignment="1">
      <alignment horizontal="left" vertical="top" wrapText="1"/>
    </xf>
    <xf numFmtId="0" fontId="21" fillId="4" borderId="8" xfId="0" applyFont="1" applyFill="1" applyBorder="1" applyAlignment="1">
      <alignment horizontal="left" vertical="top" wrapText="1"/>
    </xf>
    <xf numFmtId="0" fontId="21" fillId="4" borderId="1" xfId="0" applyFont="1" applyFill="1" applyBorder="1" applyAlignment="1">
      <alignment horizontal="left" vertical="top" wrapText="1"/>
    </xf>
    <xf numFmtId="0" fontId="21" fillId="4" borderId="9" xfId="0" applyFont="1" applyFill="1" applyBorder="1" applyAlignment="1">
      <alignment horizontal="left" vertical="top" wrapText="1"/>
    </xf>
    <xf numFmtId="0" fontId="21" fillId="4" borderId="14" xfId="0" applyFont="1" applyFill="1" applyBorder="1" applyAlignment="1">
      <alignment horizontal="left" vertical="top" wrapText="1"/>
    </xf>
    <xf numFmtId="0" fontId="11" fillId="0" borderId="0" xfId="183" applyAlignment="1" applyProtection="1"/>
    <xf numFmtId="0" fontId="1" fillId="2" borderId="0" xfId="0" applyFont="1" applyFill="1"/>
    <xf numFmtId="0" fontId="19" fillId="2" borderId="0" xfId="0" applyNumberFormat="1" applyFont="1" applyFill="1"/>
    <xf numFmtId="0" fontId="20" fillId="0" borderId="0" xfId="0" applyFont="1"/>
    <xf numFmtId="165" fontId="21" fillId="4" borderId="18" xfId="0" applyNumberFormat="1" applyFont="1" applyFill="1" applyBorder="1"/>
    <xf numFmtId="0" fontId="1" fillId="0" borderId="0" xfId="0" applyFont="1"/>
    <xf numFmtId="0" fontId="1" fillId="0" borderId="0" xfId="0" applyFont="1" applyAlignment="1">
      <alignment horizontal="left" indent="2"/>
    </xf>
    <xf numFmtId="0" fontId="1" fillId="2" borderId="18" xfId="0" applyFont="1" applyFill="1" applyBorder="1"/>
  </cellXfs>
  <cellStyles count="345">
    <cellStyle name="Excel Built-in Normal" xfId="338" xr:uid="{00000000-0005-0000-0000-00000000000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180" builtinId="9" hidden="1"/>
    <cellStyle name="Followed Hyperlink" xfId="182" builtinId="9" hidden="1"/>
    <cellStyle name="Followed Hyperlink" xfId="179" builtinId="9" hidden="1"/>
    <cellStyle name="Followed Hyperlink" xfId="181" builtinId="9" hidden="1"/>
    <cellStyle name="Followed Hyperlink" xfId="178" builtinId="9" hidden="1"/>
    <cellStyle name="Followed Hyperlink" xfId="177"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83"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220134</xdr:colOff>
      <xdr:row>16</xdr:row>
      <xdr:rowOff>101602</xdr:rowOff>
    </xdr:from>
    <xdr:to>
      <xdr:col>11</xdr:col>
      <xdr:colOff>1498601</xdr:colOff>
      <xdr:row>61</xdr:row>
      <xdr:rowOff>5722</xdr:rowOff>
    </xdr:to>
    <xdr:pic>
      <xdr:nvPicPr>
        <xdr:cNvPr id="3" name="Picture 2">
          <a:extLst>
            <a:ext uri="{FF2B5EF4-FFF2-40B4-BE49-F238E27FC236}">
              <a16:creationId xmlns:a16="http://schemas.microsoft.com/office/drawing/2014/main" id="{0F370F2F-3AD6-2458-2C54-081E85EF34B2}"/>
            </a:ext>
          </a:extLst>
        </xdr:cNvPr>
        <xdr:cNvPicPr>
          <a:picLocks noChangeAspect="1"/>
        </xdr:cNvPicPr>
      </xdr:nvPicPr>
      <xdr:blipFill>
        <a:blip xmlns:r="http://schemas.openxmlformats.org/officeDocument/2006/relationships" r:embed="rId1"/>
        <a:stretch>
          <a:fillRect/>
        </a:stretch>
      </xdr:blipFill>
      <xdr:spPr>
        <a:xfrm>
          <a:off x="4013201" y="3369735"/>
          <a:ext cx="7780867" cy="9049758"/>
        </a:xfrm>
        <a:prstGeom prst="rect">
          <a:avLst/>
        </a:prstGeom>
      </xdr:spPr>
    </xdr:pic>
    <xdr:clientData/>
  </xdr:twoCellAnchor>
  <xdr:twoCellAnchor editAs="oneCell">
    <xdr:from>
      <xdr:col>6</xdr:col>
      <xdr:colOff>203199</xdr:colOff>
      <xdr:row>73</xdr:row>
      <xdr:rowOff>135467</xdr:rowOff>
    </xdr:from>
    <xdr:to>
      <xdr:col>11</xdr:col>
      <xdr:colOff>241299</xdr:colOff>
      <xdr:row>105</xdr:row>
      <xdr:rowOff>198967</xdr:rowOff>
    </xdr:to>
    <xdr:pic>
      <xdr:nvPicPr>
        <xdr:cNvPr id="4" name="Picture 3">
          <a:extLst>
            <a:ext uri="{FF2B5EF4-FFF2-40B4-BE49-F238E27FC236}">
              <a16:creationId xmlns:a16="http://schemas.microsoft.com/office/drawing/2014/main" id="{F5833CC7-BC6C-50DA-7F16-F904D9A00C5D}"/>
            </a:ext>
          </a:extLst>
        </xdr:cNvPr>
        <xdr:cNvPicPr>
          <a:picLocks noChangeAspect="1"/>
        </xdr:cNvPicPr>
      </xdr:nvPicPr>
      <xdr:blipFill>
        <a:blip xmlns:r="http://schemas.openxmlformats.org/officeDocument/2006/relationships" r:embed="rId2"/>
        <a:stretch>
          <a:fillRect/>
        </a:stretch>
      </xdr:blipFill>
      <xdr:spPr>
        <a:xfrm>
          <a:off x="3996266" y="15002934"/>
          <a:ext cx="6540500" cy="6870700"/>
        </a:xfrm>
        <a:prstGeom prst="rect">
          <a:avLst/>
        </a:prstGeom>
      </xdr:spPr>
    </xdr:pic>
    <xdr:clientData/>
  </xdr:twoCellAnchor>
  <xdr:twoCellAnchor editAs="oneCell">
    <xdr:from>
      <xdr:col>6</xdr:col>
      <xdr:colOff>20819</xdr:colOff>
      <xdr:row>112</xdr:row>
      <xdr:rowOff>187377</xdr:rowOff>
    </xdr:from>
    <xdr:to>
      <xdr:col>11</xdr:col>
      <xdr:colOff>1297482</xdr:colOff>
      <xdr:row>142</xdr:row>
      <xdr:rowOff>88424</xdr:rowOff>
    </xdr:to>
    <xdr:pic>
      <xdr:nvPicPr>
        <xdr:cNvPr id="5" name="Picture 4">
          <a:extLst>
            <a:ext uri="{FF2B5EF4-FFF2-40B4-BE49-F238E27FC236}">
              <a16:creationId xmlns:a16="http://schemas.microsoft.com/office/drawing/2014/main" id="{7B261117-A849-9291-C7FD-B814C70B1D0D}"/>
            </a:ext>
          </a:extLst>
        </xdr:cNvPr>
        <xdr:cNvPicPr>
          <a:picLocks noChangeAspect="1"/>
        </xdr:cNvPicPr>
      </xdr:nvPicPr>
      <xdr:blipFill>
        <a:blip xmlns:r="http://schemas.openxmlformats.org/officeDocument/2006/relationships" r:embed="rId3"/>
        <a:stretch>
          <a:fillRect/>
        </a:stretch>
      </xdr:blipFill>
      <xdr:spPr>
        <a:xfrm>
          <a:off x="3789180" y="23796885"/>
          <a:ext cx="7772400" cy="6146949"/>
        </a:xfrm>
        <a:prstGeom prst="rect">
          <a:avLst/>
        </a:prstGeom>
      </xdr:spPr>
    </xdr:pic>
    <xdr:clientData/>
  </xdr:twoCellAnchor>
  <xdr:twoCellAnchor editAs="oneCell">
    <xdr:from>
      <xdr:col>6</xdr:col>
      <xdr:colOff>0</xdr:colOff>
      <xdr:row>153</xdr:row>
      <xdr:rowOff>48474</xdr:rowOff>
    </xdr:from>
    <xdr:to>
      <xdr:col>11</xdr:col>
      <xdr:colOff>1296369</xdr:colOff>
      <xdr:row>181</xdr:row>
      <xdr:rowOff>103899</xdr:rowOff>
    </xdr:to>
    <xdr:pic>
      <xdr:nvPicPr>
        <xdr:cNvPr id="6" name="Picture 5">
          <a:extLst>
            <a:ext uri="{FF2B5EF4-FFF2-40B4-BE49-F238E27FC236}">
              <a16:creationId xmlns:a16="http://schemas.microsoft.com/office/drawing/2014/main" id="{720803BF-7426-7068-44BF-47B85528E05F}"/>
            </a:ext>
          </a:extLst>
        </xdr:cNvPr>
        <xdr:cNvPicPr>
          <a:picLocks noChangeAspect="1"/>
        </xdr:cNvPicPr>
      </xdr:nvPicPr>
      <xdr:blipFill>
        <a:blip xmlns:r="http://schemas.openxmlformats.org/officeDocument/2006/relationships" r:embed="rId4"/>
        <a:stretch>
          <a:fillRect/>
        </a:stretch>
      </xdr:blipFill>
      <xdr:spPr>
        <a:xfrm>
          <a:off x="3780916" y="31517329"/>
          <a:ext cx="7772400" cy="575588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lexander/Git/etdataset/nodes_source_analyses/agriculture/6_residen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businessanalytiq.com/procurementanalytics/index/naphtha-price-index/"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businessanalytiq.com/procurementanalytics/index/naphtha-price-index/" TargetMode="External"/><Relationship Id="rId2" Type="http://schemas.openxmlformats.org/officeDocument/2006/relationships/hyperlink" Target="https://www.exchangerates.org.uk/EUR-USD-spot-exchange-rates-history-2023.html" TargetMode="External"/><Relationship Id="rId1" Type="http://schemas.openxmlformats.org/officeDocument/2006/relationships/hyperlink" Target="https://refman.energytransitionmodel.com/publications/2216"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24"/>
  <sheetViews>
    <sheetView workbookViewId="0">
      <selection activeCell="C5" sqref="C5"/>
    </sheetView>
  </sheetViews>
  <sheetFormatPr baseColWidth="10" defaultColWidth="10.85546875" defaultRowHeight="16"/>
  <cols>
    <col min="1" max="1" width="3.42578125" style="29" customWidth="1"/>
    <col min="2" max="2" width="9.140625" style="22" customWidth="1"/>
    <col min="3" max="3" width="44.140625" style="22" customWidth="1"/>
    <col min="4" max="4" width="2.140625" style="22" customWidth="1"/>
    <col min="5" max="16384" width="10.85546875" style="22"/>
  </cols>
  <sheetData>
    <row r="1" spans="1:4" s="27" customFormat="1">
      <c r="A1" s="25"/>
      <c r="B1" s="26"/>
      <c r="C1" s="26"/>
    </row>
    <row r="2" spans="1:4" ht="21">
      <c r="A2" s="7"/>
      <c r="B2" s="28" t="s">
        <v>5</v>
      </c>
      <c r="C2" s="28"/>
    </row>
    <row r="3" spans="1:4">
      <c r="A3" s="7"/>
      <c r="B3" s="14"/>
      <c r="C3" s="14"/>
    </row>
    <row r="4" spans="1:4">
      <c r="A4" s="7"/>
      <c r="B4" s="8" t="s">
        <v>46</v>
      </c>
      <c r="C4" s="9" t="s">
        <v>79</v>
      </c>
    </row>
    <row r="5" spans="1:4">
      <c r="A5" s="7"/>
      <c r="B5" s="10" t="s">
        <v>11</v>
      </c>
      <c r="C5" s="11" t="s">
        <v>78</v>
      </c>
    </row>
    <row r="6" spans="1:4">
      <c r="A6" s="7"/>
      <c r="B6" s="12" t="s">
        <v>6</v>
      </c>
      <c r="C6" s="13" t="s">
        <v>7</v>
      </c>
    </row>
    <row r="7" spans="1:4">
      <c r="A7" s="7"/>
      <c r="B7" s="14"/>
      <c r="C7" s="14"/>
    </row>
    <row r="8" spans="1:4">
      <c r="A8" s="7"/>
      <c r="B8" s="14"/>
      <c r="C8" s="14"/>
    </row>
    <row r="9" spans="1:4">
      <c r="A9" s="7"/>
      <c r="B9" s="71" t="s">
        <v>12</v>
      </c>
      <c r="C9" s="72"/>
      <c r="D9" s="119"/>
    </row>
    <row r="10" spans="1:4">
      <c r="A10" s="7"/>
      <c r="B10" s="73"/>
      <c r="C10" s="74"/>
      <c r="D10" s="120"/>
    </row>
    <row r="11" spans="1:4">
      <c r="A11" s="7"/>
      <c r="B11" s="73" t="s">
        <v>13</v>
      </c>
      <c r="C11" s="75" t="s">
        <v>14</v>
      </c>
      <c r="D11" s="120"/>
    </row>
    <row r="12" spans="1:4" ht="17" thickBot="1">
      <c r="A12" s="7"/>
      <c r="B12" s="73"/>
      <c r="C12" s="19" t="s">
        <v>15</v>
      </c>
      <c r="D12" s="120"/>
    </row>
    <row r="13" spans="1:4" ht="17" thickBot="1">
      <c r="A13" s="7"/>
      <c r="B13" s="73"/>
      <c r="C13" s="76" t="s">
        <v>16</v>
      </c>
      <c r="D13" s="120"/>
    </row>
    <row r="14" spans="1:4">
      <c r="A14" s="7"/>
      <c r="B14" s="73"/>
      <c r="C14" s="74" t="s">
        <v>17</v>
      </c>
      <c r="D14" s="120"/>
    </row>
    <row r="15" spans="1:4">
      <c r="A15" s="7"/>
      <c r="B15" s="73"/>
      <c r="C15" s="74"/>
      <c r="D15" s="120"/>
    </row>
    <row r="16" spans="1:4">
      <c r="A16" s="7"/>
      <c r="B16" s="73" t="s">
        <v>18</v>
      </c>
      <c r="C16" s="77" t="s">
        <v>19</v>
      </c>
      <c r="D16" s="120"/>
    </row>
    <row r="17" spans="1:4">
      <c r="A17" s="7"/>
      <c r="B17" s="73"/>
      <c r="C17" s="78" t="s">
        <v>20</v>
      </c>
      <c r="D17" s="120"/>
    </row>
    <row r="18" spans="1:4">
      <c r="A18" s="7"/>
      <c r="B18" s="73"/>
      <c r="C18" s="79" t="s">
        <v>21</v>
      </c>
      <c r="D18" s="120"/>
    </row>
    <row r="19" spans="1:4">
      <c r="A19" s="7"/>
      <c r="B19" s="73"/>
      <c r="C19" s="80" t="s">
        <v>22</v>
      </c>
      <c r="D19" s="120"/>
    </row>
    <row r="20" spans="1:4">
      <c r="A20" s="7"/>
      <c r="B20" s="81"/>
      <c r="C20" s="82" t="s">
        <v>23</v>
      </c>
      <c r="D20" s="120"/>
    </row>
    <row r="21" spans="1:4">
      <c r="A21" s="7"/>
      <c r="B21" s="81"/>
      <c r="C21" s="83" t="s">
        <v>24</v>
      </c>
      <c r="D21" s="120"/>
    </row>
    <row r="22" spans="1:4">
      <c r="A22" s="7"/>
      <c r="B22" s="81"/>
      <c r="C22" s="84" t="s">
        <v>25</v>
      </c>
      <c r="D22" s="120"/>
    </row>
    <row r="23" spans="1:4">
      <c r="B23" s="81"/>
      <c r="C23" s="85" t="s">
        <v>26</v>
      </c>
      <c r="D23" s="120"/>
    </row>
    <row r="24" spans="1:4">
      <c r="B24" s="121"/>
      <c r="C24" s="122"/>
      <c r="D24" s="123"/>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2:J15"/>
  <sheetViews>
    <sheetView workbookViewId="0">
      <selection activeCell="I15" sqref="I15"/>
    </sheetView>
  </sheetViews>
  <sheetFormatPr baseColWidth="10" defaultColWidth="10.85546875" defaultRowHeight="16"/>
  <cols>
    <col min="1" max="1" width="3.28515625" style="33" customWidth="1"/>
    <col min="2" max="2" width="3.7109375" style="33" customWidth="1"/>
    <col min="3" max="3" width="46" style="33" customWidth="1"/>
    <col min="4" max="4" width="12.7109375" style="33" customWidth="1"/>
    <col min="5" max="5" width="21.85546875" style="33" customWidth="1"/>
    <col min="6" max="6" width="4.42578125" style="33" customWidth="1"/>
    <col min="7" max="7" width="45" style="33" customWidth="1"/>
    <col min="8" max="8" width="5.140625" style="33" customWidth="1"/>
    <col min="9" max="9" width="51.42578125" style="33" customWidth="1"/>
    <col min="10" max="10" width="5.42578125" style="33" customWidth="1"/>
    <col min="11" max="16384" width="10.85546875" style="33"/>
  </cols>
  <sheetData>
    <row r="2" spans="2:10" ht="15" customHeight="1">
      <c r="B2" s="128" t="s">
        <v>50</v>
      </c>
      <c r="C2" s="129"/>
      <c r="D2" s="129"/>
      <c r="E2" s="129"/>
      <c r="F2" s="129"/>
      <c r="G2" s="130"/>
    </row>
    <row r="3" spans="2:10">
      <c r="B3" s="131"/>
      <c r="C3" s="132"/>
      <c r="D3" s="132"/>
      <c r="E3" s="132"/>
      <c r="F3" s="132"/>
      <c r="G3" s="133"/>
    </row>
    <row r="4" spans="2:10" ht="76" customHeight="1">
      <c r="B4" s="134"/>
      <c r="C4" s="135"/>
      <c r="D4" s="135"/>
      <c r="E4" s="135"/>
      <c r="F4" s="135"/>
      <c r="G4" s="136"/>
    </row>
    <row r="5" spans="2:10" ht="17" thickBot="1"/>
    <row r="6" spans="2:10">
      <c r="B6" s="35"/>
      <c r="C6" s="21"/>
      <c r="D6" s="21"/>
      <c r="E6" s="21"/>
      <c r="F6" s="21"/>
      <c r="G6" s="21"/>
      <c r="H6" s="21"/>
      <c r="I6" s="21"/>
      <c r="J6" s="36"/>
    </row>
    <row r="7" spans="2:10" s="40" customFormat="1" ht="19">
      <c r="B7" s="86"/>
      <c r="C7" s="20" t="s">
        <v>10</v>
      </c>
      <c r="D7" s="87" t="s">
        <v>4</v>
      </c>
      <c r="E7" s="20" t="s">
        <v>2</v>
      </c>
      <c r="F7" s="20"/>
      <c r="G7" s="20" t="s">
        <v>3</v>
      </c>
      <c r="H7" s="20"/>
      <c r="I7" s="20" t="s">
        <v>0</v>
      </c>
      <c r="J7" s="88"/>
    </row>
    <row r="8" spans="2:10" s="40" customFormat="1" ht="19">
      <c r="B8" s="24"/>
      <c r="C8" s="19"/>
      <c r="D8" s="31"/>
      <c r="E8" s="19"/>
      <c r="F8" s="19"/>
      <c r="G8" s="19"/>
      <c r="H8" s="19"/>
      <c r="I8" s="19"/>
      <c r="J8" s="41"/>
    </row>
    <row r="9" spans="2:10" s="40" customFormat="1" ht="20" thickBot="1">
      <c r="B9" s="24"/>
      <c r="C9" s="118" t="s">
        <v>48</v>
      </c>
      <c r="D9" s="31"/>
      <c r="E9" s="19"/>
      <c r="F9" s="19"/>
      <c r="G9" s="19"/>
      <c r="H9" s="19"/>
      <c r="I9" s="19"/>
      <c r="J9" s="41"/>
    </row>
    <row r="10" spans="2:10" s="40" customFormat="1" ht="20" thickBot="1">
      <c r="B10" s="24"/>
      <c r="C10" s="93" t="s">
        <v>32</v>
      </c>
      <c r="D10" s="23" t="s">
        <v>1</v>
      </c>
      <c r="E10" s="101">
        <f>'Research data'!G6</f>
        <v>0</v>
      </c>
      <c r="F10" s="34"/>
      <c r="G10" s="99" t="s">
        <v>35</v>
      </c>
      <c r="H10" s="30"/>
      <c r="I10" s="100" t="s">
        <v>36</v>
      </c>
      <c r="J10" s="41"/>
    </row>
    <row r="11" spans="2:10" s="40" customFormat="1" ht="20" thickBot="1">
      <c r="B11" s="24"/>
      <c r="C11" s="142" t="s">
        <v>33</v>
      </c>
      <c r="D11" s="23" t="s">
        <v>40</v>
      </c>
      <c r="E11" s="94">
        <f>'Research data'!G7</f>
        <v>1.47E-2</v>
      </c>
      <c r="F11" s="34"/>
      <c r="G11" s="99"/>
      <c r="H11" s="30"/>
      <c r="I11" s="144" t="s">
        <v>73</v>
      </c>
      <c r="J11" s="41"/>
    </row>
    <row r="12" spans="2:10" s="40" customFormat="1" ht="20" thickBot="1">
      <c r="B12" s="24"/>
      <c r="C12" s="99" t="s">
        <v>47</v>
      </c>
      <c r="D12" s="23" t="s">
        <v>39</v>
      </c>
      <c r="E12" s="42">
        <f>'Research data'!G8</f>
        <v>44</v>
      </c>
      <c r="F12" s="34"/>
      <c r="G12" s="99"/>
      <c r="H12" s="30"/>
      <c r="I12" s="144" t="s">
        <v>62</v>
      </c>
      <c r="J12" s="41"/>
    </row>
    <row r="13" spans="2:10" s="40" customFormat="1" ht="20" thickBot="1">
      <c r="B13" s="24"/>
      <c r="C13" s="125" t="s">
        <v>49</v>
      </c>
      <c r="D13" s="23" t="s">
        <v>45</v>
      </c>
      <c r="E13" s="42">
        <f>'Research data'!G9</f>
        <v>0.75</v>
      </c>
      <c r="F13" s="34"/>
      <c r="G13" s="99"/>
      <c r="H13" s="30"/>
      <c r="I13" s="144" t="s">
        <v>62</v>
      </c>
      <c r="J13" s="41"/>
    </row>
    <row r="14" spans="2:10" s="40" customFormat="1" ht="20" thickBot="1">
      <c r="B14" s="24"/>
      <c r="C14" s="143" t="s">
        <v>34</v>
      </c>
      <c r="D14" s="23" t="s">
        <v>37</v>
      </c>
      <c r="E14" s="42">
        <f>'Research data'!G10</f>
        <v>7.3300000000000004E-2</v>
      </c>
      <c r="F14" s="34"/>
      <c r="G14" s="99"/>
      <c r="H14" s="30"/>
      <c r="I14" s="144" t="s">
        <v>51</v>
      </c>
      <c r="J14" s="41"/>
    </row>
    <row r="15" spans="2:10" ht="20" customHeight="1" thickBot="1">
      <c r="B15" s="37"/>
      <c r="C15" s="38"/>
      <c r="D15" s="38"/>
      <c r="E15" s="38"/>
      <c r="F15" s="38"/>
      <c r="G15" s="38"/>
      <c r="H15" s="38"/>
      <c r="I15" s="38"/>
      <c r="J15" s="39"/>
    </row>
  </sheetData>
  <mergeCells count="1">
    <mergeCell ref="B2:G4"/>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6" tint="0.39997558519241921"/>
  </sheetPr>
  <dimension ref="B1:O17"/>
  <sheetViews>
    <sheetView workbookViewId="0">
      <selection activeCell="F6" sqref="F6:F10"/>
    </sheetView>
  </sheetViews>
  <sheetFormatPr baseColWidth="10" defaultColWidth="10.85546875" defaultRowHeight="16"/>
  <cols>
    <col min="1" max="2" width="3.42578125" style="58" customWidth="1"/>
    <col min="3" max="3" width="35.85546875" style="58" customWidth="1"/>
    <col min="4" max="4" width="16.42578125" style="58" hidden="1" customWidth="1"/>
    <col min="5" max="5" width="13.85546875" style="58" hidden="1" customWidth="1"/>
    <col min="6" max="6" width="12.42578125" style="58" customWidth="1"/>
    <col min="7" max="7" width="11.7109375" style="58" bestFit="1" customWidth="1"/>
    <col min="8" max="8" width="4.7109375" style="58" customWidth="1"/>
    <col min="9" max="9" width="9.85546875" style="59" customWidth="1"/>
    <col min="10" max="10" width="3" style="59" customWidth="1"/>
    <col min="11" max="11" width="8.42578125" style="59" customWidth="1"/>
    <col min="12" max="12" width="2.7109375" style="59" customWidth="1"/>
    <col min="13" max="13" width="14.28515625" style="59" bestFit="1" customWidth="1"/>
    <col min="14" max="14" width="2.7109375" style="59" customWidth="1"/>
    <col min="15" max="15" width="60" style="58" customWidth="1"/>
    <col min="16" max="16384" width="10.85546875" style="58"/>
  </cols>
  <sheetData>
    <row r="1" spans="2:15" ht="17" thickBot="1"/>
    <row r="2" spans="2:15">
      <c r="B2" s="60"/>
      <c r="C2" s="61"/>
      <c r="D2" s="61"/>
      <c r="E2" s="61"/>
      <c r="F2" s="61"/>
      <c r="G2" s="61"/>
      <c r="H2" s="61"/>
      <c r="I2" s="62"/>
      <c r="J2" s="62"/>
      <c r="K2" s="62"/>
      <c r="L2" s="62"/>
      <c r="M2" s="62"/>
      <c r="N2" s="62"/>
      <c r="O2" s="63"/>
    </row>
    <row r="3" spans="2:15" s="19" customFormat="1">
      <c r="B3" s="24"/>
      <c r="C3" s="92" t="s">
        <v>27</v>
      </c>
      <c r="D3" s="15"/>
      <c r="E3" s="15"/>
      <c r="F3" s="92" t="s">
        <v>4</v>
      </c>
      <c r="G3" s="92" t="s">
        <v>23</v>
      </c>
      <c r="H3" s="92"/>
      <c r="I3" s="56" t="s">
        <v>62</v>
      </c>
      <c r="J3" s="56"/>
      <c r="K3" s="56" t="s">
        <v>51</v>
      </c>
      <c r="L3" s="56"/>
      <c r="M3" s="140" t="s">
        <v>73</v>
      </c>
      <c r="N3" s="56"/>
      <c r="O3" s="1" t="s">
        <v>28</v>
      </c>
    </row>
    <row r="4" spans="2:15">
      <c r="B4" s="64"/>
      <c r="C4" s="65"/>
      <c r="D4" s="65"/>
      <c r="E4" s="65"/>
      <c r="F4" s="65"/>
      <c r="G4" s="66"/>
      <c r="H4" s="66"/>
      <c r="I4" s="90"/>
      <c r="J4" s="90"/>
      <c r="K4" s="89"/>
      <c r="L4" s="91"/>
      <c r="M4" s="89"/>
      <c r="N4" s="91"/>
      <c r="O4" s="2"/>
    </row>
    <row r="5" spans="2:15" ht="17" thickBot="1">
      <c r="B5" s="64"/>
      <c r="C5" s="19" t="s">
        <v>41</v>
      </c>
      <c r="D5" s="32"/>
      <c r="E5" s="32"/>
      <c r="F5" s="32"/>
      <c r="G5" s="16"/>
      <c r="H5" s="16"/>
      <c r="I5" s="16"/>
      <c r="J5" s="16"/>
      <c r="K5" s="16"/>
      <c r="L5" s="16"/>
      <c r="M5" s="16"/>
      <c r="N5" s="16"/>
      <c r="O5" s="3"/>
    </row>
    <row r="6" spans="2:15" ht="17" thickBot="1">
      <c r="B6" s="64"/>
      <c r="C6" s="102" t="s">
        <v>32</v>
      </c>
      <c r="D6" s="102" t="s">
        <v>32</v>
      </c>
      <c r="E6" s="102" t="s">
        <v>32</v>
      </c>
      <c r="F6" s="23" t="s">
        <v>1</v>
      </c>
      <c r="G6" s="42">
        <v>0</v>
      </c>
      <c r="H6" s="67"/>
      <c r="I6" s="18"/>
      <c r="J6" s="18"/>
      <c r="K6" s="18"/>
      <c r="L6" s="18"/>
      <c r="M6" s="16"/>
      <c r="N6" s="16"/>
      <c r="O6" s="3"/>
    </row>
    <row r="7" spans="2:15" s="6" customFormat="1" ht="17" thickBot="1">
      <c r="B7" s="5"/>
      <c r="C7" s="103" t="s">
        <v>33</v>
      </c>
      <c r="D7" s="103" t="s">
        <v>33</v>
      </c>
      <c r="E7" s="103" t="s">
        <v>33</v>
      </c>
      <c r="F7" s="23" t="s">
        <v>40</v>
      </c>
      <c r="G7" s="124">
        <f>M7</f>
        <v>1.47E-2</v>
      </c>
      <c r="H7" s="4"/>
      <c r="I7" s="18"/>
      <c r="J7" s="18"/>
      <c r="K7" s="18"/>
      <c r="L7" s="18"/>
      <c r="M7" s="141">
        <f>ROUND(Notes!E9,4)</f>
        <v>1.47E-2</v>
      </c>
      <c r="N7" s="16"/>
      <c r="O7" s="107"/>
    </row>
    <row r="8" spans="2:15" s="6" customFormat="1" ht="17" thickBot="1">
      <c r="B8" s="5"/>
      <c r="C8" s="103" t="s">
        <v>47</v>
      </c>
      <c r="D8" s="103" t="s">
        <v>38</v>
      </c>
      <c r="E8" s="103" t="s">
        <v>38</v>
      </c>
      <c r="F8" s="23" t="s">
        <v>39</v>
      </c>
      <c r="G8" s="42">
        <f>I8</f>
        <v>44</v>
      </c>
      <c r="H8" s="4"/>
      <c r="I8" s="43">
        <f>Notes!E7</f>
        <v>44</v>
      </c>
      <c r="J8" s="18"/>
      <c r="K8" s="18"/>
      <c r="L8" s="18"/>
      <c r="M8" s="16"/>
      <c r="N8" s="16"/>
      <c r="O8" s="3"/>
    </row>
    <row r="9" spans="2:15" s="109" customFormat="1" ht="17" thickBot="1">
      <c r="B9" s="111"/>
      <c r="C9" s="112" t="s">
        <v>49</v>
      </c>
      <c r="D9" s="112"/>
      <c r="E9" s="112"/>
      <c r="F9" s="23" t="s">
        <v>45</v>
      </c>
      <c r="G9" s="113">
        <f>I9</f>
        <v>0.75</v>
      </c>
      <c r="H9" s="114"/>
      <c r="I9" s="113">
        <f>Notes!E10</f>
        <v>0.75</v>
      </c>
      <c r="J9" s="18"/>
      <c r="K9" s="18"/>
      <c r="L9" s="18"/>
      <c r="M9" s="16"/>
      <c r="N9" s="16"/>
      <c r="O9" s="110"/>
    </row>
    <row r="10" spans="2:15" s="6" customFormat="1" ht="17" thickBot="1">
      <c r="B10" s="5"/>
      <c r="C10" s="104" t="s">
        <v>34</v>
      </c>
      <c r="D10" s="104" t="s">
        <v>34</v>
      </c>
      <c r="E10" s="104" t="s">
        <v>34</v>
      </c>
      <c r="F10" s="23" t="s">
        <v>37</v>
      </c>
      <c r="G10" s="94">
        <f>K10</f>
        <v>7.3300000000000004E-2</v>
      </c>
      <c r="H10" s="4"/>
      <c r="J10" s="18"/>
      <c r="K10" s="94">
        <f>Notes!E8</f>
        <v>7.3300000000000004E-2</v>
      </c>
      <c r="L10" s="18"/>
      <c r="M10" s="16"/>
      <c r="N10" s="16"/>
      <c r="O10" s="3"/>
    </row>
    <row r="11" spans="2:15">
      <c r="B11" s="64"/>
      <c r="C11" s="32"/>
      <c r="D11" s="32"/>
      <c r="E11" s="32"/>
      <c r="F11" s="32"/>
      <c r="G11" s="17"/>
      <c r="H11" s="17"/>
      <c r="I11" s="18"/>
      <c r="J11" s="18"/>
      <c r="K11" s="18"/>
      <c r="L11" s="18"/>
      <c r="M11" s="16"/>
      <c r="N11" s="16"/>
      <c r="O11" s="107"/>
    </row>
    <row r="12" spans="2:15" ht="17" thickBot="1">
      <c r="B12" s="68"/>
      <c r="C12" s="69"/>
      <c r="D12" s="69"/>
      <c r="E12" s="69"/>
      <c r="F12" s="69"/>
      <c r="G12" s="69"/>
      <c r="H12" s="69"/>
      <c r="I12" s="69"/>
      <c r="J12" s="69"/>
      <c r="K12" s="69"/>
      <c r="L12" s="69"/>
      <c r="M12" s="69"/>
      <c r="N12" s="69"/>
      <c r="O12" s="70"/>
    </row>
    <row r="13" spans="2:15">
      <c r="M13" s="18"/>
    </row>
    <row r="14" spans="2:15">
      <c r="M14" s="18"/>
    </row>
    <row r="15" spans="2:15">
      <c r="M15" s="18"/>
    </row>
    <row r="16" spans="2:15">
      <c r="M16" s="18"/>
    </row>
    <row r="17" spans="13:13">
      <c r="M17" s="18"/>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6" tint="0.79998168889431442"/>
  </sheetPr>
  <dimension ref="B1:M12"/>
  <sheetViews>
    <sheetView workbookViewId="0">
      <selection activeCell="E10" sqref="E10"/>
    </sheetView>
  </sheetViews>
  <sheetFormatPr baseColWidth="10" defaultColWidth="33.140625" defaultRowHeight="16"/>
  <cols>
    <col min="1" max="1" width="3.28515625" style="44" customWidth="1"/>
    <col min="2" max="2" width="3.42578125" style="44" customWidth="1"/>
    <col min="3" max="3" width="28.7109375" style="44" customWidth="1"/>
    <col min="4" max="4" width="3.140625" style="44" customWidth="1"/>
    <col min="5" max="5" width="60.5703125" style="44" bestFit="1" customWidth="1"/>
    <col min="6" max="6" width="5" style="44" customWidth="1"/>
    <col min="7" max="7" width="10.28515625" style="44" customWidth="1"/>
    <col min="8" max="10" width="12.140625" style="44" customWidth="1"/>
    <col min="11" max="11" width="33.140625" style="45" customWidth="1"/>
    <col min="12" max="12" width="87.28515625" style="44" customWidth="1"/>
    <col min="13" max="16384" width="33.140625" style="44"/>
  </cols>
  <sheetData>
    <row r="1" spans="2:13" ht="17" thickBot="1"/>
    <row r="2" spans="2:13">
      <c r="B2" s="46"/>
      <c r="C2" s="47"/>
      <c r="D2" s="47"/>
      <c r="E2" s="47"/>
      <c r="F2" s="47"/>
      <c r="G2" s="47"/>
      <c r="H2" s="47"/>
      <c r="I2" s="47"/>
      <c r="J2" s="47"/>
      <c r="K2" s="48"/>
      <c r="L2" s="47"/>
    </row>
    <row r="3" spans="2:13">
      <c r="B3" s="49"/>
      <c r="C3" s="50" t="s">
        <v>8</v>
      </c>
      <c r="D3" s="50"/>
      <c r="E3" s="50"/>
      <c r="F3" s="50"/>
      <c r="G3" s="50"/>
      <c r="H3" s="50"/>
      <c r="I3" s="50"/>
      <c r="J3" s="50"/>
      <c r="K3" s="51"/>
    </row>
    <row r="4" spans="2:13">
      <c r="B4" s="49"/>
      <c r="K4" s="44"/>
    </row>
    <row r="5" spans="2:13">
      <c r="B5" s="52"/>
      <c r="C5" s="53" t="s">
        <v>10</v>
      </c>
      <c r="D5" s="53"/>
      <c r="E5" s="53" t="s">
        <v>0</v>
      </c>
      <c r="F5" s="53"/>
      <c r="G5" s="53" t="s">
        <v>9</v>
      </c>
      <c r="H5" s="53" t="s">
        <v>30</v>
      </c>
      <c r="I5" s="53" t="s">
        <v>31</v>
      </c>
      <c r="J5" s="54" t="s">
        <v>74</v>
      </c>
      <c r="K5" s="44"/>
    </row>
    <row r="6" spans="2:13">
      <c r="B6" s="49"/>
      <c r="C6" s="50"/>
      <c r="D6" s="50"/>
      <c r="E6" s="108"/>
      <c r="F6" s="108"/>
      <c r="G6" s="50"/>
      <c r="H6" s="50"/>
      <c r="I6" s="50"/>
      <c r="J6" s="51"/>
      <c r="K6" s="44"/>
    </row>
    <row r="7" spans="2:13">
      <c r="B7" s="49"/>
      <c r="C7" s="115" t="s">
        <v>47</v>
      </c>
      <c r="D7" s="55"/>
      <c r="E7" s="138" t="s">
        <v>62</v>
      </c>
      <c r="F7" s="109" t="s">
        <v>43</v>
      </c>
      <c r="G7" s="45"/>
      <c r="H7" s="139">
        <v>2023</v>
      </c>
      <c r="I7" s="45" t="s">
        <v>75</v>
      </c>
      <c r="J7" s="45" t="s">
        <v>54</v>
      </c>
      <c r="K7" s="44"/>
    </row>
    <row r="8" spans="2:13">
      <c r="B8" s="49"/>
      <c r="C8" s="116" t="s">
        <v>44</v>
      </c>
      <c r="E8" s="44" t="s">
        <v>62</v>
      </c>
      <c r="H8" s="139">
        <v>2023</v>
      </c>
      <c r="I8" s="45" t="s">
        <v>75</v>
      </c>
      <c r="J8" s="45" t="s">
        <v>58</v>
      </c>
      <c r="K8" s="44"/>
    </row>
    <row r="9" spans="2:13">
      <c r="B9" s="49"/>
      <c r="C9" s="117" t="s">
        <v>34</v>
      </c>
      <c r="E9" s="44" t="s">
        <v>51</v>
      </c>
      <c r="G9" s="44">
        <v>2022</v>
      </c>
      <c r="H9" s="44">
        <v>2022</v>
      </c>
      <c r="I9" s="45" t="s">
        <v>75</v>
      </c>
      <c r="J9" s="45" t="s">
        <v>77</v>
      </c>
      <c r="K9" s="44"/>
    </row>
    <row r="10" spans="2:13">
      <c r="B10" s="49"/>
      <c r="C10" s="55" t="s">
        <v>33</v>
      </c>
      <c r="D10" s="55"/>
      <c r="E10" s="105" t="s">
        <v>73</v>
      </c>
      <c r="G10" s="57"/>
      <c r="H10" s="57">
        <v>2023</v>
      </c>
      <c r="I10" s="45" t="s">
        <v>75</v>
      </c>
      <c r="J10" s="137" t="s">
        <v>76</v>
      </c>
      <c r="K10" s="44"/>
    </row>
    <row r="11" spans="2:13">
      <c r="B11" s="49"/>
    </row>
    <row r="12" spans="2:13">
      <c r="C12" s="117"/>
      <c r="M12" s="45"/>
    </row>
  </sheetData>
  <hyperlinks>
    <hyperlink ref="J10" r:id="rId1" xr:uid="{65A73D8E-0B2A-9A4C-9615-4F812D461664}"/>
  </hyperlink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175"/>
  <sheetViews>
    <sheetView tabSelected="1" topLeftCell="A102" zoomScale="131" workbookViewId="0">
      <selection activeCell="F45" sqref="F45"/>
    </sheetView>
  </sheetViews>
  <sheetFormatPr baseColWidth="10" defaultColWidth="7" defaultRowHeight="16"/>
  <cols>
    <col min="1" max="1" width="5.42578125" style="95" customWidth="1"/>
    <col min="2" max="2" width="5" style="95" customWidth="1"/>
    <col min="3" max="3" width="20.140625" style="95" bestFit="1" customWidth="1"/>
    <col min="4" max="4" width="7.140625" style="95" bestFit="1" customWidth="1"/>
    <col min="5" max="5" width="7" style="95"/>
    <col min="6" max="6" width="10.85546875" style="95" bestFit="1" customWidth="1"/>
    <col min="7" max="7" width="44.7109375" style="95" bestFit="1" customWidth="1"/>
    <col min="8" max="8" width="7.140625" style="95" bestFit="1" customWidth="1"/>
    <col min="9" max="11" width="7" style="95"/>
    <col min="12" max="12" width="18" style="95" customWidth="1"/>
    <col min="13" max="17" width="7.140625" style="95" bestFit="1" customWidth="1"/>
    <col min="18" max="16384" width="7" style="95"/>
  </cols>
  <sheetData>
    <row r="1" spans="2:25" ht="17" thickBot="1"/>
    <row r="2" spans="2:25" s="19" customFormat="1">
      <c r="B2" s="97"/>
      <c r="C2" s="98" t="s">
        <v>22</v>
      </c>
      <c r="D2" s="98" t="s">
        <v>42</v>
      </c>
      <c r="E2" s="98"/>
      <c r="F2" s="98" t="s">
        <v>29</v>
      </c>
      <c r="G2" s="98"/>
      <c r="H2" s="98"/>
      <c r="I2" s="98"/>
      <c r="J2" s="98"/>
      <c r="K2" s="98"/>
      <c r="L2" s="98"/>
      <c r="M2" s="98"/>
      <c r="N2" s="98"/>
      <c r="O2" s="98"/>
      <c r="P2" s="98"/>
      <c r="Q2" s="98"/>
      <c r="R2" s="98"/>
      <c r="S2" s="98"/>
      <c r="T2" s="98"/>
      <c r="U2" s="98"/>
    </row>
    <row r="3" spans="2:25">
      <c r="B3" s="96"/>
    </row>
    <row r="4" spans="2:25" customFormat="1">
      <c r="B4" s="96"/>
      <c r="C4" s="105"/>
      <c r="D4" s="105"/>
      <c r="E4" s="105"/>
      <c r="F4" s="105"/>
      <c r="G4" s="105"/>
      <c r="H4" s="105"/>
      <c r="I4" s="105"/>
      <c r="J4" s="105"/>
      <c r="K4" s="105"/>
      <c r="L4" s="105"/>
      <c r="M4" s="105"/>
      <c r="N4" s="105"/>
      <c r="O4" s="105"/>
      <c r="P4" s="105"/>
      <c r="Q4" s="105"/>
      <c r="R4" s="105"/>
      <c r="S4" s="105"/>
      <c r="T4" s="105"/>
      <c r="U4" s="105"/>
      <c r="V4" s="105"/>
      <c r="W4" s="105"/>
      <c r="X4" s="105"/>
      <c r="Y4" s="105"/>
    </row>
    <row r="5" spans="2:25" customFormat="1">
      <c r="B5" s="96"/>
      <c r="C5" s="105"/>
      <c r="D5" s="105"/>
      <c r="E5" s="105"/>
      <c r="F5" s="105"/>
      <c r="G5" s="105"/>
      <c r="H5" s="105"/>
      <c r="I5" s="105"/>
      <c r="J5" s="105"/>
      <c r="K5" s="105"/>
      <c r="L5" s="105"/>
      <c r="M5" s="105"/>
      <c r="N5" s="105"/>
      <c r="O5" s="105"/>
      <c r="P5" s="105"/>
      <c r="Q5" s="105"/>
      <c r="R5" s="105"/>
      <c r="S5" s="105"/>
      <c r="T5" s="105"/>
      <c r="U5" s="105"/>
      <c r="V5" s="105"/>
      <c r="W5" s="105"/>
      <c r="X5" s="105"/>
      <c r="Y5" s="105"/>
    </row>
    <row r="6" spans="2:25" customFormat="1">
      <c r="B6" s="96"/>
      <c r="C6" s="105"/>
      <c r="D6" s="105"/>
      <c r="E6" s="105"/>
      <c r="F6" s="105"/>
      <c r="G6" s="105"/>
      <c r="H6" s="105"/>
      <c r="I6" s="105"/>
      <c r="J6" s="105"/>
      <c r="K6" s="105"/>
      <c r="L6" s="105"/>
      <c r="M6" s="105"/>
      <c r="N6" s="105"/>
      <c r="O6" s="105"/>
      <c r="P6" s="105"/>
      <c r="Q6" s="105"/>
      <c r="R6" s="105"/>
      <c r="S6" s="105"/>
      <c r="T6" s="105"/>
      <c r="U6" s="105"/>
      <c r="V6" s="105"/>
      <c r="W6" s="105"/>
      <c r="X6" s="105"/>
      <c r="Y6" s="105"/>
    </row>
    <row r="7" spans="2:25" customFormat="1">
      <c r="B7" s="96"/>
      <c r="C7" s="105"/>
      <c r="D7" s="105" t="s">
        <v>39</v>
      </c>
      <c r="E7" s="105">
        <f>E16</f>
        <v>44</v>
      </c>
      <c r="F7" s="105" t="s">
        <v>62</v>
      </c>
      <c r="G7" s="105"/>
      <c r="H7" s="105"/>
      <c r="I7" s="105"/>
      <c r="J7" s="105"/>
      <c r="K7" s="105"/>
      <c r="L7" s="105"/>
      <c r="M7" s="105"/>
      <c r="N7" s="105"/>
      <c r="O7" s="105"/>
      <c r="P7" s="105"/>
      <c r="Q7" s="105"/>
      <c r="R7" s="105"/>
      <c r="S7" s="105"/>
      <c r="T7" s="105"/>
      <c r="U7" s="105"/>
      <c r="V7" s="105"/>
      <c r="W7" s="105"/>
      <c r="X7" s="105"/>
      <c r="Y7" s="105"/>
    </row>
    <row r="8" spans="2:25" customFormat="1">
      <c r="B8" s="96"/>
      <c r="C8" s="105"/>
      <c r="D8" s="105" t="s">
        <v>52</v>
      </c>
      <c r="E8">
        <f>E109</f>
        <v>7.3300000000000004E-2</v>
      </c>
      <c r="F8" s="105" t="s">
        <v>51</v>
      </c>
      <c r="H8" s="106"/>
      <c r="I8" s="105"/>
      <c r="J8" s="105"/>
      <c r="K8" s="105"/>
      <c r="L8" s="105"/>
      <c r="M8" s="105"/>
      <c r="N8" s="105"/>
      <c r="O8" s="105"/>
      <c r="P8" s="105"/>
      <c r="Q8" s="105"/>
      <c r="R8" s="105"/>
      <c r="S8" s="105"/>
      <c r="T8" s="105"/>
      <c r="U8" s="105"/>
      <c r="V8" s="105"/>
      <c r="W8" s="105"/>
      <c r="X8" s="105"/>
      <c r="Y8" s="105"/>
    </row>
    <row r="9" spans="2:25" customFormat="1">
      <c r="B9" s="96"/>
      <c r="C9" s="105"/>
      <c r="D9" s="105" t="s">
        <v>53</v>
      </c>
      <c r="E9">
        <f>D154</f>
        <v>1.4730639730639728E-2</v>
      </c>
      <c r="F9" s="105" t="s">
        <v>73</v>
      </c>
      <c r="G9" s="105"/>
      <c r="H9" s="106"/>
      <c r="I9" s="105"/>
      <c r="J9" s="105"/>
      <c r="K9" s="105"/>
      <c r="L9" s="105"/>
      <c r="M9" s="105"/>
      <c r="N9" s="105"/>
      <c r="O9" s="105"/>
      <c r="P9" s="105"/>
      <c r="Q9" s="105"/>
      <c r="R9" s="105"/>
      <c r="S9" s="105"/>
      <c r="T9" s="105"/>
      <c r="U9" s="105"/>
      <c r="V9" s="105"/>
      <c r="W9" s="105"/>
      <c r="X9" s="105"/>
      <c r="Y9" s="105"/>
    </row>
    <row r="10" spans="2:25" customFormat="1">
      <c r="B10" s="96"/>
      <c r="C10" s="105"/>
      <c r="D10" s="105" t="s">
        <v>56</v>
      </c>
      <c r="E10">
        <f>D71</f>
        <v>0.75</v>
      </c>
      <c r="F10" s="105" t="s">
        <v>62</v>
      </c>
      <c r="H10" s="106"/>
      <c r="I10" s="105"/>
      <c r="J10" s="105"/>
      <c r="K10" s="105"/>
      <c r="L10" s="105"/>
      <c r="M10" s="105"/>
      <c r="N10" s="105"/>
      <c r="O10" s="105"/>
      <c r="P10" s="105"/>
      <c r="Q10" s="105"/>
      <c r="R10" s="105"/>
      <c r="S10" s="105"/>
      <c r="T10" s="105"/>
      <c r="U10" s="105"/>
      <c r="V10" s="105"/>
      <c r="W10" s="105"/>
      <c r="X10" s="105"/>
      <c r="Y10" s="105"/>
    </row>
    <row r="11" spans="2:25" customFormat="1">
      <c r="B11" s="96"/>
      <c r="C11" s="105"/>
      <c r="D11" s="105"/>
      <c r="F11" s="105"/>
      <c r="G11" s="105"/>
      <c r="H11" s="106"/>
      <c r="I11" s="105"/>
      <c r="J11" s="105"/>
      <c r="K11" s="105"/>
      <c r="L11" s="105"/>
      <c r="M11" s="105"/>
      <c r="N11" s="105"/>
      <c r="O11" s="105"/>
      <c r="P11" s="105"/>
      <c r="Q11" s="105"/>
      <c r="R11" s="105"/>
      <c r="S11" s="105"/>
      <c r="T11" s="105"/>
      <c r="U11" s="105"/>
      <c r="V11" s="105"/>
      <c r="W11" s="105"/>
      <c r="X11" s="105"/>
      <c r="Y11" s="105"/>
    </row>
    <row r="12" spans="2:25" customFormat="1">
      <c r="B12" s="96"/>
      <c r="C12" s="105"/>
      <c r="D12" s="105"/>
      <c r="E12" s="105"/>
      <c r="F12" s="105"/>
      <c r="G12" s="105"/>
      <c r="H12" s="105"/>
      <c r="I12" s="105"/>
      <c r="J12" s="105"/>
      <c r="K12" s="105"/>
      <c r="L12" s="105"/>
      <c r="M12" s="105"/>
      <c r="N12" s="105"/>
      <c r="O12" s="105"/>
      <c r="P12" s="105"/>
      <c r="Q12" s="105"/>
      <c r="R12" s="105"/>
      <c r="S12" s="105"/>
      <c r="T12" s="105"/>
      <c r="U12" s="105"/>
      <c r="V12" s="105"/>
      <c r="W12" s="105"/>
      <c r="X12" s="105"/>
      <c r="Y12" s="105"/>
    </row>
    <row r="13" spans="2:25" customFormat="1">
      <c r="B13" s="96"/>
      <c r="C13" s="105"/>
      <c r="D13" s="105"/>
      <c r="E13" s="105"/>
      <c r="F13" s="105"/>
      <c r="G13" s="105"/>
      <c r="H13" s="105"/>
      <c r="I13" s="105"/>
      <c r="J13" s="105"/>
      <c r="K13" s="105"/>
      <c r="L13" s="105"/>
      <c r="M13" s="105"/>
      <c r="N13" s="105"/>
      <c r="O13" s="105"/>
      <c r="P13" s="105"/>
      <c r="Q13" s="105"/>
      <c r="R13" s="105"/>
      <c r="S13" s="105"/>
      <c r="T13" s="105"/>
      <c r="U13" s="105"/>
      <c r="V13" s="105"/>
      <c r="W13" s="105"/>
      <c r="X13" s="105"/>
      <c r="Y13" s="105"/>
    </row>
    <row r="14" spans="2:25" customFormat="1">
      <c r="B14" s="96"/>
      <c r="C14" s="105"/>
      <c r="D14" s="105"/>
      <c r="E14" s="105"/>
      <c r="F14" s="105"/>
      <c r="G14" s="105"/>
      <c r="H14" s="105"/>
      <c r="I14" s="105"/>
      <c r="J14" s="105"/>
      <c r="K14" s="105"/>
      <c r="L14" s="105"/>
      <c r="M14" s="105"/>
      <c r="N14" s="105"/>
      <c r="O14" s="105"/>
      <c r="P14" s="105"/>
      <c r="Q14" s="105"/>
      <c r="R14" s="105"/>
      <c r="S14" s="105"/>
      <c r="T14" s="105"/>
      <c r="U14" s="105"/>
      <c r="V14" s="105"/>
      <c r="W14" s="105"/>
      <c r="X14" s="105"/>
      <c r="Y14" s="105"/>
    </row>
    <row r="15" spans="2:25" customFormat="1">
      <c r="B15" s="96"/>
      <c r="C15" s="105"/>
      <c r="D15" s="105"/>
      <c r="E15" s="105"/>
      <c r="F15" s="105"/>
      <c r="G15" s="105"/>
      <c r="H15" s="105"/>
      <c r="I15" s="105"/>
      <c r="J15" s="105"/>
      <c r="K15" s="105"/>
      <c r="L15" s="105"/>
      <c r="M15" s="105"/>
      <c r="N15" s="105"/>
      <c r="O15" s="105"/>
      <c r="P15" s="105"/>
      <c r="Q15" s="105"/>
      <c r="R15" s="105"/>
      <c r="S15" s="105"/>
      <c r="T15" s="105"/>
      <c r="U15" s="105"/>
      <c r="V15" s="105"/>
      <c r="W15" s="105"/>
      <c r="X15" s="105"/>
      <c r="Y15" s="105"/>
    </row>
    <row r="16" spans="2:25" customFormat="1">
      <c r="B16" s="96"/>
      <c r="C16" s="105"/>
      <c r="D16" s="105" t="s">
        <v>39</v>
      </c>
      <c r="E16" s="105">
        <v>44</v>
      </c>
      <c r="F16" s="105" t="s">
        <v>0</v>
      </c>
      <c r="G16" s="105" t="s">
        <v>54</v>
      </c>
      <c r="H16" s="105" t="s">
        <v>62</v>
      </c>
      <c r="I16" s="105"/>
      <c r="J16" s="105"/>
      <c r="K16" s="105"/>
      <c r="L16" s="105"/>
      <c r="M16" s="105"/>
      <c r="N16" s="105"/>
      <c r="O16" s="105"/>
      <c r="P16" s="105"/>
      <c r="Q16" s="105"/>
      <c r="R16" s="105"/>
      <c r="S16" s="105"/>
      <c r="T16" s="105"/>
      <c r="U16" s="105"/>
      <c r="V16" s="105"/>
      <c r="W16" s="105"/>
      <c r="X16" s="105"/>
      <c r="Y16" s="105"/>
    </row>
    <row r="17" spans="2:25" customFormat="1">
      <c r="B17" s="96"/>
      <c r="C17" s="105"/>
      <c r="D17" s="105"/>
      <c r="E17" s="105"/>
      <c r="F17" s="105"/>
      <c r="G17" s="105"/>
      <c r="H17" s="105"/>
      <c r="I17" s="105"/>
      <c r="J17" s="105"/>
      <c r="K17" s="105"/>
      <c r="L17" s="105"/>
      <c r="M17" s="105"/>
      <c r="N17" s="105"/>
      <c r="O17" s="105"/>
      <c r="P17" s="105"/>
      <c r="Q17" s="105"/>
      <c r="R17" s="105"/>
      <c r="S17" s="105"/>
      <c r="T17" s="105"/>
      <c r="U17" s="105"/>
      <c r="V17" s="105"/>
      <c r="W17" s="105"/>
      <c r="X17" s="105"/>
      <c r="Y17" s="105"/>
    </row>
    <row r="18" spans="2:25" customFormat="1">
      <c r="B18" s="96"/>
      <c r="C18" s="105"/>
      <c r="D18" s="105"/>
      <c r="E18" s="105"/>
      <c r="F18" s="105"/>
      <c r="G18" s="105"/>
      <c r="H18" s="105"/>
      <c r="I18" s="105"/>
      <c r="J18" s="105"/>
      <c r="K18" s="105"/>
      <c r="L18" s="105"/>
      <c r="M18" s="105"/>
      <c r="N18" s="105"/>
      <c r="O18" s="105"/>
      <c r="P18" s="105"/>
      <c r="Q18" s="105"/>
      <c r="R18" s="105"/>
      <c r="S18" s="105"/>
      <c r="T18" s="105"/>
      <c r="U18" s="105"/>
      <c r="V18" s="105"/>
      <c r="W18" s="105"/>
      <c r="X18" s="105"/>
      <c r="Y18" s="105"/>
    </row>
    <row r="19" spans="2:25" customFormat="1">
      <c r="B19" s="96"/>
      <c r="C19" s="105"/>
      <c r="D19" s="105"/>
      <c r="E19" s="105"/>
      <c r="F19" s="105"/>
      <c r="G19" s="105"/>
      <c r="H19" s="105"/>
      <c r="I19" s="105"/>
      <c r="J19" s="105"/>
      <c r="K19" s="105"/>
      <c r="L19" s="105"/>
      <c r="M19" s="105"/>
      <c r="N19" s="105"/>
      <c r="O19" s="105"/>
      <c r="P19" s="105"/>
      <c r="Q19" s="105"/>
      <c r="R19" s="105"/>
      <c r="S19" s="105"/>
      <c r="T19" s="105"/>
      <c r="U19" s="105"/>
      <c r="V19" s="105"/>
      <c r="W19" s="105"/>
      <c r="X19" s="105"/>
      <c r="Y19" s="105"/>
    </row>
    <row r="20" spans="2:25" customFormat="1">
      <c r="B20" s="96"/>
      <c r="C20" s="105"/>
      <c r="D20" s="105"/>
      <c r="E20" s="105"/>
      <c r="F20" s="105"/>
      <c r="G20" s="105"/>
      <c r="H20" s="105"/>
      <c r="I20" s="105"/>
      <c r="J20" s="105"/>
      <c r="K20" s="105"/>
      <c r="L20" s="105"/>
      <c r="M20" s="105"/>
      <c r="N20" s="105"/>
      <c r="O20" s="105"/>
      <c r="P20" s="105"/>
      <c r="Q20" s="105"/>
      <c r="R20" s="105"/>
      <c r="S20" s="105"/>
      <c r="T20" s="105"/>
      <c r="U20" s="105"/>
      <c r="V20" s="105"/>
      <c r="W20" s="105"/>
      <c r="X20" s="105"/>
      <c r="Y20" s="105"/>
    </row>
    <row r="21" spans="2:25" customFormat="1">
      <c r="B21" s="96"/>
      <c r="C21" s="105"/>
      <c r="D21" s="105"/>
      <c r="E21" s="105"/>
      <c r="F21" s="105"/>
      <c r="G21" s="105"/>
      <c r="H21" s="105"/>
      <c r="I21" s="105"/>
      <c r="J21" s="105"/>
      <c r="K21" s="105"/>
      <c r="L21" s="105"/>
      <c r="M21" s="105"/>
      <c r="N21" s="105"/>
      <c r="O21" s="105"/>
      <c r="P21" s="105"/>
      <c r="Q21" s="105"/>
      <c r="R21" s="105"/>
      <c r="S21" s="105"/>
      <c r="T21" s="105"/>
      <c r="U21" s="105"/>
      <c r="V21" s="105"/>
      <c r="W21" s="105"/>
      <c r="X21" s="105"/>
      <c r="Y21" s="105"/>
    </row>
    <row r="22" spans="2:25" customFormat="1">
      <c r="B22" s="96"/>
      <c r="C22" s="105"/>
      <c r="D22" s="105"/>
      <c r="E22" s="105"/>
      <c r="F22" s="105"/>
      <c r="G22" s="105"/>
      <c r="H22" s="105"/>
      <c r="I22" s="105"/>
      <c r="J22" s="105"/>
      <c r="K22" s="105"/>
      <c r="L22" s="105"/>
      <c r="M22" s="105"/>
      <c r="N22" s="105"/>
      <c r="O22" s="105"/>
      <c r="P22" s="105"/>
      <c r="Q22" s="105"/>
      <c r="R22" s="105"/>
      <c r="S22" s="105"/>
      <c r="T22" s="105"/>
      <c r="U22" s="105"/>
      <c r="V22" s="105"/>
      <c r="W22" s="105"/>
      <c r="X22" s="105"/>
      <c r="Y22" s="105"/>
    </row>
    <row r="23" spans="2:25" customFormat="1">
      <c r="B23" s="96"/>
      <c r="C23" s="105"/>
      <c r="D23" s="105"/>
      <c r="E23" s="105"/>
      <c r="F23" s="105"/>
      <c r="G23" s="105"/>
      <c r="H23" s="105"/>
      <c r="I23" s="105"/>
      <c r="J23" s="105"/>
      <c r="K23" s="105"/>
      <c r="L23" s="105"/>
      <c r="M23" s="105"/>
      <c r="N23" s="105"/>
      <c r="O23" s="105"/>
      <c r="P23" s="105"/>
      <c r="Q23" s="105"/>
      <c r="R23" s="105"/>
      <c r="S23" s="105"/>
      <c r="T23" s="105"/>
      <c r="U23" s="105"/>
      <c r="V23" s="105"/>
      <c r="W23" s="105"/>
      <c r="X23" s="105"/>
      <c r="Y23" s="105"/>
    </row>
    <row r="24" spans="2:25" customFormat="1">
      <c r="B24" s="96"/>
      <c r="C24" s="105"/>
      <c r="D24" s="105"/>
      <c r="E24" s="105"/>
      <c r="F24" s="105"/>
      <c r="G24" s="105"/>
      <c r="H24" s="105"/>
      <c r="I24" s="105"/>
      <c r="J24" s="105"/>
      <c r="K24" s="105"/>
      <c r="L24" s="105"/>
      <c r="M24" s="105"/>
      <c r="N24" s="105"/>
      <c r="O24" s="105"/>
      <c r="P24" s="105"/>
      <c r="Q24" s="105"/>
      <c r="R24" s="105"/>
      <c r="S24" s="105"/>
      <c r="T24" s="105"/>
      <c r="U24" s="105"/>
      <c r="V24" s="105"/>
      <c r="W24" s="105"/>
      <c r="X24" s="105"/>
      <c r="Y24" s="105"/>
    </row>
    <row r="25" spans="2:25" customFormat="1">
      <c r="B25" s="96"/>
      <c r="C25" s="105"/>
      <c r="D25" s="105"/>
      <c r="E25" s="105"/>
      <c r="F25" s="105"/>
      <c r="G25" s="105"/>
      <c r="H25" s="105"/>
      <c r="I25" s="105"/>
      <c r="J25" s="105"/>
      <c r="K25" s="105"/>
      <c r="L25" s="105"/>
      <c r="M25" s="105"/>
      <c r="N25" s="105"/>
      <c r="O25" s="105"/>
      <c r="P25" s="105"/>
      <c r="Q25" s="105"/>
      <c r="R25" s="105"/>
      <c r="S25" s="105"/>
      <c r="T25" s="105"/>
      <c r="U25" s="105"/>
      <c r="V25" s="105"/>
      <c r="W25" s="105"/>
      <c r="X25" s="105"/>
      <c r="Y25" s="105"/>
    </row>
    <row r="26" spans="2:25" customFormat="1">
      <c r="B26" s="96"/>
      <c r="C26" s="105"/>
      <c r="D26" s="105"/>
      <c r="E26" s="105"/>
      <c r="F26" s="105"/>
      <c r="G26" s="105"/>
      <c r="H26" s="105"/>
      <c r="I26" s="105"/>
      <c r="J26" s="105"/>
      <c r="K26" s="105"/>
      <c r="L26" s="105"/>
      <c r="M26" s="105"/>
      <c r="N26" s="105"/>
      <c r="O26" s="105"/>
      <c r="P26" s="105"/>
      <c r="Q26" s="105"/>
      <c r="R26" s="105"/>
      <c r="S26" s="105"/>
      <c r="T26" s="105"/>
      <c r="U26" s="105"/>
      <c r="V26" s="105"/>
      <c r="W26" s="105"/>
      <c r="X26" s="105"/>
      <c r="Y26" s="105"/>
    </row>
    <row r="27" spans="2:25" customFormat="1">
      <c r="B27" s="96"/>
      <c r="C27" s="105"/>
      <c r="D27" s="105"/>
      <c r="E27" s="105"/>
      <c r="F27" s="105"/>
      <c r="G27" s="105"/>
      <c r="H27" s="105"/>
      <c r="I27" s="105"/>
      <c r="J27" s="105"/>
      <c r="K27" s="105"/>
      <c r="L27" s="105"/>
      <c r="M27" s="105"/>
      <c r="N27" s="105"/>
      <c r="O27" s="105"/>
      <c r="P27" s="105"/>
      <c r="Q27" s="105"/>
      <c r="R27" s="105"/>
      <c r="S27" s="105"/>
      <c r="T27" s="105"/>
      <c r="U27" s="105"/>
      <c r="V27" s="105"/>
      <c r="W27" s="105"/>
      <c r="X27" s="105"/>
      <c r="Y27" s="105"/>
    </row>
    <row r="28" spans="2:25" customFormat="1">
      <c r="B28" s="96"/>
      <c r="C28" s="105"/>
      <c r="D28" s="105"/>
      <c r="E28" s="105"/>
      <c r="F28" s="105"/>
      <c r="G28" s="105"/>
      <c r="H28" s="105"/>
      <c r="I28" s="105"/>
      <c r="J28" s="105"/>
      <c r="K28" s="105"/>
      <c r="L28" s="105"/>
      <c r="M28" s="105"/>
      <c r="N28" s="105"/>
      <c r="O28" s="105"/>
      <c r="P28" s="105"/>
      <c r="Q28" s="105"/>
      <c r="R28" s="105"/>
      <c r="S28" s="105"/>
      <c r="T28" s="105"/>
      <c r="U28" s="105"/>
      <c r="V28" s="105"/>
      <c r="W28" s="105"/>
      <c r="X28" s="105"/>
      <c r="Y28" s="105"/>
    </row>
    <row r="29" spans="2:25" customFormat="1">
      <c r="B29" s="96"/>
    </row>
    <row r="30" spans="2:25" customFormat="1">
      <c r="B30" s="96"/>
    </row>
    <row r="31" spans="2:25" customFormat="1">
      <c r="B31" s="96"/>
    </row>
    <row r="32" spans="2:25" customFormat="1">
      <c r="B32" s="96"/>
    </row>
    <row r="33" spans="2:2" customFormat="1">
      <c r="B33" s="96"/>
    </row>
    <row r="34" spans="2:2" customFormat="1">
      <c r="B34" s="96"/>
    </row>
    <row r="35" spans="2:2" customFormat="1">
      <c r="B35" s="96"/>
    </row>
    <row r="36" spans="2:2" customFormat="1">
      <c r="B36" s="96"/>
    </row>
    <row r="37" spans="2:2" customFormat="1">
      <c r="B37" s="96"/>
    </row>
    <row r="38" spans="2:2" customFormat="1">
      <c r="B38" s="96"/>
    </row>
    <row r="39" spans="2:2" customFormat="1">
      <c r="B39" s="96"/>
    </row>
    <row r="40" spans="2:2" customFormat="1">
      <c r="B40" s="96"/>
    </row>
    <row r="41" spans="2:2" customFormat="1">
      <c r="B41" s="96"/>
    </row>
    <row r="42" spans="2:2" customFormat="1">
      <c r="B42" s="96"/>
    </row>
    <row r="43" spans="2:2" customFormat="1">
      <c r="B43" s="96"/>
    </row>
    <row r="44" spans="2:2" customFormat="1">
      <c r="B44" s="96"/>
    </row>
    <row r="45" spans="2:2" customFormat="1">
      <c r="B45" s="96"/>
    </row>
    <row r="46" spans="2:2" customFormat="1">
      <c r="B46" s="96"/>
    </row>
    <row r="47" spans="2:2" customFormat="1">
      <c r="B47" s="96"/>
    </row>
    <row r="48" spans="2:2" customFormat="1">
      <c r="B48" s="96"/>
    </row>
    <row r="49" spans="1:27" customFormat="1">
      <c r="B49" s="96"/>
    </row>
    <row r="50" spans="1:27" customFormat="1">
      <c r="B50" s="96"/>
    </row>
    <row r="51" spans="1:27" customFormat="1">
      <c r="B51" s="96"/>
    </row>
    <row r="52" spans="1:27" customFormat="1">
      <c r="B52" s="96"/>
    </row>
    <row r="53" spans="1:27" customFormat="1">
      <c r="B53" s="96"/>
    </row>
    <row r="54" spans="1:27" customFormat="1">
      <c r="B54" s="96"/>
    </row>
    <row r="55" spans="1:27" customFormat="1">
      <c r="B55" s="96"/>
    </row>
    <row r="56" spans="1:27" customFormat="1">
      <c r="B56" s="96"/>
    </row>
    <row r="57" spans="1:27" customFormat="1">
      <c r="B57" s="96"/>
      <c r="S57" s="105"/>
      <c r="T57" s="105"/>
      <c r="U57" s="105"/>
      <c r="V57" s="105"/>
      <c r="W57" s="105"/>
      <c r="X57" s="105"/>
      <c r="Y57" s="105"/>
      <c r="Z57" s="105"/>
      <c r="AA57" s="105"/>
    </row>
    <row r="58" spans="1:27" customFormat="1">
      <c r="B58" s="96"/>
      <c r="S58" s="105"/>
      <c r="T58" s="105"/>
      <c r="U58" s="105"/>
      <c r="V58" s="105"/>
      <c r="W58" s="105"/>
      <c r="X58" s="105"/>
      <c r="Y58" s="105"/>
      <c r="Z58" s="105"/>
      <c r="AA58" s="105"/>
    </row>
    <row r="59" spans="1:27" customFormat="1">
      <c r="B59" s="96"/>
      <c r="L59" s="105"/>
      <c r="M59" s="105"/>
      <c r="N59" s="105"/>
      <c r="O59" s="105"/>
      <c r="P59" s="105"/>
      <c r="Q59" s="105"/>
      <c r="R59" s="105"/>
      <c r="S59" s="105"/>
      <c r="T59" s="105"/>
      <c r="U59" s="105"/>
      <c r="V59" s="105"/>
      <c r="W59" s="105"/>
      <c r="X59" s="105"/>
      <c r="Y59" s="105"/>
      <c r="Z59" s="105"/>
      <c r="AA59" s="105"/>
    </row>
    <row r="60" spans="1:27" customFormat="1">
      <c r="B60" s="96"/>
      <c r="L60" s="105"/>
      <c r="M60" s="105"/>
      <c r="N60" s="105"/>
      <c r="O60" s="105"/>
      <c r="P60" s="105"/>
      <c r="Q60" s="105"/>
      <c r="R60" s="105"/>
      <c r="S60" s="105"/>
      <c r="T60" s="105"/>
      <c r="U60" s="105"/>
      <c r="V60" s="105"/>
      <c r="W60" s="105"/>
      <c r="X60" s="105"/>
      <c r="Y60" s="105"/>
      <c r="Z60" s="105"/>
      <c r="AA60" s="105"/>
    </row>
    <row r="61" spans="1:27" customFormat="1" ht="17" thickBot="1">
      <c r="B61" s="96"/>
      <c r="L61" s="105"/>
      <c r="M61" s="105"/>
      <c r="N61" s="105"/>
      <c r="O61" s="105"/>
      <c r="P61" s="105"/>
      <c r="Q61" s="105"/>
      <c r="R61" s="105"/>
      <c r="S61" s="105"/>
      <c r="T61" s="105"/>
      <c r="U61" s="105"/>
      <c r="V61" s="105"/>
      <c r="W61" s="105"/>
      <c r="X61" s="105"/>
      <c r="Y61" s="105"/>
      <c r="Z61" s="105"/>
      <c r="AA61" s="105"/>
    </row>
    <row r="62" spans="1:27" s="19" customFormat="1">
      <c r="A62" s="105"/>
      <c r="B62" s="105"/>
      <c r="C62" s="105"/>
      <c r="D62" s="105"/>
      <c r="E62" s="105"/>
      <c r="F62" s="105"/>
      <c r="G62" s="105"/>
      <c r="H62" s="105"/>
      <c r="I62" s="105"/>
      <c r="J62" s="98"/>
      <c r="K62" s="98"/>
      <c r="L62" s="105"/>
      <c r="M62" s="105"/>
      <c r="N62" s="105"/>
      <c r="O62" s="105"/>
      <c r="P62" s="105"/>
      <c r="Q62" s="105"/>
      <c r="R62" s="105"/>
      <c r="S62" s="105"/>
      <c r="T62" s="105"/>
      <c r="U62" s="105"/>
      <c r="V62" s="105"/>
      <c r="W62" s="105"/>
      <c r="X62" s="105"/>
      <c r="Y62" s="105"/>
      <c r="Z62" s="105"/>
      <c r="AA62" s="105"/>
    </row>
    <row r="63" spans="1:27" customFormat="1">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c r="AA63" s="105"/>
    </row>
    <row r="64" spans="1:27" customFormat="1">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c r="AA64" s="105"/>
    </row>
    <row r="65" spans="1:27" customFormat="1">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c r="AA65" s="105"/>
    </row>
    <row r="66" spans="1:27" customFormat="1">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row>
    <row r="67" spans="1:27">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row>
    <row r="68" spans="1:27">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c r="AA68" s="105"/>
    </row>
    <row r="69" spans="1:27">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c r="AA69" s="105"/>
    </row>
    <row r="70" spans="1:27">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c r="AA70" s="105"/>
    </row>
    <row r="71" spans="1:27">
      <c r="A71" s="105" t="s">
        <v>55</v>
      </c>
      <c r="B71" s="105"/>
      <c r="C71" s="105" t="s">
        <v>57</v>
      </c>
      <c r="D71" s="105">
        <v>0.75</v>
      </c>
      <c r="E71" s="105"/>
      <c r="F71" s="105"/>
      <c r="G71" s="105" t="s">
        <v>59</v>
      </c>
      <c r="H71" s="105" t="s">
        <v>62</v>
      </c>
      <c r="I71" s="105"/>
      <c r="J71" s="105"/>
      <c r="K71" s="105"/>
      <c r="L71" s="105"/>
      <c r="M71" s="105"/>
      <c r="N71" s="105"/>
      <c r="O71" s="105"/>
      <c r="P71" s="105"/>
      <c r="Q71" s="105"/>
      <c r="R71" s="105"/>
      <c r="S71" s="105"/>
      <c r="T71" s="105"/>
      <c r="U71" s="105"/>
      <c r="V71" s="105"/>
      <c r="W71" s="105"/>
      <c r="X71" s="105"/>
      <c r="Y71" s="105"/>
      <c r="Z71" s="105"/>
      <c r="AA71" s="105"/>
    </row>
    <row r="72" spans="1:27">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row>
    <row r="73" spans="1:27">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row>
    <row r="74" spans="1:27">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row>
    <row r="75" spans="1:27">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row>
    <row r="76" spans="1:27">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row>
    <row r="77" spans="1:27">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row>
    <row r="78" spans="1:27">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row>
    <row r="79" spans="1:27">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row>
    <row r="80" spans="1:27">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row>
    <row r="81" spans="1:3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row>
    <row r="82" spans="1:31">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row>
    <row r="83" spans="1:31">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row>
    <row r="84" spans="1:31">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row>
    <row r="85" spans="1:31">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row>
    <row r="86" spans="1:31">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row>
    <row r="87" spans="1:31">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row>
    <row r="88" spans="1:31" ht="40" customHeight="1">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row>
    <row r="89" spans="1:31">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row>
    <row r="90" spans="1:31">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row>
    <row r="91" spans="1:3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c r="AA91" s="105"/>
      <c r="AB91" s="105"/>
      <c r="AC91" s="105"/>
      <c r="AD91" s="105"/>
    </row>
    <row r="92" spans="1:31">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c r="AA92" s="105"/>
      <c r="AB92" s="105"/>
      <c r="AC92" s="105"/>
      <c r="AD92" s="105"/>
    </row>
    <row r="93" spans="1:31">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c r="AA93" s="105"/>
      <c r="AB93" s="105"/>
      <c r="AC93" s="105"/>
      <c r="AD93" s="105"/>
    </row>
    <row r="94" spans="1:31">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row>
    <row r="95" spans="1:31">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c r="AA95" s="105"/>
      <c r="AB95" s="105"/>
      <c r="AC95" s="105"/>
      <c r="AD95" s="105"/>
      <c r="AE95" s="105"/>
    </row>
    <row r="96" spans="1:31">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c r="AA96" s="105"/>
      <c r="AB96" s="105"/>
      <c r="AC96" s="105"/>
      <c r="AD96" s="105"/>
      <c r="AE96" s="105"/>
    </row>
    <row r="97" spans="1:32">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row>
    <row r="98" spans="1:32">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c r="AE98" s="105"/>
    </row>
    <row r="99" spans="1:32">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c r="AC99" s="105"/>
      <c r="AD99" s="105"/>
      <c r="AE99" s="105"/>
    </row>
    <row r="100" spans="1:32">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c r="AC100" s="105"/>
      <c r="AD100" s="105"/>
      <c r="AE100" s="105"/>
    </row>
    <row r="101" spans="1:32">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c r="AA101" s="105"/>
      <c r="AB101" s="105"/>
      <c r="AC101" s="105"/>
      <c r="AD101" s="105"/>
      <c r="AE101" s="105"/>
    </row>
    <row r="102" spans="1:32">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c r="AC102" s="105"/>
      <c r="AD102" s="105"/>
      <c r="AE102" s="105"/>
    </row>
    <row r="103" spans="1:32">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c r="AC103" s="105"/>
      <c r="AD103" s="105"/>
      <c r="AE103" s="105"/>
    </row>
    <row r="104" spans="1:32">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c r="AA104" s="105"/>
      <c r="AB104" s="105"/>
      <c r="AC104" s="105"/>
      <c r="AD104" s="105"/>
      <c r="AE104" s="105"/>
    </row>
    <row r="105" spans="1:32">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c r="AA105" s="105"/>
      <c r="AB105" s="105"/>
      <c r="AC105" s="105"/>
      <c r="AD105" s="105"/>
      <c r="AE105" s="105"/>
    </row>
    <row r="106" spans="1:32">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c r="AC106" s="105"/>
      <c r="AD106" s="105"/>
      <c r="AE106" s="105"/>
    </row>
    <row r="107" spans="1:32">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c r="AA107" s="105"/>
      <c r="AB107" s="105"/>
      <c r="AC107" s="105"/>
      <c r="AD107" s="105"/>
      <c r="AE107" s="105"/>
    </row>
    <row r="108" spans="1:32">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c r="AA108" s="105"/>
      <c r="AB108" s="105"/>
      <c r="AC108" s="105"/>
      <c r="AD108" s="105"/>
      <c r="AE108" s="105"/>
    </row>
    <row r="109" spans="1:32">
      <c r="A109" s="105"/>
      <c r="B109" s="105"/>
      <c r="C109" s="105" t="s">
        <v>34</v>
      </c>
      <c r="D109" s="105"/>
      <c r="E109" s="105">
        <v>7.3300000000000004E-2</v>
      </c>
      <c r="F109" s="105" t="s">
        <v>60</v>
      </c>
      <c r="G109" s="137" t="s">
        <v>61</v>
      </c>
      <c r="H109" s="105" t="s">
        <v>51</v>
      </c>
      <c r="I109" s="105"/>
      <c r="J109" s="105"/>
      <c r="K109" s="105"/>
      <c r="L109" s="105"/>
      <c r="M109" s="105"/>
      <c r="N109" s="105"/>
      <c r="O109" s="105"/>
      <c r="P109" s="105"/>
      <c r="Q109" s="105"/>
      <c r="R109" s="105"/>
      <c r="S109" s="105"/>
      <c r="T109" s="105"/>
      <c r="U109" s="105"/>
      <c r="V109" s="105"/>
      <c r="W109" s="105"/>
      <c r="X109" s="105"/>
      <c r="Y109" s="105"/>
      <c r="Z109" s="105"/>
      <c r="AA109" s="105"/>
      <c r="AB109" s="105"/>
      <c r="AC109" s="105"/>
      <c r="AD109" s="105"/>
      <c r="AE109" s="105"/>
    </row>
    <row r="110" spans="1:32">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c r="AC110" s="105"/>
      <c r="AD110" s="105"/>
      <c r="AE110" s="105"/>
    </row>
    <row r="111" spans="1:32">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5"/>
    </row>
    <row r="112" spans="1:32">
      <c r="A112" s="105"/>
      <c r="B112" s="105"/>
      <c r="C112" s="105"/>
      <c r="D112" s="105">
        <v>73.3</v>
      </c>
      <c r="E112" s="105" t="s">
        <v>63</v>
      </c>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c r="AC112" s="105"/>
      <c r="AD112" s="105"/>
      <c r="AE112" s="105"/>
      <c r="AF112" s="105"/>
    </row>
    <row r="113" spans="1:32">
      <c r="A113" s="105"/>
      <c r="B113" s="105"/>
      <c r="C113" s="105"/>
      <c r="D113" s="105">
        <v>7.3300000000000004E-2</v>
      </c>
      <c r="E113" s="105" t="s">
        <v>37</v>
      </c>
      <c r="F113" s="105"/>
      <c r="G113" s="105"/>
      <c r="H113" s="105"/>
      <c r="I113" s="105"/>
      <c r="J113" s="105"/>
      <c r="K113" s="105"/>
      <c r="L113" s="105"/>
      <c r="M113" s="105"/>
      <c r="N113" s="105"/>
      <c r="O113" s="105"/>
      <c r="P113" s="105"/>
      <c r="Q113" s="105"/>
      <c r="R113" s="105"/>
      <c r="S113" s="105"/>
      <c r="T113" s="105"/>
      <c r="U113" s="105"/>
      <c r="V113" s="105"/>
      <c r="W113" s="105"/>
      <c r="X113" s="105"/>
      <c r="Y113" s="105"/>
      <c r="Z113" s="105"/>
      <c r="AA113" s="105"/>
      <c r="AB113" s="105"/>
      <c r="AC113" s="105"/>
      <c r="AD113" s="105"/>
      <c r="AE113" s="105"/>
      <c r="AF113" s="105"/>
    </row>
    <row r="114" spans="1:32">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c r="AC114" s="105"/>
      <c r="AD114" s="105"/>
      <c r="AE114" s="105"/>
      <c r="AF114" s="105"/>
    </row>
    <row r="115" spans="1:32">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c r="AC115" s="105"/>
      <c r="AD115" s="105"/>
      <c r="AE115" s="105"/>
      <c r="AF115" s="105"/>
    </row>
    <row r="116" spans="1:32">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c r="AC116" s="105"/>
      <c r="AD116" s="105"/>
      <c r="AE116" s="105"/>
      <c r="AF116" s="105"/>
    </row>
    <row r="117" spans="1:32">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c r="AC117" s="105"/>
      <c r="AD117" s="105"/>
      <c r="AE117" s="105"/>
      <c r="AF117" s="105"/>
    </row>
    <row r="118" spans="1:32">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c r="AC118" s="105"/>
      <c r="AD118" s="105"/>
      <c r="AE118" s="105"/>
      <c r="AF118" s="105"/>
    </row>
    <row r="119" spans="1:32">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c r="AC119" s="105"/>
      <c r="AD119" s="105"/>
      <c r="AE119" s="105"/>
      <c r="AF119" s="105"/>
    </row>
    <row r="120" spans="1:32">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c r="AC120" s="105"/>
      <c r="AD120" s="105"/>
      <c r="AE120" s="105"/>
      <c r="AF120" s="105"/>
    </row>
    <row r="121" spans="1:32">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c r="AC121" s="105"/>
      <c r="AD121" s="105"/>
      <c r="AE121" s="105"/>
      <c r="AF121" s="105"/>
    </row>
    <row r="122" spans="1:32" customForma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c r="AC122" s="105"/>
      <c r="AD122" s="105"/>
      <c r="AE122" s="105"/>
      <c r="AF122" s="105"/>
    </row>
    <row r="123" spans="1:32" customForma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c r="AC123" s="105"/>
      <c r="AD123" s="105"/>
      <c r="AE123" s="105"/>
      <c r="AF123" s="105"/>
    </row>
    <row r="124" spans="1:32" s="19" customForma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c r="AC124" s="105"/>
      <c r="AD124" s="105"/>
      <c r="AE124" s="105"/>
      <c r="AF124" s="105"/>
    </row>
    <row r="125" spans="1:32" customForma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c r="AC125" s="105"/>
      <c r="AD125" s="105"/>
      <c r="AE125" s="105"/>
      <c r="AF125" s="105"/>
    </row>
    <row r="126" spans="1:32" customForma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c r="AC126" s="105"/>
      <c r="AD126" s="105"/>
      <c r="AE126" s="105"/>
      <c r="AF126" s="105"/>
    </row>
    <row r="127" spans="1:32" customForma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row>
    <row r="128" spans="1:32" customForma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c r="AC128" s="105"/>
      <c r="AD128" s="105"/>
      <c r="AE128" s="105"/>
      <c r="AF128" s="105"/>
    </row>
    <row r="129" spans="1:32" customForma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c r="AC129" s="105"/>
      <c r="AD129" s="105"/>
      <c r="AE129" s="105"/>
      <c r="AF129" s="105"/>
    </row>
    <row r="130" spans="1:32" customForma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row>
    <row r="131" spans="1:32">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row>
    <row r="132" spans="1:32">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row>
    <row r="133" spans="1:32">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row>
    <row r="134" spans="1:32">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row>
    <row r="135" spans="1:32">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row>
    <row r="136" spans="1:32">
      <c r="A136" s="105"/>
      <c r="B136" s="105"/>
      <c r="C136" s="105"/>
      <c r="D136" s="105"/>
      <c r="E136" s="105"/>
      <c r="F136" s="105"/>
      <c r="G136" s="105"/>
      <c r="H136" s="105"/>
      <c r="I136" s="105"/>
      <c r="J136" s="105"/>
      <c r="K136" s="105"/>
      <c r="L136" s="105"/>
      <c r="M136" s="105"/>
      <c r="N136" s="105"/>
      <c r="O136" s="105"/>
      <c r="P136" s="105"/>
      <c r="Q136" s="105"/>
      <c r="R136" s="105"/>
      <c r="S136" s="105"/>
      <c r="T136" s="105"/>
      <c r="U136" s="105"/>
    </row>
    <row r="137" spans="1:32">
      <c r="A137" s="105"/>
      <c r="B137" s="105"/>
      <c r="C137" s="105"/>
      <c r="D137" s="105"/>
      <c r="E137" s="105"/>
      <c r="F137" s="105"/>
      <c r="G137" s="105"/>
      <c r="H137" s="105"/>
      <c r="I137" s="105"/>
      <c r="J137" s="105"/>
      <c r="K137" s="105"/>
      <c r="L137" s="105"/>
      <c r="M137" s="105"/>
      <c r="N137" s="105"/>
      <c r="O137" s="105"/>
      <c r="P137" s="105"/>
      <c r="Q137" s="105"/>
      <c r="R137" s="105"/>
      <c r="S137" s="105"/>
      <c r="T137" s="105"/>
      <c r="U137" s="105"/>
    </row>
    <row r="138" spans="1:32">
      <c r="A138" s="105"/>
      <c r="B138" s="105"/>
      <c r="C138" s="105"/>
      <c r="D138" s="105"/>
      <c r="E138" s="105"/>
      <c r="F138" s="105"/>
      <c r="G138" s="105"/>
      <c r="H138" s="105"/>
      <c r="I138" s="105"/>
      <c r="J138" s="105"/>
      <c r="K138" s="105"/>
      <c r="L138" s="105"/>
      <c r="M138" s="105"/>
      <c r="N138" s="105"/>
      <c r="O138" s="105"/>
      <c r="P138" s="105"/>
      <c r="Q138" s="105"/>
      <c r="R138" s="105"/>
      <c r="S138" s="105"/>
      <c r="T138" s="105"/>
      <c r="U138" s="105"/>
    </row>
    <row r="139" spans="1:32">
      <c r="A139" s="105"/>
      <c r="B139" s="105"/>
      <c r="C139" s="105"/>
      <c r="D139" s="105"/>
      <c r="E139" s="105"/>
      <c r="F139" s="105"/>
      <c r="G139" s="105"/>
      <c r="H139" s="105"/>
      <c r="I139" s="105"/>
      <c r="J139" s="105"/>
      <c r="K139" s="105"/>
      <c r="L139" s="105"/>
      <c r="M139" s="105"/>
      <c r="N139" s="105"/>
      <c r="O139" s="105"/>
      <c r="P139" s="105"/>
      <c r="Q139" s="105"/>
      <c r="R139" s="105"/>
      <c r="S139" s="105"/>
      <c r="T139" s="105"/>
      <c r="U139" s="105"/>
    </row>
    <row r="140" spans="1:32">
      <c r="A140" s="105"/>
      <c r="B140" s="105"/>
      <c r="C140" s="105"/>
      <c r="D140" s="105"/>
      <c r="E140" s="105"/>
      <c r="F140" s="105"/>
      <c r="G140" s="105"/>
      <c r="H140" s="105"/>
      <c r="I140" s="105"/>
      <c r="J140" s="105"/>
      <c r="K140" s="105"/>
      <c r="L140" s="105"/>
      <c r="M140" s="105"/>
      <c r="N140" s="105"/>
      <c r="O140" s="105"/>
      <c r="P140" s="105"/>
      <c r="Q140" s="105"/>
      <c r="R140" s="105"/>
      <c r="S140" s="105"/>
      <c r="T140" s="105"/>
      <c r="U140" s="105"/>
    </row>
    <row r="141" spans="1:32">
      <c r="A141" s="105"/>
      <c r="B141" s="105"/>
      <c r="C141" s="105"/>
      <c r="D141" s="105"/>
      <c r="E141" s="105"/>
      <c r="F141" s="105"/>
      <c r="G141" s="105"/>
      <c r="H141" s="105"/>
      <c r="I141" s="105"/>
      <c r="J141" s="105"/>
      <c r="K141" s="105"/>
      <c r="L141" s="105"/>
      <c r="M141" s="105"/>
      <c r="N141" s="105"/>
      <c r="O141" s="105"/>
      <c r="P141" s="105"/>
      <c r="Q141" s="105"/>
      <c r="R141" s="105"/>
      <c r="S141" s="105"/>
      <c r="T141" s="105"/>
      <c r="U141" s="105"/>
    </row>
    <row r="142" spans="1:32">
      <c r="A142" s="105"/>
      <c r="B142" s="105"/>
      <c r="C142" s="105"/>
      <c r="D142" s="105"/>
      <c r="E142" s="105"/>
      <c r="F142" s="105"/>
      <c r="G142" s="105"/>
      <c r="H142" s="105"/>
      <c r="I142" s="105"/>
      <c r="J142" s="105"/>
      <c r="K142" s="105"/>
      <c r="L142" s="105"/>
      <c r="M142" s="105"/>
      <c r="N142" s="105"/>
      <c r="O142" s="105"/>
      <c r="P142" s="105"/>
      <c r="Q142" s="105"/>
      <c r="R142" s="105"/>
      <c r="S142" s="105"/>
      <c r="T142" s="105"/>
      <c r="U142" s="105"/>
    </row>
    <row r="143" spans="1:32">
      <c r="A143" s="105"/>
      <c r="B143" s="105"/>
      <c r="C143" s="105"/>
      <c r="D143" s="105"/>
      <c r="E143" s="105"/>
      <c r="F143" s="105"/>
      <c r="G143" s="105"/>
      <c r="H143" s="105"/>
      <c r="I143" s="105"/>
      <c r="J143" s="105"/>
      <c r="K143" s="105"/>
      <c r="L143" s="105"/>
      <c r="M143" s="105"/>
      <c r="N143" s="105"/>
      <c r="O143" s="105"/>
      <c r="P143" s="105"/>
      <c r="Q143" s="105"/>
      <c r="R143" s="105"/>
      <c r="S143" s="105"/>
      <c r="T143" s="105"/>
      <c r="U143" s="105"/>
    </row>
    <row r="144" spans="1:32">
      <c r="A144" s="105"/>
      <c r="B144" s="105"/>
      <c r="C144" s="105"/>
      <c r="D144" s="105"/>
      <c r="E144" s="105"/>
      <c r="F144" s="105"/>
      <c r="G144" s="105"/>
      <c r="H144" s="105"/>
      <c r="I144" s="105"/>
      <c r="J144" s="105"/>
      <c r="K144" s="105"/>
      <c r="L144" s="105"/>
      <c r="M144" s="105"/>
      <c r="N144" s="105"/>
      <c r="O144" s="105"/>
      <c r="P144" s="105"/>
      <c r="Q144" s="105"/>
      <c r="R144" s="105"/>
      <c r="S144" s="105"/>
      <c r="T144" s="105"/>
      <c r="U144" s="105"/>
    </row>
    <row r="145" spans="1:21">
      <c r="A145" s="105"/>
      <c r="B145" s="105"/>
      <c r="C145" s="105"/>
      <c r="D145" s="105"/>
      <c r="E145" s="105"/>
      <c r="F145" s="105"/>
      <c r="G145" s="105"/>
      <c r="H145" s="105"/>
      <c r="I145" s="105"/>
      <c r="J145" s="105"/>
      <c r="K145" s="105"/>
      <c r="L145" s="105"/>
      <c r="M145" s="105"/>
      <c r="N145" s="105"/>
      <c r="O145" s="105"/>
      <c r="P145" s="105"/>
      <c r="Q145" s="105"/>
      <c r="R145" s="105"/>
      <c r="S145" s="105"/>
      <c r="T145" s="105"/>
      <c r="U145" s="105"/>
    </row>
    <row r="146" spans="1:21">
      <c r="A146" s="105"/>
      <c r="B146" s="105"/>
      <c r="C146" s="105"/>
      <c r="D146" s="105"/>
      <c r="E146" s="105"/>
      <c r="F146" s="105"/>
      <c r="G146" s="105"/>
      <c r="H146" s="105"/>
      <c r="I146" s="105"/>
      <c r="J146" s="105"/>
      <c r="K146" s="105"/>
      <c r="L146" s="105"/>
      <c r="M146" s="105"/>
      <c r="N146" s="105"/>
      <c r="O146" s="105"/>
      <c r="P146" s="105"/>
      <c r="Q146" s="105"/>
      <c r="R146" s="105"/>
      <c r="S146" s="105"/>
      <c r="T146" s="105"/>
      <c r="U146" s="105"/>
    </row>
    <row r="147" spans="1:21">
      <c r="A147" s="105"/>
      <c r="B147" s="105"/>
      <c r="C147" s="105"/>
      <c r="D147" s="105"/>
      <c r="E147" s="105"/>
      <c r="F147" s="105"/>
      <c r="G147" s="105"/>
      <c r="H147" s="105"/>
      <c r="I147" s="105"/>
      <c r="J147" s="105"/>
      <c r="K147" s="105"/>
      <c r="L147" s="105"/>
      <c r="M147" s="105"/>
      <c r="N147" s="105"/>
      <c r="O147" s="105"/>
      <c r="P147" s="105"/>
      <c r="Q147" s="105"/>
      <c r="R147" s="105"/>
      <c r="S147" s="105"/>
      <c r="T147" s="105"/>
      <c r="U147" s="105"/>
    </row>
    <row r="148" spans="1:21">
      <c r="A148" s="105"/>
      <c r="B148" s="105"/>
      <c r="C148" s="105"/>
      <c r="D148" s="105"/>
      <c r="E148" s="105"/>
      <c r="F148" s="105"/>
      <c r="G148" s="105"/>
      <c r="H148" s="105"/>
      <c r="I148" s="105"/>
      <c r="J148" s="105"/>
      <c r="K148" s="105"/>
      <c r="L148" s="105"/>
      <c r="M148" s="105"/>
      <c r="N148" s="105"/>
      <c r="O148" s="105"/>
      <c r="P148" s="105"/>
      <c r="Q148" s="105"/>
      <c r="R148" s="105"/>
      <c r="S148" s="105"/>
      <c r="T148" s="105"/>
      <c r="U148" s="105"/>
    </row>
    <row r="149" spans="1:21">
      <c r="A149" s="105"/>
      <c r="B149" s="105"/>
      <c r="C149" s="105" t="s">
        <v>53</v>
      </c>
      <c r="D149" s="105">
        <f>D154</f>
        <v>1.4730639730639728E-2</v>
      </c>
      <c r="E149" s="105" t="s">
        <v>0</v>
      </c>
      <c r="F149" s="137" t="s">
        <v>76</v>
      </c>
      <c r="G149" s="105"/>
      <c r="H149" s="105"/>
      <c r="I149" s="105"/>
      <c r="J149" s="105"/>
      <c r="K149" s="105"/>
      <c r="L149" s="105"/>
      <c r="M149" s="105"/>
      <c r="N149" s="105"/>
      <c r="O149" s="105"/>
      <c r="P149" s="105"/>
      <c r="Q149" s="105"/>
      <c r="R149" s="105"/>
      <c r="S149" s="105"/>
      <c r="T149" s="105"/>
      <c r="U149" s="105"/>
    </row>
    <row r="150" spans="1:21">
      <c r="A150" s="105"/>
      <c r="B150" s="105"/>
      <c r="C150" s="105"/>
      <c r="D150" s="105"/>
      <c r="E150" s="105"/>
      <c r="F150" s="105"/>
      <c r="J150" s="105"/>
      <c r="K150" s="105"/>
      <c r="L150" s="105"/>
      <c r="M150" s="105"/>
      <c r="N150" s="105"/>
      <c r="O150" s="105"/>
      <c r="P150" s="105"/>
      <c r="Q150" s="105"/>
      <c r="R150" s="105"/>
      <c r="S150" s="105"/>
      <c r="T150" s="105"/>
      <c r="U150" s="105"/>
    </row>
    <row r="151" spans="1:21">
      <c r="A151" s="105"/>
      <c r="B151" s="105"/>
      <c r="C151" s="105" t="s">
        <v>64</v>
      </c>
      <c r="D151" s="105">
        <v>0.7</v>
      </c>
      <c r="E151" s="105" t="s">
        <v>65</v>
      </c>
      <c r="F151" s="105"/>
      <c r="J151" s="105"/>
      <c r="K151" s="105"/>
      <c r="L151" s="105"/>
      <c r="M151" s="105"/>
      <c r="N151" s="105"/>
      <c r="O151" s="105"/>
      <c r="P151" s="105"/>
      <c r="Q151" s="105"/>
      <c r="R151" s="105"/>
      <c r="S151" s="105"/>
      <c r="T151" s="105"/>
      <c r="U151" s="105"/>
    </row>
    <row r="152" spans="1:21">
      <c r="A152" s="105"/>
      <c r="B152" s="105"/>
      <c r="C152" s="105" t="s">
        <v>68</v>
      </c>
      <c r="D152" s="105">
        <v>1.08</v>
      </c>
      <c r="E152" s="105" t="s">
        <v>67</v>
      </c>
      <c r="F152" s="137" t="s">
        <v>66</v>
      </c>
      <c r="J152" s="105"/>
      <c r="K152" s="105"/>
      <c r="L152" s="105"/>
      <c r="M152" s="105"/>
      <c r="N152" s="105"/>
      <c r="O152" s="105"/>
      <c r="P152" s="105"/>
      <c r="Q152" s="105"/>
      <c r="R152" s="105"/>
      <c r="S152" s="105"/>
    </row>
    <row r="153" spans="1:21">
      <c r="A153" s="105"/>
      <c r="B153" s="105"/>
      <c r="C153" s="105" t="s">
        <v>69</v>
      </c>
      <c r="D153" s="105">
        <f>D151/D152</f>
        <v>0.64814814814814803</v>
      </c>
      <c r="E153" s="105" t="s">
        <v>70</v>
      </c>
      <c r="F153" s="105"/>
      <c r="L153" s="127"/>
      <c r="M153" s="126"/>
      <c r="N153" s="126"/>
      <c r="O153" s="126"/>
      <c r="P153" s="126"/>
      <c r="Q153" s="126"/>
    </row>
    <row r="154" spans="1:21">
      <c r="A154" s="105"/>
      <c r="B154" s="105"/>
      <c r="C154" s="105" t="s">
        <v>71</v>
      </c>
      <c r="D154" s="105">
        <f>D153/E16</f>
        <v>1.4730639730639728E-2</v>
      </c>
      <c r="E154" s="105" t="s">
        <v>72</v>
      </c>
      <c r="F154" s="105"/>
      <c r="L154" s="127"/>
      <c r="M154" s="126"/>
      <c r="N154" s="126"/>
      <c r="O154" s="126"/>
      <c r="P154" s="126"/>
      <c r="Q154" s="126"/>
    </row>
    <row r="155" spans="1:21">
      <c r="A155" s="105"/>
      <c r="B155" s="105"/>
      <c r="C155" s="105"/>
      <c r="D155" s="105"/>
      <c r="E155" s="105"/>
      <c r="F155" s="105"/>
    </row>
    <row r="156" spans="1:21">
      <c r="A156" s="105"/>
      <c r="B156" s="105"/>
      <c r="C156" s="105"/>
      <c r="D156" s="105"/>
      <c r="E156" s="105"/>
      <c r="F156" s="105"/>
    </row>
    <row r="157" spans="1:21">
      <c r="A157" s="105"/>
      <c r="B157" s="105"/>
      <c r="C157" s="105"/>
      <c r="D157" s="105"/>
      <c r="E157" s="105"/>
      <c r="F157" s="105"/>
    </row>
    <row r="158" spans="1:21">
      <c r="A158" s="105"/>
      <c r="B158" s="105"/>
      <c r="C158" s="105"/>
      <c r="D158" s="105"/>
      <c r="E158" s="105"/>
      <c r="F158" s="105"/>
    </row>
    <row r="159" spans="1:21">
      <c r="A159" s="105"/>
      <c r="B159" s="105"/>
      <c r="C159" s="105"/>
      <c r="D159" s="105"/>
      <c r="E159" s="105"/>
      <c r="F159" s="105"/>
    </row>
    <row r="160" spans="1:21">
      <c r="A160" s="105"/>
      <c r="B160" s="105"/>
      <c r="C160" s="105"/>
      <c r="D160" s="105"/>
      <c r="E160" s="105"/>
      <c r="F160" s="105"/>
    </row>
    <row r="161" spans="1:6">
      <c r="A161" s="105"/>
      <c r="B161" s="105"/>
      <c r="C161" s="105"/>
      <c r="D161" s="105"/>
      <c r="E161" s="105"/>
      <c r="F161" s="105"/>
    </row>
    <row r="162" spans="1:6">
      <c r="A162" s="105"/>
      <c r="B162" s="105"/>
      <c r="C162" s="105"/>
      <c r="D162" s="105"/>
      <c r="E162" s="105"/>
      <c r="F162" s="105"/>
    </row>
    <row r="163" spans="1:6">
      <c r="A163" s="105"/>
      <c r="B163" s="105"/>
      <c r="C163" s="105"/>
      <c r="D163" s="105"/>
      <c r="E163" s="105"/>
      <c r="F163" s="105"/>
    </row>
    <row r="164" spans="1:6">
      <c r="A164" s="105"/>
      <c r="B164" s="105"/>
      <c r="C164" s="105"/>
      <c r="D164" s="105"/>
      <c r="E164" s="105"/>
      <c r="F164" s="105"/>
    </row>
    <row r="165" spans="1:6">
      <c r="B165" s="105"/>
      <c r="C165" s="105"/>
      <c r="D165" s="105"/>
      <c r="E165" s="105"/>
      <c r="F165" s="105"/>
    </row>
    <row r="166" spans="1:6">
      <c r="B166" s="105"/>
      <c r="C166" s="105"/>
      <c r="D166" s="105"/>
      <c r="E166" s="105"/>
      <c r="F166" s="105"/>
    </row>
    <row r="167" spans="1:6">
      <c r="B167" s="105"/>
      <c r="C167" s="105"/>
      <c r="D167" s="105"/>
      <c r="E167" s="105"/>
      <c r="F167" s="105"/>
    </row>
    <row r="168" spans="1:6">
      <c r="B168" s="105"/>
      <c r="C168" s="105"/>
      <c r="D168" s="105"/>
      <c r="E168" s="105"/>
      <c r="F168" s="105"/>
    </row>
    <row r="169" spans="1:6">
      <c r="B169" s="105"/>
      <c r="C169" s="105"/>
      <c r="D169" s="105"/>
      <c r="E169" s="105"/>
      <c r="F169" s="105"/>
    </row>
    <row r="170" spans="1:6">
      <c r="B170" s="105"/>
      <c r="C170" s="105"/>
      <c r="D170" s="105"/>
      <c r="E170" s="105"/>
      <c r="F170" s="105"/>
    </row>
    <row r="171" spans="1:6">
      <c r="B171" s="105"/>
      <c r="C171" s="105"/>
      <c r="D171" s="105"/>
      <c r="E171" s="105"/>
      <c r="F171" s="105"/>
    </row>
    <row r="172" spans="1:6">
      <c r="B172" s="105"/>
      <c r="C172" s="105"/>
      <c r="D172" s="105"/>
      <c r="E172" s="105"/>
      <c r="F172" s="105"/>
    </row>
    <row r="173" spans="1:6">
      <c r="B173" s="105"/>
      <c r="C173" s="105"/>
      <c r="D173" s="105"/>
      <c r="E173" s="105"/>
      <c r="F173" s="105"/>
    </row>
    <row r="174" spans="1:6">
      <c r="B174" s="105"/>
      <c r="C174" s="105"/>
      <c r="D174" s="105"/>
      <c r="E174" s="105"/>
      <c r="F174" s="105"/>
    </row>
    <row r="175" spans="1:6">
      <c r="B175" s="105"/>
      <c r="C175" s="105"/>
      <c r="D175" s="105"/>
      <c r="E175" s="105"/>
      <c r="F175" s="105"/>
    </row>
  </sheetData>
  <hyperlinks>
    <hyperlink ref="G109" r:id="rId1" xr:uid="{4F550351-8A03-5A45-B15F-C7ABE16CCC97}"/>
    <hyperlink ref="F152" r:id="rId2" location=":~:text=Best%20exchange%20rate%3A%201.1244%20USD,USD%20on%2003%20Oct%202023." xr:uid="{F6749BDC-06BB-BA44-BA1B-1F63A62617F6}"/>
    <hyperlink ref="F149" r:id="rId3" xr:uid="{57C10258-B2A1-D94B-9EA8-1BA6EE88B970}"/>
  </hyperlinks>
  <pageMargins left="0.75" right="0.75" top="1" bottom="1" header="0.5" footer="0.5"/>
  <pageSetup paperSize="9" orientation="portrait" horizontalDpi="4294967292" verticalDpi="4294967292"/>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Cover sheet</vt:lpstr>
      <vt:lpstr>Dashboard</vt:lpstr>
      <vt:lpstr>Research data</vt:lpstr>
      <vt:lpstr>Sources</vt:lpstr>
      <vt:lpstr>Notes</vt:lpstr>
      <vt:lpstr>litres_per_barrel</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Kas Kranenburg</cp:lastModifiedBy>
  <dcterms:created xsi:type="dcterms:W3CDTF">2011-10-26T09:05:09Z</dcterms:created>
  <dcterms:modified xsi:type="dcterms:W3CDTF">2025-06-25T08:18:55Z</dcterms:modified>
</cp:coreProperties>
</file>