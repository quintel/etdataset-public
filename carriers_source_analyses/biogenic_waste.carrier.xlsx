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5"/>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carriers_source_analyses/"/>
    </mc:Choice>
  </mc:AlternateContent>
  <xr:revisionPtr revIDLastSave="0" documentId="13_ncr:1_{9F2D75FA-E85F-C342-B9CF-B559D474FF07}" xr6:coauthVersionLast="47" xr6:coauthVersionMax="47" xr10:uidLastSave="{00000000-0000-0000-0000-000000000000}"/>
  <bookViews>
    <workbookView xWindow="0" yWindow="0" windowWidth="51200" windowHeight="28800" tabRatio="762" activeTab="2" xr2:uid="{00000000-000D-0000-FFFF-FFFF00000000}"/>
  </bookViews>
  <sheets>
    <sheet name="Cover sheet" sheetId="14" r:id="rId1"/>
    <sheet name="Dashboard" sheetId="12" r:id="rId2"/>
    <sheet name="Research data" sheetId="13" r:id="rId3"/>
    <sheet name="Sources" sheetId="15" r:id="rId4"/>
    <sheet name="Notes" sheetId="16" r:id="rId5"/>
  </sheets>
  <externalReferences>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m2_to_km2">#REF!</definedName>
    <definedName name="STC">#REF!</definedName>
    <definedName name="STC_insolation">#REF!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J10" i="13" l="1"/>
  <c r="G10" i="13" s="1"/>
  <c r="J8" i="13"/>
  <c r="G8" i="13" s="1"/>
  <c r="E11" i="12" s="1"/>
  <c r="E10" i="16"/>
  <c r="D10" i="16"/>
  <c r="G9" i="13"/>
  <c r="G7" i="13"/>
  <c r="G6" i="13"/>
  <c r="E10" i="12" s="1"/>
</calcChain>
</file>

<file path=xl/sharedStrings.xml><?xml version="1.0" encoding="utf-8"?>
<sst xmlns="http://schemas.openxmlformats.org/spreadsheetml/2006/main" count="96" uniqueCount="77">
  <si>
    <t>Source</t>
  </si>
  <si>
    <t>-</t>
  </si>
  <si>
    <t>Value</t>
  </si>
  <si>
    <t>Definition</t>
  </si>
  <si>
    <t>Unit</t>
  </si>
  <si>
    <t>Link</t>
  </si>
  <si>
    <t>Cover Sheet</t>
  </si>
  <si>
    <t>Country</t>
  </si>
  <si>
    <t>Organization</t>
  </si>
  <si>
    <t>Quintel Intelligence</t>
  </si>
  <si>
    <t>Definition on the sources</t>
  </si>
  <si>
    <t>Date published</t>
  </si>
  <si>
    <t>Attribute</t>
  </si>
  <si>
    <t>Author</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</si>
  <si>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</si>
  <si>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</si>
  <si>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</si>
  <si>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</si>
  <si>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</si>
  <si>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</si>
  <si>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</si>
  <si>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</si>
  <si>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</si>
  <si>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</si>
  <si>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</si>
  <si>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</si>
  <si>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</si>
  <si>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</si>
  <si>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</si>
  <si>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Parameter</t>
  </si>
  <si>
    <t>Comments</t>
  </si>
  <si>
    <t>Notes</t>
  </si>
  <si>
    <t>Subject year</t>
  </si>
  <si>
    <t>ETM Library URL</t>
  </si>
  <si>
    <t>Date retrieved</t>
  </si>
  <si>
    <t>sustainable</t>
  </si>
  <si>
    <t>cost_per_mj</t>
  </si>
  <si>
    <t>co2_conversion_per_mj</t>
  </si>
  <si>
    <t>Whether or not this carrier is renewable</t>
  </si>
  <si>
    <t>Quintel definition</t>
  </si>
  <si>
    <t>kg/MJ</t>
  </si>
  <si>
    <t>EUR/MJ</t>
  </si>
  <si>
    <t>Carrier (gobal properties)</t>
  </si>
  <si>
    <t>Page</t>
  </si>
  <si>
    <t>Document</t>
  </si>
  <si>
    <t>Carrier (global properties)</t>
  </si>
  <si>
    <t>biogenic_waste</t>
  </si>
  <si>
    <t>Quintel</t>
  </si>
  <si>
    <r>
      <rPr>
        <sz val="12"/>
        <color theme="1"/>
        <rFont val="Calibri"/>
        <family val="2"/>
        <scheme val="minor"/>
      </rPr>
      <t>potential_</t>
    </r>
    <r>
      <rPr>
        <sz val="12"/>
        <color theme="1"/>
        <rFont val="Calibri"/>
        <family val="2"/>
        <scheme val="minor"/>
      </rPr>
      <t>co2_conversion_per_mj</t>
    </r>
  </si>
  <si>
    <t>This sheet summarizes all carrier attributes formatted in the way they are used by the Energy Transition Model. This sheet contains only pure carrier values. For some countries and carriers Fuel Chain Emissions are defined (only for NL); if so these FCE are documented in a separate sheet (e.g. nl_fce). Use the Excel formulas to find the original data and sources for these numbers. 
- The carrier analysis can be imported on ETSource by running the following rake task: rake import:carrier CARRIER="carrier name" (eg rake import:carrier CARRIER=crude_oil) 
- The fce analysis can be imported on ETSource by running the following rake task: rake import:fce DATASET="dataset" CARRIER="carrier name" (eg rake import:fce DATASET=nl CARRIER=bio_ethanol)</t>
  </si>
  <si>
    <t>mj_per_kg</t>
  </si>
  <si>
    <t>MJ/kg</t>
  </si>
  <si>
    <t>TNO</t>
  </si>
  <si>
    <t>TNO table:</t>
  </si>
  <si>
    <t>Overview</t>
  </si>
  <si>
    <t>Assumptions:</t>
  </si>
  <si>
    <t>CO2 (kg/MJ)</t>
  </si>
  <si>
    <t>Density (MJ/kg)</t>
  </si>
  <si>
    <t>non-biogenic waste</t>
  </si>
  <si>
    <t>biogenic waste</t>
  </si>
  <si>
    <t>Waste first value in D Other fuels is non-biogenic</t>
  </si>
  <si>
    <t>Waste second value in D Other fuels is biogenic</t>
  </si>
  <si>
    <t>Energy content and CO2 emission factor</t>
  </si>
  <si>
    <t>NL</t>
  </si>
  <si>
    <t>Update of the Netherlands list of fuels in 2021</t>
  </si>
  <si>
    <t>https://repository.tno.nl/SingleDoc?find=UID%202f9779a2-dd73-4f7f-9494-a44ddb7550d6</t>
  </si>
  <si>
    <t>Claudia Valkenier</t>
  </si>
  <si>
    <t>Costs</t>
  </si>
  <si>
    <t>Waste costs as feedstock for methanol production are either zero or negative</t>
  </si>
  <si>
    <t>therefore, costs for waste are assumed to be zero</t>
  </si>
  <si>
    <t>costs per MJ</t>
  </si>
  <si>
    <t>IEA table pg  29</t>
  </si>
  <si>
    <t>Costs per MJ</t>
  </si>
  <si>
    <t>IEA</t>
  </si>
  <si>
    <t>2020</t>
  </si>
  <si>
    <t>Advanced Biofuels – Potential for Cost Reduction</t>
  </si>
  <si>
    <t>https://task39.ieabioenergy.com/wp-content/uploads/sites/37/2020/02/Advanced-Biofuels-Potential-for-Cost-Reduction-Final-Draft.pdf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</si>
</sst>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413]mmm\-yy;@"/>
  </numFmts>
  <fonts count="32">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b/>
      <sz val="14"/>
      <color theme="1"/>
      <name val="Calibri"/>
      <family val="2"/>
      <scheme val="minor"/>
    </font>
    <font>
      <sz val="12"/>
      <name val="Calibri"/>
      <family val="2"/>
      <scheme val="minor"/>
    </font>
    <font>
      <b/>
      <sz val="12"/>
      <name val="Calibri"/>
      <family val="2"/>
      <scheme val="minor"/>
    </font>
    <font>
      <sz val="12"/>
      <color rgb="FF000000"/>
      <name val="Calibri"/>
      <family val="2"/>
    </font>
    <font>
      <i/>
      <sz val="12"/>
      <color theme="1"/>
      <name val="Calibri"/>
      <family val="2"/>
      <scheme val="minor"/>
    </font>
    <font>
      <sz val="9"/>
      <name val="Arial"/>
      <family val="2"/>
    </font>
    <font>
      <b/>
      <sz val="12"/>
      <color rgb="FF000000"/>
      <name val="Calibri"/>
      <family val="2"/>
    </font>
    <font>
      <sz val="12"/>
      <name val="Calibri (Body)"/>
    </font>
    <font>
      <sz val="12"/>
      <color theme="1"/>
      <name val="Calibri (Body)"/>
    </font>
    <font>
      <sz val="12"/>
      <color rgb="FF000000"/>
      <name val="Lettertype hoofdtekst"/>
      <family val="2"/>
    </font>
    <font>
      <b/>
      <sz val="12"/>
      <color rgb="FF474747"/>
      <name val="Calibri (Body)"/>
    </font>
    <font>
      <b/>
      <sz val="12"/>
      <color theme="1"/>
      <name val="Lettertype hoofdtekst"/>
    </font>
  </fonts>
  <fills count="13">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rgb="FFFFFFFF"/>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s>
  <borders count="25">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style="medium">
        <color auto="1"/>
      </right>
      <top style="medium">
        <color auto="1"/>
      </top>
      <bottom/>
      <diagonal/>
    </border>
    <border>
      <left style="thin">
        <color indexed="64"/>
      </left>
      <right style="thin">
        <color indexed="64"/>
      </right>
      <top style="thin">
        <color indexed="64"/>
      </top>
      <bottom style="thin">
        <color indexed="64"/>
      </bottom>
      <diagonal/>
    </border>
    <border>
      <left/>
      <right style="medium">
        <color auto="1"/>
      </right>
      <top style="medium">
        <color auto="1"/>
      </top>
      <bottom style="thin">
        <color indexed="64"/>
      </bottom>
      <diagonal/>
    </border>
  </borders>
  <cellStyleXfs count="340">
    <xf numFmtId="0" fontId="0" fillId="0" borderId="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alignment vertical="top"/>
      <protection locked="0"/>
    </xf>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cellStyleXfs>
  <cellXfs count="170">
    <xf numFmtId="0" fontId="0" fillId="0" borderId="0" xfId="0"/>
    <xf numFmtId="0" fontId="15" fillId="2" borderId="19" xfId="0" applyFont="1" applyFill="1" applyBorder="1" applyAlignment="1">
      <alignment vertical="center"/>
    </xf>
    <xf numFmtId="0" fontId="15" fillId="2" borderId="5" xfId="0" applyFont="1" applyFill="1" applyBorder="1" applyAlignment="1">
      <alignment vertical="center"/>
    </xf>
    <xf numFmtId="0" fontId="10" fillId="0" borderId="5" xfId="0" applyFont="1" applyBorder="1"/>
    <xf numFmtId="0" fontId="6" fillId="2" borderId="6" xfId="0" applyFont="1" applyFill="1" applyBorder="1"/>
    <xf numFmtId="0" fontId="6" fillId="2" borderId="0" xfId="0" applyFont="1" applyFill="1"/>
    <xf numFmtId="0" fontId="16" fillId="3" borderId="7" xfId="0" applyFont="1" applyFill="1" applyBorder="1"/>
    <xf numFmtId="0" fontId="17" fillId="3" borderId="17" xfId="0" applyFont="1" applyFill="1" applyBorder="1"/>
    <xf numFmtId="0" fontId="16" fillId="3" borderId="13" xfId="0" applyFont="1" applyFill="1" applyBorder="1"/>
    <xf numFmtId="0" fontId="18" fillId="3" borderId="7" xfId="0" applyFont="1" applyFill="1" applyBorder="1" applyAlignment="1">
      <alignment vertical="center"/>
    </xf>
    <xf numFmtId="2" fontId="16" fillId="3" borderId="8" xfId="0" applyNumberFormat="1" applyFont="1" applyFill="1" applyBorder="1" applyAlignment="1">
      <alignment horizontal="left"/>
    </xf>
    <xf numFmtId="0" fontId="18" fillId="3" borderId="1" xfId="0" applyFont="1" applyFill="1" applyBorder="1" applyAlignment="1">
      <alignment vertical="center"/>
    </xf>
    <xf numFmtId="0" fontId="16" fillId="3" borderId="14" xfId="0" applyFont="1" applyFill="1" applyBorder="1"/>
    <xf numFmtId="0" fontId="16" fillId="3" borderId="0" xfId="0" applyFont="1" applyFill="1"/>
    <xf numFmtId="1" fontId="15" fillId="2" borderId="0" xfId="0" applyNumberFormat="1" applyFont="1" applyFill="1" applyAlignment="1">
      <alignment vertical="center"/>
    </xf>
    <xf numFmtId="2" fontId="15" fillId="2" borderId="0" xfId="0" applyNumberFormat="1" applyFont="1" applyFill="1" applyAlignment="1">
      <alignment horizontal="right" vertical="center"/>
    </xf>
    <xf numFmtId="0" fontId="15" fillId="2" borderId="0" xfId="0" applyFont="1" applyFill="1"/>
    <xf numFmtId="0" fontId="15" fillId="2" borderId="9" xfId="0" applyFont="1" applyFill="1" applyBorder="1"/>
    <xf numFmtId="0" fontId="15" fillId="2" borderId="4" xfId="0" applyFont="1" applyFill="1" applyBorder="1"/>
    <xf numFmtId="0" fontId="12" fillId="2" borderId="0" xfId="0" applyFont="1" applyFill="1"/>
    <xf numFmtId="0" fontId="16" fillId="0" borderId="0" xfId="0" applyFont="1"/>
    <xf numFmtId="0" fontId="15" fillId="2" borderId="6" xfId="0" applyFont="1" applyFill="1" applyBorder="1"/>
    <xf numFmtId="0" fontId="16" fillId="3" borderId="17" xfId="0" applyFont="1" applyFill="1" applyBorder="1"/>
    <xf numFmtId="0" fontId="16" fillId="3" borderId="2" xfId="0" applyFont="1" applyFill="1" applyBorder="1"/>
    <xf numFmtId="0" fontId="12" fillId="2" borderId="2" xfId="0" applyFont="1" applyFill="1" applyBorder="1"/>
    <xf numFmtId="0" fontId="19" fillId="3" borderId="0" xfId="0" applyFont="1" applyFill="1"/>
    <xf numFmtId="0" fontId="12" fillId="2" borderId="7" xfId="0" applyFont="1" applyFill="1" applyBorder="1"/>
    <xf numFmtId="0" fontId="15" fillId="0" borderId="0" xfId="0" applyFont="1"/>
    <xf numFmtId="0" fontId="17" fillId="3" borderId="0" xfId="0" applyFont="1" applyFill="1"/>
    <xf numFmtId="0" fontId="11" fillId="2" borderId="0" xfId="0" applyFont="1" applyFill="1"/>
    <xf numFmtId="0" fontId="11" fillId="0" borderId="0" xfId="0" applyFont="1"/>
    <xf numFmtId="0" fontId="11" fillId="2" borderId="3" xfId="0" applyFont="1" applyFill="1" applyBorder="1"/>
    <xf numFmtId="0" fontId="11" fillId="2" borderId="15" xfId="0" applyFont="1" applyFill="1" applyBorder="1"/>
    <xf numFmtId="0" fontId="11" fillId="2" borderId="10" xfId="0" applyFont="1" applyFill="1" applyBorder="1"/>
    <xf numFmtId="0" fontId="11" fillId="2" borderId="11" xfId="0" applyFont="1" applyFill="1" applyBorder="1"/>
    <xf numFmtId="0" fontId="11" fillId="2" borderId="12" xfId="0" applyFont="1" applyFill="1" applyBorder="1"/>
    <xf numFmtId="0" fontId="20" fillId="2" borderId="0" xfId="0" applyFont="1" applyFill="1"/>
    <xf numFmtId="0" fontId="20" fillId="2" borderId="5" xfId="0" applyFont="1" applyFill="1" applyBorder="1"/>
    <xf numFmtId="0" fontId="21" fillId="2" borderId="0" xfId="0" applyFont="1" applyFill="1"/>
    <xf numFmtId="49" fontId="21" fillId="2" borderId="0" xfId="0" applyNumberFormat="1" applyFont="1" applyFill="1"/>
    <xf numFmtId="0" fontId="21" fillId="2" borderId="3" xfId="0" applyFont="1" applyFill="1" applyBorder="1"/>
    <xf numFmtId="0" fontId="21" fillId="2" borderId="4" xfId="0" applyFont="1" applyFill="1" applyBorder="1"/>
    <xf numFmtId="49" fontId="21" fillId="2" borderId="4" xfId="0" applyNumberFormat="1" applyFont="1" applyFill="1" applyBorder="1"/>
    <xf numFmtId="0" fontId="21" fillId="2" borderId="6" xfId="0" applyFont="1" applyFill="1" applyBorder="1"/>
    <xf numFmtId="0" fontId="21" fillId="2" borderId="16" xfId="0" applyFont="1" applyFill="1" applyBorder="1"/>
    <xf numFmtId="0" fontId="22" fillId="2" borderId="9" xfId="0" applyFont="1" applyFill="1" applyBorder="1"/>
    <xf numFmtId="49" fontId="22" fillId="2" borderId="9" xfId="0" applyNumberFormat="1" applyFont="1" applyFill="1" applyBorder="1"/>
    <xf numFmtId="2" fontId="15" fillId="2" borderId="9" xfId="0" applyNumberFormat="1" applyFont="1" applyFill="1" applyBorder="1" applyAlignment="1">
      <alignment vertical="center"/>
    </xf>
    <xf numFmtId="0" fontId="10" fillId="2" borderId="0" xfId="0" applyFont="1" applyFill="1"/>
    <xf numFmtId="2" fontId="10" fillId="2" borderId="0" xfId="0" applyNumberFormat="1" applyFont="1" applyFill="1"/>
    <xf numFmtId="0" fontId="10" fillId="2" borderId="3" xfId="0" applyFont="1" applyFill="1" applyBorder="1"/>
    <xf numFmtId="0" fontId="10" fillId="2" borderId="4" xfId="0" applyFont="1" applyFill="1" applyBorder="1"/>
    <xf numFmtId="2" fontId="10" fillId="2" borderId="4" xfId="0" applyNumberFormat="1" applyFont="1" applyFill="1" applyBorder="1"/>
    <xf numFmtId="0" fontId="10" fillId="2" borderId="15" xfId="0" applyFont="1" applyFill="1" applyBorder="1"/>
    <xf numFmtId="0" fontId="10" fillId="2" borderId="6" xfId="0" applyFont="1" applyFill="1" applyBorder="1"/>
    <xf numFmtId="0" fontId="15" fillId="2" borderId="17" xfId="0" applyFont="1" applyFill="1" applyBorder="1"/>
    <xf numFmtId="0" fontId="9" fillId="2" borderId="2" xfId="0" applyFont="1" applyFill="1" applyBorder="1"/>
    <xf numFmtId="0" fontId="15" fillId="2" borderId="7" xfId="0" applyFont="1" applyFill="1" applyBorder="1"/>
    <xf numFmtId="0" fontId="9" fillId="2" borderId="0" xfId="0" applyFont="1" applyFill="1"/>
    <xf numFmtId="0" fontId="24" fillId="2" borderId="0" xfId="0" applyFont="1" applyFill="1"/>
    <xf numFmtId="0" fontId="9" fillId="2" borderId="18" xfId="0" applyFont="1" applyFill="1" applyBorder="1"/>
    <xf numFmtId="0" fontId="9" fillId="5" borderId="0" xfId="0" applyFont="1" applyFill="1"/>
    <xf numFmtId="0" fontId="9" fillId="6" borderId="0" xfId="0" applyFont="1" applyFill="1"/>
    <xf numFmtId="0" fontId="9" fillId="7" borderId="0" xfId="0" applyFont="1" applyFill="1"/>
    <xf numFmtId="0" fontId="9" fillId="8" borderId="0" xfId="0" applyFont="1" applyFill="1"/>
    <xf numFmtId="0" fontId="9" fillId="2" borderId="7" xfId="0" applyFont="1" applyFill="1" applyBorder="1"/>
    <xf numFmtId="0" fontId="9" fillId="9" borderId="0" xfId="0" applyFont="1" applyFill="1"/>
    <xf numFmtId="0" fontId="9" fillId="10" borderId="0" xfId="0" applyFont="1" applyFill="1"/>
    <xf numFmtId="0" fontId="9" fillId="11" borderId="0" xfId="0" applyFont="1" applyFill="1"/>
    <xf numFmtId="0" fontId="9" fillId="12" borderId="0" xfId="0" applyFont="1" applyFill="1"/>
    <xf numFmtId="0" fontId="15" fillId="2" borderId="16" xfId="0" applyFont="1" applyFill="1" applyBorder="1"/>
    <xf numFmtId="0" fontId="17" fillId="2" borderId="9" xfId="0" applyFont="1" applyFill="1" applyBorder="1"/>
    <xf numFmtId="0" fontId="20" fillId="2" borderId="19" xfId="0" applyFont="1" applyFill="1" applyBorder="1"/>
    <xf numFmtId="0" fontId="15" fillId="2" borderId="9" xfId="0" applyFont="1" applyFill="1" applyBorder="1" applyAlignment="1">
      <alignment vertical="center"/>
    </xf>
    <xf numFmtId="0" fontId="8" fillId="0" borderId="0" xfId="0" applyFont="1"/>
    <xf numFmtId="0" fontId="7" fillId="2" borderId="0" xfId="0" applyFont="1" applyFill="1"/>
    <xf numFmtId="0" fontId="5" fillId="0" borderId="0" xfId="0" applyFont="1"/>
    <xf numFmtId="0" fontId="12" fillId="2" borderId="13" xfId="0" applyFont="1" applyFill="1" applyBorder="1"/>
    <xf numFmtId="0" fontId="12" fillId="2" borderId="8" xfId="0" applyFont="1" applyFill="1" applyBorder="1"/>
    <xf numFmtId="0" fontId="12" fillId="2" borderId="1" xfId="0" applyFont="1" applyFill="1" applyBorder="1"/>
    <xf numFmtId="0" fontId="12" fillId="2" borderId="9" xfId="0" applyFont="1" applyFill="1" applyBorder="1"/>
    <xf numFmtId="0" fontId="12" fillId="2" borderId="14" xfId="0" applyFont="1" applyFill="1" applyBorder="1"/>
    <xf numFmtId="0" fontId="4" fillId="0" borderId="5" xfId="0" applyFont="1" applyBorder="1"/>
    <xf numFmtId="0" fontId="3" fillId="2" borderId="0" xfId="0" applyFont="1" applyFill="1"/>
    <xf numFmtId="0" fontId="3" fillId="2" borderId="6" xfId="0" applyFont="1" applyFill="1" applyBorder="1"/>
    <xf numFmtId="165" fontId="3" fillId="2" borderId="18" xfId="0" applyNumberFormat="1" applyFont="1" applyFill="1" applyBorder="1"/>
    <xf numFmtId="0" fontId="3" fillId="0" borderId="5" xfId="0" applyFont="1" applyBorder="1"/>
    <xf numFmtId="0" fontId="4" fillId="2" borderId="22" xfId="0" applyFont="1" applyFill="1" applyBorder="1"/>
    <xf numFmtId="0" fontId="2" fillId="0" borderId="0" xfId="0" applyFont="1"/>
    <xf numFmtId="0" fontId="2" fillId="2" borderId="18" xfId="0" applyFont="1" applyFill="1" applyBorder="1"/>
    <xf numFmtId="165" fontId="11" fillId="2" borderId="18" xfId="0" applyNumberFormat="1" applyFont="1" applyFill="1" applyBorder="1"/>
    <xf numFmtId="2" fontId="15" fillId="2" borderId="23" xfId="0" applyNumberFormat="1" applyFont="1" applyFill="1" applyBorder="1" applyAlignment="1">
      <alignment horizontal="right" vertical="center"/>
    </xf>
    <xf numFmtId="165" fontId="15" fillId="2" borderId="23" xfId="0" applyNumberFormat="1" applyFont="1" applyFill="1" applyBorder="1"/>
    <xf numFmtId="2" fontId="11" fillId="2" borderId="22" xfId="0" applyNumberFormat="1" applyFont="1" applyFill="1" applyBorder="1"/>
    <xf numFmtId="0" fontId="15" fillId="2" borderId="0" xfId="0" applyFont="1" applyFill="1" applyAlignment="1">
      <alignment vertical="center"/>
    </xf>
    <xf numFmtId="0" fontId="10" fillId="2" borderId="0" xfId="0" applyFont="1" applyFill="1" applyAlignment="1">
      <alignment horizontal="left" vertical="center"/>
    </xf>
    <xf numFmtId="1" fontId="10" fillId="2" borderId="0" xfId="0" applyNumberFormat="1" applyFont="1" applyFill="1" applyAlignment="1">
      <alignment vertical="center"/>
    </xf>
    <xf numFmtId="2" fontId="15" fillId="2" borderId="0" xfId="0" applyNumberFormat="1" applyFont="1" applyFill="1" applyAlignment="1">
      <alignment horizontal="left" vertical="center"/>
    </xf>
    <xf numFmtId="2" fontId="15" fillId="2" borderId="0" xfId="0" applyNumberFormat="1" applyFont="1" applyFill="1" applyAlignment="1">
      <alignment vertical="center"/>
    </xf>
    <xf numFmtId="0" fontId="15" fillId="2" borderId="0" xfId="0" applyFont="1" applyFill="1" applyAlignment="1">
      <alignment horizontal="left" vertical="center"/>
    </xf>
    <xf numFmtId="0" fontId="8" fillId="0" borderId="0" xfId="0" applyFont="1" applyAlignment="1">
      <alignment horizontal="left" indent="2"/>
    </xf>
    <xf numFmtId="165" fontId="10" fillId="2" borderId="0" xfId="0" applyNumberFormat="1" applyFont="1" applyFill="1" applyAlignment="1">
      <alignment vertical="center"/>
    </xf>
    <xf numFmtId="0" fontId="5" fillId="0" borderId="0" xfId="0" applyFont="1" applyAlignment="1">
      <alignment horizontal="left" indent="2"/>
    </xf>
    <xf numFmtId="165" fontId="6" fillId="2" borderId="0" xfId="0" applyNumberFormat="1" applyFont="1" applyFill="1" applyAlignment="1">
      <alignment vertical="center"/>
    </xf>
    <xf numFmtId="0" fontId="11" fillId="0" borderId="0" xfId="0" applyFont="1" applyAlignment="1">
      <alignment horizontal="left" indent="2"/>
    </xf>
    <xf numFmtId="0" fontId="3" fillId="0" borderId="0" xfId="0" applyFont="1" applyAlignment="1">
      <alignment horizontal="left" indent="2"/>
    </xf>
    <xf numFmtId="165" fontId="3" fillId="2" borderId="0" xfId="0" applyNumberFormat="1" applyFont="1" applyFill="1" applyAlignment="1">
      <alignment vertical="center"/>
    </xf>
    <xf numFmtId="0" fontId="2" fillId="0" borderId="0" xfId="0" applyFont="1" applyAlignment="1">
      <alignment horizontal="left" indent="2"/>
    </xf>
    <xf numFmtId="2" fontId="15" fillId="2" borderId="5" xfId="0" applyNumberFormat="1" applyFont="1" applyFill="1" applyBorder="1" applyAlignment="1">
      <alignment horizontal="right" vertical="center"/>
    </xf>
    <xf numFmtId="0" fontId="10" fillId="2" borderId="10" xfId="0" applyFont="1" applyFill="1" applyBorder="1"/>
    <xf numFmtId="0" fontId="10" fillId="2" borderId="11" xfId="0" applyFont="1" applyFill="1" applyBorder="1"/>
    <xf numFmtId="2" fontId="10" fillId="2" borderId="11" xfId="0" applyNumberFormat="1" applyFont="1" applyFill="1" applyBorder="1"/>
    <xf numFmtId="0" fontId="10" fillId="2" borderId="12" xfId="0" applyFont="1" applyFill="1" applyBorder="1"/>
    <xf numFmtId="0" fontId="7" fillId="2" borderId="5" xfId="0" applyFont="1" applyFill="1" applyBorder="1"/>
    <xf numFmtId="0" fontId="30" fillId="2" borderId="0" xfId="0" applyFont="1" applyFill="1"/>
    <xf numFmtId="0" fontId="27" fillId="2" borderId="0" xfId="0" applyFont="1" applyFill="1"/>
    <xf numFmtId="0" fontId="25" fillId="2" borderId="0" xfId="0" applyFont="1" applyFill="1"/>
    <xf numFmtId="0" fontId="0" fillId="2" borderId="0" xfId="0" applyFill="1"/>
    <xf numFmtId="0" fontId="0" fillId="2" borderId="5" xfId="0" applyFill="1" applyBorder="1"/>
    <xf numFmtId="0" fontId="2" fillId="2" borderId="0" xfId="0" applyFont="1" applyFill="1"/>
    <xf numFmtId="0" fontId="28" fillId="2" borderId="0" xfId="0" applyFont="1" applyFill="1"/>
    <xf numFmtId="0" fontId="29" fillId="2" borderId="0" xfId="0" applyFont="1" applyFill="1"/>
    <xf numFmtId="0" fontId="7" fillId="2" borderId="11" xfId="0" applyFont="1" applyFill="1" applyBorder="1"/>
    <xf numFmtId="0" fontId="7" fillId="2" borderId="12" xfId="0" applyFont="1" applyFill="1" applyBorder="1"/>
    <xf numFmtId="0" fontId="26" fillId="2" borderId="20" xfId="0" applyFont="1" applyFill="1" applyBorder="1"/>
    <xf numFmtId="0" fontId="26" fillId="2" borderId="21" xfId="0" applyFont="1" applyFill="1" applyBorder="1"/>
    <xf numFmtId="0" fontId="23" fillId="2" borderId="6" xfId="0" applyFont="1" applyFill="1" applyBorder="1"/>
    <xf numFmtId="0" fontId="23" fillId="2" borderId="0" xfId="0" applyFont="1" applyFill="1"/>
    <xf numFmtId="0" fontId="23" fillId="2" borderId="10" xfId="0" applyFont="1" applyFill="1" applyBorder="1"/>
    <xf numFmtId="0" fontId="29" fillId="2" borderId="11" xfId="0" applyFont="1" applyFill="1" applyBorder="1"/>
    <xf numFmtId="0" fontId="15" fillId="2" borderId="21" xfId="0" applyFont="1" applyFill="1" applyBorder="1"/>
    <xf numFmtId="0" fontId="15" fillId="2" borderId="24" xfId="0" applyFont="1" applyFill="1" applyBorder="1"/>
    <xf numFmtId="0" fontId="21" fillId="2" borderId="15" xfId="0" applyFont="1" applyFill="1" applyBorder="1"/>
    <xf numFmtId="0" fontId="22" fillId="2" borderId="0" xfId="0" applyFont="1" applyFill="1"/>
    <xf numFmtId="49" fontId="22" fillId="2" borderId="0" xfId="0" applyNumberFormat="1" applyFont="1" applyFill="1"/>
    <xf numFmtId="0" fontId="21" fillId="2" borderId="5" xfId="0" applyFont="1" applyFill="1" applyBorder="1"/>
    <xf numFmtId="0" fontId="22" fillId="2" borderId="19" xfId="0" applyFont="1" applyFill="1" applyBorder="1"/>
    <xf numFmtId="0" fontId="5" fillId="2" borderId="0" xfId="0" applyFont="1" applyFill="1" applyAlignment="1">
      <alignment horizontal="left" indent="2"/>
    </xf>
    <xf numFmtId="0" fontId="22" fillId="2" borderId="5" xfId="0" applyFont="1" applyFill="1" applyBorder="1"/>
    <xf numFmtId="166" fontId="2" fillId="2" borderId="0" xfId="0" applyNumberFormat="1" applyFont="1" applyFill="1"/>
    <xf numFmtId="49" fontId="2" fillId="2" borderId="0" xfId="0" applyNumberFormat="1" applyFont="1" applyFill="1"/>
    <xf numFmtId="0" fontId="13" fillId="2" borderId="5" xfId="183" applyFill="1" applyBorder="1" applyAlignment="1" applyProtection="1"/>
    <xf numFmtId="164" fontId="21" fillId="2" borderId="0" xfId="0" applyNumberFormat="1" applyFont="1" applyFill="1" applyAlignment="1">
      <alignment vertical="center"/>
    </xf>
    <xf numFmtId="0" fontId="21" fillId="2" borderId="0" xfId="0" applyFont="1" applyFill="1" applyAlignment="1">
      <alignment horizontal="left" vertical="center" indent="2"/>
    </xf>
    <xf numFmtId="0" fontId="25" fillId="0" borderId="0" xfId="0" applyFont="1"/>
    <xf numFmtId="0" fontId="21" fillId="4" borderId="5" xfId="0" applyFont="1" applyFill="1" applyBorder="1" applyAlignment="1">
      <alignment vertical="top"/>
    </xf>
    <xf numFmtId="0" fontId="21" fillId="2" borderId="10" xfId="0" applyFont="1" applyFill="1" applyBorder="1"/>
    <xf numFmtId="164" fontId="21" fillId="2" borderId="11" xfId="0" applyNumberFormat="1" applyFont="1" applyFill="1" applyBorder="1" applyAlignment="1">
      <alignment vertical="center"/>
    </xf>
    <xf numFmtId="164" fontId="21" fillId="2" borderId="11" xfId="0" applyNumberFormat="1" applyFont="1" applyFill="1" applyBorder="1" applyAlignment="1">
      <alignment horizontal="left" vertical="center" indent="2"/>
    </xf>
    <xf numFmtId="0" fontId="25" fillId="0" borderId="11" xfId="0" applyFont="1" applyBorder="1"/>
    <xf numFmtId="0" fontId="5" fillId="2" borderId="11" xfId="0" applyFont="1" applyFill="1" applyBorder="1"/>
    <xf numFmtId="0" fontId="21" fillId="2" borderId="11" xfId="0" applyFont="1" applyFill="1" applyBorder="1" applyAlignment="1">
      <alignment vertical="top" wrapText="1"/>
    </xf>
    <xf numFmtId="49" fontId="21" fillId="2" borderId="11" xfId="0" applyNumberFormat="1" applyFont="1" applyFill="1" applyBorder="1" applyAlignment="1">
      <alignment vertical="top" wrapText="1"/>
    </xf>
    <xf numFmtId="49" fontId="21" fillId="2" borderId="11" xfId="0" applyNumberFormat="1" applyFont="1" applyFill="1" applyBorder="1"/>
    <xf numFmtId="0" fontId="13" fillId="0" borderId="12" xfId="183" applyBorder="1" applyAlignment="1" applyProtection="1"/>
    <xf numFmtId="0" fontId="23" fillId="4" borderId="17" xfId="0" applyFont="1" applyFill="1" applyBorder="1" applyAlignment="1">
      <alignment horizontal="left" vertical="top" wrapText="1"/>
    </xf>
    <xf numFmtId="0" fontId="23" fillId="4" borderId="2" xfId="0" applyFont="1" applyFill="1" applyBorder="1" applyAlignment="1">
      <alignment horizontal="left" vertical="top" wrapText="1"/>
    </xf>
    <xf numFmtId="0" fontId="23" fillId="4" borderId="13" xfId="0" applyFont="1" applyFill="1" applyBorder="1" applyAlignment="1">
      <alignment horizontal="left" vertical="top" wrapText="1"/>
    </xf>
    <xf numFmtId="0" fontId="23" fillId="4" borderId="7" xfId="0" applyFont="1" applyFill="1" applyBorder="1" applyAlignment="1">
      <alignment horizontal="left" vertical="top" wrapText="1"/>
    </xf>
    <xf numFmtId="0" fontId="23" fillId="4" borderId="0" xfId="0" applyFont="1" applyFill="1" applyAlignment="1">
      <alignment horizontal="left" vertical="top" wrapText="1"/>
    </xf>
    <xf numFmtId="0" fontId="23" fillId="4" borderId="8"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4" borderId="9" xfId="0" applyFont="1" applyFill="1" applyBorder="1" applyAlignment="1">
      <alignment horizontal="left" vertical="top" wrapText="1"/>
    </xf>
    <xf numFmtId="0" fontId="23" fillId="4" borderId="14" xfId="0" applyFont="1" applyFill="1" applyBorder="1" applyAlignment="1">
      <alignment horizontal="left" vertical="top" wrapText="1"/>
    </xf>
    <xf numFmtId="0" fontId="31" fillId="2" borderId="0" xfId="0" applyFont="1" applyFill="1"/>
    <xf numFmtId="0" fontId="1" fillId="2" borderId="0" xfId="0" applyFont="1" applyFill="1"/>
    <xf numFmtId="166" fontId="1" fillId="2" borderId="0" xfId="0" applyNumberFormat="1" applyFont="1" applyFill="1"/>
    <xf numFmtId="0" fontId="13" fillId="4" borderId="0" xfId="183" applyFill="1" applyAlignment="1" applyProtection="1">
      <alignment vertical="top"/>
    </xf>
    <xf numFmtId="2" fontId="15" fillId="2" borderId="0" xfId="0" applyNumberFormat="1" applyFont="1" applyFill="1" applyBorder="1" applyAlignment="1">
      <alignment horizontal="right" vertical="center"/>
    </xf>
    <xf numFmtId="165" fontId="15" fillId="2" borderId="0" xfId="0" applyNumberFormat="1" applyFont="1" applyFill="1" applyBorder="1"/>
  </cellXfs>
  <cellStyles count="34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180" builtinId="9" hidden="1"/>
    <cellStyle name="Followed Hyperlink" xfId="182" builtinId="9" hidden="1"/>
    <cellStyle name="Followed Hyperlink" xfId="179" builtinId="9" hidden="1"/>
    <cellStyle name="Followed Hyperlink" xfId="181" builtinId="9" hidden="1"/>
    <cellStyle name="Followed Hyperlink" xfId="178" builtinId="9" hidden="1"/>
    <cellStyle name="Followed Hyperlink" xfId="177"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83"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0</xdr:colOff>
      <xdr:row>4</xdr:row>
      <xdr:rowOff>0</xdr:rowOff>
    </xdr:from>
    <xdr:to>
      <xdr:col>26</xdr:col>
      <xdr:colOff>294666</xdr:colOff>
      <xdr:row>39</xdr:row>
      <xdr:rowOff>190500</xdr:rowOff>
    </xdr:to>
    <xdr:pic>
      <xdr:nvPicPr>
        <xdr:cNvPr id="3" name="Picture 2">
          <a:extLst>
            <a:ext uri="{FF2B5EF4-FFF2-40B4-BE49-F238E27FC236}">
              <a16:creationId xmlns:a16="http://schemas.microsoft.com/office/drawing/2014/main" id="{C98868E7-AC68-5449-82D4-ABBFB0126484}"/>
            </a:ext>
          </a:extLst>
        </xdr:cNvPr>
        <xdr:cNvPicPr>
          <a:picLocks noChangeAspect="1"/>
        </xdr:cNvPicPr>
      </xdr:nvPicPr>
      <xdr:blipFill>
        <a:blip xmlns:r="http://schemas.openxmlformats.org/officeDocument/2006/relationships" r:embed="rId1"/>
        <a:stretch>
          <a:fillRect/>
        </a:stretch>
      </xdr:blipFill>
      <xdr:spPr>
        <a:xfrm>
          <a:off x="7653130" y="817217"/>
          <a:ext cx="6655710" cy="7147892"/>
        </a:xfrm>
        <a:prstGeom prst="rect">
          <a:avLst/>
        </a:prstGeom>
      </xdr:spPr>
    </xdr:pic>
    <xdr:clientData/>
  </xdr:twoCellAnchor>
  <xdr:twoCellAnchor editAs="oneCell">
    <xdr:from>
      <xdr:col>14</xdr:col>
      <xdr:colOff>0</xdr:colOff>
      <xdr:row>43</xdr:row>
      <xdr:rowOff>0</xdr:rowOff>
    </xdr:from>
    <xdr:to>
      <xdr:col>28</xdr:col>
      <xdr:colOff>350401</xdr:colOff>
      <xdr:row>73</xdr:row>
      <xdr:rowOff>63883</xdr:rowOff>
    </xdr:to>
    <xdr:pic>
      <xdr:nvPicPr>
        <xdr:cNvPr id="2" name="Picture 1">
          <a:extLst>
            <a:ext uri="{FF2B5EF4-FFF2-40B4-BE49-F238E27FC236}">
              <a16:creationId xmlns:a16="http://schemas.microsoft.com/office/drawing/2014/main" id="{570FECBF-1CD7-8245-8083-39D57BF90241}"/>
            </a:ext>
          </a:extLst>
        </xdr:cNvPr>
        <xdr:cNvPicPr>
          <a:picLocks noChangeAspect="1"/>
        </xdr:cNvPicPr>
      </xdr:nvPicPr>
      <xdr:blipFill>
        <a:blip xmlns:r="http://schemas.openxmlformats.org/officeDocument/2006/relationships" r:embed="rId2"/>
        <a:stretch>
          <a:fillRect/>
        </a:stretch>
      </xdr:blipFill>
      <xdr:spPr>
        <a:xfrm>
          <a:off x="12036136" y="8697576"/>
          <a:ext cx="9105704" cy="6134868"/>
        </a:xfrm>
        <a:prstGeom prst="rect">
          <a:avLst/>
        </a:prstGeom>
      </xdr:spPr>
    </xdr:pic>
    <xdr:clientData/>
  </xdr:twoCellAnchor>
  <xdr:twoCellAnchor editAs="oneCell">
    <xdr:from>
      <xdr:col>14</xdr:col>
      <xdr:colOff>0</xdr:colOff>
      <xdr:row>74</xdr:row>
      <xdr:rowOff>0</xdr:rowOff>
    </xdr:from>
    <xdr:to>
      <xdr:col>26</xdr:col>
      <xdr:colOff>267854</xdr:colOff>
      <xdr:row>83</xdr:row>
      <xdr:rowOff>39573</xdr:rowOff>
    </xdr:to>
    <xdr:pic>
      <xdr:nvPicPr>
        <xdr:cNvPr id="4" name="Picture 3">
          <a:extLst>
            <a:ext uri="{FF2B5EF4-FFF2-40B4-BE49-F238E27FC236}">
              <a16:creationId xmlns:a16="http://schemas.microsoft.com/office/drawing/2014/main" id="{AEC40038-B68F-1744-BFB0-15B062D4EDD1}"/>
            </a:ext>
          </a:extLst>
        </xdr:cNvPr>
        <xdr:cNvPicPr>
          <a:picLocks noChangeAspect="1"/>
        </xdr:cNvPicPr>
      </xdr:nvPicPr>
      <xdr:blipFill>
        <a:blip xmlns:r="http://schemas.openxmlformats.org/officeDocument/2006/relationships" r:embed="rId3"/>
        <a:stretch>
          <a:fillRect/>
        </a:stretch>
      </xdr:blipFill>
      <xdr:spPr>
        <a:xfrm>
          <a:off x="12036136" y="14970606"/>
          <a:ext cx="7772400" cy="185798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lexander/Git/etdataset/nodes_source_analyses/agriculture/6_residences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task39.ieabioenergy.com/wp-content/uploads/sites/37/2020/02/Advanced-Biofuels-Potential-for-Cost-Reduction-Final-Draft.pdf" TargetMode="External"/><Relationship Id="rId1" Type="http://schemas.openxmlformats.org/officeDocument/2006/relationships/hyperlink" Target="https://repository.tno.nl/SingleDoc?find=UID%202f9779a2-dd73-4f7f-9494-a44ddb7550d6"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24"/>
  <sheetViews>
    <sheetView workbookViewId="0">
      <selection activeCell="E25" sqref="E25"/>
    </sheetView>
  </sheetViews>
  <sheetFormatPr baseColWidth="10" defaultColWidth="10.7109375" defaultRowHeight="16"/>
  <cols>
    <col min="1" max="1" width="3.42578125" style="26" customWidth="1"/>
    <col min="2" max="2" width="9.140625" style="19" customWidth="1"/>
    <col min="3" max="3" width="44.140625" style="19" customWidth="1"/>
    <col min="4" max="4" width="2.28515625" style="19" customWidth="1"/>
    <col min="5" max="16384" width="10.7109375" style="19"/>
  </cols>
  <sheetData>
    <row r="1" spans="1:4" s="24" customFormat="1">
      <c r="A1" s="22"/>
      <c r="B1" s="23"/>
      <c r="C1" s="23"/>
    </row>
    <row r="2" spans="1:4" ht="21">
      <c r="A2" s="6"/>
      <c r="B2" s="25" t="s">
        <v>6</v>
      </c>
      <c r="C2" s="25"/>
    </row>
    <row r="3" spans="1:4">
      <c r="A3" s="6"/>
      <c r="B3" s="13"/>
      <c r="C3" s="13"/>
    </row>
    <row r="4" spans="1:4">
      <c r="A4" s="6"/>
      <c r="B4" s="7" t="s">
        <v>44</v>
      </c>
      <c r="C4" s="8" t="s">
        <v>46</v>
      </c>
    </row>
    <row r="5" spans="1:4">
      <c r="A5" s="6"/>
      <c r="B5" s="9" t="s">
        <v>13</v>
      </c>
      <c r="C5" s="10" t="s">
        <v>66</v>
      </c>
    </row>
    <row r="6" spans="1:4">
      <c r="A6" s="6"/>
      <c r="B6" s="11" t="s">
        <v>8</v>
      </c>
      <c r="C6" s="12" t="s">
        <v>9</v>
      </c>
    </row>
    <row r="7" spans="1:4">
      <c r="A7" s="6"/>
      <c r="B7" s="13"/>
      <c r="C7" s="13"/>
    </row>
    <row r="8" spans="1:4">
      <c r="A8" s="6"/>
      <c r="B8" s="13"/>
      <c r="C8" s="13"/>
    </row>
    <row r="9" spans="1:4">
      <c r="A9" s="6"/>
      <c r="B9" s="55" t="s">
        <v>14</v>
      </c>
      <c r="C9" s="56"/>
      <c r="D9" s="77"/>
    </row>
    <row r="10" spans="1:4">
      <c r="A10" s="6"/>
      <c r="B10" s="57"/>
      <c r="C10" s="58"/>
      <c r="D10" s="78"/>
    </row>
    <row r="11" spans="1:4">
      <c r="A11" s="6"/>
      <c r="B11" s="57" t="s">
        <v>15</v>
      </c>
      <c r="C11" s="59" t="s">
        <v>16</v>
      </c>
      <c r="D11" s="78"/>
    </row>
    <row r="12" spans="1:4" ht="17" thickBot="1">
      <c r="A12" s="6"/>
      <c r="B12" s="57"/>
      <c r="C12" s="16" t="s">
        <v>17</v>
      </c>
      <c r="D12" s="78"/>
    </row>
    <row r="13" spans="1:4" ht="17" thickBot="1">
      <c r="A13" s="6"/>
      <c r="B13" s="57"/>
      <c r="C13" s="60" t="s">
        <v>18</v>
      </c>
      <c r="D13" s="78"/>
    </row>
    <row r="14" spans="1:4">
      <c r="A14" s="6"/>
      <c r="B14" s="57"/>
      <c r="C14" s="58" t="s">
        <v>19</v>
      </c>
      <c r="D14" s="78"/>
    </row>
    <row r="15" spans="1:4">
      <c r="A15" s="6"/>
      <c r="B15" s="57"/>
      <c r="C15" s="58"/>
      <c r="D15" s="78"/>
    </row>
    <row r="16" spans="1:4">
      <c r="A16" s="6"/>
      <c r="B16" s="57" t="s">
        <v>20</v>
      </c>
      <c r="C16" s="61" t="s">
        <v>21</v>
      </c>
      <c r="D16" s="78"/>
    </row>
    <row r="17" spans="1:4">
      <c r="A17" s="6"/>
      <c r="B17" s="57"/>
      <c r="C17" s="62" t="s">
        <v>22</v>
      </c>
      <c r="D17" s="78"/>
    </row>
    <row r="18" spans="1:4">
      <c r="A18" s="6"/>
      <c r="B18" s="57"/>
      <c r="C18" s="63" t="s">
        <v>23</v>
      </c>
      <c r="D18" s="78"/>
    </row>
    <row r="19" spans="1:4">
      <c r="A19" s="6"/>
      <c r="B19" s="57"/>
      <c r="C19" s="64" t="s">
        <v>24</v>
      </c>
      <c r="D19" s="78"/>
    </row>
    <row r="20" spans="1:4">
      <c r="A20" s="6"/>
      <c r="B20" s="65"/>
      <c r="C20" s="66" t="s">
        <v>25</v>
      </c>
      <c r="D20" s="78"/>
    </row>
    <row r="21" spans="1:4">
      <c r="A21" s="6"/>
      <c r="B21" s="65"/>
      <c r="C21" s="67" t="s">
        <v>26</v>
      </c>
      <c r="D21" s="78"/>
    </row>
    <row r="22" spans="1:4">
      <c r="A22" s="6"/>
      <c r="B22" s="65"/>
      <c r="C22" s="68" t="s">
        <v>27</v>
      </c>
      <c r="D22" s="78"/>
    </row>
    <row r="23" spans="1:4">
      <c r="B23" s="65"/>
      <c r="C23" s="69" t="s">
        <v>28</v>
      </c>
      <c r="D23" s="78"/>
    </row>
    <row r="24" spans="1:4">
      <c r="B24" s="79"/>
      <c r="C24" s="80"/>
      <c r="D24" s="81"/>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B2:J12"/>
  <sheetViews>
    <sheetView workbookViewId="0">
      <selection activeCell="C34" sqref="C34"/>
    </sheetView>
  </sheetViews>
  <sheetFormatPr baseColWidth="10" defaultColWidth="10.7109375" defaultRowHeight="16"/>
  <cols>
    <col min="1" max="1" width="3.28515625" style="29" customWidth="1"/>
    <col min="2" max="2" width="3.7109375" style="29" customWidth="1"/>
    <col min="3" max="3" width="46" style="29" customWidth="1"/>
    <col min="4" max="4" width="12.7109375" style="29" customWidth="1"/>
    <col min="5" max="5" width="17.42578125" style="29" customWidth="1"/>
    <col min="6" max="6" width="4.42578125" style="29" customWidth="1"/>
    <col min="7" max="7" width="45" style="29" customWidth="1"/>
    <col min="8" max="8" width="5.140625" style="29" customWidth="1"/>
    <col min="9" max="9" width="51.42578125" style="29" customWidth="1"/>
    <col min="10" max="10" width="5.42578125" style="29" customWidth="1"/>
    <col min="11" max="16384" width="10.7109375" style="29"/>
  </cols>
  <sheetData>
    <row r="2" spans="2:10" ht="15" customHeight="1">
      <c r="B2" s="155" t="s">
        <v>49</v>
      </c>
      <c r="C2" s="156"/>
      <c r="D2" s="156"/>
      <c r="E2" s="156"/>
      <c r="F2" s="156"/>
      <c r="G2" s="157"/>
    </row>
    <row r="3" spans="2:10">
      <c r="B3" s="158"/>
      <c r="C3" s="159"/>
      <c r="D3" s="159"/>
      <c r="E3" s="159"/>
      <c r="F3" s="159"/>
      <c r="G3" s="160"/>
    </row>
    <row r="4" spans="2:10" ht="36" customHeight="1">
      <c r="B4" s="161"/>
      <c r="C4" s="162"/>
      <c r="D4" s="162"/>
      <c r="E4" s="162"/>
      <c r="F4" s="162"/>
      <c r="G4" s="163"/>
    </row>
    <row r="5" spans="2:10" ht="17" thickBot="1"/>
    <row r="6" spans="2:10">
      <c r="B6" s="31"/>
      <c r="C6" s="18"/>
      <c r="D6" s="18"/>
      <c r="E6" s="18"/>
      <c r="F6" s="18"/>
      <c r="G6" s="18"/>
      <c r="H6" s="18"/>
      <c r="I6" s="18"/>
      <c r="J6" s="32"/>
    </row>
    <row r="7" spans="2:10" s="36" customFormat="1" ht="19">
      <c r="B7" s="70"/>
      <c r="C7" s="17" t="s">
        <v>12</v>
      </c>
      <c r="D7" s="71" t="s">
        <v>4</v>
      </c>
      <c r="E7" s="17" t="s">
        <v>2</v>
      </c>
      <c r="F7" s="17"/>
      <c r="G7" s="17" t="s">
        <v>3</v>
      </c>
      <c r="H7" s="17"/>
      <c r="I7" s="17" t="s">
        <v>0</v>
      </c>
      <c r="J7" s="72"/>
    </row>
    <row r="8" spans="2:10" s="36" customFormat="1" ht="19">
      <c r="B8" s="21"/>
      <c r="C8" s="16"/>
      <c r="D8" s="28"/>
      <c r="E8" s="16"/>
      <c r="F8" s="16"/>
      <c r="G8" s="16"/>
      <c r="H8" s="16"/>
      <c r="I8" s="16"/>
      <c r="J8" s="37"/>
    </row>
    <row r="9" spans="2:10" s="36" customFormat="1" ht="20" thickBot="1">
      <c r="B9" s="21"/>
      <c r="C9" s="16" t="s">
        <v>45</v>
      </c>
      <c r="D9" s="28"/>
      <c r="E9" s="16"/>
      <c r="F9" s="16"/>
      <c r="G9" s="16"/>
      <c r="H9" s="16"/>
      <c r="I9" s="16"/>
      <c r="J9" s="37"/>
    </row>
    <row r="10" spans="2:10" s="36" customFormat="1" ht="20" thickBot="1">
      <c r="B10" s="21"/>
      <c r="C10" s="74" t="s">
        <v>35</v>
      </c>
      <c r="D10" s="20" t="s">
        <v>1</v>
      </c>
      <c r="E10" s="93">
        <f>'Research data'!G6</f>
        <v>1</v>
      </c>
      <c r="F10" s="30"/>
      <c r="G10" s="76" t="s">
        <v>38</v>
      </c>
      <c r="H10" s="27"/>
      <c r="I10" s="87" t="s">
        <v>39</v>
      </c>
      <c r="J10" s="37"/>
    </row>
    <row r="11" spans="2:10" s="36" customFormat="1" ht="20" thickBot="1">
      <c r="B11" s="21"/>
      <c r="C11" s="88" t="s">
        <v>50</v>
      </c>
      <c r="D11" s="20" t="s">
        <v>51</v>
      </c>
      <c r="E11" s="90">
        <f>'Research data'!G8</f>
        <v>11.6</v>
      </c>
      <c r="F11" s="30"/>
      <c r="G11" s="76"/>
      <c r="H11" s="27"/>
      <c r="I11" s="89" t="s">
        <v>52</v>
      </c>
      <c r="J11" s="37"/>
    </row>
    <row r="12" spans="2:10" ht="20" customHeight="1" thickBot="1">
      <c r="B12" s="33"/>
      <c r="C12" s="34"/>
      <c r="D12" s="34"/>
      <c r="E12" s="34"/>
      <c r="F12" s="34"/>
      <c r="G12" s="34"/>
      <c r="H12" s="34"/>
      <c r="I12" s="34"/>
      <c r="J12" s="35"/>
    </row>
  </sheetData>
  <mergeCells count="1">
    <mergeCell ref="B2:G4"/>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B1:U11"/>
  <sheetViews>
    <sheetView tabSelected="1" zoomScale="150" zoomScaleNormal="189" workbookViewId="0">
      <selection activeCell="L7" sqref="L7"/>
    </sheetView>
  </sheetViews>
  <sheetFormatPr baseColWidth="10" defaultColWidth="10.7109375" defaultRowHeight="16"/>
  <cols>
    <col min="1" max="2" width="3.42578125" style="48" customWidth="1"/>
    <col min="3" max="3" width="35.85546875" style="48" customWidth="1"/>
    <col min="4" max="4" width="16.42578125" style="48" hidden="1" customWidth="1"/>
    <col min="5" max="5" width="13.85546875" style="48" hidden="1" customWidth="1"/>
    <col min="6" max="6" width="12.42578125" style="48" customWidth="1"/>
    <col min="7" max="7" width="13.85546875" style="48" customWidth="1"/>
    <col min="8" max="8" width="4.7109375" style="48" customWidth="1"/>
    <col min="9" max="10" width="9.85546875" style="49" customWidth="1"/>
    <col min="11" max="11" width="2.85546875" style="49" customWidth="1"/>
    <col min="12" max="12" width="9.85546875" style="49" customWidth="1"/>
    <col min="13" max="13" width="2.7109375" style="49" customWidth="1"/>
    <col min="14" max="14" width="60" style="48" customWidth="1"/>
    <col min="15" max="16384" width="10.7109375" style="48"/>
  </cols>
  <sheetData>
    <row r="1" spans="2:21" ht="17" thickBot="1"/>
    <row r="2" spans="2:21">
      <c r="B2" s="50"/>
      <c r="C2" s="51"/>
      <c r="D2" s="51"/>
      <c r="E2" s="51"/>
      <c r="F2" s="51"/>
      <c r="G2" s="51"/>
      <c r="H2" s="51"/>
      <c r="I2" s="52"/>
      <c r="J2" s="52"/>
      <c r="K2" s="52"/>
      <c r="L2" s="52"/>
      <c r="M2" s="52"/>
      <c r="N2" s="53"/>
    </row>
    <row r="3" spans="2:21" s="16" customFormat="1">
      <c r="B3" s="21"/>
      <c r="C3" s="73" t="s">
        <v>29</v>
      </c>
      <c r="D3" s="94"/>
      <c r="E3" s="94"/>
      <c r="F3" s="73" t="s">
        <v>4</v>
      </c>
      <c r="G3" s="73" t="s">
        <v>25</v>
      </c>
      <c r="H3" s="73"/>
      <c r="I3" s="47" t="s">
        <v>47</v>
      </c>
      <c r="J3" s="47" t="s">
        <v>52</v>
      </c>
      <c r="K3" s="47"/>
      <c r="L3" s="47" t="s">
        <v>73</v>
      </c>
      <c r="M3" s="47"/>
      <c r="N3" s="1" t="s">
        <v>30</v>
      </c>
    </row>
    <row r="4" spans="2:21">
      <c r="B4" s="54"/>
      <c r="C4" s="95"/>
      <c r="D4" s="95"/>
      <c r="E4" s="95"/>
      <c r="F4" s="95"/>
      <c r="G4" s="96"/>
      <c r="H4" s="96"/>
      <c r="I4" s="97"/>
      <c r="J4" s="97"/>
      <c r="K4" s="97"/>
      <c r="L4" s="97"/>
      <c r="M4" s="98"/>
      <c r="N4" s="2"/>
    </row>
    <row r="5" spans="2:21" ht="17" thickBot="1">
      <c r="B5" s="54"/>
      <c r="C5" s="16" t="s">
        <v>42</v>
      </c>
      <c r="D5" s="99"/>
      <c r="E5" s="99"/>
      <c r="F5" s="99"/>
      <c r="G5" s="14"/>
      <c r="H5" s="14"/>
      <c r="I5" s="14"/>
      <c r="J5" s="14"/>
      <c r="K5" s="14"/>
      <c r="L5" s="14"/>
      <c r="M5" s="14"/>
      <c r="N5" s="3"/>
    </row>
    <row r="6" spans="2:21" ht="17" thickBot="1">
      <c r="B6" s="54"/>
      <c r="C6" s="100" t="s">
        <v>35</v>
      </c>
      <c r="D6" s="100" t="s">
        <v>35</v>
      </c>
      <c r="E6" s="100" t="s">
        <v>35</v>
      </c>
      <c r="F6" s="20" t="s">
        <v>1</v>
      </c>
      <c r="G6" s="90">
        <f>I6</f>
        <v>1</v>
      </c>
      <c r="H6" s="101"/>
      <c r="I6" s="15">
        <v>1</v>
      </c>
      <c r="J6" s="15"/>
      <c r="K6" s="15"/>
      <c r="L6" s="15"/>
      <c r="M6" s="14"/>
      <c r="N6" s="82"/>
    </row>
    <row r="7" spans="2:21" s="5" customFormat="1" ht="17" thickBot="1">
      <c r="B7" s="4"/>
      <c r="C7" s="102" t="s">
        <v>36</v>
      </c>
      <c r="D7" s="102" t="s">
        <v>36</v>
      </c>
      <c r="E7" s="102" t="s">
        <v>36</v>
      </c>
      <c r="F7" s="20" t="s">
        <v>41</v>
      </c>
      <c r="G7" s="90">
        <f>L7</f>
        <v>0</v>
      </c>
      <c r="H7" s="103"/>
      <c r="J7" s="15"/>
      <c r="K7" s="15"/>
      <c r="L7" s="15">
        <v>0</v>
      </c>
      <c r="M7" s="14"/>
      <c r="N7" s="82"/>
    </row>
    <row r="8" spans="2:21" s="5" customFormat="1" ht="17" thickBot="1">
      <c r="B8" s="4"/>
      <c r="C8" s="107" t="s">
        <v>50</v>
      </c>
      <c r="D8" s="102"/>
      <c r="E8" s="102"/>
      <c r="F8" s="20" t="s">
        <v>51</v>
      </c>
      <c r="G8" s="90">
        <f>ROUND(J8,3)</f>
        <v>11.6</v>
      </c>
      <c r="H8" s="103"/>
      <c r="I8" s="15"/>
      <c r="J8" s="91">
        <f>Notes!E11</f>
        <v>11.6</v>
      </c>
      <c r="K8" s="168"/>
      <c r="L8" s="168"/>
      <c r="M8" s="14"/>
      <c r="N8" s="82"/>
    </row>
    <row r="9" spans="2:21" s="5" customFormat="1" ht="17" thickBot="1">
      <c r="B9" s="4"/>
      <c r="C9" s="104" t="s">
        <v>37</v>
      </c>
      <c r="D9" s="104" t="s">
        <v>37</v>
      </c>
      <c r="E9" s="104" t="s">
        <v>37</v>
      </c>
      <c r="F9" s="20" t="s">
        <v>40</v>
      </c>
      <c r="G9" s="90">
        <f>I9</f>
        <v>0</v>
      </c>
      <c r="H9" s="103"/>
      <c r="I9" s="15">
        <v>0</v>
      </c>
      <c r="J9" s="15"/>
      <c r="K9" s="15"/>
      <c r="L9" s="15"/>
      <c r="M9" s="14"/>
      <c r="N9" s="82"/>
    </row>
    <row r="10" spans="2:21" s="83" customFormat="1" ht="17" thickBot="1">
      <c r="B10" s="84"/>
      <c r="C10" s="105" t="s">
        <v>48</v>
      </c>
      <c r="D10" s="105"/>
      <c r="E10" s="105"/>
      <c r="F10" s="20" t="s">
        <v>40</v>
      </c>
      <c r="G10" s="85">
        <f>ROUND(J10,3)</f>
        <v>0.1</v>
      </c>
      <c r="H10" s="106"/>
      <c r="I10" s="15"/>
      <c r="J10" s="92">
        <f>Notes!E10</f>
        <v>0.1</v>
      </c>
      <c r="K10" s="169"/>
      <c r="L10" s="169"/>
      <c r="M10" s="15"/>
      <c r="N10" s="108"/>
      <c r="O10" s="15"/>
      <c r="P10" s="15"/>
      <c r="Q10" s="15"/>
      <c r="R10" s="14"/>
      <c r="T10" s="14"/>
      <c r="U10" s="86"/>
    </row>
    <row r="11" spans="2:21" ht="17" thickBot="1">
      <c r="B11" s="109"/>
      <c r="C11" s="110"/>
      <c r="D11" s="110"/>
      <c r="E11" s="110"/>
      <c r="F11" s="110"/>
      <c r="G11" s="110"/>
      <c r="H11" s="110"/>
      <c r="I11" s="111"/>
      <c r="J11" s="111"/>
      <c r="K11" s="111"/>
      <c r="L11" s="111"/>
      <c r="M11" s="111"/>
      <c r="N11" s="112"/>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L10"/>
  <sheetViews>
    <sheetView workbookViewId="0">
      <selection activeCell="C9" sqref="C9"/>
    </sheetView>
  </sheetViews>
  <sheetFormatPr baseColWidth="10" defaultColWidth="33.140625" defaultRowHeight="16"/>
  <cols>
    <col min="1" max="1" width="3.28515625" style="38" customWidth="1"/>
    <col min="2" max="2" width="3.42578125" style="38" customWidth="1"/>
    <col min="3" max="3" width="28.7109375" style="38" customWidth="1"/>
    <col min="4" max="4" width="3.140625" style="38" customWidth="1"/>
    <col min="5" max="5" width="16.140625" style="38" customWidth="1"/>
    <col min="6" max="6" width="5" style="38" customWidth="1"/>
    <col min="7" max="7" width="10.28515625" style="38" customWidth="1"/>
    <col min="8" max="10" width="12.140625" style="38" customWidth="1"/>
    <col min="11" max="11" width="33.140625" style="39" customWidth="1"/>
    <col min="12" max="12" width="87.28515625" style="38" customWidth="1"/>
    <col min="13" max="16384" width="33.140625" style="38"/>
  </cols>
  <sheetData>
    <row r="1" spans="2:12" ht="17" thickBot="1"/>
    <row r="2" spans="2:12">
      <c r="B2" s="40"/>
      <c r="C2" s="41"/>
      <c r="D2" s="41"/>
      <c r="E2" s="41"/>
      <c r="F2" s="41"/>
      <c r="G2" s="41"/>
      <c r="H2" s="41"/>
      <c r="I2" s="41"/>
      <c r="J2" s="41"/>
      <c r="K2" s="42"/>
      <c r="L2" s="132"/>
    </row>
    <row r="3" spans="2:12">
      <c r="B3" s="43"/>
      <c r="C3" s="133" t="s">
        <v>10</v>
      </c>
      <c r="D3" s="133"/>
      <c r="E3" s="133"/>
      <c r="F3" s="133"/>
      <c r="G3" s="133"/>
      <c r="H3" s="133"/>
      <c r="I3" s="133"/>
      <c r="J3" s="133"/>
      <c r="K3" s="134"/>
      <c r="L3" s="135"/>
    </row>
    <row r="4" spans="2:12">
      <c r="B4" s="43"/>
      <c r="L4" s="135"/>
    </row>
    <row r="5" spans="2:12">
      <c r="B5" s="44"/>
      <c r="C5" s="45" t="s">
        <v>12</v>
      </c>
      <c r="D5" s="45"/>
      <c r="E5" s="45" t="s">
        <v>0</v>
      </c>
      <c r="F5" s="45"/>
      <c r="G5" s="45" t="s">
        <v>7</v>
      </c>
      <c r="H5" s="45" t="s">
        <v>11</v>
      </c>
      <c r="I5" s="45" t="s">
        <v>32</v>
      </c>
      <c r="J5" s="45" t="s">
        <v>34</v>
      </c>
      <c r="K5" s="46" t="s">
        <v>33</v>
      </c>
      <c r="L5" s="136" t="s">
        <v>5</v>
      </c>
    </row>
    <row r="6" spans="2:12">
      <c r="B6" s="43"/>
      <c r="C6" s="133"/>
      <c r="D6" s="133"/>
      <c r="E6" s="137"/>
      <c r="F6" s="137"/>
      <c r="G6" s="133"/>
      <c r="H6" s="133"/>
      <c r="I6" s="133"/>
      <c r="J6" s="133"/>
      <c r="K6" s="134"/>
      <c r="L6" s="138"/>
    </row>
    <row r="7" spans="2:12">
      <c r="B7" s="43"/>
      <c r="C7" s="119" t="s">
        <v>62</v>
      </c>
      <c r="D7" s="119"/>
      <c r="E7" s="119" t="s">
        <v>52</v>
      </c>
      <c r="G7" s="119" t="s">
        <v>63</v>
      </c>
      <c r="H7" s="119">
        <v>2021</v>
      </c>
      <c r="I7" s="119" t="s">
        <v>64</v>
      </c>
      <c r="J7" s="139">
        <v>45898</v>
      </c>
      <c r="K7" s="140"/>
      <c r="L7" s="141" t="s">
        <v>65</v>
      </c>
    </row>
    <row r="8" spans="2:12">
      <c r="B8" s="43"/>
      <c r="C8" s="142"/>
      <c r="D8" s="143"/>
      <c r="E8" s="144"/>
      <c r="H8" s="39"/>
      <c r="I8" s="39"/>
      <c r="J8" s="39"/>
      <c r="L8" s="145"/>
    </row>
    <row r="9" spans="2:12">
      <c r="B9" s="43"/>
      <c r="C9" s="142" t="s">
        <v>72</v>
      </c>
      <c r="D9" s="143" t="s">
        <v>73</v>
      </c>
      <c r="E9" s="165"/>
      <c r="F9" s="165"/>
      <c r="H9" s="39" t="s">
        <v>74</v>
      </c>
      <c r="I9" s="39" t="s">
        <v>75</v>
      </c>
      <c r="J9" s="166">
        <v>45901</v>
      </c>
      <c r="L9" s="167" t="s">
        <v>76</v>
      </c>
    </row>
    <row r="10" spans="2:12" ht="17" thickBot="1">
      <c r="B10" s="146"/>
      <c r="C10" s="147"/>
      <c r="D10" s="148"/>
      <c r="E10" s="149"/>
      <c r="F10" s="150"/>
      <c r="G10" s="151"/>
      <c r="H10" s="152"/>
      <c r="I10" s="152"/>
      <c r="J10" s="152"/>
      <c r="K10" s="153"/>
      <c r="L10" s="154"/>
    </row>
  </sheetData>
  <hyperlinks>
    <hyperlink ref="L7" r:id="rId1" xr:uid="{99D474C7-4328-0641-8EC0-AD55C5438CA2}"/>
    <hyperlink ref="L9" r:id="rId2" xr:uid="{47587697-C98B-9841-8E00-A18BB6B98494}"/>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B48"/>
  <sheetViews>
    <sheetView topLeftCell="C29" zoomScale="132" zoomScaleNormal="115" zoomScalePageLayoutView="115" workbookViewId="0">
      <selection activeCell="O75" sqref="O75"/>
    </sheetView>
  </sheetViews>
  <sheetFormatPr baseColWidth="10" defaultColWidth="7" defaultRowHeight="16"/>
  <cols>
    <col min="1" max="1" width="5.42578125" style="75" customWidth="1"/>
    <col min="2" max="2" width="5" style="75" customWidth="1"/>
    <col min="3" max="3" width="15.42578125" style="75" customWidth="1"/>
    <col min="4" max="4" width="20.140625" style="75" customWidth="1"/>
    <col min="5" max="5" width="20" style="75" customWidth="1"/>
    <col min="6" max="6" width="10.85546875" style="75" bestFit="1" customWidth="1"/>
    <col min="7" max="7" width="7.42578125" style="75" bestFit="1" customWidth="1"/>
    <col min="8" max="8" width="8.85546875" style="75" bestFit="1" customWidth="1"/>
    <col min="9" max="16384" width="7" style="75"/>
  </cols>
  <sheetData>
    <row r="1" spans="2:28" ht="17" thickBot="1"/>
    <row r="2" spans="2:28" s="16" customFormat="1">
      <c r="B2" s="124"/>
      <c r="C2" s="125" t="s">
        <v>24</v>
      </c>
      <c r="D2" s="125" t="s">
        <v>43</v>
      </c>
      <c r="E2" s="125"/>
      <c r="F2" s="125" t="s">
        <v>31</v>
      </c>
      <c r="G2" s="125"/>
      <c r="H2" s="125"/>
      <c r="I2" s="125"/>
      <c r="J2" s="125"/>
      <c r="K2" s="125"/>
      <c r="L2" s="125"/>
      <c r="M2" s="125"/>
      <c r="N2" s="125"/>
      <c r="O2" s="125"/>
      <c r="P2" s="125"/>
      <c r="Q2" s="125"/>
      <c r="R2" s="125"/>
      <c r="S2" s="125"/>
      <c r="T2" s="125"/>
      <c r="U2" s="125"/>
      <c r="V2" s="125"/>
      <c r="W2" s="125"/>
      <c r="X2" s="125"/>
      <c r="Y2" s="125"/>
      <c r="Z2" s="130"/>
      <c r="AA2" s="130"/>
      <c r="AB2" s="131"/>
    </row>
    <row r="3" spans="2:28">
      <c r="B3" s="126"/>
      <c r="C3" s="127"/>
      <c r="D3" s="127"/>
      <c r="E3" s="127"/>
      <c r="F3" s="127"/>
      <c r="G3" s="127"/>
      <c r="H3" s="127"/>
      <c r="I3" s="127"/>
      <c r="J3" s="127"/>
      <c r="K3" s="127"/>
      <c r="L3" s="127"/>
      <c r="M3" s="127"/>
      <c r="N3" s="127"/>
      <c r="O3" s="127"/>
      <c r="P3" s="127"/>
      <c r="Q3" s="127"/>
      <c r="R3" s="127"/>
      <c r="S3" s="127"/>
      <c r="T3" s="127"/>
      <c r="U3" s="127"/>
      <c r="V3" s="127"/>
      <c r="W3" s="127"/>
      <c r="X3" s="127"/>
      <c r="Y3" s="127"/>
      <c r="AB3" s="113"/>
    </row>
    <row r="4" spans="2:28" customFormat="1">
      <c r="B4" s="126"/>
      <c r="C4" s="114" t="s">
        <v>54</v>
      </c>
      <c r="D4" s="115"/>
      <c r="E4" s="115"/>
      <c r="F4" s="115"/>
      <c r="G4" s="115"/>
      <c r="H4" s="115"/>
      <c r="I4" s="115"/>
      <c r="J4" s="116"/>
      <c r="K4" s="116"/>
      <c r="L4" s="116"/>
      <c r="M4" s="116"/>
      <c r="N4" s="116"/>
      <c r="O4" s="116" t="s">
        <v>53</v>
      </c>
      <c r="P4" s="116"/>
      <c r="Q4" s="116"/>
      <c r="R4" s="116"/>
      <c r="S4" s="116"/>
      <c r="T4" s="116"/>
      <c r="U4" s="116"/>
      <c r="V4" s="116"/>
      <c r="W4" s="116"/>
      <c r="X4" s="116"/>
      <c r="Y4" s="116"/>
      <c r="Z4" s="117"/>
      <c r="AA4" s="117"/>
      <c r="AB4" s="118"/>
    </row>
    <row r="5" spans="2:28">
      <c r="B5" s="126"/>
      <c r="C5" s="115" t="s">
        <v>55</v>
      </c>
      <c r="D5" s="115"/>
      <c r="E5" s="115"/>
      <c r="F5" s="115"/>
      <c r="G5" s="115"/>
      <c r="H5" s="115"/>
      <c r="I5" s="115"/>
      <c r="J5" s="116"/>
      <c r="K5" s="116"/>
      <c r="L5" s="116"/>
      <c r="M5" s="116"/>
      <c r="N5" s="116"/>
      <c r="O5" s="116"/>
      <c r="P5" s="116"/>
      <c r="Q5" s="116"/>
      <c r="R5" s="116"/>
      <c r="S5" s="116"/>
      <c r="T5" s="116"/>
      <c r="U5" s="116"/>
      <c r="V5" s="116"/>
      <c r="W5" s="116"/>
      <c r="X5" s="116"/>
      <c r="Y5" s="116"/>
      <c r="AB5" s="113"/>
    </row>
    <row r="6" spans="2:28">
      <c r="B6" s="126"/>
      <c r="C6" s="115" t="s">
        <v>60</v>
      </c>
      <c r="D6" s="115"/>
      <c r="E6" s="115"/>
      <c r="F6" s="115"/>
      <c r="G6" s="115"/>
      <c r="H6" s="115"/>
      <c r="I6" s="115"/>
      <c r="J6" s="116"/>
      <c r="K6" s="116"/>
      <c r="L6" s="116"/>
      <c r="M6" s="116"/>
      <c r="N6" s="116"/>
      <c r="O6" s="116"/>
      <c r="P6" s="116"/>
      <c r="Q6" s="116"/>
      <c r="R6" s="116"/>
      <c r="S6" s="116"/>
      <c r="T6" s="116"/>
      <c r="U6" s="116"/>
      <c r="V6" s="116"/>
      <c r="W6" s="116"/>
      <c r="X6" s="116"/>
      <c r="Y6" s="116"/>
      <c r="AB6" s="113"/>
    </row>
    <row r="7" spans="2:28">
      <c r="B7" s="126"/>
      <c r="C7" s="115" t="s">
        <v>61</v>
      </c>
      <c r="D7" s="115"/>
      <c r="E7" s="115"/>
      <c r="F7" s="115"/>
      <c r="G7" s="115"/>
      <c r="H7" s="115"/>
      <c r="I7" s="115"/>
      <c r="J7" s="116"/>
      <c r="K7" s="116"/>
      <c r="L7" s="116"/>
      <c r="M7" s="116"/>
      <c r="N7" s="116"/>
      <c r="O7" s="116"/>
      <c r="P7" s="116"/>
      <c r="Q7" s="116"/>
      <c r="R7" s="116"/>
      <c r="S7" s="116"/>
      <c r="T7" s="116"/>
      <c r="U7" s="116"/>
      <c r="V7" s="116"/>
      <c r="W7" s="116"/>
      <c r="X7" s="116"/>
      <c r="Y7" s="116"/>
      <c r="AB7" s="113"/>
    </row>
    <row r="8" spans="2:28">
      <c r="B8" s="126"/>
      <c r="C8" s="115"/>
      <c r="D8" s="115"/>
      <c r="E8" s="115"/>
      <c r="F8" s="115"/>
      <c r="G8" s="115"/>
      <c r="H8" s="115"/>
      <c r="I8" s="115"/>
      <c r="J8" s="116"/>
      <c r="K8" s="116"/>
      <c r="L8" s="116"/>
      <c r="M8" s="116"/>
      <c r="N8" s="116"/>
      <c r="O8" s="116"/>
      <c r="P8" s="116"/>
      <c r="Q8" s="116"/>
      <c r="R8" s="116"/>
      <c r="S8" s="116"/>
      <c r="T8" s="116"/>
      <c r="U8" s="116"/>
      <c r="V8" s="116"/>
      <c r="W8" s="116"/>
      <c r="X8" s="116"/>
      <c r="Y8" s="116"/>
      <c r="AB8" s="113"/>
    </row>
    <row r="9" spans="2:28">
      <c r="B9" s="126"/>
      <c r="C9" s="115"/>
      <c r="D9" s="119" t="s">
        <v>58</v>
      </c>
      <c r="E9" s="119" t="s">
        <v>59</v>
      </c>
      <c r="K9" s="116"/>
      <c r="L9" s="116"/>
      <c r="M9" s="116"/>
      <c r="N9" s="116"/>
      <c r="O9" s="116"/>
      <c r="P9" s="116"/>
      <c r="Q9" s="116"/>
      <c r="R9" s="116"/>
      <c r="S9" s="116"/>
      <c r="T9" s="116"/>
      <c r="U9" s="116"/>
      <c r="V9" s="116"/>
      <c r="W9" s="116"/>
      <c r="X9" s="116"/>
      <c r="Y9" s="116"/>
      <c r="AB9" s="113"/>
    </row>
    <row r="10" spans="2:28">
      <c r="B10" s="126"/>
      <c r="C10" s="115" t="s">
        <v>56</v>
      </c>
      <c r="D10" s="75">
        <f>91.7/1000</f>
        <v>9.1700000000000004E-2</v>
      </c>
      <c r="E10" s="75">
        <f>100/1000</f>
        <v>0.1</v>
      </c>
      <c r="K10" s="116"/>
      <c r="L10" s="116"/>
      <c r="M10" s="116"/>
      <c r="N10" s="116"/>
      <c r="O10" s="116"/>
      <c r="P10" s="116"/>
      <c r="Q10" s="116"/>
      <c r="R10" s="116"/>
      <c r="S10" s="116"/>
      <c r="T10" s="116"/>
      <c r="U10" s="116"/>
      <c r="V10" s="116"/>
      <c r="W10" s="116"/>
      <c r="X10" s="116"/>
      <c r="Y10" s="116"/>
      <c r="AB10" s="113"/>
    </row>
    <row r="11" spans="2:28">
      <c r="B11" s="126"/>
      <c r="C11" s="115" t="s">
        <v>57</v>
      </c>
      <c r="D11" s="75">
        <v>10</v>
      </c>
      <c r="E11" s="75">
        <v>11.6</v>
      </c>
      <c r="K11" s="116"/>
      <c r="L11" s="116"/>
      <c r="M11" s="116"/>
      <c r="N11" s="116"/>
      <c r="O11" s="116"/>
      <c r="P11" s="116"/>
      <c r="Q11" s="116"/>
      <c r="R11" s="116"/>
      <c r="S11" s="116"/>
      <c r="T11" s="116"/>
      <c r="U11" s="116"/>
      <c r="V11" s="116"/>
      <c r="W11" s="116"/>
      <c r="X11" s="116"/>
      <c r="Y11" s="116"/>
      <c r="AB11" s="113"/>
    </row>
    <row r="12" spans="2:28">
      <c r="B12" s="126"/>
      <c r="C12" s="116"/>
      <c r="D12" s="116"/>
      <c r="E12" s="116"/>
      <c r="F12" s="116"/>
      <c r="G12" s="116"/>
      <c r="H12" s="116"/>
      <c r="I12" s="116"/>
      <c r="J12" s="116"/>
      <c r="K12" s="116"/>
      <c r="L12" s="116"/>
      <c r="M12" s="116"/>
      <c r="N12" s="116"/>
      <c r="O12" s="116"/>
      <c r="P12" s="116"/>
      <c r="Q12" s="116"/>
      <c r="R12" s="116"/>
      <c r="S12" s="116"/>
      <c r="T12" s="116"/>
      <c r="U12" s="116"/>
      <c r="V12" s="116"/>
      <c r="W12" s="116"/>
      <c r="X12" s="116"/>
      <c r="Y12" s="116"/>
      <c r="AB12" s="113"/>
    </row>
    <row r="13" spans="2:28">
      <c r="B13" s="126"/>
      <c r="C13" s="116"/>
      <c r="D13" s="116"/>
      <c r="E13" s="116"/>
      <c r="F13" s="116"/>
      <c r="G13" s="116"/>
      <c r="H13" s="116"/>
      <c r="I13" s="116"/>
      <c r="J13" s="116"/>
      <c r="K13" s="116"/>
      <c r="L13" s="116"/>
      <c r="M13" s="116"/>
      <c r="N13" s="116"/>
      <c r="O13" s="116"/>
      <c r="P13" s="116"/>
      <c r="Q13" s="116"/>
      <c r="R13" s="116"/>
      <c r="S13" s="116"/>
      <c r="T13" s="116"/>
      <c r="U13" s="116"/>
      <c r="V13" s="116"/>
      <c r="W13" s="116"/>
      <c r="X13" s="116"/>
      <c r="Y13" s="116"/>
      <c r="AB13" s="113"/>
    </row>
    <row r="14" spans="2:28">
      <c r="B14" s="126"/>
      <c r="C14" s="164" t="s">
        <v>67</v>
      </c>
      <c r="D14" s="117"/>
      <c r="E14" s="117"/>
      <c r="F14" s="116"/>
      <c r="G14" s="116"/>
      <c r="H14" s="116"/>
      <c r="I14" s="116"/>
      <c r="J14" s="116"/>
      <c r="K14" s="116"/>
      <c r="L14" s="116"/>
      <c r="M14" s="116"/>
      <c r="N14" s="116"/>
      <c r="O14" s="116"/>
      <c r="P14" s="116"/>
      <c r="Q14" s="116"/>
      <c r="R14" s="116"/>
      <c r="S14" s="116"/>
      <c r="T14" s="116"/>
      <c r="U14" s="116"/>
      <c r="V14" s="116"/>
      <c r="W14" s="116"/>
      <c r="X14" s="116"/>
      <c r="Y14" s="116"/>
      <c r="AB14" s="113"/>
    </row>
    <row r="15" spans="2:28">
      <c r="B15" s="126"/>
      <c r="C15" s="117" t="s">
        <v>68</v>
      </c>
      <c r="D15" s="117"/>
      <c r="E15" s="117"/>
      <c r="F15" s="116"/>
      <c r="G15" s="116"/>
      <c r="H15" s="116"/>
      <c r="I15" s="116"/>
      <c r="J15" s="116"/>
      <c r="K15" s="116"/>
      <c r="L15" s="116"/>
      <c r="M15" s="116"/>
      <c r="N15" s="116"/>
      <c r="O15" s="116"/>
      <c r="P15" s="116"/>
      <c r="Q15" s="116"/>
      <c r="R15" s="116"/>
      <c r="S15" s="116"/>
      <c r="T15" s="116"/>
      <c r="U15" s="116"/>
      <c r="V15" s="116"/>
      <c r="W15" s="116"/>
      <c r="X15" s="116"/>
      <c r="Y15" s="116"/>
      <c r="AB15" s="113"/>
    </row>
    <row r="16" spans="2:28">
      <c r="B16" s="126"/>
      <c r="C16" s="117" t="s">
        <v>69</v>
      </c>
      <c r="D16" s="117"/>
      <c r="E16" s="117"/>
      <c r="F16" s="116"/>
      <c r="G16" s="116"/>
      <c r="H16" s="116"/>
      <c r="I16" s="116"/>
      <c r="J16" s="116"/>
      <c r="K16" s="116"/>
      <c r="L16" s="116"/>
      <c r="M16" s="116"/>
      <c r="N16" s="116"/>
      <c r="O16" s="116"/>
      <c r="P16" s="116"/>
      <c r="Q16" s="116"/>
      <c r="R16" s="116"/>
      <c r="S16" s="116"/>
      <c r="T16" s="116"/>
      <c r="U16" s="116"/>
      <c r="V16" s="116"/>
      <c r="W16" s="116"/>
      <c r="X16" s="116"/>
      <c r="Y16" s="116"/>
      <c r="AB16" s="113"/>
    </row>
    <row r="17" spans="2:28">
      <c r="B17" s="126"/>
      <c r="C17" s="117"/>
      <c r="D17" s="117"/>
      <c r="E17" s="117"/>
      <c r="F17" s="116"/>
      <c r="G17" s="116"/>
      <c r="H17" s="116"/>
      <c r="I17" s="116"/>
      <c r="J17" s="116"/>
      <c r="K17" s="116"/>
      <c r="L17" s="116"/>
      <c r="M17" s="116"/>
      <c r="N17" s="116"/>
      <c r="O17" s="116"/>
      <c r="P17" s="116"/>
      <c r="Q17" s="116"/>
      <c r="R17" s="116"/>
      <c r="S17" s="116"/>
      <c r="T17" s="116"/>
      <c r="U17" s="116"/>
      <c r="V17" s="116"/>
      <c r="W17" s="116"/>
      <c r="X17" s="116"/>
      <c r="Y17" s="116"/>
      <c r="AB17" s="113"/>
    </row>
    <row r="18" spans="2:28">
      <c r="B18" s="126"/>
      <c r="C18" s="117" t="s">
        <v>70</v>
      </c>
      <c r="D18" s="117">
        <v>0</v>
      </c>
      <c r="E18" s="117"/>
      <c r="F18" s="116"/>
      <c r="G18" s="116"/>
      <c r="H18" s="116"/>
      <c r="I18" s="116"/>
      <c r="J18" s="116"/>
      <c r="K18" s="116"/>
      <c r="L18" s="116"/>
      <c r="M18" s="116"/>
      <c r="N18" s="116"/>
      <c r="O18" s="116"/>
      <c r="P18" s="116"/>
      <c r="Q18" s="116"/>
      <c r="R18" s="116"/>
      <c r="S18" s="116"/>
      <c r="T18" s="116"/>
      <c r="U18" s="116"/>
      <c r="V18" s="116"/>
      <c r="W18" s="116"/>
      <c r="X18" s="116"/>
      <c r="Y18" s="116"/>
      <c r="AB18" s="113"/>
    </row>
    <row r="19" spans="2:28">
      <c r="B19" s="126"/>
      <c r="C19" s="116"/>
      <c r="D19" s="116"/>
      <c r="E19" s="116"/>
      <c r="F19" s="116"/>
      <c r="G19" s="116"/>
      <c r="H19" s="116"/>
      <c r="I19" s="116"/>
      <c r="J19" s="116"/>
      <c r="K19" s="116"/>
      <c r="L19" s="116"/>
      <c r="M19" s="116"/>
      <c r="N19" s="116"/>
      <c r="O19" s="116"/>
      <c r="P19" s="116"/>
      <c r="Q19" s="116"/>
      <c r="R19" s="116"/>
      <c r="S19" s="116"/>
      <c r="T19" s="116"/>
      <c r="U19" s="116"/>
      <c r="V19" s="116"/>
      <c r="W19" s="116"/>
      <c r="X19" s="116"/>
      <c r="Y19" s="116"/>
      <c r="AB19" s="113"/>
    </row>
    <row r="20" spans="2:28">
      <c r="B20" s="126"/>
      <c r="C20" s="116"/>
      <c r="E20" s="120"/>
      <c r="F20" s="115"/>
      <c r="J20" s="116"/>
      <c r="K20" s="116"/>
      <c r="L20" s="116"/>
      <c r="M20" s="116"/>
      <c r="N20" s="116"/>
      <c r="O20" s="116"/>
      <c r="P20" s="116"/>
      <c r="Q20" s="116"/>
      <c r="R20" s="116"/>
      <c r="S20" s="116"/>
      <c r="T20" s="116"/>
      <c r="U20" s="116"/>
      <c r="V20" s="116"/>
      <c r="W20" s="116"/>
      <c r="X20" s="116"/>
      <c r="Y20" s="116"/>
      <c r="AB20" s="113"/>
    </row>
    <row r="21" spans="2:28">
      <c r="B21" s="126"/>
      <c r="C21" s="116"/>
      <c r="D21" s="115"/>
      <c r="E21" s="120"/>
      <c r="F21" s="115"/>
      <c r="I21" s="115"/>
      <c r="J21" s="116"/>
      <c r="K21" s="116"/>
      <c r="L21" s="116"/>
      <c r="M21" s="116"/>
      <c r="N21" s="116"/>
      <c r="O21" s="116"/>
      <c r="P21" s="116"/>
      <c r="Q21" s="116"/>
      <c r="R21" s="116"/>
      <c r="S21" s="116"/>
      <c r="T21" s="116"/>
      <c r="U21" s="116"/>
      <c r="V21" s="116"/>
      <c r="W21" s="116"/>
      <c r="X21" s="116"/>
      <c r="Y21" s="116"/>
      <c r="AB21" s="113"/>
    </row>
    <row r="22" spans="2:28">
      <c r="B22" s="126"/>
      <c r="C22" s="116"/>
      <c r="D22" s="115"/>
      <c r="E22" s="120"/>
      <c r="F22" s="115"/>
      <c r="I22" s="115"/>
      <c r="J22" s="116"/>
      <c r="K22" s="116"/>
      <c r="L22" s="116"/>
      <c r="M22" s="116"/>
      <c r="N22" s="116"/>
      <c r="O22" s="116"/>
      <c r="P22" s="116"/>
      <c r="Q22" s="116"/>
      <c r="R22" s="116"/>
      <c r="S22" s="116"/>
      <c r="T22" s="116"/>
      <c r="U22" s="116"/>
      <c r="V22" s="116"/>
      <c r="W22" s="116"/>
      <c r="X22" s="116"/>
      <c r="Y22" s="116"/>
      <c r="AB22" s="113"/>
    </row>
    <row r="23" spans="2:28">
      <c r="B23" s="126"/>
      <c r="C23" s="116"/>
      <c r="D23" s="116"/>
      <c r="E23" s="116"/>
      <c r="F23" s="116"/>
      <c r="G23" s="116"/>
      <c r="H23" s="116"/>
      <c r="I23" s="116"/>
      <c r="J23" s="116"/>
      <c r="K23" s="116"/>
      <c r="L23" s="116"/>
      <c r="M23" s="116"/>
      <c r="N23" s="116"/>
      <c r="O23" s="116"/>
      <c r="P23" s="116"/>
      <c r="Q23" s="116"/>
      <c r="R23" s="116"/>
      <c r="S23" s="116"/>
      <c r="T23" s="116"/>
      <c r="U23" s="116"/>
      <c r="V23" s="116"/>
      <c r="W23" s="116"/>
      <c r="X23" s="116"/>
      <c r="Y23" s="116"/>
      <c r="AB23" s="113"/>
    </row>
    <row r="24" spans="2:28">
      <c r="B24" s="126"/>
      <c r="C24" s="116"/>
      <c r="D24" s="116"/>
      <c r="E24" s="116"/>
      <c r="F24" s="116"/>
      <c r="G24" s="116"/>
      <c r="H24" s="116"/>
      <c r="I24" s="116"/>
      <c r="J24" s="116"/>
      <c r="K24" s="116"/>
      <c r="L24" s="116"/>
      <c r="M24" s="116"/>
      <c r="N24" s="116"/>
      <c r="O24" s="116"/>
      <c r="P24" s="116"/>
      <c r="Q24" s="116"/>
      <c r="R24" s="116"/>
      <c r="S24" s="116"/>
      <c r="T24" s="116"/>
      <c r="U24" s="116"/>
      <c r="V24" s="116"/>
      <c r="W24" s="116"/>
      <c r="X24" s="116"/>
      <c r="Y24" s="116"/>
      <c r="AB24" s="113"/>
    </row>
    <row r="25" spans="2:28">
      <c r="B25" s="126"/>
      <c r="C25" s="116"/>
      <c r="D25" s="116"/>
      <c r="E25" s="116"/>
      <c r="F25" s="116"/>
      <c r="G25" s="116"/>
      <c r="H25" s="116"/>
      <c r="I25" s="116"/>
      <c r="J25" s="116"/>
      <c r="K25" s="116"/>
      <c r="L25" s="116"/>
      <c r="M25" s="116"/>
      <c r="N25" s="116"/>
      <c r="O25" s="116"/>
      <c r="P25" s="116"/>
      <c r="Q25" s="116"/>
      <c r="R25" s="116"/>
      <c r="S25" s="116"/>
      <c r="T25" s="116"/>
      <c r="U25" s="116"/>
      <c r="V25" s="116"/>
      <c r="W25" s="116"/>
      <c r="X25" s="116"/>
      <c r="Y25" s="116"/>
      <c r="AB25" s="113"/>
    </row>
    <row r="26" spans="2:28">
      <c r="B26" s="126"/>
      <c r="C26" s="116"/>
      <c r="D26" s="116"/>
      <c r="E26" s="116"/>
      <c r="F26" s="116"/>
      <c r="G26" s="116"/>
      <c r="H26" s="116"/>
      <c r="I26" s="116"/>
      <c r="J26" s="116"/>
      <c r="K26" s="116"/>
      <c r="L26" s="116"/>
      <c r="M26" s="116"/>
      <c r="N26" s="116"/>
      <c r="O26" s="116"/>
      <c r="P26" s="116"/>
      <c r="Q26" s="116"/>
      <c r="R26" s="116"/>
      <c r="S26" s="116"/>
      <c r="T26" s="116"/>
      <c r="U26" s="116"/>
      <c r="V26" s="116"/>
      <c r="W26" s="116"/>
      <c r="X26" s="116"/>
      <c r="Y26" s="116"/>
      <c r="AB26" s="113"/>
    </row>
    <row r="27" spans="2:28">
      <c r="B27" s="126"/>
      <c r="C27" s="116"/>
      <c r="D27" s="116"/>
      <c r="E27" s="116"/>
      <c r="F27" s="116"/>
      <c r="G27" s="116"/>
      <c r="H27" s="116"/>
      <c r="I27" s="116"/>
      <c r="J27" s="116"/>
      <c r="K27" s="116"/>
      <c r="L27" s="116"/>
      <c r="M27" s="116"/>
      <c r="N27" s="116"/>
      <c r="O27" s="116"/>
      <c r="P27" s="116"/>
      <c r="Q27" s="116"/>
      <c r="R27" s="116"/>
      <c r="S27" s="116"/>
      <c r="T27" s="116"/>
      <c r="U27" s="116"/>
      <c r="V27" s="116"/>
      <c r="W27" s="116"/>
      <c r="X27" s="116"/>
      <c r="Y27" s="116"/>
      <c r="AB27" s="113"/>
    </row>
    <row r="28" spans="2:28">
      <c r="B28" s="126"/>
      <c r="C28" s="116"/>
      <c r="D28" s="116"/>
      <c r="E28" s="116"/>
      <c r="F28" s="116"/>
      <c r="G28" s="116"/>
      <c r="H28" s="116"/>
      <c r="I28" s="116"/>
      <c r="J28" s="116"/>
      <c r="K28" s="116"/>
      <c r="L28" s="116"/>
      <c r="M28" s="116"/>
      <c r="N28" s="116"/>
      <c r="O28" s="116"/>
      <c r="P28" s="116"/>
      <c r="Q28" s="116"/>
      <c r="R28" s="116"/>
      <c r="S28" s="116"/>
      <c r="T28" s="116"/>
      <c r="U28" s="116"/>
      <c r="V28" s="116"/>
      <c r="W28" s="116"/>
      <c r="X28" s="116"/>
      <c r="Y28" s="116"/>
      <c r="AB28" s="113"/>
    </row>
    <row r="29" spans="2:28">
      <c r="B29" s="126"/>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AB29" s="113"/>
    </row>
    <row r="30" spans="2:28">
      <c r="B30" s="126"/>
      <c r="C30" s="121"/>
      <c r="D30" s="121"/>
      <c r="E30" s="121"/>
      <c r="F30" s="121"/>
      <c r="G30" s="121"/>
      <c r="H30" s="121"/>
      <c r="I30" s="121"/>
      <c r="J30" s="121"/>
      <c r="K30" s="121"/>
      <c r="L30" s="121"/>
      <c r="M30" s="121"/>
      <c r="N30" s="121"/>
      <c r="O30" s="121"/>
      <c r="P30" s="121"/>
      <c r="Q30" s="121"/>
      <c r="R30" s="121"/>
      <c r="S30" s="121"/>
      <c r="T30" s="121"/>
      <c r="U30" s="121"/>
      <c r="V30" s="121"/>
      <c r="W30" s="121"/>
      <c r="X30" s="121"/>
      <c r="Y30" s="121"/>
      <c r="AB30" s="113"/>
    </row>
    <row r="31" spans="2:28">
      <c r="B31" s="126"/>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AB31" s="113"/>
    </row>
    <row r="32" spans="2:28">
      <c r="B32" s="126"/>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AB32" s="113"/>
    </row>
    <row r="33" spans="2:28">
      <c r="B33" s="126"/>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AB33" s="113"/>
    </row>
    <row r="34" spans="2:28">
      <c r="B34" s="126"/>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AB34" s="113"/>
    </row>
    <row r="35" spans="2:28">
      <c r="B35" s="126"/>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AB35" s="113"/>
    </row>
    <row r="36" spans="2:28">
      <c r="B36" s="126"/>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AB36" s="113"/>
    </row>
    <row r="37" spans="2:28">
      <c r="B37" s="126"/>
      <c r="C37" s="121"/>
      <c r="D37" s="121"/>
      <c r="E37" s="121"/>
      <c r="F37" s="121"/>
      <c r="G37" s="121"/>
      <c r="H37" s="121"/>
      <c r="I37" s="121"/>
      <c r="J37" s="121"/>
      <c r="K37" s="121"/>
      <c r="L37" s="121"/>
      <c r="M37" s="121"/>
      <c r="N37" s="121"/>
      <c r="O37" s="121"/>
      <c r="P37" s="121"/>
      <c r="Q37" s="121"/>
      <c r="R37" s="121"/>
      <c r="S37" s="121"/>
      <c r="T37" s="121"/>
      <c r="U37" s="121"/>
      <c r="V37" s="121"/>
      <c r="W37" s="121"/>
      <c r="X37" s="121"/>
      <c r="Y37" s="121"/>
      <c r="AB37" s="113"/>
    </row>
    <row r="38" spans="2:28">
      <c r="B38" s="126"/>
      <c r="C38" s="121"/>
      <c r="D38" s="121"/>
      <c r="E38" s="121"/>
      <c r="F38" s="121"/>
      <c r="G38" s="121"/>
      <c r="H38" s="121"/>
      <c r="I38" s="121"/>
      <c r="J38" s="121"/>
      <c r="K38" s="121"/>
      <c r="L38" s="121"/>
      <c r="M38" s="121"/>
      <c r="N38" s="121"/>
      <c r="O38" s="121"/>
      <c r="P38" s="121"/>
      <c r="Q38" s="121"/>
      <c r="R38" s="121"/>
      <c r="S38" s="121"/>
      <c r="T38" s="121"/>
      <c r="U38" s="121"/>
      <c r="V38" s="121"/>
      <c r="W38" s="121"/>
      <c r="X38" s="121"/>
      <c r="Y38" s="121"/>
      <c r="AB38" s="113"/>
    </row>
    <row r="39" spans="2:28">
      <c r="B39" s="126"/>
      <c r="C39" s="121"/>
      <c r="D39" s="121"/>
      <c r="E39" s="121"/>
      <c r="F39" s="121"/>
      <c r="G39" s="121"/>
      <c r="H39" s="121"/>
      <c r="I39" s="121"/>
      <c r="J39" s="121"/>
      <c r="K39" s="121"/>
      <c r="L39" s="121"/>
      <c r="M39" s="121"/>
      <c r="N39" s="121"/>
      <c r="O39" s="121"/>
      <c r="P39" s="121"/>
      <c r="Q39" s="121"/>
      <c r="R39" s="121"/>
      <c r="S39" s="121"/>
      <c r="T39" s="121"/>
      <c r="U39" s="121"/>
      <c r="V39" s="121"/>
      <c r="W39" s="121"/>
      <c r="X39" s="121"/>
      <c r="Y39" s="121"/>
      <c r="AB39" s="113"/>
    </row>
    <row r="40" spans="2:28">
      <c r="B40" s="126"/>
      <c r="C40" s="121"/>
      <c r="D40" s="121"/>
      <c r="E40" s="121"/>
      <c r="F40" s="121"/>
      <c r="G40" s="121"/>
      <c r="H40" s="121"/>
      <c r="I40" s="121"/>
      <c r="J40" s="121"/>
      <c r="K40" s="121"/>
      <c r="L40" s="121"/>
      <c r="M40" s="121"/>
      <c r="N40" s="121"/>
      <c r="O40" s="121"/>
      <c r="P40" s="121"/>
      <c r="Q40" s="121"/>
      <c r="R40" s="121"/>
      <c r="S40" s="121"/>
      <c r="T40" s="121"/>
      <c r="U40" s="121"/>
      <c r="V40" s="121"/>
      <c r="W40" s="121"/>
      <c r="X40" s="121"/>
      <c r="Y40" s="121"/>
      <c r="AB40" s="113"/>
    </row>
    <row r="41" spans="2:28">
      <c r="B41" s="126"/>
      <c r="C41" s="121"/>
      <c r="D41" s="115"/>
      <c r="E41" s="121"/>
      <c r="F41" s="121"/>
      <c r="G41" s="115"/>
      <c r="H41" s="115"/>
      <c r="I41" s="115"/>
      <c r="J41" s="121"/>
      <c r="K41" s="121"/>
      <c r="L41" s="121"/>
      <c r="M41" s="121"/>
      <c r="N41" s="121"/>
      <c r="O41" s="121"/>
      <c r="P41" s="121"/>
      <c r="Q41" s="121"/>
      <c r="R41" s="121"/>
      <c r="S41" s="121"/>
      <c r="T41" s="121"/>
      <c r="U41" s="121"/>
      <c r="V41" s="121"/>
      <c r="W41" s="121"/>
      <c r="X41" s="121"/>
      <c r="Y41" s="121"/>
      <c r="AB41" s="113"/>
    </row>
    <row r="42" spans="2:28">
      <c r="B42" s="126"/>
      <c r="C42" s="121"/>
      <c r="D42" s="121"/>
      <c r="E42" s="121"/>
      <c r="F42" s="121"/>
      <c r="G42" s="115"/>
      <c r="H42" s="115"/>
      <c r="I42" s="121"/>
      <c r="J42" s="121"/>
      <c r="K42" s="121"/>
      <c r="L42" s="121"/>
      <c r="M42" s="121"/>
      <c r="N42" s="121"/>
      <c r="O42" s="121"/>
      <c r="P42" s="121"/>
      <c r="Q42" s="121"/>
      <c r="R42" s="121"/>
      <c r="S42" s="121"/>
      <c r="T42" s="121"/>
      <c r="U42" s="121"/>
      <c r="V42" s="121"/>
      <c r="W42" s="121"/>
      <c r="X42" s="121"/>
      <c r="Y42" s="121"/>
      <c r="AB42" s="113"/>
    </row>
    <row r="43" spans="2:28">
      <c r="B43" s="126"/>
      <c r="C43" s="121"/>
      <c r="D43" s="121"/>
      <c r="E43" s="121"/>
      <c r="F43" s="121"/>
      <c r="G43" s="115"/>
      <c r="H43" s="115"/>
      <c r="I43" s="121"/>
      <c r="J43" s="121"/>
      <c r="K43" s="121"/>
      <c r="L43" s="121"/>
      <c r="M43" s="121"/>
      <c r="N43" s="121"/>
      <c r="O43" s="165" t="s">
        <v>71</v>
      </c>
      <c r="P43" s="121"/>
      <c r="Q43" s="121"/>
      <c r="R43" s="121"/>
      <c r="S43" s="121"/>
      <c r="T43" s="121"/>
      <c r="U43" s="121"/>
      <c r="V43" s="121"/>
      <c r="W43" s="121"/>
      <c r="X43" s="121"/>
      <c r="Y43" s="121"/>
      <c r="AB43" s="113"/>
    </row>
    <row r="44" spans="2:28">
      <c r="B44" s="126"/>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AB44" s="113"/>
    </row>
    <row r="45" spans="2:28">
      <c r="B45" s="126"/>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AB45" s="113"/>
    </row>
    <row r="46" spans="2:28">
      <c r="B46" s="126"/>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AB46" s="113"/>
    </row>
    <row r="47" spans="2:28">
      <c r="B47" s="126"/>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AB47" s="113"/>
    </row>
    <row r="48" spans="2:28" ht="17" thickBot="1">
      <c r="B48" s="128"/>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2"/>
      <c r="AA48" s="122"/>
      <c r="AB48" s="123"/>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dcterms:created xsi:type="dcterms:W3CDTF">2011-10-26T09:05:09Z</dcterms:created>
  <dcterms:modified xsi:type="dcterms:W3CDTF">2025-09-15T15:14:39Z</dcterms:modified>
</cp:coreProperties>
</file>