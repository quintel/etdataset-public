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05"/>
  <workbookPr showInkAnnotation="0" codeName="ThisWorkbook" autoCompressPictures="0"/>
  <mc:AlternateContent xmlns:mc="http://schemas.openxmlformats.org/markup-compatibility/2006">
    <mc:Choice Requires="x15">
      <x15ac:absPath xmlns:x15ac="http://schemas.microsoft.com/office/spreadsheetml/2010/11/ac" url="/Users/kyradehaan/github/etdataset/carriers_source_analyses/"/>
    </mc:Choice>
  </mc:AlternateContent>
  <xr:revisionPtr revIDLastSave="0" documentId="13_ncr:1_{1355412D-6F33-474C-8EEA-6A4F3344236C}" xr6:coauthVersionLast="47" xr6:coauthVersionMax="47" xr10:uidLastSave="{00000000-0000-0000-0000-000000000000}"/>
  <bookViews>
    <workbookView xWindow="0" yWindow="0" windowWidth="51200" windowHeight="28800" tabRatio="762" activeTab="4" xr2:uid="{00000000-000D-0000-FFFF-FFFF00000000}"/>
  </bookViews>
  <sheets>
    <sheet name="Cover sheet" sheetId="14" r:id="rId1"/>
    <sheet name="Dashboard" sheetId="12" r:id="rId2"/>
    <sheet name="Research data" sheetId="13" r:id="rId3"/>
    <sheet name="Sources" sheetId="15" r:id="rId4"/>
    <sheet name="Notes" sheetId="16" r:id="rId5"/>
  </sheets>
  <externalReferences>
    <externalReference r:id="rId6"/>
  </externalReferences>
  <definedNames>
    <definedName name="exchange_rate_2011_2010">#REF!</definedName>
    <definedName name="Final_demand_residences">'[1]Fuel aggregation'!$L$11</definedName>
    <definedName name="hours_a_year">#REF!</definedName>
    <definedName name="km2_to_m2">#REF!</definedName>
    <definedName name="kW_to_MW">#REF!</definedName>
    <definedName name="kW_to_W">#REF!</definedName>
    <definedName name="kWp_to_MWp">#REF!</definedName>
    <definedName name="m2_to_km2">#REF!</definedName>
    <definedName name="STC">#REF!</definedName>
    <definedName name="STC_insolation">#REF!</definedName>
    <definedName name="W_to_MW">#REF!</definedName>
    <definedName name="Wp_to_kWp">#REF!</definedName>
    <definedName name="WP_to_MWp">#REF!</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D22" i="16" l="1"/>
  <c r="I7" i="13" s="1"/>
  <c r="G7" i="13" s="1"/>
  <c r="K8" i="13"/>
  <c r="G8" i="13" s="1"/>
  <c r="E11" i="12" s="1"/>
  <c r="D13" i="16" l="1"/>
  <c r="K10" i="13" s="1"/>
  <c r="G10" i="13" s="1"/>
  <c r="E13" i="16"/>
  <c r="F13" i="16"/>
  <c r="G9" i="13" l="1"/>
  <c r="E10" i="12" l="1"/>
</calcChain>
</file>

<file path=xl/sharedStrings.xml><?xml version="1.0" encoding="utf-8"?>
<sst xmlns="http://schemas.openxmlformats.org/spreadsheetml/2006/main" count="102" uniqueCount="79">
  <si>
    <t>Source</t>
  </si>
  <si>
    <t>-</t>
  </si>
  <si>
    <t>Value</t>
  </si>
  <si>
    <t>Definition</t>
  </si>
  <si>
    <t>Unit</t>
  </si>
  <si>
    <t>Link</t>
  </si>
  <si>
    <t>Cover Sheet</t>
  </si>
  <si>
    <t>Country</t>
  </si>
  <si>
    <t>Organization</t>
  </si>
  <si>
    <t>Quintel Intelligence</t>
  </si>
  <si>
    <t>Definition on the sources</t>
  </si>
  <si>
    <t>Date published</t>
  </si>
  <si>
    <t>Attribute</t>
  </si>
  <si>
    <t>Author</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</si>
  <si>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</si>
  <si>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</si>
  <si>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</si>
  <si>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</si>
  <si>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</si>
  <si>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</si>
  <si>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</si>
  <si>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</si>
  <si>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</si>
  <si>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</si>
  <si>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</si>
  <si>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</si>
  <si>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</si>
  <si>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</si>
  <si>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</si>
  <si>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Parameter</t>
  </si>
  <si>
    <t>Comments</t>
  </si>
  <si>
    <t>ETM Library URL</t>
  </si>
  <si>
    <t>Date retrieved</t>
  </si>
  <si>
    <t>sustainable</t>
  </si>
  <si>
    <t>cost_per_mj</t>
  </si>
  <si>
    <t>co2_conversion_per_mj</t>
  </si>
  <si>
    <t>Whether or not this carrier is renewable</t>
  </si>
  <si>
    <t>Quintel assumption</t>
  </si>
  <si>
    <t>kg/MJ</t>
  </si>
  <si>
    <t>energy content</t>
  </si>
  <si>
    <t>MJ/kg</t>
  </si>
  <si>
    <t>EUR/MJ</t>
  </si>
  <si>
    <t>Carrier (gobal properties)</t>
  </si>
  <si>
    <t>mj_per_kg</t>
  </si>
  <si>
    <t>Document</t>
  </si>
  <si>
    <t>Carrier (global properties)</t>
  </si>
  <si>
    <r>
      <rPr>
        <sz val="12"/>
        <color theme="1"/>
        <rFont val="Calibri"/>
        <family val="2"/>
        <scheme val="minor"/>
      </rPr>
      <t>potential_</t>
    </r>
    <r>
      <rPr>
        <sz val="12"/>
        <color theme="1"/>
        <rFont val="Calibri"/>
        <family val="2"/>
        <scheme val="minor"/>
      </rPr>
      <t>co2_conversion_per_mj</t>
    </r>
  </si>
  <si>
    <t xml:space="preserve">This sheet summarizes all carrier attributes formatted in the way they are used by the Energy Transition Model. This sheet contains only pure carrier values. For some countries and carriers Fuel Chain Emissions are defined (only for NL); if so these FCE are documented in a separate sheet (e.g. nl_fce). Use the Excel formulas to find the original data and sources for these numbers. The carrier analysis can be imported on ETSource by running the following rake task: rake import:carrier CARRIER="carrier name" (eg rake import:carrier CARRIER=crude_oil) </t>
  </si>
  <si>
    <t>TNO</t>
  </si>
  <si>
    <t>CO2 (kg/MJ)</t>
  </si>
  <si>
    <t>dry biomass</t>
  </si>
  <si>
    <t>wet biomass</t>
  </si>
  <si>
    <t>oily biomass</t>
  </si>
  <si>
    <t>Density (MJ/kg)</t>
  </si>
  <si>
    <t>Assumptions:</t>
  </si>
  <si>
    <t>Solid biomass first value (wood/wood waste) assumed to be dry biomass</t>
  </si>
  <si>
    <t>Solid biomass second value assumed to be wet biomass</t>
  </si>
  <si>
    <t>Other liquid biufuels assumed to be oily biomass</t>
  </si>
  <si>
    <t>NL</t>
  </si>
  <si>
    <t>Update of the Netherlands list of fuels in 2021</t>
  </si>
  <si>
    <t>https://repository.tno.nl/SingleDoc?find=UID%202f9779a2-dd73-4f7f-9494-a44ddb7550d6</t>
  </si>
  <si>
    <t>Energy content and CO2 emission factor</t>
  </si>
  <si>
    <t>Subject</t>
  </si>
  <si>
    <t>Kyra de Haan</t>
  </si>
  <si>
    <t>dry_biomass</t>
  </si>
  <si>
    <t>IEA table pg  29</t>
  </si>
  <si>
    <t>CO2 and energy density</t>
  </si>
  <si>
    <t>Based on TNO report</t>
  </si>
  <si>
    <t>Costs</t>
  </si>
  <si>
    <t>€/MWh</t>
  </si>
  <si>
    <t>Feedstock costs dry biomass</t>
  </si>
  <si>
    <t>for FT</t>
  </si>
  <si>
    <t>Assumption: biomass feedstock costs for FT process, assumed to be for dry biomass (IEA report)</t>
  </si>
  <si>
    <t>Costs per MJ</t>
  </si>
  <si>
    <t>IEA</t>
  </si>
  <si>
    <t>2020</t>
  </si>
  <si>
    <t>Advanced Biofuels – Potential for Cost Reduction</t>
  </si>
  <si>
    <t>https://task39.ieabioenergy.com/wp-content/uploads/sites/37/2020/02/Advanced-Biofuels-Potential-for-Cost-Reduction-Final-Draft.pdf</t>
  </si>
  <si>
    <t>Difficult to find commodity prices for dry biomass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</si>
</sst>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
    <numFmt numFmtId="167" formatCode="0.000000"/>
    <numFmt numFmtId="168" formatCode="[$-413]mmm\-yy;@"/>
  </numFmts>
  <fonts count="33">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b/>
      <sz val="14"/>
      <color theme="1"/>
      <name val="Calibri"/>
      <family val="2"/>
      <scheme val="minor"/>
    </font>
    <font>
      <sz val="12"/>
      <name val="Calibri"/>
      <family val="2"/>
      <scheme val="minor"/>
    </font>
    <font>
      <b/>
      <sz val="12"/>
      <name val="Calibri"/>
      <family val="2"/>
      <scheme val="minor"/>
    </font>
    <font>
      <sz val="12"/>
      <color rgb="FF000000"/>
      <name val="Calibri"/>
      <family val="2"/>
    </font>
    <font>
      <i/>
      <sz val="12"/>
      <color theme="1"/>
      <name val="Calibri"/>
      <family val="2"/>
      <scheme val="minor"/>
    </font>
    <font>
      <sz val="9"/>
      <name val="Arial"/>
      <family val="2"/>
    </font>
    <font>
      <b/>
      <sz val="12"/>
      <color rgb="FF000000"/>
      <name val="Calibri"/>
      <family val="2"/>
    </font>
    <font>
      <sz val="12"/>
      <color rgb="FF000000"/>
      <name val="Lettertype hoofdtekst"/>
      <family val="2"/>
    </font>
    <font>
      <b/>
      <sz val="12"/>
      <color theme="1"/>
      <name val="Calibri (Body)"/>
    </font>
  </fonts>
  <fills count="13">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rgb="FFFFFFFF"/>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s>
  <borders count="28">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thin">
        <color rgb="FF000000"/>
      </right>
      <top style="thin">
        <color auto="1"/>
      </top>
      <bottom/>
      <diagonal/>
    </border>
    <border>
      <left/>
      <right style="thin">
        <color rgb="FF000000"/>
      </right>
      <top/>
      <bottom/>
      <diagonal/>
    </border>
    <border>
      <left style="thin">
        <color auto="1"/>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s>
  <cellStyleXfs count="349">
    <xf numFmtId="0" fontId="0" fillId="0" borderId="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alignment vertical="top"/>
      <protection locked="0"/>
    </xf>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3" fillId="0" borderId="0"/>
  </cellStyleXfs>
  <cellXfs count="149">
    <xf numFmtId="0" fontId="0" fillId="0" borderId="0" xfId="0"/>
    <xf numFmtId="0" fontId="19" fillId="2" borderId="19" xfId="0" applyFont="1" applyFill="1" applyBorder="1" applyAlignment="1">
      <alignment vertical="center"/>
    </xf>
    <xf numFmtId="0" fontId="19" fillId="2" borderId="5" xfId="0" applyFont="1" applyFill="1" applyBorder="1" applyAlignment="1">
      <alignment vertical="center"/>
    </xf>
    <xf numFmtId="0" fontId="14" fillId="0" borderId="5" xfId="0" applyFont="1" applyBorder="1"/>
    <xf numFmtId="165" fontId="10" fillId="2" borderId="0" xfId="0" applyNumberFormat="1" applyFont="1" applyFill="1" applyAlignment="1">
      <alignment vertical="center"/>
    </xf>
    <xf numFmtId="0" fontId="10" fillId="2" borderId="6" xfId="0" applyFont="1" applyFill="1" applyBorder="1"/>
    <xf numFmtId="0" fontId="10" fillId="2" borderId="0" xfId="0" applyFont="1" applyFill="1"/>
    <xf numFmtId="0" fontId="20" fillId="3" borderId="7" xfId="0" applyFont="1" applyFill="1" applyBorder="1"/>
    <xf numFmtId="0" fontId="21" fillId="3" borderId="17" xfId="0" applyFont="1" applyFill="1" applyBorder="1"/>
    <xf numFmtId="0" fontId="20" fillId="3" borderId="13" xfId="0" applyFont="1" applyFill="1" applyBorder="1"/>
    <xf numFmtId="0" fontId="22" fillId="3" borderId="7" xfId="0" applyFont="1" applyFill="1" applyBorder="1" applyAlignment="1">
      <alignment vertical="center"/>
    </xf>
    <xf numFmtId="2" fontId="20" fillId="3" borderId="8" xfId="0" applyNumberFormat="1" applyFont="1" applyFill="1" applyBorder="1" applyAlignment="1">
      <alignment horizontal="left"/>
    </xf>
    <xf numFmtId="0" fontId="22" fillId="3" borderId="1" xfId="0" applyFont="1" applyFill="1" applyBorder="1" applyAlignment="1">
      <alignment vertical="center"/>
    </xf>
    <xf numFmtId="0" fontId="20" fillId="3" borderId="14" xfId="0" applyFont="1" applyFill="1" applyBorder="1"/>
    <xf numFmtId="0" fontId="20" fillId="3" borderId="0" xfId="0" applyFont="1" applyFill="1"/>
    <xf numFmtId="0" fontId="19" fillId="2" borderId="0" xfId="0" applyFont="1" applyFill="1" applyAlignment="1">
      <alignment vertical="center"/>
    </xf>
    <xf numFmtId="1" fontId="19" fillId="2" borderId="0" xfId="0" applyNumberFormat="1" applyFont="1" applyFill="1" applyAlignment="1">
      <alignment vertical="center"/>
    </xf>
    <xf numFmtId="2" fontId="19" fillId="2" borderId="0" xfId="0" applyNumberFormat="1" applyFont="1" applyFill="1" applyAlignment="1">
      <alignment horizontal="right" vertical="center"/>
    </xf>
    <xf numFmtId="0" fontId="19" fillId="2" borderId="0" xfId="0" applyFont="1" applyFill="1"/>
    <xf numFmtId="0" fontId="19" fillId="2" borderId="9" xfId="0" applyFont="1" applyFill="1" applyBorder="1"/>
    <xf numFmtId="0" fontId="19" fillId="2" borderId="4" xfId="0" applyFont="1" applyFill="1" applyBorder="1"/>
    <xf numFmtId="0" fontId="16" fillId="2" borderId="0" xfId="0" applyFont="1" applyFill="1"/>
    <xf numFmtId="0" fontId="20" fillId="0" borderId="0" xfId="0" applyFont="1"/>
    <xf numFmtId="0" fontId="19" fillId="2" borderId="6" xfId="0" applyFont="1" applyFill="1" applyBorder="1"/>
    <xf numFmtId="0" fontId="20" fillId="3" borderId="17" xfId="0" applyFont="1" applyFill="1" applyBorder="1"/>
    <xf numFmtId="0" fontId="20" fillId="3" borderId="2" xfId="0" applyFont="1" applyFill="1" applyBorder="1"/>
    <xf numFmtId="0" fontId="16" fillId="2" borderId="2" xfId="0" applyFont="1" applyFill="1" applyBorder="1"/>
    <xf numFmtId="0" fontId="23" fillId="3" borderId="0" xfId="0" applyFont="1" applyFill="1"/>
    <xf numFmtId="0" fontId="16" fillId="2" borderId="7" xfId="0" applyFont="1" applyFill="1" applyBorder="1"/>
    <xf numFmtId="0" fontId="19" fillId="0" borderId="0" xfId="0" applyFont="1"/>
    <xf numFmtId="0" fontId="21" fillId="3" borderId="0" xfId="0" applyFont="1" applyFill="1"/>
    <xf numFmtId="0" fontId="19" fillId="2" borderId="0" xfId="0" applyFont="1" applyFill="1" applyAlignment="1">
      <alignment horizontal="left" vertical="center"/>
    </xf>
    <xf numFmtId="0" fontId="15" fillId="2" borderId="0" xfId="0" applyFont="1" applyFill="1"/>
    <xf numFmtId="0" fontId="15" fillId="0" borderId="0" xfId="0" applyFont="1"/>
    <xf numFmtId="0" fontId="15" fillId="2" borderId="3" xfId="0" applyFont="1" applyFill="1" applyBorder="1"/>
    <xf numFmtId="0" fontId="15" fillId="2" borderId="15" xfId="0" applyFont="1" applyFill="1" applyBorder="1"/>
    <xf numFmtId="0" fontId="24" fillId="2" borderId="0" xfId="0" applyFont="1" applyFill="1"/>
    <xf numFmtId="0" fontId="24" fillId="2" borderId="5" xfId="0" applyFont="1" applyFill="1" applyBorder="1"/>
    <xf numFmtId="2" fontId="15" fillId="2" borderId="18" xfId="0" applyNumberFormat="1" applyFont="1" applyFill="1" applyBorder="1"/>
    <xf numFmtId="0" fontId="25" fillId="2" borderId="0" xfId="0" applyFont="1" applyFill="1"/>
    <xf numFmtId="49" fontId="25" fillId="2" borderId="0" xfId="0" applyNumberFormat="1" applyFont="1" applyFill="1"/>
    <xf numFmtId="0" fontId="25" fillId="2" borderId="3" xfId="0" applyFont="1" applyFill="1" applyBorder="1"/>
    <xf numFmtId="0" fontId="25" fillId="2" borderId="4" xfId="0" applyFont="1" applyFill="1" applyBorder="1"/>
    <xf numFmtId="49" fontId="25" fillId="2" borderId="4" xfId="0" applyNumberFormat="1" applyFont="1" applyFill="1" applyBorder="1"/>
    <xf numFmtId="0" fontId="25" fillId="2" borderId="6" xfId="0" applyFont="1" applyFill="1" applyBorder="1"/>
    <xf numFmtId="0" fontId="26" fillId="2" borderId="0" xfId="0" applyFont="1" applyFill="1"/>
    <xf numFmtId="49" fontId="26" fillId="2" borderId="0" xfId="0" applyNumberFormat="1" applyFont="1" applyFill="1"/>
    <xf numFmtId="0" fontId="25" fillId="2" borderId="16" xfId="0" applyFont="1" applyFill="1" applyBorder="1"/>
    <xf numFmtId="0" fontId="26" fillId="2" borderId="9" xfId="0" applyFont="1" applyFill="1" applyBorder="1"/>
    <xf numFmtId="49" fontId="26" fillId="2" borderId="9" xfId="0" applyNumberFormat="1" applyFont="1" applyFill="1" applyBorder="1"/>
    <xf numFmtId="0" fontId="25" fillId="2" borderId="0" xfId="0" applyFont="1" applyFill="1" applyAlignment="1">
      <alignment horizontal="left" vertical="center" indent="2"/>
    </xf>
    <xf numFmtId="0" fontId="25" fillId="2" borderId="0" xfId="0" applyFont="1" applyFill="1" applyAlignment="1">
      <alignment vertical="top" wrapText="1"/>
    </xf>
    <xf numFmtId="49" fontId="25" fillId="2" borderId="0" xfId="0" applyNumberFormat="1" applyFont="1" applyFill="1" applyAlignment="1">
      <alignment vertical="top" wrapText="1"/>
    </xf>
    <xf numFmtId="164" fontId="25" fillId="2" borderId="0" xfId="0" applyNumberFormat="1" applyFont="1" applyFill="1" applyAlignment="1">
      <alignment horizontal="left" vertical="center" indent="2"/>
    </xf>
    <xf numFmtId="2" fontId="19" fillId="2" borderId="9" xfId="0" applyNumberFormat="1" applyFont="1" applyFill="1" applyBorder="1" applyAlignment="1">
      <alignment vertical="center"/>
    </xf>
    <xf numFmtId="0" fontId="25" fillId="4" borderId="0" xfId="0" applyFont="1" applyFill="1" applyAlignment="1">
      <alignment vertical="top"/>
    </xf>
    <xf numFmtId="0" fontId="14" fillId="2" borderId="0" xfId="0" applyFont="1" applyFill="1"/>
    <xf numFmtId="2" fontId="14" fillId="2" borderId="0" xfId="0" applyNumberFormat="1" applyFont="1" applyFill="1"/>
    <xf numFmtId="0" fontId="14" fillId="2" borderId="3" xfId="0" applyFont="1" applyFill="1" applyBorder="1"/>
    <xf numFmtId="0" fontId="14" fillId="2" borderId="4" xfId="0" applyFont="1" applyFill="1" applyBorder="1"/>
    <xf numFmtId="2" fontId="14" fillId="2" borderId="4" xfId="0" applyNumberFormat="1" applyFont="1" applyFill="1" applyBorder="1"/>
    <xf numFmtId="0" fontId="14" fillId="2" borderId="15" xfId="0" applyFont="1" applyFill="1" applyBorder="1"/>
    <xf numFmtId="0" fontId="14" fillId="2" borderId="6" xfId="0" applyFont="1" applyFill="1" applyBorder="1"/>
    <xf numFmtId="0" fontId="14" fillId="2" borderId="0" xfId="0" applyFont="1" applyFill="1" applyAlignment="1">
      <alignment horizontal="left" vertical="center"/>
    </xf>
    <xf numFmtId="1" fontId="14" fillId="2" borderId="0" xfId="0" applyNumberFormat="1" applyFont="1" applyFill="1" applyAlignment="1">
      <alignment vertical="center"/>
    </xf>
    <xf numFmtId="165" fontId="14" fillId="2" borderId="0" xfId="0" applyNumberFormat="1" applyFont="1" applyFill="1" applyAlignment="1">
      <alignment vertical="center"/>
    </xf>
    <xf numFmtId="0" fontId="19" fillId="2" borderId="17" xfId="0" applyFont="1" applyFill="1" applyBorder="1"/>
    <xf numFmtId="0" fontId="13" fillId="2" borderId="2" xfId="0" applyFont="1" applyFill="1" applyBorder="1"/>
    <xf numFmtId="0" fontId="19" fillId="2" borderId="7" xfId="0" applyFont="1" applyFill="1" applyBorder="1"/>
    <xf numFmtId="0" fontId="13" fillId="2" borderId="0" xfId="0" applyFont="1" applyFill="1"/>
    <xf numFmtId="0" fontId="28" fillId="2" borderId="0" xfId="0" applyFont="1" applyFill="1"/>
    <xf numFmtId="0" fontId="13" fillId="2" borderId="18" xfId="0" applyFont="1" applyFill="1" applyBorder="1"/>
    <xf numFmtId="0" fontId="13" fillId="5" borderId="0" xfId="0" applyFont="1" applyFill="1"/>
    <xf numFmtId="0" fontId="13" fillId="6" borderId="0" xfId="0" applyFont="1" applyFill="1"/>
    <xf numFmtId="0" fontId="13" fillId="7" borderId="0" xfId="0" applyFont="1" applyFill="1"/>
    <xf numFmtId="0" fontId="13" fillId="8" borderId="0" xfId="0" applyFont="1" applyFill="1"/>
    <xf numFmtId="0" fontId="13" fillId="2" borderId="7" xfId="0" applyFont="1" applyFill="1" applyBorder="1"/>
    <xf numFmtId="0" fontId="13" fillId="9" borderId="0" xfId="0" applyFont="1" applyFill="1"/>
    <xf numFmtId="0" fontId="13" fillId="10" borderId="0" xfId="0" applyFont="1" applyFill="1"/>
    <xf numFmtId="0" fontId="13" fillId="11" borderId="0" xfId="0" applyFont="1" applyFill="1"/>
    <xf numFmtId="0" fontId="13" fillId="12" borderId="0" xfId="0" applyFont="1" applyFill="1"/>
    <xf numFmtId="0" fontId="19" fillId="2" borderId="16" xfId="0" applyFont="1" applyFill="1" applyBorder="1"/>
    <xf numFmtId="0" fontId="21" fillId="2" borderId="9" xfId="0" applyFont="1" applyFill="1" applyBorder="1"/>
    <xf numFmtId="0" fontId="24" fillId="2" borderId="19" xfId="0" applyFont="1" applyFill="1" applyBorder="1"/>
    <xf numFmtId="2" fontId="19" fillId="2" borderId="0" xfId="0" applyNumberFormat="1" applyFont="1" applyFill="1" applyAlignment="1">
      <alignment horizontal="left" vertical="center"/>
    </xf>
    <xf numFmtId="2" fontId="19" fillId="2" borderId="0" xfId="0" applyNumberFormat="1" applyFont="1" applyFill="1" applyAlignment="1">
      <alignment vertical="center"/>
    </xf>
    <xf numFmtId="0" fontId="19" fillId="2" borderId="9" xfId="0" applyFont="1" applyFill="1" applyBorder="1" applyAlignment="1">
      <alignment vertical="center"/>
    </xf>
    <xf numFmtId="0" fontId="12" fillId="0" borderId="0" xfId="0" applyFont="1"/>
    <xf numFmtId="0" fontId="11" fillId="2" borderId="0" xfId="0" applyFont="1" applyFill="1"/>
    <xf numFmtId="0" fontId="11" fillId="2" borderId="6" xfId="0" applyFont="1" applyFill="1" applyBorder="1"/>
    <xf numFmtId="0" fontId="19" fillId="2" borderId="20" xfId="0" applyFont="1" applyFill="1" applyBorder="1"/>
    <xf numFmtId="0" fontId="19" fillId="2" borderId="21" xfId="0" applyFont="1" applyFill="1" applyBorder="1"/>
    <xf numFmtId="0" fontId="9" fillId="0" borderId="0" xfId="0" applyFont="1"/>
    <xf numFmtId="1" fontId="15" fillId="2" borderId="18" xfId="0" applyNumberFormat="1" applyFont="1" applyFill="1" applyBorder="1"/>
    <xf numFmtId="0" fontId="12" fillId="0" borderId="0" xfId="0" applyFont="1" applyAlignment="1">
      <alignment horizontal="left" indent="2"/>
    </xf>
    <xf numFmtId="0" fontId="9" fillId="0" borderId="0" xfId="0" applyFont="1" applyAlignment="1">
      <alignment horizontal="left" indent="2"/>
    </xf>
    <xf numFmtId="0" fontId="15" fillId="0" borderId="0" xfId="0" applyFont="1" applyAlignment="1">
      <alignment horizontal="left" indent="2"/>
    </xf>
    <xf numFmtId="0" fontId="29" fillId="0" borderId="0" xfId="0" applyFont="1"/>
    <xf numFmtId="0" fontId="9" fillId="2" borderId="0" xfId="0" applyFont="1" applyFill="1" applyAlignment="1">
      <alignment horizontal="left" indent="2"/>
    </xf>
    <xf numFmtId="0" fontId="9" fillId="2" borderId="0" xfId="0" applyFont="1" applyFill="1"/>
    <xf numFmtId="0" fontId="17" fillId="0" borderId="0" xfId="183" applyAlignment="1" applyProtection="1"/>
    <xf numFmtId="164" fontId="25" fillId="2" borderId="0" xfId="0" applyNumberFormat="1" applyFont="1" applyFill="1" applyAlignment="1">
      <alignment vertical="center"/>
    </xf>
    <xf numFmtId="0" fontId="8" fillId="0" borderId="5" xfId="0" applyFont="1" applyBorder="1"/>
    <xf numFmtId="0" fontId="7" fillId="2" borderId="0" xfId="0" applyFont="1" applyFill="1"/>
    <xf numFmtId="0" fontId="7" fillId="2" borderId="10" xfId="0" applyFont="1" applyFill="1" applyBorder="1"/>
    <xf numFmtId="0" fontId="7" fillId="0" borderId="11" xfId="0" applyFont="1" applyBorder="1"/>
    <xf numFmtId="0" fontId="7" fillId="2" borderId="12" xfId="0" applyFont="1" applyFill="1" applyBorder="1"/>
    <xf numFmtId="0" fontId="14" fillId="2" borderId="10" xfId="0" applyFont="1" applyFill="1" applyBorder="1"/>
    <xf numFmtId="0" fontId="14" fillId="2" borderId="11" xfId="0" applyFont="1" applyFill="1" applyBorder="1"/>
    <xf numFmtId="2" fontId="14" fillId="2" borderId="11" xfId="0" applyNumberFormat="1" applyFont="1" applyFill="1" applyBorder="1"/>
    <xf numFmtId="0" fontId="14" fillId="2" borderId="12" xfId="0" applyFont="1" applyFill="1" applyBorder="1"/>
    <xf numFmtId="0" fontId="30" fillId="4" borderId="0" xfId="0" applyFont="1" applyFill="1"/>
    <xf numFmtId="0" fontId="16" fillId="2" borderId="13" xfId="0" applyFont="1" applyFill="1" applyBorder="1"/>
    <xf numFmtId="0" fontId="16" fillId="2" borderId="8" xfId="0" applyFont="1" applyFill="1" applyBorder="1"/>
    <xf numFmtId="0" fontId="16" fillId="2" borderId="1" xfId="0" applyFont="1" applyFill="1" applyBorder="1"/>
    <xf numFmtId="0" fontId="16" fillId="2" borderId="9" xfId="0" applyFont="1" applyFill="1" applyBorder="1"/>
    <xf numFmtId="0" fontId="16" fillId="2" borderId="14" xfId="0" applyFont="1" applyFill="1" applyBorder="1"/>
    <xf numFmtId="0" fontId="6" fillId="0" borderId="0" xfId="0" applyFont="1" applyAlignment="1">
      <alignment horizontal="left" indent="2"/>
    </xf>
    <xf numFmtId="0" fontId="6" fillId="2" borderId="0" xfId="0" applyFont="1" applyFill="1"/>
    <xf numFmtId="0" fontId="27" fillId="4" borderId="0" xfId="0" applyFont="1" applyFill="1"/>
    <xf numFmtId="0" fontId="31" fillId="0" borderId="0" xfId="0" applyFont="1"/>
    <xf numFmtId="0" fontId="6" fillId="0" borderId="5" xfId="0" applyFont="1" applyBorder="1"/>
    <xf numFmtId="0" fontId="5" fillId="0" borderId="0" xfId="0" applyFont="1"/>
    <xf numFmtId="0" fontId="4" fillId="2" borderId="18" xfId="0" applyFont="1" applyFill="1" applyBorder="1"/>
    <xf numFmtId="167" fontId="19" fillId="2" borderId="27" xfId="0" applyNumberFormat="1" applyFont="1" applyFill="1" applyBorder="1" applyAlignment="1">
      <alignment horizontal="right" vertical="center"/>
    </xf>
    <xf numFmtId="0" fontId="3" fillId="0" borderId="5" xfId="0" applyFont="1" applyBorder="1"/>
    <xf numFmtId="0" fontId="2" fillId="2" borderId="0" xfId="0" applyFont="1" applyFill="1"/>
    <xf numFmtId="168" fontId="2" fillId="2" borderId="0" xfId="0" applyNumberFormat="1" applyFont="1" applyFill="1"/>
    <xf numFmtId="49" fontId="2" fillId="2" borderId="0" xfId="0" applyNumberFormat="1" applyFont="1" applyFill="1"/>
    <xf numFmtId="0" fontId="17" fillId="2" borderId="0" xfId="183" applyFill="1" applyAlignment="1" applyProtection="1"/>
    <xf numFmtId="0" fontId="29" fillId="2" borderId="0" xfId="0" applyFont="1" applyFill="1"/>
    <xf numFmtId="0" fontId="0" fillId="2" borderId="0" xfId="0" applyFill="1"/>
    <xf numFmtId="165" fontId="19" fillId="2" borderId="27" xfId="0" applyNumberFormat="1" applyFont="1" applyFill="1" applyBorder="1" applyAlignment="1">
      <alignment horizontal="right" vertical="center"/>
    </xf>
    <xf numFmtId="165" fontId="15" fillId="2" borderId="18" xfId="0" applyNumberFormat="1" applyFont="1" applyFill="1" applyBorder="1"/>
    <xf numFmtId="164" fontId="15" fillId="2" borderId="18" xfId="0" applyNumberFormat="1" applyFont="1" applyFill="1" applyBorder="1"/>
    <xf numFmtId="0" fontId="2" fillId="2" borderId="18" xfId="0" applyFont="1" applyFill="1" applyBorder="1"/>
    <xf numFmtId="0" fontId="27" fillId="4" borderId="17" xfId="0" applyFont="1" applyFill="1" applyBorder="1" applyAlignment="1">
      <alignment horizontal="left" vertical="top" wrapText="1"/>
    </xf>
    <xf numFmtId="0" fontId="27" fillId="4" borderId="2" xfId="0" applyFont="1" applyFill="1" applyBorder="1" applyAlignment="1">
      <alignment horizontal="left" vertical="top" wrapText="1"/>
    </xf>
    <xf numFmtId="0" fontId="27" fillId="4" borderId="22" xfId="0" applyFont="1" applyFill="1" applyBorder="1" applyAlignment="1">
      <alignment horizontal="left" vertical="top" wrapText="1"/>
    </xf>
    <xf numFmtId="0" fontId="27" fillId="4" borderId="7" xfId="0" applyFont="1" applyFill="1" applyBorder="1" applyAlignment="1">
      <alignment horizontal="left" vertical="top" wrapText="1"/>
    </xf>
    <xf numFmtId="0" fontId="27" fillId="4" borderId="0" xfId="0" applyFont="1" applyFill="1" applyAlignment="1">
      <alignment horizontal="left" vertical="top" wrapText="1"/>
    </xf>
    <xf numFmtId="0" fontId="27" fillId="4" borderId="23" xfId="0" applyFont="1" applyFill="1" applyBorder="1" applyAlignment="1">
      <alignment horizontal="left" vertical="top" wrapText="1"/>
    </xf>
    <xf numFmtId="0" fontId="27" fillId="4" borderId="24" xfId="0" applyFont="1" applyFill="1" applyBorder="1" applyAlignment="1">
      <alignment horizontal="left" vertical="top" wrapText="1"/>
    </xf>
    <xf numFmtId="0" fontId="27" fillId="4" borderId="25" xfId="0" applyFont="1" applyFill="1" applyBorder="1" applyAlignment="1">
      <alignment horizontal="left" vertical="top" wrapText="1"/>
    </xf>
    <xf numFmtId="0" fontId="27" fillId="4" borderId="26" xfId="0" applyFont="1" applyFill="1" applyBorder="1" applyAlignment="1">
      <alignment horizontal="left" vertical="top" wrapText="1"/>
    </xf>
    <xf numFmtId="0" fontId="32" fillId="2" borderId="0" xfId="0" applyFont="1" applyFill="1"/>
    <xf numFmtId="0" fontId="1" fillId="2" borderId="0" xfId="0" applyFont="1" applyFill="1"/>
    <xf numFmtId="0" fontId="17" fillId="4" borderId="0" xfId="183" applyFill="1" applyAlignment="1" applyProtection="1">
      <alignment vertical="top"/>
    </xf>
    <xf numFmtId="167" fontId="15" fillId="2" borderId="18" xfId="0" applyNumberFormat="1" applyFont="1" applyFill="1" applyBorder="1"/>
  </cellXfs>
  <cellStyles count="349">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180" builtinId="9" hidden="1"/>
    <cellStyle name="Followed Hyperlink" xfId="182" builtinId="9" hidden="1"/>
    <cellStyle name="Followed Hyperlink" xfId="179" builtinId="9" hidden="1"/>
    <cellStyle name="Followed Hyperlink" xfId="181" builtinId="9" hidden="1"/>
    <cellStyle name="Followed Hyperlink" xfId="178" builtinId="9" hidden="1"/>
    <cellStyle name="Followed Hyperlink" xfId="177"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4" builtinId="9" hidden="1"/>
    <cellStyle name="Followed Hyperlink" xfId="275"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Followed Hyperlink" xfId="340" builtinId="9" hidden="1"/>
    <cellStyle name="Followed Hyperlink" xfId="341" builtinId="9" hidden="1"/>
    <cellStyle name="Followed Hyperlink" xfId="342" builtinId="9" hidden="1"/>
    <cellStyle name="Followed Hyperlink" xfId="343" builtinId="9" hidden="1"/>
    <cellStyle name="Followed Hyperlink" xfId="344" builtinId="9" hidden="1"/>
    <cellStyle name="Followed Hyperlink" xfId="345" builtinId="9" hidden="1"/>
    <cellStyle name="Followed Hyperlink" xfId="346" builtinId="9" hidden="1"/>
    <cellStyle name="Followed Hyperlink" xfId="347"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83" builtinId="8"/>
    <cellStyle name="Normal" xfId="0" builtinId="0"/>
    <cellStyle name="Normal 2" xfId="348" xr:uid="{6E3E4480-86E4-8643-AAB4-7EFB45E81189}"/>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14</xdr:col>
      <xdr:colOff>0</xdr:colOff>
      <xdr:row>3</xdr:row>
      <xdr:rowOff>0</xdr:rowOff>
    </xdr:from>
    <xdr:to>
      <xdr:col>26</xdr:col>
      <xdr:colOff>268357</xdr:colOff>
      <xdr:row>37</xdr:row>
      <xdr:rowOff>162892</xdr:rowOff>
    </xdr:to>
    <xdr:pic>
      <xdr:nvPicPr>
        <xdr:cNvPr id="3" name="Picture 2">
          <a:extLst>
            <a:ext uri="{FF2B5EF4-FFF2-40B4-BE49-F238E27FC236}">
              <a16:creationId xmlns:a16="http://schemas.microsoft.com/office/drawing/2014/main" id="{BC4A7C59-D8CC-FD72-1E7A-D4D963B33B07}"/>
            </a:ext>
          </a:extLst>
        </xdr:cNvPr>
        <xdr:cNvPicPr>
          <a:picLocks noChangeAspect="1"/>
        </xdr:cNvPicPr>
      </xdr:nvPicPr>
      <xdr:blipFill>
        <a:blip xmlns:r="http://schemas.openxmlformats.org/officeDocument/2006/relationships" r:embed="rId1"/>
        <a:stretch>
          <a:fillRect/>
        </a:stretch>
      </xdr:blipFill>
      <xdr:spPr>
        <a:xfrm>
          <a:off x="7608957" y="1214783"/>
          <a:ext cx="6629400" cy="6921500"/>
        </a:xfrm>
        <a:prstGeom prst="rect">
          <a:avLst/>
        </a:prstGeom>
      </xdr:spPr>
    </xdr:pic>
    <xdr:clientData/>
  </xdr:twoCellAnchor>
  <xdr:twoCellAnchor editAs="oneCell">
    <xdr:from>
      <xdr:col>13</xdr:col>
      <xdr:colOff>325120</xdr:colOff>
      <xdr:row>40</xdr:row>
      <xdr:rowOff>0</xdr:rowOff>
    </xdr:from>
    <xdr:to>
      <xdr:col>28</xdr:col>
      <xdr:colOff>134424</xdr:colOff>
      <xdr:row>70</xdr:row>
      <xdr:rowOff>38868</xdr:rowOff>
    </xdr:to>
    <xdr:pic>
      <xdr:nvPicPr>
        <xdr:cNvPr id="2" name="Picture 1">
          <a:extLst>
            <a:ext uri="{FF2B5EF4-FFF2-40B4-BE49-F238E27FC236}">
              <a16:creationId xmlns:a16="http://schemas.microsoft.com/office/drawing/2014/main" id="{7AF2D0C0-2C99-464B-B9C0-C6CD49407927}"/>
            </a:ext>
          </a:extLst>
        </xdr:cNvPr>
        <xdr:cNvPicPr>
          <a:picLocks noChangeAspect="1"/>
        </xdr:cNvPicPr>
      </xdr:nvPicPr>
      <xdr:blipFill>
        <a:blip xmlns:r="http://schemas.openxmlformats.org/officeDocument/2006/relationships" r:embed="rId2"/>
        <a:stretch>
          <a:fillRect/>
        </a:stretch>
      </xdr:blipFill>
      <xdr:spPr>
        <a:xfrm>
          <a:off x="9438640" y="8544560"/>
          <a:ext cx="7886504" cy="613486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alexander/Git/etdataset/nodes_source_analyses/agriculture/6_residences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Corrected energy balance step 2"/>
      <sheetName val="technical_specs"/>
      <sheetName val="Application Shares"/>
      <sheetName val="Technology Shares"/>
      <sheetName val="Houses Shares"/>
      <sheetName val="Final demand per energy carrier"/>
      <sheetName val="Technology split final demand"/>
      <sheetName val="Electricity producer Shares"/>
      <sheetName val="Fuel aggregation"/>
      <sheetName val="Useful-final demand percentage"/>
      <sheetName val="csv_final_demand_coal"/>
      <sheetName val="csv_final_demand_crude_oil"/>
      <sheetName val="csv_final_demand_network_gas"/>
      <sheetName val="csv_final_demand_woodpellets"/>
      <sheetName val="csv_final_demand_electricity"/>
      <sheetName val="csv_final_demand_steam"/>
      <sheetName val="csv_cooling_electricity"/>
      <sheetName val="csv_heating_network_gas"/>
      <sheetName val="csv_heating_electricity"/>
      <sheetName val="csv_heating_heat_pump"/>
      <sheetName val="csv_water_network_gas"/>
      <sheetName val="csv_water_electricity"/>
      <sheetName val="csv_cooking_electricity"/>
      <sheetName val="csv_lighting_electricity"/>
      <sheetName val="csv_appliances_electricity"/>
      <sheetName val="csv_solar_thermal_heater"/>
      <sheetName val="csv_cooling_old-new"/>
      <sheetName val="csv_heating_old-new"/>
      <sheetName val="csv_cooling_insulation_old"/>
      <sheetName val="csv_cooling_insulation_new"/>
      <sheetName val="csv_heating_insulation_new"/>
      <sheetName val="csv_heating_insulation_old"/>
      <sheetName val="csv_heating_micro_chp_gas"/>
      <sheetName val="csv_water_micro_chp_gas"/>
      <sheetName val="csv_water_fuell_cell_gas"/>
      <sheetName val="csv_solar_space_heating_chld"/>
      <sheetName val="csv_solar_hot_water_chld"/>
      <sheetName val="csv_add_on_space_heating_child"/>
      <sheetName val="csv_add_on_hot water_child"/>
      <sheetName val="csv_hot_water_from_el_add_on"/>
      <sheetName val="csv_export_to_area_analys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11">
          <cell r="L11">
            <v>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hyperlink" Target="https://task39.ieabioenergy.com/wp-content/uploads/sites/37/2020/02/Advanced-Biofuels-Potential-for-Cost-Reduction-Final-Draft.pdf" TargetMode="External"/><Relationship Id="rId1" Type="http://schemas.openxmlformats.org/officeDocument/2006/relationships/hyperlink" Target="https://repository.tno.nl/SingleDoc?find=UID%202f9779a2-dd73-4f7f-9494-a44ddb7550d6"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D24"/>
  <sheetViews>
    <sheetView zoomScale="131" workbookViewId="0">
      <selection activeCell="C13" sqref="C13"/>
    </sheetView>
  </sheetViews>
  <sheetFormatPr baseColWidth="10" defaultColWidth="10.83203125" defaultRowHeight="16"/>
  <cols>
    <col min="1" max="1" width="3.5" style="28" customWidth="1"/>
    <col min="2" max="2" width="9.1640625" style="21" customWidth="1"/>
    <col min="3" max="3" width="44.1640625" style="21" customWidth="1"/>
    <col min="4" max="4" width="2.1640625" style="21" customWidth="1"/>
    <col min="5" max="16384" width="10.83203125" style="21"/>
  </cols>
  <sheetData>
    <row r="1" spans="1:4" s="26" customFormat="1">
      <c r="A1" s="24"/>
      <c r="B1" s="25"/>
      <c r="C1" s="25"/>
    </row>
    <row r="2" spans="1:4" ht="21">
      <c r="A2" s="7"/>
      <c r="B2" s="27" t="s">
        <v>6</v>
      </c>
      <c r="C2" s="27"/>
    </row>
    <row r="3" spans="1:4">
      <c r="A3" s="7"/>
      <c r="B3" s="14"/>
      <c r="C3" s="14"/>
    </row>
    <row r="4" spans="1:4">
      <c r="A4" s="7"/>
      <c r="B4" s="8" t="s">
        <v>44</v>
      </c>
      <c r="C4" s="9" t="s">
        <v>64</v>
      </c>
    </row>
    <row r="5" spans="1:4">
      <c r="A5" s="7"/>
      <c r="B5" s="10" t="s">
        <v>13</v>
      </c>
      <c r="C5" s="11" t="s">
        <v>63</v>
      </c>
    </row>
    <row r="6" spans="1:4">
      <c r="A6" s="7"/>
      <c r="B6" s="12" t="s">
        <v>8</v>
      </c>
      <c r="C6" s="13" t="s">
        <v>9</v>
      </c>
    </row>
    <row r="7" spans="1:4">
      <c r="A7" s="7"/>
      <c r="B7" s="14"/>
      <c r="C7" s="14"/>
    </row>
    <row r="8" spans="1:4">
      <c r="A8" s="7"/>
      <c r="B8" s="14"/>
      <c r="C8" s="14"/>
    </row>
    <row r="9" spans="1:4">
      <c r="A9" s="7"/>
      <c r="B9" s="66" t="s">
        <v>14</v>
      </c>
      <c r="C9" s="67"/>
      <c r="D9" s="112"/>
    </row>
    <row r="10" spans="1:4">
      <c r="A10" s="7"/>
      <c r="B10" s="68"/>
      <c r="C10" s="69"/>
      <c r="D10" s="113"/>
    </row>
    <row r="11" spans="1:4">
      <c r="A11" s="7"/>
      <c r="B11" s="68" t="s">
        <v>15</v>
      </c>
      <c r="C11" s="70" t="s">
        <v>16</v>
      </c>
      <c r="D11" s="113"/>
    </row>
    <row r="12" spans="1:4" ht="17" thickBot="1">
      <c r="A12" s="7"/>
      <c r="B12" s="68"/>
      <c r="C12" s="18" t="s">
        <v>17</v>
      </c>
      <c r="D12" s="113"/>
    </row>
    <row r="13" spans="1:4" ht="17" thickBot="1">
      <c r="A13" s="7"/>
      <c r="B13" s="68"/>
      <c r="C13" s="71" t="s">
        <v>18</v>
      </c>
      <c r="D13" s="113"/>
    </row>
    <row r="14" spans="1:4">
      <c r="A14" s="7"/>
      <c r="B14" s="68"/>
      <c r="C14" s="69" t="s">
        <v>19</v>
      </c>
      <c r="D14" s="113"/>
    </row>
    <row r="15" spans="1:4">
      <c r="A15" s="7"/>
      <c r="B15" s="68"/>
      <c r="C15" s="69"/>
      <c r="D15" s="113"/>
    </row>
    <row r="16" spans="1:4">
      <c r="A16" s="7"/>
      <c r="B16" s="68" t="s">
        <v>20</v>
      </c>
      <c r="C16" s="72" t="s">
        <v>21</v>
      </c>
      <c r="D16" s="113"/>
    </row>
    <row r="17" spans="1:4">
      <c r="A17" s="7"/>
      <c r="B17" s="68"/>
      <c r="C17" s="73" t="s">
        <v>22</v>
      </c>
      <c r="D17" s="113"/>
    </row>
    <row r="18" spans="1:4">
      <c r="A18" s="7"/>
      <c r="B18" s="68"/>
      <c r="C18" s="74" t="s">
        <v>23</v>
      </c>
      <c r="D18" s="113"/>
    </row>
    <row r="19" spans="1:4">
      <c r="A19" s="7"/>
      <c r="B19" s="68"/>
      <c r="C19" s="75" t="s">
        <v>24</v>
      </c>
      <c r="D19" s="113"/>
    </row>
    <row r="20" spans="1:4">
      <c r="A20" s="7"/>
      <c r="B20" s="76"/>
      <c r="C20" s="77" t="s">
        <v>25</v>
      </c>
      <c r="D20" s="113"/>
    </row>
    <row r="21" spans="1:4">
      <c r="A21" s="7"/>
      <c r="B21" s="76"/>
      <c r="C21" s="78" t="s">
        <v>26</v>
      </c>
      <c r="D21" s="113"/>
    </row>
    <row r="22" spans="1:4">
      <c r="A22" s="7"/>
      <c r="B22" s="76"/>
      <c r="C22" s="79" t="s">
        <v>27</v>
      </c>
      <c r="D22" s="113"/>
    </row>
    <row r="23" spans="1:4">
      <c r="B23" s="76"/>
      <c r="C23" s="80" t="s">
        <v>28</v>
      </c>
      <c r="D23" s="113"/>
    </row>
    <row r="24" spans="1:4">
      <c r="B24" s="114"/>
      <c r="C24" s="115"/>
      <c r="D24" s="116"/>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B2:J12"/>
  <sheetViews>
    <sheetView zoomScale="130" workbookViewId="0">
      <selection activeCell="D18" sqref="D18"/>
    </sheetView>
  </sheetViews>
  <sheetFormatPr baseColWidth="10" defaultColWidth="10.83203125" defaultRowHeight="16"/>
  <cols>
    <col min="1" max="1" width="3.33203125" style="32" customWidth="1"/>
    <col min="2" max="2" width="3.6640625" style="32" customWidth="1"/>
    <col min="3" max="3" width="46" style="32" customWidth="1"/>
    <col min="4" max="4" width="12.6640625" style="32" customWidth="1"/>
    <col min="5" max="5" width="17.5" style="32" customWidth="1"/>
    <col min="6" max="6" width="4.5" style="32" customWidth="1"/>
    <col min="7" max="7" width="45" style="32" customWidth="1"/>
    <col min="8" max="8" width="5.1640625" style="32" customWidth="1"/>
    <col min="9" max="9" width="51.5" style="32" customWidth="1"/>
    <col min="10" max="10" width="5.5" style="32" customWidth="1"/>
    <col min="11" max="16384" width="10.83203125" style="32"/>
  </cols>
  <sheetData>
    <row r="2" spans="2:10" ht="15" customHeight="1">
      <c r="B2" s="136" t="s">
        <v>47</v>
      </c>
      <c r="C2" s="137"/>
      <c r="D2" s="137"/>
      <c r="E2" s="138"/>
    </row>
    <row r="3" spans="2:10">
      <c r="B3" s="139"/>
      <c r="C3" s="140"/>
      <c r="D3" s="140"/>
      <c r="E3" s="141"/>
    </row>
    <row r="4" spans="2:10" ht="59" customHeight="1">
      <c r="B4" s="142"/>
      <c r="C4" s="143"/>
      <c r="D4" s="143"/>
      <c r="E4" s="144"/>
    </row>
    <row r="5" spans="2:10" ht="17" thickBot="1"/>
    <row r="6" spans="2:10">
      <c r="B6" s="34"/>
      <c r="C6" s="20"/>
      <c r="D6" s="20"/>
      <c r="E6" s="20"/>
      <c r="F6" s="20"/>
      <c r="G6" s="20"/>
      <c r="H6" s="20"/>
      <c r="I6" s="20"/>
      <c r="J6" s="35"/>
    </row>
    <row r="7" spans="2:10" s="36" customFormat="1" ht="19">
      <c r="B7" s="81"/>
      <c r="C7" s="19" t="s">
        <v>12</v>
      </c>
      <c r="D7" s="82" t="s">
        <v>4</v>
      </c>
      <c r="E7" s="19" t="s">
        <v>2</v>
      </c>
      <c r="F7" s="19"/>
      <c r="G7" s="19" t="s">
        <v>3</v>
      </c>
      <c r="H7" s="19"/>
      <c r="I7" s="19" t="s">
        <v>0</v>
      </c>
      <c r="J7" s="83"/>
    </row>
    <row r="8" spans="2:10" s="36" customFormat="1" ht="19">
      <c r="B8" s="23"/>
      <c r="C8" s="18"/>
      <c r="D8" s="30"/>
      <c r="E8" s="18"/>
      <c r="F8" s="18"/>
      <c r="G8" s="18"/>
      <c r="H8" s="18"/>
      <c r="I8" s="18"/>
      <c r="J8" s="37"/>
    </row>
    <row r="9" spans="2:10" s="36" customFormat="1" ht="20" thickBot="1">
      <c r="B9" s="23"/>
      <c r="C9" s="111" t="s">
        <v>45</v>
      </c>
      <c r="D9" s="30"/>
      <c r="E9" s="18"/>
      <c r="F9" s="18"/>
      <c r="G9" s="18"/>
      <c r="H9" s="18"/>
      <c r="I9" s="18"/>
      <c r="J9" s="37"/>
    </row>
    <row r="10" spans="2:10" s="36" customFormat="1" ht="20" thickBot="1">
      <c r="B10" s="23"/>
      <c r="C10" s="87" t="s">
        <v>33</v>
      </c>
      <c r="D10" s="22" t="s">
        <v>1</v>
      </c>
      <c r="E10" s="93">
        <f>'Research data'!G6</f>
        <v>1</v>
      </c>
      <c r="F10" s="33"/>
      <c r="G10" s="92" t="s">
        <v>36</v>
      </c>
      <c r="H10" s="29"/>
      <c r="I10" s="123" t="s">
        <v>37</v>
      </c>
      <c r="J10" s="37"/>
    </row>
    <row r="11" spans="2:10" s="36" customFormat="1" ht="20" thickBot="1">
      <c r="B11" s="23"/>
      <c r="C11" s="92" t="s">
        <v>43</v>
      </c>
      <c r="D11" s="22" t="s">
        <v>40</v>
      </c>
      <c r="E11" s="134">
        <f>'Research data'!G8</f>
        <v>11.6</v>
      </c>
      <c r="F11" s="33"/>
      <c r="G11" s="92"/>
      <c r="H11" s="29"/>
      <c r="I11" s="135" t="s">
        <v>48</v>
      </c>
      <c r="J11" s="37"/>
    </row>
    <row r="12" spans="2:10" s="103" customFormat="1" ht="17" thickBot="1">
      <c r="B12" s="104"/>
      <c r="C12" s="105"/>
      <c r="D12" s="105"/>
      <c r="E12" s="105"/>
      <c r="F12" s="105"/>
      <c r="G12" s="105"/>
      <c r="H12" s="105"/>
      <c r="I12" s="105"/>
      <c r="J12" s="106"/>
    </row>
  </sheetData>
  <mergeCells count="1">
    <mergeCell ref="B2:E4"/>
  </mergeCells>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6" tint="0.39997558519241921"/>
  </sheetPr>
  <dimension ref="B1:M12"/>
  <sheetViews>
    <sheetView zoomScale="141" workbookViewId="0">
      <selection activeCell="G7" sqref="G7"/>
    </sheetView>
  </sheetViews>
  <sheetFormatPr baseColWidth="10" defaultColWidth="10.83203125" defaultRowHeight="16"/>
  <cols>
    <col min="1" max="2" width="3.5" style="56" customWidth="1"/>
    <col min="3" max="3" width="35.83203125" style="56" customWidth="1"/>
    <col min="4" max="4" width="16.5" style="56" hidden="1" customWidth="1"/>
    <col min="5" max="5" width="13.83203125" style="56" hidden="1" customWidth="1"/>
    <col min="6" max="6" width="12.5" style="56" customWidth="1"/>
    <col min="7" max="7" width="15.6640625" style="56" customWidth="1"/>
    <col min="8" max="8" width="4.6640625" style="56" customWidth="1"/>
    <col min="9" max="9" width="9.83203125" style="57" customWidth="1"/>
    <col min="10" max="10" width="3" style="57" customWidth="1"/>
    <col min="11" max="11" width="24" style="57" customWidth="1"/>
    <col min="12" max="12" width="2.6640625" style="57" customWidth="1"/>
    <col min="13" max="13" width="60" style="56" customWidth="1"/>
    <col min="14" max="16384" width="10.83203125" style="56"/>
  </cols>
  <sheetData>
    <row r="1" spans="2:13" ht="17" thickBot="1"/>
    <row r="2" spans="2:13">
      <c r="B2" s="58"/>
      <c r="C2" s="59"/>
      <c r="D2" s="59"/>
      <c r="E2" s="59"/>
      <c r="F2" s="59"/>
      <c r="G2" s="59"/>
      <c r="H2" s="59"/>
      <c r="I2" s="60"/>
      <c r="J2" s="60"/>
      <c r="K2" s="60"/>
      <c r="L2" s="60"/>
      <c r="M2" s="61"/>
    </row>
    <row r="3" spans="2:13" s="18" customFormat="1">
      <c r="B3" s="23"/>
      <c r="C3" s="86" t="s">
        <v>29</v>
      </c>
      <c r="D3" s="15"/>
      <c r="E3" s="15"/>
      <c r="F3" s="86" t="s">
        <v>4</v>
      </c>
      <c r="G3" s="86" t="s">
        <v>25</v>
      </c>
      <c r="H3" s="86"/>
      <c r="I3" s="54" t="s">
        <v>74</v>
      </c>
      <c r="J3" s="54"/>
      <c r="K3" s="54" t="s">
        <v>48</v>
      </c>
      <c r="L3" s="54"/>
      <c r="M3" s="1" t="s">
        <v>30</v>
      </c>
    </row>
    <row r="4" spans="2:13">
      <c r="B4" s="62"/>
      <c r="C4" s="63"/>
      <c r="D4" s="63"/>
      <c r="E4" s="63"/>
      <c r="F4" s="63"/>
      <c r="G4" s="64"/>
      <c r="H4" s="64"/>
      <c r="I4" s="84"/>
      <c r="J4" s="84"/>
      <c r="K4" s="84"/>
      <c r="L4" s="85"/>
      <c r="M4" s="2"/>
    </row>
    <row r="5" spans="2:13" ht="17" thickBot="1">
      <c r="B5" s="62"/>
      <c r="C5" s="18" t="s">
        <v>42</v>
      </c>
      <c r="D5" s="31"/>
      <c r="E5" s="31"/>
      <c r="F5" s="31"/>
      <c r="G5" s="16"/>
      <c r="H5" s="16"/>
      <c r="I5" s="16"/>
      <c r="J5" s="16"/>
      <c r="K5" s="16"/>
      <c r="L5" s="16"/>
      <c r="M5" s="3"/>
    </row>
    <row r="6" spans="2:13" ht="17" thickBot="1">
      <c r="B6" s="62"/>
      <c r="C6" s="94" t="s">
        <v>33</v>
      </c>
      <c r="D6" s="94" t="s">
        <v>33</v>
      </c>
      <c r="E6" s="94" t="s">
        <v>33</v>
      </c>
      <c r="F6" s="22" t="s">
        <v>1</v>
      </c>
      <c r="G6" s="38">
        <v>1</v>
      </c>
      <c r="H6" s="65"/>
      <c r="I6" s="17"/>
      <c r="J6" s="17"/>
      <c r="K6" s="17"/>
      <c r="L6" s="16"/>
      <c r="M6" s="3"/>
    </row>
    <row r="7" spans="2:13" s="6" customFormat="1" ht="17" thickBot="1">
      <c r="B7" s="5"/>
      <c r="C7" s="95" t="s">
        <v>34</v>
      </c>
      <c r="D7" s="95" t="s">
        <v>34</v>
      </c>
      <c r="E7" s="95" t="s">
        <v>34</v>
      </c>
      <c r="F7" s="22" t="s">
        <v>41</v>
      </c>
      <c r="G7" s="148">
        <f>ROUND(I7,5)</f>
        <v>5.5599999999999998E-3</v>
      </c>
      <c r="H7" s="4"/>
      <c r="I7" s="124">
        <f>Notes!D22</f>
        <v>5.5555555555555558E-3</v>
      </c>
      <c r="J7" s="17"/>
      <c r="K7" s="17"/>
      <c r="L7" s="16"/>
      <c r="M7" s="125"/>
    </row>
    <row r="8" spans="2:13" s="6" customFormat="1" ht="17" thickBot="1">
      <c r="B8" s="5"/>
      <c r="C8" s="95" t="s">
        <v>43</v>
      </c>
      <c r="D8" s="95" t="s">
        <v>39</v>
      </c>
      <c r="E8" s="95" t="s">
        <v>39</v>
      </c>
      <c r="F8" s="22" t="s">
        <v>40</v>
      </c>
      <c r="G8" s="133">
        <f>ROUND(K8,3)</f>
        <v>11.6</v>
      </c>
      <c r="H8" s="4"/>
      <c r="I8" s="17"/>
      <c r="J8" s="17"/>
      <c r="K8" s="132">
        <f>Notes!D14</f>
        <v>11.6</v>
      </c>
      <c r="L8" s="16"/>
      <c r="M8" s="102"/>
    </row>
    <row r="9" spans="2:13" s="6" customFormat="1" ht="17" thickBot="1">
      <c r="B9" s="5"/>
      <c r="C9" s="96" t="s">
        <v>35</v>
      </c>
      <c r="D9" s="96" t="s">
        <v>35</v>
      </c>
      <c r="E9" s="96" t="s">
        <v>35</v>
      </c>
      <c r="F9" s="22" t="s">
        <v>38</v>
      </c>
      <c r="G9" s="133">
        <f t="shared" ref="G9" si="0">I9</f>
        <v>0</v>
      </c>
      <c r="H9" s="4"/>
      <c r="I9" s="17"/>
      <c r="J9" s="17"/>
      <c r="K9" s="132">
        <v>0</v>
      </c>
      <c r="L9" s="16"/>
      <c r="M9" s="3"/>
    </row>
    <row r="10" spans="2:13" s="6" customFormat="1" ht="17" thickBot="1">
      <c r="B10" s="5"/>
      <c r="C10" s="117" t="s">
        <v>46</v>
      </c>
      <c r="D10" s="96" t="s">
        <v>35</v>
      </c>
      <c r="E10" s="96" t="s">
        <v>35</v>
      </c>
      <c r="F10" s="22" t="s">
        <v>38</v>
      </c>
      <c r="G10" s="133">
        <f>ROUND(K10,3)</f>
        <v>0.1</v>
      </c>
      <c r="H10" s="4"/>
      <c r="I10" s="17"/>
      <c r="J10" s="17"/>
      <c r="K10" s="132">
        <f>Notes!D13</f>
        <v>0.1</v>
      </c>
      <c r="L10" s="16"/>
      <c r="M10" s="121"/>
    </row>
    <row r="11" spans="2:13" ht="17" thickBot="1">
      <c r="B11" s="107"/>
      <c r="C11" s="108"/>
      <c r="D11" s="108"/>
      <c r="E11" s="108"/>
      <c r="F11" s="108"/>
      <c r="G11" s="108"/>
      <c r="H11" s="108"/>
      <c r="I11" s="108"/>
      <c r="J11" s="109"/>
      <c r="K11" s="109"/>
      <c r="L11" s="109"/>
      <c r="M11" s="110"/>
    </row>
    <row r="12" spans="2:13">
      <c r="I12" s="56"/>
    </row>
  </sheetData>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L11"/>
  <sheetViews>
    <sheetView zoomScale="141" workbookViewId="0">
      <selection activeCell="C7" sqref="C7:L10"/>
    </sheetView>
  </sheetViews>
  <sheetFormatPr baseColWidth="10" defaultColWidth="33.1640625" defaultRowHeight="16"/>
  <cols>
    <col min="1" max="1" width="3.33203125" style="39" customWidth="1"/>
    <col min="2" max="2" width="3.5" style="39" customWidth="1"/>
    <col min="3" max="3" width="28.6640625" style="39" customWidth="1"/>
    <col min="4" max="4" width="3.1640625" style="39" customWidth="1"/>
    <col min="5" max="5" width="16.1640625" style="39" customWidth="1"/>
    <col min="6" max="6" width="5" style="39" customWidth="1"/>
    <col min="7" max="7" width="10.33203125" style="39" customWidth="1"/>
    <col min="8" max="8" width="12.1640625" style="39" customWidth="1"/>
    <col min="9" max="9" width="40" style="39" bestFit="1" customWidth="1"/>
    <col min="10" max="10" width="12.1640625" style="39" customWidth="1"/>
    <col min="11" max="11" width="33.1640625" style="40" customWidth="1"/>
    <col min="12" max="12" width="87.33203125" style="39" customWidth="1"/>
    <col min="13" max="16384" width="33.1640625" style="39"/>
  </cols>
  <sheetData>
    <row r="1" spans="2:12" ht="17" thickBot="1"/>
    <row r="2" spans="2:12">
      <c r="B2" s="41"/>
      <c r="C2" s="42"/>
      <c r="D2" s="42"/>
      <c r="E2" s="42"/>
      <c r="F2" s="42"/>
      <c r="G2" s="42"/>
      <c r="H2" s="42"/>
      <c r="I2" s="42"/>
      <c r="J2" s="42"/>
      <c r="K2" s="43"/>
      <c r="L2" s="42"/>
    </row>
    <row r="3" spans="2:12">
      <c r="B3" s="44"/>
      <c r="C3" s="45" t="s">
        <v>10</v>
      </c>
      <c r="D3" s="45"/>
      <c r="E3" s="45"/>
      <c r="F3" s="45"/>
      <c r="G3" s="45"/>
      <c r="H3" s="45"/>
      <c r="I3" s="45"/>
      <c r="J3" s="45"/>
      <c r="K3" s="46"/>
    </row>
    <row r="4" spans="2:12">
      <c r="B4" s="44"/>
    </row>
    <row r="5" spans="2:12">
      <c r="B5" s="47"/>
      <c r="C5" s="48" t="s">
        <v>12</v>
      </c>
      <c r="D5" s="48"/>
      <c r="E5" s="48" t="s">
        <v>0</v>
      </c>
      <c r="F5" s="48"/>
      <c r="G5" s="48" t="s">
        <v>7</v>
      </c>
      <c r="H5" s="48" t="s">
        <v>11</v>
      </c>
      <c r="I5" s="48" t="s">
        <v>62</v>
      </c>
      <c r="J5" s="48" t="s">
        <v>32</v>
      </c>
      <c r="K5" s="49" t="s">
        <v>31</v>
      </c>
      <c r="L5" s="48" t="s">
        <v>5</v>
      </c>
    </row>
    <row r="6" spans="2:12">
      <c r="B6" s="44"/>
      <c r="C6" s="45"/>
      <c r="D6" s="45"/>
      <c r="E6" s="98"/>
      <c r="F6" s="98"/>
      <c r="G6" s="45"/>
      <c r="H6" s="45"/>
      <c r="I6" s="45"/>
      <c r="J6" s="45"/>
      <c r="K6" s="46"/>
      <c r="L6" s="45"/>
    </row>
    <row r="7" spans="2:12">
      <c r="B7" s="44"/>
      <c r="C7" s="126" t="s">
        <v>61</v>
      </c>
      <c r="D7" s="126"/>
      <c r="E7" s="126" t="s">
        <v>48</v>
      </c>
      <c r="G7" s="126" t="s">
        <v>58</v>
      </c>
      <c r="H7" s="126">
        <v>2021</v>
      </c>
      <c r="I7" s="126" t="s">
        <v>59</v>
      </c>
      <c r="J7" s="127">
        <v>45898</v>
      </c>
      <c r="K7" s="128"/>
      <c r="L7" s="129" t="s">
        <v>60</v>
      </c>
    </row>
    <row r="8" spans="2:12">
      <c r="B8" s="44"/>
      <c r="C8" s="118"/>
      <c r="D8" s="50"/>
      <c r="E8" s="118"/>
      <c r="F8" s="118"/>
      <c r="H8" s="40"/>
      <c r="I8" s="40"/>
      <c r="J8" s="40"/>
      <c r="K8" s="122"/>
      <c r="L8" s="55"/>
    </row>
    <row r="9" spans="2:12">
      <c r="B9" s="44"/>
      <c r="C9" s="101" t="s">
        <v>73</v>
      </c>
      <c r="D9" s="50" t="s">
        <v>74</v>
      </c>
      <c r="E9" s="99"/>
      <c r="F9" s="99"/>
      <c r="H9" s="40" t="s">
        <v>75</v>
      </c>
      <c r="I9" s="40" t="s">
        <v>76</v>
      </c>
      <c r="J9" s="127">
        <v>45901</v>
      </c>
      <c r="L9" s="147" t="s">
        <v>77</v>
      </c>
    </row>
    <row r="10" spans="2:12">
      <c r="B10" s="44"/>
      <c r="C10" s="101"/>
      <c r="D10" s="53"/>
      <c r="E10" s="97"/>
      <c r="F10" s="99"/>
      <c r="G10" s="51"/>
      <c r="H10" s="52"/>
      <c r="I10" s="52"/>
      <c r="J10" s="52"/>
      <c r="L10" s="100"/>
    </row>
    <row r="11" spans="2:12">
      <c r="B11" s="44"/>
    </row>
  </sheetData>
  <hyperlinks>
    <hyperlink ref="L7" r:id="rId1" xr:uid="{07FAA99D-B113-2A42-A293-3F86586634D4}"/>
    <hyperlink ref="L9" r:id="rId2" xr:uid="{6D3F0AC0-31A3-EE49-B444-226BD6BA2DBA}"/>
  </hyperlinks>
  <pageMargins left="0.75" right="0.75" top="1" bottom="1" header="0.5" footer="0.5"/>
  <pageSetup paperSize="9" orientation="portrait" horizontalDpi="4294967292" verticalDpi="429496729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I715"/>
  <sheetViews>
    <sheetView tabSelected="1" zoomScale="125" zoomScaleNormal="115" zoomScalePageLayoutView="115" workbookViewId="0">
      <selection activeCell="K30" sqref="K30"/>
    </sheetView>
  </sheetViews>
  <sheetFormatPr baseColWidth="10" defaultColWidth="7" defaultRowHeight="16"/>
  <cols>
    <col min="1" max="1" width="5.5" style="88" customWidth="1"/>
    <col min="2" max="2" width="5" style="88" customWidth="1"/>
    <col min="3" max="3" width="16.5" style="88" customWidth="1"/>
    <col min="4" max="6" width="15.33203125" style="88" customWidth="1"/>
    <col min="7" max="7" width="7" style="88"/>
    <col min="8" max="8" width="8.83203125" style="88" bestFit="1" customWidth="1"/>
    <col min="9" max="16384" width="7" style="88"/>
  </cols>
  <sheetData>
    <row r="1" spans="2:27" ht="17" thickBot="1"/>
    <row r="2" spans="2:27" s="18" customFormat="1">
      <c r="B2" s="90"/>
      <c r="C2" s="91"/>
      <c r="D2" s="91"/>
      <c r="E2" s="91"/>
      <c r="F2" s="91"/>
      <c r="G2" s="91"/>
      <c r="H2" s="91"/>
      <c r="I2" s="91"/>
      <c r="J2" s="91"/>
      <c r="K2" s="91"/>
      <c r="L2" s="91"/>
      <c r="M2" s="91"/>
      <c r="N2" s="91"/>
      <c r="O2" s="91"/>
      <c r="P2" s="91"/>
      <c r="Q2" s="91"/>
      <c r="R2" s="91"/>
      <c r="S2" s="91"/>
      <c r="T2" s="91"/>
      <c r="U2" s="91"/>
    </row>
    <row r="3" spans="2:27">
      <c r="B3" s="89"/>
    </row>
    <row r="4" spans="2:27" customFormat="1">
      <c r="B4" s="89"/>
      <c r="C4" s="145" t="s">
        <v>66</v>
      </c>
      <c r="D4" s="88"/>
      <c r="E4" s="88"/>
      <c r="F4" s="88"/>
      <c r="G4" s="130"/>
      <c r="H4" s="130"/>
      <c r="I4" s="130"/>
      <c r="J4" s="130"/>
      <c r="K4" s="130"/>
      <c r="L4" s="130"/>
      <c r="M4" s="130"/>
      <c r="N4" s="130"/>
      <c r="O4" s="130"/>
      <c r="P4" s="130"/>
      <c r="Q4" s="130"/>
      <c r="R4" s="130"/>
      <c r="S4" s="130"/>
      <c r="T4" s="130"/>
      <c r="U4" s="130"/>
      <c r="V4" s="130"/>
      <c r="W4" s="130"/>
      <c r="X4" s="130"/>
      <c r="Y4" s="130"/>
      <c r="Z4" s="130"/>
      <c r="AA4" s="131"/>
    </row>
    <row r="5" spans="2:27" customFormat="1">
      <c r="B5" s="89"/>
      <c r="C5" s="146" t="s">
        <v>67</v>
      </c>
      <c r="D5" s="88"/>
      <c r="E5" s="88"/>
      <c r="F5" s="88"/>
      <c r="G5" s="130"/>
      <c r="H5" s="130"/>
      <c r="I5" s="130"/>
      <c r="J5" s="130"/>
      <c r="K5" s="130"/>
      <c r="L5" s="130"/>
      <c r="M5" s="130"/>
      <c r="N5" s="130"/>
      <c r="O5" s="130"/>
      <c r="P5" s="130"/>
      <c r="Q5" s="130"/>
      <c r="R5" s="130"/>
      <c r="S5" s="130"/>
      <c r="T5" s="130"/>
      <c r="U5" s="130"/>
      <c r="V5" s="130"/>
      <c r="W5" s="130"/>
      <c r="X5" s="130"/>
      <c r="Y5" s="130"/>
      <c r="Z5" s="130"/>
      <c r="AA5" s="131"/>
    </row>
    <row r="6" spans="2:27" customFormat="1">
      <c r="B6" s="89"/>
      <c r="C6" s="146"/>
      <c r="D6" s="88"/>
      <c r="E6" s="88"/>
      <c r="F6" s="88"/>
      <c r="G6" s="130"/>
      <c r="H6" s="130"/>
      <c r="I6" s="130"/>
      <c r="J6" s="130"/>
      <c r="K6" s="130"/>
      <c r="L6" s="130"/>
      <c r="M6" s="130"/>
      <c r="N6" s="130"/>
      <c r="O6" s="130"/>
      <c r="P6" s="130"/>
      <c r="Q6" s="130"/>
      <c r="R6" s="130"/>
      <c r="S6" s="130"/>
      <c r="T6" s="130"/>
      <c r="U6" s="130"/>
      <c r="V6" s="130"/>
      <c r="W6" s="130"/>
      <c r="X6" s="130"/>
      <c r="Y6" s="130"/>
      <c r="Z6" s="130"/>
      <c r="AA6" s="131"/>
    </row>
    <row r="7" spans="2:27" customFormat="1">
      <c r="B7" s="89"/>
      <c r="C7" s="126" t="s">
        <v>54</v>
      </c>
      <c r="D7" s="88"/>
      <c r="E7" s="88"/>
      <c r="F7" s="88"/>
      <c r="G7" s="130"/>
      <c r="H7" s="130"/>
      <c r="I7" s="130"/>
      <c r="J7" s="130"/>
      <c r="K7" s="130"/>
      <c r="L7" s="130"/>
      <c r="M7" s="130"/>
      <c r="N7" s="130"/>
      <c r="O7" s="130"/>
      <c r="P7" s="130"/>
      <c r="Q7" s="130"/>
      <c r="R7" s="130"/>
      <c r="S7" s="130"/>
      <c r="T7" s="130"/>
      <c r="U7" s="130"/>
      <c r="V7" s="130"/>
      <c r="W7" s="130"/>
      <c r="X7" s="130"/>
      <c r="Y7" s="130"/>
      <c r="Z7" s="130"/>
      <c r="AA7" s="131"/>
    </row>
    <row r="8" spans="2:27" customFormat="1">
      <c r="B8" s="89"/>
      <c r="C8" s="126" t="s">
        <v>55</v>
      </c>
      <c r="D8" s="88"/>
      <c r="E8" s="88"/>
      <c r="F8" s="88"/>
      <c r="G8" s="130"/>
      <c r="H8" s="130"/>
      <c r="I8" s="130"/>
      <c r="J8" s="130"/>
      <c r="K8" s="130"/>
      <c r="L8" s="130"/>
      <c r="M8" s="130"/>
      <c r="N8" s="130"/>
      <c r="O8" s="130"/>
      <c r="P8" s="130"/>
      <c r="Q8" s="130"/>
      <c r="R8" s="130"/>
      <c r="S8" s="130"/>
      <c r="T8" s="130"/>
      <c r="U8" s="130"/>
      <c r="V8" s="130"/>
      <c r="W8" s="130"/>
      <c r="X8" s="130"/>
      <c r="Y8" s="130"/>
      <c r="Z8" s="130"/>
      <c r="AA8" s="131"/>
    </row>
    <row r="9" spans="2:27" customFormat="1">
      <c r="B9" s="89"/>
      <c r="C9" s="126" t="s">
        <v>56</v>
      </c>
      <c r="D9" s="88"/>
      <c r="E9" s="88"/>
      <c r="F9" s="88"/>
      <c r="G9" s="126"/>
      <c r="H9" s="130"/>
      <c r="I9" s="130"/>
      <c r="J9" s="130"/>
      <c r="K9" s="130"/>
      <c r="L9" s="130"/>
      <c r="M9" s="130"/>
      <c r="N9" s="130"/>
      <c r="O9" s="130"/>
      <c r="P9" s="130"/>
      <c r="Q9" s="130"/>
      <c r="R9" s="130"/>
      <c r="S9" s="130"/>
      <c r="T9" s="130"/>
      <c r="U9" s="130"/>
      <c r="V9" s="130"/>
      <c r="W9" s="130"/>
      <c r="X9" s="130"/>
      <c r="Y9" s="130"/>
      <c r="Z9" s="130"/>
      <c r="AA9" s="131"/>
    </row>
    <row r="10" spans="2:27" customFormat="1">
      <c r="B10" s="89"/>
      <c r="C10" s="126" t="s">
        <v>57</v>
      </c>
      <c r="D10" s="88"/>
      <c r="E10" s="88"/>
      <c r="F10" s="88"/>
      <c r="G10" s="130"/>
      <c r="H10" s="130"/>
      <c r="I10" s="130"/>
      <c r="J10" s="130"/>
      <c r="K10" s="130"/>
      <c r="L10" s="130"/>
      <c r="M10" s="130"/>
      <c r="N10" s="130"/>
      <c r="O10" s="130"/>
      <c r="P10" s="130"/>
      <c r="Q10" s="130"/>
      <c r="R10" s="130"/>
      <c r="S10" s="130"/>
      <c r="T10" s="130"/>
      <c r="U10" s="130"/>
      <c r="V10" s="130"/>
      <c r="W10" s="130"/>
      <c r="X10" s="130"/>
      <c r="Y10" s="130"/>
      <c r="Z10" s="130"/>
      <c r="AA10" s="131"/>
    </row>
    <row r="11" spans="2:27" customFormat="1">
      <c r="B11" s="89"/>
      <c r="C11" s="126"/>
      <c r="D11" s="88"/>
      <c r="E11" s="88"/>
      <c r="F11" s="88"/>
      <c r="G11" s="130"/>
      <c r="H11" s="130"/>
      <c r="I11" s="130"/>
      <c r="J11" s="130"/>
      <c r="K11" s="130"/>
      <c r="L11" s="130"/>
      <c r="M11" s="130"/>
      <c r="N11" s="130"/>
      <c r="O11" s="130"/>
      <c r="P11" s="130"/>
      <c r="Q11" s="130"/>
      <c r="R11" s="130"/>
      <c r="S11" s="130"/>
      <c r="T11" s="130"/>
      <c r="U11" s="130"/>
      <c r="V11" s="130"/>
      <c r="W11" s="130"/>
      <c r="X11" s="130"/>
      <c r="Y11" s="130"/>
      <c r="Z11" s="130"/>
      <c r="AA11" s="131"/>
    </row>
    <row r="12" spans="2:27" customFormat="1">
      <c r="B12" s="89"/>
      <c r="C12" s="126"/>
      <c r="D12" s="126" t="s">
        <v>50</v>
      </c>
      <c r="E12" s="126" t="s">
        <v>51</v>
      </c>
      <c r="F12" s="126" t="s">
        <v>52</v>
      </c>
      <c r="G12" s="130"/>
      <c r="H12" s="130"/>
      <c r="I12" s="130"/>
      <c r="J12" s="130"/>
      <c r="K12" s="130"/>
      <c r="L12" s="130"/>
      <c r="M12" s="130"/>
      <c r="N12" s="130"/>
      <c r="O12" s="130"/>
      <c r="P12" s="130"/>
      <c r="Q12" s="130"/>
      <c r="R12" s="130"/>
      <c r="S12" s="130"/>
      <c r="T12" s="130"/>
      <c r="U12" s="130"/>
      <c r="V12" s="130"/>
      <c r="W12" s="130"/>
      <c r="X12" s="130"/>
      <c r="Y12" s="130"/>
      <c r="Z12" s="130"/>
      <c r="AA12" s="131"/>
    </row>
    <row r="13" spans="2:27" customFormat="1">
      <c r="B13" s="89"/>
      <c r="C13" s="126" t="s">
        <v>49</v>
      </c>
      <c r="D13" s="126">
        <f>100*10^-3</f>
        <v>0.1</v>
      </c>
      <c r="E13" s="126">
        <f>112*10^-3</f>
        <v>0.112</v>
      </c>
      <c r="F13" s="126">
        <f>79.6*10^-3</f>
        <v>7.959999999999999E-2</v>
      </c>
      <c r="G13" s="130"/>
      <c r="H13" s="130"/>
      <c r="I13" s="130"/>
      <c r="J13" s="130"/>
      <c r="K13" s="130"/>
      <c r="L13" s="130"/>
      <c r="M13" s="130"/>
      <c r="N13" s="130"/>
      <c r="O13" s="130"/>
      <c r="P13" s="130"/>
      <c r="Q13" s="130"/>
      <c r="R13" s="130"/>
      <c r="S13" s="130"/>
      <c r="T13" s="130"/>
      <c r="U13" s="130"/>
      <c r="V13" s="130"/>
      <c r="W13" s="130"/>
      <c r="X13" s="130"/>
      <c r="Y13" s="130"/>
      <c r="Z13" s="130"/>
      <c r="AA13" s="131"/>
    </row>
    <row r="14" spans="2:27" customFormat="1">
      <c r="B14" s="89"/>
      <c r="C14" s="126" t="s">
        <v>53</v>
      </c>
      <c r="D14" s="126">
        <v>11.6</v>
      </c>
      <c r="E14" s="126">
        <v>15.6</v>
      </c>
      <c r="F14" s="126">
        <v>27.4</v>
      </c>
      <c r="G14" s="130"/>
      <c r="H14" s="130"/>
      <c r="I14" s="130"/>
      <c r="J14" s="130"/>
      <c r="K14" s="130"/>
      <c r="L14" s="130"/>
      <c r="M14" s="130"/>
      <c r="N14" s="130"/>
      <c r="O14" s="130"/>
      <c r="P14" s="130"/>
      <c r="Q14" s="130"/>
      <c r="R14" s="130"/>
      <c r="S14" s="130"/>
      <c r="T14" s="130"/>
      <c r="U14" s="130"/>
      <c r="V14" s="130"/>
      <c r="W14" s="130"/>
      <c r="X14" s="130"/>
      <c r="Y14" s="130"/>
      <c r="Z14" s="130"/>
      <c r="AA14" s="131"/>
    </row>
    <row r="15" spans="2:27" customFormat="1">
      <c r="B15" s="89"/>
      <c r="C15" s="130"/>
      <c r="D15" s="130"/>
      <c r="E15" s="130"/>
      <c r="F15" s="130"/>
      <c r="G15" s="130"/>
      <c r="H15" s="130"/>
      <c r="I15" s="130"/>
      <c r="J15" s="130"/>
      <c r="K15" s="130"/>
      <c r="L15" s="130"/>
      <c r="M15" s="130"/>
      <c r="N15" s="130"/>
      <c r="O15" s="130"/>
      <c r="P15" s="130"/>
      <c r="Q15" s="130"/>
      <c r="R15" s="130"/>
      <c r="S15" s="130"/>
      <c r="T15" s="130"/>
      <c r="U15" s="130"/>
      <c r="V15" s="130"/>
      <c r="W15" s="130"/>
      <c r="X15" s="130"/>
      <c r="Y15" s="130"/>
      <c r="Z15" s="130"/>
      <c r="AA15" s="131"/>
    </row>
    <row r="16" spans="2:27" customFormat="1">
      <c r="B16" s="89"/>
      <c r="C16" s="130"/>
      <c r="D16" s="130"/>
      <c r="E16" s="130"/>
      <c r="F16" s="130"/>
      <c r="G16" s="130"/>
      <c r="H16" s="130"/>
      <c r="I16" s="130"/>
      <c r="J16" s="130"/>
      <c r="K16" s="130"/>
      <c r="L16" s="130"/>
      <c r="M16" s="130"/>
      <c r="N16" s="130"/>
      <c r="O16" s="130"/>
      <c r="P16" s="130"/>
      <c r="Q16" s="130"/>
      <c r="R16" s="130"/>
      <c r="S16" s="130"/>
      <c r="T16" s="130"/>
      <c r="U16" s="130"/>
      <c r="V16" s="130"/>
      <c r="W16" s="130"/>
      <c r="X16" s="130"/>
      <c r="Y16" s="130"/>
      <c r="Z16" s="130"/>
      <c r="AA16" s="131"/>
    </row>
    <row r="17" spans="2:27" customFormat="1">
      <c r="B17" s="89"/>
      <c r="C17" s="145" t="s">
        <v>68</v>
      </c>
      <c r="D17" s="130"/>
      <c r="E17" s="130"/>
      <c r="F17" s="130"/>
      <c r="G17" s="130"/>
      <c r="H17" s="130"/>
      <c r="I17" s="130"/>
      <c r="J17" s="130"/>
      <c r="K17" s="130"/>
      <c r="L17" s="130"/>
      <c r="M17" s="130"/>
      <c r="N17" s="130"/>
      <c r="O17" s="130"/>
      <c r="P17" s="130"/>
      <c r="Q17" s="130"/>
      <c r="R17" s="130"/>
      <c r="S17" s="130"/>
      <c r="T17" s="130"/>
      <c r="U17" s="130"/>
      <c r="V17" s="130"/>
      <c r="W17" s="130"/>
      <c r="X17" s="130"/>
      <c r="Y17" s="130"/>
      <c r="Z17" s="130"/>
      <c r="AA17" s="131"/>
    </row>
    <row r="18" spans="2:27" customFormat="1">
      <c r="B18" s="89"/>
      <c r="C18" s="146" t="s">
        <v>78</v>
      </c>
      <c r="D18" s="130"/>
      <c r="E18" s="130"/>
      <c r="F18" s="130"/>
      <c r="G18" s="130"/>
      <c r="H18" s="130"/>
      <c r="I18" s="130"/>
      <c r="J18" s="130"/>
      <c r="K18" s="130"/>
      <c r="L18" s="130"/>
      <c r="M18" s="130"/>
      <c r="N18" s="130"/>
      <c r="O18" s="130"/>
      <c r="P18" s="130"/>
      <c r="Q18" s="130"/>
      <c r="R18" s="130"/>
      <c r="S18" s="130"/>
      <c r="T18" s="130"/>
      <c r="U18" s="130"/>
      <c r="V18" s="130"/>
      <c r="W18" s="130"/>
      <c r="X18" s="130"/>
      <c r="Y18" s="130"/>
      <c r="Z18" s="130"/>
      <c r="AA18" s="131"/>
    </row>
    <row r="19" spans="2:27" customFormat="1">
      <c r="B19" s="89"/>
      <c r="C19" s="146" t="s">
        <v>72</v>
      </c>
      <c r="D19" s="88"/>
      <c r="E19" s="88"/>
      <c r="F19" s="88"/>
      <c r="G19" s="130"/>
      <c r="H19" s="130"/>
      <c r="I19" s="130"/>
      <c r="J19" s="130"/>
      <c r="K19" s="130"/>
      <c r="L19" s="130"/>
      <c r="M19" s="130"/>
      <c r="N19" s="130"/>
      <c r="O19" s="130"/>
      <c r="P19" s="130"/>
      <c r="Q19" s="130"/>
      <c r="R19" s="130"/>
      <c r="S19" s="130"/>
      <c r="T19" s="130"/>
      <c r="U19" s="130"/>
      <c r="V19" s="130"/>
      <c r="W19" s="130"/>
      <c r="X19" s="130"/>
      <c r="Y19" s="130"/>
      <c r="Z19" s="130"/>
      <c r="AA19" s="131"/>
    </row>
    <row r="20" spans="2:27" customFormat="1">
      <c r="B20" s="89"/>
      <c r="C20" s="88"/>
      <c r="D20" s="88"/>
      <c r="E20" s="88"/>
      <c r="F20" s="88"/>
      <c r="G20" s="130"/>
      <c r="H20" s="130"/>
      <c r="I20" s="130"/>
      <c r="J20" s="130"/>
      <c r="K20" s="130"/>
      <c r="L20" s="130"/>
      <c r="M20" s="130"/>
      <c r="N20" s="130"/>
      <c r="O20" s="130"/>
      <c r="P20" s="130"/>
      <c r="Q20" s="130"/>
      <c r="R20" s="130"/>
      <c r="S20" s="130"/>
      <c r="T20" s="130"/>
      <c r="U20" s="130"/>
      <c r="V20" s="130"/>
      <c r="W20" s="130"/>
      <c r="X20" s="130"/>
      <c r="Y20" s="130"/>
      <c r="Z20" s="130"/>
      <c r="AA20" s="131"/>
    </row>
    <row r="21" spans="2:27" customFormat="1">
      <c r="B21" s="89"/>
      <c r="C21" s="126" t="s">
        <v>70</v>
      </c>
      <c r="D21" s="126">
        <v>20</v>
      </c>
      <c r="E21" s="126" t="s">
        <v>69</v>
      </c>
      <c r="F21" s="126" t="s">
        <v>71</v>
      </c>
      <c r="G21" s="130"/>
      <c r="H21" s="130"/>
      <c r="I21" s="130"/>
      <c r="J21" s="130"/>
      <c r="K21" s="130"/>
      <c r="L21" s="130"/>
      <c r="M21" s="130"/>
      <c r="N21" s="130"/>
      <c r="O21" s="130"/>
      <c r="P21" s="130"/>
      <c r="Q21" s="130"/>
      <c r="R21" s="130"/>
      <c r="S21" s="130"/>
      <c r="T21" s="130"/>
      <c r="U21" s="130"/>
      <c r="V21" s="130"/>
      <c r="W21" s="130"/>
      <c r="X21" s="130"/>
      <c r="Y21" s="130"/>
      <c r="Z21" s="130"/>
      <c r="AA21" s="131"/>
    </row>
    <row r="22" spans="2:27" customFormat="1">
      <c r="B22" s="89"/>
      <c r="C22" s="126" t="s">
        <v>70</v>
      </c>
      <c r="D22" s="126">
        <f>D21/3.6*10^-3</f>
        <v>5.5555555555555558E-3</v>
      </c>
      <c r="E22" s="126" t="s">
        <v>69</v>
      </c>
      <c r="F22" s="126"/>
      <c r="G22" s="130"/>
      <c r="H22" s="130"/>
      <c r="I22" s="130"/>
      <c r="J22" s="130"/>
      <c r="K22" s="130"/>
      <c r="L22" s="130"/>
      <c r="M22" s="130"/>
      <c r="N22" s="130"/>
      <c r="O22" s="130"/>
      <c r="P22" s="130"/>
      <c r="Q22" s="130"/>
      <c r="R22" s="130"/>
      <c r="S22" s="130"/>
      <c r="T22" s="130"/>
      <c r="U22" s="130"/>
      <c r="V22" s="130"/>
      <c r="W22" s="130"/>
      <c r="X22" s="130"/>
      <c r="Y22" s="130"/>
      <c r="Z22" s="130"/>
      <c r="AA22" s="131"/>
    </row>
    <row r="23" spans="2:27" customFormat="1">
      <c r="B23" s="89"/>
      <c r="C23" s="130"/>
      <c r="D23" s="130"/>
      <c r="E23" s="130"/>
      <c r="F23" s="130"/>
      <c r="G23" s="130"/>
      <c r="H23" s="130"/>
      <c r="I23" s="130"/>
      <c r="J23" s="130"/>
      <c r="K23" s="130"/>
      <c r="L23" s="130"/>
      <c r="M23" s="130"/>
      <c r="N23" s="130"/>
      <c r="O23" s="130"/>
      <c r="P23" s="130"/>
      <c r="Q23" s="130"/>
      <c r="R23" s="130"/>
      <c r="S23" s="130"/>
      <c r="T23" s="130"/>
      <c r="U23" s="130"/>
      <c r="V23" s="130"/>
      <c r="W23" s="130"/>
      <c r="X23" s="130"/>
      <c r="Y23" s="130"/>
      <c r="Z23" s="130"/>
      <c r="AA23" s="131"/>
    </row>
    <row r="24" spans="2:27" customFormat="1">
      <c r="B24" s="89"/>
      <c r="C24" s="130"/>
      <c r="D24" s="130"/>
      <c r="E24" s="130"/>
      <c r="F24" s="130"/>
      <c r="G24" s="130"/>
      <c r="H24" s="130"/>
      <c r="I24" s="130"/>
      <c r="J24" s="130"/>
      <c r="K24" s="130"/>
      <c r="L24" s="130"/>
      <c r="M24" s="130"/>
      <c r="N24" s="130"/>
      <c r="O24" s="130"/>
      <c r="P24" s="130"/>
      <c r="Q24" s="130"/>
      <c r="R24" s="130"/>
      <c r="S24" s="130"/>
      <c r="T24" s="130"/>
      <c r="U24" s="130"/>
      <c r="V24" s="130"/>
      <c r="W24" s="130"/>
      <c r="X24" s="130"/>
      <c r="Y24" s="130"/>
      <c r="Z24" s="130"/>
      <c r="AA24" s="131"/>
    </row>
    <row r="25" spans="2:27" customFormat="1">
      <c r="B25" s="89"/>
      <c r="C25" s="130"/>
      <c r="D25" s="130"/>
      <c r="E25" s="130"/>
      <c r="F25" s="130"/>
      <c r="G25" s="130"/>
      <c r="H25" s="130"/>
      <c r="I25" s="130"/>
      <c r="J25" s="130"/>
      <c r="K25" s="130"/>
      <c r="L25" s="130"/>
      <c r="M25" s="130"/>
      <c r="N25" s="130"/>
      <c r="O25" s="130"/>
      <c r="P25" s="130"/>
      <c r="Q25" s="130"/>
      <c r="R25" s="130"/>
      <c r="S25" s="130"/>
      <c r="T25" s="130"/>
      <c r="U25" s="130"/>
      <c r="V25" s="130"/>
      <c r="W25" s="130"/>
      <c r="X25" s="130"/>
      <c r="Y25" s="130"/>
      <c r="Z25" s="130"/>
      <c r="AA25" s="131"/>
    </row>
    <row r="26" spans="2:27" customFormat="1">
      <c r="B26" s="89"/>
      <c r="C26" s="130"/>
      <c r="D26" s="130"/>
      <c r="E26" s="130"/>
      <c r="F26" s="130"/>
      <c r="G26" s="130"/>
      <c r="H26" s="130"/>
      <c r="I26" s="130"/>
      <c r="J26" s="130"/>
      <c r="K26" s="130"/>
      <c r="L26" s="130"/>
      <c r="M26" s="130"/>
      <c r="N26" s="130"/>
      <c r="O26" s="130"/>
      <c r="P26" s="130"/>
      <c r="Q26" s="130"/>
      <c r="R26" s="130"/>
      <c r="S26" s="130"/>
      <c r="T26" s="130"/>
      <c r="U26" s="130"/>
      <c r="V26" s="130"/>
      <c r="W26" s="130"/>
      <c r="X26" s="130"/>
      <c r="Y26" s="130"/>
      <c r="Z26" s="130"/>
      <c r="AA26" s="131"/>
    </row>
    <row r="27" spans="2:27" customFormat="1">
      <c r="B27" s="89"/>
      <c r="C27" s="130"/>
      <c r="D27" s="130"/>
      <c r="E27" s="130"/>
      <c r="F27" s="130"/>
      <c r="G27" s="130"/>
      <c r="H27" s="130"/>
      <c r="I27" s="130"/>
      <c r="J27" s="130"/>
      <c r="K27" s="130"/>
      <c r="L27" s="130"/>
      <c r="M27" s="130"/>
      <c r="N27" s="130"/>
      <c r="O27" s="130"/>
      <c r="P27" s="130"/>
      <c r="Q27" s="130"/>
      <c r="R27" s="130"/>
      <c r="S27" s="130"/>
      <c r="T27" s="130"/>
      <c r="U27" s="130"/>
      <c r="V27" s="130"/>
      <c r="W27" s="130"/>
      <c r="X27" s="130"/>
      <c r="Y27" s="130"/>
      <c r="Z27" s="130"/>
      <c r="AA27" s="131"/>
    </row>
    <row r="28" spans="2:27" customFormat="1">
      <c r="B28" s="89"/>
      <c r="C28" s="130"/>
      <c r="D28" s="130"/>
      <c r="E28" s="130"/>
      <c r="F28" s="130"/>
      <c r="G28" s="130"/>
      <c r="H28" s="130"/>
      <c r="I28" s="130"/>
      <c r="J28" s="130"/>
      <c r="K28" s="130"/>
      <c r="L28" s="130"/>
      <c r="M28" s="130"/>
      <c r="N28" s="130"/>
      <c r="O28" s="130"/>
      <c r="P28" s="130"/>
      <c r="Q28" s="130"/>
      <c r="R28" s="130"/>
      <c r="S28" s="130"/>
      <c r="T28" s="130"/>
      <c r="U28" s="130"/>
      <c r="V28" s="130"/>
      <c r="W28" s="130"/>
      <c r="X28" s="130"/>
      <c r="Y28" s="130"/>
      <c r="Z28" s="130"/>
      <c r="AA28" s="131"/>
    </row>
    <row r="29" spans="2:27" customFormat="1">
      <c r="B29" s="89"/>
      <c r="C29" s="130"/>
      <c r="D29" s="130"/>
      <c r="E29" s="130"/>
      <c r="F29" s="130"/>
      <c r="G29" s="130"/>
      <c r="H29" s="130"/>
      <c r="I29" s="130"/>
      <c r="J29" s="130"/>
      <c r="K29" s="130"/>
      <c r="L29" s="130"/>
      <c r="M29" s="130"/>
      <c r="N29" s="130"/>
      <c r="O29" s="130"/>
      <c r="P29" s="130"/>
      <c r="Q29" s="130"/>
      <c r="R29" s="130"/>
      <c r="S29" s="130"/>
      <c r="T29" s="130"/>
      <c r="U29" s="130"/>
      <c r="V29" s="130"/>
      <c r="W29" s="130"/>
      <c r="X29" s="130"/>
      <c r="Y29" s="130"/>
      <c r="Z29" s="130"/>
      <c r="AA29" s="131"/>
    </row>
    <row r="30" spans="2:27" customFormat="1">
      <c r="B30" s="89"/>
      <c r="C30" s="130"/>
      <c r="D30" s="130"/>
      <c r="E30" s="130"/>
      <c r="F30" s="130"/>
      <c r="G30" s="130"/>
      <c r="H30" s="130"/>
      <c r="I30" s="130"/>
      <c r="J30" s="130"/>
      <c r="K30" s="130"/>
      <c r="L30" s="130"/>
      <c r="M30" s="130"/>
      <c r="N30" s="130"/>
      <c r="O30" s="130"/>
      <c r="P30" s="130"/>
      <c r="Q30" s="130"/>
      <c r="R30" s="130"/>
      <c r="S30" s="130"/>
      <c r="T30" s="130"/>
      <c r="U30" s="130"/>
      <c r="V30" s="130"/>
      <c r="W30" s="130"/>
      <c r="X30" s="130"/>
      <c r="Y30" s="130"/>
      <c r="Z30" s="130"/>
      <c r="AA30" s="131"/>
    </row>
    <row r="31" spans="2:27" customFormat="1">
      <c r="B31" s="89"/>
      <c r="C31" s="130"/>
      <c r="D31" s="130"/>
      <c r="E31" s="130"/>
      <c r="F31" s="130"/>
      <c r="G31" s="130"/>
      <c r="H31" s="130"/>
      <c r="I31" s="130"/>
      <c r="J31" s="130"/>
      <c r="K31" s="130"/>
      <c r="L31" s="130"/>
      <c r="M31" s="130"/>
      <c r="N31" s="130"/>
      <c r="O31" s="130"/>
      <c r="P31" s="130"/>
      <c r="Q31" s="130"/>
      <c r="R31" s="130"/>
      <c r="S31" s="130"/>
      <c r="T31" s="130"/>
      <c r="U31" s="130"/>
      <c r="V31" s="130"/>
      <c r="W31" s="130"/>
      <c r="X31" s="130"/>
      <c r="Y31" s="130"/>
      <c r="Z31" s="130"/>
      <c r="AA31" s="131"/>
    </row>
    <row r="32" spans="2:27" customFormat="1">
      <c r="B32" s="89"/>
      <c r="C32" s="130"/>
      <c r="D32" s="130"/>
      <c r="E32" s="130"/>
      <c r="F32" s="130"/>
      <c r="G32" s="130"/>
      <c r="H32" s="130"/>
      <c r="I32" s="130"/>
      <c r="J32" s="130"/>
      <c r="K32" s="130"/>
      <c r="L32" s="130"/>
      <c r="M32" s="130"/>
      <c r="N32" s="130"/>
      <c r="O32" s="130"/>
      <c r="P32" s="130"/>
      <c r="Q32" s="130"/>
      <c r="R32" s="130"/>
      <c r="S32" s="130"/>
      <c r="T32" s="130"/>
      <c r="U32" s="130"/>
      <c r="V32" s="130"/>
      <c r="W32" s="130"/>
      <c r="X32" s="130"/>
      <c r="Y32" s="130"/>
      <c r="Z32" s="130"/>
      <c r="AA32" s="131"/>
    </row>
    <row r="33" spans="2:27" customFormat="1">
      <c r="B33" s="89"/>
      <c r="C33" s="130"/>
      <c r="D33" s="130"/>
      <c r="E33" s="130"/>
      <c r="F33" s="130"/>
      <c r="G33" s="130"/>
      <c r="H33" s="130"/>
      <c r="I33" s="130"/>
      <c r="J33" s="130"/>
      <c r="K33" s="130"/>
      <c r="L33" s="130"/>
      <c r="M33" s="130"/>
      <c r="N33" s="130"/>
      <c r="O33" s="130"/>
      <c r="P33" s="130"/>
      <c r="Q33" s="130"/>
      <c r="R33" s="130"/>
      <c r="S33" s="130"/>
      <c r="T33" s="130"/>
      <c r="U33" s="130"/>
      <c r="V33" s="130"/>
      <c r="W33" s="130"/>
      <c r="X33" s="130"/>
      <c r="Y33" s="130"/>
      <c r="Z33" s="130"/>
      <c r="AA33" s="131"/>
    </row>
    <row r="34" spans="2:27" customFormat="1">
      <c r="B34" s="89"/>
      <c r="C34" s="130"/>
      <c r="D34" s="130"/>
      <c r="E34" s="130"/>
      <c r="F34" s="130"/>
      <c r="G34" s="130"/>
      <c r="H34" s="130"/>
      <c r="I34" s="130"/>
      <c r="J34" s="130"/>
      <c r="K34" s="130"/>
      <c r="L34" s="130"/>
      <c r="M34" s="130"/>
      <c r="N34" s="130"/>
      <c r="O34" s="130"/>
      <c r="P34" s="130"/>
      <c r="Q34" s="130"/>
      <c r="R34" s="130"/>
      <c r="S34" s="130"/>
      <c r="T34" s="130"/>
      <c r="U34" s="130"/>
      <c r="V34" s="130"/>
      <c r="W34" s="130"/>
      <c r="X34" s="130"/>
      <c r="Y34" s="130"/>
      <c r="Z34" s="130"/>
      <c r="AA34" s="131"/>
    </row>
    <row r="35" spans="2:27" customFormat="1">
      <c r="B35" s="89"/>
      <c r="C35" s="130"/>
      <c r="D35" s="130"/>
      <c r="E35" s="130"/>
      <c r="F35" s="130"/>
      <c r="G35" s="130"/>
      <c r="H35" s="130"/>
      <c r="I35" s="130"/>
      <c r="J35" s="130"/>
      <c r="K35" s="130"/>
      <c r="L35" s="130"/>
      <c r="M35" s="130"/>
      <c r="N35" s="130"/>
      <c r="O35" s="130"/>
      <c r="P35" s="130"/>
      <c r="Q35" s="130"/>
      <c r="R35" s="130"/>
      <c r="S35" s="130"/>
      <c r="T35" s="130"/>
      <c r="U35" s="130"/>
      <c r="V35" s="130"/>
      <c r="W35" s="130"/>
      <c r="X35" s="130"/>
      <c r="Y35" s="130"/>
      <c r="Z35" s="130"/>
      <c r="AA35" s="131"/>
    </row>
    <row r="36" spans="2:27" customFormat="1">
      <c r="B36" s="89"/>
      <c r="C36" s="130"/>
      <c r="D36" s="130"/>
      <c r="E36" s="130"/>
      <c r="F36" s="130"/>
      <c r="G36" s="130"/>
      <c r="H36" s="130"/>
      <c r="I36" s="130"/>
      <c r="J36" s="130"/>
      <c r="K36" s="130"/>
      <c r="L36" s="130"/>
      <c r="M36" s="130"/>
      <c r="N36" s="130"/>
      <c r="O36" s="130"/>
      <c r="P36" s="130"/>
      <c r="Q36" s="130"/>
      <c r="R36" s="130"/>
      <c r="S36" s="130"/>
      <c r="T36" s="130"/>
      <c r="U36" s="130"/>
      <c r="V36" s="130"/>
      <c r="W36" s="130"/>
      <c r="X36" s="130"/>
      <c r="Y36" s="130"/>
      <c r="Z36" s="130"/>
      <c r="AA36" s="131"/>
    </row>
    <row r="37" spans="2:27" customFormat="1">
      <c r="B37" s="89"/>
      <c r="C37" s="130"/>
      <c r="D37" s="130"/>
      <c r="E37" s="130"/>
      <c r="F37" s="130"/>
      <c r="G37" s="130"/>
      <c r="H37" s="130"/>
      <c r="I37" s="130"/>
      <c r="J37" s="130"/>
      <c r="K37" s="130"/>
      <c r="L37" s="130"/>
      <c r="M37" s="130"/>
      <c r="N37" s="130"/>
      <c r="O37" s="130"/>
      <c r="P37" s="130"/>
      <c r="Q37" s="130"/>
      <c r="R37" s="130"/>
      <c r="S37" s="130"/>
      <c r="T37" s="130"/>
      <c r="U37" s="130"/>
      <c r="V37" s="130"/>
      <c r="W37" s="130"/>
      <c r="X37" s="130"/>
      <c r="Y37" s="130"/>
      <c r="Z37" s="130"/>
      <c r="AA37" s="131"/>
    </row>
    <row r="38" spans="2:27" customFormat="1">
      <c r="B38" s="89"/>
      <c r="C38" s="130"/>
      <c r="D38" s="130"/>
      <c r="E38" s="130"/>
      <c r="F38" s="130"/>
      <c r="G38" s="130"/>
      <c r="H38" s="130"/>
      <c r="I38" s="130"/>
      <c r="J38" s="130"/>
      <c r="K38" s="130"/>
      <c r="L38" s="130"/>
      <c r="M38" s="130"/>
      <c r="N38" s="130"/>
      <c r="O38" s="130"/>
      <c r="P38" s="130"/>
      <c r="Q38" s="130"/>
      <c r="R38" s="130"/>
      <c r="S38" s="130"/>
      <c r="T38" s="130"/>
      <c r="U38" s="130"/>
      <c r="V38" s="130"/>
      <c r="W38" s="130"/>
      <c r="X38" s="130"/>
      <c r="Y38" s="130"/>
      <c r="Z38" s="130"/>
      <c r="AA38" s="131"/>
    </row>
    <row r="39" spans="2:27" customFormat="1">
      <c r="B39" s="89"/>
      <c r="C39" s="130"/>
      <c r="D39" s="130"/>
      <c r="E39" s="130"/>
      <c r="F39" s="130"/>
      <c r="G39" s="130"/>
      <c r="H39" s="130"/>
      <c r="I39" s="130"/>
      <c r="J39" s="130"/>
      <c r="K39" s="130"/>
      <c r="L39" s="130"/>
      <c r="M39" s="130"/>
      <c r="N39" s="130"/>
      <c r="O39" s="130"/>
      <c r="P39" s="130"/>
      <c r="Q39" s="130"/>
      <c r="R39" s="130"/>
      <c r="S39" s="130"/>
      <c r="T39" s="130"/>
      <c r="U39" s="130"/>
      <c r="V39" s="130"/>
      <c r="W39" s="130"/>
      <c r="X39" s="130"/>
      <c r="Y39" s="130"/>
      <c r="Z39" s="130"/>
      <c r="AA39" s="131"/>
    </row>
    <row r="40" spans="2:27" customFormat="1">
      <c r="B40" s="89"/>
      <c r="C40" s="130"/>
      <c r="D40" s="130"/>
      <c r="E40" s="130"/>
      <c r="F40" s="130"/>
      <c r="G40" s="130"/>
      <c r="H40" s="130"/>
      <c r="I40" s="130"/>
      <c r="J40" s="130"/>
      <c r="K40" s="130"/>
      <c r="L40" s="130"/>
      <c r="M40" s="130"/>
      <c r="N40" s="130"/>
      <c r="O40" s="126" t="s">
        <v>65</v>
      </c>
      <c r="P40" s="130"/>
      <c r="Q40" s="130"/>
      <c r="R40" s="130"/>
      <c r="S40" s="130"/>
      <c r="T40" s="130"/>
      <c r="U40" s="130"/>
      <c r="V40" s="130"/>
      <c r="W40" s="130"/>
      <c r="X40" s="130"/>
      <c r="Y40" s="130"/>
      <c r="Z40" s="130"/>
      <c r="AA40" s="131"/>
    </row>
    <row r="41" spans="2:27" customFormat="1">
      <c r="B41" s="89"/>
      <c r="C41" s="130"/>
      <c r="D41" s="130"/>
      <c r="E41" s="130"/>
      <c r="F41" s="130"/>
      <c r="G41" s="130"/>
      <c r="H41" s="130"/>
      <c r="I41" s="130"/>
      <c r="J41" s="130"/>
      <c r="K41" s="130"/>
      <c r="L41" s="130"/>
      <c r="M41" s="130"/>
      <c r="N41" s="130"/>
      <c r="O41" s="130"/>
      <c r="P41" s="130"/>
      <c r="Q41" s="130"/>
      <c r="R41" s="130"/>
      <c r="S41" s="130"/>
      <c r="T41" s="130"/>
      <c r="U41" s="130"/>
      <c r="V41" s="130"/>
      <c r="W41" s="130"/>
      <c r="X41" s="130"/>
      <c r="Y41" s="130"/>
      <c r="Z41" s="130"/>
      <c r="AA41" s="131"/>
    </row>
    <row r="42" spans="2:27" customFormat="1">
      <c r="B42" s="89"/>
      <c r="C42" s="130"/>
      <c r="D42" s="130"/>
      <c r="E42" s="130"/>
      <c r="F42" s="130"/>
      <c r="G42" s="130"/>
      <c r="H42" s="130"/>
      <c r="I42" s="130"/>
      <c r="J42" s="130"/>
      <c r="K42" s="130"/>
      <c r="L42" s="130"/>
      <c r="M42" s="130"/>
      <c r="N42" s="130"/>
      <c r="O42" s="130"/>
      <c r="P42" s="130"/>
      <c r="Q42" s="130"/>
      <c r="R42" s="130"/>
      <c r="S42" s="130"/>
      <c r="T42" s="130"/>
      <c r="U42" s="130"/>
      <c r="V42" s="130"/>
      <c r="W42" s="130"/>
      <c r="X42" s="130"/>
      <c r="Y42" s="130"/>
      <c r="Z42" s="130"/>
      <c r="AA42" s="131"/>
    </row>
    <row r="43" spans="2:27" customFormat="1">
      <c r="B43" s="89"/>
      <c r="C43" s="130"/>
      <c r="D43" s="130"/>
      <c r="E43" s="130"/>
      <c r="F43" s="130"/>
      <c r="G43" s="130"/>
      <c r="H43" s="130"/>
      <c r="I43" s="130"/>
      <c r="J43" s="130"/>
      <c r="K43" s="130"/>
      <c r="L43" s="130"/>
      <c r="M43" s="130"/>
      <c r="N43" s="130"/>
      <c r="O43" s="130"/>
      <c r="P43" s="130"/>
      <c r="Q43" s="130"/>
      <c r="R43" s="130"/>
      <c r="S43" s="130"/>
      <c r="T43" s="130"/>
      <c r="U43" s="130"/>
      <c r="V43" s="130"/>
      <c r="W43" s="130"/>
      <c r="X43" s="130"/>
      <c r="Y43" s="130"/>
      <c r="Z43" s="130"/>
      <c r="AA43" s="131"/>
    </row>
    <row r="44" spans="2:27" customFormat="1">
      <c r="B44" s="89"/>
      <c r="C44" s="130"/>
      <c r="D44" s="130"/>
      <c r="E44" s="130"/>
      <c r="F44" s="130"/>
      <c r="G44" s="130"/>
      <c r="H44" s="130"/>
      <c r="I44" s="130"/>
      <c r="J44" s="130"/>
      <c r="K44" s="130"/>
      <c r="L44" s="130"/>
      <c r="M44" s="130"/>
      <c r="N44" s="130"/>
      <c r="O44" s="130"/>
      <c r="P44" s="130"/>
      <c r="Q44" s="130"/>
      <c r="R44" s="130"/>
      <c r="S44" s="130"/>
      <c r="T44" s="130"/>
      <c r="U44" s="130"/>
      <c r="V44" s="130"/>
      <c r="W44" s="130"/>
      <c r="X44" s="130"/>
      <c r="Y44" s="130"/>
      <c r="Z44" s="130"/>
      <c r="AA44" s="131"/>
    </row>
    <row r="45" spans="2:27" customFormat="1">
      <c r="B45" s="89"/>
      <c r="C45" s="130"/>
      <c r="D45" s="130"/>
      <c r="E45" s="130"/>
      <c r="F45" s="130"/>
      <c r="G45" s="130"/>
      <c r="H45" s="130"/>
      <c r="I45" s="130"/>
      <c r="J45" s="130"/>
      <c r="K45" s="130"/>
      <c r="L45" s="130"/>
      <c r="M45" s="130"/>
      <c r="N45" s="130"/>
      <c r="O45" s="130"/>
      <c r="P45" s="130"/>
      <c r="Q45" s="130"/>
      <c r="R45" s="130"/>
      <c r="S45" s="130"/>
      <c r="T45" s="130"/>
      <c r="U45" s="130"/>
      <c r="V45" s="130"/>
      <c r="W45" s="130"/>
      <c r="X45" s="130"/>
      <c r="Y45" s="130"/>
      <c r="Z45" s="130"/>
      <c r="AA45" s="131"/>
    </row>
    <row r="46" spans="2:27" customFormat="1">
      <c r="B46" s="89"/>
      <c r="C46" s="130"/>
      <c r="D46" s="130"/>
      <c r="E46" s="130"/>
      <c r="F46" s="130"/>
      <c r="G46" s="130"/>
      <c r="H46" s="130"/>
      <c r="I46" s="130"/>
      <c r="J46" s="130"/>
      <c r="K46" s="130"/>
      <c r="L46" s="130"/>
      <c r="M46" s="130"/>
      <c r="N46" s="130"/>
      <c r="O46" s="130"/>
      <c r="P46" s="130"/>
      <c r="Q46" s="130"/>
      <c r="R46" s="130"/>
      <c r="S46" s="130"/>
      <c r="T46" s="130"/>
      <c r="U46" s="130"/>
      <c r="V46" s="130"/>
      <c r="W46" s="130"/>
      <c r="X46" s="130"/>
      <c r="Y46" s="130"/>
      <c r="Z46" s="130"/>
      <c r="AA46" s="131"/>
    </row>
    <row r="47" spans="2:27" customFormat="1">
      <c r="B47" s="89"/>
      <c r="C47" s="130"/>
      <c r="D47" s="130"/>
      <c r="E47" s="130"/>
      <c r="F47" s="130"/>
      <c r="G47" s="130"/>
      <c r="H47" s="130"/>
      <c r="I47" s="130"/>
      <c r="J47" s="130"/>
      <c r="K47" s="130"/>
      <c r="L47" s="130"/>
      <c r="M47" s="130"/>
      <c r="N47" s="130"/>
      <c r="O47" s="130"/>
      <c r="P47" s="130"/>
      <c r="Q47" s="130"/>
      <c r="R47" s="130"/>
      <c r="S47" s="130"/>
      <c r="T47" s="130"/>
      <c r="U47" s="130"/>
      <c r="V47" s="130"/>
      <c r="W47" s="130"/>
      <c r="X47" s="130"/>
      <c r="Y47" s="130"/>
      <c r="Z47" s="130"/>
      <c r="AA47" s="131"/>
    </row>
    <row r="48" spans="2:27" customFormat="1">
      <c r="B48" s="89"/>
      <c r="C48" s="130"/>
      <c r="D48" s="130"/>
      <c r="E48" s="130"/>
      <c r="F48" s="130"/>
      <c r="G48" s="130"/>
      <c r="H48" s="130"/>
      <c r="I48" s="130"/>
      <c r="J48" s="130"/>
      <c r="K48" s="130"/>
      <c r="L48" s="130"/>
      <c r="M48" s="130"/>
      <c r="N48" s="130"/>
      <c r="O48" s="130"/>
      <c r="P48" s="130"/>
      <c r="Q48" s="130"/>
      <c r="R48" s="130"/>
      <c r="S48" s="130"/>
      <c r="T48" s="130"/>
      <c r="U48" s="130"/>
      <c r="V48" s="130"/>
      <c r="W48" s="130"/>
      <c r="X48" s="130"/>
      <c r="Y48" s="130"/>
      <c r="Z48" s="130"/>
      <c r="AA48" s="131"/>
    </row>
    <row r="49" spans="2:27" customFormat="1">
      <c r="B49" s="89"/>
      <c r="C49" s="130"/>
      <c r="D49" s="130"/>
      <c r="E49" s="130"/>
      <c r="F49" s="130"/>
      <c r="G49" s="130"/>
      <c r="H49" s="130"/>
      <c r="I49" s="130"/>
      <c r="J49" s="130"/>
      <c r="K49" s="130"/>
      <c r="L49" s="130"/>
      <c r="M49" s="130"/>
      <c r="N49" s="130"/>
      <c r="O49" s="130"/>
      <c r="P49" s="130"/>
      <c r="Q49" s="130"/>
      <c r="R49" s="130"/>
      <c r="S49" s="130"/>
      <c r="T49" s="130"/>
      <c r="U49" s="130"/>
      <c r="V49" s="130"/>
      <c r="W49" s="130"/>
      <c r="X49" s="130"/>
      <c r="Y49" s="130"/>
      <c r="Z49" s="130"/>
      <c r="AA49" s="131"/>
    </row>
    <row r="50" spans="2:27" customFormat="1">
      <c r="B50" s="89"/>
      <c r="C50" s="130"/>
      <c r="D50" s="130"/>
      <c r="E50" s="130"/>
      <c r="F50" s="130"/>
      <c r="G50" s="130"/>
      <c r="H50" s="130"/>
      <c r="I50" s="130"/>
      <c r="J50" s="130"/>
      <c r="K50" s="130"/>
      <c r="L50" s="130"/>
      <c r="M50" s="130"/>
      <c r="N50" s="130"/>
      <c r="O50" s="130"/>
      <c r="P50" s="130"/>
      <c r="Q50" s="130"/>
      <c r="R50" s="130"/>
      <c r="S50" s="130"/>
      <c r="T50" s="130"/>
      <c r="U50" s="130"/>
      <c r="V50" s="130"/>
      <c r="W50" s="130"/>
      <c r="X50" s="130"/>
      <c r="Y50" s="130"/>
      <c r="Z50" s="130"/>
      <c r="AA50" s="131"/>
    </row>
    <row r="51" spans="2:27" customFormat="1">
      <c r="B51" s="89"/>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2:27" customFormat="1">
      <c r="B52" s="89"/>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2:27" customFormat="1">
      <c r="B53" s="89"/>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2:27" customFormat="1">
      <c r="B54" s="89"/>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2:27" customFormat="1">
      <c r="B55" s="89"/>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2:27" customFormat="1">
      <c r="B56" s="89"/>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2:27" customFormat="1">
      <c r="B57" s="89"/>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2:27" customFormat="1">
      <c r="B58" s="89"/>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2:27" customFormat="1">
      <c r="B59" s="89"/>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2:27" customFormat="1">
      <c r="B60" s="89"/>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2:27" customFormat="1">
      <c r="B61" s="89"/>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2:27" customFormat="1">
      <c r="B62" s="89"/>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2:27" customFormat="1">
      <c r="B63" s="89"/>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2:27" customFormat="1">
      <c r="B64" s="89"/>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2:26" customFormat="1">
      <c r="B65" s="89"/>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2:26" customFormat="1">
      <c r="B66" s="89"/>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2:26" customFormat="1">
      <c r="B67" s="89"/>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2:26" customFormat="1">
      <c r="B68" s="89"/>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2:26" customFormat="1">
      <c r="B69" s="89"/>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2:26" customFormat="1">
      <c r="B70" s="89"/>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2:26" customFormat="1">
      <c r="B71" s="89"/>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2:26" customFormat="1">
      <c r="B72" s="89"/>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2:26" customFormat="1">
      <c r="B73" s="89"/>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2:26" customFormat="1">
      <c r="B74" s="89"/>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2:26" customFormat="1">
      <c r="B75" s="89"/>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2:26" customFormat="1">
      <c r="B76" s="89"/>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2:26" customFormat="1">
      <c r="B77" s="89"/>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2:26" customFormat="1">
      <c r="B78" s="89"/>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2:26" customFormat="1">
      <c r="B79" s="89"/>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2:26" customFormat="1">
      <c r="B80" s="89"/>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2:26" customFormat="1">
      <c r="B81" s="89"/>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2:26" customFormat="1">
      <c r="B82" s="89"/>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2:26" customFormat="1">
      <c r="B83" s="89"/>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2:26" customFormat="1">
      <c r="B84" s="89"/>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2:26" customFormat="1">
      <c r="B85" s="89"/>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2:26" customFormat="1">
      <c r="B86" s="89"/>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2:26" customFormat="1">
      <c r="B87" s="89"/>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2:26" customFormat="1">
      <c r="B88" s="89"/>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2:26" customFormat="1">
      <c r="B89" s="89"/>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2:26" customFormat="1">
      <c r="B90" s="89"/>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2:26" customFormat="1">
      <c r="B91" s="89"/>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2:26" customFormat="1">
      <c r="B92" s="89"/>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2:26" customFormat="1">
      <c r="B93" s="89"/>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2:26" customFormat="1">
      <c r="B94" s="89"/>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2:26" customFormat="1">
      <c r="B95" s="89"/>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2:26" customFormat="1">
      <c r="B96" s="89"/>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2:26" customFormat="1">
      <c r="B97" s="89"/>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2:26" customFormat="1">
      <c r="B98" s="89"/>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2:26" customFormat="1">
      <c r="B99" s="89"/>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2:26" customFormat="1">
      <c r="B100" s="89"/>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2:26" customFormat="1">
      <c r="B101" s="89"/>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2:26" customFormat="1">
      <c r="B102" s="89"/>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2:26" customFormat="1">
      <c r="B103" s="89"/>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2:26" customFormat="1">
      <c r="B104" s="89"/>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2:26" customFormat="1">
      <c r="B105" s="89"/>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2:26" customFormat="1">
      <c r="B106" s="89"/>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2:26" customFormat="1">
      <c r="B107" s="89"/>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2:26" customFormat="1">
      <c r="B108" s="89"/>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2:26" customFormat="1">
      <c r="B109" s="89"/>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2:26" customFormat="1">
      <c r="B110" s="89"/>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2:26" customFormat="1">
      <c r="B111" s="89"/>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2:26" customFormat="1">
      <c r="B112" s="89"/>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2:26" customFormat="1">
      <c r="B113" s="89"/>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2:26" customFormat="1">
      <c r="B114" s="89"/>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2:26" customFormat="1">
      <c r="B115" s="89"/>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2:26" customFormat="1">
      <c r="B116" s="89"/>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2:26" customFormat="1">
      <c r="B117" s="89"/>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2:26" customFormat="1">
      <c r="B118" s="89"/>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2:26" customFormat="1">
      <c r="B119" s="89"/>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2:26" customFormat="1">
      <c r="B120" s="89"/>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2:26" customFormat="1">
      <c r="B121" s="89"/>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2:26" customFormat="1">
      <c r="B122" s="89"/>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2:26" customFormat="1">
      <c r="B123" s="89"/>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2:26" customFormat="1">
      <c r="B124" s="89"/>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2:26" customFormat="1">
      <c r="B125" s="89"/>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2:26" customFormat="1">
      <c r="B126" s="89"/>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2:26" customFormat="1">
      <c r="B127" s="89"/>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2:26" customFormat="1">
      <c r="B128" s="89"/>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2:26" customFormat="1">
      <c r="B129" s="89"/>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2:26" customFormat="1">
      <c r="B130" s="89"/>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2:26" customFormat="1">
      <c r="B131" s="89"/>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2:26" customFormat="1">
      <c r="B132" s="89"/>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2:26" customFormat="1">
      <c r="B133" s="89"/>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2:26" customFormat="1">
      <c r="B134" s="89"/>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2:26" customFormat="1">
      <c r="B135" s="89"/>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2:26" customFormat="1">
      <c r="B136" s="89"/>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2:26" customFormat="1">
      <c r="B137" s="89"/>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2:26" customFormat="1">
      <c r="B138" s="89"/>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2:26" customFormat="1">
      <c r="B139" s="89"/>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2:26" customFormat="1">
      <c r="B140" s="89"/>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2:26" customFormat="1">
      <c r="B141" s="89"/>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2:26" customFormat="1">
      <c r="B142" s="89"/>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2:26" customFormat="1">
      <c r="B143" s="89"/>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2:26" customFormat="1">
      <c r="B144" s="89"/>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2:26" customFormat="1">
      <c r="B145" s="89"/>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2:26" customFormat="1">
      <c r="B146" s="89"/>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2:26" customFormat="1">
      <c r="B147" s="89"/>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2:26" customFormat="1">
      <c r="B148" s="89"/>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2:26" customFormat="1">
      <c r="B149" s="89"/>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2:26" customFormat="1">
      <c r="B150" s="89"/>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2:26" customFormat="1">
      <c r="B151" s="89"/>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2:26" customFormat="1">
      <c r="B152" s="89"/>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2:26" customFormat="1">
      <c r="B153" s="89"/>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2:26" customFormat="1">
      <c r="B154" s="89"/>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2:26" customFormat="1">
      <c r="B155" s="89"/>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2:26" customFormat="1">
      <c r="B156" s="89"/>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2:26" customFormat="1">
      <c r="B157" s="89"/>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2:26" customFormat="1">
      <c r="B158" s="89"/>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2:26" customFormat="1">
      <c r="B159" s="89"/>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2:26" customFormat="1">
      <c r="B160" s="89"/>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2:26" customFormat="1">
      <c r="B161" s="89"/>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2:26" customFormat="1">
      <c r="B162" s="89"/>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2:26" customFormat="1">
      <c r="B163" s="89"/>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2:26" customFormat="1">
      <c r="B164" s="89"/>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2:26" customFormat="1">
      <c r="B165" s="89"/>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2:26" customFormat="1">
      <c r="B166" s="89"/>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2:26" customFormat="1">
      <c r="B167" s="89"/>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2:26" customFormat="1">
      <c r="B168" s="89"/>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2:26" customFormat="1">
      <c r="B169" s="89"/>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2:26" customFormat="1">
      <c r="B170" s="89"/>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2:26" customFormat="1">
      <c r="B171" s="89"/>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2:26" customFormat="1">
      <c r="B172" s="89"/>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2:26" customFormat="1">
      <c r="B173" s="89"/>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2:26" customFormat="1">
      <c r="B174" s="89"/>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2:26" customFormat="1">
      <c r="B175" s="89"/>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2:26" customFormat="1">
      <c r="B176" s="89"/>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2:26" customFormat="1">
      <c r="B177" s="89"/>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2:26" customFormat="1">
      <c r="B178" s="89"/>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2:26" customFormat="1">
      <c r="B179" s="89"/>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2:26" customFormat="1">
      <c r="B180" s="89"/>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2:26" customFormat="1">
      <c r="B181" s="89"/>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2:26" customFormat="1">
      <c r="B182" s="89"/>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2:26" customFormat="1">
      <c r="B183" s="89"/>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2:26" customFormat="1">
      <c r="B184" s="89"/>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2:26" customFormat="1">
      <c r="B185" s="89"/>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2:26" customFormat="1">
      <c r="B186" s="89"/>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2:26" customFormat="1">
      <c r="B187" s="89"/>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2:26" customFormat="1">
      <c r="B188" s="89"/>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2:26" customFormat="1">
      <c r="B189" s="89"/>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2:26" customFormat="1">
      <c r="B190" s="89"/>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2:26" customFormat="1">
      <c r="B191" s="89"/>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2:26" customFormat="1">
      <c r="B192" s="89"/>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2:26" customFormat="1">
      <c r="B193" s="89"/>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2:26" customFormat="1">
      <c r="B194" s="89"/>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2:26" customFormat="1">
      <c r="B195" s="89"/>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2:26" customFormat="1">
      <c r="B196" s="89"/>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2:26" customFormat="1">
      <c r="B197" s="89"/>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2:26" customFormat="1">
      <c r="B198" s="89"/>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2:26" customFormat="1">
      <c r="B199" s="89"/>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2:26" customFormat="1">
      <c r="B200" s="89"/>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2:26" customFormat="1">
      <c r="B201" s="89"/>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2:26" customFormat="1">
      <c r="B202" s="89"/>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2:26" customFormat="1">
      <c r="B203" s="89"/>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2:26" customFormat="1">
      <c r="B204" s="89"/>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2:26" customFormat="1">
      <c r="B205" s="89"/>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2:26" customFormat="1">
      <c r="B206" s="89"/>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2:26" customFormat="1">
      <c r="B207" s="89"/>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2:26" customFormat="1">
      <c r="B208" s="89"/>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customFormat="1">
      <c r="B209" s="89"/>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customFormat="1">
      <c r="B210" s="89"/>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customFormat="1">
      <c r="B211" s="89"/>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customFormat="1">
      <c r="B212" s="89"/>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customFormat="1">
      <c r="B213" s="89"/>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customFormat="1">
      <c r="B214" s="89"/>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customFormat="1">
      <c r="B215" s="89"/>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customFormat="1">
      <c r="B216" s="89"/>
      <c r="C216" s="97"/>
      <c r="D216" s="97"/>
      <c r="E216" s="97"/>
      <c r="F216" s="97"/>
      <c r="G216" s="97"/>
      <c r="H216" s="97"/>
      <c r="I216" s="97"/>
      <c r="J216" s="97"/>
      <c r="K216" s="97"/>
      <c r="L216" s="97"/>
      <c r="M216" s="97"/>
      <c r="N216" s="97"/>
      <c r="O216" s="97"/>
      <c r="P216" s="97"/>
      <c r="Q216" s="97"/>
      <c r="R216" s="97"/>
      <c r="S216" s="97"/>
      <c r="T216" s="97"/>
      <c r="U216" s="97"/>
      <c r="V216" s="97"/>
      <c r="W216" s="97"/>
      <c r="X216" s="97"/>
      <c r="Y216" s="97"/>
    </row>
    <row r="217" spans="1:26" customFormat="1">
      <c r="B217" s="89"/>
      <c r="C217" s="97"/>
      <c r="D217" s="97"/>
      <c r="E217" s="97"/>
      <c r="F217" s="97"/>
      <c r="G217" s="97"/>
      <c r="H217" s="97"/>
      <c r="I217" s="97"/>
      <c r="J217" s="97"/>
      <c r="K217" s="97"/>
      <c r="L217" s="97"/>
      <c r="M217" s="97"/>
      <c r="N217" s="97"/>
      <c r="O217" s="97"/>
      <c r="P217" s="97"/>
      <c r="Q217" s="97"/>
      <c r="R217" s="97"/>
      <c r="S217" s="97"/>
      <c r="T217" s="97"/>
      <c r="U217" s="97"/>
      <c r="V217" s="97"/>
      <c r="W217" s="97"/>
      <c r="X217" s="97"/>
      <c r="Y217" s="97"/>
    </row>
    <row r="218" spans="1:26" s="18" customFormat="1">
      <c r="A218"/>
      <c r="B218" s="89"/>
      <c r="C218" s="97"/>
      <c r="D218" s="97"/>
      <c r="E218" s="97"/>
      <c r="F218" s="97"/>
      <c r="G218" s="97"/>
      <c r="H218" s="97"/>
      <c r="I218" s="97"/>
      <c r="J218" s="97"/>
      <c r="K218" s="97"/>
      <c r="L218" s="97"/>
      <c r="M218" s="97"/>
      <c r="N218" s="97"/>
      <c r="O218" s="97"/>
      <c r="P218" s="97"/>
      <c r="Q218" s="97"/>
      <c r="R218" s="97"/>
      <c r="S218" s="97"/>
      <c r="T218" s="97"/>
      <c r="U218" s="97"/>
    </row>
    <row r="219" spans="1:26" customFormat="1">
      <c r="B219" s="89"/>
      <c r="C219" s="97"/>
      <c r="D219" s="97"/>
      <c r="E219" s="97"/>
      <c r="F219" s="97"/>
      <c r="G219" s="97"/>
      <c r="H219" s="97"/>
      <c r="I219" s="97"/>
      <c r="J219" s="97"/>
      <c r="K219" s="97"/>
      <c r="L219" s="97"/>
      <c r="M219" s="97"/>
      <c r="N219" s="97"/>
      <c r="O219" s="97"/>
      <c r="P219" s="97"/>
      <c r="Q219" s="97"/>
      <c r="R219" s="97"/>
      <c r="S219" s="97"/>
      <c r="T219" s="97"/>
      <c r="U219" s="97"/>
      <c r="V219" s="97"/>
      <c r="W219" s="97"/>
      <c r="X219" s="97"/>
      <c r="Y219" s="97"/>
    </row>
    <row r="220" spans="1:26" customFormat="1">
      <c r="B220" s="89"/>
      <c r="C220" s="97"/>
      <c r="D220" s="97"/>
      <c r="E220" s="97"/>
      <c r="F220" s="97"/>
      <c r="G220" s="97"/>
      <c r="H220" s="97"/>
      <c r="I220" s="97"/>
      <c r="J220" s="97"/>
      <c r="K220" s="97"/>
      <c r="L220" s="97"/>
      <c r="M220" s="97"/>
      <c r="N220" s="97"/>
      <c r="O220" s="97"/>
      <c r="P220" s="97"/>
      <c r="Q220" s="97"/>
      <c r="R220" s="97"/>
      <c r="S220" s="97"/>
      <c r="T220" s="97"/>
      <c r="U220" s="97"/>
      <c r="V220" s="97"/>
      <c r="W220" s="97"/>
      <c r="X220" s="97"/>
    </row>
    <row r="221" spans="1:26" customFormat="1">
      <c r="B221" s="89"/>
      <c r="C221" s="97"/>
      <c r="D221" s="97"/>
      <c r="E221" s="97"/>
      <c r="F221" s="97"/>
      <c r="G221" s="97"/>
      <c r="H221" s="97"/>
      <c r="I221" s="97"/>
      <c r="J221" s="97"/>
      <c r="K221" s="97"/>
      <c r="L221" s="97"/>
      <c r="M221" s="97"/>
      <c r="N221" s="97"/>
      <c r="O221" s="97"/>
      <c r="P221" s="97"/>
      <c r="Q221" s="97"/>
      <c r="R221" s="97"/>
      <c r="S221" s="97"/>
      <c r="T221" s="97"/>
      <c r="U221" s="97"/>
      <c r="V221" s="97"/>
      <c r="W221" s="97"/>
      <c r="X221" s="97"/>
    </row>
    <row r="222" spans="1:26" customFormat="1">
      <c r="B222" s="89"/>
      <c r="C222" s="97"/>
      <c r="D222" s="97"/>
      <c r="E222" s="97"/>
      <c r="F222" s="97"/>
      <c r="G222" s="97"/>
      <c r="H222" s="97"/>
      <c r="I222" s="97"/>
      <c r="J222" s="97"/>
      <c r="K222" s="97"/>
      <c r="L222" s="97"/>
      <c r="M222" s="97"/>
      <c r="N222" s="97"/>
      <c r="O222" s="97"/>
      <c r="P222" s="97"/>
      <c r="Q222" s="97"/>
      <c r="R222" s="97"/>
      <c r="S222" s="97"/>
      <c r="T222" s="97"/>
      <c r="U222" s="97"/>
      <c r="V222" s="97"/>
      <c r="W222" s="97"/>
      <c r="X222" s="97"/>
      <c r="Y222" s="97"/>
    </row>
    <row r="223" spans="1:26" customFormat="1">
      <c r="B223" s="89"/>
      <c r="C223" s="97"/>
      <c r="D223" s="97"/>
      <c r="E223" s="97"/>
      <c r="F223" s="97"/>
      <c r="G223" s="97"/>
      <c r="H223" s="97"/>
      <c r="I223" s="97"/>
      <c r="J223" s="97"/>
      <c r="K223" s="97"/>
      <c r="L223" s="97"/>
      <c r="M223" s="97"/>
      <c r="N223" s="97"/>
      <c r="O223" s="97"/>
      <c r="P223" s="97"/>
      <c r="Q223" s="97"/>
      <c r="R223" s="97"/>
      <c r="S223" s="97"/>
      <c r="T223" s="97"/>
      <c r="U223" s="97"/>
      <c r="V223" s="97"/>
      <c r="W223" s="97"/>
      <c r="X223" s="97"/>
      <c r="Y223" s="97"/>
    </row>
    <row r="224" spans="1:26" customFormat="1">
      <c r="B224" s="89"/>
      <c r="C224" s="97"/>
      <c r="D224" s="97"/>
      <c r="E224" s="97"/>
      <c r="F224" s="97"/>
      <c r="G224" s="97"/>
      <c r="H224" s="97"/>
      <c r="I224" s="97"/>
      <c r="J224" s="97"/>
      <c r="K224" s="97"/>
      <c r="L224" s="97"/>
      <c r="M224" s="97"/>
      <c r="N224" s="97"/>
      <c r="O224" s="97"/>
      <c r="P224" s="97"/>
      <c r="Q224" s="97"/>
      <c r="R224" s="97"/>
      <c r="S224" s="97"/>
      <c r="T224" s="97"/>
      <c r="U224" s="97"/>
      <c r="V224" s="97"/>
      <c r="W224" s="97"/>
      <c r="X224" s="97"/>
      <c r="Y224" s="97"/>
      <c r="Z224" s="97"/>
    </row>
    <row r="225" spans="2:26" customFormat="1">
      <c r="B225" s="89"/>
      <c r="C225" s="97"/>
      <c r="D225" s="97"/>
      <c r="E225" s="97"/>
      <c r="F225" s="97"/>
      <c r="G225" s="97"/>
      <c r="H225" s="97"/>
      <c r="I225" s="97"/>
      <c r="J225" s="97"/>
      <c r="K225" s="97"/>
      <c r="L225" s="97"/>
      <c r="M225" s="97"/>
      <c r="N225" s="97"/>
      <c r="O225" s="97"/>
      <c r="P225" s="97"/>
      <c r="Q225" s="97"/>
      <c r="R225" s="97"/>
      <c r="S225" s="97"/>
      <c r="T225" s="97"/>
      <c r="U225" s="97"/>
      <c r="V225" s="97"/>
      <c r="W225" s="97"/>
      <c r="X225" s="97"/>
      <c r="Y225" s="97"/>
      <c r="Z225" s="97"/>
    </row>
    <row r="226" spans="2:26" customFormat="1">
      <c r="B226" s="89"/>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row>
    <row r="227" spans="2:26" customFormat="1">
      <c r="B227" s="89"/>
      <c r="C227" s="97"/>
      <c r="D227" s="97"/>
      <c r="E227" s="97"/>
      <c r="F227" s="97"/>
      <c r="G227" s="97"/>
      <c r="H227" s="97"/>
      <c r="I227" s="97"/>
      <c r="J227" s="97"/>
      <c r="K227" s="97"/>
      <c r="L227" s="97"/>
      <c r="M227" s="97"/>
      <c r="N227" s="97"/>
      <c r="O227" s="97"/>
      <c r="P227" s="97"/>
      <c r="Q227" s="97"/>
      <c r="R227" s="97"/>
      <c r="S227" s="97"/>
      <c r="T227" s="97"/>
      <c r="U227" s="97"/>
      <c r="V227" s="97"/>
      <c r="W227" s="97"/>
      <c r="X227" s="97"/>
      <c r="Y227" s="97"/>
      <c r="Z227" s="97"/>
    </row>
    <row r="228" spans="2:26" customFormat="1">
      <c r="B228" s="89"/>
      <c r="C228" s="97"/>
      <c r="D228" s="97"/>
      <c r="E228" s="97"/>
      <c r="F228" s="97"/>
      <c r="G228" s="97"/>
      <c r="H228" s="97"/>
      <c r="I228" s="97"/>
      <c r="J228" s="97"/>
      <c r="K228" s="97"/>
      <c r="L228" s="97"/>
      <c r="M228" s="97"/>
      <c r="N228" s="97"/>
      <c r="O228" s="97"/>
      <c r="P228" s="97"/>
      <c r="Q228" s="97"/>
      <c r="R228" s="97"/>
      <c r="S228" s="97"/>
      <c r="T228" s="97"/>
      <c r="U228" s="97"/>
      <c r="V228" s="97"/>
      <c r="W228" s="97"/>
      <c r="X228" s="97"/>
      <c r="Y228" s="97"/>
      <c r="Z228" s="97"/>
    </row>
    <row r="229" spans="2:26" customFormat="1">
      <c r="B229" s="89"/>
      <c r="C229" s="97"/>
      <c r="D229" s="97"/>
      <c r="E229" s="97"/>
      <c r="F229" s="97"/>
      <c r="G229" s="97"/>
      <c r="H229" s="97"/>
      <c r="I229" s="97"/>
      <c r="J229" s="97"/>
      <c r="K229" s="97"/>
      <c r="L229" s="97"/>
      <c r="M229" s="97"/>
      <c r="N229" s="97"/>
      <c r="O229" s="97"/>
      <c r="P229" s="97"/>
      <c r="Q229" s="97"/>
      <c r="R229" s="97"/>
      <c r="S229" s="97"/>
      <c r="T229" s="97"/>
      <c r="U229" s="97"/>
      <c r="V229" s="97"/>
      <c r="W229" s="97"/>
      <c r="X229" s="97"/>
      <c r="Y229" s="97"/>
      <c r="Z229" s="97"/>
    </row>
    <row r="230" spans="2:26" customFormat="1">
      <c r="B230" s="89"/>
      <c r="C230" s="97"/>
      <c r="D230" s="97"/>
      <c r="E230" s="97"/>
      <c r="F230" s="97"/>
      <c r="G230" s="97"/>
      <c r="H230" s="97"/>
      <c r="I230" s="97"/>
      <c r="J230" s="97"/>
      <c r="K230" s="97"/>
      <c r="L230" s="97"/>
      <c r="M230" s="97"/>
      <c r="N230" s="97"/>
      <c r="O230" s="97"/>
      <c r="P230" s="97"/>
      <c r="Q230" s="97"/>
      <c r="R230" s="97"/>
      <c r="S230" s="97"/>
      <c r="T230" s="97"/>
      <c r="U230" s="97"/>
      <c r="V230" s="97"/>
      <c r="W230" s="97"/>
      <c r="X230" s="97"/>
      <c r="Y230" s="97"/>
      <c r="Z230" s="97"/>
    </row>
    <row r="231" spans="2:26" customFormat="1">
      <c r="B231" s="89"/>
      <c r="C231" s="97"/>
      <c r="D231" s="97"/>
      <c r="E231" s="97"/>
      <c r="F231" s="97"/>
      <c r="G231" s="97"/>
      <c r="H231" s="97"/>
      <c r="I231" s="97"/>
      <c r="J231" s="97"/>
      <c r="K231" s="97"/>
      <c r="L231" s="97"/>
      <c r="M231" s="97"/>
      <c r="N231" s="97"/>
      <c r="O231" s="97"/>
      <c r="P231" s="97"/>
      <c r="Q231" s="97"/>
      <c r="R231" s="97"/>
      <c r="S231" s="97"/>
      <c r="T231" s="97"/>
      <c r="U231" s="97"/>
      <c r="V231" s="97"/>
      <c r="W231" s="97"/>
      <c r="X231" s="97"/>
      <c r="Y231" s="97"/>
      <c r="Z231" s="97"/>
    </row>
    <row r="232" spans="2:26" customFormat="1">
      <c r="B232" s="89"/>
      <c r="C232" s="97"/>
      <c r="D232" s="97"/>
      <c r="E232" s="97"/>
      <c r="F232" s="97"/>
      <c r="G232" s="97"/>
      <c r="H232" s="97"/>
      <c r="I232" s="97"/>
      <c r="J232" s="97"/>
      <c r="K232" s="97"/>
      <c r="L232" s="97"/>
      <c r="M232" s="97"/>
      <c r="N232" s="97"/>
      <c r="O232" s="97"/>
      <c r="P232" s="97"/>
      <c r="Q232" s="97"/>
      <c r="R232" s="97"/>
      <c r="S232" s="97"/>
      <c r="T232" s="97"/>
      <c r="U232" s="97"/>
      <c r="V232" s="97"/>
      <c r="W232" s="97"/>
      <c r="X232" s="97"/>
      <c r="Y232" s="97"/>
      <c r="Z232" s="97"/>
    </row>
    <row r="233" spans="2:26" customFormat="1">
      <c r="B233" s="89"/>
      <c r="C233" s="97"/>
      <c r="D233" s="97"/>
      <c r="E233" s="97"/>
      <c r="F233" s="97"/>
      <c r="G233" s="97"/>
      <c r="H233" s="97"/>
      <c r="I233" s="97"/>
      <c r="J233" s="97"/>
      <c r="K233" s="97"/>
      <c r="L233" s="97"/>
      <c r="M233" s="97"/>
      <c r="N233" s="97"/>
      <c r="O233" s="97"/>
      <c r="P233" s="97"/>
      <c r="Q233" s="97"/>
      <c r="R233" s="97"/>
      <c r="S233" s="97"/>
      <c r="T233" s="97"/>
      <c r="U233" s="97"/>
      <c r="V233" s="97"/>
      <c r="W233" s="97"/>
      <c r="X233" s="97"/>
      <c r="Y233" s="97"/>
      <c r="Z233" s="97"/>
    </row>
    <row r="234" spans="2:26" customFormat="1">
      <c r="B234" s="89"/>
      <c r="C234" s="97"/>
      <c r="D234" s="97"/>
      <c r="E234" s="97"/>
      <c r="F234" s="97"/>
      <c r="G234" s="97"/>
      <c r="H234" s="97"/>
      <c r="I234" s="97"/>
      <c r="J234" s="97"/>
      <c r="K234" s="97"/>
      <c r="L234" s="97"/>
      <c r="M234" s="97"/>
      <c r="N234" s="97"/>
      <c r="O234" s="97"/>
      <c r="P234" s="97"/>
      <c r="Q234" s="97"/>
      <c r="R234" s="97"/>
      <c r="S234" s="97"/>
      <c r="T234" s="97"/>
      <c r="U234" s="97"/>
      <c r="V234" s="97"/>
      <c r="W234" s="97"/>
      <c r="X234" s="97"/>
      <c r="Y234" s="97"/>
      <c r="Z234" s="97"/>
    </row>
    <row r="235" spans="2:26" customFormat="1">
      <c r="B235" s="89"/>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row>
    <row r="236" spans="2:26" customFormat="1">
      <c r="B236" s="89"/>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row>
    <row r="237" spans="2:26" customFormat="1">
      <c r="B237" s="89"/>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row>
    <row r="238" spans="2:26" customFormat="1">
      <c r="B238" s="89"/>
      <c r="C238" s="97"/>
      <c r="D238" s="97"/>
      <c r="E238" s="97"/>
      <c r="F238" s="97"/>
      <c r="G238" s="97"/>
      <c r="H238" s="97"/>
      <c r="I238" s="97"/>
      <c r="J238" s="97"/>
      <c r="K238" s="97"/>
      <c r="L238" s="97"/>
      <c r="M238" s="97"/>
      <c r="N238" s="97"/>
      <c r="O238" s="97"/>
      <c r="P238" s="97"/>
      <c r="Q238" s="97"/>
      <c r="R238" s="97"/>
      <c r="S238" s="97"/>
      <c r="T238" s="97"/>
      <c r="U238" s="97"/>
      <c r="V238" s="97"/>
      <c r="W238" s="97"/>
      <c r="X238" s="97"/>
      <c r="Y238" s="97"/>
      <c r="Z238" s="97"/>
    </row>
    <row r="239" spans="2:26" customFormat="1">
      <c r="B239" s="89"/>
      <c r="C239" s="97"/>
      <c r="D239" s="97"/>
      <c r="E239" s="97"/>
      <c r="F239" s="97"/>
      <c r="G239" s="97"/>
      <c r="H239" s="97"/>
      <c r="I239" s="97"/>
      <c r="J239" s="97"/>
      <c r="K239" s="97"/>
      <c r="L239" s="97"/>
      <c r="M239" s="97"/>
      <c r="N239" s="97"/>
      <c r="O239" s="97"/>
      <c r="P239" s="97"/>
      <c r="Q239" s="97"/>
      <c r="R239" s="97"/>
      <c r="S239" s="97"/>
      <c r="T239" s="97"/>
      <c r="U239" s="97"/>
      <c r="V239" s="97"/>
      <c r="W239" s="97"/>
      <c r="X239" s="97"/>
      <c r="Y239" s="97"/>
      <c r="Z239" s="97"/>
    </row>
    <row r="240" spans="2:26" customFormat="1">
      <c r="B240" s="89"/>
      <c r="C240" s="97"/>
      <c r="D240" s="97"/>
      <c r="E240" s="97"/>
      <c r="F240" s="97"/>
      <c r="G240" s="97"/>
      <c r="H240" s="97"/>
      <c r="I240" s="97"/>
      <c r="J240" s="97"/>
      <c r="K240" s="97"/>
      <c r="L240" s="97"/>
      <c r="M240" s="97"/>
      <c r="N240" s="97"/>
      <c r="O240" s="97"/>
      <c r="P240" s="97"/>
      <c r="Q240" s="97"/>
      <c r="R240" s="97"/>
      <c r="S240" s="97"/>
      <c r="T240" s="97"/>
      <c r="U240" s="97"/>
      <c r="V240" s="97"/>
      <c r="W240" s="97"/>
      <c r="X240" s="97"/>
      <c r="Y240" s="97"/>
      <c r="Z240" s="97"/>
    </row>
    <row r="241" spans="2:26" customFormat="1">
      <c r="B241" s="89"/>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row>
    <row r="242" spans="2:26" customFormat="1">
      <c r="B242" s="89"/>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row>
    <row r="243" spans="2:26" customFormat="1">
      <c r="B243" s="89"/>
      <c r="C243" s="97"/>
      <c r="D243" s="97"/>
      <c r="E243" s="97"/>
      <c r="F243" s="97"/>
      <c r="G243" s="97"/>
      <c r="H243" s="97"/>
      <c r="I243" s="97"/>
      <c r="J243" s="97"/>
      <c r="K243" s="97"/>
      <c r="L243" s="97"/>
      <c r="M243" s="97"/>
      <c r="N243" s="97"/>
      <c r="O243" s="97"/>
      <c r="P243" s="97"/>
      <c r="Q243" s="97"/>
      <c r="R243" s="97"/>
      <c r="S243" s="97"/>
      <c r="T243" s="97"/>
      <c r="U243" s="97"/>
      <c r="V243" s="97"/>
      <c r="W243" s="97"/>
      <c r="X243" s="97"/>
      <c r="Y243" s="97"/>
      <c r="Z243" s="97"/>
    </row>
    <row r="244" spans="2:26" customFormat="1">
      <c r="B244" s="89"/>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row>
    <row r="245" spans="2:26" customFormat="1">
      <c r="B245" s="89"/>
      <c r="C245" s="97"/>
      <c r="D245" s="97"/>
      <c r="E245" s="97"/>
      <c r="F245" s="97"/>
      <c r="G245" s="97"/>
      <c r="H245" s="97"/>
      <c r="I245" s="97"/>
      <c r="J245" s="97"/>
      <c r="K245" s="97"/>
      <c r="L245" s="97"/>
      <c r="M245" s="97"/>
      <c r="N245" s="97"/>
      <c r="O245" s="97"/>
      <c r="P245" s="97"/>
      <c r="Q245" s="97"/>
      <c r="R245" s="97"/>
      <c r="S245" s="97"/>
      <c r="T245" s="97"/>
      <c r="U245" s="97"/>
      <c r="V245" s="97"/>
      <c r="W245" s="97"/>
      <c r="X245" s="97"/>
      <c r="Y245" s="97"/>
      <c r="Z245" s="97"/>
    </row>
    <row r="246" spans="2:26" customFormat="1">
      <c r="B246" s="89"/>
      <c r="C246" s="97"/>
      <c r="D246" s="97"/>
      <c r="E246" s="97"/>
      <c r="F246" s="97"/>
      <c r="G246" s="97"/>
      <c r="H246" s="97"/>
      <c r="I246" s="97"/>
      <c r="J246" s="97"/>
      <c r="K246" s="97"/>
      <c r="L246" s="97"/>
      <c r="M246" s="97"/>
      <c r="N246" s="97"/>
      <c r="O246" s="97"/>
      <c r="P246" s="97"/>
      <c r="Q246" s="97"/>
      <c r="R246" s="97"/>
      <c r="S246" s="97"/>
      <c r="T246" s="97"/>
      <c r="U246" s="97"/>
      <c r="V246" s="97"/>
      <c r="W246" s="97"/>
      <c r="X246" s="97"/>
      <c r="Y246" s="97"/>
      <c r="Z246" s="97"/>
    </row>
    <row r="247" spans="2:26" customFormat="1">
      <c r="B247" s="89"/>
      <c r="C247" s="97"/>
      <c r="D247" s="97"/>
      <c r="E247" s="97"/>
      <c r="F247" s="97"/>
      <c r="G247" s="97"/>
      <c r="H247" s="97"/>
      <c r="I247" s="97"/>
      <c r="J247" s="97"/>
      <c r="K247" s="97"/>
      <c r="L247" s="97"/>
      <c r="M247" s="97"/>
      <c r="N247" s="97"/>
      <c r="O247" s="97"/>
      <c r="P247" s="97"/>
      <c r="Q247" s="97"/>
      <c r="R247" s="97"/>
      <c r="S247" s="97"/>
      <c r="T247" s="97"/>
      <c r="U247" s="97"/>
      <c r="V247" s="97"/>
      <c r="W247" s="97"/>
      <c r="X247" s="97"/>
      <c r="Y247" s="97"/>
      <c r="Z247" s="97"/>
    </row>
    <row r="248" spans="2:26" customFormat="1">
      <c r="B248" s="89"/>
      <c r="C248" s="97"/>
      <c r="D248" s="97"/>
      <c r="E248" s="97"/>
      <c r="F248" s="97"/>
      <c r="G248" s="97"/>
      <c r="H248" s="97"/>
      <c r="I248" s="97"/>
      <c r="J248" s="97"/>
      <c r="K248" s="97"/>
      <c r="L248" s="97"/>
      <c r="M248" s="97"/>
      <c r="N248" s="97"/>
      <c r="O248" s="97"/>
      <c r="P248" s="97"/>
      <c r="Q248" s="97"/>
      <c r="R248" s="97"/>
      <c r="S248" s="97"/>
      <c r="T248" s="97"/>
      <c r="U248" s="97"/>
      <c r="V248" s="97"/>
      <c r="W248" s="97"/>
      <c r="X248" s="97"/>
      <c r="Y248" s="97"/>
      <c r="Z248" s="97"/>
    </row>
    <row r="249" spans="2:26" customFormat="1">
      <c r="B249" s="89"/>
      <c r="C249" s="97"/>
      <c r="D249" s="97"/>
      <c r="E249" s="97"/>
      <c r="F249" s="97"/>
      <c r="G249" s="97"/>
      <c r="H249" s="97"/>
      <c r="I249" s="97"/>
      <c r="J249" s="97"/>
      <c r="K249" s="97"/>
      <c r="L249" s="97"/>
      <c r="M249" s="97"/>
      <c r="N249" s="97"/>
      <c r="O249" s="97"/>
      <c r="P249" s="97"/>
      <c r="Q249" s="97"/>
      <c r="R249" s="97"/>
      <c r="S249" s="97"/>
      <c r="T249" s="97"/>
      <c r="U249" s="97"/>
      <c r="V249" s="97"/>
      <c r="W249" s="97"/>
      <c r="X249" s="97"/>
      <c r="Y249" s="97"/>
      <c r="Z249" s="97"/>
    </row>
    <row r="250" spans="2:26" customFormat="1">
      <c r="B250" s="89"/>
      <c r="C250" s="97"/>
      <c r="D250" s="97"/>
      <c r="E250" s="97"/>
      <c r="F250" s="97"/>
      <c r="G250" s="97"/>
      <c r="H250" s="97"/>
      <c r="I250" s="97"/>
      <c r="J250" s="97"/>
      <c r="K250" s="97"/>
      <c r="L250" s="97"/>
      <c r="M250" s="97"/>
      <c r="N250" s="97"/>
      <c r="O250" s="97"/>
      <c r="P250" s="97"/>
      <c r="Q250" s="97"/>
      <c r="R250" s="97"/>
      <c r="S250" s="97"/>
      <c r="T250" s="97"/>
      <c r="U250" s="97"/>
      <c r="V250" s="97"/>
      <c r="W250" s="97"/>
      <c r="X250" s="97"/>
      <c r="Y250" s="97"/>
      <c r="Z250" s="97"/>
    </row>
    <row r="251" spans="2:26" customFormat="1">
      <c r="B251" s="89"/>
      <c r="C251" s="97"/>
      <c r="D251" s="97"/>
      <c r="E251" s="97"/>
      <c r="F251" s="97"/>
      <c r="G251" s="97"/>
      <c r="H251" s="97"/>
      <c r="I251" s="97"/>
      <c r="J251" s="97"/>
      <c r="K251" s="97"/>
      <c r="L251" s="97"/>
      <c r="M251" s="97"/>
      <c r="N251" s="97"/>
      <c r="O251" s="97"/>
      <c r="P251" s="97"/>
      <c r="Q251" s="97"/>
      <c r="R251" s="97"/>
      <c r="S251" s="97"/>
      <c r="T251" s="97"/>
      <c r="U251" s="97"/>
      <c r="V251" s="97"/>
      <c r="W251" s="97"/>
      <c r="X251" s="97"/>
      <c r="Y251" s="97"/>
      <c r="Z251" s="97"/>
    </row>
    <row r="252" spans="2:26" customFormat="1">
      <c r="B252" s="89"/>
      <c r="C252" s="97"/>
      <c r="D252" s="97"/>
      <c r="E252" s="97"/>
      <c r="F252" s="97"/>
      <c r="G252" s="97"/>
      <c r="H252" s="97"/>
      <c r="I252" s="97"/>
      <c r="J252" s="97"/>
      <c r="K252" s="97"/>
      <c r="L252" s="97"/>
      <c r="M252" s="97"/>
      <c r="N252" s="97"/>
      <c r="O252" s="97"/>
      <c r="P252" s="97"/>
      <c r="Q252" s="97"/>
      <c r="R252" s="97"/>
      <c r="S252" s="97"/>
      <c r="T252" s="97"/>
      <c r="U252" s="97"/>
      <c r="V252" s="97"/>
      <c r="W252" s="97"/>
      <c r="X252" s="97"/>
      <c r="Y252" s="97"/>
      <c r="Z252" s="97"/>
    </row>
    <row r="253" spans="2:26" customFormat="1">
      <c r="B253" s="89"/>
      <c r="C253" s="97"/>
      <c r="D253" s="97"/>
      <c r="E253" s="97"/>
      <c r="F253" s="97"/>
      <c r="G253" s="97"/>
      <c r="H253" s="97"/>
      <c r="I253" s="97"/>
      <c r="J253" s="97"/>
      <c r="K253" s="97"/>
      <c r="L253" s="97"/>
      <c r="M253" s="97"/>
      <c r="N253" s="97"/>
      <c r="O253" s="97"/>
      <c r="P253" s="97"/>
      <c r="Q253" s="97"/>
      <c r="R253" s="97"/>
      <c r="S253" s="97"/>
      <c r="T253" s="97"/>
      <c r="U253" s="97"/>
      <c r="V253" s="97"/>
      <c r="W253" s="97"/>
      <c r="X253" s="97"/>
      <c r="Y253" s="97"/>
      <c r="Z253" s="97"/>
    </row>
    <row r="254" spans="2:26" customFormat="1">
      <c r="B254" s="89"/>
      <c r="C254" s="97"/>
      <c r="D254" s="97"/>
      <c r="E254" s="97"/>
      <c r="F254" s="97"/>
      <c r="G254" s="97"/>
      <c r="H254" s="97"/>
      <c r="I254" s="97"/>
      <c r="J254" s="97"/>
      <c r="K254" s="97"/>
      <c r="L254" s="97"/>
      <c r="M254" s="97"/>
      <c r="N254" s="97"/>
      <c r="O254" s="97"/>
      <c r="P254" s="97"/>
      <c r="Q254" s="97"/>
      <c r="R254" s="97"/>
      <c r="S254" s="97"/>
      <c r="T254" s="97"/>
      <c r="U254" s="97"/>
      <c r="V254" s="97"/>
      <c r="W254" s="97"/>
      <c r="X254" s="97"/>
      <c r="Y254" s="97"/>
      <c r="Z254" s="97"/>
    </row>
    <row r="255" spans="2:26" customFormat="1">
      <c r="B255" s="89"/>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row>
    <row r="256" spans="2:26" customFormat="1">
      <c r="B256" s="89"/>
      <c r="C256" s="97"/>
      <c r="D256" s="97"/>
      <c r="E256" s="97"/>
      <c r="F256" s="97"/>
      <c r="G256" s="97"/>
      <c r="H256" s="97"/>
      <c r="I256" s="97"/>
      <c r="J256" s="97"/>
      <c r="K256" s="97"/>
      <c r="L256" s="97"/>
      <c r="M256" s="97"/>
      <c r="N256" s="97"/>
      <c r="O256" s="97"/>
      <c r="P256" s="97"/>
      <c r="Q256" s="97"/>
      <c r="R256" s="97"/>
      <c r="S256" s="97"/>
      <c r="T256" s="97"/>
      <c r="U256" s="97"/>
      <c r="V256" s="97"/>
      <c r="W256" s="97"/>
      <c r="X256" s="97"/>
      <c r="Y256" s="97"/>
      <c r="Z256" s="97"/>
    </row>
    <row r="257" spans="1:26" customFormat="1">
      <c r="B257" s="89"/>
      <c r="C257" s="97"/>
      <c r="D257" s="97"/>
      <c r="E257" s="97"/>
      <c r="F257" s="97"/>
      <c r="G257" s="97"/>
      <c r="H257" s="97"/>
      <c r="I257" s="97"/>
      <c r="J257" s="97"/>
      <c r="K257" s="97"/>
      <c r="L257" s="97"/>
      <c r="M257" s="97"/>
      <c r="N257" s="97"/>
      <c r="O257" s="97"/>
      <c r="P257" s="97"/>
      <c r="Q257" s="97"/>
      <c r="R257" s="97"/>
      <c r="S257" s="97"/>
      <c r="T257" s="97"/>
      <c r="U257" s="97"/>
      <c r="V257" s="97"/>
      <c r="W257" s="97"/>
      <c r="X257" s="97"/>
      <c r="Y257" s="97"/>
      <c r="Z257" s="97"/>
    </row>
    <row r="258" spans="1:26" customFormat="1">
      <c r="B258" s="89"/>
      <c r="C258" s="97"/>
      <c r="D258" s="97"/>
      <c r="E258" s="97"/>
      <c r="F258" s="97"/>
      <c r="G258" s="97"/>
      <c r="H258" s="97"/>
      <c r="I258" s="97"/>
      <c r="J258" s="97"/>
      <c r="K258" s="97"/>
      <c r="L258" s="97"/>
      <c r="M258" s="97"/>
      <c r="N258" s="97"/>
      <c r="O258" s="97"/>
      <c r="P258" s="97"/>
      <c r="Q258" s="97"/>
      <c r="R258" s="97"/>
      <c r="S258" s="97"/>
      <c r="T258" s="97"/>
      <c r="U258" s="97"/>
      <c r="V258" s="97"/>
      <c r="W258" s="97"/>
      <c r="X258" s="97"/>
      <c r="Y258" s="97"/>
    </row>
    <row r="259" spans="1:26" s="18" customFormat="1">
      <c r="A259"/>
      <c r="B259" s="89"/>
      <c r="C259" s="97"/>
      <c r="D259" s="97"/>
      <c r="E259" s="97"/>
      <c r="F259" s="97"/>
      <c r="G259" s="97"/>
      <c r="H259" s="97"/>
      <c r="I259" s="97"/>
      <c r="J259" s="97"/>
      <c r="K259" s="97"/>
      <c r="L259" s="97"/>
      <c r="M259" s="97"/>
      <c r="N259" s="97"/>
      <c r="O259" s="97"/>
      <c r="P259" s="97"/>
      <c r="Q259" s="97"/>
      <c r="R259" s="97"/>
      <c r="S259" s="97"/>
      <c r="T259" s="97"/>
      <c r="U259" s="97"/>
    </row>
    <row r="260" spans="1:26" customFormat="1">
      <c r="B260" s="89"/>
      <c r="C260" s="97"/>
      <c r="D260" s="97"/>
      <c r="E260" s="97"/>
      <c r="F260" s="97"/>
      <c r="G260" s="97"/>
      <c r="H260" s="97"/>
      <c r="I260" s="97"/>
      <c r="J260" s="97"/>
      <c r="K260" s="97"/>
      <c r="L260" s="97"/>
      <c r="M260" s="97"/>
      <c r="N260" s="97"/>
      <c r="O260" s="97"/>
      <c r="P260" s="97"/>
      <c r="Q260" s="97"/>
      <c r="R260" s="97"/>
      <c r="S260" s="97"/>
      <c r="T260" s="97"/>
      <c r="U260" s="97"/>
      <c r="V260" s="97"/>
      <c r="W260" s="97"/>
      <c r="X260" s="97"/>
      <c r="Y260" s="97"/>
    </row>
    <row r="261" spans="1:26" customFormat="1">
      <c r="B261" s="89"/>
      <c r="C261" s="97"/>
      <c r="D261" s="97"/>
      <c r="E261" s="97"/>
      <c r="F261" s="97"/>
      <c r="G261" s="97"/>
      <c r="H261" s="97"/>
      <c r="I261" s="97"/>
      <c r="J261" s="97"/>
      <c r="K261" s="97"/>
      <c r="L261" s="97"/>
      <c r="M261" s="97"/>
      <c r="N261" s="97"/>
      <c r="O261" s="97"/>
      <c r="P261" s="97"/>
      <c r="Q261" s="97"/>
      <c r="R261" s="97"/>
      <c r="S261" s="97"/>
      <c r="T261" s="97"/>
      <c r="U261" s="97"/>
      <c r="V261" s="97"/>
      <c r="W261" s="97"/>
      <c r="X261" s="97"/>
      <c r="Y261" s="97"/>
    </row>
    <row r="262" spans="1:26" customFormat="1">
      <c r="B262" s="89"/>
      <c r="C262" s="97"/>
      <c r="D262" s="97"/>
      <c r="E262" s="97"/>
      <c r="F262" s="97"/>
      <c r="G262" s="97"/>
      <c r="H262" s="97"/>
      <c r="I262" s="97"/>
      <c r="J262" s="97"/>
      <c r="K262" s="97"/>
      <c r="L262" s="97"/>
      <c r="M262" s="97"/>
      <c r="N262" s="97"/>
      <c r="O262" s="97"/>
      <c r="P262" s="97"/>
      <c r="Q262" s="97"/>
      <c r="R262" s="97"/>
      <c r="S262" s="97"/>
      <c r="T262" s="97"/>
      <c r="U262" s="97"/>
      <c r="V262" s="97"/>
      <c r="W262" s="97"/>
      <c r="X262" s="97"/>
      <c r="Y262" s="97"/>
    </row>
    <row r="263" spans="1:26" customFormat="1">
      <c r="B263" s="89"/>
      <c r="C263" s="97"/>
      <c r="D263" s="97"/>
      <c r="E263" s="97"/>
      <c r="F263" s="97"/>
      <c r="G263" s="97"/>
      <c r="H263" s="97"/>
      <c r="I263" s="97"/>
      <c r="J263" s="97"/>
      <c r="K263" s="97"/>
      <c r="L263" s="97"/>
      <c r="M263" s="97"/>
      <c r="N263" s="97"/>
      <c r="O263" s="97"/>
      <c r="P263" s="97"/>
      <c r="Q263" s="97"/>
      <c r="R263" s="97"/>
      <c r="S263" s="97"/>
      <c r="T263" s="97"/>
      <c r="U263" s="97"/>
      <c r="V263" s="97"/>
      <c r="W263" s="97"/>
      <c r="X263" s="97"/>
      <c r="Y263" s="97"/>
    </row>
    <row r="264" spans="1:26" customFormat="1">
      <c r="B264" s="89"/>
      <c r="C264" s="97"/>
      <c r="D264" s="97"/>
      <c r="E264" s="97"/>
      <c r="F264" s="97"/>
      <c r="G264" s="97"/>
      <c r="H264" s="97"/>
      <c r="I264" s="97"/>
      <c r="J264" s="97"/>
      <c r="K264" s="97"/>
      <c r="L264" s="97"/>
      <c r="M264" s="97"/>
      <c r="N264" s="97"/>
      <c r="O264" s="97"/>
      <c r="P264" s="97"/>
      <c r="Q264" s="97"/>
      <c r="R264" s="97"/>
      <c r="S264" s="97"/>
      <c r="T264" s="97"/>
      <c r="U264" s="97"/>
      <c r="V264" s="97"/>
      <c r="W264" s="97"/>
      <c r="X264" s="97"/>
      <c r="Y264" s="97"/>
    </row>
    <row r="265" spans="1:26" customFormat="1">
      <c r="B265" s="89"/>
      <c r="C265" s="97"/>
      <c r="D265" s="97"/>
      <c r="E265" s="97"/>
      <c r="F265" s="97"/>
      <c r="G265" s="97"/>
      <c r="H265" s="97"/>
      <c r="I265" s="97"/>
      <c r="J265" s="97"/>
      <c r="K265" s="97"/>
      <c r="L265" s="97"/>
      <c r="M265" s="97"/>
      <c r="N265" s="97"/>
      <c r="O265" s="97"/>
      <c r="P265" s="97"/>
      <c r="Q265" s="97"/>
      <c r="R265" s="97"/>
      <c r="S265" s="97"/>
      <c r="T265" s="97"/>
      <c r="U265" s="97"/>
      <c r="V265" s="97"/>
      <c r="W265" s="97"/>
      <c r="X265" s="97"/>
      <c r="Y265" s="97"/>
    </row>
    <row r="266" spans="1:26" customFormat="1">
      <c r="B266" s="89"/>
      <c r="C266" s="97"/>
      <c r="D266" s="97"/>
      <c r="E266" s="97"/>
      <c r="F266" s="97"/>
      <c r="G266" s="97"/>
      <c r="H266" s="97"/>
      <c r="I266" s="97"/>
      <c r="J266" s="97"/>
      <c r="K266" s="97"/>
      <c r="L266" s="97"/>
      <c r="M266" s="97"/>
      <c r="N266" s="97"/>
      <c r="O266" s="97"/>
      <c r="P266" s="97"/>
      <c r="Q266" s="97"/>
      <c r="R266" s="97"/>
      <c r="S266" s="97"/>
      <c r="T266" s="97"/>
      <c r="U266" s="97"/>
      <c r="V266" s="97"/>
      <c r="W266" s="97"/>
      <c r="X266" s="97"/>
      <c r="Y266" s="97"/>
    </row>
    <row r="267" spans="1:26" customFormat="1">
      <c r="B267" s="89"/>
      <c r="C267" s="97"/>
      <c r="D267" s="97"/>
      <c r="E267" s="97"/>
      <c r="F267" s="97"/>
      <c r="G267" s="97"/>
      <c r="H267" s="97"/>
      <c r="I267" s="97"/>
      <c r="J267" s="97"/>
      <c r="K267" s="97"/>
      <c r="L267" s="97"/>
      <c r="M267" s="97"/>
      <c r="N267" s="97"/>
      <c r="O267" s="97"/>
      <c r="P267" s="97"/>
      <c r="Q267" s="97"/>
      <c r="R267" s="97"/>
      <c r="S267" s="97"/>
      <c r="T267" s="97"/>
      <c r="U267" s="97"/>
      <c r="V267" s="97"/>
      <c r="W267" s="97"/>
      <c r="X267" s="97"/>
      <c r="Y267" s="97"/>
    </row>
    <row r="268" spans="1:26" customFormat="1">
      <c r="B268" s="89"/>
      <c r="C268" s="97"/>
      <c r="D268" s="97"/>
      <c r="E268" s="97"/>
      <c r="F268" s="97"/>
      <c r="G268" s="97"/>
      <c r="H268" s="97"/>
      <c r="I268" s="97"/>
      <c r="J268" s="97"/>
      <c r="K268" s="97"/>
      <c r="L268" s="97"/>
      <c r="M268" s="97"/>
      <c r="N268" s="97"/>
      <c r="O268" s="97"/>
      <c r="P268" s="97"/>
      <c r="Q268" s="97"/>
      <c r="R268" s="97"/>
      <c r="S268" s="97"/>
      <c r="T268" s="97"/>
      <c r="U268" s="97"/>
      <c r="V268" s="97"/>
      <c r="W268" s="97"/>
      <c r="X268" s="97"/>
      <c r="Y268" s="97"/>
    </row>
    <row r="269" spans="1:26" customFormat="1">
      <c r="B269" s="89"/>
      <c r="C269" s="97"/>
      <c r="D269" s="97"/>
      <c r="E269" s="97"/>
      <c r="F269" s="97"/>
      <c r="G269" s="97"/>
      <c r="H269" s="97"/>
      <c r="I269" s="97"/>
      <c r="J269" s="97"/>
      <c r="K269" s="97"/>
      <c r="L269" s="97"/>
      <c r="M269" s="97"/>
      <c r="N269" s="97"/>
      <c r="O269" s="97"/>
      <c r="P269" s="97"/>
      <c r="Q269" s="97"/>
      <c r="R269" s="97"/>
      <c r="S269" s="97"/>
      <c r="T269" s="97"/>
      <c r="U269" s="97"/>
      <c r="V269" s="97"/>
      <c r="W269" s="97"/>
      <c r="X269" s="97"/>
      <c r="Y269" s="97"/>
    </row>
    <row r="270" spans="1:26" customFormat="1">
      <c r="B270" s="89"/>
      <c r="C270" s="97"/>
      <c r="D270" s="97"/>
      <c r="E270" s="97"/>
      <c r="F270" s="97"/>
      <c r="G270" s="97"/>
      <c r="H270" s="97"/>
      <c r="I270" s="97"/>
      <c r="J270" s="97"/>
      <c r="K270" s="97"/>
      <c r="L270" s="97"/>
      <c r="M270" s="97"/>
      <c r="N270" s="97"/>
      <c r="O270" s="97"/>
      <c r="P270" s="97"/>
      <c r="Q270" s="97"/>
      <c r="R270" s="97"/>
      <c r="S270" s="97"/>
      <c r="T270" s="97"/>
      <c r="U270" s="97"/>
      <c r="V270" s="97"/>
      <c r="W270" s="97"/>
      <c r="X270" s="97"/>
      <c r="Y270" s="97"/>
    </row>
    <row r="271" spans="1:26" customFormat="1">
      <c r="B271" s="89"/>
      <c r="C271" s="97"/>
      <c r="D271" s="97"/>
      <c r="E271" s="97"/>
      <c r="F271" s="97"/>
      <c r="G271" s="97"/>
      <c r="H271" s="97"/>
      <c r="I271" s="97"/>
      <c r="J271" s="97"/>
      <c r="K271" s="97"/>
      <c r="L271" s="97"/>
      <c r="M271" s="97"/>
      <c r="N271" s="97"/>
      <c r="O271" s="97"/>
      <c r="P271" s="97"/>
      <c r="Q271" s="97"/>
      <c r="R271" s="97"/>
      <c r="S271" s="97"/>
      <c r="T271" s="97"/>
      <c r="U271" s="97"/>
      <c r="V271" s="97"/>
      <c r="W271" s="97"/>
      <c r="X271" s="97"/>
      <c r="Y271" s="97"/>
    </row>
    <row r="272" spans="1:26" customFormat="1">
      <c r="B272" s="89"/>
      <c r="C272" s="97"/>
      <c r="D272" s="97"/>
      <c r="E272" s="97"/>
      <c r="F272" s="97"/>
      <c r="G272" s="97"/>
      <c r="H272" s="97"/>
      <c r="I272" s="97"/>
      <c r="J272" s="97"/>
      <c r="K272" s="97"/>
      <c r="L272" s="97"/>
      <c r="M272" s="97"/>
      <c r="N272" s="97"/>
      <c r="O272" s="97"/>
      <c r="P272" s="97"/>
      <c r="Q272" s="97"/>
      <c r="R272" s="97"/>
      <c r="S272" s="97"/>
      <c r="T272" s="97"/>
      <c r="U272" s="97"/>
      <c r="V272" s="97"/>
      <c r="W272" s="97"/>
      <c r="X272" s="97"/>
      <c r="Y272" s="97"/>
    </row>
    <row r="273" spans="2:25" customFormat="1">
      <c r="B273" s="89"/>
      <c r="C273" s="97"/>
      <c r="D273" s="97"/>
      <c r="E273" s="97"/>
      <c r="F273" s="97"/>
      <c r="G273" s="97"/>
      <c r="H273" s="97"/>
      <c r="I273" s="97"/>
      <c r="J273" s="97"/>
      <c r="K273" s="97"/>
      <c r="L273" s="97"/>
      <c r="M273" s="97"/>
      <c r="N273" s="97"/>
      <c r="O273" s="97"/>
      <c r="P273" s="97"/>
      <c r="Q273" s="97"/>
      <c r="R273" s="97"/>
      <c r="S273" s="97"/>
      <c r="T273" s="97"/>
      <c r="U273" s="97"/>
      <c r="V273" s="97"/>
      <c r="W273" s="97"/>
      <c r="X273" s="97"/>
      <c r="Y273" s="97"/>
    </row>
    <row r="274" spans="2:25" customFormat="1">
      <c r="B274" s="89"/>
      <c r="C274" s="97"/>
      <c r="D274" s="97"/>
      <c r="E274" s="97"/>
      <c r="F274" s="97"/>
      <c r="G274" s="97"/>
      <c r="H274" s="97"/>
      <c r="I274" s="97"/>
      <c r="J274" s="97"/>
      <c r="K274" s="97"/>
      <c r="L274" s="97"/>
      <c r="M274" s="97"/>
      <c r="N274" s="97"/>
      <c r="O274" s="97"/>
      <c r="P274" s="97"/>
      <c r="Q274" s="97"/>
      <c r="R274" s="97"/>
      <c r="S274" s="97"/>
      <c r="T274" s="97"/>
      <c r="U274" s="97"/>
      <c r="V274" s="97"/>
      <c r="W274" s="97"/>
      <c r="X274" s="97"/>
      <c r="Y274" s="97"/>
    </row>
    <row r="275" spans="2:25" customFormat="1">
      <c r="B275" s="89"/>
      <c r="C275" s="97"/>
      <c r="D275" s="97"/>
      <c r="E275" s="97"/>
      <c r="F275" s="97"/>
      <c r="G275" s="97"/>
      <c r="H275" s="97"/>
      <c r="I275" s="97"/>
      <c r="J275" s="97"/>
      <c r="K275" s="97"/>
      <c r="L275" s="97"/>
      <c r="M275" s="97"/>
      <c r="N275" s="97"/>
      <c r="O275" s="97"/>
      <c r="P275" s="97"/>
      <c r="Q275" s="97"/>
      <c r="R275" s="97"/>
      <c r="S275" s="97"/>
      <c r="T275" s="97"/>
      <c r="U275" s="97"/>
      <c r="V275" s="97"/>
      <c r="W275" s="97"/>
      <c r="X275" s="97"/>
      <c r="Y275" s="97"/>
    </row>
    <row r="276" spans="2:25" customFormat="1">
      <c r="B276" s="89"/>
      <c r="C276" s="97"/>
      <c r="D276" s="97"/>
      <c r="E276" s="97"/>
      <c r="F276" s="97"/>
      <c r="G276" s="97"/>
      <c r="H276" s="97"/>
      <c r="I276" s="97"/>
      <c r="J276" s="97"/>
      <c r="K276" s="97"/>
      <c r="L276" s="97"/>
      <c r="M276" s="97"/>
      <c r="N276" s="97"/>
      <c r="O276" s="97"/>
      <c r="P276" s="97"/>
      <c r="Q276" s="97"/>
      <c r="R276" s="97"/>
      <c r="S276" s="97"/>
      <c r="T276" s="97"/>
      <c r="U276" s="97"/>
      <c r="V276" s="97"/>
      <c r="W276" s="97"/>
      <c r="X276" s="97"/>
      <c r="Y276" s="97"/>
    </row>
    <row r="277" spans="2:25" customFormat="1">
      <c r="B277" s="89"/>
      <c r="C277" s="97"/>
      <c r="D277" s="97"/>
      <c r="E277" s="97"/>
      <c r="F277" s="97"/>
      <c r="G277" s="97"/>
      <c r="H277" s="97"/>
      <c r="I277" s="97"/>
      <c r="J277" s="97"/>
      <c r="K277" s="97"/>
      <c r="L277" s="97"/>
      <c r="M277" s="97"/>
      <c r="N277" s="97"/>
      <c r="O277" s="97"/>
      <c r="P277" s="97"/>
      <c r="Q277" s="97"/>
      <c r="R277" s="97"/>
      <c r="S277" s="97"/>
      <c r="T277" s="97"/>
      <c r="U277" s="97"/>
      <c r="V277" s="97"/>
      <c r="W277" s="97"/>
      <c r="X277" s="97"/>
      <c r="Y277" s="97"/>
    </row>
    <row r="278" spans="2:25" customFormat="1">
      <c r="B278" s="89"/>
      <c r="C278" s="97"/>
      <c r="D278" s="97"/>
      <c r="E278" s="97"/>
      <c r="F278" s="97"/>
      <c r="G278" s="97"/>
      <c r="H278" s="97"/>
      <c r="I278" s="97"/>
      <c r="J278" s="97"/>
      <c r="K278" s="97"/>
      <c r="L278" s="97"/>
      <c r="M278" s="97"/>
      <c r="N278" s="97"/>
      <c r="O278" s="97"/>
      <c r="P278" s="97"/>
      <c r="Q278" s="97"/>
      <c r="R278" s="97"/>
      <c r="S278" s="97"/>
      <c r="T278" s="97"/>
      <c r="U278" s="97"/>
      <c r="V278" s="97"/>
      <c r="W278" s="97"/>
      <c r="X278" s="97"/>
      <c r="Y278" s="97"/>
    </row>
    <row r="279" spans="2:25" customFormat="1">
      <c r="B279" s="89"/>
      <c r="C279" s="97"/>
      <c r="D279" s="97"/>
      <c r="E279" s="97"/>
      <c r="F279" s="97"/>
      <c r="G279" s="97"/>
      <c r="H279" s="97"/>
      <c r="I279" s="97"/>
      <c r="J279" s="97"/>
      <c r="K279" s="97"/>
      <c r="L279" s="97"/>
      <c r="M279" s="97"/>
      <c r="N279" s="97"/>
      <c r="O279" s="97"/>
      <c r="P279" s="97"/>
      <c r="Q279" s="97"/>
      <c r="R279" s="97"/>
      <c r="S279" s="97"/>
      <c r="T279" s="97"/>
      <c r="U279" s="97"/>
      <c r="V279" s="97"/>
      <c r="W279" s="97"/>
      <c r="X279" s="97"/>
      <c r="Y279" s="97"/>
    </row>
    <row r="280" spans="2:25" customFormat="1">
      <c r="B280" s="89"/>
      <c r="C280" s="97"/>
      <c r="D280" s="97"/>
      <c r="E280" s="97"/>
      <c r="F280" s="97"/>
      <c r="G280" s="97"/>
      <c r="H280" s="97"/>
      <c r="I280" s="97"/>
      <c r="J280" s="97"/>
      <c r="K280" s="97"/>
      <c r="L280" s="97"/>
      <c r="M280" s="97"/>
      <c r="N280" s="97"/>
      <c r="O280" s="97"/>
      <c r="P280" s="97"/>
      <c r="Q280" s="97"/>
      <c r="R280" s="97"/>
      <c r="S280" s="97"/>
      <c r="T280" s="97"/>
      <c r="U280" s="97"/>
      <c r="V280" s="97"/>
      <c r="W280" s="97"/>
      <c r="X280" s="97"/>
      <c r="Y280" s="97"/>
    </row>
    <row r="281" spans="2:25" customFormat="1">
      <c r="B281" s="89"/>
      <c r="C281" s="97"/>
      <c r="D281" s="97"/>
      <c r="E281" s="97"/>
      <c r="F281" s="97"/>
      <c r="G281" s="97"/>
      <c r="H281" s="97"/>
      <c r="I281" s="97"/>
      <c r="J281" s="97"/>
      <c r="K281" s="97"/>
      <c r="L281" s="97"/>
      <c r="M281" s="97"/>
      <c r="N281" s="97"/>
      <c r="O281" s="97"/>
      <c r="P281" s="97"/>
      <c r="Q281" s="97"/>
      <c r="R281" s="97"/>
      <c r="S281" s="97"/>
      <c r="T281" s="97"/>
      <c r="U281" s="97"/>
      <c r="V281" s="97"/>
      <c r="W281" s="97"/>
      <c r="X281" s="97"/>
      <c r="Y281" s="97"/>
    </row>
    <row r="282" spans="2:25" customFormat="1">
      <c r="B282" s="89"/>
      <c r="C282" s="97"/>
      <c r="D282" s="97"/>
      <c r="E282" s="97"/>
      <c r="F282" s="97"/>
      <c r="G282" s="97"/>
      <c r="H282" s="97"/>
      <c r="I282" s="97"/>
      <c r="J282" s="97"/>
      <c r="K282" s="97"/>
      <c r="L282" s="97"/>
      <c r="M282" s="97"/>
      <c r="N282" s="97"/>
      <c r="O282" s="97"/>
      <c r="P282" s="97"/>
      <c r="Q282" s="97"/>
      <c r="R282" s="97"/>
      <c r="S282" s="97"/>
      <c r="T282" s="97"/>
      <c r="U282" s="97"/>
      <c r="V282" s="97"/>
      <c r="W282" s="97"/>
      <c r="X282" s="97"/>
      <c r="Y282" s="97"/>
    </row>
    <row r="283" spans="2:25" customFormat="1">
      <c r="B283" s="89"/>
      <c r="C283" s="97"/>
      <c r="D283" s="97"/>
      <c r="E283" s="97"/>
      <c r="F283" s="97"/>
      <c r="G283" s="97"/>
      <c r="H283" s="97"/>
      <c r="I283" s="97"/>
      <c r="J283" s="97"/>
      <c r="K283" s="97"/>
      <c r="L283" s="97"/>
      <c r="M283" s="97"/>
      <c r="N283" s="97"/>
      <c r="O283" s="97"/>
      <c r="P283" s="97"/>
      <c r="Q283" s="97"/>
      <c r="R283" s="97"/>
      <c r="S283" s="97"/>
      <c r="T283" s="97"/>
      <c r="U283" s="97"/>
      <c r="V283" s="97"/>
      <c r="W283" s="97"/>
      <c r="X283" s="97"/>
      <c r="Y283" s="97"/>
    </row>
    <row r="284" spans="2:25" customFormat="1">
      <c r="B284" s="89"/>
      <c r="C284" s="97"/>
      <c r="D284" s="97"/>
      <c r="E284" s="97"/>
      <c r="F284" s="97"/>
      <c r="G284" s="97"/>
      <c r="H284" s="97"/>
      <c r="I284" s="97"/>
      <c r="J284" s="97"/>
      <c r="K284" s="97"/>
      <c r="L284" s="97"/>
      <c r="M284" s="97"/>
      <c r="N284" s="97"/>
      <c r="O284" s="97"/>
      <c r="P284" s="97"/>
      <c r="Q284" s="97"/>
      <c r="R284" s="97"/>
      <c r="S284" s="97"/>
      <c r="T284" s="97"/>
      <c r="U284" s="97"/>
      <c r="V284" s="97"/>
      <c r="W284" s="97"/>
      <c r="X284" s="97"/>
      <c r="Y284" s="97"/>
    </row>
    <row r="285" spans="2:25" customFormat="1">
      <c r="B285" s="89"/>
      <c r="C285" s="97"/>
      <c r="D285" s="97"/>
      <c r="E285" s="97"/>
      <c r="F285" s="97"/>
      <c r="G285" s="97"/>
      <c r="H285" s="97"/>
      <c r="I285" s="97"/>
      <c r="J285" s="97"/>
      <c r="K285" s="97"/>
      <c r="L285" s="97"/>
      <c r="M285" s="97"/>
      <c r="N285" s="97"/>
      <c r="O285" s="97"/>
      <c r="P285" s="97"/>
      <c r="Q285" s="97"/>
      <c r="R285" s="97"/>
      <c r="S285" s="97"/>
      <c r="T285" s="97"/>
      <c r="U285" s="97"/>
      <c r="V285" s="97"/>
      <c r="W285" s="97"/>
      <c r="X285" s="97"/>
      <c r="Y285" s="97"/>
    </row>
    <row r="286" spans="2:25" customFormat="1">
      <c r="B286" s="89"/>
      <c r="C286" s="97"/>
      <c r="D286" s="97"/>
      <c r="E286" s="97"/>
      <c r="F286" s="97"/>
      <c r="G286" s="97"/>
      <c r="H286" s="97"/>
      <c r="I286" s="97"/>
      <c r="J286" s="97"/>
      <c r="K286" s="97"/>
      <c r="L286" s="97"/>
      <c r="M286" s="97"/>
      <c r="N286" s="97"/>
      <c r="O286" s="97"/>
      <c r="P286" s="97"/>
      <c r="Q286" s="97"/>
      <c r="R286" s="97"/>
      <c r="S286" s="97"/>
      <c r="T286" s="97"/>
      <c r="U286" s="97"/>
    </row>
    <row r="287" spans="2:25" customFormat="1">
      <c r="B287" s="89"/>
      <c r="C287" s="97"/>
      <c r="D287" s="97"/>
      <c r="E287" s="97"/>
      <c r="F287" s="97"/>
      <c r="G287" s="97"/>
      <c r="H287" s="97"/>
      <c r="I287" s="97"/>
      <c r="J287" s="97"/>
      <c r="K287" s="97"/>
      <c r="L287" s="97"/>
      <c r="M287" s="97"/>
      <c r="N287" s="97"/>
      <c r="O287" s="97"/>
      <c r="P287" s="97"/>
      <c r="Q287" s="97"/>
      <c r="R287" s="97"/>
      <c r="S287" s="97"/>
      <c r="T287" s="97"/>
      <c r="U287" s="97"/>
    </row>
    <row r="288" spans="2:25" customFormat="1">
      <c r="B288" s="89"/>
      <c r="C288" s="97"/>
      <c r="D288" s="97"/>
      <c r="E288" s="97"/>
      <c r="F288" s="97"/>
      <c r="G288" s="97"/>
      <c r="H288" s="97"/>
      <c r="I288" s="97"/>
      <c r="J288" s="97"/>
      <c r="K288" s="97"/>
      <c r="L288" s="97"/>
      <c r="M288" s="97"/>
      <c r="N288" s="97"/>
      <c r="O288" s="97"/>
      <c r="P288" s="97"/>
      <c r="Q288" s="97"/>
      <c r="R288" s="97"/>
      <c r="S288" s="97"/>
      <c r="T288" s="97"/>
      <c r="U288" s="97"/>
    </row>
    <row r="289" spans="2:21" customFormat="1">
      <c r="B289" s="89"/>
      <c r="C289" s="97"/>
      <c r="D289" s="97"/>
      <c r="E289" s="97"/>
      <c r="F289" s="97"/>
      <c r="G289" s="97"/>
      <c r="H289" s="97"/>
      <c r="I289" s="97"/>
      <c r="J289" s="97"/>
      <c r="K289" s="97"/>
      <c r="L289" s="97"/>
      <c r="M289" s="97"/>
      <c r="N289" s="97"/>
      <c r="O289" s="97"/>
      <c r="P289" s="97"/>
      <c r="Q289" s="97"/>
      <c r="R289" s="97"/>
      <c r="S289" s="97"/>
      <c r="T289" s="97"/>
      <c r="U289" s="97"/>
    </row>
    <row r="290" spans="2:21" customFormat="1">
      <c r="B290" s="89"/>
      <c r="C290" s="97"/>
      <c r="D290" s="97"/>
      <c r="E290" s="97"/>
      <c r="F290" s="97"/>
      <c r="G290" s="97"/>
      <c r="H290" s="97"/>
      <c r="I290" s="97"/>
      <c r="J290" s="97"/>
      <c r="K290" s="97"/>
      <c r="L290" s="97"/>
      <c r="M290" s="97"/>
      <c r="N290" s="97"/>
      <c r="O290" s="97"/>
      <c r="P290" s="97"/>
      <c r="Q290" s="97"/>
      <c r="R290" s="97"/>
      <c r="S290" s="97"/>
      <c r="T290" s="97"/>
      <c r="U290" s="97"/>
    </row>
    <row r="291" spans="2:21" customFormat="1">
      <c r="B291" s="89"/>
      <c r="C291" s="97"/>
      <c r="D291" s="97"/>
      <c r="E291" s="97"/>
      <c r="F291" s="97"/>
      <c r="G291" s="97"/>
      <c r="H291" s="97"/>
      <c r="I291" s="97"/>
      <c r="J291" s="97"/>
      <c r="K291" s="97"/>
      <c r="L291" s="97"/>
      <c r="M291" s="97"/>
      <c r="N291" s="97"/>
      <c r="O291" s="97"/>
      <c r="P291" s="97"/>
      <c r="Q291" s="97"/>
      <c r="R291" s="97"/>
      <c r="S291" s="97"/>
      <c r="T291" s="97"/>
      <c r="U291" s="97"/>
    </row>
    <row r="292" spans="2:21" customFormat="1">
      <c r="B292" s="89"/>
      <c r="C292" s="97"/>
      <c r="D292" s="97"/>
      <c r="E292" s="97"/>
      <c r="F292" s="97"/>
      <c r="G292" s="97"/>
      <c r="H292" s="97"/>
      <c r="I292" s="97"/>
      <c r="J292" s="97"/>
      <c r="K292" s="97"/>
      <c r="L292" s="97"/>
      <c r="M292" s="97"/>
      <c r="N292" s="97"/>
      <c r="O292" s="97"/>
      <c r="P292" s="97"/>
      <c r="Q292" s="97"/>
      <c r="R292" s="97"/>
      <c r="S292" s="97"/>
      <c r="T292" s="97"/>
      <c r="U292" s="97"/>
    </row>
    <row r="293" spans="2:21" customFormat="1">
      <c r="B293" s="89"/>
      <c r="C293" s="97"/>
      <c r="D293" s="97"/>
      <c r="E293" s="97"/>
      <c r="F293" s="97"/>
      <c r="G293" s="97"/>
      <c r="H293" s="97"/>
      <c r="I293" s="97"/>
      <c r="J293" s="97"/>
      <c r="K293" s="97"/>
      <c r="L293" s="97"/>
      <c r="M293" s="97"/>
      <c r="N293" s="97"/>
      <c r="O293" s="97"/>
      <c r="P293" s="97"/>
      <c r="Q293" s="97"/>
      <c r="R293" s="97"/>
      <c r="S293" s="97"/>
      <c r="T293" s="97"/>
      <c r="U293" s="97"/>
    </row>
    <row r="294" spans="2:21" customFormat="1">
      <c r="B294" s="89"/>
      <c r="C294" s="97"/>
      <c r="D294" s="97"/>
      <c r="E294" s="97"/>
      <c r="F294" s="97"/>
      <c r="G294" s="97"/>
      <c r="H294" s="97"/>
      <c r="I294" s="97"/>
      <c r="J294" s="97"/>
      <c r="K294" s="97"/>
      <c r="L294" s="97"/>
      <c r="M294" s="97"/>
      <c r="N294" s="97"/>
      <c r="O294" s="97"/>
      <c r="P294" s="97"/>
      <c r="Q294" s="97"/>
      <c r="R294" s="97"/>
      <c r="S294" s="97"/>
      <c r="T294" s="97"/>
      <c r="U294" s="97"/>
    </row>
    <row r="295" spans="2:21" customFormat="1">
      <c r="B295" s="89"/>
      <c r="C295" s="97"/>
      <c r="D295" s="97"/>
      <c r="E295" s="97"/>
      <c r="F295" s="97"/>
      <c r="G295" s="97"/>
      <c r="H295" s="97"/>
      <c r="I295" s="97"/>
      <c r="J295" s="97"/>
      <c r="K295" s="97"/>
      <c r="L295" s="97"/>
      <c r="M295" s="97"/>
      <c r="N295" s="97"/>
      <c r="O295" s="97"/>
      <c r="P295" s="97"/>
      <c r="Q295" s="97"/>
      <c r="R295" s="97"/>
      <c r="S295" s="97"/>
      <c r="T295" s="97"/>
      <c r="U295" s="97"/>
    </row>
    <row r="296" spans="2:21" customFormat="1">
      <c r="B296" s="89"/>
      <c r="C296" s="97"/>
      <c r="D296" s="97"/>
      <c r="E296" s="97"/>
      <c r="F296" s="97"/>
      <c r="G296" s="97"/>
      <c r="H296" s="97"/>
      <c r="I296" s="97"/>
      <c r="J296" s="97"/>
      <c r="K296" s="97"/>
      <c r="L296" s="97"/>
      <c r="M296" s="97"/>
      <c r="N296" s="97"/>
      <c r="O296" s="97"/>
      <c r="P296" s="97"/>
      <c r="Q296" s="97"/>
      <c r="R296" s="97"/>
      <c r="S296" s="97"/>
      <c r="T296" s="97"/>
      <c r="U296" s="97"/>
    </row>
    <row r="297" spans="2:21" customFormat="1">
      <c r="B297" s="89"/>
      <c r="C297" s="97"/>
      <c r="D297" s="97"/>
      <c r="E297" s="97"/>
      <c r="F297" s="97"/>
      <c r="G297" s="97"/>
      <c r="H297" s="97"/>
      <c r="I297" s="97"/>
      <c r="J297" s="97"/>
      <c r="K297" s="97"/>
      <c r="L297" s="97"/>
      <c r="M297" s="97"/>
      <c r="N297" s="97"/>
      <c r="O297" s="97"/>
      <c r="P297" s="97"/>
      <c r="Q297" s="97"/>
      <c r="R297" s="97"/>
      <c r="S297" s="97"/>
      <c r="T297" s="97"/>
      <c r="U297" s="97"/>
    </row>
    <row r="298" spans="2:21" customFormat="1">
      <c r="B298" s="89"/>
      <c r="C298" s="97"/>
      <c r="D298" s="97"/>
      <c r="E298" s="97"/>
      <c r="F298" s="97"/>
      <c r="G298" s="97"/>
      <c r="H298" s="97"/>
      <c r="I298" s="97"/>
      <c r="J298" s="97"/>
      <c r="K298" s="97"/>
      <c r="L298" s="97"/>
      <c r="M298" s="97"/>
      <c r="N298" s="97"/>
      <c r="O298" s="97"/>
      <c r="P298" s="97"/>
      <c r="Q298" s="97"/>
      <c r="R298" s="97"/>
      <c r="S298" s="97"/>
      <c r="T298" s="97"/>
      <c r="U298" s="97"/>
    </row>
    <row r="299" spans="2:21" customFormat="1">
      <c r="B299" s="89"/>
      <c r="C299" s="97"/>
      <c r="D299" s="97"/>
      <c r="E299" s="97"/>
      <c r="F299" s="97"/>
      <c r="G299" s="97"/>
      <c r="H299" s="97"/>
      <c r="I299" s="97"/>
      <c r="J299" s="97"/>
      <c r="K299" s="97"/>
      <c r="L299" s="97"/>
      <c r="M299" s="97"/>
      <c r="N299" s="97"/>
      <c r="O299" s="97"/>
      <c r="P299" s="97"/>
      <c r="Q299" s="97"/>
      <c r="R299" s="97"/>
      <c r="S299" s="97"/>
      <c r="T299" s="97"/>
      <c r="U299" s="97"/>
    </row>
    <row r="300" spans="2:21" customFormat="1">
      <c r="B300" s="89"/>
      <c r="C300" s="97"/>
      <c r="D300" s="97"/>
      <c r="E300" s="97"/>
      <c r="F300" s="97"/>
      <c r="G300" s="97"/>
      <c r="H300" s="97"/>
      <c r="I300" s="97"/>
      <c r="J300" s="97"/>
      <c r="K300" s="97"/>
      <c r="L300" s="97"/>
      <c r="M300" s="97"/>
      <c r="N300" s="97"/>
      <c r="O300" s="97"/>
      <c r="P300" s="97"/>
      <c r="Q300" s="97"/>
      <c r="R300" s="97"/>
      <c r="S300" s="97"/>
      <c r="T300" s="97"/>
      <c r="U300" s="97"/>
    </row>
    <row r="301" spans="2:21" customFormat="1">
      <c r="B301" s="89"/>
      <c r="C301" s="97"/>
      <c r="D301" s="97"/>
      <c r="E301" s="97"/>
      <c r="F301" s="97"/>
      <c r="G301" s="97"/>
      <c r="H301" s="97"/>
      <c r="I301" s="97"/>
      <c r="J301" s="97"/>
      <c r="K301" s="97"/>
      <c r="L301" s="97"/>
      <c r="M301" s="97"/>
      <c r="N301" s="97"/>
      <c r="O301" s="97"/>
      <c r="P301" s="97"/>
      <c r="Q301" s="97"/>
      <c r="R301" s="97"/>
      <c r="S301" s="97"/>
      <c r="T301" s="97"/>
      <c r="U301" s="97"/>
    </row>
    <row r="302" spans="2:21" customFormat="1">
      <c r="B302" s="89"/>
      <c r="C302" s="97"/>
      <c r="D302" s="97"/>
      <c r="E302" s="97"/>
      <c r="F302" s="97"/>
      <c r="G302" s="97"/>
      <c r="H302" s="97"/>
      <c r="I302" s="97"/>
      <c r="J302" s="97"/>
      <c r="K302" s="97"/>
      <c r="L302" s="97"/>
      <c r="M302" s="97"/>
      <c r="N302" s="97"/>
      <c r="O302" s="97"/>
      <c r="P302" s="97"/>
      <c r="Q302" s="97"/>
      <c r="R302" s="97"/>
      <c r="S302" s="97"/>
      <c r="T302" s="97"/>
      <c r="U302" s="97"/>
    </row>
    <row r="303" spans="2:21" customFormat="1">
      <c r="B303" s="89"/>
      <c r="C303" s="97"/>
      <c r="D303" s="97"/>
      <c r="E303" s="97"/>
      <c r="F303" s="97"/>
      <c r="G303" s="97"/>
      <c r="H303" s="97"/>
      <c r="I303" s="97"/>
      <c r="J303" s="97"/>
      <c r="K303" s="97"/>
      <c r="L303" s="97"/>
      <c r="M303" s="97"/>
      <c r="N303" s="97"/>
      <c r="O303" s="97"/>
      <c r="P303" s="97"/>
      <c r="Q303" s="97"/>
      <c r="R303" s="97"/>
      <c r="S303" s="97"/>
      <c r="T303" s="97"/>
      <c r="U303" s="97"/>
    </row>
    <row r="304" spans="2:21" customFormat="1">
      <c r="B304" s="89"/>
      <c r="C304" s="97"/>
      <c r="D304" s="97"/>
      <c r="E304" s="97"/>
      <c r="F304" s="97"/>
      <c r="G304" s="97"/>
      <c r="H304" s="97"/>
      <c r="I304" s="97"/>
      <c r="J304" s="97"/>
      <c r="K304" s="97"/>
      <c r="L304" s="97"/>
      <c r="M304" s="97"/>
      <c r="N304" s="97"/>
      <c r="O304" s="97"/>
      <c r="P304" s="97"/>
      <c r="Q304" s="97"/>
      <c r="R304" s="97"/>
      <c r="S304" s="97"/>
      <c r="T304" s="97"/>
      <c r="U304" s="97"/>
    </row>
    <row r="305" spans="1:25" customFormat="1">
      <c r="B305" s="89"/>
      <c r="C305" s="97"/>
      <c r="D305" s="97"/>
      <c r="E305" s="97"/>
      <c r="F305" s="97"/>
      <c r="G305" s="97"/>
      <c r="H305" s="97"/>
      <c r="I305" s="97"/>
      <c r="J305" s="97"/>
      <c r="K305" s="97"/>
      <c r="L305" s="97"/>
      <c r="M305" s="97"/>
      <c r="N305" s="97"/>
      <c r="O305" s="97"/>
      <c r="P305" s="97"/>
      <c r="Q305" s="97"/>
      <c r="R305" s="97"/>
      <c r="S305" s="97"/>
      <c r="T305" s="97"/>
      <c r="U305" s="97"/>
    </row>
    <row r="306" spans="1:25" customFormat="1">
      <c r="B306" s="89"/>
      <c r="C306" s="97"/>
      <c r="D306" s="97"/>
      <c r="E306" s="97"/>
      <c r="F306" s="97"/>
      <c r="G306" s="97"/>
      <c r="H306" s="97"/>
      <c r="I306" s="97"/>
      <c r="J306" s="97"/>
      <c r="K306" s="97"/>
      <c r="L306" s="97"/>
      <c r="M306" s="97"/>
      <c r="N306" s="97"/>
      <c r="O306" s="97"/>
      <c r="P306" s="97"/>
      <c r="Q306" s="97"/>
      <c r="R306" s="97"/>
      <c r="S306" s="97"/>
      <c r="T306" s="97"/>
      <c r="U306" s="97"/>
    </row>
    <row r="307" spans="1:25" customFormat="1">
      <c r="B307" s="89"/>
      <c r="C307" s="97"/>
      <c r="D307" s="97"/>
      <c r="E307" s="97"/>
      <c r="F307" s="97"/>
      <c r="G307" s="97"/>
      <c r="H307" s="97"/>
      <c r="I307" s="97"/>
      <c r="J307" s="97"/>
      <c r="K307" s="97"/>
      <c r="L307" s="97"/>
      <c r="M307" s="97"/>
      <c r="N307" s="97"/>
      <c r="O307" s="97"/>
      <c r="P307" s="97"/>
      <c r="Q307" s="97"/>
      <c r="R307" s="97"/>
      <c r="S307" s="97"/>
      <c r="T307" s="97"/>
      <c r="U307" s="97"/>
    </row>
    <row r="308" spans="1:25" customFormat="1">
      <c r="B308" s="89"/>
      <c r="C308" s="97"/>
      <c r="D308" s="97"/>
      <c r="E308" s="97"/>
      <c r="F308" s="97"/>
      <c r="G308" s="97"/>
      <c r="H308" s="97"/>
      <c r="I308" s="97"/>
      <c r="J308" s="97"/>
      <c r="K308" s="97"/>
      <c r="L308" s="97"/>
      <c r="M308" s="97"/>
      <c r="N308" s="97"/>
      <c r="O308" s="97"/>
      <c r="P308" s="97"/>
      <c r="Q308" s="97"/>
      <c r="R308" s="97"/>
      <c r="S308" s="97"/>
      <c r="T308" s="97"/>
      <c r="U308" s="97"/>
    </row>
    <row r="309" spans="1:25" customFormat="1">
      <c r="B309" s="89"/>
      <c r="C309" s="97"/>
      <c r="D309" s="97"/>
      <c r="E309" s="97"/>
      <c r="F309" s="97"/>
      <c r="G309" s="97"/>
      <c r="H309" s="97"/>
      <c r="I309" s="97"/>
      <c r="J309" s="97"/>
      <c r="K309" s="97"/>
      <c r="L309" s="97"/>
      <c r="M309" s="97"/>
      <c r="N309" s="97"/>
      <c r="O309" s="97"/>
      <c r="P309" s="97"/>
      <c r="Q309" s="97"/>
      <c r="R309" s="97"/>
      <c r="S309" s="97"/>
      <c r="T309" s="97"/>
      <c r="U309" s="97"/>
    </row>
    <row r="310" spans="1:25" customFormat="1">
      <c r="B310" s="89"/>
      <c r="C310" s="97"/>
      <c r="D310" s="97"/>
      <c r="E310" s="97"/>
      <c r="F310" s="97"/>
      <c r="G310" s="97"/>
      <c r="H310" s="97"/>
      <c r="I310" s="97"/>
      <c r="J310" s="97"/>
      <c r="K310" s="97"/>
      <c r="L310" s="97"/>
      <c r="M310" s="97"/>
      <c r="N310" s="97"/>
      <c r="O310" s="97"/>
      <c r="P310" s="97"/>
      <c r="Q310" s="97"/>
      <c r="R310" s="97"/>
      <c r="S310" s="97"/>
      <c r="T310" s="97"/>
      <c r="U310" s="97"/>
    </row>
    <row r="311" spans="1:25" customFormat="1">
      <c r="B311" s="89"/>
      <c r="C311" s="97"/>
      <c r="D311" s="97"/>
      <c r="E311" s="97"/>
      <c r="F311" s="97"/>
      <c r="G311" s="97"/>
      <c r="H311" s="97"/>
      <c r="I311" s="97"/>
      <c r="J311" s="97"/>
      <c r="K311" s="97"/>
      <c r="L311" s="97"/>
      <c r="M311" s="97"/>
      <c r="N311" s="97"/>
      <c r="O311" s="97"/>
      <c r="P311" s="97"/>
      <c r="Q311" s="97"/>
      <c r="R311" s="97"/>
      <c r="S311" s="97"/>
      <c r="T311" s="97"/>
      <c r="U311" s="97"/>
    </row>
    <row r="312" spans="1:25" customFormat="1">
      <c r="B312" s="89"/>
      <c r="C312" s="97"/>
      <c r="D312" s="97"/>
      <c r="E312" s="97"/>
      <c r="F312" s="97"/>
      <c r="G312" s="97"/>
      <c r="H312" s="97"/>
      <c r="I312" s="97"/>
      <c r="J312" s="97"/>
      <c r="K312" s="97"/>
      <c r="L312" s="97"/>
      <c r="M312" s="97"/>
      <c r="N312" s="97"/>
      <c r="O312" s="97"/>
      <c r="P312" s="97"/>
      <c r="Q312" s="97"/>
      <c r="R312" s="97"/>
      <c r="S312" s="97"/>
      <c r="T312" s="97"/>
      <c r="U312" s="97"/>
    </row>
    <row r="313" spans="1:25" customFormat="1">
      <c r="B313" s="89"/>
      <c r="C313" s="97"/>
      <c r="D313" s="97"/>
      <c r="E313" s="97"/>
      <c r="F313" s="97"/>
      <c r="G313" s="97"/>
      <c r="H313" s="97"/>
      <c r="I313" s="97"/>
      <c r="J313" s="97"/>
      <c r="K313" s="97"/>
      <c r="L313" s="97"/>
      <c r="M313" s="97"/>
      <c r="N313" s="97"/>
      <c r="O313" s="97"/>
      <c r="P313" s="97"/>
      <c r="Q313" s="97"/>
      <c r="R313" s="97"/>
      <c r="S313" s="97"/>
      <c r="T313" s="97"/>
      <c r="U313" s="97"/>
    </row>
    <row r="314" spans="1:25" customFormat="1">
      <c r="B314" s="89"/>
      <c r="C314" s="97"/>
      <c r="D314" s="97"/>
      <c r="E314" s="97"/>
      <c r="F314" s="97"/>
      <c r="G314" s="97"/>
      <c r="H314" s="97"/>
      <c r="I314" s="97"/>
      <c r="J314" s="97"/>
      <c r="K314" s="97"/>
      <c r="L314" s="97"/>
      <c r="M314" s="97"/>
      <c r="N314" s="97"/>
      <c r="O314" s="97"/>
      <c r="P314" s="97"/>
      <c r="Q314" s="97"/>
      <c r="R314" s="97"/>
      <c r="S314" s="97"/>
      <c r="T314" s="97"/>
      <c r="U314" s="97"/>
    </row>
    <row r="315" spans="1:25" customFormat="1">
      <c r="B315" s="89"/>
      <c r="C315" s="97"/>
      <c r="D315" s="97"/>
      <c r="E315" s="97"/>
      <c r="F315" s="97"/>
      <c r="G315" s="97"/>
      <c r="H315" s="97"/>
      <c r="I315" s="97"/>
      <c r="J315" s="97"/>
      <c r="K315" s="97"/>
      <c r="L315" s="97"/>
      <c r="M315" s="97"/>
      <c r="N315" s="97"/>
      <c r="O315" s="97"/>
      <c r="P315" s="97"/>
      <c r="Q315" s="97"/>
      <c r="R315" s="97"/>
      <c r="S315" s="97"/>
      <c r="T315" s="97"/>
      <c r="U315" s="97"/>
    </row>
    <row r="316" spans="1:25" customFormat="1">
      <c r="B316" s="89"/>
      <c r="C316" s="97"/>
      <c r="D316" s="97"/>
      <c r="E316" s="97"/>
      <c r="F316" s="97"/>
      <c r="G316" s="97"/>
      <c r="H316" s="97"/>
      <c r="I316" s="97"/>
      <c r="J316" s="97"/>
      <c r="K316" s="97"/>
      <c r="L316" s="97"/>
      <c r="M316" s="97"/>
      <c r="N316" s="97"/>
      <c r="O316" s="97"/>
      <c r="P316" s="97"/>
      <c r="Q316" s="97"/>
      <c r="R316" s="97"/>
      <c r="S316" s="97"/>
      <c r="T316" s="97"/>
      <c r="U316" s="97"/>
    </row>
    <row r="317" spans="1:25" customFormat="1">
      <c r="B317" s="89"/>
      <c r="C317" s="97"/>
      <c r="D317" s="97"/>
      <c r="E317" s="97"/>
      <c r="F317" s="97"/>
      <c r="G317" s="97"/>
      <c r="H317" s="97"/>
      <c r="I317" s="97"/>
      <c r="J317" s="97"/>
      <c r="K317" s="97"/>
      <c r="L317" s="97"/>
      <c r="M317" s="97"/>
      <c r="N317" s="97"/>
      <c r="O317" s="97"/>
      <c r="P317" s="97"/>
      <c r="Q317" s="97"/>
      <c r="R317" s="97"/>
      <c r="S317" s="97"/>
      <c r="T317" s="97"/>
      <c r="U317" s="97"/>
    </row>
    <row r="318" spans="1:25" customFormat="1">
      <c r="B318" s="89"/>
      <c r="C318" s="97"/>
      <c r="D318" s="97"/>
      <c r="E318" s="97"/>
      <c r="F318" s="97"/>
      <c r="G318" s="97"/>
      <c r="H318" s="97"/>
      <c r="I318" s="97"/>
      <c r="J318" s="97"/>
      <c r="K318" s="97"/>
      <c r="L318" s="97"/>
      <c r="M318" s="97"/>
      <c r="N318" s="97"/>
      <c r="O318" s="97"/>
      <c r="P318" s="97"/>
      <c r="Q318" s="97"/>
      <c r="R318" s="97"/>
      <c r="S318" s="97"/>
      <c r="T318" s="97"/>
      <c r="U318" s="97"/>
    </row>
    <row r="319" spans="1:25" s="18" customFormat="1">
      <c r="A319"/>
      <c r="B319" s="89"/>
      <c r="C319" s="97"/>
      <c r="D319" s="97"/>
      <c r="E319" s="97"/>
      <c r="F319" s="97"/>
      <c r="G319" s="97"/>
      <c r="H319" s="97"/>
      <c r="I319" s="97"/>
      <c r="J319" s="97"/>
      <c r="K319" s="97"/>
      <c r="L319" s="97"/>
      <c r="M319" s="97"/>
      <c r="N319" s="97"/>
      <c r="O319" s="97"/>
      <c r="P319" s="97"/>
      <c r="Q319" s="97"/>
      <c r="R319" s="97"/>
      <c r="S319" s="97"/>
      <c r="T319" s="97"/>
      <c r="U319" s="97"/>
    </row>
    <row r="320" spans="1:25" customFormat="1">
      <c r="B320" s="89"/>
      <c r="C320" s="97"/>
      <c r="D320" s="97"/>
      <c r="E320" s="97"/>
      <c r="F320" s="97"/>
      <c r="G320" s="97"/>
      <c r="H320" s="97"/>
      <c r="I320" s="97"/>
      <c r="J320" s="97"/>
      <c r="K320" s="97"/>
      <c r="L320" s="97"/>
      <c r="M320" s="97"/>
      <c r="N320" s="97"/>
      <c r="O320" s="97"/>
      <c r="P320" s="97"/>
      <c r="Q320" s="97"/>
      <c r="R320" s="97"/>
      <c r="S320" s="97"/>
      <c r="T320" s="97"/>
      <c r="U320" s="97"/>
      <c r="V320" s="97"/>
      <c r="W320" s="97"/>
      <c r="X320" s="97"/>
      <c r="Y320" s="97"/>
    </row>
    <row r="321" spans="2:25" customFormat="1">
      <c r="B321" s="89"/>
      <c r="C321" s="97"/>
      <c r="D321" s="97"/>
      <c r="E321" s="97"/>
      <c r="F321" s="97"/>
      <c r="G321" s="97"/>
      <c r="H321" s="97"/>
      <c r="I321" s="97"/>
      <c r="J321" s="97"/>
      <c r="K321" s="97"/>
      <c r="L321" s="97"/>
      <c r="M321" s="97"/>
      <c r="N321" s="97"/>
      <c r="O321" s="97"/>
      <c r="P321" s="97"/>
      <c r="Q321" s="97"/>
      <c r="R321" s="97"/>
      <c r="S321" s="97"/>
      <c r="T321" s="97"/>
      <c r="U321" s="97"/>
      <c r="V321" s="97"/>
      <c r="W321" s="97"/>
      <c r="X321" s="97"/>
      <c r="Y321" s="97"/>
    </row>
    <row r="322" spans="2:25" customFormat="1">
      <c r="B322" s="89"/>
      <c r="C322" s="97"/>
      <c r="D322" s="97"/>
      <c r="E322" s="97"/>
      <c r="F322" s="97"/>
      <c r="G322" s="97"/>
      <c r="H322" s="97"/>
      <c r="I322" s="97"/>
      <c r="J322" s="97"/>
      <c r="K322" s="97"/>
      <c r="L322" s="97"/>
      <c r="M322" s="97"/>
      <c r="N322" s="97"/>
      <c r="O322" s="97"/>
      <c r="P322" s="97"/>
      <c r="Q322" s="97"/>
      <c r="R322" s="97"/>
      <c r="S322" s="97"/>
      <c r="T322" s="97"/>
      <c r="U322" s="97"/>
      <c r="V322" s="97"/>
      <c r="W322" s="97"/>
      <c r="X322" s="97"/>
      <c r="Y322" s="97"/>
    </row>
    <row r="323" spans="2:25" customFormat="1">
      <c r="B323" s="89"/>
      <c r="C323" s="97"/>
      <c r="D323" s="97"/>
      <c r="E323" s="97"/>
      <c r="F323" s="97"/>
      <c r="G323" s="97"/>
      <c r="H323" s="97"/>
      <c r="I323" s="97"/>
      <c r="J323" s="97"/>
      <c r="K323" s="97"/>
      <c r="L323" s="97"/>
      <c r="M323" s="97"/>
      <c r="N323" s="97"/>
      <c r="O323" s="97"/>
      <c r="P323" s="97"/>
      <c r="Q323" s="97"/>
      <c r="R323" s="97"/>
      <c r="S323" s="97"/>
      <c r="T323" s="97"/>
      <c r="U323" s="97"/>
      <c r="V323" s="97"/>
      <c r="W323" s="97"/>
      <c r="X323" s="97"/>
      <c r="Y323" s="97"/>
    </row>
    <row r="324" spans="2:25" customFormat="1">
      <c r="B324" s="89"/>
      <c r="C324" s="97"/>
      <c r="D324" s="97"/>
      <c r="E324" s="97"/>
      <c r="F324" s="97"/>
      <c r="G324" s="97"/>
      <c r="H324" s="97"/>
      <c r="I324" s="97"/>
      <c r="J324" s="97"/>
      <c r="K324" s="97"/>
      <c r="L324" s="97"/>
      <c r="M324" s="97"/>
      <c r="N324" s="97"/>
      <c r="O324" s="97"/>
      <c r="P324" s="97"/>
      <c r="Q324" s="97"/>
      <c r="R324" s="97"/>
      <c r="S324" s="97"/>
      <c r="T324" s="97"/>
      <c r="U324" s="97"/>
      <c r="V324" s="97"/>
      <c r="W324" s="97"/>
      <c r="X324" s="97"/>
      <c r="Y324" s="97"/>
    </row>
    <row r="325" spans="2:25" customFormat="1">
      <c r="B325" s="89"/>
      <c r="C325" s="97"/>
      <c r="D325" s="97"/>
      <c r="E325" s="97"/>
      <c r="F325" s="97"/>
      <c r="G325" s="97"/>
      <c r="H325" s="97"/>
      <c r="I325" s="97"/>
      <c r="J325" s="97"/>
      <c r="K325" s="97"/>
      <c r="L325" s="97"/>
      <c r="M325" s="97"/>
      <c r="N325" s="97"/>
      <c r="O325" s="97"/>
      <c r="P325" s="97"/>
      <c r="Q325" s="97"/>
      <c r="R325" s="97"/>
      <c r="S325" s="97"/>
      <c r="T325" s="97"/>
      <c r="U325" s="97"/>
      <c r="V325" s="97"/>
      <c r="W325" s="97"/>
      <c r="X325" s="97"/>
      <c r="Y325" s="97"/>
    </row>
    <row r="326" spans="2:25" customFormat="1">
      <c r="B326" s="89"/>
      <c r="C326" s="97"/>
      <c r="D326" s="97"/>
      <c r="E326" s="97"/>
      <c r="F326" s="97"/>
      <c r="G326" s="97"/>
      <c r="H326" s="97"/>
      <c r="I326" s="97"/>
      <c r="J326" s="97"/>
      <c r="K326" s="97"/>
      <c r="L326" s="97"/>
      <c r="M326" s="97"/>
      <c r="N326" s="97"/>
      <c r="O326" s="97"/>
      <c r="P326" s="97"/>
      <c r="Q326" s="97"/>
      <c r="R326" s="97"/>
      <c r="S326" s="97"/>
      <c r="T326" s="97"/>
      <c r="U326" s="97"/>
      <c r="V326" s="97"/>
      <c r="W326" s="97"/>
      <c r="X326" s="97"/>
      <c r="Y326" s="97"/>
    </row>
    <row r="327" spans="2:25" customFormat="1">
      <c r="B327" s="89"/>
      <c r="C327" s="97"/>
      <c r="D327" s="97"/>
      <c r="E327" s="97"/>
      <c r="F327" s="97"/>
      <c r="G327" s="97"/>
      <c r="H327" s="97"/>
      <c r="I327" s="97"/>
      <c r="J327" s="97"/>
      <c r="K327" s="97"/>
      <c r="L327" s="97"/>
      <c r="M327" s="97"/>
      <c r="N327" s="97"/>
      <c r="O327" s="97"/>
      <c r="P327" s="97"/>
      <c r="Q327" s="97"/>
      <c r="R327" s="97"/>
      <c r="S327" s="97"/>
      <c r="T327" s="97"/>
      <c r="U327" s="97"/>
      <c r="V327" s="97"/>
      <c r="W327" s="97"/>
      <c r="X327" s="97"/>
      <c r="Y327" s="97"/>
    </row>
    <row r="328" spans="2:25" customFormat="1">
      <c r="B328" s="89"/>
      <c r="C328" s="97"/>
      <c r="D328" s="97"/>
      <c r="E328" s="97"/>
      <c r="F328" s="97"/>
      <c r="G328" s="97"/>
      <c r="H328" s="97"/>
      <c r="I328" s="97"/>
      <c r="J328" s="97"/>
      <c r="K328" s="97"/>
      <c r="L328" s="97"/>
      <c r="M328" s="97"/>
      <c r="N328" s="97"/>
      <c r="O328" s="97"/>
      <c r="P328" s="97"/>
      <c r="Q328" s="97"/>
      <c r="R328" s="97"/>
      <c r="S328" s="97"/>
      <c r="T328" s="97"/>
      <c r="U328" s="97"/>
      <c r="V328" s="97"/>
      <c r="W328" s="97"/>
      <c r="X328" s="97"/>
      <c r="Y328" s="97"/>
    </row>
    <row r="329" spans="2:25" customFormat="1">
      <c r="B329" s="89"/>
      <c r="C329" s="97"/>
      <c r="D329" s="97"/>
      <c r="E329" s="97"/>
      <c r="F329" s="97"/>
      <c r="G329" s="97"/>
      <c r="H329" s="97"/>
      <c r="I329" s="97"/>
      <c r="J329" s="97"/>
      <c r="K329" s="97"/>
      <c r="L329" s="97"/>
      <c r="M329" s="97"/>
      <c r="N329" s="97"/>
      <c r="O329" s="97"/>
      <c r="P329" s="97"/>
      <c r="Q329" s="97"/>
      <c r="R329" s="97"/>
      <c r="S329" s="97"/>
      <c r="T329" s="97"/>
      <c r="U329" s="97"/>
      <c r="V329" s="97"/>
      <c r="W329" s="97"/>
      <c r="X329" s="97"/>
      <c r="Y329" s="97"/>
    </row>
    <row r="330" spans="2:25" customFormat="1">
      <c r="B330" s="89"/>
      <c r="C330" s="97"/>
      <c r="D330" s="97"/>
      <c r="E330" s="97"/>
      <c r="F330" s="97"/>
      <c r="G330" s="97"/>
      <c r="H330" s="97"/>
      <c r="I330" s="97"/>
      <c r="J330" s="97"/>
      <c r="K330" s="97"/>
      <c r="L330" s="97"/>
      <c r="M330" s="97"/>
      <c r="N330" s="97"/>
      <c r="O330" s="97"/>
      <c r="P330" s="97"/>
      <c r="Q330" s="97"/>
      <c r="R330" s="97"/>
      <c r="S330" s="97"/>
      <c r="T330" s="97"/>
      <c r="U330" s="97"/>
      <c r="V330" s="97"/>
      <c r="W330" s="97"/>
      <c r="X330" s="97"/>
      <c r="Y330" s="97"/>
    </row>
    <row r="331" spans="2:25" customFormat="1">
      <c r="B331" s="89"/>
      <c r="C331" s="97"/>
      <c r="D331" s="97"/>
      <c r="E331" s="97"/>
      <c r="F331" s="97"/>
      <c r="G331" s="97"/>
      <c r="H331" s="97"/>
      <c r="I331" s="97"/>
      <c r="J331" s="97"/>
      <c r="K331" s="97"/>
      <c r="L331" s="97"/>
      <c r="M331" s="97"/>
      <c r="N331" s="97"/>
      <c r="O331" s="97"/>
      <c r="P331" s="97"/>
      <c r="Q331" s="97"/>
      <c r="R331" s="97"/>
      <c r="S331" s="97"/>
      <c r="T331" s="97"/>
      <c r="U331" s="97"/>
      <c r="V331" s="97"/>
      <c r="W331" s="97"/>
      <c r="X331" s="97"/>
      <c r="Y331" s="97"/>
    </row>
    <row r="332" spans="2:25" customFormat="1">
      <c r="B332" s="89"/>
      <c r="C332" s="97"/>
      <c r="D332" s="97"/>
      <c r="E332" s="97"/>
      <c r="F332" s="97"/>
      <c r="G332" s="97"/>
      <c r="H332" s="97"/>
      <c r="I332" s="97"/>
      <c r="J332" s="97"/>
      <c r="K332" s="97"/>
      <c r="L332" s="97"/>
      <c r="M332" s="97"/>
      <c r="N332" s="97"/>
      <c r="O332" s="97"/>
      <c r="P332" s="97"/>
      <c r="Q332" s="97"/>
      <c r="R332" s="97"/>
      <c r="S332" s="97"/>
      <c r="T332" s="97"/>
      <c r="U332" s="97"/>
      <c r="V332" s="97"/>
      <c r="W332" s="97"/>
      <c r="X332" s="97"/>
      <c r="Y332" s="97"/>
    </row>
    <row r="333" spans="2:25" customFormat="1">
      <c r="B333" s="89"/>
      <c r="C333" s="97"/>
      <c r="D333" s="97"/>
      <c r="E333" s="97"/>
      <c r="F333" s="97"/>
      <c r="G333" s="97"/>
      <c r="H333" s="97"/>
      <c r="I333" s="97"/>
      <c r="J333" s="97"/>
      <c r="K333" s="97"/>
      <c r="L333" s="97"/>
      <c r="M333" s="97"/>
      <c r="N333" s="97"/>
      <c r="O333" s="97"/>
      <c r="P333" s="97"/>
      <c r="Q333" s="97"/>
      <c r="R333" s="97"/>
      <c r="S333" s="97"/>
      <c r="T333" s="97"/>
      <c r="U333" s="97"/>
      <c r="V333" s="97"/>
      <c r="W333" s="97"/>
      <c r="X333" s="97"/>
      <c r="Y333" s="97"/>
    </row>
    <row r="334" spans="2:25" customFormat="1">
      <c r="B334" s="89"/>
      <c r="C334" s="97"/>
      <c r="D334" s="97"/>
      <c r="E334" s="97"/>
      <c r="F334" s="97"/>
      <c r="G334" s="97"/>
      <c r="H334" s="97"/>
      <c r="I334" s="97"/>
      <c r="J334" s="97"/>
      <c r="K334" s="97"/>
      <c r="L334" s="97"/>
      <c r="M334" s="97"/>
      <c r="N334" s="97"/>
      <c r="O334" s="97"/>
      <c r="P334" s="97"/>
      <c r="Q334" s="97"/>
      <c r="R334" s="97"/>
      <c r="S334" s="97"/>
      <c r="T334" s="97"/>
      <c r="U334" s="97"/>
      <c r="V334" s="97"/>
      <c r="W334" s="97"/>
      <c r="X334" s="97"/>
      <c r="Y334" s="97"/>
    </row>
    <row r="335" spans="2:25" customFormat="1">
      <c r="B335" s="89"/>
      <c r="C335" s="97"/>
      <c r="D335" s="97"/>
      <c r="E335" s="97"/>
      <c r="F335" s="97"/>
      <c r="G335" s="97"/>
      <c r="H335" s="97"/>
      <c r="I335" s="97"/>
      <c r="J335" s="97"/>
      <c r="K335" s="97"/>
      <c r="L335" s="97"/>
      <c r="M335" s="97"/>
      <c r="N335" s="97"/>
      <c r="O335" s="97"/>
      <c r="P335" s="97"/>
      <c r="Q335" s="97"/>
      <c r="R335" s="97"/>
      <c r="S335" s="97"/>
      <c r="T335" s="97"/>
      <c r="U335" s="97"/>
      <c r="V335" s="97"/>
      <c r="W335" s="97"/>
      <c r="X335" s="97"/>
      <c r="Y335" s="97"/>
    </row>
    <row r="336" spans="2:25" customFormat="1">
      <c r="B336" s="89"/>
      <c r="C336" s="97"/>
      <c r="D336" s="97"/>
      <c r="E336" s="97"/>
      <c r="F336" s="97"/>
      <c r="G336" s="97"/>
      <c r="H336" s="97"/>
      <c r="I336" s="97"/>
      <c r="J336" s="97"/>
      <c r="K336" s="97"/>
      <c r="L336" s="97"/>
      <c r="M336" s="97"/>
      <c r="N336" s="97"/>
      <c r="O336" s="97"/>
      <c r="P336" s="97"/>
      <c r="Q336" s="97"/>
      <c r="R336" s="97"/>
      <c r="S336" s="97"/>
      <c r="T336" s="97"/>
      <c r="U336" s="97"/>
      <c r="V336" s="97"/>
      <c r="W336" s="97"/>
      <c r="X336" s="97"/>
      <c r="Y336" s="97"/>
    </row>
    <row r="337" spans="2:25" customFormat="1">
      <c r="B337" s="89"/>
      <c r="C337" s="97"/>
      <c r="D337" s="97"/>
      <c r="E337" s="97"/>
      <c r="F337" s="97"/>
      <c r="G337" s="97"/>
      <c r="H337" s="97"/>
      <c r="I337" s="97"/>
      <c r="J337" s="97"/>
      <c r="K337" s="97"/>
      <c r="L337" s="97"/>
      <c r="M337" s="97"/>
      <c r="N337" s="97"/>
      <c r="O337" s="97"/>
      <c r="P337" s="97"/>
      <c r="Q337" s="97"/>
      <c r="R337" s="97"/>
      <c r="S337" s="97"/>
      <c r="T337" s="97"/>
      <c r="U337" s="97"/>
      <c r="V337" s="97"/>
      <c r="W337" s="97"/>
      <c r="X337" s="97"/>
      <c r="Y337" s="97"/>
    </row>
    <row r="338" spans="2:25" customFormat="1">
      <c r="B338" s="89"/>
      <c r="C338" s="97"/>
      <c r="D338" s="97"/>
      <c r="E338" s="97"/>
      <c r="F338" s="97"/>
      <c r="G338" s="97"/>
      <c r="H338" s="97"/>
      <c r="I338" s="97"/>
      <c r="J338" s="97"/>
      <c r="K338" s="97"/>
      <c r="L338" s="97"/>
      <c r="M338" s="97"/>
      <c r="N338" s="97"/>
      <c r="O338" s="97"/>
      <c r="P338" s="97"/>
      <c r="Q338" s="97"/>
      <c r="R338" s="97"/>
      <c r="S338" s="97"/>
      <c r="T338" s="97"/>
      <c r="U338" s="97"/>
      <c r="V338" s="97"/>
      <c r="W338" s="97"/>
      <c r="X338" s="97"/>
      <c r="Y338" s="97"/>
    </row>
    <row r="339" spans="2:25" customFormat="1">
      <c r="B339" s="89"/>
      <c r="C339" s="97"/>
      <c r="D339" s="97"/>
      <c r="E339" s="97"/>
      <c r="F339" s="97"/>
      <c r="G339" s="97"/>
      <c r="H339" s="97"/>
      <c r="I339" s="97"/>
      <c r="J339" s="97"/>
      <c r="K339" s="97"/>
      <c r="L339" s="97"/>
      <c r="M339" s="97"/>
      <c r="N339" s="97"/>
      <c r="O339" s="97"/>
      <c r="P339" s="97"/>
      <c r="Q339" s="97"/>
      <c r="R339" s="97"/>
      <c r="S339" s="97"/>
      <c r="T339" s="97"/>
      <c r="U339" s="97"/>
      <c r="V339" s="97"/>
      <c r="W339" s="97"/>
      <c r="X339" s="97"/>
      <c r="Y339" s="97"/>
    </row>
    <row r="340" spans="2:25" customFormat="1">
      <c r="B340" s="89"/>
      <c r="C340" s="97"/>
      <c r="D340" s="97"/>
      <c r="E340" s="97"/>
      <c r="F340" s="97"/>
      <c r="G340" s="97"/>
      <c r="H340" s="97"/>
      <c r="I340" s="97"/>
      <c r="J340" s="97"/>
      <c r="K340" s="97"/>
      <c r="L340" s="97"/>
      <c r="M340" s="97"/>
      <c r="N340" s="97"/>
      <c r="O340" s="97"/>
      <c r="P340" s="97"/>
      <c r="Q340" s="97"/>
      <c r="R340" s="97"/>
      <c r="S340" s="97"/>
      <c r="T340" s="97"/>
      <c r="U340" s="97"/>
      <c r="V340" s="97"/>
      <c r="W340" s="97"/>
      <c r="X340" s="97"/>
      <c r="Y340" s="97"/>
    </row>
    <row r="341" spans="2:25" customFormat="1">
      <c r="B341" s="89"/>
      <c r="C341" s="97"/>
      <c r="D341" s="97"/>
      <c r="E341" s="97"/>
      <c r="F341" s="97"/>
      <c r="G341" s="97"/>
      <c r="H341" s="97"/>
      <c r="I341" s="97"/>
      <c r="J341" s="97"/>
      <c r="K341" s="97"/>
      <c r="L341" s="97"/>
      <c r="M341" s="97"/>
      <c r="N341" s="97"/>
      <c r="O341" s="97"/>
      <c r="P341" s="97"/>
      <c r="Q341" s="97"/>
      <c r="R341" s="97"/>
      <c r="S341" s="97"/>
      <c r="T341" s="97"/>
      <c r="U341" s="97"/>
      <c r="V341" s="97"/>
      <c r="W341" s="97"/>
      <c r="X341" s="97"/>
      <c r="Y341" s="97"/>
    </row>
    <row r="342" spans="2:25" customFormat="1">
      <c r="B342" s="89"/>
      <c r="C342" s="97"/>
      <c r="D342" s="97"/>
      <c r="E342" s="97"/>
      <c r="F342" s="97"/>
      <c r="G342" s="97"/>
      <c r="H342" s="97"/>
      <c r="I342" s="97"/>
      <c r="J342" s="97"/>
      <c r="K342" s="97"/>
      <c r="L342" s="97"/>
      <c r="M342" s="97"/>
      <c r="N342" s="97"/>
      <c r="O342" s="97"/>
      <c r="P342" s="97"/>
      <c r="Q342" s="97"/>
      <c r="R342" s="97"/>
      <c r="S342" s="97"/>
      <c r="T342" s="97"/>
      <c r="U342" s="97"/>
      <c r="V342" s="97"/>
      <c r="W342" s="97"/>
      <c r="X342" s="97"/>
      <c r="Y342" s="97"/>
    </row>
    <row r="343" spans="2:25" customFormat="1">
      <c r="B343" s="89"/>
      <c r="C343" s="97"/>
      <c r="D343" s="97"/>
      <c r="E343" s="97"/>
      <c r="F343" s="97"/>
      <c r="G343" s="97"/>
      <c r="H343" s="97"/>
      <c r="I343" s="97"/>
      <c r="J343" s="97"/>
      <c r="K343" s="97"/>
      <c r="L343" s="97"/>
      <c r="M343" s="97"/>
      <c r="N343" s="97"/>
      <c r="O343" s="97"/>
      <c r="P343" s="97"/>
      <c r="Q343" s="97"/>
      <c r="R343" s="97"/>
      <c r="S343" s="97"/>
      <c r="T343" s="97"/>
      <c r="U343" s="97"/>
      <c r="V343" s="97"/>
      <c r="W343" s="97"/>
      <c r="X343" s="97"/>
      <c r="Y343" s="97"/>
    </row>
    <row r="344" spans="2:25" customFormat="1">
      <c r="B344" s="89"/>
      <c r="C344" s="97"/>
      <c r="D344" s="97"/>
      <c r="E344" s="97"/>
      <c r="F344" s="97"/>
      <c r="G344" s="97"/>
      <c r="H344" s="97"/>
      <c r="I344" s="97"/>
      <c r="J344" s="97"/>
      <c r="K344" s="97"/>
      <c r="L344" s="97"/>
      <c r="M344" s="97"/>
      <c r="N344" s="97"/>
      <c r="O344" s="97"/>
      <c r="P344" s="97"/>
      <c r="Q344" s="97"/>
      <c r="R344" s="97"/>
      <c r="S344" s="97"/>
      <c r="T344" s="97"/>
      <c r="U344" s="97"/>
      <c r="V344" s="97"/>
      <c r="W344" s="97"/>
      <c r="X344" s="97"/>
      <c r="Y344" s="97"/>
    </row>
    <row r="345" spans="2:25" customFormat="1">
      <c r="B345" s="89"/>
      <c r="C345" s="97"/>
      <c r="D345" s="97"/>
      <c r="E345" s="97"/>
      <c r="F345" s="97"/>
      <c r="G345" s="97"/>
      <c r="H345" s="97"/>
      <c r="I345" s="97"/>
      <c r="J345" s="97"/>
      <c r="K345" s="97"/>
      <c r="L345" s="97"/>
      <c r="M345" s="97"/>
      <c r="N345" s="97"/>
      <c r="O345" s="97"/>
      <c r="P345" s="97"/>
      <c r="Q345" s="97"/>
      <c r="R345" s="97"/>
      <c r="S345" s="97"/>
      <c r="T345" s="97"/>
      <c r="U345" s="97"/>
      <c r="V345" s="97"/>
      <c r="W345" s="97"/>
      <c r="X345" s="97"/>
      <c r="Y345" s="97"/>
    </row>
    <row r="346" spans="2:25" customFormat="1">
      <c r="B346" s="89"/>
      <c r="C346" s="97"/>
      <c r="D346" s="97"/>
      <c r="E346" s="97"/>
      <c r="F346" s="97"/>
      <c r="G346" s="97"/>
      <c r="H346" s="97"/>
      <c r="I346" s="97"/>
      <c r="J346" s="97"/>
      <c r="K346" s="97"/>
      <c r="L346" s="97"/>
      <c r="M346" s="97"/>
      <c r="N346" s="97"/>
      <c r="O346" s="97"/>
      <c r="P346" s="97"/>
      <c r="Q346" s="97"/>
      <c r="R346" s="97"/>
      <c r="S346" s="97"/>
      <c r="T346" s="97"/>
      <c r="U346" s="97"/>
    </row>
    <row r="347" spans="2:25" customFormat="1">
      <c r="B347" s="89"/>
      <c r="C347" s="97"/>
      <c r="D347" s="97"/>
      <c r="E347" s="97"/>
      <c r="F347" s="97"/>
      <c r="G347" s="97"/>
      <c r="H347" s="97"/>
      <c r="I347" s="97"/>
      <c r="J347" s="97"/>
      <c r="K347" s="97"/>
      <c r="L347" s="97"/>
      <c r="M347" s="97"/>
      <c r="N347" s="97"/>
      <c r="O347" s="97"/>
      <c r="P347" s="97"/>
      <c r="Q347" s="97"/>
      <c r="R347" s="97"/>
      <c r="S347" s="97"/>
      <c r="T347" s="97"/>
      <c r="U347" s="97"/>
    </row>
    <row r="348" spans="2:25" customFormat="1">
      <c r="B348" s="89"/>
      <c r="C348" s="97"/>
      <c r="D348" s="97"/>
      <c r="E348" s="97"/>
      <c r="F348" s="97"/>
      <c r="G348" s="97"/>
      <c r="H348" s="97"/>
      <c r="I348" s="97"/>
      <c r="J348" s="97"/>
      <c r="K348" s="97"/>
      <c r="L348" s="97"/>
      <c r="M348" s="97"/>
      <c r="N348" s="97"/>
      <c r="O348" s="97"/>
      <c r="P348" s="97"/>
      <c r="Q348" s="97"/>
      <c r="R348" s="97"/>
      <c r="S348" s="97"/>
      <c r="T348" s="97"/>
      <c r="U348" s="97"/>
    </row>
    <row r="349" spans="2:25" customFormat="1">
      <c r="B349" s="89"/>
      <c r="C349" s="97"/>
      <c r="D349" s="97"/>
      <c r="E349" s="97"/>
      <c r="F349" s="97"/>
      <c r="G349" s="97"/>
      <c r="H349" s="97"/>
      <c r="I349" s="97"/>
      <c r="J349" s="97"/>
      <c r="K349" s="97"/>
      <c r="L349" s="97"/>
      <c r="M349" s="97"/>
      <c r="N349" s="97"/>
      <c r="O349" s="97"/>
      <c r="P349" s="97"/>
      <c r="Q349" s="97"/>
      <c r="R349" s="97"/>
      <c r="S349" s="97"/>
      <c r="T349" s="97"/>
      <c r="U349" s="97"/>
    </row>
    <row r="350" spans="2:25" customFormat="1">
      <c r="B350" s="89"/>
      <c r="C350" s="97"/>
      <c r="D350" s="97"/>
      <c r="E350" s="97"/>
      <c r="F350" s="97"/>
      <c r="G350" s="97"/>
      <c r="H350" s="97"/>
      <c r="I350" s="97"/>
      <c r="J350" s="97"/>
      <c r="K350" s="97"/>
      <c r="L350" s="97"/>
      <c r="M350" s="97"/>
      <c r="N350" s="97"/>
      <c r="O350" s="97"/>
      <c r="P350" s="97"/>
      <c r="Q350" s="97"/>
      <c r="R350" s="97"/>
      <c r="S350" s="97"/>
      <c r="T350" s="97"/>
      <c r="U350" s="97"/>
    </row>
    <row r="351" spans="2:25" customFormat="1">
      <c r="B351" s="89"/>
      <c r="C351" s="97"/>
      <c r="D351" s="97"/>
      <c r="E351" s="97"/>
      <c r="F351" s="97"/>
      <c r="G351" s="97"/>
      <c r="H351" s="97"/>
      <c r="I351" s="97"/>
      <c r="J351" s="97"/>
      <c r="K351" s="97"/>
      <c r="L351" s="97"/>
      <c r="M351" s="97"/>
      <c r="N351" s="97"/>
      <c r="O351" s="97"/>
      <c r="P351" s="97"/>
      <c r="Q351" s="97"/>
      <c r="R351" s="97"/>
      <c r="S351" s="97"/>
      <c r="T351" s="97"/>
      <c r="U351" s="97"/>
    </row>
    <row r="352" spans="2:25" customFormat="1">
      <c r="B352" s="89"/>
      <c r="C352" s="97"/>
      <c r="D352" s="97"/>
      <c r="E352" s="97"/>
      <c r="F352" s="97"/>
      <c r="G352" s="97"/>
      <c r="H352" s="97"/>
      <c r="I352" s="97"/>
      <c r="J352" s="97"/>
      <c r="K352" s="97"/>
      <c r="L352" s="97"/>
      <c r="M352" s="97"/>
      <c r="N352" s="97"/>
      <c r="O352" s="97"/>
      <c r="P352" s="97"/>
      <c r="Q352" s="97"/>
      <c r="R352" s="97"/>
      <c r="S352" s="97"/>
      <c r="T352" s="97"/>
      <c r="U352" s="97"/>
    </row>
    <row r="353" spans="2:21" customFormat="1">
      <c r="B353" s="89"/>
      <c r="C353" s="97"/>
      <c r="D353" s="97"/>
      <c r="E353" s="97"/>
      <c r="F353" s="97"/>
      <c r="G353" s="97"/>
      <c r="H353" s="97"/>
      <c r="I353" s="97"/>
      <c r="J353" s="97"/>
      <c r="K353" s="97"/>
      <c r="L353" s="97"/>
      <c r="M353" s="97"/>
      <c r="N353" s="97"/>
      <c r="O353" s="97"/>
      <c r="P353" s="97"/>
      <c r="Q353" s="97"/>
      <c r="R353" s="97"/>
      <c r="S353" s="97"/>
      <c r="T353" s="97"/>
      <c r="U353" s="97"/>
    </row>
    <row r="354" spans="2:21" customFormat="1">
      <c r="B354" s="89"/>
      <c r="C354" s="97"/>
      <c r="D354" s="97"/>
      <c r="E354" s="97"/>
      <c r="F354" s="97"/>
      <c r="G354" s="97"/>
      <c r="H354" s="97"/>
      <c r="I354" s="97"/>
      <c r="J354" s="97"/>
      <c r="K354" s="97"/>
      <c r="L354" s="97"/>
      <c r="M354" s="97"/>
      <c r="N354" s="97"/>
      <c r="O354" s="97"/>
      <c r="P354" s="97"/>
      <c r="Q354" s="97"/>
      <c r="R354" s="97"/>
      <c r="S354" s="97"/>
      <c r="T354" s="97"/>
      <c r="U354" s="97"/>
    </row>
    <row r="355" spans="2:21" customFormat="1">
      <c r="B355" s="89"/>
      <c r="C355" s="97"/>
      <c r="D355" s="97"/>
      <c r="E355" s="97"/>
      <c r="F355" s="97"/>
      <c r="G355" s="97"/>
      <c r="H355" s="97"/>
      <c r="I355" s="97"/>
      <c r="J355" s="97"/>
      <c r="K355" s="97"/>
      <c r="L355" s="97"/>
      <c r="M355" s="97"/>
      <c r="N355" s="97"/>
      <c r="O355" s="97"/>
      <c r="P355" s="97"/>
      <c r="Q355" s="97"/>
      <c r="R355" s="97"/>
      <c r="S355" s="97"/>
      <c r="T355" s="97"/>
      <c r="U355" s="97"/>
    </row>
    <row r="356" spans="2:21" customFormat="1">
      <c r="B356" s="89"/>
      <c r="C356" s="97"/>
      <c r="D356" s="97"/>
      <c r="E356" s="97"/>
      <c r="F356" s="97"/>
      <c r="G356" s="97"/>
      <c r="H356" s="97"/>
      <c r="I356" s="97"/>
      <c r="J356" s="97"/>
      <c r="K356" s="97"/>
      <c r="L356" s="97"/>
      <c r="M356" s="97"/>
      <c r="N356" s="97"/>
      <c r="O356" s="97"/>
      <c r="P356" s="97"/>
      <c r="Q356" s="97"/>
      <c r="R356" s="97"/>
      <c r="S356" s="97"/>
      <c r="T356" s="97"/>
      <c r="U356" s="97"/>
    </row>
    <row r="357" spans="2:21" customFormat="1">
      <c r="B357" s="89"/>
      <c r="C357" s="97"/>
      <c r="D357" s="97"/>
      <c r="E357" s="97"/>
      <c r="F357" s="97"/>
      <c r="G357" s="97"/>
      <c r="H357" s="97"/>
      <c r="I357" s="97"/>
      <c r="J357" s="97"/>
      <c r="K357" s="97"/>
      <c r="L357" s="97"/>
      <c r="M357" s="97"/>
      <c r="N357" s="97"/>
      <c r="O357" s="97"/>
      <c r="P357" s="97"/>
      <c r="Q357" s="97"/>
      <c r="R357" s="97"/>
      <c r="S357" s="97"/>
      <c r="T357" s="97"/>
      <c r="U357" s="97"/>
    </row>
    <row r="358" spans="2:21" customFormat="1">
      <c r="B358" s="89"/>
      <c r="C358" s="97"/>
      <c r="D358" s="97"/>
      <c r="E358" s="97"/>
      <c r="F358" s="97"/>
      <c r="G358" s="97"/>
      <c r="H358" s="97"/>
      <c r="I358" s="97"/>
      <c r="J358" s="97"/>
      <c r="K358" s="97"/>
      <c r="L358" s="97"/>
      <c r="M358" s="97"/>
      <c r="N358" s="97"/>
      <c r="O358" s="97"/>
      <c r="P358" s="97"/>
      <c r="Q358" s="97"/>
      <c r="R358" s="97"/>
      <c r="S358" s="97"/>
      <c r="T358" s="97"/>
      <c r="U358" s="97"/>
    </row>
    <row r="359" spans="2:21" customFormat="1">
      <c r="B359" s="89"/>
      <c r="C359" s="97"/>
      <c r="D359" s="97"/>
      <c r="E359" s="97"/>
      <c r="F359" s="97"/>
      <c r="G359" s="97"/>
      <c r="H359" s="97"/>
      <c r="I359" s="97"/>
      <c r="J359" s="97"/>
      <c r="K359" s="97"/>
      <c r="L359" s="97"/>
      <c r="M359" s="97"/>
      <c r="N359" s="97"/>
      <c r="O359" s="97"/>
      <c r="P359" s="97"/>
      <c r="Q359" s="97"/>
      <c r="R359" s="97"/>
      <c r="S359" s="97"/>
      <c r="T359" s="97"/>
      <c r="U359" s="97"/>
    </row>
    <row r="360" spans="2:21" customFormat="1">
      <c r="B360" s="89"/>
      <c r="C360" s="97"/>
      <c r="D360" s="97"/>
      <c r="E360" s="97"/>
      <c r="F360" s="97"/>
      <c r="G360" s="97"/>
      <c r="H360" s="97"/>
      <c r="I360" s="97"/>
      <c r="J360" s="97"/>
      <c r="K360" s="97"/>
      <c r="L360" s="97"/>
      <c r="M360" s="97"/>
      <c r="N360" s="97"/>
      <c r="O360" s="97"/>
      <c r="P360" s="97"/>
      <c r="Q360" s="97"/>
      <c r="R360" s="97"/>
      <c r="S360" s="97"/>
      <c r="T360" s="97"/>
      <c r="U360" s="97"/>
    </row>
    <row r="361" spans="2:21" customFormat="1">
      <c r="B361" s="89"/>
      <c r="C361" s="97"/>
      <c r="D361" s="97"/>
      <c r="E361" s="97"/>
      <c r="F361" s="97"/>
      <c r="G361" s="97"/>
      <c r="H361" s="97"/>
      <c r="I361" s="97"/>
      <c r="J361" s="97"/>
      <c r="K361" s="97"/>
      <c r="L361" s="97"/>
      <c r="M361" s="97"/>
      <c r="N361" s="97"/>
      <c r="O361" s="97"/>
      <c r="P361" s="97"/>
      <c r="Q361" s="97"/>
      <c r="R361" s="97"/>
      <c r="S361" s="97"/>
      <c r="T361" s="97"/>
      <c r="U361" s="97"/>
    </row>
    <row r="362" spans="2:21" customFormat="1">
      <c r="B362" s="89"/>
      <c r="C362" s="97"/>
      <c r="D362" s="97"/>
      <c r="E362" s="97"/>
      <c r="F362" s="97"/>
      <c r="G362" s="97"/>
      <c r="H362" s="97"/>
      <c r="I362" s="97"/>
      <c r="J362" s="97"/>
      <c r="K362" s="97"/>
      <c r="L362" s="97"/>
      <c r="M362" s="97"/>
      <c r="N362" s="97"/>
      <c r="O362" s="97"/>
      <c r="P362" s="97"/>
      <c r="Q362" s="97"/>
      <c r="R362" s="97"/>
      <c r="S362" s="97"/>
      <c r="T362" s="97"/>
      <c r="U362" s="97"/>
    </row>
    <row r="363" spans="2:21" customFormat="1">
      <c r="B363" s="89"/>
      <c r="C363" s="97"/>
      <c r="D363" s="97"/>
      <c r="E363" s="97"/>
      <c r="F363" s="97"/>
      <c r="G363" s="97"/>
      <c r="H363" s="97"/>
      <c r="I363" s="97"/>
      <c r="J363" s="97"/>
      <c r="K363" s="97"/>
      <c r="L363" s="97"/>
      <c r="M363" s="97"/>
      <c r="N363" s="97"/>
      <c r="O363" s="97"/>
      <c r="P363" s="97"/>
      <c r="Q363" s="97"/>
      <c r="R363" s="97"/>
      <c r="S363" s="97"/>
      <c r="T363" s="97"/>
      <c r="U363" s="97"/>
    </row>
    <row r="364" spans="2:21" customFormat="1">
      <c r="B364" s="89"/>
      <c r="C364" s="97"/>
      <c r="D364" s="97"/>
      <c r="E364" s="97"/>
      <c r="F364" s="97"/>
      <c r="G364" s="97"/>
      <c r="H364" s="97"/>
      <c r="I364" s="97"/>
      <c r="J364" s="97"/>
      <c r="K364" s="97"/>
      <c r="L364" s="97"/>
      <c r="M364" s="97"/>
      <c r="N364" s="97"/>
      <c r="O364" s="97"/>
      <c r="P364" s="97"/>
      <c r="Q364" s="97"/>
      <c r="R364" s="97"/>
      <c r="S364" s="97"/>
      <c r="T364" s="97"/>
      <c r="U364" s="97"/>
    </row>
    <row r="365" spans="2:21" customFormat="1">
      <c r="B365" s="89"/>
      <c r="C365" s="97"/>
      <c r="D365" s="97"/>
      <c r="E365" s="97"/>
      <c r="F365" s="97"/>
      <c r="G365" s="97"/>
      <c r="H365" s="97"/>
      <c r="I365" s="97"/>
      <c r="J365" s="97"/>
      <c r="K365" s="97"/>
      <c r="L365" s="97"/>
      <c r="M365" s="97"/>
      <c r="N365" s="97"/>
      <c r="O365" s="97"/>
      <c r="P365" s="97"/>
      <c r="Q365" s="97"/>
      <c r="R365" s="97"/>
      <c r="S365" s="97"/>
      <c r="T365" s="97"/>
      <c r="U365" s="97"/>
    </row>
    <row r="366" spans="2:21" customFormat="1">
      <c r="B366" s="89"/>
      <c r="C366" s="97"/>
      <c r="D366" s="97"/>
      <c r="E366" s="97"/>
      <c r="F366" s="97"/>
      <c r="G366" s="97"/>
      <c r="H366" s="97"/>
      <c r="I366" s="97"/>
      <c r="J366" s="97"/>
      <c r="K366" s="97"/>
      <c r="L366" s="97"/>
      <c r="M366" s="97"/>
      <c r="N366" s="97"/>
      <c r="O366" s="97"/>
      <c r="P366" s="97"/>
      <c r="Q366" s="97"/>
      <c r="R366" s="97"/>
      <c r="S366" s="97"/>
      <c r="T366" s="97"/>
      <c r="U366" s="97"/>
    </row>
    <row r="367" spans="2:21" customFormat="1">
      <c r="B367" s="89"/>
      <c r="C367" s="97"/>
      <c r="D367" s="97"/>
      <c r="E367" s="97"/>
      <c r="F367" s="97"/>
      <c r="G367" s="97"/>
      <c r="H367" s="97"/>
      <c r="I367" s="97"/>
      <c r="J367" s="97"/>
      <c r="K367" s="97"/>
      <c r="L367" s="97"/>
      <c r="M367" s="97"/>
      <c r="N367" s="97"/>
      <c r="O367" s="97"/>
      <c r="P367" s="97"/>
      <c r="Q367" s="97"/>
      <c r="R367" s="97"/>
      <c r="S367" s="97"/>
      <c r="T367" s="97"/>
      <c r="U367" s="97"/>
    </row>
    <row r="368" spans="2:21" customFormat="1">
      <c r="B368" s="89"/>
      <c r="C368" s="97"/>
      <c r="D368" s="97"/>
      <c r="E368" s="97"/>
      <c r="F368" s="97"/>
      <c r="G368" s="97"/>
      <c r="H368" s="97"/>
      <c r="I368" s="97"/>
      <c r="J368" s="97"/>
      <c r="K368" s="97"/>
      <c r="L368" s="97"/>
      <c r="M368" s="97"/>
      <c r="N368" s="97"/>
      <c r="O368" s="97"/>
      <c r="P368" s="97"/>
      <c r="Q368" s="97"/>
      <c r="R368" s="97"/>
      <c r="S368" s="97"/>
      <c r="T368" s="97"/>
      <c r="U368" s="97"/>
    </row>
    <row r="369" spans="2:21" customFormat="1">
      <c r="B369" s="89"/>
      <c r="C369" s="97"/>
      <c r="D369" s="97"/>
      <c r="E369" s="97"/>
      <c r="F369" s="97"/>
      <c r="G369" s="97"/>
      <c r="H369" s="97"/>
      <c r="I369" s="97"/>
      <c r="J369" s="97"/>
      <c r="K369" s="97"/>
      <c r="L369" s="97"/>
      <c r="M369" s="97"/>
      <c r="N369" s="97"/>
      <c r="O369" s="97"/>
      <c r="P369" s="97"/>
      <c r="Q369" s="97"/>
      <c r="R369" s="97"/>
      <c r="S369" s="97"/>
      <c r="T369" s="97"/>
      <c r="U369" s="97"/>
    </row>
    <row r="370" spans="2:21" customFormat="1">
      <c r="B370" s="89"/>
      <c r="C370" s="97"/>
      <c r="D370" s="97"/>
      <c r="E370" s="97"/>
      <c r="F370" s="97"/>
      <c r="G370" s="97"/>
      <c r="H370" s="97"/>
      <c r="I370" s="97"/>
      <c r="J370" s="97"/>
      <c r="K370" s="97"/>
      <c r="L370" s="97"/>
      <c r="M370" s="97"/>
      <c r="N370" s="97"/>
      <c r="O370" s="97"/>
      <c r="P370" s="97"/>
      <c r="Q370" s="97"/>
      <c r="R370" s="97"/>
      <c r="S370" s="97"/>
      <c r="T370" s="97"/>
      <c r="U370" s="97"/>
    </row>
    <row r="371" spans="2:21" customFormat="1">
      <c r="B371" s="89"/>
      <c r="C371" s="97"/>
      <c r="D371" s="97"/>
      <c r="E371" s="97"/>
      <c r="F371" s="97"/>
      <c r="G371" s="97"/>
      <c r="H371" s="97"/>
      <c r="I371" s="97"/>
      <c r="J371" s="97"/>
      <c r="K371" s="97"/>
      <c r="L371" s="97"/>
      <c r="M371" s="97"/>
      <c r="N371" s="97"/>
      <c r="O371" s="97"/>
      <c r="P371" s="97"/>
      <c r="Q371" s="97"/>
      <c r="R371" s="97"/>
      <c r="S371" s="97"/>
      <c r="T371" s="97"/>
      <c r="U371" s="97"/>
    </row>
    <row r="372" spans="2:21" customFormat="1">
      <c r="B372" s="89"/>
      <c r="C372" s="97"/>
      <c r="D372" s="97"/>
      <c r="E372" s="97"/>
      <c r="F372" s="97"/>
      <c r="G372" s="97"/>
      <c r="H372" s="97"/>
      <c r="I372" s="97"/>
      <c r="J372" s="97"/>
      <c r="K372" s="97"/>
      <c r="L372" s="97"/>
      <c r="M372" s="97"/>
      <c r="N372" s="97"/>
      <c r="O372" s="97"/>
      <c r="P372" s="97"/>
      <c r="Q372" s="97"/>
      <c r="R372" s="97"/>
      <c r="S372" s="97"/>
      <c r="T372" s="97"/>
      <c r="U372" s="97"/>
    </row>
    <row r="373" spans="2:21" customFormat="1">
      <c r="B373" s="89"/>
      <c r="C373" s="97"/>
      <c r="D373" s="97"/>
      <c r="E373" s="97"/>
      <c r="F373" s="97"/>
      <c r="G373" s="97"/>
      <c r="H373" s="97"/>
      <c r="I373" s="97"/>
      <c r="J373" s="97"/>
      <c r="K373" s="97"/>
      <c r="L373" s="97"/>
      <c r="M373" s="97"/>
      <c r="N373" s="97"/>
      <c r="O373" s="97"/>
      <c r="P373" s="97"/>
      <c r="Q373" s="97"/>
      <c r="R373" s="97"/>
      <c r="S373" s="97"/>
      <c r="T373" s="97"/>
      <c r="U373" s="97"/>
    </row>
    <row r="374" spans="2:21" customFormat="1">
      <c r="B374" s="89"/>
      <c r="C374" s="97"/>
      <c r="D374" s="97"/>
      <c r="E374" s="97"/>
      <c r="F374" s="97"/>
      <c r="G374" s="97"/>
      <c r="H374" s="97"/>
      <c r="I374" s="97"/>
      <c r="J374" s="97"/>
      <c r="K374" s="97"/>
      <c r="L374" s="97"/>
      <c r="M374" s="97"/>
      <c r="N374" s="97"/>
      <c r="O374" s="97"/>
      <c r="P374" s="97"/>
      <c r="Q374" s="97"/>
      <c r="R374" s="97"/>
      <c r="S374" s="97"/>
      <c r="T374" s="97"/>
      <c r="U374" s="97"/>
    </row>
    <row r="375" spans="2:21" customFormat="1">
      <c r="B375" s="89"/>
      <c r="C375" s="97"/>
      <c r="D375" s="97"/>
      <c r="E375" s="97"/>
      <c r="F375" s="97"/>
      <c r="G375" s="97"/>
      <c r="H375" s="97"/>
      <c r="I375" s="97"/>
      <c r="J375" s="97"/>
      <c r="K375" s="97"/>
      <c r="L375" s="97"/>
      <c r="M375" s="97"/>
      <c r="N375" s="97"/>
      <c r="O375" s="97"/>
      <c r="P375" s="97"/>
      <c r="Q375" s="97"/>
      <c r="R375" s="97"/>
      <c r="S375" s="97"/>
      <c r="T375" s="97"/>
      <c r="U375" s="97"/>
    </row>
    <row r="376" spans="2:21" customFormat="1">
      <c r="B376" s="89"/>
      <c r="C376" s="97"/>
      <c r="D376" s="97"/>
      <c r="E376" s="97"/>
      <c r="F376" s="97"/>
      <c r="G376" s="97"/>
      <c r="H376" s="97"/>
      <c r="I376" s="97"/>
      <c r="J376" s="97"/>
      <c r="K376" s="97"/>
      <c r="L376" s="97"/>
      <c r="M376" s="97"/>
      <c r="N376" s="97"/>
      <c r="O376" s="97"/>
      <c r="P376" s="97"/>
      <c r="Q376" s="97"/>
      <c r="R376" s="97"/>
      <c r="S376" s="97"/>
      <c r="T376" s="97"/>
      <c r="U376" s="97"/>
    </row>
    <row r="377" spans="2:21" customFormat="1">
      <c r="B377" s="89"/>
      <c r="C377" s="97"/>
      <c r="D377" s="97"/>
      <c r="E377" s="97"/>
      <c r="F377" s="97"/>
      <c r="G377" s="97"/>
      <c r="H377" s="97"/>
      <c r="I377" s="97"/>
      <c r="J377" s="97"/>
      <c r="K377" s="97"/>
      <c r="L377" s="97"/>
      <c r="M377" s="97"/>
      <c r="N377" s="97"/>
      <c r="O377" s="97"/>
      <c r="P377" s="97"/>
      <c r="Q377" s="97"/>
      <c r="R377" s="97"/>
      <c r="S377" s="97"/>
      <c r="T377" s="97"/>
      <c r="U377" s="97"/>
    </row>
    <row r="378" spans="2:21" customFormat="1">
      <c r="B378" s="89"/>
      <c r="C378" s="97"/>
      <c r="D378" s="97"/>
      <c r="E378" s="97"/>
      <c r="F378" s="97"/>
      <c r="G378" s="97"/>
      <c r="H378" s="97"/>
      <c r="I378" s="97"/>
      <c r="J378" s="97"/>
      <c r="K378" s="97"/>
      <c r="L378" s="97"/>
      <c r="M378" s="97"/>
      <c r="N378" s="97"/>
      <c r="O378" s="97"/>
      <c r="P378" s="97"/>
      <c r="Q378" s="97"/>
      <c r="R378" s="97"/>
      <c r="S378" s="97"/>
      <c r="T378" s="97"/>
      <c r="U378" s="97"/>
    </row>
    <row r="379" spans="2:21" customFormat="1">
      <c r="B379" s="89"/>
      <c r="C379" s="97"/>
      <c r="D379" s="97"/>
      <c r="E379" s="97"/>
      <c r="F379" s="97"/>
      <c r="G379" s="97"/>
      <c r="H379" s="97"/>
      <c r="I379" s="97"/>
      <c r="J379" s="97"/>
      <c r="K379" s="97"/>
      <c r="L379" s="97"/>
      <c r="M379" s="97"/>
      <c r="N379" s="97"/>
      <c r="O379" s="97"/>
      <c r="P379" s="97"/>
      <c r="Q379" s="97"/>
      <c r="R379" s="97"/>
      <c r="S379" s="97"/>
      <c r="T379" s="97"/>
      <c r="U379" s="97"/>
    </row>
    <row r="380" spans="2:21" customFormat="1">
      <c r="B380" s="89"/>
      <c r="C380" s="97"/>
      <c r="D380" s="97"/>
      <c r="E380" s="97"/>
      <c r="F380" s="97"/>
      <c r="G380" s="97"/>
      <c r="H380" s="97"/>
      <c r="I380" s="97"/>
      <c r="J380" s="97"/>
      <c r="K380" s="97"/>
      <c r="L380" s="97"/>
      <c r="M380" s="97"/>
      <c r="N380" s="97"/>
      <c r="O380" s="97"/>
      <c r="P380" s="97"/>
      <c r="Q380" s="97"/>
      <c r="R380" s="97"/>
      <c r="S380" s="97"/>
      <c r="T380" s="97"/>
      <c r="U380" s="97"/>
    </row>
    <row r="381" spans="2:21" customFormat="1">
      <c r="B381" s="89"/>
      <c r="C381" s="97"/>
      <c r="D381" s="97"/>
      <c r="E381" s="97"/>
      <c r="F381" s="97"/>
      <c r="G381" s="97"/>
      <c r="H381" s="97"/>
      <c r="I381" s="97"/>
      <c r="J381" s="97"/>
      <c r="K381" s="97"/>
      <c r="L381" s="97"/>
      <c r="M381" s="97"/>
      <c r="N381" s="97"/>
      <c r="O381" s="97"/>
      <c r="P381" s="97"/>
      <c r="Q381" s="97"/>
      <c r="R381" s="97"/>
      <c r="S381" s="97"/>
      <c r="T381" s="97"/>
      <c r="U381" s="97"/>
    </row>
    <row r="382" spans="2:21" customFormat="1">
      <c r="B382" s="89"/>
      <c r="C382" s="97"/>
      <c r="D382" s="97"/>
      <c r="E382" s="97"/>
      <c r="F382" s="97"/>
      <c r="G382" s="97"/>
      <c r="H382" s="97"/>
      <c r="I382" s="97"/>
      <c r="J382" s="97"/>
      <c r="K382" s="97"/>
      <c r="L382" s="97"/>
      <c r="M382" s="97"/>
      <c r="N382" s="97"/>
      <c r="O382" s="97"/>
      <c r="P382" s="97"/>
      <c r="Q382" s="97"/>
      <c r="R382" s="97"/>
      <c r="S382" s="97"/>
      <c r="T382" s="97"/>
      <c r="U382" s="97"/>
    </row>
    <row r="383" spans="2:21" customFormat="1">
      <c r="B383" s="89"/>
      <c r="C383" s="97"/>
      <c r="D383" s="97"/>
      <c r="E383" s="97"/>
      <c r="F383" s="97"/>
      <c r="G383" s="97"/>
      <c r="H383" s="97"/>
      <c r="I383" s="97"/>
      <c r="J383" s="97"/>
      <c r="K383" s="97"/>
      <c r="L383" s="97"/>
      <c r="M383" s="97"/>
      <c r="N383" s="97"/>
      <c r="O383" s="97"/>
      <c r="P383" s="97"/>
      <c r="Q383" s="97"/>
      <c r="R383" s="97"/>
      <c r="S383" s="97"/>
      <c r="T383" s="97"/>
      <c r="U383" s="97"/>
    </row>
    <row r="384" spans="2:21" customFormat="1">
      <c r="B384" s="89"/>
      <c r="C384" s="97"/>
      <c r="D384" s="97"/>
      <c r="E384" s="97"/>
      <c r="F384" s="97"/>
      <c r="G384" s="97"/>
      <c r="H384" s="97"/>
      <c r="I384" s="97"/>
      <c r="J384" s="97"/>
      <c r="K384" s="97"/>
      <c r="L384" s="97"/>
      <c r="M384" s="97"/>
      <c r="N384" s="97"/>
      <c r="O384" s="97"/>
      <c r="P384" s="97"/>
      <c r="Q384" s="97"/>
      <c r="R384" s="97"/>
      <c r="S384" s="97"/>
      <c r="T384" s="97"/>
      <c r="U384" s="97"/>
    </row>
    <row r="385" spans="2:21" customFormat="1">
      <c r="B385" s="89"/>
      <c r="C385" s="97"/>
      <c r="D385" s="97"/>
      <c r="E385" s="97"/>
      <c r="F385" s="97"/>
      <c r="G385" s="97"/>
      <c r="H385" s="97"/>
      <c r="I385" s="97"/>
      <c r="J385" s="97"/>
      <c r="K385" s="97"/>
      <c r="L385" s="97"/>
      <c r="M385" s="97"/>
      <c r="N385" s="97"/>
      <c r="O385" s="97"/>
      <c r="P385" s="97"/>
      <c r="Q385" s="97"/>
      <c r="R385" s="97"/>
      <c r="S385" s="97"/>
      <c r="T385" s="97"/>
      <c r="U385" s="97"/>
    </row>
    <row r="386" spans="2:21" customFormat="1">
      <c r="B386" s="89"/>
      <c r="C386" s="97"/>
      <c r="D386" s="97"/>
      <c r="E386" s="97"/>
      <c r="F386" s="97"/>
      <c r="G386" s="97"/>
      <c r="H386" s="97"/>
      <c r="I386" s="97"/>
      <c r="J386" s="97"/>
      <c r="K386" s="97"/>
      <c r="L386" s="97"/>
      <c r="M386" s="97"/>
      <c r="N386" s="97"/>
      <c r="O386" s="97"/>
      <c r="P386" s="97"/>
      <c r="Q386" s="97"/>
      <c r="R386" s="97"/>
      <c r="S386" s="97"/>
      <c r="T386" s="97"/>
      <c r="U386" s="97"/>
    </row>
    <row r="387" spans="2:21" customFormat="1">
      <c r="B387" s="89"/>
      <c r="C387" s="97"/>
      <c r="D387" s="97"/>
      <c r="E387" s="97"/>
      <c r="F387" s="97"/>
      <c r="G387" s="97"/>
      <c r="H387" s="97"/>
      <c r="I387" s="97"/>
      <c r="J387" s="97"/>
      <c r="K387" s="97"/>
      <c r="L387" s="97"/>
      <c r="M387" s="97"/>
      <c r="N387" s="97"/>
      <c r="O387" s="97"/>
      <c r="P387" s="97"/>
      <c r="Q387" s="97"/>
      <c r="R387" s="97"/>
      <c r="S387" s="97"/>
      <c r="T387" s="97"/>
      <c r="U387" s="97"/>
    </row>
    <row r="388" spans="2:21" customFormat="1">
      <c r="B388" s="89"/>
      <c r="C388" s="97"/>
      <c r="D388" s="97"/>
      <c r="E388" s="97"/>
      <c r="F388" s="97"/>
      <c r="G388" s="97"/>
      <c r="H388" s="97"/>
      <c r="I388" s="97"/>
      <c r="J388" s="97"/>
      <c r="K388" s="97"/>
      <c r="L388" s="97"/>
      <c r="M388" s="97"/>
      <c r="N388" s="97"/>
      <c r="O388" s="97"/>
      <c r="P388" s="97"/>
      <c r="Q388" s="97"/>
      <c r="R388" s="97"/>
      <c r="S388" s="97"/>
      <c r="T388" s="97"/>
      <c r="U388" s="97"/>
    </row>
    <row r="389" spans="2:21" customFormat="1">
      <c r="B389" s="89"/>
      <c r="C389" s="97"/>
      <c r="D389" s="97"/>
      <c r="E389" s="97"/>
      <c r="F389" s="97"/>
      <c r="G389" s="97"/>
      <c r="H389" s="97"/>
      <c r="I389" s="97"/>
      <c r="J389" s="97"/>
      <c r="K389" s="97"/>
      <c r="L389" s="97"/>
      <c r="M389" s="97"/>
      <c r="N389" s="97"/>
      <c r="O389" s="97"/>
      <c r="P389" s="97"/>
      <c r="Q389" s="97"/>
      <c r="R389" s="97"/>
      <c r="S389" s="97"/>
      <c r="T389" s="97"/>
      <c r="U389" s="97"/>
    </row>
    <row r="390" spans="2:21" customFormat="1">
      <c r="B390" s="89"/>
      <c r="C390" s="97"/>
      <c r="D390" s="97"/>
      <c r="E390" s="97"/>
      <c r="F390" s="97"/>
      <c r="G390" s="97"/>
      <c r="H390" s="97"/>
      <c r="I390" s="97"/>
      <c r="J390" s="97"/>
      <c r="K390" s="97"/>
      <c r="L390" s="97"/>
      <c r="M390" s="97"/>
      <c r="N390" s="97"/>
      <c r="O390" s="97"/>
      <c r="P390" s="97"/>
      <c r="Q390" s="97"/>
      <c r="R390" s="97"/>
      <c r="S390" s="97"/>
      <c r="T390" s="97"/>
      <c r="U390" s="97"/>
    </row>
    <row r="391" spans="2:21" customFormat="1">
      <c r="B391" s="89"/>
      <c r="C391" s="97"/>
      <c r="D391" s="97"/>
      <c r="E391" s="97"/>
      <c r="F391" s="97"/>
      <c r="G391" s="97"/>
      <c r="H391" s="97"/>
      <c r="I391" s="97"/>
      <c r="J391" s="97"/>
      <c r="K391" s="97"/>
      <c r="L391" s="97"/>
      <c r="M391" s="97"/>
      <c r="N391" s="97"/>
      <c r="O391" s="97"/>
      <c r="P391" s="97"/>
      <c r="Q391" s="97"/>
      <c r="R391" s="97"/>
      <c r="S391" s="97"/>
      <c r="T391" s="97"/>
      <c r="U391" s="97"/>
    </row>
    <row r="392" spans="2:21" customFormat="1">
      <c r="B392" s="89"/>
      <c r="C392" s="97"/>
      <c r="D392" s="97"/>
      <c r="E392" s="97"/>
      <c r="F392" s="97"/>
      <c r="G392" s="97"/>
      <c r="H392" s="97"/>
      <c r="I392" s="97"/>
      <c r="J392" s="97"/>
      <c r="K392" s="97"/>
      <c r="L392" s="97"/>
      <c r="M392" s="97"/>
      <c r="N392" s="97"/>
      <c r="O392" s="97"/>
      <c r="P392" s="97"/>
      <c r="Q392" s="97"/>
      <c r="R392" s="97"/>
      <c r="S392" s="97"/>
      <c r="T392" s="97"/>
      <c r="U392" s="97"/>
    </row>
    <row r="393" spans="2:21" customFormat="1">
      <c r="B393" s="89"/>
      <c r="C393" s="97"/>
      <c r="D393" s="97"/>
      <c r="E393" s="97"/>
      <c r="F393" s="97"/>
      <c r="G393" s="97"/>
      <c r="H393" s="97"/>
      <c r="I393" s="97"/>
      <c r="J393" s="97"/>
      <c r="K393" s="97"/>
      <c r="L393" s="97"/>
      <c r="M393" s="97"/>
      <c r="N393" s="97"/>
      <c r="O393" s="97"/>
      <c r="P393" s="97"/>
      <c r="Q393" s="97"/>
      <c r="R393" s="97"/>
      <c r="S393" s="97"/>
      <c r="T393" s="97"/>
      <c r="U393" s="97"/>
    </row>
    <row r="394" spans="2:21" customFormat="1">
      <c r="B394" s="89"/>
      <c r="C394" s="97"/>
      <c r="D394" s="97"/>
      <c r="E394" s="97"/>
      <c r="F394" s="97"/>
      <c r="G394" s="97"/>
      <c r="H394" s="97"/>
      <c r="I394" s="97"/>
      <c r="J394" s="97"/>
      <c r="K394" s="97"/>
      <c r="L394" s="97"/>
      <c r="M394" s="97"/>
      <c r="N394" s="97"/>
      <c r="O394" s="97"/>
      <c r="P394" s="97"/>
      <c r="Q394" s="97"/>
      <c r="R394" s="97"/>
      <c r="S394" s="97"/>
      <c r="T394" s="97"/>
      <c r="U394" s="97"/>
    </row>
    <row r="395" spans="2:21" customFormat="1">
      <c r="B395" s="89"/>
      <c r="C395" s="97"/>
      <c r="D395" s="97"/>
      <c r="E395" s="97"/>
      <c r="F395" s="97"/>
      <c r="G395" s="97"/>
      <c r="H395" s="97"/>
      <c r="I395" s="97"/>
      <c r="J395" s="97"/>
      <c r="K395" s="97"/>
      <c r="L395" s="97"/>
      <c r="M395" s="97"/>
      <c r="N395" s="97"/>
      <c r="O395" s="97"/>
      <c r="P395" s="97"/>
      <c r="Q395" s="97"/>
      <c r="R395" s="97"/>
      <c r="S395" s="97"/>
      <c r="T395" s="97"/>
      <c r="U395" s="97"/>
    </row>
    <row r="396" spans="2:21" customFormat="1">
      <c r="B396" s="89"/>
      <c r="C396" s="97"/>
      <c r="D396" s="97"/>
      <c r="E396" s="97"/>
      <c r="F396" s="97"/>
      <c r="G396" s="97"/>
      <c r="H396" s="97"/>
      <c r="I396" s="97"/>
      <c r="J396" s="97"/>
      <c r="K396" s="97"/>
      <c r="L396" s="97"/>
      <c r="M396" s="97"/>
      <c r="N396" s="97"/>
      <c r="O396" s="97"/>
      <c r="P396" s="97"/>
      <c r="Q396" s="97"/>
      <c r="R396" s="97"/>
      <c r="S396" s="97"/>
      <c r="T396" s="97"/>
      <c r="U396" s="97"/>
    </row>
    <row r="397" spans="2:21" customFormat="1">
      <c r="B397" s="89"/>
      <c r="C397" s="97"/>
      <c r="D397" s="97"/>
      <c r="E397" s="97"/>
      <c r="F397" s="97"/>
      <c r="G397" s="97"/>
      <c r="H397" s="97"/>
      <c r="I397" s="97"/>
      <c r="J397" s="97"/>
      <c r="K397" s="97"/>
      <c r="L397" s="97"/>
      <c r="M397" s="97"/>
      <c r="N397" s="97"/>
      <c r="O397" s="97"/>
      <c r="P397" s="97"/>
      <c r="Q397" s="97"/>
      <c r="R397" s="97"/>
      <c r="S397" s="97"/>
      <c r="T397" s="97"/>
      <c r="U397" s="97"/>
    </row>
    <row r="398" spans="2:21" customFormat="1">
      <c r="B398" s="89"/>
      <c r="C398" s="97"/>
      <c r="D398" s="97"/>
      <c r="E398" s="97"/>
      <c r="F398" s="97"/>
      <c r="G398" s="97"/>
      <c r="H398" s="97"/>
      <c r="I398" s="97"/>
      <c r="J398" s="97"/>
      <c r="K398" s="97"/>
      <c r="L398" s="97"/>
      <c r="M398" s="97"/>
      <c r="N398" s="97"/>
      <c r="O398" s="97"/>
      <c r="P398" s="97"/>
      <c r="Q398" s="97"/>
      <c r="R398" s="97"/>
      <c r="S398" s="97"/>
      <c r="T398" s="97"/>
      <c r="U398" s="97"/>
    </row>
    <row r="399" spans="2:21" customFormat="1">
      <c r="B399" s="89"/>
      <c r="C399" s="97"/>
      <c r="D399" s="97"/>
      <c r="E399" s="97"/>
      <c r="F399" s="97"/>
      <c r="G399" s="97"/>
      <c r="H399" s="97"/>
      <c r="I399" s="97"/>
      <c r="J399" s="97"/>
      <c r="K399" s="97"/>
      <c r="L399" s="97"/>
      <c r="M399" s="97"/>
      <c r="N399" s="97"/>
      <c r="O399" s="97"/>
      <c r="P399" s="97"/>
      <c r="Q399" s="97"/>
      <c r="R399" s="97"/>
      <c r="S399" s="97"/>
      <c r="T399" s="97"/>
      <c r="U399" s="97"/>
    </row>
    <row r="400" spans="2:21" customFormat="1">
      <c r="B400" s="89"/>
      <c r="C400" s="97"/>
      <c r="D400" s="97"/>
      <c r="E400" s="97"/>
      <c r="F400" s="97"/>
      <c r="G400" s="97"/>
      <c r="H400" s="97"/>
      <c r="I400" s="97"/>
      <c r="J400" s="97"/>
      <c r="K400" s="97"/>
      <c r="L400" s="97"/>
      <c r="M400" s="97"/>
      <c r="N400" s="97"/>
      <c r="O400" s="97"/>
      <c r="P400" s="97"/>
      <c r="Q400" s="97"/>
      <c r="R400" s="97"/>
      <c r="S400" s="97"/>
      <c r="T400" s="97"/>
      <c r="U400" s="97"/>
    </row>
    <row r="401" spans="2:21" customFormat="1">
      <c r="B401" s="89"/>
      <c r="C401" s="97"/>
      <c r="D401" s="97"/>
      <c r="E401" s="97"/>
      <c r="F401" s="97"/>
      <c r="G401" s="97"/>
      <c r="H401" s="97"/>
      <c r="I401" s="97"/>
      <c r="J401" s="97"/>
      <c r="K401" s="97"/>
      <c r="L401" s="97"/>
      <c r="M401" s="97"/>
      <c r="N401" s="97"/>
      <c r="O401" s="97"/>
      <c r="P401" s="97"/>
      <c r="Q401" s="97"/>
      <c r="R401" s="97"/>
      <c r="S401" s="97"/>
      <c r="T401" s="97"/>
      <c r="U401" s="97"/>
    </row>
    <row r="402" spans="2:21" customFormat="1">
      <c r="B402" s="89"/>
      <c r="C402" s="97"/>
      <c r="D402" s="97"/>
      <c r="E402" s="97"/>
      <c r="F402" s="97"/>
      <c r="G402" s="97"/>
      <c r="H402" s="97"/>
      <c r="I402" s="97"/>
      <c r="J402" s="97"/>
      <c r="K402" s="97"/>
      <c r="L402" s="97"/>
      <c r="M402" s="97"/>
      <c r="N402" s="97"/>
      <c r="O402" s="97"/>
      <c r="P402" s="97"/>
      <c r="Q402" s="97"/>
      <c r="R402" s="97"/>
      <c r="S402" s="97"/>
      <c r="T402" s="97"/>
      <c r="U402" s="97"/>
    </row>
    <row r="403" spans="2:21" customFormat="1">
      <c r="B403" s="89"/>
      <c r="C403" s="97"/>
      <c r="D403" s="97"/>
      <c r="E403" s="97"/>
      <c r="F403" s="97"/>
      <c r="G403" s="97"/>
      <c r="H403" s="97"/>
      <c r="I403" s="97"/>
      <c r="J403" s="97"/>
      <c r="K403" s="97"/>
      <c r="L403" s="97"/>
      <c r="M403" s="97"/>
      <c r="N403" s="97"/>
      <c r="O403" s="97"/>
      <c r="P403" s="97"/>
      <c r="Q403" s="97"/>
      <c r="R403" s="97"/>
      <c r="S403" s="97"/>
      <c r="T403" s="97"/>
      <c r="U403" s="97"/>
    </row>
    <row r="404" spans="2:21" customFormat="1">
      <c r="B404" s="89"/>
      <c r="C404" s="97"/>
      <c r="D404" s="97"/>
      <c r="E404" s="97"/>
      <c r="F404" s="97"/>
      <c r="G404" s="97"/>
      <c r="H404" s="97"/>
      <c r="I404" s="97"/>
      <c r="J404" s="97"/>
      <c r="K404" s="97"/>
      <c r="L404" s="97"/>
      <c r="M404" s="97"/>
      <c r="N404" s="97"/>
      <c r="O404" s="97"/>
      <c r="P404" s="97"/>
      <c r="Q404" s="97"/>
      <c r="R404" s="97"/>
      <c r="S404" s="97"/>
      <c r="T404" s="97"/>
      <c r="U404" s="97"/>
    </row>
    <row r="405" spans="2:21" customFormat="1">
      <c r="B405" s="89"/>
      <c r="C405" s="97"/>
      <c r="D405" s="97"/>
      <c r="E405" s="97"/>
      <c r="F405" s="97"/>
      <c r="G405" s="97"/>
      <c r="H405" s="97"/>
      <c r="I405" s="97"/>
      <c r="J405" s="97"/>
      <c r="K405" s="97"/>
      <c r="L405" s="97"/>
      <c r="M405" s="97"/>
      <c r="N405" s="97"/>
      <c r="O405" s="97"/>
      <c r="P405" s="97"/>
      <c r="Q405" s="97"/>
      <c r="R405" s="97"/>
      <c r="S405" s="97"/>
      <c r="T405" s="97"/>
      <c r="U405" s="97"/>
    </row>
    <row r="406" spans="2:21" customFormat="1">
      <c r="B406" s="89"/>
      <c r="C406" s="97"/>
      <c r="D406" s="97"/>
      <c r="E406" s="97"/>
      <c r="F406" s="97"/>
      <c r="G406" s="97"/>
      <c r="H406" s="97"/>
      <c r="I406" s="97"/>
      <c r="J406" s="97"/>
      <c r="K406" s="97"/>
      <c r="L406" s="97"/>
      <c r="M406" s="97"/>
      <c r="N406" s="97"/>
      <c r="O406" s="97"/>
      <c r="P406" s="97"/>
      <c r="Q406" s="97"/>
      <c r="R406" s="97"/>
      <c r="S406" s="97"/>
      <c r="T406" s="97"/>
      <c r="U406" s="97"/>
    </row>
    <row r="407" spans="2:21" customFormat="1">
      <c r="B407" s="89"/>
      <c r="C407" s="97"/>
      <c r="D407" s="97"/>
      <c r="E407" s="97"/>
      <c r="F407" s="97"/>
      <c r="G407" s="97"/>
      <c r="H407" s="97"/>
      <c r="I407" s="97"/>
      <c r="J407" s="97"/>
      <c r="K407" s="97"/>
      <c r="L407" s="97"/>
      <c r="M407" s="97"/>
      <c r="N407" s="97"/>
      <c r="O407" s="97"/>
      <c r="P407" s="97"/>
      <c r="Q407" s="97"/>
      <c r="R407" s="97"/>
      <c r="S407" s="97"/>
      <c r="T407" s="97"/>
      <c r="U407" s="97"/>
    </row>
    <row r="408" spans="2:21" customFormat="1">
      <c r="B408" s="89"/>
      <c r="C408" s="97"/>
      <c r="D408" s="97"/>
      <c r="E408" s="97"/>
      <c r="F408" s="97"/>
      <c r="G408" s="97"/>
      <c r="H408" s="97"/>
      <c r="I408" s="97"/>
      <c r="J408" s="97"/>
      <c r="K408" s="97"/>
      <c r="L408" s="97"/>
      <c r="M408" s="97"/>
      <c r="N408" s="97"/>
      <c r="O408" s="97"/>
      <c r="P408" s="97"/>
      <c r="Q408" s="97"/>
      <c r="R408" s="97"/>
      <c r="S408" s="97"/>
      <c r="T408" s="97"/>
      <c r="U408" s="97"/>
    </row>
    <row r="409" spans="2:21" customFormat="1">
      <c r="B409" s="89"/>
      <c r="C409" s="97"/>
      <c r="D409" s="97"/>
      <c r="E409" s="97"/>
      <c r="F409" s="97"/>
      <c r="G409" s="97"/>
      <c r="H409" s="97"/>
      <c r="I409" s="97"/>
      <c r="J409" s="97"/>
      <c r="K409" s="97"/>
      <c r="L409" s="97"/>
      <c r="M409" s="97"/>
      <c r="N409" s="97"/>
      <c r="O409" s="97"/>
      <c r="P409" s="97"/>
      <c r="Q409" s="97"/>
      <c r="R409" s="97"/>
      <c r="S409" s="97"/>
      <c r="T409" s="97"/>
      <c r="U409" s="97"/>
    </row>
    <row r="410" spans="2:21" customFormat="1">
      <c r="B410" s="89"/>
      <c r="C410" s="97"/>
      <c r="D410" s="97"/>
      <c r="E410" s="97"/>
      <c r="F410" s="97"/>
      <c r="G410" s="97"/>
      <c r="H410" s="97"/>
      <c r="I410" s="97"/>
      <c r="J410" s="97"/>
      <c r="K410" s="97"/>
      <c r="L410" s="97"/>
      <c r="M410" s="97"/>
      <c r="N410" s="97"/>
      <c r="O410" s="97"/>
      <c r="P410" s="97"/>
      <c r="Q410" s="97"/>
      <c r="R410" s="97"/>
      <c r="S410" s="97"/>
      <c r="T410" s="97"/>
      <c r="U410" s="97"/>
    </row>
    <row r="411" spans="2:21" customFormat="1">
      <c r="B411" s="89"/>
      <c r="C411" s="97"/>
      <c r="D411" s="97"/>
      <c r="E411" s="97"/>
      <c r="F411" s="97"/>
      <c r="G411" s="97"/>
      <c r="H411" s="97"/>
      <c r="I411" s="97"/>
      <c r="J411" s="97"/>
      <c r="K411" s="97"/>
      <c r="L411" s="97"/>
      <c r="M411" s="97"/>
      <c r="N411" s="97"/>
      <c r="O411" s="97"/>
      <c r="P411" s="97"/>
      <c r="Q411" s="97"/>
      <c r="R411" s="97"/>
      <c r="S411" s="97"/>
      <c r="T411" s="97"/>
      <c r="U411" s="97"/>
    </row>
    <row r="412" spans="2:21" customFormat="1">
      <c r="B412" s="89"/>
      <c r="C412" s="97"/>
      <c r="D412" s="97"/>
      <c r="E412" s="97"/>
      <c r="F412" s="97"/>
      <c r="G412" s="97"/>
      <c r="H412" s="97"/>
      <c r="I412" s="97"/>
      <c r="J412" s="97"/>
      <c r="K412" s="97"/>
      <c r="L412" s="97"/>
      <c r="M412" s="97"/>
      <c r="N412" s="97"/>
      <c r="O412" s="97"/>
      <c r="P412" s="97"/>
      <c r="Q412" s="97"/>
      <c r="R412" s="97"/>
      <c r="S412" s="97"/>
      <c r="T412" s="97"/>
      <c r="U412" s="97"/>
    </row>
    <row r="413" spans="2:21" customFormat="1">
      <c r="B413" s="89"/>
      <c r="C413" s="97"/>
      <c r="D413" s="97"/>
      <c r="E413" s="97"/>
      <c r="F413" s="97"/>
      <c r="G413" s="97"/>
      <c r="H413" s="97"/>
      <c r="I413" s="97"/>
      <c r="J413" s="97"/>
      <c r="K413" s="97"/>
      <c r="L413" s="97"/>
      <c r="M413" s="97"/>
      <c r="N413" s="97"/>
      <c r="O413" s="97"/>
      <c r="P413" s="97"/>
      <c r="Q413" s="97"/>
      <c r="R413" s="97"/>
      <c r="S413" s="97"/>
      <c r="T413" s="97"/>
      <c r="U413" s="97"/>
    </row>
    <row r="414" spans="2:21" customFormat="1">
      <c r="B414" s="89"/>
      <c r="C414" s="97"/>
      <c r="D414" s="97"/>
      <c r="E414" s="97"/>
      <c r="F414" s="97"/>
      <c r="G414" s="97"/>
      <c r="H414" s="97"/>
      <c r="I414" s="97"/>
      <c r="J414" s="97"/>
      <c r="K414" s="97"/>
      <c r="L414" s="97"/>
      <c r="M414" s="97"/>
      <c r="N414" s="97"/>
      <c r="O414" s="97"/>
      <c r="P414" s="97"/>
      <c r="Q414" s="97"/>
      <c r="R414" s="97"/>
      <c r="S414" s="97"/>
      <c r="T414" s="97"/>
      <c r="U414" s="97"/>
    </row>
    <row r="415" spans="2:21" customFormat="1">
      <c r="B415" s="89"/>
      <c r="C415" s="97"/>
      <c r="D415" s="97"/>
      <c r="E415" s="97"/>
      <c r="F415" s="97"/>
      <c r="G415" s="97"/>
      <c r="H415" s="97"/>
      <c r="I415" s="97"/>
      <c r="J415" s="97"/>
      <c r="K415" s="97"/>
      <c r="L415" s="97"/>
      <c r="M415" s="97"/>
      <c r="N415" s="97"/>
      <c r="O415" s="97"/>
      <c r="P415" s="97"/>
      <c r="Q415" s="97"/>
      <c r="R415" s="97"/>
      <c r="S415" s="97"/>
      <c r="T415" s="97"/>
      <c r="U415" s="97"/>
    </row>
    <row r="416" spans="2:21" customFormat="1">
      <c r="B416" s="89"/>
      <c r="C416" s="97"/>
      <c r="D416" s="97"/>
      <c r="E416" s="97"/>
      <c r="F416" s="97"/>
      <c r="G416" s="97"/>
      <c r="H416" s="97"/>
      <c r="I416" s="97"/>
      <c r="J416" s="97"/>
      <c r="K416" s="97"/>
      <c r="L416" s="97"/>
      <c r="M416" s="97"/>
      <c r="N416" s="97"/>
      <c r="O416" s="97"/>
      <c r="P416" s="97"/>
      <c r="Q416" s="97"/>
      <c r="R416" s="97"/>
      <c r="S416" s="97"/>
      <c r="T416" s="97"/>
      <c r="U416" s="97"/>
    </row>
    <row r="417" spans="2:21" customFormat="1">
      <c r="B417" s="89"/>
      <c r="C417" s="97"/>
      <c r="D417" s="97"/>
      <c r="E417" s="97"/>
      <c r="F417" s="97"/>
      <c r="G417" s="97"/>
      <c r="H417" s="97"/>
      <c r="I417" s="97"/>
      <c r="J417" s="97"/>
      <c r="K417" s="97"/>
      <c r="L417" s="97"/>
      <c r="M417" s="97"/>
      <c r="N417" s="97"/>
      <c r="O417" s="97"/>
      <c r="P417" s="97"/>
      <c r="Q417" s="97"/>
      <c r="R417" s="97"/>
      <c r="S417" s="97"/>
      <c r="T417" s="97"/>
      <c r="U417" s="97"/>
    </row>
    <row r="418" spans="2:21" customFormat="1">
      <c r="B418" s="89"/>
      <c r="C418" s="97"/>
      <c r="D418" s="97"/>
      <c r="E418" s="97"/>
      <c r="F418" s="97"/>
      <c r="G418" s="97"/>
      <c r="H418" s="97"/>
      <c r="I418" s="97"/>
      <c r="J418" s="97"/>
      <c r="K418" s="97"/>
      <c r="L418" s="97"/>
      <c r="M418" s="97"/>
      <c r="N418" s="97"/>
      <c r="O418" s="97"/>
      <c r="P418" s="97"/>
      <c r="Q418" s="97"/>
      <c r="R418" s="97"/>
      <c r="S418" s="97"/>
      <c r="T418" s="97"/>
      <c r="U418" s="97"/>
    </row>
    <row r="419" spans="2:21" customFormat="1">
      <c r="B419" s="89"/>
      <c r="C419" s="97"/>
      <c r="D419" s="97"/>
      <c r="E419" s="97"/>
      <c r="F419" s="97"/>
      <c r="G419" s="97"/>
      <c r="H419" s="97"/>
      <c r="I419" s="97"/>
      <c r="J419" s="97"/>
      <c r="K419" s="97"/>
      <c r="L419" s="97"/>
      <c r="M419" s="97"/>
      <c r="N419" s="97"/>
      <c r="O419" s="97"/>
      <c r="P419" s="97"/>
      <c r="Q419" s="97"/>
      <c r="R419" s="97"/>
      <c r="S419" s="97"/>
      <c r="T419" s="97"/>
      <c r="U419" s="97"/>
    </row>
    <row r="420" spans="2:21" customFormat="1">
      <c r="B420" s="89"/>
      <c r="C420" s="97"/>
      <c r="D420" s="97"/>
      <c r="E420" s="97"/>
      <c r="F420" s="97"/>
      <c r="G420" s="97"/>
      <c r="H420" s="97"/>
      <c r="I420" s="97"/>
      <c r="J420" s="97"/>
      <c r="K420" s="97"/>
      <c r="L420" s="97"/>
      <c r="M420" s="97"/>
      <c r="N420" s="97"/>
      <c r="O420" s="97"/>
      <c r="P420" s="97"/>
      <c r="Q420" s="97"/>
      <c r="R420" s="97"/>
      <c r="S420" s="97"/>
      <c r="T420" s="97"/>
      <c r="U420" s="97"/>
    </row>
    <row r="421" spans="2:21" customFormat="1">
      <c r="B421" s="89"/>
      <c r="C421" s="97"/>
      <c r="D421" s="97"/>
      <c r="E421" s="97"/>
      <c r="F421" s="97"/>
      <c r="G421" s="97"/>
      <c r="H421" s="97"/>
      <c r="I421" s="97"/>
      <c r="J421" s="97"/>
      <c r="K421" s="97"/>
      <c r="L421" s="97"/>
      <c r="M421" s="97"/>
      <c r="N421" s="97"/>
      <c r="O421" s="97"/>
      <c r="P421" s="97"/>
      <c r="Q421" s="97"/>
      <c r="R421" s="97"/>
      <c r="S421" s="97"/>
      <c r="T421" s="97"/>
      <c r="U421" s="97"/>
    </row>
    <row r="422" spans="2:21" customFormat="1">
      <c r="B422" s="89"/>
      <c r="C422" s="97"/>
      <c r="D422" s="97"/>
      <c r="E422" s="97"/>
      <c r="F422" s="97"/>
      <c r="G422" s="97"/>
      <c r="H422" s="97"/>
      <c r="I422" s="97"/>
      <c r="J422" s="97"/>
      <c r="K422" s="97"/>
      <c r="L422" s="97"/>
      <c r="M422" s="97"/>
      <c r="N422" s="97"/>
      <c r="O422" s="97"/>
      <c r="P422" s="97"/>
      <c r="Q422" s="97"/>
      <c r="R422" s="97"/>
      <c r="S422" s="97"/>
      <c r="T422" s="97"/>
      <c r="U422" s="97"/>
    </row>
    <row r="423" spans="2:21" customFormat="1">
      <c r="B423" s="89"/>
      <c r="C423" s="97"/>
      <c r="D423" s="97"/>
      <c r="E423" s="97"/>
      <c r="F423" s="97"/>
      <c r="G423" s="97"/>
      <c r="H423" s="97"/>
      <c r="I423" s="97"/>
      <c r="J423" s="97"/>
      <c r="K423" s="97"/>
      <c r="L423" s="97"/>
      <c r="M423" s="97"/>
      <c r="N423" s="97"/>
      <c r="O423" s="97"/>
      <c r="P423" s="97"/>
      <c r="Q423" s="97"/>
      <c r="R423" s="97"/>
      <c r="S423" s="97"/>
      <c r="T423" s="97"/>
      <c r="U423" s="97"/>
    </row>
    <row r="424" spans="2:21" customFormat="1">
      <c r="B424" s="89"/>
      <c r="C424" s="97"/>
      <c r="D424" s="97"/>
      <c r="E424" s="97"/>
      <c r="F424" s="97"/>
      <c r="G424" s="97"/>
      <c r="H424" s="97"/>
      <c r="I424" s="97"/>
      <c r="J424" s="97"/>
      <c r="K424" s="97"/>
      <c r="L424" s="97"/>
      <c r="M424" s="97"/>
      <c r="N424" s="97"/>
      <c r="O424" s="97"/>
      <c r="P424" s="97"/>
      <c r="Q424" s="97"/>
      <c r="R424" s="97"/>
      <c r="S424" s="97"/>
      <c r="T424" s="97"/>
      <c r="U424" s="97"/>
    </row>
    <row r="425" spans="2:21" customFormat="1">
      <c r="B425" s="89"/>
      <c r="C425" s="97"/>
      <c r="D425" s="97"/>
      <c r="E425" s="97"/>
      <c r="F425" s="97"/>
      <c r="G425" s="97"/>
      <c r="H425" s="97"/>
      <c r="I425" s="97"/>
      <c r="J425" s="97"/>
      <c r="K425" s="97"/>
      <c r="L425" s="97"/>
      <c r="M425" s="97"/>
      <c r="N425" s="97"/>
      <c r="O425" s="97"/>
      <c r="P425" s="97"/>
      <c r="Q425" s="97"/>
      <c r="R425" s="97"/>
      <c r="S425" s="97"/>
      <c r="T425" s="97"/>
      <c r="U425" s="97"/>
    </row>
    <row r="426" spans="2:21" customFormat="1">
      <c r="B426" s="89"/>
      <c r="C426" s="97"/>
      <c r="D426" s="97"/>
      <c r="E426" s="97"/>
      <c r="F426" s="97"/>
      <c r="G426" s="97"/>
      <c r="H426" s="97"/>
      <c r="I426" s="97"/>
      <c r="J426" s="97"/>
      <c r="K426" s="97"/>
      <c r="L426" s="97"/>
      <c r="M426" s="97"/>
      <c r="N426" s="97"/>
      <c r="O426" s="97"/>
      <c r="P426" s="97"/>
      <c r="Q426" s="97"/>
      <c r="R426" s="97"/>
      <c r="S426" s="97"/>
      <c r="T426" s="97"/>
      <c r="U426" s="97"/>
    </row>
    <row r="427" spans="2:21" customFormat="1">
      <c r="B427" s="89"/>
      <c r="C427" s="97"/>
      <c r="D427" s="97"/>
      <c r="E427" s="97"/>
      <c r="F427" s="97"/>
      <c r="G427" s="97"/>
      <c r="H427" s="97"/>
      <c r="I427" s="97"/>
      <c r="J427" s="97"/>
      <c r="K427" s="97"/>
      <c r="L427" s="97"/>
      <c r="M427" s="97"/>
      <c r="N427" s="97"/>
      <c r="O427" s="97"/>
      <c r="P427" s="97"/>
      <c r="Q427" s="97"/>
      <c r="R427" s="97"/>
      <c r="S427" s="97"/>
      <c r="T427" s="97"/>
      <c r="U427" s="97"/>
    </row>
    <row r="428" spans="2:21" customFormat="1">
      <c r="B428" s="89"/>
      <c r="C428" s="97"/>
      <c r="D428" s="97"/>
      <c r="E428" s="97"/>
      <c r="F428" s="97"/>
      <c r="G428" s="97"/>
      <c r="H428" s="97"/>
      <c r="I428" s="97"/>
      <c r="J428" s="97"/>
      <c r="K428" s="97"/>
      <c r="L428" s="97"/>
      <c r="M428" s="97"/>
      <c r="N428" s="97"/>
      <c r="O428" s="97"/>
      <c r="P428" s="97"/>
      <c r="Q428" s="97"/>
      <c r="R428" s="97"/>
      <c r="S428" s="97"/>
      <c r="T428" s="97"/>
      <c r="U428" s="97"/>
    </row>
    <row r="429" spans="2:21" customFormat="1">
      <c r="B429" s="89"/>
      <c r="C429" s="97"/>
      <c r="D429" s="97"/>
      <c r="E429" s="97"/>
      <c r="F429" s="97"/>
      <c r="G429" s="97"/>
      <c r="H429" s="97"/>
      <c r="I429" s="97"/>
      <c r="J429" s="97"/>
      <c r="K429" s="97"/>
      <c r="L429" s="97"/>
      <c r="M429" s="97"/>
      <c r="N429" s="97"/>
      <c r="O429" s="97"/>
      <c r="P429" s="97"/>
      <c r="Q429" s="97"/>
      <c r="R429" s="97"/>
      <c r="S429" s="97"/>
      <c r="T429" s="97"/>
      <c r="U429" s="97"/>
    </row>
    <row r="430" spans="2:21" customFormat="1">
      <c r="B430" s="89"/>
      <c r="C430" s="97"/>
      <c r="D430" s="97"/>
      <c r="E430" s="97"/>
      <c r="F430" s="97"/>
      <c r="G430" s="97"/>
      <c r="H430" s="97"/>
      <c r="I430" s="97"/>
      <c r="J430" s="97"/>
      <c r="K430" s="97"/>
      <c r="L430" s="97"/>
      <c r="M430" s="97"/>
      <c r="N430" s="97"/>
      <c r="O430" s="97"/>
      <c r="P430" s="97"/>
      <c r="Q430" s="97"/>
      <c r="R430" s="97"/>
      <c r="S430" s="97"/>
      <c r="T430" s="97"/>
      <c r="U430" s="97"/>
    </row>
    <row r="431" spans="2:21" customFormat="1">
      <c r="B431" s="89"/>
      <c r="C431" s="97"/>
      <c r="D431" s="97"/>
      <c r="E431" s="97"/>
      <c r="F431" s="97"/>
      <c r="G431" s="97"/>
      <c r="H431" s="97"/>
      <c r="I431" s="97"/>
      <c r="J431" s="97"/>
      <c r="K431" s="97"/>
      <c r="L431" s="97"/>
      <c r="M431" s="97"/>
      <c r="N431" s="97"/>
      <c r="O431" s="97"/>
      <c r="P431" s="97"/>
      <c r="Q431" s="97"/>
      <c r="R431" s="97"/>
      <c r="S431" s="97"/>
      <c r="T431" s="97"/>
      <c r="U431" s="97"/>
    </row>
    <row r="432" spans="2:21" customFormat="1">
      <c r="B432" s="89"/>
      <c r="C432" s="97"/>
      <c r="D432" s="97"/>
      <c r="E432" s="97"/>
      <c r="F432" s="97"/>
      <c r="G432" s="97"/>
      <c r="H432" s="97"/>
      <c r="I432" s="97"/>
      <c r="J432" s="97"/>
      <c r="K432" s="97"/>
      <c r="L432" s="97"/>
      <c r="M432" s="97"/>
      <c r="N432" s="97"/>
      <c r="O432" s="97"/>
      <c r="P432" s="97"/>
      <c r="Q432" s="97"/>
      <c r="R432" s="97"/>
      <c r="S432" s="97"/>
      <c r="T432" s="97"/>
      <c r="U432" s="97"/>
    </row>
    <row r="433" spans="2:21" customFormat="1">
      <c r="B433" s="89"/>
      <c r="C433" s="97"/>
      <c r="D433" s="97"/>
      <c r="E433" s="97"/>
      <c r="F433" s="97"/>
      <c r="G433" s="97"/>
      <c r="H433" s="97"/>
      <c r="I433" s="97"/>
      <c r="J433" s="97"/>
      <c r="K433" s="97"/>
      <c r="L433" s="97"/>
      <c r="M433" s="97"/>
      <c r="N433" s="97"/>
      <c r="O433" s="97"/>
      <c r="P433" s="97"/>
      <c r="Q433" s="97"/>
      <c r="R433" s="97"/>
      <c r="S433" s="97"/>
      <c r="T433" s="97"/>
      <c r="U433" s="97"/>
    </row>
    <row r="434" spans="2:21" customFormat="1">
      <c r="B434" s="89"/>
      <c r="C434" s="97"/>
      <c r="D434" s="97"/>
      <c r="E434" s="97"/>
      <c r="F434" s="97"/>
      <c r="G434" s="97"/>
      <c r="H434" s="97"/>
      <c r="I434" s="97"/>
      <c r="J434" s="97"/>
      <c r="K434" s="97"/>
      <c r="L434" s="97"/>
      <c r="M434" s="97"/>
      <c r="N434" s="97"/>
      <c r="O434" s="97"/>
      <c r="P434" s="97"/>
      <c r="Q434" s="97"/>
      <c r="R434" s="97"/>
      <c r="S434" s="97"/>
      <c r="T434" s="97"/>
      <c r="U434" s="97"/>
    </row>
    <row r="435" spans="2:21" customFormat="1">
      <c r="B435" s="89"/>
      <c r="C435" s="97"/>
      <c r="D435" s="97"/>
      <c r="E435" s="97"/>
      <c r="F435" s="97"/>
      <c r="G435" s="97"/>
      <c r="H435" s="97"/>
      <c r="I435" s="97"/>
      <c r="J435" s="97"/>
      <c r="K435" s="97"/>
      <c r="L435" s="97"/>
      <c r="M435" s="97"/>
      <c r="N435" s="97"/>
      <c r="O435" s="97"/>
      <c r="P435" s="97"/>
      <c r="Q435" s="97"/>
      <c r="R435" s="97"/>
      <c r="S435" s="97"/>
      <c r="T435" s="97"/>
      <c r="U435" s="97"/>
    </row>
    <row r="436" spans="2:21" customFormat="1">
      <c r="B436" s="89"/>
      <c r="C436" s="97"/>
      <c r="D436" s="97"/>
      <c r="E436" s="97"/>
      <c r="F436" s="97"/>
      <c r="G436" s="97"/>
      <c r="H436" s="97"/>
      <c r="I436" s="97"/>
      <c r="J436" s="97"/>
      <c r="K436" s="97"/>
      <c r="L436" s="97"/>
      <c r="M436" s="97"/>
      <c r="N436" s="97"/>
      <c r="O436" s="97"/>
      <c r="P436" s="97"/>
      <c r="Q436" s="97"/>
      <c r="R436" s="97"/>
      <c r="S436" s="97"/>
      <c r="T436" s="97"/>
      <c r="U436" s="97"/>
    </row>
    <row r="437" spans="2:21" customFormat="1">
      <c r="B437" s="89"/>
      <c r="C437" s="97"/>
      <c r="D437" s="97"/>
      <c r="E437" s="97"/>
      <c r="F437" s="97"/>
      <c r="G437" s="97"/>
      <c r="H437" s="97"/>
      <c r="I437" s="97"/>
      <c r="J437" s="97"/>
      <c r="K437" s="97"/>
      <c r="L437" s="97"/>
      <c r="M437" s="97"/>
      <c r="N437" s="97"/>
      <c r="O437" s="97"/>
      <c r="P437" s="97"/>
      <c r="Q437" s="97"/>
      <c r="R437" s="97"/>
      <c r="S437" s="97"/>
      <c r="T437" s="97"/>
      <c r="U437" s="97"/>
    </row>
    <row r="438" spans="2:21" customFormat="1">
      <c r="B438" s="89"/>
      <c r="C438" s="97"/>
      <c r="D438" s="97"/>
      <c r="E438" s="97"/>
      <c r="F438" s="97"/>
      <c r="G438" s="97"/>
      <c r="H438" s="97"/>
      <c r="I438" s="97"/>
      <c r="J438" s="97"/>
      <c r="K438" s="97"/>
      <c r="L438" s="97"/>
      <c r="M438" s="97"/>
      <c r="N438" s="97"/>
      <c r="O438" s="97"/>
      <c r="P438" s="97"/>
      <c r="Q438" s="97"/>
      <c r="R438" s="97"/>
      <c r="S438" s="97"/>
      <c r="T438" s="97"/>
      <c r="U438" s="97"/>
    </row>
    <row r="439" spans="2:21" customFormat="1">
      <c r="B439" s="89"/>
      <c r="C439" s="97"/>
      <c r="D439" s="97"/>
      <c r="E439" s="97"/>
      <c r="F439" s="97"/>
      <c r="G439" s="97"/>
      <c r="H439" s="97"/>
      <c r="I439" s="97"/>
      <c r="J439" s="97"/>
      <c r="K439" s="97"/>
      <c r="L439" s="97"/>
      <c r="M439" s="97"/>
      <c r="N439" s="97"/>
      <c r="O439" s="97"/>
      <c r="P439" s="97"/>
      <c r="Q439" s="97"/>
      <c r="R439" s="97"/>
      <c r="S439" s="97"/>
      <c r="T439" s="97"/>
      <c r="U439" s="97"/>
    </row>
    <row r="440" spans="2:21" customFormat="1">
      <c r="B440" s="89"/>
      <c r="C440" s="97"/>
      <c r="D440" s="97"/>
      <c r="E440" s="97"/>
      <c r="F440" s="97"/>
      <c r="G440" s="97"/>
      <c r="H440" s="97"/>
      <c r="I440" s="97"/>
      <c r="J440" s="97"/>
      <c r="K440" s="97"/>
      <c r="L440" s="97"/>
      <c r="M440" s="97"/>
      <c r="N440" s="97"/>
      <c r="O440" s="97"/>
      <c r="P440" s="97"/>
      <c r="Q440" s="97"/>
      <c r="R440" s="97"/>
      <c r="S440" s="97"/>
      <c r="T440" s="97"/>
      <c r="U440" s="97"/>
    </row>
    <row r="441" spans="2:21" customFormat="1">
      <c r="B441" s="89"/>
      <c r="C441" s="97"/>
      <c r="D441" s="97"/>
      <c r="E441" s="97"/>
      <c r="F441" s="97"/>
      <c r="G441" s="97"/>
      <c r="H441" s="97"/>
      <c r="I441" s="97"/>
      <c r="J441" s="97"/>
      <c r="K441" s="97"/>
      <c r="L441" s="97"/>
      <c r="M441" s="97"/>
      <c r="N441" s="97"/>
      <c r="O441" s="97"/>
      <c r="P441" s="97"/>
      <c r="Q441" s="97"/>
      <c r="R441" s="97"/>
      <c r="S441" s="97"/>
      <c r="T441" s="97"/>
      <c r="U441" s="97"/>
    </row>
    <row r="442" spans="2:21" customFormat="1">
      <c r="B442" s="89"/>
      <c r="C442" s="97"/>
      <c r="D442" s="97"/>
      <c r="E442" s="97"/>
      <c r="F442" s="97"/>
      <c r="G442" s="97"/>
      <c r="H442" s="97"/>
      <c r="I442" s="97"/>
      <c r="J442" s="97"/>
      <c r="K442" s="97"/>
      <c r="L442" s="97"/>
      <c r="M442" s="97"/>
      <c r="N442" s="97"/>
      <c r="O442" s="97"/>
      <c r="P442" s="97"/>
      <c r="Q442" s="97"/>
      <c r="R442" s="97"/>
      <c r="S442" s="97"/>
      <c r="T442" s="97"/>
      <c r="U442" s="97"/>
    </row>
    <row r="443" spans="2:21" customFormat="1">
      <c r="B443" s="89"/>
      <c r="C443" s="97"/>
      <c r="D443" s="97"/>
      <c r="E443" s="97"/>
      <c r="F443" s="97"/>
      <c r="G443" s="97"/>
      <c r="H443" s="97"/>
      <c r="I443" s="97"/>
      <c r="J443" s="97"/>
      <c r="K443" s="97"/>
      <c r="L443" s="97"/>
      <c r="M443" s="97"/>
      <c r="N443" s="97"/>
      <c r="O443" s="97"/>
      <c r="P443" s="97"/>
      <c r="Q443" s="97"/>
      <c r="R443" s="97"/>
      <c r="S443" s="97"/>
      <c r="T443" s="97"/>
      <c r="U443" s="97"/>
    </row>
    <row r="444" spans="2:21" customFormat="1">
      <c r="B444" s="89"/>
      <c r="C444" s="97"/>
      <c r="D444" s="97"/>
      <c r="E444" s="97"/>
      <c r="F444" s="97"/>
      <c r="G444" s="97"/>
      <c r="H444" s="97"/>
      <c r="I444" s="97"/>
      <c r="J444" s="97"/>
      <c r="K444" s="97"/>
      <c r="L444" s="97"/>
      <c r="M444" s="97"/>
      <c r="N444" s="97"/>
      <c r="O444" s="97"/>
      <c r="P444" s="97"/>
      <c r="Q444" s="97"/>
      <c r="R444" s="97"/>
      <c r="S444" s="97"/>
      <c r="T444" s="97"/>
      <c r="U444" s="97"/>
    </row>
    <row r="445" spans="2:21" customFormat="1">
      <c r="B445" s="89"/>
      <c r="C445" s="97"/>
      <c r="D445" s="97"/>
      <c r="E445" s="97"/>
      <c r="F445" s="97"/>
      <c r="G445" s="97"/>
      <c r="H445" s="97"/>
      <c r="I445" s="97"/>
      <c r="J445" s="97"/>
      <c r="K445" s="97"/>
      <c r="L445" s="97"/>
      <c r="M445" s="97"/>
      <c r="N445" s="97"/>
      <c r="O445" s="97"/>
      <c r="P445" s="97"/>
      <c r="Q445" s="97"/>
      <c r="R445" s="97"/>
      <c r="S445" s="97"/>
      <c r="T445" s="97"/>
      <c r="U445" s="97"/>
    </row>
    <row r="446" spans="2:21" customFormat="1">
      <c r="B446" s="89"/>
      <c r="C446" s="97"/>
      <c r="D446" s="97"/>
      <c r="E446" s="97"/>
      <c r="F446" s="97"/>
      <c r="G446" s="97"/>
      <c r="H446" s="97"/>
      <c r="I446" s="97"/>
      <c r="J446" s="97"/>
      <c r="K446" s="97"/>
      <c r="L446" s="97"/>
      <c r="M446" s="97"/>
      <c r="N446" s="97"/>
      <c r="O446" s="97"/>
      <c r="P446" s="97"/>
      <c r="Q446" s="97"/>
      <c r="R446" s="97"/>
      <c r="S446" s="97"/>
      <c r="T446" s="97"/>
      <c r="U446" s="97"/>
    </row>
    <row r="447" spans="2:21" customFormat="1">
      <c r="B447" s="89"/>
      <c r="C447" s="97"/>
      <c r="D447" s="97"/>
      <c r="E447" s="97"/>
      <c r="F447" s="97"/>
      <c r="G447" s="97"/>
      <c r="H447" s="97"/>
      <c r="I447" s="97"/>
      <c r="J447" s="97"/>
      <c r="K447" s="97"/>
      <c r="L447" s="97"/>
      <c r="M447" s="97"/>
      <c r="N447" s="97"/>
      <c r="O447" s="97"/>
      <c r="P447" s="97"/>
      <c r="Q447" s="97"/>
      <c r="R447" s="97"/>
      <c r="S447" s="97"/>
      <c r="T447" s="97"/>
      <c r="U447" s="97"/>
    </row>
    <row r="448" spans="2:21" customFormat="1">
      <c r="B448" s="89"/>
      <c r="C448" s="97"/>
      <c r="D448" s="97"/>
      <c r="E448" s="97"/>
      <c r="F448" s="97"/>
      <c r="G448" s="97"/>
      <c r="H448" s="97"/>
      <c r="I448" s="97"/>
      <c r="J448" s="97"/>
      <c r="K448" s="97"/>
      <c r="L448" s="97"/>
      <c r="M448" s="97"/>
      <c r="N448" s="97"/>
      <c r="O448" s="97"/>
      <c r="P448" s="97"/>
      <c r="Q448" s="97"/>
      <c r="R448" s="97"/>
      <c r="S448" s="97"/>
      <c r="T448" s="97"/>
      <c r="U448" s="97"/>
    </row>
    <row r="449" spans="1:35" customFormat="1">
      <c r="B449" s="89"/>
      <c r="C449" s="97"/>
      <c r="D449" s="97"/>
      <c r="E449" s="97"/>
      <c r="F449" s="97"/>
      <c r="G449" s="97"/>
      <c r="H449" s="97"/>
      <c r="I449" s="97"/>
      <c r="J449" s="97"/>
      <c r="K449" s="97"/>
      <c r="L449" s="97"/>
      <c r="M449" s="97"/>
      <c r="N449" s="97"/>
      <c r="O449" s="97"/>
      <c r="P449" s="97"/>
      <c r="Q449" s="97"/>
      <c r="R449" s="97"/>
      <c r="S449" s="97"/>
      <c r="T449" s="97"/>
      <c r="U449" s="97"/>
    </row>
    <row r="450" spans="1:35" customFormat="1">
      <c r="B450" s="89"/>
      <c r="C450" s="97"/>
      <c r="D450" s="97"/>
      <c r="E450" s="97"/>
      <c r="F450" s="97"/>
      <c r="G450" s="97"/>
      <c r="H450" s="97"/>
      <c r="I450" s="97"/>
      <c r="J450" s="97"/>
      <c r="K450" s="97"/>
      <c r="L450" s="97"/>
      <c r="M450" s="97"/>
      <c r="N450" s="97"/>
      <c r="O450" s="97"/>
      <c r="P450" s="97"/>
      <c r="Q450" s="97"/>
      <c r="R450" s="97"/>
      <c r="S450" s="97"/>
      <c r="T450" s="97"/>
      <c r="U450" s="97"/>
    </row>
    <row r="451" spans="1:35" customFormat="1">
      <c r="B451" s="89"/>
      <c r="C451" s="97"/>
      <c r="D451" s="97"/>
      <c r="E451" s="97"/>
      <c r="F451" s="97"/>
      <c r="G451" s="97"/>
      <c r="H451" s="97"/>
      <c r="I451" s="97"/>
      <c r="J451" s="97"/>
      <c r="K451" s="97"/>
      <c r="L451" s="97"/>
      <c r="M451" s="97"/>
      <c r="N451" s="97"/>
      <c r="O451" s="97"/>
      <c r="P451" s="97"/>
      <c r="Q451" s="97"/>
      <c r="R451" s="97"/>
      <c r="S451" s="97"/>
      <c r="T451" s="97"/>
      <c r="U451" s="97"/>
    </row>
    <row r="452" spans="1:35" customFormat="1">
      <c r="B452" s="89"/>
      <c r="C452" s="97"/>
      <c r="D452" s="97"/>
      <c r="E452" s="97"/>
      <c r="F452" s="97"/>
      <c r="G452" s="97"/>
      <c r="H452" s="97"/>
      <c r="I452" s="97"/>
      <c r="J452" s="97"/>
      <c r="K452" s="97"/>
      <c r="L452" s="97"/>
      <c r="M452" s="97"/>
      <c r="N452" s="97"/>
      <c r="O452" s="97"/>
      <c r="P452" s="97"/>
      <c r="Q452" s="97"/>
      <c r="R452" s="97"/>
      <c r="S452" s="97"/>
      <c r="T452" s="97"/>
      <c r="U452" s="97"/>
    </row>
    <row r="453" spans="1:35" customFormat="1">
      <c r="B453" s="89"/>
      <c r="C453" s="97"/>
      <c r="D453" s="97"/>
      <c r="E453" s="97"/>
      <c r="F453" s="97"/>
      <c r="G453" s="97"/>
      <c r="H453" s="97"/>
      <c r="I453" s="97"/>
      <c r="J453" s="97"/>
      <c r="K453" s="97"/>
      <c r="L453" s="97"/>
      <c r="M453" s="97"/>
      <c r="N453" s="97"/>
      <c r="O453" s="97"/>
      <c r="P453" s="97"/>
      <c r="Q453" s="97"/>
      <c r="R453" s="97"/>
      <c r="S453" s="97"/>
      <c r="T453" s="97"/>
      <c r="U453" s="97"/>
    </row>
    <row r="454" spans="1:35" s="118" customFormat="1">
      <c r="A454"/>
      <c r="B454" s="89"/>
      <c r="C454" s="97"/>
      <c r="D454" s="97"/>
      <c r="E454" s="97"/>
      <c r="F454" s="97"/>
      <c r="G454" s="97"/>
      <c r="H454" s="97"/>
      <c r="I454" s="97"/>
      <c r="J454" s="97"/>
      <c r="K454" s="97"/>
      <c r="L454" s="97"/>
      <c r="M454" s="97"/>
      <c r="N454" s="97"/>
      <c r="O454" s="97"/>
      <c r="P454" s="97"/>
      <c r="Q454" s="97"/>
      <c r="R454" s="97"/>
      <c r="S454" s="97"/>
      <c r="T454" s="97"/>
      <c r="U454" s="97"/>
      <c r="V454" s="111"/>
      <c r="W454" s="111"/>
      <c r="X454" s="111"/>
      <c r="Y454" s="111"/>
      <c r="Z454" s="111"/>
      <c r="AA454" s="111"/>
      <c r="AB454" s="111"/>
      <c r="AC454" s="111"/>
      <c r="AD454" s="111"/>
      <c r="AE454" s="111"/>
      <c r="AF454" s="111"/>
      <c r="AG454" s="111"/>
      <c r="AH454" s="111"/>
      <c r="AI454" s="111"/>
    </row>
    <row r="455" spans="1:35" s="118" customFormat="1">
      <c r="A455"/>
      <c r="B455" s="89"/>
      <c r="C455" s="97"/>
      <c r="D455" s="97"/>
      <c r="E455" s="97"/>
      <c r="F455" s="97"/>
      <c r="G455" s="97"/>
      <c r="H455" s="97"/>
      <c r="I455" s="97"/>
      <c r="J455" s="97"/>
      <c r="K455" s="97"/>
      <c r="L455" s="97"/>
      <c r="M455" s="97"/>
      <c r="N455" s="97"/>
      <c r="O455" s="97"/>
      <c r="P455" s="97"/>
      <c r="Q455" s="97"/>
      <c r="R455" s="97"/>
      <c r="S455" s="97"/>
      <c r="T455" s="97"/>
      <c r="U455" s="97"/>
      <c r="V455" s="119"/>
      <c r="W455" s="119"/>
      <c r="X455" s="119"/>
      <c r="Y455" s="119"/>
      <c r="Z455" s="119"/>
      <c r="AA455" s="119"/>
      <c r="AB455" s="119"/>
      <c r="AC455" s="119"/>
      <c r="AD455" s="119"/>
      <c r="AE455" s="119"/>
      <c r="AF455" s="119"/>
      <c r="AG455" s="119"/>
      <c r="AH455" s="119"/>
      <c r="AI455" s="119"/>
    </row>
    <row r="456" spans="1:35" s="118" customFormat="1">
      <c r="A456"/>
      <c r="B456" s="89"/>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120"/>
      <c r="AA456" s="120"/>
      <c r="AB456" s="120"/>
      <c r="AC456" s="120"/>
      <c r="AD456" s="120"/>
      <c r="AE456" s="120"/>
      <c r="AF456" s="120"/>
      <c r="AG456" s="120"/>
      <c r="AH456" s="120"/>
      <c r="AI456" s="120"/>
    </row>
    <row r="457" spans="1:35" s="118" customFormat="1">
      <c r="A457"/>
      <c r="B457" s="89"/>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120"/>
      <c r="AA457" s="120"/>
      <c r="AB457" s="120"/>
      <c r="AC457" s="120"/>
      <c r="AD457" s="120"/>
      <c r="AE457" s="120"/>
      <c r="AF457" s="120"/>
      <c r="AG457" s="120"/>
      <c r="AH457" s="120"/>
      <c r="AI457" s="120"/>
    </row>
    <row r="458" spans="1:35" s="118" customFormat="1">
      <c r="A458"/>
      <c r="B458" s="89"/>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120"/>
      <c r="AA458" s="120"/>
      <c r="AB458" s="120"/>
      <c r="AC458" s="120"/>
      <c r="AD458" s="120"/>
      <c r="AE458" s="120"/>
      <c r="AF458" s="120"/>
      <c r="AG458" s="120"/>
      <c r="AH458" s="120"/>
      <c r="AI458" s="120"/>
    </row>
    <row r="459" spans="1:35" s="118" customFormat="1">
      <c r="A459"/>
      <c r="B459" s="89"/>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120"/>
      <c r="AA459" s="120"/>
      <c r="AB459" s="120"/>
      <c r="AC459" s="120"/>
      <c r="AD459" s="120"/>
      <c r="AE459" s="120"/>
      <c r="AF459" s="120"/>
      <c r="AG459" s="120"/>
      <c r="AH459" s="120"/>
      <c r="AI459" s="120"/>
    </row>
    <row r="460" spans="1:35" s="118" customFormat="1">
      <c r="A460"/>
      <c r="B460" s="89"/>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120"/>
      <c r="AA460" s="120"/>
      <c r="AB460" s="120"/>
      <c r="AC460" s="120"/>
      <c r="AD460" s="120"/>
      <c r="AE460" s="120"/>
      <c r="AF460" s="120"/>
      <c r="AG460" s="120"/>
      <c r="AH460" s="120"/>
      <c r="AI460" s="120"/>
    </row>
    <row r="461" spans="1:35" s="118" customFormat="1">
      <c r="A461"/>
      <c r="B461" s="89"/>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120"/>
      <c r="AA461" s="120"/>
      <c r="AB461" s="120"/>
      <c r="AC461" s="120"/>
      <c r="AD461" s="120"/>
      <c r="AE461" s="120"/>
      <c r="AF461" s="120"/>
      <c r="AG461" s="120"/>
      <c r="AH461" s="120"/>
      <c r="AI461" s="120"/>
    </row>
    <row r="462" spans="1:35" s="118" customFormat="1">
      <c r="A462"/>
      <c r="B462" s="89"/>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120"/>
      <c r="AA462" s="120"/>
      <c r="AB462" s="120"/>
      <c r="AC462" s="120"/>
      <c r="AD462" s="120"/>
      <c r="AE462" s="120"/>
      <c r="AF462" s="120"/>
      <c r="AG462" s="120"/>
      <c r="AH462" s="120"/>
      <c r="AI462" s="120"/>
    </row>
    <row r="463" spans="1:35" s="118" customFormat="1">
      <c r="A463"/>
      <c r="B463" s="89"/>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120"/>
      <c r="AA463" s="120"/>
      <c r="AB463" s="120"/>
      <c r="AC463" s="120"/>
      <c r="AD463" s="120"/>
      <c r="AE463" s="120"/>
      <c r="AF463" s="120"/>
      <c r="AG463" s="120"/>
      <c r="AH463" s="120"/>
      <c r="AI463" s="120"/>
    </row>
    <row r="464" spans="1:35" s="118" customFormat="1">
      <c r="A464"/>
      <c r="B464" s="89"/>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120"/>
      <c r="AA464" s="120"/>
      <c r="AB464" s="120"/>
      <c r="AC464" s="120"/>
      <c r="AD464" s="120"/>
      <c r="AE464" s="120"/>
      <c r="AF464" s="120"/>
      <c r="AG464" s="120"/>
      <c r="AH464" s="120"/>
      <c r="AI464" s="120"/>
    </row>
    <row r="465" spans="1:35" s="118" customFormat="1">
      <c r="A465"/>
      <c r="B465" s="89"/>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120"/>
      <c r="AA465" s="120"/>
      <c r="AB465" s="120"/>
      <c r="AC465" s="120"/>
      <c r="AD465" s="120"/>
      <c r="AE465" s="120"/>
      <c r="AF465" s="120"/>
      <c r="AG465" s="120"/>
      <c r="AH465" s="120"/>
      <c r="AI465" s="120"/>
    </row>
    <row r="466" spans="1:35" s="118" customFormat="1">
      <c r="A466"/>
      <c r="B466" s="89"/>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120"/>
      <c r="AA466" s="120"/>
      <c r="AB466" s="120"/>
      <c r="AC466" s="120"/>
      <c r="AD466" s="120"/>
      <c r="AE466" s="120"/>
      <c r="AF466" s="120"/>
      <c r="AG466" s="120"/>
      <c r="AH466" s="120"/>
      <c r="AI466" s="120"/>
    </row>
    <row r="467" spans="1:35" s="118" customFormat="1">
      <c r="A467"/>
      <c r="B467" s="89"/>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120"/>
      <c r="AA467" s="120"/>
      <c r="AB467" s="120"/>
      <c r="AC467" s="120"/>
      <c r="AD467" s="120"/>
      <c r="AE467" s="120"/>
      <c r="AF467" s="120"/>
      <c r="AG467" s="120"/>
      <c r="AH467" s="120"/>
      <c r="AI467" s="120"/>
    </row>
    <row r="468" spans="1:35" s="118" customFormat="1">
      <c r="A468"/>
      <c r="B468" s="89"/>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120"/>
      <c r="AA468" s="120"/>
      <c r="AB468" s="120"/>
      <c r="AC468" s="120"/>
      <c r="AD468" s="120"/>
      <c r="AE468" s="120"/>
      <c r="AF468" s="120"/>
      <c r="AG468" s="120"/>
      <c r="AH468" s="120"/>
      <c r="AI468" s="120"/>
    </row>
    <row r="469" spans="1:35" s="118" customFormat="1">
      <c r="A469"/>
      <c r="B469" s="89"/>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120"/>
      <c r="AA469" s="120"/>
      <c r="AB469" s="120"/>
      <c r="AC469" s="120"/>
      <c r="AD469" s="120"/>
      <c r="AE469" s="120"/>
      <c r="AF469" s="120"/>
      <c r="AG469" s="120"/>
      <c r="AH469" s="120"/>
      <c r="AI469" s="120"/>
    </row>
    <row r="470" spans="1:35" s="118" customFormat="1">
      <c r="A470"/>
      <c r="B470" s="89"/>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120"/>
      <c r="AA470" s="120"/>
      <c r="AB470" s="120"/>
      <c r="AC470" s="120"/>
      <c r="AD470" s="120"/>
      <c r="AE470" s="120"/>
      <c r="AF470" s="120"/>
      <c r="AG470" s="120"/>
      <c r="AH470" s="120"/>
      <c r="AI470" s="120"/>
    </row>
    <row r="471" spans="1:35" s="118" customFormat="1">
      <c r="A471"/>
      <c r="B471" s="89"/>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120"/>
      <c r="AA471" s="120"/>
      <c r="AB471" s="120"/>
      <c r="AC471" s="120"/>
      <c r="AD471" s="120"/>
      <c r="AE471" s="120"/>
      <c r="AF471" s="120"/>
      <c r="AG471" s="120"/>
      <c r="AH471" s="120"/>
      <c r="AI471" s="120"/>
    </row>
    <row r="472" spans="1:35" s="118" customFormat="1">
      <c r="A472"/>
      <c r="B472" s="89"/>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120"/>
      <c r="AA472" s="120"/>
      <c r="AB472" s="120"/>
      <c r="AC472" s="120"/>
      <c r="AD472" s="120"/>
      <c r="AE472" s="120"/>
      <c r="AF472" s="120"/>
      <c r="AG472" s="120"/>
      <c r="AH472" s="120"/>
      <c r="AI472" s="120"/>
    </row>
    <row r="473" spans="1:35" s="118" customFormat="1">
      <c r="A473"/>
      <c r="B473" s="89"/>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120"/>
      <c r="AA473" s="120"/>
      <c r="AB473" s="120"/>
      <c r="AC473" s="120"/>
      <c r="AD473" s="120"/>
      <c r="AE473" s="120"/>
      <c r="AF473" s="120"/>
      <c r="AG473" s="120"/>
      <c r="AH473" s="120"/>
      <c r="AI473" s="120"/>
    </row>
    <row r="474" spans="1:35" s="118" customFormat="1">
      <c r="A474"/>
      <c r="B474" s="89"/>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120"/>
      <c r="AA474" s="120"/>
      <c r="AB474" s="120"/>
      <c r="AC474" s="120"/>
      <c r="AD474" s="120"/>
      <c r="AE474" s="120"/>
      <c r="AF474" s="120"/>
      <c r="AG474" s="120"/>
      <c r="AH474" s="120"/>
      <c r="AI474" s="120"/>
    </row>
    <row r="475" spans="1:35" s="118" customFormat="1">
      <c r="A475"/>
      <c r="B475" s="89"/>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120"/>
      <c r="AA475" s="120"/>
      <c r="AB475" s="120"/>
      <c r="AC475" s="120"/>
      <c r="AD475" s="120"/>
      <c r="AE475" s="120"/>
      <c r="AF475" s="120"/>
      <c r="AG475" s="120"/>
      <c r="AH475" s="120"/>
      <c r="AI475" s="120"/>
    </row>
    <row r="476" spans="1:35" s="118" customFormat="1">
      <c r="A476"/>
      <c r="B476" s="89"/>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120"/>
      <c r="AA476" s="120"/>
      <c r="AB476" s="120"/>
      <c r="AC476" s="120"/>
      <c r="AD476" s="120"/>
      <c r="AE476" s="120"/>
      <c r="AF476" s="120"/>
      <c r="AG476" s="120"/>
      <c r="AH476" s="120"/>
      <c r="AI476" s="120"/>
    </row>
    <row r="477" spans="1:35" s="118" customFormat="1">
      <c r="A477"/>
      <c r="B477" s="89"/>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120"/>
      <c r="AA477" s="120"/>
      <c r="AB477" s="120"/>
      <c r="AC477" s="120"/>
      <c r="AD477" s="120"/>
      <c r="AE477" s="120"/>
      <c r="AF477" s="120"/>
      <c r="AG477" s="120"/>
      <c r="AH477" s="120"/>
      <c r="AI477" s="120"/>
    </row>
    <row r="478" spans="1:35" s="118" customFormat="1">
      <c r="A478"/>
      <c r="B478" s="89"/>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120"/>
      <c r="AA478" s="120"/>
      <c r="AB478" s="120"/>
      <c r="AC478" s="120"/>
      <c r="AD478" s="120"/>
      <c r="AE478" s="120"/>
      <c r="AF478" s="120"/>
      <c r="AG478" s="120"/>
      <c r="AH478" s="120"/>
      <c r="AI478" s="120"/>
    </row>
    <row r="479" spans="1:35" s="118" customFormat="1">
      <c r="A479"/>
      <c r="B479" s="89"/>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120"/>
      <c r="AA479" s="120"/>
      <c r="AB479" s="120"/>
      <c r="AC479" s="120"/>
      <c r="AD479" s="120"/>
      <c r="AE479" s="120"/>
      <c r="AF479" s="120"/>
      <c r="AG479" s="120"/>
      <c r="AH479" s="120"/>
      <c r="AI479" s="120"/>
    </row>
    <row r="480" spans="1:35" s="118" customFormat="1">
      <c r="A480"/>
      <c r="B480" s="89"/>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120"/>
      <c r="AA480" s="120"/>
      <c r="AB480" s="120"/>
      <c r="AC480" s="120"/>
      <c r="AD480" s="120"/>
      <c r="AE480" s="120"/>
      <c r="AF480" s="120"/>
      <c r="AG480" s="120"/>
      <c r="AH480" s="120"/>
      <c r="AI480" s="120"/>
    </row>
    <row r="481" spans="1:35" s="118" customFormat="1">
      <c r="A481"/>
      <c r="B481" s="89"/>
      <c r="C481" s="97"/>
      <c r="D481" s="97"/>
      <c r="E481" s="97"/>
      <c r="F481" s="97"/>
      <c r="G481" s="97"/>
      <c r="H481" s="97"/>
      <c r="I481" s="97"/>
      <c r="J481" s="97"/>
      <c r="K481" s="97"/>
      <c r="L481" s="97"/>
      <c r="M481" s="97"/>
      <c r="N481" s="97"/>
      <c r="O481" s="97"/>
      <c r="P481" s="97"/>
      <c r="Q481" s="97"/>
      <c r="R481" s="97"/>
      <c r="S481" s="97"/>
      <c r="T481" s="97"/>
      <c r="U481" s="97"/>
      <c r="V481" s="120"/>
      <c r="W481" s="120"/>
      <c r="X481" s="120"/>
      <c r="Y481" s="120"/>
      <c r="Z481" s="120"/>
      <c r="AA481" s="120"/>
      <c r="AB481" s="120"/>
      <c r="AC481" s="120"/>
      <c r="AD481" s="120"/>
      <c r="AE481" s="120"/>
      <c r="AF481" s="120"/>
      <c r="AG481" s="120"/>
      <c r="AH481" s="120"/>
      <c r="AI481" s="120"/>
    </row>
    <row r="482" spans="1:35" s="118" customFormat="1">
      <c r="A482"/>
      <c r="B482" s="89"/>
      <c r="C482" s="97"/>
      <c r="D482" s="97"/>
      <c r="E482" s="97"/>
      <c r="F482" s="97"/>
      <c r="G482" s="97"/>
      <c r="H482" s="97"/>
      <c r="I482" s="97"/>
      <c r="J482" s="97"/>
      <c r="K482" s="97"/>
      <c r="L482" s="97"/>
      <c r="M482" s="97"/>
      <c r="N482" s="97"/>
      <c r="O482" s="97"/>
      <c r="P482" s="97"/>
      <c r="Q482" s="97"/>
      <c r="R482" s="97"/>
      <c r="S482" s="97"/>
      <c r="T482" s="97"/>
      <c r="U482" s="97"/>
      <c r="V482" s="120"/>
      <c r="W482" s="120"/>
      <c r="X482" s="120"/>
      <c r="Y482" s="120"/>
      <c r="Z482" s="120"/>
      <c r="AA482" s="120"/>
      <c r="AB482" s="120"/>
      <c r="AC482" s="120"/>
      <c r="AD482" s="120"/>
      <c r="AE482" s="120"/>
      <c r="AF482" s="120"/>
      <c r="AG482" s="120"/>
      <c r="AH482" s="120"/>
      <c r="AI482" s="120"/>
    </row>
    <row r="483" spans="1:35" s="118" customFormat="1">
      <c r="A483"/>
      <c r="B483" s="89"/>
      <c r="C483" s="97"/>
      <c r="D483" s="97"/>
      <c r="E483" s="97"/>
      <c r="F483" s="97"/>
      <c r="G483" s="97"/>
      <c r="H483" s="97"/>
      <c r="I483" s="97"/>
      <c r="J483" s="97"/>
      <c r="K483" s="97"/>
      <c r="L483" s="97"/>
      <c r="M483" s="97"/>
      <c r="N483" s="97"/>
      <c r="O483" s="97"/>
      <c r="P483" s="97"/>
      <c r="Q483" s="97"/>
      <c r="R483" s="97"/>
      <c r="S483" s="97"/>
      <c r="T483" s="97"/>
      <c r="U483" s="97"/>
      <c r="V483" s="120"/>
      <c r="W483" s="120"/>
      <c r="X483" s="120"/>
      <c r="Y483" s="120"/>
      <c r="Z483" s="120"/>
      <c r="AA483" s="120"/>
      <c r="AB483" s="120"/>
      <c r="AC483" s="120"/>
      <c r="AD483" s="120"/>
      <c r="AE483" s="120"/>
      <c r="AF483" s="120"/>
      <c r="AG483" s="120"/>
      <c r="AH483" s="120"/>
      <c r="AI483" s="120"/>
    </row>
    <row r="484" spans="1:35" s="118" customFormat="1">
      <c r="A484"/>
      <c r="B484" s="89"/>
      <c r="C484" s="97"/>
      <c r="D484" s="97"/>
      <c r="E484" s="97"/>
      <c r="F484" s="97"/>
      <c r="G484" s="97"/>
      <c r="H484" s="97"/>
      <c r="I484" s="97"/>
      <c r="J484" s="97"/>
      <c r="K484" s="97"/>
      <c r="L484" s="97"/>
      <c r="M484" s="97"/>
      <c r="N484" s="97"/>
      <c r="O484" s="97"/>
      <c r="P484" s="97"/>
      <c r="Q484" s="97"/>
      <c r="R484" s="97"/>
      <c r="S484" s="97"/>
      <c r="T484" s="97"/>
      <c r="U484" s="97"/>
      <c r="V484" s="120"/>
      <c r="W484" s="120"/>
      <c r="X484" s="120"/>
      <c r="Y484" s="120"/>
      <c r="Z484" s="120"/>
      <c r="AA484" s="120"/>
      <c r="AB484" s="120"/>
      <c r="AC484" s="120"/>
      <c r="AD484" s="120"/>
      <c r="AE484" s="120"/>
      <c r="AF484" s="120"/>
      <c r="AG484" s="120"/>
      <c r="AH484" s="120"/>
      <c r="AI484" s="120"/>
    </row>
    <row r="485" spans="1:35" s="118" customFormat="1">
      <c r="A485"/>
      <c r="B485" s="89"/>
      <c r="C485" s="97"/>
      <c r="D485" s="97"/>
      <c r="E485" s="97"/>
      <c r="F485" s="97"/>
      <c r="G485" s="97"/>
      <c r="H485" s="97"/>
      <c r="I485" s="97"/>
      <c r="J485" s="97"/>
      <c r="K485" s="97"/>
      <c r="L485" s="97"/>
      <c r="M485" s="97"/>
      <c r="N485" s="97"/>
      <c r="O485" s="97"/>
      <c r="P485" s="97"/>
      <c r="Q485" s="97"/>
      <c r="R485" s="97"/>
      <c r="S485" s="97"/>
      <c r="T485" s="97"/>
      <c r="U485" s="97"/>
      <c r="V485" s="120"/>
      <c r="W485" s="120"/>
      <c r="X485" s="120"/>
      <c r="Y485" s="120"/>
      <c r="Z485" s="120"/>
      <c r="AA485" s="120"/>
      <c r="AB485" s="120"/>
      <c r="AC485" s="120"/>
      <c r="AD485" s="120"/>
      <c r="AE485" s="120"/>
      <c r="AF485" s="120"/>
      <c r="AG485" s="120"/>
      <c r="AH485" s="120"/>
      <c r="AI485" s="120"/>
    </row>
    <row r="486" spans="1:35" s="118" customFormat="1">
      <c r="A486"/>
      <c r="B486" s="89"/>
      <c r="C486" s="97"/>
      <c r="D486" s="97"/>
      <c r="E486" s="97"/>
      <c r="F486" s="97"/>
      <c r="G486" s="97"/>
      <c r="H486" s="97"/>
      <c r="I486" s="97"/>
      <c r="J486" s="97"/>
      <c r="K486" s="97"/>
      <c r="L486" s="97"/>
      <c r="M486" s="97"/>
      <c r="N486" s="97"/>
      <c r="O486" s="97"/>
      <c r="P486" s="97"/>
      <c r="Q486" s="97"/>
      <c r="R486" s="97"/>
      <c r="S486" s="97"/>
      <c r="T486" s="97"/>
      <c r="U486" s="97"/>
      <c r="V486" s="120"/>
      <c r="W486" s="120"/>
      <c r="X486" s="120"/>
      <c r="Y486" s="120"/>
      <c r="Z486" s="120"/>
      <c r="AA486" s="120"/>
      <c r="AB486" s="120"/>
      <c r="AC486" s="120"/>
      <c r="AD486" s="120"/>
      <c r="AE486" s="120"/>
      <c r="AF486" s="120"/>
      <c r="AG486" s="120"/>
      <c r="AH486" s="120"/>
      <c r="AI486" s="120"/>
    </row>
    <row r="487" spans="1:35" s="118" customFormat="1">
      <c r="A487"/>
      <c r="B487" s="89"/>
      <c r="C487" s="97"/>
      <c r="D487" s="97"/>
      <c r="E487" s="97"/>
      <c r="F487" s="97"/>
      <c r="G487" s="97"/>
      <c r="H487" s="97"/>
      <c r="I487" s="97"/>
      <c r="J487" s="97"/>
      <c r="K487" s="97"/>
      <c r="L487" s="97"/>
      <c r="M487" s="97"/>
      <c r="N487" s="97"/>
      <c r="O487" s="97"/>
      <c r="P487" s="97"/>
      <c r="Q487" s="97"/>
      <c r="R487" s="97"/>
      <c r="S487" s="97"/>
      <c r="T487" s="97"/>
      <c r="U487" s="97"/>
      <c r="V487" s="120"/>
      <c r="W487" s="120"/>
      <c r="X487" s="120"/>
      <c r="Y487" s="120"/>
      <c r="Z487" s="120"/>
      <c r="AA487" s="120"/>
      <c r="AB487" s="120"/>
      <c r="AC487" s="120"/>
      <c r="AD487" s="120"/>
      <c r="AE487" s="120"/>
      <c r="AF487" s="120"/>
      <c r="AG487" s="120"/>
      <c r="AH487" s="120"/>
      <c r="AI487" s="120"/>
    </row>
    <row r="488" spans="1:35" s="118" customFormat="1">
      <c r="A488"/>
      <c r="B488" s="89"/>
      <c r="C488" s="97"/>
      <c r="D488" s="97"/>
      <c r="E488" s="97"/>
      <c r="F488" s="97"/>
      <c r="G488" s="97"/>
      <c r="H488" s="97"/>
      <c r="I488" s="97"/>
      <c r="J488" s="97"/>
      <c r="K488" s="97"/>
      <c r="L488" s="97"/>
      <c r="M488" s="97"/>
      <c r="N488" s="97"/>
      <c r="O488" s="97"/>
      <c r="P488" s="97"/>
      <c r="Q488" s="97"/>
      <c r="R488" s="97"/>
      <c r="S488" s="97"/>
      <c r="T488" s="97"/>
      <c r="U488" s="97"/>
      <c r="V488" s="120"/>
      <c r="W488" s="120"/>
      <c r="X488" s="120"/>
      <c r="Y488" s="120"/>
      <c r="Z488" s="120"/>
      <c r="AA488" s="120"/>
      <c r="AB488" s="120"/>
      <c r="AC488" s="120"/>
      <c r="AD488" s="120"/>
      <c r="AE488" s="120"/>
      <c r="AF488" s="120"/>
      <c r="AG488" s="120"/>
      <c r="AH488" s="120"/>
      <c r="AI488" s="120"/>
    </row>
    <row r="489" spans="1:35" s="118" customFormat="1">
      <c r="A489"/>
      <c r="B489" s="89"/>
      <c r="C489" s="97"/>
      <c r="D489" s="97"/>
      <c r="E489" s="97"/>
      <c r="F489" s="97"/>
      <c r="G489" s="97"/>
      <c r="H489" s="97"/>
      <c r="I489" s="97"/>
      <c r="J489" s="97"/>
      <c r="K489" s="97"/>
      <c r="L489" s="97"/>
      <c r="M489" s="97"/>
      <c r="N489" s="97"/>
      <c r="O489" s="97"/>
      <c r="P489" s="97"/>
      <c r="Q489" s="97"/>
      <c r="R489" s="97"/>
      <c r="S489" s="97"/>
      <c r="T489" s="97"/>
      <c r="U489" s="97"/>
      <c r="V489" s="120"/>
      <c r="W489" s="120"/>
      <c r="X489" s="120"/>
      <c r="Y489" s="120"/>
      <c r="Z489" s="120"/>
      <c r="AA489" s="120"/>
      <c r="AB489" s="120"/>
      <c r="AC489" s="120"/>
      <c r="AD489" s="120"/>
      <c r="AE489" s="120"/>
      <c r="AF489" s="120"/>
      <c r="AG489" s="120"/>
      <c r="AH489" s="120"/>
      <c r="AI489" s="120"/>
    </row>
    <row r="490" spans="1:35" s="118" customFormat="1">
      <c r="A490"/>
      <c r="B490" s="89"/>
      <c r="C490" s="97"/>
      <c r="D490" s="97"/>
      <c r="E490" s="97"/>
      <c r="F490" s="97"/>
      <c r="G490" s="97"/>
      <c r="H490" s="97"/>
      <c r="I490" s="97"/>
      <c r="J490" s="97"/>
      <c r="K490" s="97"/>
      <c r="L490" s="97"/>
      <c r="M490" s="97"/>
      <c r="N490" s="97"/>
      <c r="O490" s="97"/>
      <c r="P490" s="97"/>
      <c r="Q490" s="97"/>
      <c r="R490" s="97"/>
      <c r="S490" s="97"/>
      <c r="T490" s="97"/>
      <c r="U490" s="97"/>
      <c r="V490" s="120"/>
      <c r="W490" s="120"/>
      <c r="X490" s="120"/>
      <c r="Y490" s="120"/>
      <c r="Z490" s="120"/>
      <c r="AA490" s="120"/>
      <c r="AB490" s="120"/>
      <c r="AC490" s="120"/>
      <c r="AD490" s="120"/>
      <c r="AE490" s="120"/>
      <c r="AF490" s="120"/>
      <c r="AG490" s="120"/>
      <c r="AH490" s="120"/>
      <c r="AI490" s="120"/>
    </row>
    <row r="491" spans="1:35" s="118" customFormat="1">
      <c r="A491"/>
      <c r="B491" s="89"/>
      <c r="C491" s="97"/>
      <c r="D491" s="97"/>
      <c r="E491" s="97"/>
      <c r="F491" s="97"/>
      <c r="G491" s="97"/>
      <c r="H491" s="97"/>
      <c r="I491" s="97"/>
      <c r="J491" s="97"/>
      <c r="K491" s="97"/>
      <c r="L491" s="97"/>
      <c r="M491" s="97"/>
      <c r="N491" s="97"/>
      <c r="O491" s="97"/>
      <c r="P491" s="97"/>
      <c r="Q491" s="97"/>
      <c r="R491" s="97"/>
      <c r="S491" s="97"/>
      <c r="T491" s="97"/>
      <c r="U491" s="97"/>
      <c r="V491" s="120"/>
      <c r="W491" s="120"/>
      <c r="X491" s="120"/>
      <c r="Y491" s="120"/>
      <c r="Z491" s="120"/>
      <c r="AA491" s="120"/>
      <c r="AB491" s="120"/>
      <c r="AC491" s="120"/>
      <c r="AD491" s="120"/>
      <c r="AE491" s="120"/>
      <c r="AF491" s="120"/>
      <c r="AG491" s="120"/>
      <c r="AH491" s="120"/>
      <c r="AI491" s="120"/>
    </row>
    <row r="492" spans="1:35" s="118" customFormat="1">
      <c r="A492"/>
      <c r="B492" s="89"/>
      <c r="C492" s="97"/>
      <c r="D492" s="97"/>
      <c r="E492" s="97"/>
      <c r="F492" s="97"/>
      <c r="G492" s="97"/>
      <c r="H492" s="97"/>
      <c r="I492" s="97"/>
      <c r="J492" s="97"/>
      <c r="K492" s="97"/>
      <c r="L492" s="97"/>
      <c r="M492" s="97"/>
      <c r="N492" s="97"/>
      <c r="O492" s="97"/>
      <c r="P492" s="97"/>
      <c r="Q492" s="97"/>
      <c r="R492" s="97"/>
      <c r="S492" s="97"/>
      <c r="T492" s="97"/>
      <c r="U492" s="97"/>
      <c r="V492" s="120"/>
      <c r="W492" s="120"/>
      <c r="X492" s="120"/>
      <c r="Y492" s="120"/>
      <c r="Z492" s="120"/>
      <c r="AA492" s="120"/>
      <c r="AB492" s="120"/>
      <c r="AC492" s="120"/>
      <c r="AD492" s="120"/>
      <c r="AE492" s="120"/>
      <c r="AF492" s="120"/>
      <c r="AG492" s="120"/>
      <c r="AH492" s="120"/>
      <c r="AI492" s="120"/>
    </row>
    <row r="493" spans="1:35" s="118" customFormat="1">
      <c r="A493"/>
      <c r="B493" s="89"/>
      <c r="C493" s="97"/>
      <c r="D493" s="97"/>
      <c r="E493" s="97"/>
      <c r="F493" s="97"/>
      <c r="G493" s="97"/>
      <c r="H493" s="97"/>
      <c r="I493" s="97"/>
      <c r="J493" s="97"/>
      <c r="K493" s="97"/>
      <c r="L493" s="97"/>
      <c r="M493" s="97"/>
      <c r="N493" s="97"/>
      <c r="O493" s="97"/>
      <c r="P493" s="97"/>
      <c r="Q493" s="97"/>
      <c r="R493" s="97"/>
      <c r="S493" s="97"/>
      <c r="T493" s="97"/>
      <c r="U493" s="97"/>
      <c r="V493" s="120"/>
      <c r="W493" s="120"/>
      <c r="X493" s="120"/>
      <c r="Y493" s="120"/>
      <c r="Z493" s="120"/>
      <c r="AA493" s="120"/>
      <c r="AB493" s="120"/>
      <c r="AC493" s="120"/>
      <c r="AD493" s="120"/>
      <c r="AE493" s="120"/>
      <c r="AF493" s="120"/>
      <c r="AG493" s="120"/>
      <c r="AH493" s="120"/>
      <c r="AI493" s="120"/>
    </row>
    <row r="494" spans="1:35" s="118" customFormat="1">
      <c r="A494"/>
      <c r="B494" s="89"/>
      <c r="C494" s="97"/>
      <c r="D494" s="97"/>
      <c r="E494" s="97"/>
      <c r="F494" s="97"/>
      <c r="G494" s="97"/>
      <c r="H494" s="97"/>
      <c r="I494" s="97"/>
      <c r="J494" s="97"/>
      <c r="K494" s="97"/>
      <c r="L494" s="97"/>
      <c r="M494" s="97"/>
      <c r="N494" s="97"/>
      <c r="O494" s="97"/>
      <c r="P494" s="97"/>
      <c r="Q494" s="97"/>
      <c r="R494" s="97"/>
      <c r="S494" s="97"/>
      <c r="T494" s="97"/>
      <c r="U494" s="97"/>
      <c r="V494" s="120"/>
      <c r="W494" s="120"/>
      <c r="X494" s="120"/>
      <c r="Y494" s="120"/>
      <c r="Z494" s="120"/>
      <c r="AA494" s="120"/>
      <c r="AB494" s="120"/>
      <c r="AC494" s="120"/>
      <c r="AD494" s="120"/>
      <c r="AE494" s="120"/>
      <c r="AF494" s="120"/>
      <c r="AG494" s="120"/>
      <c r="AH494" s="120"/>
      <c r="AI494" s="120"/>
    </row>
    <row r="495" spans="1:35" s="118" customFormat="1">
      <c r="A495"/>
      <c r="B495" s="89"/>
      <c r="C495" s="97"/>
      <c r="D495" s="97"/>
      <c r="E495" s="97"/>
      <c r="F495" s="97"/>
      <c r="G495" s="97"/>
      <c r="H495" s="97"/>
      <c r="I495" s="97"/>
      <c r="J495" s="97"/>
      <c r="K495" s="97"/>
      <c r="L495" s="97"/>
      <c r="M495" s="97"/>
      <c r="N495" s="97"/>
      <c r="O495" s="97"/>
      <c r="P495" s="97"/>
      <c r="Q495" s="97"/>
      <c r="R495" s="97"/>
      <c r="S495" s="97"/>
      <c r="T495" s="97"/>
      <c r="U495" s="97"/>
      <c r="V495" s="120"/>
      <c r="W495" s="120"/>
      <c r="X495" s="120"/>
      <c r="Y495" s="120"/>
      <c r="Z495" s="120"/>
      <c r="AA495" s="120"/>
      <c r="AB495" s="120"/>
      <c r="AC495" s="120"/>
      <c r="AD495" s="120"/>
      <c r="AE495" s="120"/>
      <c r="AF495" s="120"/>
      <c r="AG495" s="120"/>
      <c r="AH495" s="120"/>
      <c r="AI495" s="120"/>
    </row>
    <row r="496" spans="1:35" s="118" customFormat="1">
      <c r="A496"/>
      <c r="B496" s="89"/>
      <c r="C496" s="97"/>
      <c r="D496" s="97"/>
      <c r="E496" s="97"/>
      <c r="F496" s="97"/>
      <c r="G496" s="97"/>
      <c r="H496" s="97"/>
      <c r="I496" s="97"/>
      <c r="J496" s="97"/>
      <c r="K496" s="97"/>
      <c r="L496" s="97"/>
      <c r="M496" s="97"/>
      <c r="N496" s="97"/>
      <c r="O496" s="97"/>
      <c r="P496" s="97"/>
      <c r="Q496" s="97"/>
      <c r="R496" s="97"/>
      <c r="S496" s="97"/>
      <c r="T496" s="97"/>
      <c r="U496" s="97"/>
      <c r="V496" s="120"/>
      <c r="W496" s="120"/>
      <c r="X496" s="120"/>
      <c r="Y496" s="120"/>
      <c r="Z496" s="120"/>
      <c r="AA496" s="120"/>
      <c r="AB496" s="120"/>
      <c r="AC496" s="120"/>
      <c r="AD496" s="120"/>
      <c r="AE496" s="120"/>
      <c r="AF496" s="120"/>
      <c r="AG496" s="120"/>
      <c r="AH496" s="120"/>
      <c r="AI496" s="120"/>
    </row>
    <row r="497" spans="1:35" s="118" customFormat="1">
      <c r="A497"/>
      <c r="B497" s="89"/>
      <c r="C497" s="97"/>
      <c r="D497" s="97"/>
      <c r="E497" s="97"/>
      <c r="F497" s="97"/>
      <c r="G497" s="97"/>
      <c r="H497" s="97"/>
      <c r="I497" s="97"/>
      <c r="J497" s="97"/>
      <c r="K497" s="97"/>
      <c r="L497" s="97"/>
      <c r="M497" s="97"/>
      <c r="N497" s="97"/>
      <c r="O497" s="97"/>
      <c r="P497" s="97"/>
      <c r="Q497" s="97"/>
      <c r="R497" s="97"/>
      <c r="S497" s="97"/>
      <c r="T497" s="97"/>
      <c r="U497" s="97"/>
      <c r="V497" s="120"/>
      <c r="W497" s="120"/>
      <c r="X497" s="120"/>
      <c r="Y497" s="120"/>
      <c r="Z497" s="120"/>
      <c r="AA497" s="120"/>
      <c r="AB497" s="120"/>
      <c r="AC497" s="120"/>
      <c r="AD497" s="120"/>
      <c r="AE497" s="120"/>
      <c r="AF497" s="120"/>
      <c r="AG497" s="120"/>
      <c r="AH497" s="120"/>
      <c r="AI497" s="120"/>
    </row>
    <row r="498" spans="1:35" s="118" customFormat="1">
      <c r="A498"/>
      <c r="B498" s="89"/>
      <c r="C498" s="97"/>
      <c r="D498" s="97"/>
      <c r="E498" s="97"/>
      <c r="F498" s="97"/>
      <c r="G498" s="97"/>
      <c r="H498" s="97"/>
      <c r="I498" s="97"/>
      <c r="J498" s="97"/>
      <c r="K498" s="97"/>
      <c r="L498" s="97"/>
      <c r="M498" s="97"/>
      <c r="N498" s="97"/>
      <c r="O498" s="97"/>
      <c r="P498" s="97"/>
      <c r="Q498" s="97"/>
      <c r="R498" s="97"/>
      <c r="S498" s="97"/>
      <c r="T498" s="97"/>
      <c r="U498" s="97"/>
      <c r="V498" s="120"/>
      <c r="W498" s="120"/>
      <c r="X498" s="120"/>
      <c r="Y498" s="120"/>
      <c r="Z498" s="120"/>
      <c r="AA498" s="120"/>
      <c r="AB498" s="120"/>
      <c r="AC498" s="120"/>
      <c r="AD498" s="120"/>
      <c r="AE498" s="120"/>
      <c r="AF498" s="120"/>
      <c r="AG498" s="120"/>
      <c r="AH498" s="120"/>
      <c r="AI498" s="120"/>
    </row>
    <row r="499" spans="1:35" s="118" customFormat="1">
      <c r="A499"/>
      <c r="B499" s="89"/>
      <c r="C499" s="97"/>
      <c r="D499" s="97"/>
      <c r="E499" s="97"/>
      <c r="F499" s="97"/>
      <c r="G499" s="97"/>
      <c r="H499" s="97"/>
      <c r="I499" s="97"/>
      <c r="J499" s="97"/>
      <c r="K499" s="97"/>
      <c r="L499" s="97"/>
      <c r="M499" s="97"/>
      <c r="N499" s="97"/>
      <c r="O499" s="97"/>
      <c r="P499" s="97"/>
      <c r="Q499" s="97"/>
      <c r="R499" s="97"/>
      <c r="S499" s="97"/>
      <c r="T499" s="97"/>
      <c r="U499" s="97"/>
      <c r="V499" s="120"/>
      <c r="W499" s="120"/>
      <c r="X499" s="120"/>
      <c r="Y499" s="120"/>
      <c r="Z499" s="120"/>
      <c r="AA499" s="120"/>
      <c r="AB499" s="120"/>
      <c r="AC499" s="120"/>
      <c r="AD499" s="120"/>
      <c r="AE499" s="120"/>
      <c r="AF499" s="120"/>
      <c r="AG499" s="120"/>
      <c r="AH499" s="120"/>
      <c r="AI499" s="120"/>
    </row>
    <row r="500" spans="1:35">
      <c r="A500"/>
      <c r="B500" s="89"/>
      <c r="C500" s="97"/>
      <c r="D500" s="97"/>
      <c r="E500" s="97"/>
      <c r="F500" s="97"/>
      <c r="G500" s="97"/>
      <c r="H500" s="97"/>
      <c r="I500" s="97"/>
      <c r="J500" s="97"/>
      <c r="K500" s="97"/>
      <c r="L500" s="97"/>
      <c r="M500" s="97"/>
      <c r="N500" s="97"/>
      <c r="O500" s="97"/>
      <c r="P500" s="97"/>
      <c r="Q500" s="97"/>
      <c r="R500" s="97"/>
      <c r="S500" s="97"/>
      <c r="T500" s="97"/>
      <c r="U500" s="97"/>
    </row>
    <row r="501" spans="1:35">
      <c r="A501"/>
      <c r="B501" s="89"/>
      <c r="C501" s="97"/>
      <c r="D501" s="97"/>
      <c r="E501" s="97"/>
      <c r="F501" s="97"/>
      <c r="G501" s="97"/>
      <c r="H501" s="97"/>
      <c r="I501" s="97"/>
      <c r="J501" s="97"/>
      <c r="K501" s="97"/>
      <c r="L501" s="97"/>
      <c r="M501" s="97"/>
      <c r="N501" s="97"/>
      <c r="O501" s="97"/>
      <c r="P501" s="97"/>
      <c r="Q501" s="97"/>
      <c r="R501" s="97"/>
      <c r="S501" s="97"/>
      <c r="T501" s="97"/>
      <c r="U501" s="97"/>
    </row>
    <row r="502" spans="1:35">
      <c r="A502"/>
      <c r="B502" s="89"/>
      <c r="C502" s="97"/>
      <c r="D502" s="97"/>
      <c r="E502" s="97"/>
      <c r="F502" s="97"/>
      <c r="G502" s="97"/>
      <c r="H502" s="97"/>
      <c r="I502" s="97"/>
      <c r="J502" s="97"/>
      <c r="K502" s="97"/>
      <c r="L502" s="97"/>
      <c r="M502" s="97"/>
      <c r="N502" s="97"/>
      <c r="O502" s="97"/>
      <c r="P502" s="97"/>
      <c r="Q502" s="97"/>
      <c r="R502" s="97"/>
      <c r="S502" s="97"/>
      <c r="T502" s="97"/>
      <c r="U502" s="97"/>
    </row>
    <row r="503" spans="1:35">
      <c r="A503"/>
      <c r="B503" s="89"/>
      <c r="C503" s="97"/>
      <c r="D503" s="97"/>
      <c r="E503" s="97"/>
      <c r="F503" s="97"/>
      <c r="G503" s="97"/>
      <c r="H503" s="97"/>
      <c r="I503" s="97"/>
      <c r="J503" s="97"/>
      <c r="K503" s="97"/>
      <c r="L503" s="97"/>
      <c r="M503" s="97"/>
      <c r="N503" s="97"/>
      <c r="O503" s="97"/>
      <c r="P503" s="97"/>
      <c r="Q503" s="97"/>
      <c r="R503" s="97"/>
      <c r="S503" s="97"/>
      <c r="T503" s="97"/>
      <c r="U503" s="97"/>
    </row>
    <row r="504" spans="1:35">
      <c r="A504"/>
      <c r="B504" s="89"/>
      <c r="C504" s="97"/>
      <c r="D504" s="97"/>
      <c r="E504" s="97"/>
      <c r="F504" s="97"/>
      <c r="G504" s="97"/>
      <c r="H504" s="97"/>
      <c r="I504" s="97"/>
      <c r="J504" s="97"/>
      <c r="K504" s="97"/>
      <c r="L504" s="97"/>
      <c r="M504" s="97"/>
      <c r="N504" s="97"/>
      <c r="O504" s="97"/>
      <c r="P504" s="97"/>
      <c r="Q504" s="97"/>
      <c r="R504" s="97"/>
      <c r="S504" s="97"/>
      <c r="T504" s="97"/>
      <c r="U504" s="97"/>
    </row>
    <row r="505" spans="1:35">
      <c r="A505"/>
      <c r="B505" s="89"/>
      <c r="C505" s="97"/>
      <c r="D505" s="97"/>
      <c r="E505" s="97"/>
      <c r="F505" s="97"/>
      <c r="G505" s="97"/>
      <c r="H505" s="97"/>
      <c r="I505" s="97"/>
      <c r="J505" s="97"/>
      <c r="K505" s="97"/>
      <c r="L505" s="97"/>
      <c r="M505" s="97"/>
      <c r="N505" s="97"/>
      <c r="O505" s="97"/>
      <c r="P505" s="97"/>
      <c r="Q505" s="97"/>
      <c r="R505" s="97"/>
      <c r="S505" s="97"/>
      <c r="T505" s="97"/>
      <c r="U505" s="97"/>
    </row>
    <row r="506" spans="1:35">
      <c r="A506"/>
      <c r="B506" s="89"/>
      <c r="C506" s="97"/>
      <c r="D506" s="97"/>
      <c r="E506" s="97"/>
      <c r="F506" s="97"/>
      <c r="G506" s="97"/>
      <c r="H506" s="97"/>
      <c r="I506" s="97"/>
      <c r="J506" s="97"/>
      <c r="K506" s="97"/>
      <c r="L506" s="97"/>
      <c r="M506" s="97"/>
      <c r="N506" s="97"/>
      <c r="O506" s="97"/>
      <c r="P506" s="97"/>
      <c r="Q506" s="97"/>
      <c r="R506" s="97"/>
      <c r="S506" s="97"/>
      <c r="T506" s="97"/>
      <c r="U506" s="97"/>
    </row>
    <row r="507" spans="1:35">
      <c r="A507"/>
      <c r="B507" s="89"/>
      <c r="C507" s="97"/>
      <c r="D507" s="97"/>
      <c r="E507" s="97"/>
      <c r="F507" s="97"/>
      <c r="G507" s="97"/>
      <c r="H507" s="97"/>
      <c r="I507" s="97"/>
      <c r="J507" s="97"/>
      <c r="K507" s="97"/>
      <c r="L507" s="97"/>
      <c r="M507" s="97"/>
      <c r="N507" s="97"/>
      <c r="O507" s="97"/>
      <c r="P507" s="97"/>
      <c r="Q507" s="97"/>
      <c r="R507" s="97"/>
      <c r="S507" s="97"/>
      <c r="T507" s="97"/>
      <c r="U507" s="97"/>
    </row>
    <row r="508" spans="1:35">
      <c r="A508"/>
      <c r="B508" s="89"/>
      <c r="C508" s="97"/>
      <c r="D508" s="97"/>
      <c r="E508" s="97"/>
      <c r="F508" s="97"/>
      <c r="G508" s="97"/>
      <c r="H508" s="97"/>
      <c r="I508" s="97"/>
      <c r="J508" s="97"/>
      <c r="K508" s="97"/>
      <c r="L508" s="97"/>
      <c r="M508" s="97"/>
      <c r="N508" s="97"/>
      <c r="O508" s="97"/>
      <c r="P508" s="97"/>
      <c r="Q508" s="97"/>
      <c r="R508" s="97"/>
      <c r="S508" s="97"/>
      <c r="T508" s="97"/>
      <c r="U508" s="97"/>
    </row>
    <row r="509" spans="1:35">
      <c r="A509"/>
      <c r="B509" s="89"/>
      <c r="C509" s="97"/>
      <c r="D509" s="97"/>
      <c r="E509" s="97"/>
      <c r="F509" s="97"/>
      <c r="G509" s="97"/>
      <c r="H509" s="97"/>
      <c r="I509" s="97"/>
      <c r="J509" s="97"/>
      <c r="K509" s="97"/>
      <c r="L509" s="97"/>
      <c r="M509" s="97"/>
      <c r="N509" s="97"/>
      <c r="O509" s="97"/>
      <c r="P509" s="97"/>
      <c r="Q509" s="97"/>
      <c r="R509" s="97"/>
      <c r="S509" s="97"/>
      <c r="T509" s="97"/>
      <c r="U509" s="97"/>
    </row>
    <row r="510" spans="1:35">
      <c r="A510"/>
      <c r="B510" s="89"/>
      <c r="C510" s="97"/>
      <c r="D510" s="97"/>
      <c r="E510" s="97"/>
      <c r="F510" s="97"/>
      <c r="G510" s="97"/>
      <c r="H510" s="97"/>
      <c r="I510" s="97"/>
      <c r="J510" s="97"/>
      <c r="K510" s="97"/>
      <c r="L510" s="97"/>
      <c r="M510" s="97"/>
      <c r="N510" s="97"/>
      <c r="O510" s="97"/>
      <c r="P510" s="97"/>
      <c r="Q510" s="97"/>
      <c r="R510" s="97"/>
      <c r="S510" s="97"/>
      <c r="T510" s="97"/>
      <c r="U510" s="97"/>
    </row>
    <row r="511" spans="1:35">
      <c r="A511"/>
      <c r="B511" s="89"/>
      <c r="C511" s="97"/>
      <c r="D511" s="97"/>
      <c r="E511" s="97"/>
      <c r="F511" s="97"/>
      <c r="G511" s="97"/>
      <c r="H511" s="97"/>
      <c r="I511" s="97"/>
      <c r="J511" s="97"/>
      <c r="K511" s="97"/>
      <c r="L511" s="97"/>
      <c r="M511" s="97"/>
      <c r="N511" s="97"/>
      <c r="O511" s="97"/>
      <c r="P511" s="97"/>
      <c r="Q511" s="97"/>
      <c r="R511" s="97"/>
      <c r="S511" s="97"/>
      <c r="T511" s="97"/>
      <c r="U511" s="97"/>
    </row>
    <row r="512" spans="1:35">
      <c r="A512"/>
      <c r="B512" s="89"/>
      <c r="C512" s="97"/>
      <c r="D512" s="97"/>
      <c r="E512" s="97"/>
      <c r="F512" s="97"/>
      <c r="G512" s="97"/>
      <c r="H512" s="97"/>
      <c r="I512" s="97"/>
      <c r="J512" s="97"/>
      <c r="K512" s="97"/>
      <c r="L512" s="97"/>
      <c r="M512" s="97"/>
      <c r="N512" s="97"/>
      <c r="O512" s="97"/>
      <c r="P512" s="97"/>
      <c r="Q512" s="97"/>
      <c r="R512" s="97"/>
      <c r="S512" s="97"/>
      <c r="T512" s="97"/>
      <c r="U512" s="97"/>
    </row>
    <row r="513" spans="1:21">
      <c r="A513"/>
      <c r="B513" s="89"/>
      <c r="C513" s="97"/>
      <c r="D513" s="97"/>
      <c r="E513" s="97"/>
      <c r="F513" s="97"/>
      <c r="G513" s="97"/>
      <c r="H513" s="97"/>
      <c r="I513" s="97"/>
      <c r="J513" s="97"/>
      <c r="K513" s="97"/>
      <c r="L513" s="97"/>
      <c r="M513" s="97"/>
      <c r="N513" s="97"/>
      <c r="O513" s="97"/>
      <c r="P513" s="97"/>
      <c r="Q513" s="97"/>
      <c r="R513" s="97"/>
      <c r="S513" s="97"/>
      <c r="T513" s="97"/>
      <c r="U513" s="97"/>
    </row>
    <row r="514" spans="1:21">
      <c r="A514"/>
      <c r="B514" s="89"/>
      <c r="C514" s="97"/>
      <c r="D514" s="97"/>
      <c r="E514" s="97"/>
      <c r="F514" s="97"/>
      <c r="G514" s="97"/>
      <c r="H514" s="97"/>
      <c r="I514" s="97"/>
      <c r="J514" s="97"/>
      <c r="K514" s="97"/>
      <c r="L514" s="97"/>
      <c r="M514" s="97"/>
      <c r="N514" s="97"/>
      <c r="O514" s="97"/>
      <c r="P514" s="97"/>
      <c r="Q514" s="97"/>
      <c r="R514" s="97"/>
      <c r="S514" s="97"/>
      <c r="T514" s="97"/>
      <c r="U514" s="97"/>
    </row>
    <row r="515" spans="1:21">
      <c r="A515"/>
      <c r="B515" s="89"/>
      <c r="C515" s="97"/>
      <c r="D515" s="97"/>
      <c r="E515" s="97"/>
      <c r="F515" s="97"/>
      <c r="G515" s="97"/>
      <c r="H515" s="97"/>
      <c r="I515" s="97"/>
      <c r="J515" s="97"/>
      <c r="K515" s="97"/>
      <c r="L515" s="97"/>
      <c r="M515" s="97"/>
      <c r="N515" s="97"/>
      <c r="O515" s="97"/>
      <c r="P515" s="97"/>
      <c r="Q515" s="97"/>
      <c r="R515" s="97"/>
      <c r="S515" s="97"/>
      <c r="T515" s="97"/>
      <c r="U515" s="97"/>
    </row>
    <row r="516" spans="1:21">
      <c r="A516"/>
      <c r="B516" s="89"/>
      <c r="C516" s="97"/>
      <c r="D516" s="97"/>
      <c r="E516" s="97"/>
      <c r="F516" s="97"/>
      <c r="G516" s="97"/>
      <c r="H516" s="97"/>
      <c r="I516" s="97"/>
      <c r="J516" s="97"/>
      <c r="K516" s="97"/>
      <c r="L516" s="97"/>
      <c r="M516" s="97"/>
      <c r="N516" s="97"/>
      <c r="O516" s="97"/>
      <c r="P516" s="97"/>
      <c r="Q516" s="97"/>
      <c r="R516" s="97"/>
      <c r="S516" s="97"/>
      <c r="T516" s="97"/>
      <c r="U516" s="97"/>
    </row>
    <row r="517" spans="1:21">
      <c r="A517"/>
      <c r="B517" s="89"/>
      <c r="C517" s="97"/>
      <c r="D517" s="97"/>
      <c r="E517" s="97"/>
      <c r="F517" s="97"/>
      <c r="G517" s="97"/>
      <c r="H517" s="97"/>
      <c r="I517" s="97"/>
      <c r="J517" s="97"/>
      <c r="K517" s="97"/>
      <c r="L517" s="97"/>
      <c r="M517" s="97"/>
      <c r="N517" s="97"/>
      <c r="O517" s="97"/>
      <c r="P517" s="97"/>
      <c r="Q517" s="97"/>
      <c r="R517" s="97"/>
      <c r="S517" s="97"/>
      <c r="T517" s="97"/>
      <c r="U517" s="97"/>
    </row>
    <row r="518" spans="1:21">
      <c r="A518"/>
      <c r="B518" s="89"/>
      <c r="C518" s="97"/>
      <c r="D518" s="97"/>
      <c r="E518" s="97"/>
      <c r="F518" s="97"/>
      <c r="G518" s="97"/>
      <c r="H518" s="97"/>
      <c r="I518" s="97"/>
      <c r="J518" s="97"/>
      <c r="K518" s="97"/>
      <c r="L518" s="97"/>
      <c r="M518" s="97"/>
      <c r="N518" s="97"/>
      <c r="O518" s="97"/>
      <c r="P518" s="97"/>
      <c r="Q518" s="97"/>
      <c r="R518" s="97"/>
      <c r="S518" s="97"/>
      <c r="T518" s="97"/>
      <c r="U518" s="97"/>
    </row>
    <row r="519" spans="1:21">
      <c r="A519"/>
      <c r="B519" s="89"/>
      <c r="C519" s="97"/>
      <c r="D519" s="97"/>
      <c r="E519" s="97"/>
      <c r="F519" s="97"/>
      <c r="G519" s="97"/>
      <c r="H519" s="97"/>
      <c r="I519" s="97"/>
      <c r="J519" s="97"/>
      <c r="K519" s="97"/>
      <c r="L519" s="97"/>
      <c r="M519" s="97"/>
      <c r="N519" s="97"/>
      <c r="O519" s="97"/>
      <c r="P519" s="97"/>
      <c r="Q519" s="97"/>
      <c r="R519" s="97"/>
      <c r="S519" s="97"/>
      <c r="T519" s="97"/>
      <c r="U519" s="97"/>
    </row>
    <row r="520" spans="1:21">
      <c r="A520"/>
      <c r="B520" s="89"/>
      <c r="C520" s="97"/>
      <c r="D520" s="97"/>
      <c r="E520" s="97"/>
      <c r="F520" s="97"/>
      <c r="G520" s="97"/>
      <c r="H520" s="97"/>
      <c r="I520" s="97"/>
      <c r="J520" s="97"/>
      <c r="K520" s="97"/>
      <c r="L520" s="97"/>
      <c r="M520" s="97"/>
      <c r="N520" s="97"/>
      <c r="O520" s="97"/>
      <c r="P520" s="97"/>
      <c r="Q520" s="97"/>
      <c r="R520" s="97"/>
      <c r="S520" s="97"/>
      <c r="T520" s="97"/>
      <c r="U520" s="97"/>
    </row>
    <row r="521" spans="1:21">
      <c r="A521"/>
      <c r="B521" s="89"/>
      <c r="C521" s="97"/>
      <c r="D521" s="97"/>
      <c r="E521" s="97"/>
      <c r="F521" s="97"/>
      <c r="G521" s="97"/>
      <c r="H521" s="97"/>
      <c r="I521" s="97"/>
      <c r="J521" s="97"/>
      <c r="K521" s="97"/>
      <c r="L521" s="97"/>
      <c r="M521" s="97"/>
      <c r="N521" s="97"/>
      <c r="O521" s="97"/>
      <c r="P521" s="97"/>
      <c r="Q521" s="97"/>
      <c r="R521" s="97"/>
      <c r="S521" s="97"/>
      <c r="T521" s="97"/>
      <c r="U521" s="97"/>
    </row>
    <row r="522" spans="1:21">
      <c r="A522"/>
      <c r="B522" s="89"/>
      <c r="C522" s="97"/>
      <c r="D522" s="97"/>
      <c r="E522" s="97"/>
      <c r="F522" s="97"/>
      <c r="G522" s="97"/>
      <c r="H522" s="97"/>
      <c r="I522" s="97"/>
      <c r="J522" s="97"/>
      <c r="K522" s="97"/>
      <c r="L522" s="97"/>
      <c r="M522" s="97"/>
      <c r="N522" s="97"/>
      <c r="O522" s="97"/>
      <c r="P522" s="97"/>
      <c r="Q522" s="97"/>
      <c r="R522" s="97"/>
      <c r="S522" s="97"/>
      <c r="T522" s="97"/>
      <c r="U522" s="97"/>
    </row>
    <row r="523" spans="1:21">
      <c r="A523"/>
      <c r="B523" s="89"/>
      <c r="C523" s="97"/>
      <c r="D523" s="97"/>
      <c r="E523" s="97"/>
      <c r="F523" s="97"/>
      <c r="G523" s="97"/>
      <c r="H523" s="97"/>
      <c r="I523" s="97"/>
      <c r="J523" s="97"/>
      <c r="K523" s="97"/>
      <c r="L523" s="97"/>
      <c r="M523" s="97"/>
      <c r="N523" s="97"/>
      <c r="O523" s="97"/>
      <c r="P523" s="97"/>
      <c r="Q523" s="97"/>
      <c r="R523" s="97"/>
      <c r="S523" s="97"/>
      <c r="T523" s="97"/>
      <c r="U523" s="97"/>
    </row>
    <row r="524" spans="1:21">
      <c r="A524"/>
      <c r="B524" s="89"/>
      <c r="C524" s="97"/>
      <c r="D524" s="97"/>
      <c r="E524" s="97"/>
      <c r="F524" s="97"/>
      <c r="G524" s="97"/>
      <c r="H524" s="97"/>
      <c r="I524" s="97"/>
      <c r="J524" s="97"/>
      <c r="K524" s="97"/>
      <c r="L524" s="97"/>
      <c r="M524" s="97"/>
      <c r="N524" s="97"/>
      <c r="O524" s="97"/>
      <c r="P524" s="97"/>
      <c r="Q524" s="97"/>
      <c r="R524" s="97"/>
      <c r="S524" s="97"/>
      <c r="T524" s="97"/>
      <c r="U524" s="97"/>
    </row>
    <row r="525" spans="1:21">
      <c r="A525"/>
      <c r="B525" s="89"/>
      <c r="C525" s="97"/>
      <c r="D525" s="97"/>
      <c r="E525" s="97"/>
      <c r="F525" s="97"/>
      <c r="G525" s="97"/>
      <c r="H525" s="97"/>
      <c r="I525" s="97"/>
      <c r="J525" s="97"/>
      <c r="K525" s="97"/>
      <c r="L525" s="97"/>
      <c r="M525" s="97"/>
      <c r="N525" s="97"/>
      <c r="O525" s="97"/>
      <c r="P525" s="97"/>
      <c r="Q525" s="97"/>
      <c r="R525" s="97"/>
      <c r="S525" s="97"/>
      <c r="T525" s="97"/>
      <c r="U525" s="97"/>
    </row>
    <row r="526" spans="1:21">
      <c r="A526"/>
      <c r="B526" s="89"/>
      <c r="C526" s="97"/>
      <c r="D526" s="97"/>
      <c r="E526" s="97"/>
      <c r="F526" s="97"/>
      <c r="G526" s="97"/>
      <c r="H526" s="97"/>
      <c r="I526" s="97"/>
      <c r="J526" s="97"/>
      <c r="K526" s="97"/>
      <c r="L526" s="97"/>
      <c r="M526" s="97"/>
      <c r="N526" s="97"/>
      <c r="O526" s="97"/>
      <c r="P526" s="97"/>
      <c r="Q526" s="97"/>
      <c r="R526" s="97"/>
      <c r="S526" s="97"/>
      <c r="T526" s="97"/>
      <c r="U526" s="97"/>
    </row>
    <row r="527" spans="1:21">
      <c r="A527"/>
      <c r="B527" s="89"/>
      <c r="C527" s="97"/>
      <c r="D527" s="97"/>
      <c r="E527" s="97"/>
      <c r="F527" s="97"/>
      <c r="G527" s="97"/>
      <c r="H527" s="97"/>
      <c r="I527" s="97"/>
      <c r="J527" s="97"/>
      <c r="K527" s="97"/>
      <c r="L527" s="97"/>
      <c r="M527" s="97"/>
      <c r="N527" s="97"/>
      <c r="O527" s="97"/>
      <c r="P527" s="97"/>
      <c r="Q527" s="97"/>
      <c r="R527" s="97"/>
      <c r="S527" s="97"/>
      <c r="T527" s="97"/>
      <c r="U527" s="97"/>
    </row>
    <row r="528" spans="1:21">
      <c r="A528"/>
      <c r="B528" s="89"/>
      <c r="C528" s="97"/>
      <c r="D528" s="97"/>
      <c r="E528" s="97"/>
      <c r="F528" s="97"/>
      <c r="G528" s="97"/>
      <c r="H528" s="97"/>
      <c r="I528" s="97"/>
      <c r="J528" s="97"/>
      <c r="K528" s="97"/>
      <c r="L528" s="97"/>
      <c r="M528" s="97"/>
      <c r="N528" s="97"/>
      <c r="O528" s="97"/>
      <c r="P528" s="97"/>
      <c r="Q528" s="97"/>
      <c r="R528" s="97"/>
      <c r="S528" s="97"/>
      <c r="T528" s="97"/>
      <c r="U528" s="97"/>
    </row>
    <row r="529" spans="1:21">
      <c r="A529"/>
      <c r="B529" s="89"/>
      <c r="C529" s="97"/>
      <c r="D529" s="97"/>
      <c r="E529" s="97"/>
      <c r="F529" s="97"/>
      <c r="G529" s="97"/>
      <c r="H529" s="97"/>
      <c r="I529" s="97"/>
      <c r="J529" s="97"/>
      <c r="K529" s="97"/>
      <c r="L529" s="97"/>
      <c r="M529" s="97"/>
      <c r="N529" s="97"/>
      <c r="O529" s="97"/>
      <c r="P529" s="97"/>
      <c r="Q529" s="97"/>
      <c r="R529" s="97"/>
      <c r="S529" s="97"/>
      <c r="T529" s="97"/>
      <c r="U529" s="97"/>
    </row>
    <row r="530" spans="1:21">
      <c r="A530"/>
      <c r="B530" s="89"/>
      <c r="C530" s="97"/>
      <c r="D530" s="97"/>
      <c r="E530" s="97"/>
      <c r="F530" s="97"/>
      <c r="G530" s="97"/>
      <c r="H530" s="97"/>
      <c r="I530" s="97"/>
      <c r="J530" s="97"/>
      <c r="K530" s="97"/>
      <c r="L530" s="97"/>
      <c r="M530" s="97"/>
      <c r="N530" s="97"/>
      <c r="O530" s="97"/>
      <c r="P530" s="97"/>
      <c r="Q530" s="97"/>
      <c r="R530" s="97"/>
      <c r="S530" s="97"/>
      <c r="T530" s="97"/>
      <c r="U530" s="97"/>
    </row>
    <row r="531" spans="1:21">
      <c r="A531"/>
      <c r="B531" s="89"/>
      <c r="C531" s="97"/>
      <c r="D531" s="97"/>
      <c r="E531" s="97"/>
      <c r="F531" s="97"/>
      <c r="G531" s="97"/>
      <c r="H531" s="97"/>
      <c r="I531" s="97"/>
      <c r="J531" s="97"/>
      <c r="K531" s="97"/>
      <c r="L531" s="97"/>
      <c r="M531" s="97"/>
      <c r="N531" s="97"/>
      <c r="O531" s="97"/>
      <c r="P531" s="97"/>
      <c r="Q531" s="97"/>
      <c r="R531" s="97"/>
      <c r="S531" s="97"/>
      <c r="T531" s="97"/>
      <c r="U531" s="97"/>
    </row>
    <row r="532" spans="1:21">
      <c r="A532"/>
      <c r="B532" s="89"/>
      <c r="C532" s="97"/>
      <c r="D532" s="97"/>
      <c r="E532" s="97"/>
      <c r="F532" s="97"/>
      <c r="G532" s="97"/>
      <c r="H532" s="97"/>
      <c r="I532" s="97"/>
      <c r="J532" s="97"/>
      <c r="K532" s="97"/>
      <c r="L532" s="97"/>
      <c r="M532" s="97"/>
      <c r="N532" s="97"/>
      <c r="O532" s="97"/>
      <c r="P532" s="97"/>
      <c r="Q532" s="97"/>
      <c r="R532" s="97"/>
      <c r="S532" s="97"/>
      <c r="T532" s="97"/>
      <c r="U532" s="97"/>
    </row>
    <row r="533" spans="1:21">
      <c r="A533"/>
      <c r="B533" s="89"/>
      <c r="C533" s="97"/>
      <c r="D533" s="97"/>
      <c r="E533" s="97"/>
      <c r="F533" s="97"/>
      <c r="G533" s="97"/>
      <c r="H533" s="97"/>
      <c r="I533" s="97"/>
      <c r="J533" s="97"/>
      <c r="K533" s="97"/>
      <c r="L533" s="97"/>
      <c r="M533" s="97"/>
      <c r="N533" s="97"/>
      <c r="O533" s="97"/>
      <c r="P533" s="97"/>
      <c r="Q533" s="97"/>
      <c r="R533" s="97"/>
      <c r="S533" s="97"/>
      <c r="T533" s="97"/>
      <c r="U533" s="97"/>
    </row>
    <row r="534" spans="1:21">
      <c r="A534"/>
      <c r="B534" s="89"/>
      <c r="C534" s="97"/>
      <c r="D534" s="97"/>
      <c r="E534" s="97"/>
      <c r="F534" s="97"/>
      <c r="G534" s="97"/>
      <c r="H534" s="97"/>
      <c r="I534" s="97"/>
      <c r="J534" s="97"/>
      <c r="K534" s="97"/>
      <c r="L534" s="97"/>
      <c r="M534" s="97"/>
      <c r="N534" s="97"/>
      <c r="O534" s="97"/>
      <c r="P534" s="97"/>
      <c r="Q534" s="97"/>
      <c r="R534" s="97"/>
      <c r="S534" s="97"/>
      <c r="T534" s="97"/>
      <c r="U534" s="97"/>
    </row>
    <row r="535" spans="1:21">
      <c r="A535"/>
      <c r="B535" s="89"/>
      <c r="C535" s="97"/>
      <c r="D535" s="97"/>
      <c r="E535" s="97"/>
      <c r="F535" s="97"/>
      <c r="G535" s="97"/>
      <c r="H535" s="97"/>
      <c r="I535" s="97"/>
      <c r="J535" s="97"/>
      <c r="K535" s="97"/>
      <c r="L535" s="97"/>
      <c r="M535" s="97"/>
      <c r="N535" s="97"/>
      <c r="O535" s="97"/>
      <c r="P535" s="97"/>
      <c r="Q535" s="97"/>
      <c r="R535" s="97"/>
      <c r="S535" s="97"/>
      <c r="T535" s="97"/>
      <c r="U535" s="97"/>
    </row>
    <row r="536" spans="1:21">
      <c r="A536"/>
      <c r="B536" s="89"/>
      <c r="C536" s="97"/>
      <c r="D536" s="97"/>
      <c r="E536" s="97"/>
      <c r="F536" s="97"/>
      <c r="G536" s="97"/>
      <c r="H536" s="97"/>
      <c r="I536" s="97"/>
      <c r="J536" s="97"/>
      <c r="K536" s="97"/>
      <c r="L536" s="97"/>
      <c r="M536" s="97"/>
      <c r="N536" s="97"/>
      <c r="O536" s="97"/>
      <c r="P536" s="97"/>
      <c r="Q536" s="97"/>
      <c r="R536" s="97"/>
      <c r="S536" s="97"/>
      <c r="T536" s="97"/>
      <c r="U536" s="97"/>
    </row>
    <row r="537" spans="1:21">
      <c r="A537"/>
      <c r="B537" s="89"/>
      <c r="C537" s="97"/>
      <c r="D537" s="97"/>
      <c r="E537" s="97"/>
      <c r="F537" s="97"/>
      <c r="G537" s="97"/>
      <c r="H537" s="97"/>
      <c r="I537" s="97"/>
      <c r="J537" s="97"/>
      <c r="K537" s="97"/>
      <c r="L537" s="97"/>
      <c r="M537" s="97"/>
      <c r="N537" s="97"/>
      <c r="O537" s="97"/>
      <c r="P537" s="97"/>
      <c r="Q537" s="97"/>
      <c r="R537" s="97"/>
      <c r="S537" s="97"/>
      <c r="T537" s="97"/>
      <c r="U537" s="97"/>
    </row>
    <row r="538" spans="1:21">
      <c r="A538"/>
      <c r="B538" s="89"/>
      <c r="C538" s="97"/>
      <c r="D538" s="97"/>
      <c r="E538" s="97"/>
      <c r="F538" s="97"/>
      <c r="G538" s="97"/>
      <c r="H538" s="97"/>
      <c r="I538" s="97"/>
      <c r="J538" s="97"/>
      <c r="K538" s="97"/>
      <c r="L538" s="97"/>
      <c r="M538" s="97"/>
      <c r="N538" s="97"/>
      <c r="O538" s="97"/>
      <c r="P538" s="97"/>
      <c r="Q538" s="97"/>
      <c r="R538" s="97"/>
      <c r="S538" s="97"/>
      <c r="T538" s="97"/>
      <c r="U538" s="97"/>
    </row>
    <row r="539" spans="1:21">
      <c r="A539"/>
      <c r="B539" s="89"/>
      <c r="C539" s="97"/>
      <c r="D539" s="97"/>
      <c r="E539" s="97"/>
      <c r="F539" s="97"/>
      <c r="G539" s="97"/>
      <c r="H539" s="97"/>
      <c r="I539" s="97"/>
      <c r="J539" s="97"/>
      <c r="K539" s="97"/>
      <c r="L539" s="97"/>
      <c r="M539" s="97"/>
      <c r="N539" s="97"/>
      <c r="O539" s="97"/>
      <c r="P539" s="97"/>
      <c r="Q539" s="97"/>
      <c r="R539" s="97"/>
      <c r="S539" s="97"/>
      <c r="T539" s="97"/>
      <c r="U539" s="97"/>
    </row>
    <row r="540" spans="1:21">
      <c r="A540"/>
      <c r="B540" s="89"/>
      <c r="C540" s="97"/>
      <c r="D540" s="97"/>
      <c r="E540" s="97"/>
      <c r="F540" s="97"/>
      <c r="G540" s="97"/>
      <c r="H540" s="97"/>
      <c r="I540" s="97"/>
      <c r="J540" s="97"/>
      <c r="K540" s="97"/>
      <c r="L540" s="97"/>
      <c r="M540" s="97"/>
      <c r="N540" s="97"/>
      <c r="O540" s="97"/>
      <c r="P540" s="97"/>
      <c r="Q540" s="97"/>
      <c r="R540" s="97"/>
      <c r="S540" s="97"/>
      <c r="T540" s="97"/>
      <c r="U540" s="97"/>
    </row>
    <row r="541" spans="1:21">
      <c r="A541"/>
      <c r="B541" s="89"/>
      <c r="C541" s="97"/>
      <c r="D541" s="97"/>
      <c r="E541" s="97"/>
      <c r="F541" s="97"/>
      <c r="G541" s="97"/>
      <c r="H541" s="97"/>
      <c r="I541" s="97"/>
      <c r="J541" s="97"/>
      <c r="K541" s="97"/>
      <c r="L541" s="97"/>
      <c r="M541" s="97"/>
      <c r="N541" s="97"/>
      <c r="O541" s="97"/>
      <c r="P541" s="97"/>
      <c r="Q541" s="97"/>
      <c r="R541" s="97"/>
      <c r="S541" s="97"/>
      <c r="T541" s="97"/>
      <c r="U541" s="97"/>
    </row>
    <row r="542" spans="1:21">
      <c r="A542"/>
      <c r="B542" s="89"/>
      <c r="C542" s="97"/>
      <c r="D542" s="97"/>
      <c r="E542" s="97"/>
      <c r="F542" s="97"/>
      <c r="G542" s="97"/>
      <c r="H542" s="97"/>
      <c r="I542" s="97"/>
      <c r="J542" s="97"/>
      <c r="K542" s="97"/>
      <c r="L542" s="97"/>
      <c r="M542" s="97"/>
      <c r="N542" s="97"/>
      <c r="O542" s="97"/>
      <c r="P542" s="97"/>
      <c r="Q542" s="97"/>
      <c r="R542" s="97"/>
      <c r="S542" s="97"/>
      <c r="T542" s="97"/>
      <c r="U542" s="97"/>
    </row>
    <row r="543" spans="1:21">
      <c r="A543"/>
      <c r="B543" s="89"/>
      <c r="C543" s="97"/>
      <c r="D543" s="97"/>
      <c r="E543" s="97"/>
      <c r="F543" s="97"/>
      <c r="G543" s="97"/>
      <c r="H543" s="97"/>
      <c r="I543" s="97"/>
      <c r="J543" s="97"/>
      <c r="K543" s="97"/>
      <c r="L543" s="97"/>
      <c r="M543" s="97"/>
      <c r="N543" s="97"/>
      <c r="O543" s="97"/>
      <c r="P543" s="97"/>
      <c r="Q543" s="97"/>
      <c r="R543" s="97"/>
      <c r="S543" s="97"/>
      <c r="T543" s="97"/>
      <c r="U543" s="97"/>
    </row>
    <row r="544" spans="1:21">
      <c r="A544"/>
      <c r="B544" s="89"/>
      <c r="C544" s="97"/>
      <c r="D544" s="97"/>
      <c r="E544" s="97"/>
      <c r="F544" s="97"/>
      <c r="G544" s="97"/>
      <c r="H544" s="97"/>
      <c r="I544" s="97"/>
      <c r="J544" s="97"/>
      <c r="K544" s="97"/>
      <c r="L544" s="97"/>
      <c r="M544" s="97"/>
      <c r="N544" s="97"/>
      <c r="O544" s="97"/>
      <c r="P544" s="97"/>
      <c r="Q544" s="97"/>
      <c r="R544" s="97"/>
      <c r="S544" s="97"/>
      <c r="T544" s="97"/>
      <c r="U544" s="97"/>
    </row>
    <row r="545" spans="1:21">
      <c r="A545"/>
      <c r="B545" s="89"/>
      <c r="C545" s="97"/>
      <c r="D545" s="97"/>
      <c r="E545" s="97"/>
      <c r="F545" s="97"/>
      <c r="G545" s="97"/>
      <c r="H545" s="97"/>
      <c r="I545" s="97"/>
      <c r="J545" s="97"/>
      <c r="K545" s="97"/>
      <c r="L545" s="97"/>
      <c r="M545" s="97"/>
      <c r="N545" s="97"/>
      <c r="O545" s="97"/>
      <c r="P545" s="97"/>
      <c r="Q545" s="97"/>
      <c r="R545" s="97"/>
      <c r="S545" s="97"/>
      <c r="T545" s="97"/>
      <c r="U545" s="97"/>
    </row>
    <row r="546" spans="1:21">
      <c r="A546"/>
      <c r="B546" s="89"/>
      <c r="C546" s="97"/>
      <c r="D546" s="97"/>
      <c r="E546" s="97"/>
      <c r="F546" s="97"/>
      <c r="G546" s="97"/>
      <c r="H546" s="97"/>
      <c r="I546" s="97"/>
      <c r="J546" s="97"/>
      <c r="K546" s="97"/>
      <c r="L546" s="97"/>
      <c r="M546" s="97"/>
      <c r="N546" s="97"/>
      <c r="O546" s="97"/>
      <c r="P546" s="97"/>
      <c r="Q546" s="97"/>
      <c r="R546" s="97"/>
      <c r="S546" s="97"/>
      <c r="T546" s="97"/>
      <c r="U546" s="97"/>
    </row>
    <row r="547" spans="1:21">
      <c r="A547"/>
      <c r="B547" s="89"/>
      <c r="C547" s="97"/>
      <c r="D547" s="97"/>
      <c r="E547" s="97"/>
      <c r="F547" s="97"/>
      <c r="G547" s="97"/>
      <c r="H547" s="97"/>
      <c r="I547" s="97"/>
      <c r="J547" s="97"/>
      <c r="K547" s="97"/>
      <c r="L547" s="97"/>
      <c r="M547" s="97"/>
      <c r="N547" s="97"/>
      <c r="O547" s="97"/>
      <c r="P547" s="97"/>
      <c r="Q547" s="97"/>
      <c r="R547" s="97"/>
      <c r="S547" s="97"/>
      <c r="T547" s="97"/>
      <c r="U547" s="97"/>
    </row>
    <row r="548" spans="1:21">
      <c r="A548"/>
      <c r="B548" s="89"/>
      <c r="C548" s="97"/>
      <c r="D548" s="97"/>
      <c r="E548" s="97"/>
      <c r="F548" s="97"/>
      <c r="G548" s="97"/>
      <c r="H548" s="97"/>
      <c r="I548" s="97"/>
      <c r="J548" s="97"/>
      <c r="K548" s="97"/>
      <c r="L548" s="97"/>
      <c r="M548" s="97"/>
      <c r="N548" s="97"/>
      <c r="O548" s="97"/>
      <c r="P548" s="97"/>
      <c r="Q548" s="97"/>
      <c r="R548" s="97"/>
      <c r="S548" s="97"/>
      <c r="T548" s="97"/>
      <c r="U548" s="97"/>
    </row>
    <row r="549" spans="1:21">
      <c r="A549"/>
      <c r="B549" s="89"/>
      <c r="C549" s="97"/>
      <c r="D549" s="97"/>
      <c r="E549" s="97"/>
      <c r="F549" s="97"/>
      <c r="G549" s="97"/>
      <c r="H549" s="97"/>
      <c r="I549" s="97"/>
      <c r="J549" s="97"/>
      <c r="K549" s="97"/>
      <c r="L549" s="97"/>
      <c r="M549" s="97"/>
      <c r="N549" s="97"/>
      <c r="O549" s="97"/>
      <c r="P549" s="97"/>
      <c r="Q549" s="97"/>
      <c r="R549" s="97"/>
      <c r="S549" s="97"/>
      <c r="T549" s="97"/>
      <c r="U549" s="97"/>
    </row>
    <row r="550" spans="1:21">
      <c r="A550"/>
      <c r="B550" s="89"/>
      <c r="C550" s="97"/>
      <c r="D550" s="97"/>
      <c r="E550" s="97"/>
      <c r="F550" s="97"/>
      <c r="G550" s="97"/>
      <c r="H550" s="97"/>
      <c r="I550" s="97"/>
      <c r="J550" s="97"/>
      <c r="K550" s="97"/>
      <c r="L550" s="97"/>
      <c r="M550" s="97"/>
      <c r="N550" s="97"/>
      <c r="O550" s="97"/>
      <c r="P550" s="97"/>
      <c r="Q550" s="97"/>
      <c r="R550" s="97"/>
      <c r="S550" s="97"/>
      <c r="T550" s="97"/>
      <c r="U550" s="97"/>
    </row>
    <row r="551" spans="1:21">
      <c r="A551"/>
      <c r="B551" s="89"/>
      <c r="C551" s="97"/>
      <c r="D551" s="97"/>
      <c r="E551" s="97"/>
      <c r="F551" s="97"/>
      <c r="G551" s="97"/>
      <c r="H551" s="97"/>
      <c r="I551" s="97"/>
      <c r="J551" s="97"/>
      <c r="K551" s="97"/>
      <c r="L551" s="97"/>
      <c r="M551" s="97"/>
      <c r="N551" s="97"/>
      <c r="O551" s="97"/>
      <c r="P551" s="97"/>
      <c r="Q551" s="97"/>
      <c r="R551" s="97"/>
      <c r="S551" s="97"/>
      <c r="T551" s="97"/>
      <c r="U551" s="97"/>
    </row>
    <row r="552" spans="1:21">
      <c r="A552"/>
      <c r="B552" s="89"/>
      <c r="C552" s="97"/>
      <c r="D552" s="97"/>
      <c r="E552" s="97"/>
      <c r="F552" s="97"/>
      <c r="G552" s="97"/>
      <c r="H552" s="97"/>
      <c r="I552" s="97"/>
      <c r="J552" s="97"/>
      <c r="K552" s="97"/>
      <c r="L552" s="97"/>
      <c r="M552" s="97"/>
      <c r="N552" s="97"/>
      <c r="O552" s="97"/>
      <c r="P552" s="97"/>
      <c r="Q552" s="97"/>
      <c r="R552" s="97"/>
      <c r="S552" s="97"/>
      <c r="T552" s="97"/>
      <c r="U552" s="97"/>
    </row>
    <row r="553" spans="1:21">
      <c r="A553"/>
      <c r="B553" s="89"/>
      <c r="C553" s="97"/>
      <c r="D553" s="97"/>
      <c r="E553" s="97"/>
      <c r="F553" s="97"/>
      <c r="G553" s="97"/>
      <c r="H553" s="97"/>
      <c r="I553" s="97"/>
      <c r="J553" s="97"/>
      <c r="K553" s="97"/>
      <c r="L553" s="97"/>
      <c r="M553" s="97"/>
      <c r="N553" s="97"/>
      <c r="O553" s="97"/>
      <c r="P553" s="97"/>
      <c r="Q553" s="97"/>
      <c r="R553" s="97"/>
      <c r="S553" s="97"/>
      <c r="T553" s="97"/>
      <c r="U553" s="97"/>
    </row>
    <row r="554" spans="1:21">
      <c r="A554"/>
      <c r="B554" s="89"/>
      <c r="C554" s="97"/>
      <c r="D554" s="97"/>
      <c r="E554" s="97"/>
      <c r="F554" s="97"/>
      <c r="G554" s="97"/>
      <c r="H554" s="97"/>
      <c r="I554" s="97"/>
      <c r="J554" s="97"/>
      <c r="K554" s="97"/>
      <c r="L554" s="97"/>
      <c r="M554" s="97"/>
      <c r="N554" s="97"/>
      <c r="O554" s="97"/>
      <c r="P554" s="97"/>
      <c r="Q554" s="97"/>
      <c r="R554" s="97"/>
      <c r="S554" s="97"/>
      <c r="T554" s="97"/>
      <c r="U554" s="97"/>
    </row>
    <row r="555" spans="1:21">
      <c r="A555"/>
      <c r="B555" s="89"/>
      <c r="C555" s="97"/>
      <c r="D555" s="97"/>
      <c r="E555" s="97"/>
      <c r="F555" s="97"/>
      <c r="G555" s="97"/>
      <c r="H555" s="97"/>
      <c r="I555" s="97"/>
      <c r="J555" s="97"/>
      <c r="K555" s="97"/>
      <c r="L555" s="97"/>
      <c r="M555" s="97"/>
      <c r="N555" s="97"/>
      <c r="O555" s="97"/>
      <c r="P555" s="97"/>
      <c r="Q555" s="97"/>
      <c r="R555" s="97"/>
      <c r="S555" s="97"/>
      <c r="T555" s="97"/>
      <c r="U555" s="97"/>
    </row>
    <row r="556" spans="1:21">
      <c r="A556"/>
      <c r="B556" s="89"/>
      <c r="C556" s="97"/>
      <c r="D556" s="97"/>
      <c r="E556" s="97"/>
      <c r="F556" s="97"/>
      <c r="G556" s="97"/>
      <c r="H556" s="97"/>
      <c r="I556" s="97"/>
      <c r="J556" s="97"/>
      <c r="K556" s="97"/>
      <c r="L556" s="97"/>
      <c r="M556" s="97"/>
      <c r="N556" s="97"/>
      <c r="O556" s="97"/>
      <c r="P556" s="97"/>
      <c r="Q556" s="97"/>
      <c r="R556" s="97"/>
      <c r="S556" s="97"/>
      <c r="T556" s="97"/>
      <c r="U556" s="97"/>
    </row>
    <row r="557" spans="1:21">
      <c r="A557"/>
      <c r="B557" s="89"/>
      <c r="C557" s="97"/>
      <c r="D557" s="97"/>
      <c r="E557" s="97"/>
      <c r="F557" s="97"/>
      <c r="G557" s="97"/>
      <c r="H557" s="97"/>
      <c r="I557" s="97"/>
      <c r="J557" s="97"/>
      <c r="K557" s="97"/>
      <c r="L557" s="97"/>
      <c r="M557" s="97"/>
      <c r="N557" s="97"/>
      <c r="O557" s="97"/>
      <c r="P557" s="97"/>
      <c r="Q557" s="97"/>
      <c r="R557" s="97"/>
      <c r="S557" s="97"/>
      <c r="T557" s="97"/>
      <c r="U557" s="97"/>
    </row>
    <row r="558" spans="1:21">
      <c r="A558"/>
      <c r="B558" s="89"/>
      <c r="C558" s="97"/>
      <c r="D558" s="97"/>
      <c r="E558" s="97"/>
      <c r="F558" s="97"/>
      <c r="G558" s="97"/>
      <c r="H558" s="97"/>
      <c r="I558" s="97"/>
      <c r="J558" s="97"/>
      <c r="K558" s="97"/>
      <c r="L558" s="97"/>
      <c r="M558" s="97"/>
      <c r="N558" s="97"/>
      <c r="O558" s="97"/>
      <c r="P558" s="97"/>
      <c r="Q558" s="97"/>
      <c r="R558" s="97"/>
      <c r="S558" s="97"/>
      <c r="T558" s="97"/>
      <c r="U558" s="97"/>
    </row>
    <row r="559" spans="1:21">
      <c r="A559"/>
      <c r="B559" s="89"/>
      <c r="C559" s="97"/>
      <c r="D559" s="97"/>
      <c r="E559" s="97"/>
      <c r="F559" s="97"/>
      <c r="G559" s="97"/>
      <c r="H559" s="97"/>
      <c r="I559" s="97"/>
      <c r="J559" s="97"/>
      <c r="K559" s="97"/>
      <c r="L559" s="97"/>
      <c r="M559" s="97"/>
      <c r="N559" s="97"/>
      <c r="O559" s="97"/>
      <c r="P559" s="97"/>
      <c r="Q559" s="97"/>
      <c r="R559" s="97"/>
      <c r="S559" s="97"/>
      <c r="T559" s="97"/>
      <c r="U559" s="97"/>
    </row>
    <row r="560" spans="1:21">
      <c r="A560"/>
      <c r="B560" s="89"/>
      <c r="C560" s="97"/>
      <c r="D560" s="97"/>
      <c r="E560" s="97"/>
      <c r="F560" s="97"/>
      <c r="G560" s="97"/>
      <c r="H560" s="97"/>
      <c r="I560" s="97"/>
      <c r="J560" s="97"/>
      <c r="K560" s="97"/>
      <c r="L560" s="97"/>
      <c r="M560" s="97"/>
      <c r="N560" s="97"/>
      <c r="O560" s="97"/>
      <c r="P560" s="97"/>
      <c r="Q560" s="97"/>
      <c r="R560" s="97"/>
      <c r="S560" s="97"/>
      <c r="T560" s="97"/>
      <c r="U560" s="97"/>
    </row>
    <row r="561" spans="1:21">
      <c r="A561"/>
      <c r="B561" s="89"/>
      <c r="C561" s="97"/>
      <c r="D561" s="97"/>
      <c r="E561" s="97"/>
      <c r="F561" s="97"/>
      <c r="G561" s="97"/>
      <c r="H561" s="97"/>
      <c r="I561" s="97"/>
      <c r="J561" s="97"/>
      <c r="K561" s="97"/>
      <c r="L561" s="97"/>
      <c r="M561" s="97"/>
      <c r="N561" s="97"/>
      <c r="O561" s="97"/>
      <c r="P561" s="97"/>
      <c r="Q561" s="97"/>
      <c r="R561" s="97"/>
      <c r="S561" s="97"/>
      <c r="T561" s="97"/>
      <c r="U561" s="97"/>
    </row>
    <row r="562" spans="1:21">
      <c r="A562"/>
      <c r="B562" s="89"/>
      <c r="C562" s="97"/>
      <c r="D562" s="97"/>
      <c r="E562" s="97"/>
      <c r="F562" s="97"/>
      <c r="G562" s="97"/>
      <c r="H562" s="97"/>
      <c r="I562" s="97"/>
      <c r="J562" s="97"/>
      <c r="K562" s="97"/>
      <c r="L562" s="97"/>
      <c r="M562" s="97"/>
      <c r="N562" s="97"/>
      <c r="O562" s="97"/>
      <c r="P562" s="97"/>
      <c r="Q562" s="97"/>
      <c r="R562" s="97"/>
      <c r="S562" s="97"/>
      <c r="T562" s="97"/>
      <c r="U562" s="97"/>
    </row>
    <row r="563" spans="1:21">
      <c r="A563"/>
      <c r="B563" s="89"/>
      <c r="C563" s="97"/>
      <c r="D563" s="97"/>
      <c r="E563" s="97"/>
      <c r="F563" s="97"/>
      <c r="G563" s="97"/>
      <c r="H563" s="97"/>
      <c r="I563" s="97"/>
      <c r="J563" s="97"/>
      <c r="K563" s="97"/>
      <c r="L563" s="97"/>
      <c r="M563" s="97"/>
      <c r="N563" s="97"/>
      <c r="O563" s="97"/>
      <c r="P563" s="97"/>
      <c r="Q563" s="97"/>
      <c r="R563" s="97"/>
      <c r="S563" s="97"/>
      <c r="T563" s="97"/>
      <c r="U563" s="97"/>
    </row>
    <row r="564" spans="1:21">
      <c r="A564"/>
      <c r="B564" s="89"/>
      <c r="C564" s="97"/>
      <c r="D564" s="97"/>
      <c r="E564" s="97"/>
      <c r="F564" s="97"/>
      <c r="G564" s="97"/>
      <c r="H564" s="97"/>
      <c r="I564" s="97"/>
      <c r="J564" s="97"/>
      <c r="K564" s="97"/>
      <c r="L564" s="97"/>
      <c r="M564" s="97"/>
      <c r="N564" s="97"/>
      <c r="O564" s="97"/>
      <c r="P564" s="97"/>
      <c r="Q564" s="97"/>
      <c r="R564" s="97"/>
      <c r="S564" s="97"/>
      <c r="T564" s="97"/>
      <c r="U564" s="97"/>
    </row>
    <row r="565" spans="1:21">
      <c r="A565"/>
      <c r="B565" s="89"/>
      <c r="C565" s="97"/>
      <c r="D565" s="97"/>
      <c r="E565" s="97"/>
      <c r="F565" s="97"/>
      <c r="G565" s="97"/>
      <c r="H565" s="97"/>
      <c r="I565" s="97"/>
      <c r="J565" s="97"/>
      <c r="K565" s="97"/>
      <c r="L565" s="97"/>
      <c r="M565" s="97"/>
      <c r="N565" s="97"/>
      <c r="O565" s="97"/>
      <c r="P565" s="97"/>
      <c r="Q565" s="97"/>
      <c r="R565" s="97"/>
      <c r="S565" s="97"/>
      <c r="T565" s="97"/>
      <c r="U565" s="97"/>
    </row>
    <row r="566" spans="1:21">
      <c r="A566"/>
      <c r="B566" s="89"/>
      <c r="C566" s="97"/>
      <c r="D566" s="97"/>
      <c r="E566" s="97"/>
      <c r="F566" s="97"/>
      <c r="G566" s="97"/>
      <c r="H566" s="97"/>
      <c r="I566" s="97"/>
      <c r="J566" s="97"/>
      <c r="K566" s="97"/>
      <c r="L566" s="97"/>
      <c r="M566" s="97"/>
      <c r="N566" s="97"/>
      <c r="O566" s="97"/>
      <c r="P566" s="97"/>
      <c r="Q566" s="97"/>
      <c r="R566" s="97"/>
      <c r="S566" s="97"/>
      <c r="T566" s="97"/>
      <c r="U566" s="97"/>
    </row>
    <row r="567" spans="1:21">
      <c r="A567"/>
      <c r="B567" s="89"/>
      <c r="C567" s="97"/>
      <c r="D567" s="97"/>
      <c r="E567" s="97"/>
      <c r="F567" s="97"/>
      <c r="G567" s="97"/>
      <c r="H567" s="97"/>
      <c r="I567" s="97"/>
      <c r="J567" s="97"/>
      <c r="K567" s="97"/>
      <c r="L567" s="97"/>
      <c r="M567" s="97"/>
      <c r="N567" s="97"/>
      <c r="O567" s="97"/>
      <c r="P567" s="97"/>
      <c r="Q567" s="97"/>
      <c r="R567" s="97"/>
      <c r="S567" s="97"/>
      <c r="T567" s="97"/>
      <c r="U567" s="97"/>
    </row>
    <row r="568" spans="1:21">
      <c r="A568"/>
      <c r="B568" s="89"/>
      <c r="C568" s="97"/>
      <c r="D568" s="97"/>
      <c r="E568" s="97"/>
      <c r="F568" s="97"/>
      <c r="G568" s="97"/>
      <c r="H568" s="97"/>
      <c r="I568" s="97"/>
      <c r="J568" s="97"/>
      <c r="K568" s="97"/>
      <c r="L568" s="97"/>
      <c r="M568" s="97"/>
      <c r="N568" s="97"/>
      <c r="O568" s="97"/>
      <c r="P568" s="97"/>
      <c r="Q568" s="97"/>
      <c r="R568" s="97"/>
      <c r="S568" s="97"/>
      <c r="T568" s="97"/>
      <c r="U568" s="97"/>
    </row>
    <row r="569" spans="1:21">
      <c r="A569"/>
      <c r="B569" s="89"/>
      <c r="C569" s="97"/>
      <c r="D569" s="97"/>
      <c r="E569" s="97"/>
      <c r="F569" s="97"/>
      <c r="G569" s="97"/>
      <c r="H569" s="97"/>
      <c r="I569" s="97"/>
      <c r="J569" s="97"/>
      <c r="K569" s="97"/>
      <c r="L569" s="97"/>
      <c r="M569" s="97"/>
      <c r="N569" s="97"/>
      <c r="O569" s="97"/>
      <c r="P569" s="97"/>
      <c r="Q569" s="97"/>
      <c r="R569" s="97"/>
      <c r="S569" s="97"/>
      <c r="T569" s="97"/>
      <c r="U569" s="97"/>
    </row>
    <row r="570" spans="1:21">
      <c r="A570"/>
      <c r="B570" s="89"/>
      <c r="C570" s="97"/>
      <c r="D570" s="97"/>
      <c r="E570" s="97"/>
      <c r="F570" s="97"/>
      <c r="G570" s="97"/>
      <c r="H570" s="97"/>
      <c r="I570" s="97"/>
      <c r="J570" s="97"/>
      <c r="K570" s="97"/>
      <c r="L570" s="97"/>
      <c r="M570" s="97"/>
      <c r="N570" s="97"/>
      <c r="O570" s="97"/>
      <c r="P570" s="97"/>
      <c r="Q570" s="97"/>
      <c r="R570" s="97"/>
      <c r="S570" s="97"/>
      <c r="T570" s="97"/>
      <c r="U570" s="97"/>
    </row>
    <row r="571" spans="1:21">
      <c r="A571"/>
      <c r="B571" s="89"/>
      <c r="C571" s="97"/>
      <c r="D571" s="97"/>
      <c r="E571" s="97"/>
      <c r="F571" s="97"/>
      <c r="G571" s="97"/>
      <c r="H571" s="97"/>
      <c r="I571" s="97"/>
      <c r="J571" s="97"/>
      <c r="K571" s="97"/>
      <c r="L571" s="97"/>
      <c r="M571" s="97"/>
      <c r="N571" s="97"/>
      <c r="O571" s="97"/>
      <c r="P571" s="97"/>
      <c r="Q571" s="97"/>
      <c r="R571" s="97"/>
      <c r="S571" s="97"/>
      <c r="T571" s="97"/>
      <c r="U571" s="97"/>
    </row>
    <row r="572" spans="1:21">
      <c r="A572"/>
      <c r="B572" s="89"/>
      <c r="C572" s="97"/>
      <c r="D572" s="97"/>
      <c r="E572" s="97"/>
      <c r="F572" s="97"/>
      <c r="G572" s="97"/>
      <c r="H572" s="97"/>
      <c r="I572" s="97"/>
      <c r="J572" s="97"/>
      <c r="K572" s="97"/>
      <c r="L572" s="97"/>
      <c r="M572" s="97"/>
      <c r="N572" s="97"/>
      <c r="O572" s="97"/>
      <c r="P572" s="97"/>
      <c r="Q572" s="97"/>
      <c r="R572" s="97"/>
      <c r="S572" s="97"/>
      <c r="T572" s="97"/>
      <c r="U572" s="97"/>
    </row>
    <row r="573" spans="1:21">
      <c r="A573"/>
      <c r="B573" s="89"/>
      <c r="C573" s="97"/>
      <c r="D573" s="97"/>
      <c r="E573" s="97"/>
      <c r="F573" s="97"/>
      <c r="G573" s="97"/>
      <c r="H573" s="97"/>
      <c r="I573" s="97"/>
      <c r="J573" s="97"/>
      <c r="K573" s="97"/>
      <c r="L573" s="97"/>
      <c r="M573" s="97"/>
      <c r="N573" s="97"/>
      <c r="O573" s="97"/>
      <c r="P573" s="97"/>
      <c r="Q573" s="97"/>
      <c r="R573" s="97"/>
      <c r="S573" s="97"/>
      <c r="T573" s="97"/>
      <c r="U573" s="97"/>
    </row>
    <row r="574" spans="1:21">
      <c r="A574"/>
      <c r="B574" s="89"/>
      <c r="C574" s="97"/>
      <c r="D574" s="97"/>
      <c r="E574" s="97"/>
      <c r="F574" s="97"/>
      <c r="G574" s="97"/>
      <c r="H574" s="97"/>
      <c r="I574" s="97"/>
      <c r="J574" s="97"/>
      <c r="K574" s="97"/>
      <c r="L574" s="97"/>
      <c r="M574" s="97"/>
      <c r="N574" s="97"/>
      <c r="O574" s="97"/>
      <c r="P574" s="97"/>
      <c r="Q574" s="97"/>
      <c r="R574" s="97"/>
      <c r="S574" s="97"/>
      <c r="T574" s="97"/>
      <c r="U574" s="97"/>
    </row>
    <row r="575" spans="1:21">
      <c r="A575"/>
      <c r="B575" s="89"/>
      <c r="C575" s="97"/>
      <c r="D575" s="97"/>
      <c r="E575" s="97"/>
      <c r="F575" s="97"/>
      <c r="G575" s="97"/>
      <c r="H575" s="97"/>
      <c r="I575" s="97"/>
      <c r="J575" s="97"/>
      <c r="K575" s="97"/>
      <c r="L575" s="97"/>
      <c r="M575" s="97"/>
      <c r="N575" s="97"/>
      <c r="O575" s="97"/>
      <c r="P575" s="97"/>
      <c r="Q575" s="97"/>
      <c r="R575" s="97"/>
      <c r="S575" s="97"/>
      <c r="T575" s="97"/>
      <c r="U575" s="97"/>
    </row>
    <row r="576" spans="1:21">
      <c r="A576"/>
      <c r="B576" s="89"/>
      <c r="C576" s="97"/>
      <c r="D576" s="97"/>
      <c r="E576" s="97"/>
      <c r="F576" s="97"/>
      <c r="G576" s="97"/>
      <c r="H576" s="97"/>
      <c r="I576" s="97"/>
      <c r="J576" s="97"/>
      <c r="K576" s="97"/>
      <c r="L576" s="97"/>
      <c r="M576" s="97"/>
      <c r="N576" s="97"/>
      <c r="O576" s="97"/>
      <c r="P576" s="97"/>
      <c r="Q576" s="97"/>
      <c r="R576" s="97"/>
      <c r="S576" s="97"/>
      <c r="T576" s="97"/>
      <c r="U576" s="97"/>
    </row>
    <row r="577" spans="1:21">
      <c r="A577"/>
      <c r="B577" s="89"/>
      <c r="C577" s="97"/>
      <c r="D577" s="97"/>
      <c r="E577" s="97"/>
      <c r="F577" s="97"/>
      <c r="G577" s="97"/>
      <c r="H577" s="97"/>
      <c r="I577" s="97"/>
      <c r="J577" s="97"/>
      <c r="K577" s="97"/>
      <c r="L577" s="97"/>
      <c r="M577" s="97"/>
      <c r="N577" s="97"/>
      <c r="O577" s="97"/>
      <c r="P577" s="97"/>
      <c r="Q577" s="97"/>
      <c r="R577" s="97"/>
      <c r="S577" s="97"/>
      <c r="T577" s="97"/>
      <c r="U577" s="97"/>
    </row>
    <row r="578" spans="1:21">
      <c r="A578"/>
      <c r="B578" s="89"/>
      <c r="C578" s="97"/>
      <c r="D578" s="97"/>
      <c r="E578" s="97"/>
      <c r="F578" s="97"/>
      <c r="G578" s="97"/>
      <c r="H578" s="97"/>
      <c r="I578" s="97"/>
      <c r="J578" s="97"/>
      <c r="K578" s="97"/>
      <c r="L578" s="97"/>
      <c r="M578" s="97"/>
      <c r="N578" s="97"/>
      <c r="O578" s="97"/>
      <c r="P578" s="97"/>
      <c r="Q578" s="97"/>
      <c r="R578" s="97"/>
      <c r="S578" s="97"/>
      <c r="T578" s="97"/>
      <c r="U578" s="97"/>
    </row>
    <row r="579" spans="1:21">
      <c r="A579"/>
      <c r="B579" s="89"/>
      <c r="C579" s="97"/>
      <c r="D579" s="97"/>
      <c r="E579" s="97"/>
      <c r="F579" s="97"/>
      <c r="G579" s="97"/>
      <c r="H579" s="97"/>
      <c r="I579" s="97"/>
      <c r="J579" s="97"/>
      <c r="K579" s="97"/>
      <c r="L579" s="97"/>
      <c r="M579" s="97"/>
      <c r="N579" s="97"/>
      <c r="O579" s="97"/>
      <c r="P579" s="97"/>
      <c r="Q579" s="97"/>
      <c r="R579" s="97"/>
      <c r="S579" s="97"/>
      <c r="T579" s="97"/>
      <c r="U579" s="97"/>
    </row>
    <row r="580" spans="1:21">
      <c r="A580"/>
      <c r="B580" s="89"/>
      <c r="C580" s="97"/>
      <c r="D580" s="97"/>
      <c r="E580" s="97"/>
      <c r="F580" s="97"/>
      <c r="G580" s="97"/>
      <c r="H580" s="97"/>
      <c r="I580" s="97"/>
      <c r="J580" s="97"/>
      <c r="K580" s="97"/>
      <c r="L580" s="97"/>
      <c r="M580" s="97"/>
      <c r="N580" s="97"/>
      <c r="O580" s="97"/>
      <c r="P580" s="97"/>
      <c r="Q580" s="97"/>
      <c r="R580" s="97"/>
      <c r="S580" s="97"/>
      <c r="T580" s="97"/>
      <c r="U580" s="97"/>
    </row>
    <row r="581" spans="1:21">
      <c r="A581"/>
      <c r="B581" s="89"/>
      <c r="C581" s="97"/>
      <c r="D581" s="97"/>
      <c r="E581" s="97"/>
      <c r="F581" s="97"/>
      <c r="G581" s="97"/>
      <c r="H581" s="97"/>
      <c r="I581" s="97"/>
      <c r="J581" s="97"/>
      <c r="K581" s="97"/>
      <c r="L581" s="97"/>
      <c r="M581" s="97"/>
      <c r="N581" s="97"/>
      <c r="O581" s="97"/>
      <c r="P581" s="97"/>
      <c r="Q581" s="97"/>
      <c r="R581" s="97"/>
      <c r="S581" s="97"/>
      <c r="T581" s="97"/>
      <c r="U581" s="97"/>
    </row>
    <row r="582" spans="1:21">
      <c r="A582"/>
      <c r="B582" s="89"/>
      <c r="C582" s="97"/>
      <c r="D582" s="97"/>
      <c r="E582" s="97"/>
      <c r="F582" s="97"/>
      <c r="G582" s="97"/>
      <c r="H582" s="97"/>
      <c r="I582" s="97"/>
      <c r="J582" s="97"/>
      <c r="K582" s="97"/>
      <c r="L582" s="97"/>
      <c r="M582" s="97"/>
      <c r="N582" s="97"/>
      <c r="O582" s="97"/>
      <c r="P582" s="97"/>
      <c r="Q582" s="97"/>
      <c r="R582" s="97"/>
      <c r="S582" s="97"/>
      <c r="T582" s="97"/>
      <c r="U582" s="97"/>
    </row>
    <row r="583" spans="1:21">
      <c r="A583"/>
      <c r="B583" s="89"/>
      <c r="C583" s="97"/>
      <c r="D583" s="97"/>
      <c r="E583" s="97"/>
      <c r="F583" s="97"/>
      <c r="G583" s="97"/>
      <c r="H583" s="97"/>
      <c r="I583" s="97"/>
      <c r="J583" s="97"/>
      <c r="K583" s="97"/>
      <c r="L583" s="97"/>
      <c r="M583" s="97"/>
      <c r="N583" s="97"/>
      <c r="O583" s="97"/>
      <c r="P583" s="97"/>
      <c r="Q583" s="97"/>
      <c r="R583" s="97"/>
      <c r="S583" s="97"/>
      <c r="T583" s="97"/>
      <c r="U583" s="97"/>
    </row>
    <row r="584" spans="1:21">
      <c r="A584"/>
      <c r="B584" s="89"/>
      <c r="C584" s="97"/>
      <c r="D584" s="97"/>
      <c r="E584" s="97"/>
      <c r="F584" s="97"/>
      <c r="G584" s="97"/>
      <c r="H584" s="97"/>
      <c r="I584" s="97"/>
      <c r="J584" s="97"/>
      <c r="K584" s="97"/>
      <c r="L584" s="97"/>
      <c r="M584" s="97"/>
      <c r="N584" s="97"/>
      <c r="O584" s="97"/>
      <c r="P584" s="97"/>
      <c r="Q584" s="97"/>
      <c r="R584" s="97"/>
      <c r="S584" s="97"/>
      <c r="T584" s="97"/>
      <c r="U584" s="97"/>
    </row>
    <row r="585" spans="1:21">
      <c r="A585"/>
      <c r="B585" s="89"/>
      <c r="C585" s="97"/>
      <c r="D585" s="97"/>
      <c r="E585" s="97"/>
      <c r="F585" s="97"/>
      <c r="G585" s="97"/>
      <c r="H585" s="97"/>
      <c r="I585" s="97"/>
      <c r="J585" s="97"/>
      <c r="K585" s="97"/>
      <c r="L585" s="97"/>
      <c r="M585" s="97"/>
      <c r="N585" s="97"/>
      <c r="O585" s="97"/>
      <c r="P585" s="97"/>
      <c r="Q585" s="97"/>
      <c r="R585" s="97"/>
      <c r="S585" s="97"/>
      <c r="T585" s="97"/>
      <c r="U585" s="97"/>
    </row>
    <row r="586" spans="1:21">
      <c r="A586"/>
      <c r="B586" s="89"/>
      <c r="C586" s="97"/>
      <c r="D586" s="97"/>
      <c r="E586" s="97"/>
      <c r="F586" s="97"/>
      <c r="G586" s="97"/>
      <c r="H586" s="97"/>
      <c r="I586" s="97"/>
      <c r="J586" s="97"/>
      <c r="K586" s="97"/>
      <c r="L586" s="97"/>
      <c r="M586" s="97"/>
      <c r="N586" s="97"/>
      <c r="O586" s="97"/>
      <c r="P586" s="97"/>
      <c r="Q586" s="97"/>
      <c r="R586" s="97"/>
      <c r="S586" s="97"/>
      <c r="T586" s="97"/>
      <c r="U586" s="97"/>
    </row>
    <row r="587" spans="1:21">
      <c r="A587"/>
      <c r="B587" s="89"/>
      <c r="C587" s="97"/>
      <c r="D587" s="97"/>
      <c r="E587" s="97"/>
      <c r="F587" s="97"/>
      <c r="G587" s="97"/>
      <c r="H587" s="97"/>
      <c r="I587" s="97"/>
      <c r="J587" s="97"/>
      <c r="K587" s="97"/>
      <c r="L587" s="97"/>
      <c r="M587" s="97"/>
      <c r="N587" s="97"/>
      <c r="O587" s="97"/>
      <c r="P587" s="97"/>
      <c r="Q587" s="97"/>
      <c r="R587" s="97"/>
      <c r="S587" s="97"/>
      <c r="T587" s="97"/>
      <c r="U587" s="97"/>
    </row>
    <row r="588" spans="1:21">
      <c r="A588"/>
      <c r="B588" s="89"/>
      <c r="C588" s="97"/>
      <c r="D588" s="97"/>
      <c r="E588" s="97"/>
      <c r="F588" s="97"/>
      <c r="G588" s="97"/>
      <c r="H588" s="97"/>
      <c r="I588" s="97"/>
      <c r="J588" s="97"/>
      <c r="K588" s="97"/>
      <c r="L588" s="97"/>
      <c r="M588" s="97"/>
      <c r="N588" s="97"/>
      <c r="O588" s="97"/>
      <c r="P588" s="97"/>
      <c r="Q588" s="97"/>
      <c r="R588" s="97"/>
      <c r="S588" s="97"/>
      <c r="T588" s="97"/>
      <c r="U588" s="97"/>
    </row>
    <row r="589" spans="1:21">
      <c r="A589"/>
      <c r="B589" s="89"/>
      <c r="C589" s="97"/>
      <c r="D589" s="97"/>
      <c r="E589" s="97"/>
      <c r="F589" s="97"/>
      <c r="G589" s="97"/>
      <c r="H589" s="97"/>
      <c r="I589" s="97"/>
      <c r="J589" s="97"/>
      <c r="K589" s="97"/>
      <c r="L589" s="97"/>
      <c r="M589" s="97"/>
      <c r="N589" s="97"/>
      <c r="O589" s="97"/>
      <c r="P589" s="97"/>
      <c r="Q589" s="97"/>
      <c r="R589" s="97"/>
      <c r="S589" s="97"/>
      <c r="T589" s="97"/>
      <c r="U589" s="97"/>
    </row>
    <row r="590" spans="1:21">
      <c r="A590"/>
      <c r="B590" s="89"/>
      <c r="C590" s="97"/>
      <c r="D590" s="97"/>
      <c r="E590" s="97"/>
      <c r="F590" s="97"/>
      <c r="G590" s="97"/>
      <c r="H590" s="97"/>
      <c r="I590" s="97"/>
      <c r="J590" s="97"/>
      <c r="K590" s="97"/>
      <c r="L590" s="97"/>
      <c r="M590" s="97"/>
      <c r="N590" s="97"/>
      <c r="O590" s="97"/>
      <c r="P590" s="97"/>
      <c r="Q590" s="97"/>
      <c r="R590" s="97"/>
      <c r="S590" s="97"/>
      <c r="T590" s="97"/>
      <c r="U590" s="97"/>
    </row>
    <row r="591" spans="1:21">
      <c r="A591"/>
      <c r="B591" s="89"/>
      <c r="C591" s="97"/>
      <c r="D591" s="97"/>
      <c r="E591" s="97"/>
      <c r="F591" s="97"/>
      <c r="G591" s="97"/>
      <c r="H591" s="97"/>
      <c r="I591" s="97"/>
      <c r="J591" s="97"/>
      <c r="K591" s="97"/>
      <c r="L591" s="97"/>
      <c r="M591" s="97"/>
      <c r="N591" s="97"/>
      <c r="O591" s="97"/>
      <c r="P591" s="97"/>
      <c r="Q591" s="97"/>
      <c r="R591" s="97"/>
      <c r="S591" s="97"/>
      <c r="T591" s="97"/>
      <c r="U591" s="97"/>
    </row>
    <row r="592" spans="1:21">
      <c r="A592"/>
      <c r="B592" s="89"/>
      <c r="C592" s="97"/>
      <c r="D592" s="97"/>
      <c r="E592" s="97"/>
      <c r="F592" s="97"/>
      <c r="G592" s="97"/>
      <c r="H592" s="97"/>
      <c r="I592" s="97"/>
      <c r="J592" s="97"/>
      <c r="K592" s="97"/>
      <c r="L592" s="97"/>
      <c r="M592" s="97"/>
      <c r="N592" s="97"/>
      <c r="O592" s="97"/>
      <c r="P592" s="97"/>
      <c r="Q592" s="97"/>
      <c r="R592" s="97"/>
      <c r="S592" s="97"/>
      <c r="T592" s="97"/>
      <c r="U592" s="97"/>
    </row>
    <row r="593" spans="1:21">
      <c r="A593"/>
      <c r="B593" s="89"/>
      <c r="C593" s="97"/>
      <c r="D593" s="97"/>
      <c r="E593" s="97"/>
      <c r="F593" s="97"/>
      <c r="G593" s="97"/>
      <c r="H593" s="97"/>
      <c r="I593" s="97"/>
      <c r="J593" s="97"/>
      <c r="K593" s="97"/>
      <c r="L593" s="97"/>
      <c r="M593" s="97"/>
      <c r="N593" s="97"/>
      <c r="O593" s="97"/>
      <c r="P593" s="97"/>
      <c r="Q593" s="97"/>
      <c r="R593" s="97"/>
      <c r="S593" s="97"/>
      <c r="T593" s="97"/>
      <c r="U593" s="97"/>
    </row>
    <row r="594" spans="1:21">
      <c r="A594"/>
      <c r="B594" s="89"/>
      <c r="C594" s="97"/>
      <c r="D594" s="97"/>
      <c r="E594" s="97"/>
      <c r="F594" s="97"/>
      <c r="G594" s="97"/>
      <c r="H594" s="97"/>
      <c r="I594" s="97"/>
      <c r="J594" s="97"/>
      <c r="K594" s="97"/>
      <c r="L594" s="97"/>
      <c r="M594" s="97"/>
      <c r="N594" s="97"/>
      <c r="O594" s="97"/>
      <c r="P594" s="97"/>
      <c r="Q594" s="97"/>
      <c r="R594" s="97"/>
      <c r="S594" s="97"/>
      <c r="T594" s="97"/>
      <c r="U594" s="97"/>
    </row>
    <row r="595" spans="1:21">
      <c r="A595"/>
      <c r="B595" s="89"/>
      <c r="C595" s="97"/>
      <c r="D595" s="97"/>
      <c r="E595" s="97"/>
      <c r="F595" s="97"/>
      <c r="G595" s="97"/>
      <c r="H595" s="97"/>
      <c r="I595" s="97"/>
      <c r="J595" s="97"/>
      <c r="K595" s="97"/>
      <c r="L595" s="97"/>
      <c r="M595" s="97"/>
      <c r="N595" s="97"/>
      <c r="O595" s="97"/>
      <c r="P595" s="97"/>
      <c r="Q595" s="97"/>
      <c r="R595" s="97"/>
      <c r="S595" s="97"/>
      <c r="T595" s="97"/>
      <c r="U595" s="97"/>
    </row>
    <row r="596" spans="1:21">
      <c r="A596"/>
      <c r="B596" s="89"/>
      <c r="C596" s="97"/>
      <c r="D596" s="97"/>
      <c r="E596" s="97"/>
      <c r="F596" s="97"/>
      <c r="G596" s="97"/>
      <c r="H596" s="97"/>
      <c r="I596" s="97"/>
      <c r="J596" s="97"/>
      <c r="K596" s="97"/>
      <c r="L596" s="97"/>
      <c r="M596" s="97"/>
      <c r="N596" s="97"/>
      <c r="O596" s="97"/>
      <c r="P596" s="97"/>
      <c r="Q596" s="97"/>
      <c r="R596" s="97"/>
      <c r="S596" s="97"/>
      <c r="T596" s="97"/>
      <c r="U596" s="97"/>
    </row>
    <row r="597" spans="1:21">
      <c r="A597"/>
      <c r="B597" s="89"/>
      <c r="C597" s="97"/>
      <c r="D597" s="97"/>
      <c r="E597" s="97"/>
      <c r="F597" s="97"/>
      <c r="G597" s="97"/>
      <c r="H597" s="97"/>
      <c r="I597" s="97"/>
      <c r="J597" s="97"/>
      <c r="K597" s="97"/>
      <c r="L597" s="97"/>
      <c r="M597" s="97"/>
      <c r="N597" s="97"/>
      <c r="O597" s="97"/>
      <c r="P597" s="97"/>
      <c r="Q597" s="97"/>
      <c r="R597" s="97"/>
      <c r="S597" s="97"/>
      <c r="T597" s="97"/>
      <c r="U597" s="97"/>
    </row>
    <row r="598" spans="1:21">
      <c r="A598"/>
      <c r="B598" s="89"/>
      <c r="C598" s="97"/>
      <c r="D598" s="97"/>
      <c r="E598" s="97"/>
      <c r="F598" s="97"/>
      <c r="G598" s="97"/>
      <c r="H598" s="97"/>
      <c r="I598" s="97"/>
      <c r="J598" s="97"/>
      <c r="K598" s="97"/>
      <c r="L598" s="97"/>
      <c r="M598" s="97"/>
      <c r="N598" s="97"/>
      <c r="O598" s="97"/>
      <c r="P598" s="97"/>
      <c r="Q598" s="97"/>
      <c r="R598" s="97"/>
      <c r="S598" s="97"/>
      <c r="T598" s="97"/>
      <c r="U598" s="97"/>
    </row>
    <row r="599" spans="1:21">
      <c r="A599"/>
      <c r="B599" s="89"/>
      <c r="C599" s="97"/>
      <c r="D599" s="97"/>
      <c r="E599" s="97"/>
      <c r="F599" s="97"/>
      <c r="G599" s="97"/>
      <c r="H599" s="97"/>
      <c r="I599" s="97"/>
      <c r="J599" s="97"/>
      <c r="K599" s="97"/>
      <c r="L599" s="97"/>
      <c r="M599" s="97"/>
      <c r="N599" s="97"/>
      <c r="O599" s="97"/>
      <c r="P599" s="97"/>
      <c r="Q599" s="97"/>
      <c r="R599" s="97"/>
      <c r="S599" s="97"/>
      <c r="T599" s="97"/>
      <c r="U599" s="97"/>
    </row>
    <row r="600" spans="1:21">
      <c r="A600"/>
      <c r="B600" s="89"/>
      <c r="C600" s="97"/>
      <c r="D600" s="97"/>
      <c r="E600" s="97"/>
      <c r="F600" s="97"/>
      <c r="G600" s="97"/>
      <c r="H600" s="97"/>
      <c r="I600" s="97"/>
      <c r="J600" s="97"/>
      <c r="K600" s="97"/>
      <c r="L600" s="97"/>
      <c r="M600" s="97"/>
      <c r="N600" s="97"/>
      <c r="O600" s="97"/>
      <c r="P600" s="97"/>
      <c r="Q600" s="97"/>
      <c r="R600" s="97"/>
      <c r="S600" s="97"/>
      <c r="T600" s="97"/>
      <c r="U600" s="97"/>
    </row>
    <row r="601" spans="1:21">
      <c r="A601"/>
      <c r="B601" s="89"/>
      <c r="C601" s="97"/>
      <c r="D601" s="97"/>
      <c r="E601" s="97"/>
      <c r="F601" s="97"/>
      <c r="G601" s="97"/>
      <c r="H601" s="97"/>
      <c r="I601" s="97"/>
      <c r="J601" s="97"/>
      <c r="K601" s="97"/>
      <c r="L601" s="97"/>
      <c r="M601" s="97"/>
      <c r="N601" s="97"/>
      <c r="O601" s="97"/>
      <c r="P601" s="97"/>
      <c r="Q601" s="97"/>
      <c r="R601" s="97"/>
      <c r="S601" s="97"/>
      <c r="T601" s="97"/>
      <c r="U601" s="97"/>
    </row>
    <row r="602" spans="1:21">
      <c r="A602"/>
      <c r="B602" s="89"/>
      <c r="C602" s="97"/>
      <c r="D602" s="97"/>
      <c r="E602" s="97"/>
      <c r="F602" s="97"/>
      <c r="G602" s="97"/>
      <c r="H602" s="97"/>
      <c r="I602" s="97"/>
      <c r="J602" s="97"/>
      <c r="K602" s="97"/>
      <c r="L602" s="97"/>
      <c r="M602" s="97"/>
      <c r="N602" s="97"/>
      <c r="O602" s="97"/>
      <c r="P602" s="97"/>
      <c r="Q602" s="97"/>
      <c r="R602" s="97"/>
      <c r="S602" s="97"/>
      <c r="T602" s="97"/>
      <c r="U602" s="97"/>
    </row>
    <row r="603" spans="1:21">
      <c r="A603"/>
      <c r="B603" s="89"/>
      <c r="C603" s="97"/>
      <c r="D603" s="97"/>
      <c r="E603" s="97"/>
      <c r="F603" s="97"/>
      <c r="G603" s="97"/>
      <c r="H603" s="97"/>
      <c r="I603" s="97"/>
      <c r="J603" s="97"/>
      <c r="K603" s="97"/>
      <c r="L603" s="97"/>
      <c r="M603" s="97"/>
      <c r="N603" s="97"/>
      <c r="O603" s="97"/>
      <c r="P603" s="97"/>
      <c r="Q603" s="97"/>
      <c r="R603" s="97"/>
      <c r="S603" s="97"/>
      <c r="T603" s="97"/>
      <c r="U603" s="97"/>
    </row>
    <row r="604" spans="1:21">
      <c r="A604"/>
      <c r="B604" s="89"/>
      <c r="C604" s="97"/>
      <c r="D604" s="97"/>
      <c r="E604" s="97"/>
      <c r="F604" s="97"/>
      <c r="G604" s="97"/>
      <c r="H604" s="97"/>
      <c r="I604" s="97"/>
      <c r="J604" s="97"/>
      <c r="K604" s="97"/>
      <c r="L604" s="97"/>
      <c r="M604" s="97"/>
      <c r="N604" s="97"/>
      <c r="O604" s="97"/>
      <c r="P604" s="97"/>
      <c r="Q604" s="97"/>
      <c r="R604" s="97"/>
      <c r="S604" s="97"/>
      <c r="T604" s="97"/>
      <c r="U604" s="97"/>
    </row>
    <row r="605" spans="1:21">
      <c r="A605"/>
      <c r="B605" s="89"/>
      <c r="C605" s="97"/>
      <c r="D605" s="97"/>
      <c r="E605" s="97"/>
      <c r="F605" s="97"/>
      <c r="G605" s="97"/>
      <c r="H605" s="97"/>
      <c r="I605" s="97"/>
      <c r="J605" s="97"/>
      <c r="K605" s="97"/>
      <c r="L605" s="97"/>
      <c r="M605" s="97"/>
      <c r="N605" s="97"/>
      <c r="O605" s="97"/>
      <c r="P605" s="97"/>
      <c r="Q605" s="97"/>
      <c r="R605" s="97"/>
      <c r="S605" s="97"/>
      <c r="T605" s="97"/>
      <c r="U605" s="97"/>
    </row>
    <row r="606" spans="1:21">
      <c r="A606"/>
      <c r="B606" s="89"/>
      <c r="C606" s="97"/>
      <c r="D606" s="97"/>
      <c r="E606" s="97"/>
      <c r="F606" s="97"/>
      <c r="G606" s="97"/>
      <c r="H606" s="97"/>
      <c r="I606" s="97"/>
      <c r="J606" s="97"/>
      <c r="K606" s="97"/>
      <c r="L606" s="97"/>
      <c r="M606" s="97"/>
      <c r="N606" s="97"/>
      <c r="O606" s="97"/>
      <c r="P606" s="97"/>
      <c r="Q606" s="97"/>
      <c r="R606" s="97"/>
      <c r="S606" s="97"/>
      <c r="T606" s="97"/>
      <c r="U606" s="97"/>
    </row>
    <row r="607" spans="1:21">
      <c r="A607"/>
      <c r="B607" s="89"/>
      <c r="C607" s="97"/>
      <c r="D607" s="97"/>
      <c r="E607" s="97"/>
      <c r="F607" s="97"/>
      <c r="G607" s="97"/>
      <c r="H607" s="97"/>
      <c r="I607" s="97"/>
      <c r="J607" s="97"/>
      <c r="K607" s="97"/>
      <c r="L607" s="97"/>
      <c r="M607" s="97"/>
      <c r="N607" s="97"/>
      <c r="O607" s="97"/>
      <c r="P607" s="97"/>
      <c r="Q607" s="97"/>
      <c r="R607" s="97"/>
      <c r="S607" s="97"/>
      <c r="T607" s="97"/>
      <c r="U607" s="97"/>
    </row>
    <row r="608" spans="1:21">
      <c r="A608"/>
      <c r="B608" s="89"/>
      <c r="C608" s="97"/>
      <c r="D608" s="97"/>
      <c r="E608" s="97"/>
      <c r="F608" s="97"/>
      <c r="G608" s="97"/>
      <c r="H608" s="97"/>
      <c r="I608" s="97"/>
      <c r="J608" s="97"/>
      <c r="K608" s="97"/>
      <c r="L608" s="97"/>
      <c r="M608" s="97"/>
      <c r="N608" s="97"/>
      <c r="O608" s="97"/>
      <c r="P608" s="97"/>
      <c r="Q608" s="97"/>
      <c r="R608" s="97"/>
      <c r="S608" s="97"/>
      <c r="T608" s="97"/>
      <c r="U608" s="97"/>
    </row>
    <row r="609" spans="1:21">
      <c r="A609"/>
      <c r="B609" s="89"/>
      <c r="C609" s="97"/>
      <c r="D609" s="97"/>
      <c r="E609" s="97"/>
      <c r="F609" s="97"/>
      <c r="G609" s="97"/>
      <c r="H609" s="97"/>
      <c r="I609" s="97"/>
      <c r="J609" s="97"/>
      <c r="K609" s="97"/>
      <c r="L609" s="97"/>
      <c r="M609" s="97"/>
      <c r="N609" s="97"/>
      <c r="O609" s="97"/>
      <c r="P609" s="97"/>
      <c r="Q609" s="97"/>
      <c r="R609" s="97"/>
      <c r="S609" s="97"/>
      <c r="T609" s="97"/>
      <c r="U609" s="97"/>
    </row>
    <row r="610" spans="1:21">
      <c r="A610"/>
      <c r="B610" s="89"/>
      <c r="C610" s="97"/>
      <c r="D610" s="97"/>
      <c r="E610" s="97"/>
      <c r="F610" s="97"/>
      <c r="G610" s="97"/>
      <c r="H610" s="97"/>
      <c r="I610" s="97"/>
      <c r="J610" s="97"/>
      <c r="K610" s="97"/>
      <c r="L610" s="97"/>
      <c r="M610" s="97"/>
      <c r="N610" s="97"/>
      <c r="O610" s="97"/>
      <c r="P610" s="97"/>
      <c r="Q610" s="97"/>
      <c r="R610" s="97"/>
      <c r="S610" s="97"/>
      <c r="T610" s="97"/>
      <c r="U610" s="97"/>
    </row>
    <row r="611" spans="1:21">
      <c r="A611"/>
      <c r="B611" s="89"/>
      <c r="C611" s="97"/>
      <c r="D611" s="97"/>
      <c r="E611" s="97"/>
      <c r="F611" s="97"/>
      <c r="G611" s="97"/>
      <c r="H611" s="97"/>
      <c r="I611" s="97"/>
      <c r="J611" s="97"/>
      <c r="K611" s="97"/>
      <c r="L611" s="97"/>
      <c r="M611" s="97"/>
      <c r="N611" s="97"/>
      <c r="O611" s="97"/>
      <c r="P611" s="97"/>
      <c r="Q611" s="97"/>
      <c r="R611" s="97"/>
      <c r="S611" s="97"/>
      <c r="T611" s="97"/>
      <c r="U611" s="97"/>
    </row>
    <row r="612" spans="1:21">
      <c r="A612"/>
      <c r="B612" s="89"/>
      <c r="C612" s="97"/>
      <c r="D612" s="97"/>
      <c r="E612" s="97"/>
      <c r="F612" s="97"/>
      <c r="G612" s="97"/>
      <c r="H612" s="97"/>
      <c r="I612" s="97"/>
      <c r="J612" s="97"/>
      <c r="K612" s="97"/>
      <c r="L612" s="97"/>
      <c r="M612" s="97"/>
      <c r="N612" s="97"/>
      <c r="O612" s="97"/>
      <c r="P612" s="97"/>
      <c r="Q612" s="97"/>
      <c r="R612" s="97"/>
      <c r="S612" s="97"/>
      <c r="T612" s="97"/>
      <c r="U612" s="97"/>
    </row>
    <row r="613" spans="1:21">
      <c r="A613"/>
      <c r="B613" s="89"/>
      <c r="C613" s="97"/>
      <c r="D613" s="97"/>
      <c r="E613" s="97"/>
      <c r="F613" s="97"/>
      <c r="G613" s="97"/>
      <c r="H613" s="97"/>
      <c r="I613" s="97"/>
      <c r="J613" s="97"/>
      <c r="K613" s="97"/>
      <c r="L613" s="97"/>
      <c r="M613" s="97"/>
      <c r="N613" s="97"/>
      <c r="O613" s="97"/>
      <c r="P613" s="97"/>
      <c r="Q613" s="97"/>
      <c r="R613" s="97"/>
      <c r="S613" s="97"/>
      <c r="T613" s="97"/>
      <c r="U613" s="97"/>
    </row>
    <row r="614" spans="1:21">
      <c r="A614"/>
      <c r="B614" s="89"/>
      <c r="C614" s="97"/>
      <c r="D614" s="97"/>
      <c r="E614" s="97"/>
      <c r="F614" s="97"/>
      <c r="G614" s="97"/>
      <c r="H614" s="97"/>
      <c r="I614" s="97"/>
      <c r="J614" s="97"/>
      <c r="K614" s="97"/>
      <c r="L614" s="97"/>
      <c r="M614" s="97"/>
      <c r="N614" s="97"/>
      <c r="O614" s="97"/>
      <c r="P614" s="97"/>
      <c r="Q614" s="97"/>
      <c r="R614" s="97"/>
      <c r="S614" s="97"/>
      <c r="T614" s="97"/>
      <c r="U614" s="97"/>
    </row>
    <row r="615" spans="1:21">
      <c r="A615"/>
      <c r="B615" s="89"/>
      <c r="C615" s="97"/>
      <c r="D615" s="97"/>
      <c r="E615" s="97"/>
      <c r="F615" s="97"/>
      <c r="G615" s="97"/>
      <c r="H615" s="97"/>
      <c r="I615" s="97"/>
      <c r="J615" s="97"/>
      <c r="K615" s="97"/>
      <c r="L615" s="97"/>
      <c r="M615" s="97"/>
      <c r="N615" s="97"/>
      <c r="O615" s="97"/>
      <c r="P615" s="97"/>
      <c r="Q615" s="97"/>
      <c r="R615" s="97"/>
      <c r="S615" s="97"/>
      <c r="T615" s="97"/>
      <c r="U615" s="97"/>
    </row>
    <row r="616" spans="1:21">
      <c r="A616"/>
      <c r="B616" s="89"/>
      <c r="C616" s="97"/>
      <c r="D616" s="97"/>
      <c r="E616" s="97"/>
      <c r="F616" s="97"/>
      <c r="G616" s="97"/>
      <c r="H616" s="97"/>
      <c r="I616" s="97"/>
      <c r="J616" s="97"/>
      <c r="K616" s="97"/>
      <c r="L616" s="97"/>
      <c r="M616" s="97"/>
      <c r="N616" s="97"/>
      <c r="O616" s="97"/>
      <c r="P616" s="97"/>
      <c r="Q616" s="97"/>
      <c r="R616" s="97"/>
      <c r="S616" s="97"/>
      <c r="T616" s="97"/>
      <c r="U616" s="97"/>
    </row>
    <row r="617" spans="1:21">
      <c r="A617"/>
      <c r="B617" s="89"/>
      <c r="C617" s="97"/>
      <c r="D617" s="97"/>
      <c r="E617" s="97"/>
      <c r="F617" s="97"/>
      <c r="G617" s="97"/>
      <c r="H617" s="97"/>
      <c r="I617" s="97"/>
      <c r="J617" s="97"/>
      <c r="K617" s="97"/>
      <c r="L617" s="97"/>
      <c r="M617" s="97"/>
      <c r="N617" s="97"/>
      <c r="O617" s="97"/>
      <c r="P617" s="97"/>
      <c r="Q617" s="97"/>
      <c r="R617" s="97"/>
      <c r="S617" s="97"/>
      <c r="T617" s="97"/>
      <c r="U617" s="97"/>
    </row>
    <row r="618" spans="1:21">
      <c r="A618"/>
      <c r="B618" s="89"/>
      <c r="C618" s="97"/>
      <c r="D618" s="97"/>
      <c r="E618" s="97"/>
      <c r="F618" s="97"/>
      <c r="G618" s="97"/>
      <c r="H618" s="97"/>
      <c r="I618" s="97"/>
      <c r="J618" s="97"/>
      <c r="K618" s="97"/>
      <c r="L618" s="97"/>
      <c r="M618" s="97"/>
      <c r="N618" s="97"/>
      <c r="O618" s="97"/>
      <c r="P618" s="97"/>
      <c r="Q618" s="97"/>
      <c r="R618" s="97"/>
      <c r="S618" s="97"/>
      <c r="T618" s="97"/>
      <c r="U618" s="97"/>
    </row>
    <row r="619" spans="1:21">
      <c r="A619"/>
      <c r="B619" s="89"/>
      <c r="C619" s="97"/>
      <c r="D619" s="97"/>
      <c r="E619" s="97"/>
      <c r="F619" s="97"/>
      <c r="G619" s="97"/>
      <c r="H619" s="97"/>
      <c r="I619" s="97"/>
      <c r="J619" s="97"/>
      <c r="K619" s="97"/>
      <c r="L619" s="97"/>
      <c r="M619" s="97"/>
      <c r="N619" s="97"/>
      <c r="O619" s="97"/>
      <c r="P619" s="97"/>
      <c r="Q619" s="97"/>
      <c r="R619" s="97"/>
      <c r="S619" s="97"/>
      <c r="T619" s="97"/>
      <c r="U619" s="97"/>
    </row>
    <row r="620" spans="1:21">
      <c r="A620"/>
      <c r="B620" s="89"/>
      <c r="C620" s="97"/>
      <c r="D620" s="97"/>
      <c r="E620" s="97"/>
      <c r="F620" s="97"/>
      <c r="G620" s="97"/>
      <c r="H620" s="97"/>
      <c r="I620" s="97"/>
      <c r="J620" s="97"/>
      <c r="K620" s="97"/>
      <c r="L620" s="97"/>
      <c r="M620" s="97"/>
      <c r="N620" s="97"/>
      <c r="O620" s="97"/>
      <c r="P620" s="97"/>
      <c r="Q620" s="97"/>
      <c r="R620" s="97"/>
      <c r="S620" s="97"/>
      <c r="T620" s="97"/>
      <c r="U620" s="97"/>
    </row>
    <row r="621" spans="1:21">
      <c r="A621"/>
      <c r="B621" s="89"/>
      <c r="C621" s="97"/>
      <c r="D621" s="97"/>
      <c r="E621" s="97"/>
      <c r="F621" s="97"/>
      <c r="G621" s="97"/>
      <c r="H621" s="97"/>
      <c r="I621" s="97"/>
      <c r="J621" s="97"/>
      <c r="K621" s="97"/>
      <c r="L621" s="97"/>
      <c r="M621" s="97"/>
      <c r="N621" s="97"/>
      <c r="O621" s="97"/>
      <c r="P621" s="97"/>
      <c r="Q621" s="97"/>
      <c r="R621" s="97"/>
      <c r="S621" s="97"/>
      <c r="T621" s="97"/>
      <c r="U621" s="97"/>
    </row>
    <row r="622" spans="1:21">
      <c r="A622"/>
      <c r="B622" s="89"/>
      <c r="C622" s="97"/>
      <c r="D622" s="97"/>
      <c r="E622" s="97"/>
      <c r="F622" s="97"/>
      <c r="G622" s="97"/>
      <c r="H622" s="97"/>
      <c r="I622" s="97"/>
      <c r="J622" s="97"/>
      <c r="K622" s="97"/>
      <c r="L622" s="97"/>
      <c r="M622" s="97"/>
      <c r="N622" s="97"/>
      <c r="O622" s="97"/>
      <c r="P622" s="97"/>
      <c r="Q622" s="97"/>
      <c r="R622" s="97"/>
      <c r="S622" s="97"/>
      <c r="T622" s="97"/>
      <c r="U622" s="97"/>
    </row>
    <row r="623" spans="1:21">
      <c r="A623"/>
      <c r="B623" s="89"/>
      <c r="C623" s="97"/>
      <c r="D623" s="97"/>
      <c r="E623" s="97"/>
      <c r="F623" s="97"/>
      <c r="G623" s="97"/>
      <c r="H623" s="97"/>
      <c r="I623" s="97"/>
      <c r="J623" s="97"/>
      <c r="K623" s="97"/>
      <c r="L623" s="97"/>
      <c r="M623" s="97"/>
      <c r="N623" s="97"/>
      <c r="O623" s="97"/>
      <c r="P623" s="97"/>
      <c r="Q623" s="97"/>
      <c r="R623" s="97"/>
      <c r="S623" s="97"/>
      <c r="T623" s="97"/>
      <c r="U623" s="97"/>
    </row>
    <row r="624" spans="1:21">
      <c r="A624"/>
      <c r="B624" s="89"/>
      <c r="C624" s="97"/>
      <c r="D624" s="97"/>
      <c r="E624" s="97"/>
      <c r="F624" s="97"/>
      <c r="G624" s="97"/>
      <c r="H624" s="97"/>
      <c r="I624" s="97"/>
      <c r="J624" s="97"/>
      <c r="K624" s="97"/>
      <c r="L624" s="97"/>
      <c r="M624" s="97"/>
      <c r="N624" s="97"/>
      <c r="O624" s="97"/>
      <c r="P624" s="97"/>
      <c r="Q624" s="97"/>
      <c r="R624" s="97"/>
      <c r="S624" s="97"/>
      <c r="T624" s="97"/>
      <c r="U624" s="97"/>
    </row>
    <row r="625" spans="1:21">
      <c r="A625"/>
      <c r="B625" s="89"/>
      <c r="C625" s="97"/>
      <c r="D625" s="97"/>
      <c r="E625" s="97"/>
      <c r="F625" s="97"/>
      <c r="G625" s="97"/>
      <c r="H625" s="97"/>
      <c r="I625" s="97"/>
      <c r="J625" s="97"/>
      <c r="K625" s="97"/>
      <c r="L625" s="97"/>
      <c r="M625" s="97"/>
      <c r="N625" s="97"/>
      <c r="O625" s="97"/>
      <c r="P625" s="97"/>
      <c r="Q625" s="97"/>
      <c r="R625" s="97"/>
      <c r="S625" s="97"/>
      <c r="T625" s="97"/>
      <c r="U625" s="97"/>
    </row>
    <row r="626" spans="1:21">
      <c r="A626"/>
      <c r="B626" s="89"/>
      <c r="C626" s="97"/>
      <c r="D626" s="97"/>
      <c r="E626" s="97"/>
      <c r="F626" s="97"/>
      <c r="G626" s="97"/>
      <c r="H626" s="97"/>
      <c r="I626" s="97"/>
      <c r="J626" s="97"/>
      <c r="K626" s="97"/>
      <c r="L626" s="97"/>
      <c r="M626" s="97"/>
      <c r="N626" s="97"/>
      <c r="O626" s="97"/>
      <c r="P626" s="97"/>
      <c r="Q626" s="97"/>
      <c r="R626" s="97"/>
      <c r="S626" s="97"/>
      <c r="T626" s="97"/>
      <c r="U626" s="97"/>
    </row>
    <row r="627" spans="1:21">
      <c r="A627"/>
      <c r="B627" s="89"/>
      <c r="C627" s="97"/>
      <c r="D627" s="97"/>
      <c r="E627" s="97"/>
      <c r="F627" s="97"/>
      <c r="G627" s="97"/>
      <c r="H627" s="97"/>
      <c r="I627" s="97"/>
      <c r="J627" s="97"/>
      <c r="K627" s="97"/>
      <c r="L627" s="97"/>
      <c r="M627" s="97"/>
      <c r="N627" s="97"/>
      <c r="O627" s="97"/>
      <c r="P627" s="97"/>
      <c r="Q627" s="97"/>
      <c r="R627" s="97"/>
      <c r="S627" s="97"/>
      <c r="T627" s="97"/>
      <c r="U627" s="97"/>
    </row>
    <row r="628" spans="1:21">
      <c r="A628"/>
      <c r="B628" s="89"/>
      <c r="C628" s="97"/>
      <c r="D628" s="97"/>
      <c r="E628" s="97"/>
      <c r="F628" s="97"/>
      <c r="G628" s="97"/>
      <c r="H628" s="97"/>
      <c r="I628" s="97"/>
      <c r="J628" s="97"/>
      <c r="K628" s="97"/>
      <c r="L628" s="97"/>
      <c r="M628" s="97"/>
      <c r="N628" s="97"/>
      <c r="O628" s="97"/>
      <c r="P628" s="97"/>
      <c r="Q628" s="97"/>
      <c r="R628" s="97"/>
      <c r="S628" s="97"/>
      <c r="T628" s="97"/>
      <c r="U628" s="97"/>
    </row>
    <row r="629" spans="1:21">
      <c r="A629"/>
      <c r="B629" s="89"/>
      <c r="C629" s="97"/>
      <c r="D629" s="97"/>
      <c r="E629" s="97"/>
      <c r="F629" s="97"/>
      <c r="G629" s="97"/>
      <c r="H629" s="97"/>
      <c r="I629" s="97"/>
      <c r="J629" s="97"/>
      <c r="K629" s="97"/>
      <c r="L629" s="97"/>
      <c r="M629" s="97"/>
      <c r="N629" s="97"/>
      <c r="O629" s="97"/>
      <c r="P629" s="97"/>
      <c r="Q629" s="97"/>
      <c r="R629" s="97"/>
      <c r="S629" s="97"/>
      <c r="T629" s="97"/>
      <c r="U629" s="97"/>
    </row>
    <row r="630" spans="1:21">
      <c r="A630"/>
      <c r="B630" s="89"/>
      <c r="C630" s="97"/>
      <c r="D630" s="97"/>
      <c r="E630" s="97"/>
      <c r="F630" s="97"/>
      <c r="G630" s="97"/>
      <c r="H630" s="97"/>
      <c r="I630" s="97"/>
      <c r="J630" s="97"/>
      <c r="K630" s="97"/>
      <c r="L630" s="97"/>
      <c r="M630" s="97"/>
      <c r="N630" s="97"/>
      <c r="O630" s="97"/>
      <c r="P630" s="97"/>
      <c r="Q630" s="97"/>
      <c r="R630" s="97"/>
      <c r="S630" s="97"/>
      <c r="T630" s="97"/>
      <c r="U630" s="97"/>
    </row>
    <row r="631" spans="1:21">
      <c r="A631"/>
      <c r="B631" s="89"/>
      <c r="C631" s="97"/>
      <c r="D631" s="97"/>
      <c r="E631" s="97"/>
      <c r="F631" s="97"/>
      <c r="G631" s="97"/>
      <c r="H631" s="97"/>
      <c r="I631" s="97"/>
      <c r="J631" s="97"/>
      <c r="K631" s="97"/>
      <c r="L631" s="97"/>
      <c r="M631" s="97"/>
      <c r="N631" s="97"/>
      <c r="O631" s="97"/>
      <c r="P631" s="97"/>
      <c r="Q631" s="97"/>
      <c r="R631" s="97"/>
      <c r="S631" s="97"/>
      <c r="T631" s="97"/>
      <c r="U631" s="97"/>
    </row>
    <row r="632" spans="1:21">
      <c r="A632"/>
      <c r="B632" s="89"/>
      <c r="C632" s="97"/>
      <c r="D632" s="97"/>
      <c r="E632" s="97"/>
      <c r="F632" s="97"/>
      <c r="G632" s="97"/>
      <c r="H632" s="97"/>
      <c r="I632" s="97"/>
      <c r="J632" s="97"/>
      <c r="K632" s="97"/>
      <c r="L632" s="97"/>
      <c r="M632" s="97"/>
      <c r="N632" s="97"/>
      <c r="O632" s="97"/>
      <c r="P632" s="97"/>
      <c r="Q632" s="97"/>
      <c r="R632" s="97"/>
      <c r="S632" s="97"/>
      <c r="T632" s="97"/>
      <c r="U632" s="97"/>
    </row>
    <row r="633" spans="1:21">
      <c r="A633"/>
      <c r="B633" s="89"/>
      <c r="C633" s="97"/>
      <c r="D633" s="97"/>
      <c r="E633" s="97"/>
      <c r="F633" s="97"/>
      <c r="G633" s="97"/>
      <c r="H633" s="97"/>
      <c r="I633" s="97"/>
      <c r="J633" s="97"/>
      <c r="K633" s="97"/>
      <c r="L633" s="97"/>
      <c r="M633" s="97"/>
      <c r="N633" s="97"/>
      <c r="O633" s="97"/>
      <c r="P633" s="97"/>
      <c r="Q633" s="97"/>
      <c r="R633" s="97"/>
      <c r="S633" s="97"/>
      <c r="T633" s="97"/>
      <c r="U633" s="97"/>
    </row>
    <row r="634" spans="1:21">
      <c r="A634"/>
      <c r="B634" s="89"/>
      <c r="C634" s="97"/>
      <c r="D634" s="97"/>
      <c r="E634" s="97"/>
      <c r="F634" s="97"/>
      <c r="G634" s="97"/>
      <c r="H634" s="97"/>
      <c r="I634" s="97"/>
      <c r="J634" s="97"/>
      <c r="K634" s="97"/>
      <c r="L634" s="97"/>
      <c r="M634" s="97"/>
      <c r="N634" s="97"/>
      <c r="O634" s="97"/>
      <c r="P634" s="97"/>
      <c r="Q634" s="97"/>
      <c r="R634" s="97"/>
      <c r="S634" s="97"/>
      <c r="T634" s="97"/>
      <c r="U634" s="97"/>
    </row>
    <row r="635" spans="1:21">
      <c r="A635"/>
      <c r="B635" s="89"/>
      <c r="C635" s="97"/>
      <c r="D635" s="97"/>
      <c r="E635" s="97"/>
      <c r="F635" s="97"/>
      <c r="G635" s="97"/>
      <c r="H635" s="97"/>
      <c r="I635" s="97"/>
      <c r="J635" s="97"/>
      <c r="K635" s="97"/>
      <c r="L635" s="97"/>
      <c r="M635" s="97"/>
      <c r="N635" s="97"/>
      <c r="O635" s="97"/>
      <c r="P635" s="97"/>
      <c r="Q635" s="97"/>
      <c r="R635" s="97"/>
      <c r="S635" s="97"/>
      <c r="T635" s="97"/>
      <c r="U635" s="97"/>
    </row>
    <row r="636" spans="1:21">
      <c r="A636"/>
      <c r="B636" s="89"/>
      <c r="C636" s="97"/>
      <c r="D636" s="97"/>
      <c r="E636" s="97"/>
      <c r="F636" s="97"/>
      <c r="G636" s="97"/>
      <c r="H636" s="97"/>
      <c r="I636" s="97"/>
      <c r="J636" s="97"/>
      <c r="K636" s="97"/>
      <c r="L636" s="97"/>
      <c r="M636" s="97"/>
      <c r="N636" s="97"/>
      <c r="O636" s="97"/>
      <c r="P636" s="97"/>
      <c r="Q636" s="97"/>
      <c r="R636" s="97"/>
      <c r="S636" s="97"/>
      <c r="T636" s="97"/>
      <c r="U636" s="97"/>
    </row>
    <row r="637" spans="1:21">
      <c r="A637"/>
      <c r="B637" s="89"/>
      <c r="C637" s="97"/>
      <c r="D637" s="97"/>
      <c r="E637" s="97"/>
      <c r="F637" s="97"/>
      <c r="G637" s="97"/>
      <c r="H637" s="97"/>
      <c r="I637" s="97"/>
      <c r="J637" s="97"/>
      <c r="K637" s="97"/>
      <c r="L637" s="97"/>
      <c r="M637" s="97"/>
      <c r="N637" s="97"/>
      <c r="O637" s="97"/>
      <c r="P637" s="97"/>
      <c r="Q637" s="97"/>
      <c r="R637" s="97"/>
      <c r="S637" s="97"/>
      <c r="T637" s="97"/>
      <c r="U637" s="97"/>
    </row>
    <row r="638" spans="1:21">
      <c r="A638"/>
      <c r="B638" s="89"/>
      <c r="C638" s="97"/>
      <c r="D638" s="97"/>
      <c r="E638" s="97"/>
      <c r="F638" s="97"/>
      <c r="G638" s="97"/>
      <c r="H638" s="97"/>
      <c r="I638" s="97"/>
      <c r="J638" s="97"/>
      <c r="K638" s="97"/>
      <c r="L638" s="97"/>
      <c r="M638" s="97"/>
      <c r="N638" s="97"/>
      <c r="O638" s="97"/>
      <c r="P638" s="97"/>
      <c r="Q638" s="97"/>
      <c r="R638" s="97"/>
      <c r="S638" s="97"/>
      <c r="T638" s="97"/>
      <c r="U638" s="97"/>
    </row>
    <row r="639" spans="1:21">
      <c r="A639"/>
      <c r="B639" s="89"/>
      <c r="C639" s="97"/>
      <c r="D639" s="97"/>
      <c r="E639" s="97"/>
      <c r="F639" s="97"/>
      <c r="G639" s="97"/>
      <c r="H639" s="97"/>
      <c r="I639" s="97"/>
      <c r="J639" s="97"/>
      <c r="K639" s="97"/>
      <c r="L639" s="97"/>
      <c r="M639" s="97"/>
      <c r="N639" s="97"/>
      <c r="O639" s="97"/>
      <c r="P639" s="97"/>
      <c r="Q639" s="97"/>
      <c r="R639" s="97"/>
      <c r="S639" s="97"/>
      <c r="T639" s="97"/>
      <c r="U639" s="97"/>
    </row>
    <row r="640" spans="1:21">
      <c r="A640"/>
      <c r="B640" s="89"/>
      <c r="C640" s="97"/>
      <c r="D640" s="97"/>
      <c r="E640" s="97"/>
      <c r="F640" s="97"/>
      <c r="G640" s="97"/>
      <c r="H640" s="97"/>
      <c r="I640" s="97"/>
      <c r="J640" s="97"/>
      <c r="K640" s="97"/>
      <c r="L640" s="97"/>
      <c r="M640" s="97"/>
      <c r="N640" s="97"/>
      <c r="O640" s="97"/>
      <c r="P640" s="97"/>
      <c r="Q640" s="97"/>
      <c r="R640" s="97"/>
      <c r="S640" s="97"/>
      <c r="T640" s="97"/>
      <c r="U640" s="97"/>
    </row>
    <row r="641" spans="1:21">
      <c r="A641"/>
      <c r="B641" s="89"/>
      <c r="C641" s="97"/>
      <c r="D641" s="97"/>
      <c r="E641" s="97"/>
      <c r="F641" s="97"/>
      <c r="G641" s="97"/>
      <c r="H641" s="97"/>
      <c r="I641" s="97"/>
      <c r="J641" s="97"/>
      <c r="K641" s="97"/>
      <c r="L641" s="97"/>
      <c r="M641" s="97"/>
      <c r="N641" s="97"/>
      <c r="O641" s="97"/>
      <c r="P641" s="97"/>
      <c r="Q641" s="97"/>
      <c r="R641" s="97"/>
      <c r="S641" s="97"/>
      <c r="T641" s="97"/>
      <c r="U641" s="97"/>
    </row>
    <row r="642" spans="1:21">
      <c r="A642"/>
      <c r="B642" s="89"/>
      <c r="C642" s="97"/>
      <c r="D642" s="97"/>
      <c r="E642" s="97"/>
      <c r="F642" s="97"/>
      <c r="G642" s="97"/>
      <c r="H642" s="97"/>
      <c r="I642" s="97"/>
      <c r="J642" s="97"/>
      <c r="K642" s="97"/>
      <c r="L642" s="97"/>
      <c r="M642" s="97"/>
      <c r="N642" s="97"/>
      <c r="O642" s="97"/>
      <c r="P642" s="97"/>
      <c r="Q642" s="97"/>
      <c r="R642" s="97"/>
      <c r="S642" s="97"/>
      <c r="T642" s="97"/>
      <c r="U642" s="97"/>
    </row>
    <row r="643" spans="1:21">
      <c r="A643"/>
      <c r="B643" s="89"/>
      <c r="C643" s="97"/>
      <c r="D643" s="97"/>
      <c r="E643" s="97"/>
      <c r="F643" s="97"/>
      <c r="G643" s="97"/>
      <c r="H643" s="97"/>
      <c r="I643" s="97"/>
      <c r="J643" s="97"/>
      <c r="K643" s="97"/>
      <c r="L643" s="97"/>
      <c r="M643" s="97"/>
      <c r="N643" s="97"/>
      <c r="O643" s="97"/>
      <c r="P643" s="97"/>
      <c r="Q643" s="97"/>
      <c r="R643" s="97"/>
      <c r="S643" s="97"/>
      <c r="T643" s="97"/>
      <c r="U643" s="97"/>
    </row>
    <row r="644" spans="1:21">
      <c r="A644"/>
      <c r="B644" s="89"/>
      <c r="C644" s="97"/>
      <c r="D644" s="97"/>
      <c r="E644" s="97"/>
      <c r="F644" s="97"/>
      <c r="G644" s="97"/>
      <c r="H644" s="97"/>
      <c r="I644" s="97"/>
      <c r="J644" s="97"/>
      <c r="K644" s="97"/>
      <c r="L644" s="97"/>
      <c r="M644" s="97"/>
      <c r="N644" s="97"/>
      <c r="O644" s="97"/>
      <c r="P644" s="97"/>
      <c r="Q644" s="97"/>
      <c r="R644" s="97"/>
      <c r="S644" s="97"/>
      <c r="T644" s="97"/>
      <c r="U644" s="97"/>
    </row>
    <row r="645" spans="1:21">
      <c r="A645"/>
      <c r="B645" s="89"/>
      <c r="C645" s="97"/>
      <c r="D645" s="97"/>
      <c r="E645" s="97"/>
      <c r="F645" s="97"/>
      <c r="G645" s="97"/>
      <c r="H645" s="97"/>
      <c r="I645" s="97"/>
      <c r="J645" s="97"/>
      <c r="K645" s="97"/>
      <c r="L645" s="97"/>
      <c r="M645" s="97"/>
      <c r="N645" s="97"/>
      <c r="O645" s="97"/>
      <c r="P645" s="97"/>
      <c r="Q645" s="97"/>
      <c r="R645" s="97"/>
      <c r="S645" s="97"/>
      <c r="T645" s="97"/>
      <c r="U645" s="97"/>
    </row>
    <row r="646" spans="1:21">
      <c r="A646"/>
      <c r="B646" s="89"/>
      <c r="C646" s="97"/>
      <c r="D646" s="97"/>
      <c r="E646" s="97"/>
      <c r="F646" s="97"/>
      <c r="G646" s="97"/>
      <c r="H646" s="97"/>
      <c r="I646" s="97"/>
      <c r="J646" s="97"/>
      <c r="K646" s="97"/>
      <c r="L646" s="97"/>
      <c r="M646" s="97"/>
      <c r="N646" s="97"/>
      <c r="O646" s="97"/>
      <c r="P646" s="97"/>
      <c r="Q646" s="97"/>
      <c r="R646" s="97"/>
      <c r="S646" s="97"/>
      <c r="T646" s="97"/>
      <c r="U646" s="97"/>
    </row>
    <row r="647" spans="1:21">
      <c r="A647"/>
      <c r="B647" s="89"/>
      <c r="C647" s="97"/>
      <c r="D647" s="97"/>
      <c r="E647" s="97"/>
      <c r="F647" s="97"/>
      <c r="G647" s="97"/>
      <c r="H647" s="97"/>
      <c r="I647" s="97"/>
      <c r="J647" s="97"/>
      <c r="K647" s="97"/>
      <c r="L647" s="97"/>
      <c r="M647" s="97"/>
      <c r="N647" s="97"/>
      <c r="O647" s="97"/>
      <c r="P647" s="97"/>
      <c r="Q647" s="97"/>
      <c r="R647" s="97"/>
      <c r="S647" s="97"/>
      <c r="T647" s="97"/>
      <c r="U647" s="97"/>
    </row>
    <row r="648" spans="1:21">
      <c r="A648"/>
      <c r="B648" s="89"/>
      <c r="C648" s="97"/>
      <c r="D648" s="97"/>
      <c r="E648" s="97"/>
      <c r="F648" s="97"/>
      <c r="G648" s="97"/>
      <c r="H648" s="97"/>
      <c r="I648" s="97"/>
      <c r="J648" s="97"/>
      <c r="K648" s="97"/>
      <c r="L648" s="97"/>
      <c r="M648" s="97"/>
      <c r="N648" s="97"/>
      <c r="O648" s="97"/>
      <c r="P648" s="97"/>
      <c r="Q648" s="97"/>
      <c r="R648" s="97"/>
      <c r="S648" s="97"/>
      <c r="T648" s="97"/>
      <c r="U648" s="97"/>
    </row>
    <row r="649" spans="1:21">
      <c r="A649"/>
      <c r="B649" s="89"/>
      <c r="C649" s="97"/>
      <c r="D649" s="97"/>
      <c r="E649" s="97"/>
      <c r="F649" s="97"/>
      <c r="G649" s="97"/>
      <c r="H649" s="97"/>
      <c r="I649" s="97"/>
      <c r="J649" s="97"/>
      <c r="K649" s="97"/>
      <c r="L649" s="97"/>
      <c r="M649" s="97"/>
      <c r="N649" s="97"/>
      <c r="O649" s="97"/>
      <c r="P649" s="97"/>
      <c r="Q649" s="97"/>
      <c r="R649" s="97"/>
      <c r="S649" s="97"/>
      <c r="T649" s="97"/>
      <c r="U649" s="97"/>
    </row>
    <row r="650" spans="1:21">
      <c r="A650"/>
      <c r="B650" s="89"/>
      <c r="C650" s="97"/>
      <c r="D650" s="97"/>
      <c r="E650" s="97"/>
      <c r="F650" s="97"/>
      <c r="G650" s="97"/>
      <c r="H650" s="97"/>
      <c r="I650" s="97"/>
      <c r="J650" s="97"/>
      <c r="K650" s="97"/>
      <c r="L650" s="97"/>
      <c r="M650" s="97"/>
      <c r="N650" s="97"/>
      <c r="O650" s="97"/>
      <c r="P650" s="97"/>
      <c r="Q650" s="97"/>
      <c r="R650" s="97"/>
      <c r="S650" s="97"/>
      <c r="T650" s="97"/>
      <c r="U650" s="97"/>
    </row>
    <row r="651" spans="1:21">
      <c r="A651"/>
      <c r="B651" s="89"/>
      <c r="C651" s="97"/>
      <c r="D651" s="97"/>
      <c r="E651" s="97"/>
      <c r="F651" s="97"/>
      <c r="G651" s="97"/>
      <c r="H651" s="97"/>
      <c r="I651" s="97"/>
      <c r="J651" s="97"/>
      <c r="K651" s="97"/>
      <c r="L651" s="97"/>
      <c r="M651" s="97"/>
      <c r="N651" s="97"/>
      <c r="O651" s="97"/>
      <c r="P651" s="97"/>
      <c r="Q651" s="97"/>
      <c r="R651" s="97"/>
      <c r="S651" s="97"/>
      <c r="T651" s="97"/>
      <c r="U651" s="97"/>
    </row>
    <row r="652" spans="1:21">
      <c r="A652"/>
      <c r="B652" s="89"/>
      <c r="C652" s="97"/>
      <c r="D652" s="97"/>
      <c r="E652" s="97"/>
      <c r="F652" s="97"/>
      <c r="G652" s="97"/>
      <c r="H652" s="97"/>
      <c r="I652" s="97"/>
      <c r="J652" s="97"/>
      <c r="K652" s="97"/>
      <c r="L652" s="97"/>
      <c r="M652" s="97"/>
      <c r="N652" s="97"/>
      <c r="O652" s="97"/>
      <c r="P652" s="97"/>
      <c r="Q652" s="97"/>
      <c r="R652" s="97"/>
      <c r="S652" s="97"/>
      <c r="T652" s="97"/>
      <c r="U652" s="97"/>
    </row>
    <row r="653" spans="1:21">
      <c r="A653"/>
      <c r="B653" s="89"/>
      <c r="C653" s="97"/>
      <c r="D653" s="97"/>
      <c r="E653" s="97"/>
      <c r="F653" s="97"/>
      <c r="G653" s="97"/>
      <c r="H653" s="97"/>
      <c r="I653" s="97"/>
      <c r="J653" s="97"/>
      <c r="K653" s="97"/>
      <c r="L653" s="97"/>
      <c r="M653" s="97"/>
      <c r="N653" s="97"/>
      <c r="O653" s="97"/>
      <c r="P653" s="97"/>
      <c r="Q653" s="97"/>
      <c r="R653" s="97"/>
      <c r="S653" s="97"/>
      <c r="T653" s="97"/>
      <c r="U653" s="97"/>
    </row>
    <row r="654" spans="1:21">
      <c r="A654"/>
      <c r="B654" s="89"/>
      <c r="C654" s="97"/>
      <c r="D654" s="97"/>
      <c r="E654" s="97"/>
      <c r="F654" s="97"/>
      <c r="G654" s="97"/>
      <c r="H654" s="97"/>
      <c r="I654" s="97"/>
      <c r="J654" s="97"/>
      <c r="K654" s="97"/>
      <c r="L654" s="97"/>
      <c r="M654" s="97"/>
      <c r="N654" s="97"/>
      <c r="O654" s="97"/>
      <c r="P654" s="97"/>
      <c r="Q654" s="97"/>
      <c r="R654" s="97"/>
      <c r="S654" s="97"/>
      <c r="T654" s="97"/>
      <c r="U654" s="97"/>
    </row>
    <row r="655" spans="1:21">
      <c r="A655"/>
      <c r="B655" s="89"/>
      <c r="C655" s="97"/>
      <c r="D655" s="97"/>
      <c r="E655" s="97"/>
      <c r="F655" s="97"/>
      <c r="G655" s="97"/>
      <c r="H655" s="97"/>
      <c r="I655" s="97"/>
      <c r="J655" s="97"/>
      <c r="K655" s="97"/>
      <c r="L655" s="97"/>
      <c r="M655" s="97"/>
      <c r="N655" s="97"/>
      <c r="O655" s="97"/>
      <c r="P655" s="97"/>
      <c r="Q655" s="97"/>
      <c r="R655" s="97"/>
      <c r="S655" s="97"/>
      <c r="T655" s="97"/>
      <c r="U655" s="97"/>
    </row>
    <row r="656" spans="1:21">
      <c r="A656"/>
      <c r="B656" s="89"/>
      <c r="C656" s="97"/>
      <c r="D656" s="97"/>
      <c r="E656" s="97"/>
      <c r="F656" s="97"/>
      <c r="G656" s="97"/>
      <c r="H656" s="97"/>
      <c r="I656" s="97"/>
      <c r="J656" s="97"/>
      <c r="K656" s="97"/>
      <c r="L656" s="97"/>
      <c r="M656" s="97"/>
      <c r="N656" s="97"/>
      <c r="O656" s="97"/>
      <c r="P656" s="97"/>
      <c r="Q656" s="97"/>
      <c r="R656" s="97"/>
      <c r="S656" s="97"/>
      <c r="T656" s="97"/>
      <c r="U656" s="97"/>
    </row>
    <row r="657" spans="1:21">
      <c r="A657"/>
      <c r="B657" s="89"/>
      <c r="C657" s="97"/>
      <c r="D657" s="97"/>
      <c r="E657" s="97"/>
      <c r="F657" s="97"/>
      <c r="G657" s="97"/>
      <c r="H657" s="97"/>
      <c r="I657" s="97"/>
      <c r="J657" s="97"/>
      <c r="K657" s="97"/>
      <c r="L657" s="97"/>
      <c r="M657" s="97"/>
      <c r="N657" s="97"/>
      <c r="O657" s="97"/>
      <c r="P657" s="97"/>
      <c r="Q657" s="97"/>
      <c r="R657" s="97"/>
      <c r="S657" s="97"/>
      <c r="T657" s="97"/>
      <c r="U657" s="97"/>
    </row>
    <row r="658" spans="1:21">
      <c r="A658"/>
      <c r="B658" s="89"/>
      <c r="C658" s="97"/>
      <c r="D658" s="97"/>
      <c r="E658" s="97"/>
      <c r="F658" s="97"/>
      <c r="G658" s="97"/>
      <c r="H658" s="97"/>
      <c r="I658" s="97"/>
      <c r="J658" s="97"/>
      <c r="K658" s="97"/>
      <c r="L658" s="97"/>
      <c r="M658" s="97"/>
      <c r="N658" s="97"/>
      <c r="O658" s="97"/>
      <c r="P658" s="97"/>
      <c r="Q658" s="97"/>
      <c r="R658" s="97"/>
      <c r="S658" s="97"/>
      <c r="T658" s="97"/>
      <c r="U658" s="97"/>
    </row>
    <row r="659" spans="1:21">
      <c r="A659"/>
      <c r="B659" s="89"/>
      <c r="C659" s="97"/>
      <c r="D659" s="97"/>
      <c r="E659" s="97"/>
      <c r="F659" s="97"/>
      <c r="G659" s="97"/>
      <c r="H659" s="97"/>
      <c r="I659" s="97"/>
      <c r="J659" s="97"/>
      <c r="K659" s="97"/>
      <c r="L659" s="97"/>
      <c r="M659" s="97"/>
      <c r="N659" s="97"/>
      <c r="O659" s="97"/>
      <c r="P659" s="97"/>
      <c r="Q659" s="97"/>
      <c r="R659" s="97"/>
      <c r="S659" s="97"/>
      <c r="T659" s="97"/>
      <c r="U659" s="97"/>
    </row>
    <row r="660" spans="1:21">
      <c r="A660"/>
      <c r="B660" s="89"/>
      <c r="C660" s="97"/>
      <c r="D660" s="97"/>
      <c r="E660" s="97"/>
      <c r="F660" s="97"/>
      <c r="G660" s="97"/>
      <c r="H660" s="97"/>
      <c r="I660" s="97"/>
      <c r="J660" s="97"/>
      <c r="K660" s="97"/>
      <c r="L660" s="97"/>
      <c r="M660" s="97"/>
      <c r="N660" s="97"/>
      <c r="O660" s="97"/>
      <c r="P660" s="97"/>
      <c r="Q660" s="97"/>
      <c r="R660" s="97"/>
      <c r="S660" s="97"/>
      <c r="T660" s="97"/>
      <c r="U660" s="97"/>
    </row>
    <row r="661" spans="1:21">
      <c r="A661"/>
      <c r="B661" s="89"/>
      <c r="C661" s="97"/>
      <c r="D661" s="97"/>
      <c r="E661" s="97"/>
      <c r="F661" s="97"/>
      <c r="G661" s="97"/>
      <c r="H661" s="97"/>
      <c r="I661" s="97"/>
      <c r="J661" s="97"/>
      <c r="K661" s="97"/>
      <c r="L661" s="97"/>
      <c r="M661" s="97"/>
      <c r="N661" s="97"/>
      <c r="O661" s="97"/>
      <c r="P661" s="97"/>
      <c r="Q661" s="97"/>
      <c r="R661" s="97"/>
      <c r="S661" s="97"/>
      <c r="T661" s="97"/>
      <c r="U661" s="97"/>
    </row>
    <row r="662" spans="1:21">
      <c r="A662"/>
      <c r="B662" s="89"/>
      <c r="C662" s="97"/>
      <c r="D662" s="97"/>
      <c r="E662" s="97"/>
      <c r="F662" s="97"/>
      <c r="G662" s="97"/>
      <c r="H662" s="97"/>
      <c r="I662" s="97"/>
      <c r="J662" s="97"/>
      <c r="K662" s="97"/>
      <c r="L662" s="97"/>
      <c r="M662" s="97"/>
      <c r="N662" s="97"/>
      <c r="O662" s="97"/>
      <c r="P662" s="97"/>
      <c r="Q662" s="97"/>
      <c r="R662" s="97"/>
      <c r="S662" s="97"/>
      <c r="T662" s="97"/>
      <c r="U662" s="97"/>
    </row>
    <row r="663" spans="1:21">
      <c r="A663"/>
      <c r="B663" s="89"/>
      <c r="C663" s="97"/>
      <c r="D663" s="97"/>
      <c r="E663" s="97"/>
      <c r="F663" s="97"/>
      <c r="G663" s="97"/>
      <c r="H663" s="97"/>
      <c r="I663" s="97"/>
      <c r="J663" s="97"/>
      <c r="K663" s="97"/>
      <c r="L663" s="97"/>
      <c r="M663" s="97"/>
      <c r="N663" s="97"/>
      <c r="O663" s="97"/>
      <c r="P663" s="97"/>
      <c r="Q663" s="97"/>
      <c r="R663" s="97"/>
      <c r="S663" s="97"/>
      <c r="T663" s="97"/>
      <c r="U663" s="97"/>
    </row>
    <row r="664" spans="1:21">
      <c r="A664"/>
      <c r="B664" s="89"/>
      <c r="C664" s="97"/>
      <c r="D664" s="97"/>
      <c r="E664" s="97"/>
      <c r="F664" s="97"/>
      <c r="G664" s="97"/>
      <c r="H664" s="97"/>
      <c r="I664" s="97"/>
      <c r="J664" s="97"/>
      <c r="K664" s="97"/>
      <c r="L664" s="97"/>
      <c r="M664" s="97"/>
      <c r="N664" s="97"/>
      <c r="O664" s="97"/>
      <c r="P664" s="97"/>
      <c r="Q664" s="97"/>
      <c r="R664" s="97"/>
      <c r="S664" s="97"/>
      <c r="T664" s="97"/>
      <c r="U664" s="97"/>
    </row>
    <row r="665" spans="1:21">
      <c r="A665"/>
      <c r="B665" s="89"/>
      <c r="C665" s="97"/>
      <c r="D665" s="97"/>
      <c r="E665" s="97"/>
      <c r="F665" s="97"/>
      <c r="G665" s="97"/>
      <c r="H665" s="97"/>
      <c r="I665" s="97"/>
      <c r="J665" s="97"/>
      <c r="K665" s="97"/>
      <c r="L665" s="97"/>
      <c r="M665" s="97"/>
      <c r="N665" s="97"/>
      <c r="O665" s="97"/>
      <c r="P665" s="97"/>
      <c r="Q665" s="97"/>
      <c r="R665" s="97"/>
      <c r="S665" s="97"/>
      <c r="T665" s="97"/>
      <c r="U665" s="97"/>
    </row>
    <row r="666" spans="1:21">
      <c r="A666"/>
      <c r="B666" s="89"/>
      <c r="C666" s="97"/>
      <c r="D666" s="97"/>
      <c r="E666" s="97"/>
      <c r="F666" s="97"/>
      <c r="G666" s="97"/>
      <c r="H666" s="97"/>
      <c r="I666" s="97"/>
      <c r="J666" s="97"/>
      <c r="K666" s="97"/>
      <c r="L666" s="97"/>
      <c r="M666" s="97"/>
      <c r="N666" s="97"/>
      <c r="O666" s="97"/>
      <c r="P666" s="97"/>
      <c r="Q666" s="97"/>
      <c r="R666" s="97"/>
      <c r="S666" s="97"/>
      <c r="T666" s="97"/>
      <c r="U666" s="97"/>
    </row>
    <row r="667" spans="1:21">
      <c r="A667"/>
      <c r="B667" s="89"/>
      <c r="C667" s="97"/>
      <c r="D667" s="97"/>
      <c r="E667" s="97"/>
      <c r="F667" s="97"/>
      <c r="G667" s="97"/>
      <c r="H667" s="97"/>
      <c r="I667" s="97"/>
      <c r="J667" s="97"/>
      <c r="K667" s="97"/>
      <c r="L667" s="97"/>
      <c r="M667" s="97"/>
      <c r="N667" s="97"/>
      <c r="O667" s="97"/>
      <c r="P667" s="97"/>
      <c r="Q667" s="97"/>
      <c r="R667" s="97"/>
      <c r="S667" s="97"/>
      <c r="T667" s="97"/>
      <c r="U667" s="97"/>
    </row>
    <row r="668" spans="1:21">
      <c r="A668"/>
      <c r="B668" s="89"/>
      <c r="C668" s="97"/>
      <c r="D668" s="97"/>
      <c r="E668" s="97"/>
      <c r="F668" s="97"/>
      <c r="G668" s="97"/>
      <c r="H668" s="97"/>
      <c r="I668" s="97"/>
      <c r="J668" s="97"/>
      <c r="K668" s="97"/>
      <c r="L668" s="97"/>
      <c r="M668" s="97"/>
      <c r="N668" s="97"/>
      <c r="O668" s="97"/>
      <c r="P668" s="97"/>
      <c r="Q668" s="97"/>
      <c r="R668" s="97"/>
      <c r="S668" s="97"/>
      <c r="T668" s="97"/>
      <c r="U668" s="97"/>
    </row>
    <row r="669" spans="1:21">
      <c r="A669"/>
      <c r="B669" s="89"/>
      <c r="C669" s="97"/>
      <c r="D669" s="97"/>
      <c r="E669" s="97"/>
      <c r="F669" s="97"/>
      <c r="G669" s="97"/>
      <c r="H669" s="97"/>
      <c r="I669" s="97"/>
      <c r="J669" s="97"/>
      <c r="K669" s="97"/>
      <c r="L669" s="97"/>
      <c r="M669" s="97"/>
      <c r="N669" s="97"/>
      <c r="O669" s="97"/>
      <c r="P669" s="97"/>
      <c r="Q669" s="97"/>
      <c r="R669" s="97"/>
      <c r="S669" s="97"/>
      <c r="T669" s="97"/>
      <c r="U669" s="97"/>
    </row>
    <row r="670" spans="1:21">
      <c r="A670"/>
      <c r="B670" s="89"/>
      <c r="C670" s="97"/>
      <c r="D670" s="97"/>
      <c r="E670" s="97"/>
      <c r="F670" s="97"/>
      <c r="G670" s="97"/>
      <c r="H670" s="97"/>
      <c r="I670" s="97"/>
      <c r="J670" s="97"/>
      <c r="K670" s="97"/>
      <c r="L670" s="97"/>
      <c r="M670" s="97"/>
      <c r="N670" s="97"/>
      <c r="O670" s="97"/>
      <c r="P670" s="97"/>
      <c r="Q670" s="97"/>
      <c r="R670" s="97"/>
      <c r="S670" s="97"/>
      <c r="T670" s="97"/>
      <c r="U670" s="97"/>
    </row>
    <row r="671" spans="1:21">
      <c r="A671"/>
      <c r="B671" s="89"/>
      <c r="C671" s="97"/>
      <c r="D671" s="97"/>
      <c r="E671" s="97"/>
      <c r="F671" s="97"/>
      <c r="G671" s="97"/>
      <c r="H671" s="97"/>
      <c r="I671" s="97"/>
      <c r="J671" s="97"/>
      <c r="K671" s="97"/>
      <c r="L671" s="97"/>
      <c r="M671" s="97"/>
      <c r="N671" s="97"/>
      <c r="O671" s="97"/>
      <c r="P671" s="97"/>
      <c r="Q671" s="97"/>
      <c r="R671" s="97"/>
      <c r="S671" s="97"/>
      <c r="T671" s="97"/>
      <c r="U671" s="97"/>
    </row>
    <row r="672" spans="1:21">
      <c r="A672"/>
      <c r="B672" s="89"/>
      <c r="C672" s="97"/>
      <c r="D672" s="97"/>
      <c r="E672" s="97"/>
      <c r="F672" s="97"/>
      <c r="G672" s="97"/>
      <c r="H672" s="97"/>
      <c r="I672" s="97"/>
      <c r="J672" s="97"/>
      <c r="K672" s="97"/>
      <c r="L672" s="97"/>
      <c r="M672" s="97"/>
      <c r="N672" s="97"/>
      <c r="O672" s="97"/>
      <c r="P672" s="97"/>
      <c r="Q672" s="97"/>
      <c r="R672" s="97"/>
      <c r="S672" s="97"/>
      <c r="T672" s="97"/>
      <c r="U672" s="97"/>
    </row>
    <row r="673" spans="1:21">
      <c r="A673"/>
      <c r="B673" s="89"/>
      <c r="C673" s="97"/>
      <c r="D673" s="97"/>
      <c r="E673" s="97"/>
      <c r="F673" s="97"/>
      <c r="G673" s="97"/>
      <c r="H673" s="97"/>
      <c r="I673" s="97"/>
      <c r="J673" s="97"/>
      <c r="K673" s="97"/>
      <c r="L673" s="97"/>
      <c r="M673" s="97"/>
      <c r="N673" s="97"/>
      <c r="O673" s="97"/>
      <c r="P673" s="97"/>
      <c r="Q673" s="97"/>
      <c r="R673" s="97"/>
      <c r="S673" s="97"/>
      <c r="T673" s="97"/>
      <c r="U673" s="97"/>
    </row>
    <row r="674" spans="1:21">
      <c r="A674"/>
      <c r="B674" s="89"/>
      <c r="C674" s="97"/>
      <c r="D674" s="97"/>
      <c r="E674" s="97"/>
      <c r="F674" s="97"/>
      <c r="G674" s="97"/>
      <c r="H674" s="97"/>
      <c r="I674" s="97"/>
      <c r="J674" s="97"/>
      <c r="K674" s="97"/>
      <c r="L674" s="97"/>
      <c r="M674" s="97"/>
      <c r="N674" s="97"/>
      <c r="O674" s="97"/>
      <c r="P674" s="97"/>
      <c r="Q674" s="97"/>
      <c r="R674" s="97"/>
      <c r="S674" s="97"/>
      <c r="T674" s="97"/>
      <c r="U674" s="97"/>
    </row>
    <row r="675" spans="1:21">
      <c r="A675"/>
      <c r="B675" s="89"/>
      <c r="C675" s="97"/>
      <c r="D675" s="97"/>
      <c r="E675" s="97"/>
      <c r="F675" s="97"/>
      <c r="G675" s="97"/>
      <c r="H675" s="97"/>
      <c r="I675" s="97"/>
      <c r="J675" s="97"/>
      <c r="K675" s="97"/>
      <c r="L675" s="97"/>
      <c r="M675" s="97"/>
      <c r="N675" s="97"/>
      <c r="O675" s="97"/>
      <c r="P675" s="97"/>
      <c r="Q675" s="97"/>
      <c r="R675" s="97"/>
      <c r="S675" s="97"/>
      <c r="T675" s="97"/>
      <c r="U675" s="97"/>
    </row>
    <row r="676" spans="1:21">
      <c r="A676"/>
      <c r="B676" s="89"/>
      <c r="C676" s="97"/>
      <c r="D676" s="97"/>
      <c r="E676" s="97"/>
      <c r="F676" s="97"/>
      <c r="G676" s="97"/>
      <c r="H676" s="97"/>
      <c r="I676" s="97"/>
      <c r="J676" s="97"/>
      <c r="K676" s="97"/>
      <c r="L676" s="97"/>
      <c r="M676" s="97"/>
      <c r="N676" s="97"/>
      <c r="O676" s="97"/>
      <c r="P676" s="97"/>
      <c r="Q676" s="97"/>
      <c r="R676" s="97"/>
      <c r="S676" s="97"/>
      <c r="T676" s="97"/>
      <c r="U676" s="97"/>
    </row>
    <row r="677" spans="1:21">
      <c r="A677"/>
      <c r="B677" s="89"/>
      <c r="C677" s="97"/>
      <c r="D677" s="97"/>
      <c r="E677" s="97"/>
      <c r="F677" s="97"/>
      <c r="G677" s="97"/>
      <c r="H677" s="97"/>
      <c r="I677" s="97"/>
      <c r="J677" s="97"/>
      <c r="K677" s="97"/>
      <c r="L677" s="97"/>
      <c r="M677" s="97"/>
      <c r="N677" s="97"/>
      <c r="O677" s="97"/>
      <c r="P677" s="97"/>
      <c r="Q677" s="97"/>
      <c r="R677" s="97"/>
      <c r="S677" s="97"/>
      <c r="T677" s="97"/>
      <c r="U677" s="97"/>
    </row>
    <row r="678" spans="1:21">
      <c r="A678"/>
      <c r="B678" s="89"/>
      <c r="C678" s="97"/>
      <c r="D678" s="97"/>
      <c r="E678" s="97"/>
      <c r="F678" s="97"/>
      <c r="G678" s="97"/>
      <c r="H678" s="97"/>
      <c r="I678" s="97"/>
      <c r="J678" s="97"/>
      <c r="K678" s="97"/>
      <c r="L678" s="97"/>
      <c r="M678" s="97"/>
      <c r="N678" s="97"/>
      <c r="O678" s="97"/>
      <c r="P678" s="97"/>
      <c r="Q678" s="97"/>
      <c r="R678" s="97"/>
      <c r="S678" s="97"/>
      <c r="T678" s="97"/>
      <c r="U678" s="97"/>
    </row>
    <row r="679" spans="1:21">
      <c r="A679"/>
      <c r="B679" s="89"/>
      <c r="C679" s="97"/>
      <c r="D679" s="97"/>
      <c r="E679" s="97"/>
      <c r="F679" s="97"/>
      <c r="G679" s="97"/>
      <c r="H679" s="97"/>
      <c r="I679" s="97"/>
      <c r="J679" s="97"/>
      <c r="K679" s="97"/>
      <c r="L679" s="97"/>
      <c r="M679" s="97"/>
      <c r="N679" s="97"/>
      <c r="O679" s="97"/>
      <c r="P679" s="97"/>
      <c r="Q679" s="97"/>
      <c r="R679" s="97"/>
      <c r="S679" s="97"/>
      <c r="T679" s="97"/>
      <c r="U679" s="97"/>
    </row>
    <row r="680" spans="1:21">
      <c r="A680"/>
      <c r="B680" s="89"/>
      <c r="C680" s="97"/>
      <c r="D680" s="97"/>
      <c r="E680" s="97"/>
      <c r="F680" s="97"/>
      <c r="G680" s="97"/>
      <c r="H680" s="97"/>
      <c r="I680" s="97"/>
      <c r="J680" s="97"/>
      <c r="K680" s="97"/>
      <c r="L680" s="97"/>
      <c r="M680" s="97"/>
      <c r="N680" s="97"/>
      <c r="O680" s="97"/>
      <c r="P680" s="97"/>
      <c r="Q680" s="97"/>
      <c r="R680" s="97"/>
      <c r="S680" s="97"/>
      <c r="T680" s="97"/>
      <c r="U680" s="97"/>
    </row>
    <row r="681" spans="1:21">
      <c r="A681"/>
      <c r="B681" s="89"/>
      <c r="C681" s="97"/>
      <c r="D681" s="97"/>
      <c r="E681" s="97"/>
      <c r="F681" s="97"/>
      <c r="G681" s="97"/>
      <c r="H681" s="97"/>
      <c r="I681" s="97"/>
      <c r="J681" s="97"/>
      <c r="K681" s="97"/>
      <c r="L681" s="97"/>
      <c r="M681" s="97"/>
      <c r="N681" s="97"/>
      <c r="O681" s="97"/>
      <c r="P681" s="97"/>
      <c r="Q681" s="97"/>
      <c r="R681" s="97"/>
      <c r="S681" s="97"/>
      <c r="T681" s="97"/>
      <c r="U681" s="97"/>
    </row>
    <row r="682" spans="1:21">
      <c r="A682"/>
      <c r="B682" s="89"/>
      <c r="C682" s="97"/>
      <c r="D682" s="97"/>
      <c r="E682" s="97"/>
      <c r="F682" s="97"/>
      <c r="G682" s="97"/>
      <c r="H682" s="97"/>
      <c r="I682" s="97"/>
      <c r="J682" s="97"/>
      <c r="K682" s="97"/>
      <c r="L682" s="97"/>
      <c r="M682" s="97"/>
      <c r="N682" s="97"/>
      <c r="O682" s="97"/>
      <c r="P682" s="97"/>
      <c r="Q682" s="97"/>
      <c r="R682" s="97"/>
      <c r="S682" s="97"/>
      <c r="T682" s="97"/>
      <c r="U682" s="97"/>
    </row>
    <row r="683" spans="1:21">
      <c r="A683"/>
      <c r="B683" s="89"/>
      <c r="C683" s="97"/>
      <c r="D683" s="97"/>
      <c r="E683" s="97"/>
      <c r="F683" s="97"/>
      <c r="G683" s="97"/>
      <c r="H683" s="97"/>
      <c r="I683" s="97"/>
      <c r="J683" s="97"/>
      <c r="K683" s="97"/>
      <c r="L683" s="97"/>
      <c r="M683" s="97"/>
      <c r="N683" s="97"/>
      <c r="O683" s="97"/>
      <c r="P683" s="97"/>
      <c r="Q683" s="97"/>
      <c r="R683" s="97"/>
      <c r="S683" s="97"/>
      <c r="T683" s="97"/>
      <c r="U683" s="97"/>
    </row>
    <row r="684" spans="1:21">
      <c r="A684"/>
      <c r="B684" s="89"/>
      <c r="C684" s="97"/>
      <c r="D684" s="97"/>
      <c r="E684" s="97"/>
      <c r="F684" s="97"/>
      <c r="G684" s="97"/>
      <c r="H684" s="97"/>
      <c r="I684" s="97"/>
      <c r="J684" s="97"/>
      <c r="K684" s="97"/>
      <c r="L684" s="97"/>
      <c r="M684" s="97"/>
      <c r="N684" s="97"/>
      <c r="O684" s="97"/>
      <c r="P684" s="97"/>
      <c r="Q684" s="97"/>
      <c r="R684" s="97"/>
      <c r="S684" s="97"/>
      <c r="T684" s="97"/>
      <c r="U684" s="97"/>
    </row>
    <row r="685" spans="1:21">
      <c r="A685"/>
      <c r="B685" s="89"/>
      <c r="C685" s="97"/>
      <c r="D685" s="97"/>
      <c r="E685" s="97"/>
      <c r="F685" s="97"/>
      <c r="G685" s="97"/>
      <c r="H685" s="97"/>
      <c r="I685" s="97"/>
      <c r="J685" s="97"/>
      <c r="K685" s="97"/>
      <c r="L685" s="97"/>
      <c r="M685" s="97"/>
      <c r="N685" s="97"/>
      <c r="O685" s="97"/>
      <c r="P685" s="97"/>
      <c r="Q685" s="97"/>
      <c r="R685" s="97"/>
      <c r="S685" s="97"/>
      <c r="T685" s="97"/>
      <c r="U685" s="97"/>
    </row>
    <row r="686" spans="1:21">
      <c r="A686"/>
      <c r="B686" s="89"/>
      <c r="C686" s="97"/>
      <c r="D686" s="97"/>
      <c r="E686" s="97"/>
      <c r="F686" s="97"/>
      <c r="G686" s="97"/>
      <c r="H686" s="97"/>
      <c r="I686" s="97"/>
      <c r="J686" s="97"/>
      <c r="K686" s="97"/>
      <c r="L686" s="97"/>
      <c r="M686" s="97"/>
      <c r="N686" s="97"/>
      <c r="O686" s="97"/>
      <c r="P686" s="97"/>
      <c r="Q686" s="97"/>
      <c r="R686" s="97"/>
      <c r="S686" s="97"/>
      <c r="T686" s="97"/>
      <c r="U686" s="97"/>
    </row>
    <row r="687" spans="1:21">
      <c r="A687"/>
      <c r="B687" s="89"/>
      <c r="C687" s="97"/>
      <c r="D687" s="97"/>
      <c r="E687" s="97"/>
      <c r="F687" s="97"/>
      <c r="G687" s="97"/>
      <c r="H687" s="97"/>
      <c r="I687" s="97"/>
      <c r="J687" s="97"/>
      <c r="K687" s="97"/>
      <c r="L687" s="97"/>
      <c r="M687" s="97"/>
      <c r="N687" s="97"/>
      <c r="O687" s="97"/>
      <c r="P687" s="97"/>
      <c r="Q687" s="97"/>
      <c r="R687" s="97"/>
      <c r="S687" s="97"/>
      <c r="T687" s="97"/>
      <c r="U687" s="97"/>
    </row>
    <row r="688" spans="1:21">
      <c r="A688"/>
      <c r="B688" s="89"/>
      <c r="C688" s="97"/>
      <c r="D688" s="97"/>
      <c r="E688" s="97"/>
      <c r="F688" s="97"/>
      <c r="G688" s="97"/>
      <c r="H688" s="97"/>
      <c r="I688" s="97"/>
      <c r="J688" s="97"/>
      <c r="K688" s="97"/>
      <c r="L688" s="97"/>
      <c r="M688" s="97"/>
      <c r="N688" s="97"/>
      <c r="O688" s="97"/>
      <c r="P688" s="97"/>
      <c r="Q688" s="97"/>
      <c r="R688" s="97"/>
      <c r="S688" s="97"/>
      <c r="T688" s="97"/>
      <c r="U688" s="97"/>
    </row>
    <row r="689" spans="1:21">
      <c r="A689"/>
      <c r="B689" s="89"/>
      <c r="C689" s="97"/>
      <c r="D689" s="97"/>
      <c r="E689" s="97"/>
      <c r="F689" s="97"/>
      <c r="G689" s="97"/>
      <c r="H689" s="97"/>
      <c r="I689" s="97"/>
      <c r="J689" s="97"/>
      <c r="K689" s="97"/>
      <c r="L689" s="97"/>
      <c r="M689" s="97"/>
      <c r="N689" s="97"/>
      <c r="O689" s="97"/>
      <c r="P689" s="97"/>
      <c r="Q689" s="97"/>
      <c r="R689" s="97"/>
      <c r="S689" s="97"/>
      <c r="T689" s="97"/>
      <c r="U689" s="97"/>
    </row>
    <row r="690" spans="1:21">
      <c r="A690"/>
      <c r="B690" s="89"/>
      <c r="C690" s="97"/>
      <c r="D690" s="97"/>
      <c r="E690" s="97"/>
      <c r="F690" s="97"/>
      <c r="G690" s="97"/>
      <c r="H690" s="97"/>
      <c r="I690" s="97"/>
      <c r="J690" s="97"/>
      <c r="K690" s="97"/>
      <c r="L690" s="97"/>
      <c r="M690" s="97"/>
      <c r="N690" s="97"/>
      <c r="O690" s="97"/>
      <c r="P690" s="97"/>
      <c r="Q690" s="97"/>
      <c r="R690" s="97"/>
      <c r="S690" s="97"/>
      <c r="T690" s="97"/>
      <c r="U690" s="97"/>
    </row>
    <row r="691" spans="1:21">
      <c r="A691"/>
      <c r="B691" s="89"/>
      <c r="C691" s="97"/>
      <c r="D691" s="97"/>
      <c r="E691" s="97"/>
      <c r="F691" s="97"/>
      <c r="G691" s="97"/>
      <c r="H691" s="97"/>
      <c r="I691" s="97"/>
      <c r="J691" s="97"/>
      <c r="K691" s="97"/>
      <c r="L691" s="97"/>
      <c r="M691" s="97"/>
      <c r="N691" s="97"/>
      <c r="O691" s="97"/>
      <c r="P691" s="97"/>
      <c r="Q691" s="97"/>
      <c r="R691" s="97"/>
      <c r="S691" s="97"/>
      <c r="T691" s="97"/>
      <c r="U691" s="97"/>
    </row>
    <row r="692" spans="1:21">
      <c r="A692"/>
      <c r="B692" s="89"/>
      <c r="C692" s="97"/>
      <c r="D692" s="97"/>
      <c r="E692" s="97"/>
      <c r="F692" s="97"/>
      <c r="G692" s="97"/>
      <c r="H692" s="97"/>
      <c r="I692" s="97"/>
      <c r="J692" s="97"/>
      <c r="K692" s="97"/>
      <c r="L692" s="97"/>
      <c r="M692" s="97"/>
      <c r="N692" s="97"/>
      <c r="O692" s="97"/>
      <c r="P692" s="97"/>
      <c r="Q692" s="97"/>
      <c r="R692" s="97"/>
      <c r="S692" s="97"/>
      <c r="T692" s="97"/>
      <c r="U692" s="97"/>
    </row>
    <row r="693" spans="1:21">
      <c r="A693"/>
      <c r="B693" s="89"/>
      <c r="C693" s="97"/>
      <c r="D693" s="97"/>
      <c r="E693" s="97"/>
      <c r="F693" s="97"/>
      <c r="G693" s="97"/>
      <c r="H693" s="97"/>
      <c r="I693" s="97"/>
      <c r="J693" s="97"/>
      <c r="K693" s="97"/>
      <c r="L693" s="97"/>
      <c r="M693" s="97"/>
      <c r="N693" s="97"/>
      <c r="O693" s="97"/>
      <c r="P693" s="97"/>
      <c r="Q693" s="97"/>
      <c r="R693" s="97"/>
      <c r="S693" s="97"/>
      <c r="T693" s="97"/>
      <c r="U693" s="97"/>
    </row>
    <row r="694" spans="1:21">
      <c r="A694"/>
      <c r="B694" s="89"/>
      <c r="C694" s="97"/>
      <c r="D694" s="97"/>
      <c r="E694" s="97"/>
      <c r="F694" s="97"/>
      <c r="G694" s="97"/>
      <c r="H694" s="97"/>
      <c r="I694" s="97"/>
      <c r="J694" s="97"/>
      <c r="K694" s="97"/>
      <c r="L694" s="97"/>
      <c r="M694" s="97"/>
      <c r="N694" s="97"/>
      <c r="O694" s="97"/>
      <c r="P694" s="97"/>
      <c r="Q694" s="97"/>
      <c r="R694" s="97"/>
      <c r="S694" s="97"/>
      <c r="T694" s="97"/>
      <c r="U694" s="97"/>
    </row>
    <row r="695" spans="1:21">
      <c r="A695"/>
      <c r="B695" s="89"/>
      <c r="C695" s="97"/>
      <c r="D695" s="97"/>
      <c r="E695" s="97"/>
      <c r="F695" s="97"/>
      <c r="G695" s="97"/>
      <c r="H695" s="97"/>
      <c r="I695" s="97"/>
      <c r="J695" s="97"/>
      <c r="K695" s="97"/>
      <c r="L695" s="97"/>
      <c r="M695" s="97"/>
      <c r="N695" s="97"/>
      <c r="O695" s="97"/>
      <c r="P695" s="97"/>
      <c r="Q695" s="97"/>
      <c r="R695" s="97"/>
      <c r="S695" s="97"/>
      <c r="T695" s="97"/>
      <c r="U695" s="97"/>
    </row>
    <row r="696" spans="1:21">
      <c r="A696"/>
      <c r="B696" s="89"/>
      <c r="C696" s="97"/>
      <c r="D696" s="97"/>
      <c r="E696" s="97"/>
      <c r="F696" s="97"/>
      <c r="G696" s="97"/>
      <c r="H696" s="97"/>
      <c r="I696" s="97"/>
      <c r="J696" s="97"/>
      <c r="K696" s="97"/>
      <c r="L696" s="97"/>
      <c r="M696" s="97"/>
      <c r="N696" s="97"/>
      <c r="O696" s="97"/>
      <c r="P696" s="97"/>
      <c r="Q696" s="97"/>
      <c r="R696" s="97"/>
      <c r="S696" s="97"/>
      <c r="T696" s="97"/>
      <c r="U696" s="97"/>
    </row>
    <row r="697" spans="1:21">
      <c r="A697"/>
      <c r="B697" s="89"/>
      <c r="C697" s="97"/>
      <c r="D697" s="97"/>
      <c r="E697" s="97"/>
      <c r="F697" s="97"/>
      <c r="G697" s="97"/>
      <c r="H697" s="97"/>
      <c r="I697" s="97"/>
      <c r="J697" s="97"/>
      <c r="K697" s="97"/>
      <c r="L697" s="97"/>
      <c r="M697" s="97"/>
      <c r="N697" s="97"/>
      <c r="O697" s="97"/>
      <c r="P697" s="97"/>
      <c r="Q697" s="97"/>
      <c r="R697" s="97"/>
      <c r="S697" s="97"/>
      <c r="T697" s="97"/>
      <c r="U697" s="97"/>
    </row>
    <row r="698" spans="1:21">
      <c r="A698"/>
      <c r="B698" s="89"/>
      <c r="C698" s="97"/>
      <c r="D698" s="97"/>
      <c r="E698" s="97"/>
      <c r="F698" s="97"/>
      <c r="G698" s="97"/>
      <c r="H698" s="97"/>
      <c r="I698" s="97"/>
      <c r="J698" s="97"/>
      <c r="K698" s="97"/>
      <c r="L698" s="97"/>
      <c r="M698" s="97"/>
      <c r="N698" s="97"/>
      <c r="O698" s="97"/>
      <c r="P698" s="97"/>
      <c r="Q698" s="97"/>
      <c r="R698" s="97"/>
      <c r="S698" s="97"/>
      <c r="T698" s="97"/>
      <c r="U698" s="97"/>
    </row>
    <row r="699" spans="1:21">
      <c r="A699"/>
      <c r="B699" s="89"/>
      <c r="C699" s="97"/>
      <c r="D699" s="97"/>
      <c r="E699" s="97"/>
      <c r="F699" s="97"/>
      <c r="G699" s="97"/>
      <c r="H699" s="97"/>
      <c r="I699" s="97"/>
      <c r="J699" s="97"/>
      <c r="K699" s="97"/>
      <c r="L699" s="97"/>
      <c r="M699" s="97"/>
      <c r="N699" s="97"/>
      <c r="O699" s="97"/>
      <c r="P699" s="97"/>
      <c r="Q699" s="97"/>
      <c r="R699" s="97"/>
      <c r="S699" s="97"/>
      <c r="T699" s="97"/>
      <c r="U699" s="97"/>
    </row>
    <row r="700" spans="1:21">
      <c r="A700"/>
      <c r="B700" s="89"/>
      <c r="C700" s="97"/>
      <c r="D700" s="97"/>
      <c r="E700" s="97"/>
      <c r="F700" s="97"/>
      <c r="G700" s="97"/>
      <c r="H700" s="97"/>
      <c r="I700" s="97"/>
      <c r="J700" s="97"/>
      <c r="K700" s="97"/>
      <c r="L700" s="97"/>
      <c r="M700" s="97"/>
      <c r="N700" s="97"/>
      <c r="O700" s="97"/>
      <c r="P700" s="97"/>
      <c r="Q700" s="97"/>
      <c r="R700" s="97"/>
      <c r="S700" s="97"/>
      <c r="T700" s="97"/>
      <c r="U700" s="97"/>
    </row>
    <row r="701" spans="1:21">
      <c r="A701"/>
      <c r="B701" s="89"/>
      <c r="C701" s="97"/>
      <c r="D701" s="97"/>
      <c r="E701" s="97"/>
      <c r="F701" s="97"/>
      <c r="G701" s="97"/>
      <c r="H701" s="97"/>
      <c r="I701" s="97"/>
      <c r="J701" s="97"/>
      <c r="K701" s="97"/>
      <c r="L701" s="97"/>
      <c r="M701" s="97"/>
      <c r="N701" s="97"/>
      <c r="O701" s="97"/>
      <c r="P701" s="97"/>
      <c r="Q701" s="97"/>
      <c r="R701" s="97"/>
      <c r="S701" s="97"/>
      <c r="T701" s="97"/>
      <c r="U701" s="97"/>
    </row>
    <row r="702" spans="1:21">
      <c r="A702"/>
      <c r="B702" s="89"/>
      <c r="C702" s="97"/>
      <c r="D702" s="97"/>
      <c r="E702" s="97"/>
      <c r="F702" s="97"/>
      <c r="G702" s="97"/>
      <c r="H702" s="97"/>
      <c r="I702" s="97"/>
      <c r="J702" s="97"/>
      <c r="K702" s="97"/>
      <c r="L702" s="97"/>
      <c r="M702" s="97"/>
      <c r="N702" s="97"/>
      <c r="O702" s="97"/>
      <c r="P702" s="97"/>
      <c r="Q702" s="97"/>
      <c r="R702" s="97"/>
      <c r="S702" s="97"/>
      <c r="T702" s="97"/>
      <c r="U702" s="97"/>
    </row>
    <row r="703" spans="1:21">
      <c r="A703"/>
      <c r="B703" s="89"/>
      <c r="C703" s="97"/>
      <c r="D703" s="97"/>
      <c r="E703" s="97"/>
      <c r="F703" s="97"/>
      <c r="G703" s="97"/>
      <c r="H703" s="97"/>
      <c r="I703" s="97"/>
      <c r="J703" s="97"/>
      <c r="K703" s="97"/>
      <c r="L703" s="97"/>
      <c r="M703" s="97"/>
      <c r="N703" s="97"/>
      <c r="O703" s="97"/>
      <c r="P703" s="97"/>
      <c r="Q703" s="97"/>
      <c r="R703" s="97"/>
      <c r="S703" s="97"/>
      <c r="T703" s="97"/>
      <c r="U703" s="97"/>
    </row>
    <row r="704" spans="1:21">
      <c r="A704"/>
      <c r="B704" s="89"/>
      <c r="C704" s="97"/>
      <c r="D704" s="97"/>
      <c r="E704" s="97"/>
      <c r="F704" s="97"/>
      <c r="G704" s="97"/>
      <c r="H704" s="97"/>
      <c r="I704" s="97"/>
      <c r="J704" s="97"/>
      <c r="K704" s="97"/>
      <c r="L704" s="97"/>
      <c r="M704" s="97"/>
      <c r="N704" s="97"/>
      <c r="O704" s="97"/>
      <c r="P704" s="97"/>
      <c r="Q704" s="97"/>
      <c r="R704" s="97"/>
      <c r="S704" s="97"/>
      <c r="T704" s="97"/>
      <c r="U704" s="97"/>
    </row>
    <row r="705" spans="1:21">
      <c r="A705"/>
      <c r="B705" s="89"/>
      <c r="C705" s="97"/>
      <c r="D705" s="97"/>
      <c r="E705" s="97"/>
      <c r="F705" s="97"/>
      <c r="G705" s="97"/>
      <c r="H705" s="97"/>
      <c r="I705" s="97"/>
      <c r="J705" s="97"/>
      <c r="K705" s="97"/>
      <c r="L705" s="97"/>
      <c r="M705" s="97"/>
      <c r="N705" s="97"/>
      <c r="O705" s="97"/>
      <c r="P705" s="97"/>
      <c r="Q705" s="97"/>
      <c r="R705" s="97"/>
      <c r="S705" s="97"/>
      <c r="T705" s="97"/>
      <c r="U705" s="97"/>
    </row>
    <row r="706" spans="1:21">
      <c r="A706"/>
      <c r="B706" s="89"/>
      <c r="C706" s="97"/>
      <c r="D706" s="97"/>
      <c r="E706" s="97"/>
      <c r="F706" s="97"/>
      <c r="G706" s="97"/>
      <c r="H706" s="97"/>
      <c r="I706" s="97"/>
      <c r="J706" s="97"/>
      <c r="K706" s="97"/>
      <c r="L706" s="97"/>
      <c r="M706" s="97"/>
      <c r="N706" s="97"/>
      <c r="O706" s="97"/>
      <c r="P706" s="97"/>
      <c r="Q706" s="97"/>
      <c r="R706" s="97"/>
      <c r="S706" s="97"/>
      <c r="T706" s="97"/>
      <c r="U706" s="97"/>
    </row>
    <row r="707" spans="1:21">
      <c r="A707"/>
      <c r="B707" s="89"/>
      <c r="C707" s="97"/>
      <c r="D707" s="97"/>
      <c r="E707" s="97"/>
      <c r="F707" s="97"/>
      <c r="G707" s="97"/>
      <c r="H707" s="97"/>
      <c r="I707" s="97"/>
      <c r="J707" s="97"/>
      <c r="K707" s="97"/>
      <c r="L707" s="97"/>
      <c r="M707" s="97"/>
      <c r="N707" s="97"/>
      <c r="O707" s="97"/>
      <c r="P707" s="97"/>
      <c r="Q707" s="97"/>
      <c r="R707" s="97"/>
      <c r="S707" s="97"/>
      <c r="T707" s="97"/>
      <c r="U707" s="97"/>
    </row>
    <row r="708" spans="1:21">
      <c r="A708"/>
      <c r="B708" s="89"/>
      <c r="C708" s="97"/>
      <c r="D708" s="97"/>
      <c r="E708" s="97"/>
      <c r="F708" s="97"/>
      <c r="G708" s="97"/>
      <c r="H708" s="97"/>
      <c r="I708" s="97"/>
      <c r="J708" s="97"/>
      <c r="K708" s="97"/>
      <c r="L708" s="97"/>
      <c r="M708" s="97"/>
      <c r="N708" s="97"/>
      <c r="O708" s="97"/>
      <c r="P708" s="97"/>
      <c r="Q708" s="97"/>
      <c r="R708" s="97"/>
      <c r="S708" s="97"/>
      <c r="T708" s="97"/>
      <c r="U708" s="97"/>
    </row>
    <row r="709" spans="1:21">
      <c r="A709"/>
      <c r="B709" s="89"/>
      <c r="C709" s="97"/>
      <c r="D709" s="97"/>
      <c r="E709" s="97"/>
      <c r="F709" s="97"/>
      <c r="G709" s="97"/>
      <c r="H709" s="97"/>
      <c r="I709" s="97"/>
      <c r="J709" s="97"/>
      <c r="K709" s="97"/>
      <c r="L709" s="97"/>
      <c r="M709" s="97"/>
      <c r="N709" s="97"/>
      <c r="O709" s="97"/>
      <c r="P709" s="97"/>
      <c r="Q709" s="97"/>
      <c r="R709" s="97"/>
      <c r="S709" s="97"/>
      <c r="T709" s="97"/>
      <c r="U709" s="97"/>
    </row>
    <row r="710" spans="1:21">
      <c r="A710"/>
      <c r="B710" s="89"/>
      <c r="C710" s="97"/>
      <c r="D710" s="97"/>
      <c r="E710" s="97"/>
      <c r="F710" s="97"/>
      <c r="G710" s="97"/>
      <c r="H710" s="97"/>
      <c r="I710" s="97"/>
      <c r="J710" s="97"/>
      <c r="K710" s="97"/>
      <c r="L710" s="97"/>
      <c r="M710" s="97"/>
      <c r="N710" s="97"/>
      <c r="O710" s="97"/>
      <c r="P710" s="97"/>
      <c r="Q710" s="97"/>
      <c r="R710" s="97"/>
      <c r="S710" s="97"/>
      <c r="T710" s="97"/>
      <c r="U710" s="97"/>
    </row>
    <row r="711" spans="1:21">
      <c r="A711"/>
      <c r="B711" s="89"/>
      <c r="C711" s="97"/>
      <c r="D711" s="97"/>
      <c r="E711" s="97"/>
      <c r="F711" s="97"/>
      <c r="G711" s="97"/>
      <c r="H711" s="97"/>
      <c r="I711" s="97"/>
      <c r="J711" s="97"/>
      <c r="K711" s="97"/>
      <c r="L711" s="97"/>
      <c r="M711" s="97"/>
      <c r="N711" s="97"/>
      <c r="O711" s="97"/>
      <c r="P711" s="97"/>
      <c r="Q711" s="97"/>
      <c r="R711" s="97"/>
      <c r="S711" s="97"/>
      <c r="T711" s="97"/>
      <c r="U711" s="97"/>
    </row>
    <row r="712" spans="1:21">
      <c r="A712"/>
      <c r="B712" s="89"/>
      <c r="C712" s="97"/>
      <c r="D712" s="97"/>
      <c r="E712" s="97"/>
      <c r="F712" s="97"/>
      <c r="G712" s="97"/>
      <c r="H712" s="97"/>
      <c r="I712" s="97"/>
      <c r="J712" s="97"/>
      <c r="K712" s="97"/>
      <c r="L712" s="97"/>
      <c r="M712" s="97"/>
      <c r="N712" s="97"/>
      <c r="O712" s="97"/>
      <c r="P712" s="97"/>
      <c r="Q712" s="97"/>
      <c r="R712" s="97"/>
      <c r="S712" s="97"/>
      <c r="T712" s="97"/>
      <c r="U712" s="97"/>
    </row>
    <row r="713" spans="1:21">
      <c r="A713"/>
      <c r="B713" s="89"/>
      <c r="C713" s="97"/>
      <c r="D713" s="97"/>
      <c r="E713" s="97"/>
      <c r="F713" s="97"/>
      <c r="G713" s="97"/>
      <c r="H713" s="97"/>
      <c r="I713" s="97"/>
      <c r="J713" s="97"/>
      <c r="K713" s="97"/>
      <c r="L713" s="97"/>
      <c r="M713" s="97"/>
      <c r="N713" s="97"/>
      <c r="O713" s="97"/>
      <c r="P713" s="97"/>
      <c r="Q713" s="97"/>
      <c r="R713" s="97"/>
      <c r="S713" s="97"/>
      <c r="T713" s="97"/>
      <c r="U713" s="97"/>
    </row>
    <row r="714" spans="1:21">
      <c r="A714"/>
      <c r="B714" s="89"/>
      <c r="C714" s="97"/>
      <c r="D714" s="97"/>
      <c r="E714" s="97"/>
      <c r="F714" s="97"/>
      <c r="G714" s="97"/>
      <c r="H714" s="97"/>
      <c r="I714" s="97"/>
      <c r="J714" s="97"/>
      <c r="K714" s="97"/>
      <c r="L714" s="97"/>
      <c r="M714" s="97"/>
      <c r="N714" s="97"/>
      <c r="O714" s="97"/>
      <c r="P714" s="97"/>
      <c r="Q714" s="97"/>
      <c r="R714" s="97"/>
      <c r="S714" s="97"/>
      <c r="T714" s="97"/>
      <c r="U714" s="97"/>
    </row>
    <row r="715" spans="1:21">
      <c r="A715"/>
      <c r="B715" s="89"/>
      <c r="C715" s="97"/>
      <c r="D715" s="97"/>
      <c r="E715" s="97"/>
      <c r="F715" s="97"/>
      <c r="G715" s="97"/>
      <c r="H715" s="97"/>
      <c r="I715" s="97"/>
      <c r="J715" s="97"/>
      <c r="K715" s="97"/>
      <c r="L715" s="97"/>
      <c r="M715" s="97"/>
      <c r="N715" s="97"/>
      <c r="O715" s="97"/>
      <c r="P715" s="97"/>
      <c r="Q715" s="97"/>
      <c r="R715" s="97"/>
      <c r="S715" s="97"/>
      <c r="T715" s="97"/>
      <c r="U715" s="97"/>
    </row>
  </sheetData>
  <pageMargins left="0.75" right="0.75" top="1" bottom="1" header="0.5" footer="0.5"/>
  <pageSetup paperSize="9" orientation="portrait" horizontalDpi="4294967292" verticalDpi="4294967292"/>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Cover sheet</vt:lpstr>
      <vt:lpstr>Dashboard</vt:lpstr>
      <vt:lpstr>Research data</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Kyra de Haan</cp:lastModifiedBy>
  <dcterms:created xsi:type="dcterms:W3CDTF">2011-10-26T09:05:09Z</dcterms:created>
  <dcterms:modified xsi:type="dcterms:W3CDTF">2025-09-15T14:48:28Z</dcterms:modified>
</cp:coreProperties>
</file>