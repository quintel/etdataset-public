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05B7F049-EAF3-6C45-89E8-A3CF0497B06A}" xr6:coauthVersionLast="47" xr6:coauthVersionMax="47" xr10:uidLastSave="{00000000-0000-0000-0000-000000000000}"/>
  <bookViews>
    <workbookView xWindow="10480" yWindow="28800" windowWidth="28800" windowHeight="18000" tabRatio="762" activeTab="4"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7" i="13" l="1"/>
  <c r="K7" i="13"/>
  <c r="D22" i="16"/>
  <c r="I10" i="13"/>
  <c r="G10" i="13" s="1"/>
  <c r="I8" i="13"/>
  <c r="G8" i="13" s="1"/>
  <c r="G9" i="13"/>
  <c r="E10" i="12" l="1"/>
  <c r="E11" i="12" l="1"/>
</calcChain>
</file>

<file path=xl/sharedStrings.xml><?xml version="1.0" encoding="utf-8"?>
<sst xmlns="http://schemas.openxmlformats.org/spreadsheetml/2006/main" count="105" uniqueCount="82">
  <si>
    <t>Source</t>
  </si>
  <si>
    <t>-</t>
  </si>
  <si>
    <t>Value</t>
  </si>
  <si>
    <t>Definition</t>
  </si>
  <si>
    <t>Unit</t>
  </si>
  <si>
    <t>Link</t>
  </si>
  <si>
    <t>Cover Sheet</t>
  </si>
  <si>
    <t>Country</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</si>
  <si>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</si>
  <si>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</si>
  <si>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</si>
  <si>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</si>
  <si>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</si>
  <si>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</si>
  <si>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</si>
  <si>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</si>
  <si>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</si>
  <si>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</si>
  <si>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</si>
  <si>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</si>
  <si>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</si>
  <si>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</si>
  <si>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</si>
  <si>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</si>
  <si>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</si>
  <si>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</si>
  <si>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</si>
  <si>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</si>
  <si>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</si>
  <si>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</si>
  <si>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</si>
  <si>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</si>
  <si>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</si>
  <si>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ETM Library URL</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</si>
  <si>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</si>
  <si>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</si>
  <si>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</si>
  <si>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</si>
  <si>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</si>
  <si>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</si>
  <si>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</si>
  <si>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</si>
  <si>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</si>
  <si>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</si>
  <si>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</si>
  <si>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</si>
  <si>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mj_per_kg</t>
  </si>
  <si>
    <t>Document</t>
  </si>
  <si>
    <t>Carrier (global properties)</t>
  </si>
  <si>
    <r>
      <rPr>
        <sz val="12"/>
        <color theme="1"/>
        <rFont val="Calibri"/>
        <family val="2"/>
        <scheme val="minor"/>
      </rPr>
      <t>potential_</t>
    </r>
    <r>
      <rPr>
        <sz val="12"/>
        <color theme="1"/>
        <rFont val="Calibri"/>
        <family val="2"/>
        <scheme val="minor"/>
      </rPr>
      <t>co2_conversion_per_mj</t>
    </r>
  </si>
  <si>
    <t xml:space="preserve">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The carrier analysis can be imported on ETSource by running the following rake task: rake import:carrier CARRIER="carrier name" (eg rake import:carrier CARRIER=crude_oil) </t>
  </si>
  <si>
    <t>wet_biomass</t>
  </si>
  <si>
    <t>Assumptions:</t>
  </si>
  <si>
    <t>Solid biomass first value (wood/wood waste) assumed to be dry biomass</t>
  </si>
  <si>
    <t>Solid biomass second value assumed to be wet biomass</t>
  </si>
  <si>
    <t>Other liquid biufuels assumed to be oily biomass</t>
  </si>
  <si>
    <t>dry biomass</t>
  </si>
  <si>
    <t>wet biomass</t>
  </si>
  <si>
    <t>oily biomass</t>
  </si>
  <si>
    <t>CO2 (kg/MJ)</t>
  </si>
  <si>
    <t>Density (MJ/kg)</t>
  </si>
  <si>
    <t>TNO table:</t>
  </si>
  <si>
    <t>TNO</t>
  </si>
  <si>
    <t>Energy content and CO2 emission factor</t>
  </si>
  <si>
    <t>NL</t>
  </si>
  <si>
    <t>Update of the Netherlands list of fuels in 2021</t>
  </si>
  <si>
    <t>https://repository.tno.nl/SingleDoc?find=UID%202f9779a2-dd73-4f7f-9494-a44ddb7550d6</t>
  </si>
  <si>
    <t>Costs per MJ</t>
  </si>
  <si>
    <t>IEA</t>
  </si>
  <si>
    <t>2020</t>
  </si>
  <si>
    <t>Advanced Biofuels – Potential for Cost Reduction</t>
  </si>
  <si>
    <t>https://task39.ieabioenergy.com/wp-content/uploads/sites/37/2020/02/Advanced-Biofuels-Potential-for-Cost-Reduction-Final-Draft.pdf</t>
  </si>
  <si>
    <t>IEA table pg  29</t>
  </si>
  <si>
    <t>CO2 and energy density</t>
  </si>
  <si>
    <t>Based on TNO report</t>
  </si>
  <si>
    <t>Costs</t>
  </si>
  <si>
    <t>€/MWh</t>
  </si>
  <si>
    <t>Difficult to find commodity prices for  wet biomass</t>
  </si>
  <si>
    <t>Assumption: biomass feedstock costs for bioethnaol production, assumed to be for wet biomass (IEA report)</t>
  </si>
  <si>
    <t>Feedstock costs wet biomass</t>
  </si>
  <si>
    <t>for bioethanol production</t>
  </si>
  <si>
    <t>Kyra de 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</si>
</sst>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413]mmm\-yy;@"/>
    <numFmt numFmtId="169" formatCode="0.000000"/>
  </numFmts>
  <fonts count="30">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2"/>
      <color rgb="FF000000"/>
      <name val="Lettertype hoofdtekst"/>
      <family val="2"/>
    </font>
    <font>
      <b/>
      <sz val="12"/>
      <color theme="1"/>
      <name val="Calibri (Body)"/>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8">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rgb="FF000000"/>
      </right>
      <top style="thin">
        <color auto="1"/>
      </top>
      <bottom/>
      <diagonal/>
    </border>
    <border>
      <left/>
      <right style="thin">
        <color rgb="FF000000"/>
      </right>
      <top/>
      <bottom/>
      <diagonal/>
    </border>
    <border>
      <left style="thin">
        <color auto="1"/>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48">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147">
    <xf numFmtId="0" fontId="0" fillId="0" borderId="0" xfId="0"/>
    <xf numFmtId="0" fontId="16" fillId="2" borderId="19" xfId="0" applyFont="1" applyFill="1" applyBorder="1" applyAlignment="1">
      <alignment vertical="center"/>
    </xf>
    <xf numFmtId="0" fontId="16" fillId="2" borderId="5" xfId="0" applyFont="1" applyFill="1" applyBorder="1" applyAlignment="1">
      <alignment vertical="center"/>
    </xf>
    <xf numFmtId="0" fontId="11" fillId="0" borderId="5" xfId="0" applyFont="1" applyBorder="1"/>
    <xf numFmtId="165" fontId="7" fillId="2" borderId="0" xfId="0" applyNumberFormat="1" applyFont="1" applyFill="1" applyAlignment="1">
      <alignment vertical="center"/>
    </xf>
    <xf numFmtId="0" fontId="7" fillId="2" borderId="6" xfId="0" applyFont="1" applyFill="1" applyBorder="1"/>
    <xf numFmtId="0" fontId="7" fillId="2" borderId="0" xfId="0" applyFont="1" applyFill="1"/>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2" fontId="17" fillId="3"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2" fontId="16" fillId="2" borderId="0" xfId="0" applyNumberFormat="1" applyFont="1" applyFill="1" applyAlignment="1">
      <alignment horizontal="right" vertical="center"/>
    </xf>
    <xf numFmtId="0" fontId="16" fillId="2" borderId="0" xfId="0" applyFont="1" applyFill="1"/>
    <xf numFmtId="0" fontId="16" fillId="2" borderId="9" xfId="0" applyFont="1" applyFill="1" applyBorder="1"/>
    <xf numFmtId="0" fontId="16" fillId="2" borderId="4" xfId="0" applyFont="1" applyFill="1" applyBorder="1"/>
    <xf numFmtId="0" fontId="13"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3" fillId="2" borderId="2" xfId="0" applyFont="1" applyFill="1" applyBorder="1"/>
    <xf numFmtId="0" fontId="20" fillId="3" borderId="0" xfId="0" applyFont="1" applyFill="1"/>
    <xf numFmtId="0" fontId="13" fillId="2" borderId="7" xfId="0" applyFont="1" applyFill="1" applyBorder="1"/>
    <xf numFmtId="0" fontId="16" fillId="0" borderId="0" xfId="0" applyFont="1"/>
    <xf numFmtId="0" fontId="18" fillId="3" borderId="0" xfId="0" applyFont="1" applyFill="1"/>
    <xf numFmtId="0" fontId="16" fillId="2" borderId="0" xfId="0" applyFont="1" applyFill="1" applyAlignment="1">
      <alignment horizontal="left" vertical="center"/>
    </xf>
    <xf numFmtId="0" fontId="12" fillId="2" borderId="0" xfId="0" applyFont="1" applyFill="1"/>
    <xf numFmtId="0" fontId="12" fillId="0" borderId="0" xfId="0" applyFont="1"/>
    <xf numFmtId="0" fontId="12" fillId="2" borderId="3" xfId="0" applyFont="1" applyFill="1" applyBorder="1"/>
    <xf numFmtId="0" fontId="12" fillId="2" borderId="15" xfId="0" applyFont="1" applyFill="1" applyBorder="1"/>
    <xf numFmtId="0" fontId="21" fillId="2" borderId="0" xfId="0" applyFont="1" applyFill="1"/>
    <xf numFmtId="0" fontId="21" fillId="2" borderId="5" xfId="0" applyFont="1" applyFill="1" applyBorder="1"/>
    <xf numFmtId="2" fontId="12" fillId="2" borderId="18" xfId="0" applyNumberFormat="1" applyFont="1" applyFill="1" applyBorder="1"/>
    <xf numFmtId="0" fontId="22" fillId="2" borderId="0" xfId="0" applyFont="1" applyFill="1"/>
    <xf numFmtId="49" fontId="22" fillId="2" borderId="0" xfId="0" applyNumberFormat="1" applyFont="1" applyFill="1"/>
    <xf numFmtId="0" fontId="22" fillId="2" borderId="3" xfId="0" applyFont="1" applyFill="1" applyBorder="1"/>
    <xf numFmtId="0" fontId="22" fillId="2" borderId="4" xfId="0" applyFont="1" applyFill="1" applyBorder="1"/>
    <xf numFmtId="49" fontId="22" fillId="2" borderId="4" xfId="0" applyNumberFormat="1" applyFont="1" applyFill="1" applyBorder="1"/>
    <xf numFmtId="0" fontId="22" fillId="2" borderId="6" xfId="0" applyFont="1" applyFill="1" applyBorder="1"/>
    <xf numFmtId="0" fontId="23" fillId="2" borderId="0" xfId="0" applyFont="1" applyFill="1"/>
    <xf numFmtId="49" fontId="23" fillId="2" borderId="0" xfId="0" applyNumberFormat="1" applyFont="1" applyFill="1"/>
    <xf numFmtId="0" fontId="22" fillId="2" borderId="16" xfId="0" applyFont="1" applyFill="1" applyBorder="1"/>
    <xf numFmtId="0" fontId="23" fillId="2" borderId="9" xfId="0" applyFont="1" applyFill="1" applyBorder="1"/>
    <xf numFmtId="49" fontId="23" fillId="2" borderId="9" xfId="0" applyNumberFormat="1" applyFont="1" applyFill="1" applyBorder="1"/>
    <xf numFmtId="0" fontId="22" fillId="2" borderId="0" xfId="0" applyFont="1" applyFill="1" applyAlignment="1">
      <alignment horizontal="left" vertical="center" indent="2"/>
    </xf>
    <xf numFmtId="0" fontId="22" fillId="2" borderId="0" xfId="0" applyFont="1" applyFill="1" applyAlignment="1">
      <alignment vertical="top" wrapText="1"/>
    </xf>
    <xf numFmtId="49" fontId="22" fillId="2" borderId="0" xfId="0" applyNumberFormat="1" applyFont="1" applyFill="1" applyAlignment="1">
      <alignment vertical="top" wrapText="1"/>
    </xf>
    <xf numFmtId="164" fontId="22" fillId="2" borderId="0" xfId="0" applyNumberFormat="1" applyFont="1" applyFill="1" applyAlignment="1">
      <alignment horizontal="left" vertical="center" indent="2"/>
    </xf>
    <xf numFmtId="2" fontId="16" fillId="2" borderId="9" xfId="0" applyNumberFormat="1" applyFont="1" applyFill="1" applyBorder="1" applyAlignment="1">
      <alignment vertical="center"/>
    </xf>
    <xf numFmtId="0" fontId="22" fillId="4" borderId="0" xfId="0" applyFont="1" applyFill="1" applyAlignment="1">
      <alignment vertical="top"/>
    </xf>
    <xf numFmtId="0" fontId="11" fillId="2" borderId="0" xfId="0" applyFont="1" applyFill="1"/>
    <xf numFmtId="2" fontId="11" fillId="2" borderId="0" xfId="0" applyNumberFormat="1" applyFont="1" applyFill="1"/>
    <xf numFmtId="0" fontId="11" fillId="2" borderId="3" xfId="0" applyFont="1" applyFill="1" applyBorder="1"/>
    <xf numFmtId="0" fontId="11" fillId="2" borderId="4" xfId="0" applyFont="1" applyFill="1" applyBorder="1"/>
    <xf numFmtId="2" fontId="11" fillId="2" borderId="4" xfId="0" applyNumberFormat="1" applyFont="1" applyFill="1" applyBorder="1"/>
    <xf numFmtId="0" fontId="11" fillId="2" borderId="15" xfId="0" applyFont="1" applyFill="1" applyBorder="1"/>
    <xf numFmtId="0" fontId="11" fillId="2" borderId="6" xfId="0" applyFont="1" applyFill="1" applyBorder="1"/>
    <xf numFmtId="0" fontId="11" fillId="2" borderId="0" xfId="0" applyFont="1" applyFill="1" applyAlignment="1">
      <alignment horizontal="left" vertical="center"/>
    </xf>
    <xf numFmtId="1" fontId="11" fillId="2" borderId="0" xfId="0" applyNumberFormat="1" applyFont="1" applyFill="1" applyAlignment="1">
      <alignment vertical="center"/>
    </xf>
    <xf numFmtId="165" fontId="11" fillId="2" borderId="0" xfId="0" applyNumberFormat="1" applyFont="1" applyFill="1" applyAlignment="1">
      <alignment vertical="center"/>
    </xf>
    <xf numFmtId="0" fontId="16" fillId="2" borderId="17" xfId="0" applyFont="1" applyFill="1" applyBorder="1"/>
    <xf numFmtId="0" fontId="10" fillId="2" borderId="2" xfId="0" applyFont="1" applyFill="1" applyBorder="1"/>
    <xf numFmtId="0" fontId="16" fillId="2" borderId="7" xfId="0" applyFont="1" applyFill="1" applyBorder="1"/>
    <xf numFmtId="0" fontId="10" fillId="2" borderId="0" xfId="0" applyFont="1" applyFill="1"/>
    <xf numFmtId="0" fontId="25" fillId="2" borderId="0" xfId="0" applyFont="1" applyFill="1"/>
    <xf numFmtId="0" fontId="10" fillId="2" borderId="18" xfId="0" applyFont="1" applyFill="1" applyBorder="1"/>
    <xf numFmtId="0" fontId="10" fillId="5" borderId="0" xfId="0" applyFont="1" applyFill="1"/>
    <xf numFmtId="0" fontId="10" fillId="6" borderId="0" xfId="0" applyFont="1" applyFill="1"/>
    <xf numFmtId="0" fontId="10" fillId="7" borderId="0" xfId="0" applyFont="1" applyFill="1"/>
    <xf numFmtId="0" fontId="10" fillId="8" borderId="0" xfId="0" applyFont="1" applyFill="1"/>
    <xf numFmtId="0" fontId="10" fillId="2" borderId="7" xfId="0" applyFont="1" applyFill="1" applyBorder="1"/>
    <xf numFmtId="0" fontId="10" fillId="9" borderId="0" xfId="0" applyFont="1" applyFill="1"/>
    <xf numFmtId="0" fontId="10" fillId="10" borderId="0" xfId="0" applyFont="1" applyFill="1"/>
    <xf numFmtId="0" fontId="10" fillId="11" borderId="0" xfId="0" applyFont="1" applyFill="1"/>
    <xf numFmtId="0" fontId="10" fillId="12" borderId="0" xfId="0" applyFont="1" applyFill="1"/>
    <xf numFmtId="0" fontId="16" fillId="2" borderId="16" xfId="0" applyFont="1" applyFill="1" applyBorder="1"/>
    <xf numFmtId="0" fontId="18" fillId="2" borderId="9" xfId="0" applyFont="1" applyFill="1" applyBorder="1"/>
    <xf numFmtId="0" fontId="21" fillId="2" borderId="19" xfId="0" applyFont="1" applyFill="1" applyBorder="1"/>
    <xf numFmtId="2" fontId="16" fillId="2" borderId="0" xfId="0" applyNumberFormat="1" applyFont="1" applyFill="1" applyAlignment="1">
      <alignment horizontal="left" vertical="center"/>
    </xf>
    <xf numFmtId="2" fontId="16" fillId="2" borderId="0" xfId="0" applyNumberFormat="1" applyFont="1" applyFill="1" applyAlignment="1">
      <alignment vertical="center"/>
    </xf>
    <xf numFmtId="0" fontId="16" fillId="2" borderId="9" xfId="0" applyFont="1" applyFill="1" applyBorder="1" applyAlignment="1">
      <alignment vertical="center"/>
    </xf>
    <xf numFmtId="0" fontId="9" fillId="0" borderId="0" xfId="0" applyFont="1"/>
    <xf numFmtId="0" fontId="8" fillId="2" borderId="0" xfId="0" applyFont="1" applyFill="1"/>
    <xf numFmtId="0" fontId="8" fillId="2" borderId="6" xfId="0" applyFont="1" applyFill="1" applyBorder="1"/>
    <xf numFmtId="0" fontId="16" fillId="2" borderId="20" xfId="0" applyFont="1" applyFill="1" applyBorder="1"/>
    <xf numFmtId="0" fontId="16" fillId="2" borderId="21" xfId="0" applyFont="1" applyFill="1" applyBorder="1"/>
    <xf numFmtId="0" fontId="6" fillId="0" borderId="0" xfId="0" applyFont="1"/>
    <xf numFmtId="1" fontId="12" fillId="2" borderId="18" xfId="0" applyNumberFormat="1" applyFont="1" applyFill="1" applyBorder="1"/>
    <xf numFmtId="0" fontId="9" fillId="0" borderId="0" xfId="0" applyFont="1" applyAlignment="1">
      <alignment horizontal="left" indent="2"/>
    </xf>
    <xf numFmtId="0" fontId="6" fillId="0" borderId="0" xfId="0" applyFont="1" applyAlignment="1">
      <alignment horizontal="left" indent="2"/>
    </xf>
    <xf numFmtId="0" fontId="12" fillId="0" borderId="0" xfId="0" applyFont="1" applyAlignment="1">
      <alignment horizontal="left" indent="2"/>
    </xf>
    <xf numFmtId="0" fontId="26" fillId="0" borderId="0" xfId="0" applyFont="1"/>
    <xf numFmtId="0" fontId="6" fillId="0" borderId="5" xfId="0" applyFont="1" applyBorder="1"/>
    <xf numFmtId="0" fontId="6" fillId="2" borderId="0" xfId="0" applyFont="1" applyFill="1" applyAlignment="1">
      <alignment horizontal="left" indent="2"/>
    </xf>
    <xf numFmtId="0" fontId="6" fillId="2" borderId="0" xfId="0" applyFont="1" applyFill="1"/>
    <xf numFmtId="0" fontId="14" fillId="0" borderId="0" xfId="183" applyAlignment="1" applyProtection="1"/>
    <xf numFmtId="0" fontId="5" fillId="2" borderId="18" xfId="0" applyFont="1" applyFill="1" applyBorder="1"/>
    <xf numFmtId="164" fontId="22" fillId="2" borderId="0" xfId="0" applyNumberFormat="1" applyFont="1" applyFill="1" applyAlignment="1">
      <alignment vertical="center"/>
    </xf>
    <xf numFmtId="0" fontId="5" fillId="0" borderId="5" xfId="0" applyFont="1" applyBorder="1"/>
    <xf numFmtId="0" fontId="4" fillId="2" borderId="0" xfId="0" applyFont="1" applyFill="1"/>
    <xf numFmtId="0" fontId="4" fillId="2" borderId="10" xfId="0" applyFont="1" applyFill="1" applyBorder="1"/>
    <xf numFmtId="0" fontId="4" fillId="0" borderId="11" xfId="0" applyFont="1" applyBorder="1"/>
    <xf numFmtId="0" fontId="4" fillId="2" borderId="12" xfId="0" applyFont="1" applyFill="1" applyBorder="1"/>
    <xf numFmtId="0" fontId="11" fillId="2" borderId="10" xfId="0" applyFont="1" applyFill="1" applyBorder="1"/>
    <xf numFmtId="0" fontId="11" fillId="2" borderId="11" xfId="0" applyFont="1" applyFill="1" applyBorder="1"/>
    <xf numFmtId="2" fontId="11" fillId="2" borderId="11" xfId="0" applyNumberFormat="1" applyFont="1" applyFill="1" applyBorder="1"/>
    <xf numFmtId="0" fontId="11" fillId="2" borderId="12" xfId="0" applyFont="1" applyFill="1" applyBorder="1"/>
    <xf numFmtId="0" fontId="27" fillId="4" borderId="0" xfId="0" applyFont="1" applyFill="1"/>
    <xf numFmtId="0" fontId="13" fillId="2" borderId="13" xfId="0" applyFont="1" applyFill="1" applyBorder="1"/>
    <xf numFmtId="0" fontId="13" fillId="2" borderId="8" xfId="0" applyFont="1" applyFill="1" applyBorder="1"/>
    <xf numFmtId="0" fontId="13" fillId="2" borderId="1" xfId="0" applyFont="1" applyFill="1" applyBorder="1"/>
    <xf numFmtId="0" fontId="13" fillId="2" borderId="9" xfId="0" applyFont="1" applyFill="1" applyBorder="1"/>
    <xf numFmtId="0" fontId="13" fillId="2" borderId="14" xfId="0" applyFont="1" applyFill="1" applyBorder="1"/>
    <xf numFmtId="0" fontId="3" fillId="0" borderId="0" xfId="0" applyFont="1" applyAlignment="1">
      <alignment horizontal="left" indent="2"/>
    </xf>
    <xf numFmtId="0" fontId="3" fillId="2" borderId="0" xfId="0" applyFont="1" applyFill="1"/>
    <xf numFmtId="0" fontId="24" fillId="4" borderId="0" xfId="0" applyFont="1" applyFill="1"/>
    <xf numFmtId="0" fontId="28" fillId="0" borderId="0" xfId="0" applyFont="1"/>
    <xf numFmtId="0" fontId="3" fillId="0" borderId="5" xfId="0" applyFont="1" applyBorder="1"/>
    <xf numFmtId="2" fontId="16" fillId="2" borderId="27" xfId="0" applyNumberFormat="1" applyFont="1" applyFill="1" applyBorder="1" applyAlignment="1">
      <alignment horizontal="right" vertical="center"/>
    </xf>
    <xf numFmtId="166" fontId="12" fillId="2" borderId="18" xfId="0" applyNumberFormat="1" applyFont="1" applyFill="1" applyBorder="1"/>
    <xf numFmtId="0" fontId="2" fillId="2" borderId="18" xfId="0" applyFont="1" applyFill="1" applyBorder="1"/>
    <xf numFmtId="0" fontId="26" fillId="2" borderId="0" xfId="0" applyFont="1" applyFill="1"/>
    <xf numFmtId="0" fontId="0" fillId="2" borderId="0" xfId="0" applyFill="1"/>
    <xf numFmtId="0" fontId="24" fillId="4" borderId="17" xfId="0" applyFont="1" applyFill="1" applyBorder="1" applyAlignment="1">
      <alignment horizontal="left" vertical="top" wrapText="1"/>
    </xf>
    <xf numFmtId="0" fontId="24" fillId="4" borderId="2" xfId="0" applyFont="1" applyFill="1" applyBorder="1" applyAlignment="1">
      <alignment horizontal="left" vertical="top" wrapText="1"/>
    </xf>
    <xf numFmtId="0" fontId="24" fillId="4" borderId="22" xfId="0" applyFont="1" applyFill="1" applyBorder="1" applyAlignment="1">
      <alignment horizontal="left" vertical="top" wrapText="1"/>
    </xf>
    <xf numFmtId="0" fontId="24" fillId="4" borderId="7" xfId="0" applyFont="1" applyFill="1" applyBorder="1" applyAlignment="1">
      <alignment horizontal="left" vertical="top" wrapText="1"/>
    </xf>
    <xf numFmtId="0" fontId="24" fillId="4" borderId="0" xfId="0" applyFont="1" applyFill="1" applyAlignment="1">
      <alignment horizontal="left" vertical="top" wrapText="1"/>
    </xf>
    <xf numFmtId="0" fontId="24" fillId="4" borderId="23" xfId="0" applyFont="1" applyFill="1" applyBorder="1" applyAlignment="1">
      <alignment horizontal="left" vertical="top" wrapText="1"/>
    </xf>
    <xf numFmtId="0" fontId="24" fillId="4" borderId="24" xfId="0" applyFont="1" applyFill="1" applyBorder="1" applyAlignment="1">
      <alignment horizontal="left" vertical="top" wrapText="1"/>
    </xf>
    <xf numFmtId="0" fontId="24" fillId="4" borderId="25" xfId="0" applyFont="1" applyFill="1" applyBorder="1" applyAlignment="1">
      <alignment horizontal="left" vertical="top" wrapText="1"/>
    </xf>
    <xf numFmtId="0" fontId="24" fillId="4" borderId="26" xfId="0" applyFont="1" applyFill="1" applyBorder="1" applyAlignment="1">
      <alignment horizontal="left" vertical="top" wrapText="1"/>
    </xf>
    <xf numFmtId="0" fontId="1" fillId="2" borderId="0" xfId="0" applyFont="1" applyFill="1"/>
    <xf numFmtId="167" fontId="1" fillId="2" borderId="0" xfId="0" applyNumberFormat="1" applyFont="1" applyFill="1"/>
    <xf numFmtId="49" fontId="1" fillId="2" borderId="0" xfId="0" applyNumberFormat="1" applyFont="1" applyFill="1"/>
    <xf numFmtId="0" fontId="14" fillId="2" borderId="0" xfId="183" applyFill="1" applyAlignment="1" applyProtection="1"/>
    <xf numFmtId="0" fontId="1" fillId="0" borderId="0" xfId="0" applyFont="1"/>
    <xf numFmtId="0" fontId="14" fillId="4" borderId="0" xfId="183" applyFill="1" applyAlignment="1" applyProtection="1">
      <alignment vertical="top"/>
    </xf>
    <xf numFmtId="0" fontId="29" fillId="2" borderId="0" xfId="0" applyFont="1" applyFill="1"/>
    <xf numFmtId="169" fontId="12" fillId="2" borderId="18" xfId="0" applyNumberFormat="1" applyFont="1" applyFill="1" applyBorder="1"/>
    <xf numFmtId="166" fontId="16" fillId="2" borderId="27" xfId="0" applyNumberFormat="1" applyFont="1" applyFill="1" applyBorder="1" applyAlignment="1">
      <alignment horizontal="right" vertical="center"/>
    </xf>
  </cellXfs>
  <cellStyles count="34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4</xdr:row>
      <xdr:rowOff>0</xdr:rowOff>
    </xdr:from>
    <xdr:to>
      <xdr:col>25</xdr:col>
      <xdr:colOff>200753</xdr:colOff>
      <xdr:row>39</xdr:row>
      <xdr:rowOff>110652</xdr:rowOff>
    </xdr:to>
    <xdr:pic>
      <xdr:nvPicPr>
        <xdr:cNvPr id="2" name="Picture 1">
          <a:extLst>
            <a:ext uri="{FF2B5EF4-FFF2-40B4-BE49-F238E27FC236}">
              <a16:creationId xmlns:a16="http://schemas.microsoft.com/office/drawing/2014/main" id="{5DF33B1C-E862-BD4E-930C-A7EF96DEC1B3}"/>
            </a:ext>
          </a:extLst>
        </xdr:cNvPr>
        <xdr:cNvPicPr>
          <a:picLocks noChangeAspect="1"/>
        </xdr:cNvPicPr>
      </xdr:nvPicPr>
      <xdr:blipFill>
        <a:blip xmlns:r="http://schemas.openxmlformats.org/officeDocument/2006/relationships" r:embed="rId1"/>
        <a:stretch>
          <a:fillRect/>
        </a:stretch>
      </xdr:blipFill>
      <xdr:spPr>
        <a:xfrm>
          <a:off x="7130642" y="815596"/>
          <a:ext cx="6632313" cy="7043221"/>
        </a:xfrm>
        <a:prstGeom prst="rect">
          <a:avLst/>
        </a:prstGeom>
      </xdr:spPr>
    </xdr:pic>
    <xdr:clientData/>
  </xdr:twoCellAnchor>
  <xdr:twoCellAnchor editAs="oneCell">
    <xdr:from>
      <xdr:col>13</xdr:col>
      <xdr:colOff>1</xdr:colOff>
      <xdr:row>44</xdr:row>
      <xdr:rowOff>139700</xdr:rowOff>
    </xdr:from>
    <xdr:to>
      <xdr:col>27</xdr:col>
      <xdr:colOff>304802</xdr:colOff>
      <xdr:row>63</xdr:row>
      <xdr:rowOff>120883</xdr:rowOff>
    </xdr:to>
    <xdr:pic>
      <xdr:nvPicPr>
        <xdr:cNvPr id="3" name="Picture 2">
          <a:extLst>
            <a:ext uri="{FF2B5EF4-FFF2-40B4-BE49-F238E27FC236}">
              <a16:creationId xmlns:a16="http://schemas.microsoft.com/office/drawing/2014/main" id="{DDD77A60-F9DF-7649-BB62-5FD591CA6933}"/>
            </a:ext>
          </a:extLst>
        </xdr:cNvPr>
        <xdr:cNvPicPr>
          <a:picLocks noChangeAspect="1"/>
        </xdr:cNvPicPr>
      </xdr:nvPicPr>
      <xdr:blipFill>
        <a:blip xmlns:r="http://schemas.openxmlformats.org/officeDocument/2006/relationships" r:embed="rId2"/>
        <a:stretch>
          <a:fillRect/>
        </a:stretch>
      </xdr:blipFill>
      <xdr:spPr>
        <a:xfrm>
          <a:off x="7442201" y="8890000"/>
          <a:ext cx="7772400" cy="3841982"/>
        </a:xfrm>
        <a:prstGeom prst="rect">
          <a:avLst/>
        </a:prstGeom>
      </xdr:spPr>
    </xdr:pic>
    <xdr:clientData/>
  </xdr:twoCellAnchor>
  <xdr:twoCellAnchor editAs="oneCell">
    <xdr:from>
      <xdr:col>13</xdr:col>
      <xdr:colOff>0</xdr:colOff>
      <xdr:row>65</xdr:row>
      <xdr:rowOff>87018</xdr:rowOff>
    </xdr:from>
    <xdr:to>
      <xdr:col>27</xdr:col>
      <xdr:colOff>304801</xdr:colOff>
      <xdr:row>72</xdr:row>
      <xdr:rowOff>96375</xdr:rowOff>
    </xdr:to>
    <xdr:pic>
      <xdr:nvPicPr>
        <xdr:cNvPr id="4" name="Picture 3">
          <a:extLst>
            <a:ext uri="{FF2B5EF4-FFF2-40B4-BE49-F238E27FC236}">
              <a16:creationId xmlns:a16="http://schemas.microsoft.com/office/drawing/2014/main" id="{4FAF8141-8FBB-EF4E-9D49-4813896B561D}"/>
            </a:ext>
          </a:extLst>
        </xdr:cNvPr>
        <xdr:cNvPicPr>
          <a:picLocks noChangeAspect="1"/>
        </xdr:cNvPicPr>
      </xdr:nvPicPr>
      <xdr:blipFill>
        <a:blip xmlns:r="http://schemas.openxmlformats.org/officeDocument/2006/relationships" r:embed="rId3"/>
        <a:stretch>
          <a:fillRect/>
        </a:stretch>
      </xdr:blipFill>
      <xdr:spPr>
        <a:xfrm>
          <a:off x="7442200" y="13104518"/>
          <a:ext cx="7772400" cy="14317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task39.ieabioenergy.com/wp-content/uploads/sites/37/2020/02/Advanced-Biofuels-Potential-for-Cost-Reduction-Final-Draft.pdf" TargetMode="External"/><Relationship Id="rId1" Type="http://schemas.openxmlformats.org/officeDocument/2006/relationships/hyperlink" Target="https://repository.tno.nl/SingleDoc?find=UID%202f9779a2-dd73-4f7f-9494-a44ddb7550d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workbookViewId="0">
      <selection activeCell="C6" sqref="C6"/>
    </sheetView>
  </sheetViews>
  <sheetFormatPr baseColWidth="10" defaultColWidth="10.83203125" defaultRowHeight="16"/>
  <cols>
    <col min="1" max="1" width="3.5" style="28" customWidth="1"/>
    <col min="2" max="2" width="9.1640625" style="21" customWidth="1"/>
    <col min="3" max="3" width="44.1640625" style="21" customWidth="1"/>
    <col min="4" max="4" width="2.1640625" style="21" customWidth="1"/>
    <col min="5" max="16384" width="10.83203125" style="21"/>
  </cols>
  <sheetData>
    <row r="1" spans="1:4" s="26" customFormat="1">
      <c r="A1" s="24"/>
      <c r="B1" s="25"/>
      <c r="C1" s="25"/>
    </row>
    <row r="2" spans="1:4" ht="21">
      <c r="A2" s="7"/>
      <c r="B2" s="27" t="s">
        <v>6</v>
      </c>
      <c r="C2" s="27"/>
    </row>
    <row r="3" spans="1:4">
      <c r="A3" s="7"/>
      <c r="B3" s="14"/>
      <c r="C3" s="14"/>
    </row>
    <row r="4" spans="1:4">
      <c r="A4" s="7"/>
      <c r="B4" s="8" t="s">
        <v>47</v>
      </c>
      <c r="C4" s="9" t="s">
        <v>51</v>
      </c>
    </row>
    <row r="5" spans="1:4">
      <c r="A5" s="7"/>
      <c r="B5" s="10" t="s">
        <v>13</v>
      </c>
      <c r="C5" s="11" t="s">
        <v>81</v>
      </c>
    </row>
    <row r="6" spans="1:4">
      <c r="A6" s="7"/>
      <c r="B6" s="12" t="s">
        <v>8</v>
      </c>
      <c r="C6" s="13" t="s">
        <v>9</v>
      </c>
    </row>
    <row r="7" spans="1:4">
      <c r="A7" s="7"/>
      <c r="B7" s="14"/>
      <c r="C7" s="14"/>
    </row>
    <row r="8" spans="1:4">
      <c r="A8" s="7"/>
      <c r="B8" s="14"/>
      <c r="C8" s="14"/>
    </row>
    <row r="9" spans="1:4">
      <c r="A9" s="7"/>
      <c r="B9" s="66" t="s">
        <v>14</v>
      </c>
      <c r="C9" s="67"/>
      <c r="D9" s="114"/>
    </row>
    <row r="10" spans="1:4">
      <c r="A10" s="7"/>
      <c r="B10" s="68"/>
      <c r="C10" s="69"/>
      <c r="D10" s="115"/>
    </row>
    <row r="11" spans="1:4">
      <c r="A11" s="7"/>
      <c r="B11" s="68" t="s">
        <v>15</v>
      </c>
      <c r="C11" s="70" t="s">
        <v>16</v>
      </c>
      <c r="D11" s="115"/>
    </row>
    <row r="12" spans="1:4" ht="17" thickBot="1">
      <c r="A12" s="7"/>
      <c r="B12" s="68"/>
      <c r="C12" s="18" t="s">
        <v>17</v>
      </c>
      <c r="D12" s="115"/>
    </row>
    <row r="13" spans="1:4" ht="17" thickBot="1">
      <c r="A13" s="7"/>
      <c r="B13" s="68"/>
      <c r="C13" s="71" t="s">
        <v>18</v>
      </c>
      <c r="D13" s="115"/>
    </row>
    <row r="14" spans="1:4">
      <c r="A14" s="7"/>
      <c r="B14" s="68"/>
      <c r="C14" s="69" t="s">
        <v>19</v>
      </c>
      <c r="D14" s="115"/>
    </row>
    <row r="15" spans="1:4">
      <c r="A15" s="7"/>
      <c r="B15" s="68"/>
      <c r="C15" s="69"/>
      <c r="D15" s="115"/>
    </row>
    <row r="16" spans="1:4">
      <c r="A16" s="7"/>
      <c r="B16" s="68" t="s">
        <v>20</v>
      </c>
      <c r="C16" s="72" t="s">
        <v>21</v>
      </c>
      <c r="D16" s="115"/>
    </row>
    <row r="17" spans="1:4">
      <c r="A17" s="7"/>
      <c r="B17" s="68"/>
      <c r="C17" s="73" t="s">
        <v>22</v>
      </c>
      <c r="D17" s="115"/>
    </row>
    <row r="18" spans="1:4">
      <c r="A18" s="7"/>
      <c r="B18" s="68"/>
      <c r="C18" s="74" t="s">
        <v>23</v>
      </c>
      <c r="D18" s="115"/>
    </row>
    <row r="19" spans="1:4">
      <c r="A19" s="7"/>
      <c r="B19" s="68"/>
      <c r="C19" s="75" t="s">
        <v>24</v>
      </c>
      <c r="D19" s="115"/>
    </row>
    <row r="20" spans="1:4">
      <c r="A20" s="7"/>
      <c r="B20" s="76"/>
      <c r="C20" s="77" t="s">
        <v>25</v>
      </c>
      <c r="D20" s="115"/>
    </row>
    <row r="21" spans="1:4">
      <c r="A21" s="7"/>
      <c r="B21" s="76"/>
      <c r="C21" s="78" t="s">
        <v>26</v>
      </c>
      <c r="D21" s="115"/>
    </row>
    <row r="22" spans="1:4">
      <c r="A22" s="7"/>
      <c r="B22" s="76"/>
      <c r="C22" s="79" t="s">
        <v>27</v>
      </c>
      <c r="D22" s="115"/>
    </row>
    <row r="23" spans="1:4">
      <c r="B23" s="76"/>
      <c r="C23" s="80" t="s">
        <v>28</v>
      </c>
      <c r="D23" s="115"/>
    </row>
    <row r="24" spans="1:4">
      <c r="B24" s="116"/>
      <c r="C24" s="117"/>
      <c r="D24" s="118"/>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2"/>
  <sheetViews>
    <sheetView workbookViewId="0">
      <selection activeCell="I23" sqref="I23"/>
    </sheetView>
  </sheetViews>
  <sheetFormatPr baseColWidth="10" defaultColWidth="10.83203125" defaultRowHeight="16"/>
  <cols>
    <col min="1" max="1" width="3.33203125" style="32" customWidth="1"/>
    <col min="2" max="2" width="3.6640625" style="32" customWidth="1"/>
    <col min="3" max="3" width="46" style="32" customWidth="1"/>
    <col min="4" max="4" width="12.6640625" style="32" customWidth="1"/>
    <col min="5" max="5" width="17.5" style="32" customWidth="1"/>
    <col min="6" max="6" width="4.5" style="32" customWidth="1"/>
    <col min="7" max="7" width="45" style="32" customWidth="1"/>
    <col min="8" max="8" width="5.1640625" style="32" customWidth="1"/>
    <col min="9" max="9" width="51.5" style="32" customWidth="1"/>
    <col min="10" max="10" width="5.5" style="32" customWidth="1"/>
    <col min="11" max="16384" width="10.83203125" style="32"/>
  </cols>
  <sheetData>
    <row r="2" spans="2:10" ht="15" customHeight="1">
      <c r="B2" s="129" t="s">
        <v>50</v>
      </c>
      <c r="C2" s="130"/>
      <c r="D2" s="130"/>
      <c r="E2" s="131"/>
    </row>
    <row r="3" spans="2:10">
      <c r="B3" s="132"/>
      <c r="C3" s="133"/>
      <c r="D3" s="133"/>
      <c r="E3" s="134"/>
    </row>
    <row r="4" spans="2:10" ht="59" customHeight="1">
      <c r="B4" s="135"/>
      <c r="C4" s="136"/>
      <c r="D4" s="136"/>
      <c r="E4" s="137"/>
    </row>
    <row r="5" spans="2:10" ht="17" thickBot="1"/>
    <row r="6" spans="2:10">
      <c r="B6" s="34"/>
      <c r="C6" s="20"/>
      <c r="D6" s="20"/>
      <c r="E6" s="20"/>
      <c r="F6" s="20"/>
      <c r="G6" s="20"/>
      <c r="H6" s="20"/>
      <c r="I6" s="20"/>
      <c r="J6" s="35"/>
    </row>
    <row r="7" spans="2:10" s="36" customFormat="1" ht="19">
      <c r="B7" s="81"/>
      <c r="C7" s="19" t="s">
        <v>12</v>
      </c>
      <c r="D7" s="82" t="s">
        <v>4</v>
      </c>
      <c r="E7" s="19" t="s">
        <v>2</v>
      </c>
      <c r="F7" s="19"/>
      <c r="G7" s="19" t="s">
        <v>3</v>
      </c>
      <c r="H7" s="19"/>
      <c r="I7" s="19" t="s">
        <v>0</v>
      </c>
      <c r="J7" s="83"/>
    </row>
    <row r="8" spans="2:10" s="36" customFormat="1" ht="19">
      <c r="B8" s="23"/>
      <c r="C8" s="18"/>
      <c r="D8" s="30"/>
      <c r="E8" s="18"/>
      <c r="F8" s="18"/>
      <c r="G8" s="18"/>
      <c r="H8" s="18"/>
      <c r="I8" s="18"/>
      <c r="J8" s="37"/>
    </row>
    <row r="9" spans="2:10" s="36" customFormat="1" ht="20" thickBot="1">
      <c r="B9" s="23"/>
      <c r="C9" s="113" t="s">
        <v>48</v>
      </c>
      <c r="D9" s="30"/>
      <c r="E9" s="18"/>
      <c r="F9" s="18"/>
      <c r="G9" s="18"/>
      <c r="H9" s="18"/>
      <c r="I9" s="18"/>
      <c r="J9" s="37"/>
    </row>
    <row r="10" spans="2:10" s="36" customFormat="1" ht="20" thickBot="1">
      <c r="B10" s="23"/>
      <c r="C10" s="87" t="s">
        <v>35</v>
      </c>
      <c r="D10" s="22" t="s">
        <v>1</v>
      </c>
      <c r="E10" s="93">
        <f>'Research data'!G6</f>
        <v>1</v>
      </c>
      <c r="F10" s="33"/>
      <c r="G10" s="92" t="s">
        <v>38</v>
      </c>
      <c r="H10" s="29"/>
      <c r="I10" s="126" t="s">
        <v>39</v>
      </c>
      <c r="J10" s="37"/>
    </row>
    <row r="11" spans="2:10" s="36" customFormat="1" ht="20" thickBot="1">
      <c r="B11" s="23"/>
      <c r="C11" s="92" t="s">
        <v>46</v>
      </c>
      <c r="D11" s="22" t="s">
        <v>42</v>
      </c>
      <c r="E11" s="125">
        <f>'Research data'!G8</f>
        <v>15.6</v>
      </c>
      <c r="F11" s="33"/>
      <c r="G11" s="92"/>
      <c r="H11" s="29"/>
      <c r="I11" s="102"/>
      <c r="J11" s="37"/>
    </row>
    <row r="12" spans="2:10" s="105" customFormat="1" ht="17" thickBot="1">
      <c r="B12" s="106"/>
      <c r="C12" s="107"/>
      <c r="D12" s="107"/>
      <c r="E12" s="107"/>
      <c r="F12" s="107"/>
      <c r="G12" s="107"/>
      <c r="H12" s="107"/>
      <c r="I12" s="107"/>
      <c r="J12" s="108"/>
    </row>
  </sheetData>
  <mergeCells count="1">
    <mergeCell ref="B2:E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M11"/>
  <sheetViews>
    <sheetView workbookViewId="0">
      <selection activeCell="M30" sqref="M30"/>
    </sheetView>
  </sheetViews>
  <sheetFormatPr baseColWidth="10" defaultColWidth="10.83203125" defaultRowHeight="16"/>
  <cols>
    <col min="1" max="2" width="3.5" style="56" customWidth="1"/>
    <col min="3" max="3" width="35.83203125" style="56" customWidth="1"/>
    <col min="4" max="4" width="16.5" style="56" hidden="1" customWidth="1"/>
    <col min="5" max="5" width="13.83203125" style="56" hidden="1" customWidth="1"/>
    <col min="6" max="6" width="12.5" style="56" customWidth="1"/>
    <col min="7" max="7" width="15.6640625" style="56" customWidth="1"/>
    <col min="8" max="8" width="4.6640625" style="56" customWidth="1"/>
    <col min="9" max="9" width="9.83203125" style="57" customWidth="1"/>
    <col min="10" max="10" width="3" style="57" customWidth="1"/>
    <col min="11" max="11" width="13.1640625" style="57" customWidth="1"/>
    <col min="12" max="12" width="2.6640625" style="57" customWidth="1"/>
    <col min="13" max="13" width="60" style="56" customWidth="1"/>
    <col min="14" max="16384" width="10.83203125" style="56"/>
  </cols>
  <sheetData>
    <row r="1" spans="2:13" ht="17" thickBot="1"/>
    <row r="2" spans="2:13">
      <c r="B2" s="58"/>
      <c r="C2" s="59"/>
      <c r="D2" s="59"/>
      <c r="E2" s="59"/>
      <c r="F2" s="59"/>
      <c r="G2" s="59"/>
      <c r="H2" s="59"/>
      <c r="I2" s="60"/>
      <c r="J2" s="60"/>
      <c r="K2" s="60"/>
      <c r="L2" s="60"/>
      <c r="M2" s="61"/>
    </row>
    <row r="3" spans="2:13" s="18" customFormat="1">
      <c r="B3" s="23"/>
      <c r="C3" s="86" t="s">
        <v>29</v>
      </c>
      <c r="D3" s="15"/>
      <c r="E3" s="15"/>
      <c r="F3" s="86" t="s">
        <v>4</v>
      </c>
      <c r="G3" s="86" t="s">
        <v>25</v>
      </c>
      <c r="H3" s="86"/>
      <c r="I3" s="54" t="s">
        <v>62</v>
      </c>
      <c r="J3" s="54"/>
      <c r="K3" s="54" t="s">
        <v>68</v>
      </c>
      <c r="L3" s="54"/>
      <c r="M3" s="1" t="s">
        <v>30</v>
      </c>
    </row>
    <row r="4" spans="2:13">
      <c r="B4" s="62"/>
      <c r="C4" s="63"/>
      <c r="D4" s="63"/>
      <c r="E4" s="63"/>
      <c r="F4" s="63"/>
      <c r="G4" s="64"/>
      <c r="H4" s="64"/>
      <c r="I4" s="84"/>
      <c r="J4" s="84"/>
      <c r="K4" s="84"/>
      <c r="L4" s="85"/>
      <c r="M4" s="2"/>
    </row>
    <row r="5" spans="2:13" ht="17" thickBot="1">
      <c r="B5" s="62"/>
      <c r="C5" s="18" t="s">
        <v>44</v>
      </c>
      <c r="D5" s="31"/>
      <c r="E5" s="31"/>
      <c r="F5" s="31"/>
      <c r="G5" s="16"/>
      <c r="H5" s="16"/>
      <c r="I5" s="16"/>
      <c r="J5" s="16"/>
      <c r="K5" s="16"/>
      <c r="L5" s="16"/>
      <c r="M5" s="3"/>
    </row>
    <row r="6" spans="2:13" ht="17" thickBot="1">
      <c r="B6" s="62"/>
      <c r="C6" s="94" t="s">
        <v>35</v>
      </c>
      <c r="D6" s="94" t="s">
        <v>35</v>
      </c>
      <c r="E6" s="94" t="s">
        <v>35</v>
      </c>
      <c r="F6" s="22" t="s">
        <v>1</v>
      </c>
      <c r="G6" s="38">
        <v>1</v>
      </c>
      <c r="H6" s="65"/>
      <c r="I6" s="17"/>
      <c r="J6" s="17"/>
      <c r="K6" s="17"/>
      <c r="L6" s="16"/>
      <c r="M6" s="3"/>
    </row>
    <row r="7" spans="2:13" s="6" customFormat="1" ht="17" thickBot="1">
      <c r="B7" s="5"/>
      <c r="C7" s="95" t="s">
        <v>36</v>
      </c>
      <c r="D7" s="95" t="s">
        <v>36</v>
      </c>
      <c r="E7" s="95" t="s">
        <v>36</v>
      </c>
      <c r="F7" s="22" t="s">
        <v>43</v>
      </c>
      <c r="G7" s="145">
        <f>ROUND(K7,5)</f>
        <v>5.5599999999999998E-3</v>
      </c>
      <c r="H7" s="4"/>
      <c r="I7" s="17"/>
      <c r="J7" s="17"/>
      <c r="K7" s="146">
        <f>Notes!D22</f>
        <v>5.5555555555555558E-3</v>
      </c>
      <c r="L7" s="16"/>
      <c r="M7" s="98"/>
    </row>
    <row r="8" spans="2:13" s="6" customFormat="1" ht="17" thickBot="1">
      <c r="B8" s="5"/>
      <c r="C8" s="95" t="s">
        <v>46</v>
      </c>
      <c r="D8" s="95" t="s">
        <v>41</v>
      </c>
      <c r="E8" s="95" t="s">
        <v>41</v>
      </c>
      <c r="F8" s="22" t="s">
        <v>42</v>
      </c>
      <c r="G8" s="38">
        <f>ROUND(I8,3)</f>
        <v>15.6</v>
      </c>
      <c r="H8" s="4"/>
      <c r="I8" s="124">
        <f>Notes!E14</f>
        <v>15.6</v>
      </c>
      <c r="J8" s="17"/>
      <c r="K8" s="17"/>
      <c r="L8" s="16"/>
      <c r="M8" s="104"/>
    </row>
    <row r="9" spans="2:13" s="6" customFormat="1" ht="17" thickBot="1">
      <c r="B9" s="5"/>
      <c r="C9" s="96" t="s">
        <v>37</v>
      </c>
      <c r="D9" s="96" t="s">
        <v>37</v>
      </c>
      <c r="E9" s="96" t="s">
        <v>37</v>
      </c>
      <c r="F9" s="22" t="s">
        <v>40</v>
      </c>
      <c r="G9" s="38">
        <f t="shared" ref="G9" si="0">I9</f>
        <v>0</v>
      </c>
      <c r="H9" s="4"/>
      <c r="I9" s="124">
        <v>0</v>
      </c>
      <c r="J9" s="17"/>
      <c r="K9" s="17"/>
      <c r="L9" s="16"/>
      <c r="M9" s="3"/>
    </row>
    <row r="10" spans="2:13" s="6" customFormat="1" ht="17" thickBot="1">
      <c r="B10" s="5"/>
      <c r="C10" s="119" t="s">
        <v>49</v>
      </c>
      <c r="D10" s="96" t="s">
        <v>37</v>
      </c>
      <c r="E10" s="96" t="s">
        <v>37</v>
      </c>
      <c r="F10" s="22" t="s">
        <v>40</v>
      </c>
      <c r="G10" s="38">
        <f>ROUND(I10,3)</f>
        <v>0.112</v>
      </c>
      <c r="H10" s="4"/>
      <c r="I10" s="124">
        <f>Notes!E13</f>
        <v>0.112</v>
      </c>
      <c r="J10" s="17"/>
      <c r="K10" s="17"/>
      <c r="L10" s="16"/>
      <c r="M10" s="123"/>
    </row>
    <row r="11" spans="2:13" ht="17" thickBot="1">
      <c r="B11" s="109"/>
      <c r="C11" s="110"/>
      <c r="D11" s="110"/>
      <c r="E11" s="110"/>
      <c r="F11" s="110"/>
      <c r="G11" s="110"/>
      <c r="H11" s="110"/>
      <c r="I11" s="111"/>
      <c r="J11" s="111"/>
      <c r="K11" s="111"/>
      <c r="L11" s="111"/>
      <c r="M11" s="112"/>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L12"/>
  <sheetViews>
    <sheetView workbookViewId="0">
      <selection activeCell="C9" sqref="C9"/>
    </sheetView>
  </sheetViews>
  <sheetFormatPr baseColWidth="10" defaultColWidth="33.1640625" defaultRowHeight="16"/>
  <cols>
    <col min="1" max="1" width="3.33203125" style="39" customWidth="1"/>
    <col min="2" max="2" width="3.5" style="39" customWidth="1"/>
    <col min="3" max="3" width="28.6640625" style="39" customWidth="1"/>
    <col min="4" max="4" width="3.1640625" style="39" customWidth="1"/>
    <col min="5" max="5" width="16.1640625" style="39" customWidth="1"/>
    <col min="6" max="6" width="5" style="39" customWidth="1"/>
    <col min="7" max="7" width="10.33203125" style="39" customWidth="1"/>
    <col min="8" max="10" width="12.1640625" style="39" customWidth="1"/>
    <col min="11" max="11" width="33.1640625" style="40" customWidth="1"/>
    <col min="12" max="12" width="87.33203125" style="39" customWidth="1"/>
    <col min="13" max="16384" width="33.1640625" style="39"/>
  </cols>
  <sheetData>
    <row r="1" spans="2:12" ht="17" thickBot="1"/>
    <row r="2" spans="2:12">
      <c r="B2" s="41"/>
      <c r="C2" s="42"/>
      <c r="D2" s="42"/>
      <c r="E2" s="42"/>
      <c r="F2" s="42"/>
      <c r="G2" s="42"/>
      <c r="H2" s="42"/>
      <c r="I2" s="42"/>
      <c r="J2" s="42"/>
      <c r="K2" s="43"/>
      <c r="L2" s="42"/>
    </row>
    <row r="3" spans="2:12">
      <c r="B3" s="44"/>
      <c r="C3" s="45" t="s">
        <v>10</v>
      </c>
      <c r="D3" s="45"/>
      <c r="E3" s="45"/>
      <c r="F3" s="45"/>
      <c r="G3" s="45"/>
      <c r="H3" s="45"/>
      <c r="I3" s="45"/>
      <c r="J3" s="45"/>
      <c r="K3" s="46"/>
    </row>
    <row r="4" spans="2:12">
      <c r="B4" s="44"/>
    </row>
    <row r="5" spans="2:12">
      <c r="B5" s="47"/>
      <c r="C5" s="48" t="s">
        <v>12</v>
      </c>
      <c r="D5" s="48"/>
      <c r="E5" s="48" t="s">
        <v>0</v>
      </c>
      <c r="F5" s="48"/>
      <c r="G5" s="48" t="s">
        <v>7</v>
      </c>
      <c r="H5" s="48" t="s">
        <v>11</v>
      </c>
      <c r="I5" s="48" t="s">
        <v>32</v>
      </c>
      <c r="J5" s="48" t="s">
        <v>34</v>
      </c>
      <c r="K5" s="49" t="s">
        <v>33</v>
      </c>
      <c r="L5" s="48" t="s">
        <v>5</v>
      </c>
    </row>
    <row r="6" spans="2:12">
      <c r="B6" s="44"/>
      <c r="C6" s="45"/>
      <c r="D6" s="45"/>
      <c r="E6" s="99"/>
      <c r="F6" s="99"/>
      <c r="G6" s="45"/>
      <c r="H6" s="45"/>
      <c r="I6" s="45"/>
      <c r="J6" s="45"/>
      <c r="K6" s="46"/>
      <c r="L6" s="45"/>
    </row>
    <row r="7" spans="2:12">
      <c r="B7" s="44"/>
      <c r="C7" s="138" t="s">
        <v>63</v>
      </c>
      <c r="D7" s="138"/>
      <c r="E7" s="138" t="s">
        <v>62</v>
      </c>
      <c r="G7" s="138" t="s">
        <v>64</v>
      </c>
      <c r="H7" s="138">
        <v>2021</v>
      </c>
      <c r="I7" s="138" t="s">
        <v>65</v>
      </c>
      <c r="J7" s="139">
        <v>45898</v>
      </c>
      <c r="K7" s="140"/>
      <c r="L7" s="141" t="s">
        <v>66</v>
      </c>
    </row>
    <row r="8" spans="2:12">
      <c r="B8" s="44"/>
      <c r="C8" s="138"/>
      <c r="D8" s="50"/>
      <c r="E8" s="138"/>
      <c r="F8" s="138"/>
      <c r="H8" s="40"/>
      <c r="I8" s="40"/>
      <c r="J8" s="40"/>
      <c r="K8" s="142"/>
      <c r="L8" s="55"/>
    </row>
    <row r="9" spans="2:12">
      <c r="B9" s="44"/>
      <c r="C9" s="103" t="s">
        <v>67</v>
      </c>
      <c r="D9" s="50" t="s">
        <v>68</v>
      </c>
      <c r="E9" s="138"/>
      <c r="F9" s="138"/>
      <c r="H9" s="40" t="s">
        <v>69</v>
      </c>
      <c r="I9" s="40" t="s">
        <v>70</v>
      </c>
      <c r="J9" s="139">
        <v>45901</v>
      </c>
      <c r="L9" s="143" t="s">
        <v>71</v>
      </c>
    </row>
    <row r="10" spans="2:12">
      <c r="B10" s="44"/>
      <c r="C10" s="103"/>
      <c r="D10" s="53"/>
      <c r="E10" s="97"/>
      <c r="F10" s="138"/>
      <c r="G10" s="51"/>
      <c r="H10" s="52"/>
      <c r="I10" s="52"/>
      <c r="J10" s="52"/>
      <c r="L10" s="101"/>
    </row>
    <row r="11" spans="2:12">
      <c r="B11" s="44"/>
      <c r="C11" s="103"/>
      <c r="D11" s="53"/>
      <c r="E11" s="97"/>
      <c r="F11" s="100"/>
      <c r="G11" s="51"/>
      <c r="H11" s="52"/>
      <c r="I11" s="52"/>
      <c r="J11" s="52"/>
      <c r="L11" s="101"/>
    </row>
    <row r="12" spans="2:12">
      <c r="B12" s="44"/>
    </row>
  </sheetData>
  <hyperlinks>
    <hyperlink ref="L7" r:id="rId1" xr:uid="{C99C2668-51C7-4F42-8202-3DF89F92146E}"/>
    <hyperlink ref="L9" r:id="rId2" xr:uid="{875292EB-DE37-984F-BF44-0A3F27922ABA}"/>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718"/>
  <sheetViews>
    <sheetView tabSelected="1" topLeftCell="C4" zoomScale="125" zoomScaleNormal="115" zoomScalePageLayoutView="115" workbookViewId="0">
      <selection activeCell="K25" sqref="K25"/>
    </sheetView>
  </sheetViews>
  <sheetFormatPr baseColWidth="10" defaultColWidth="7" defaultRowHeight="16"/>
  <cols>
    <col min="1" max="1" width="5.5" style="88" customWidth="1"/>
    <col min="2" max="2" width="5" style="88" customWidth="1"/>
    <col min="3" max="3" width="33.83203125" style="88" customWidth="1"/>
    <col min="4" max="5" width="7" style="88"/>
    <col min="6" max="6" width="10.83203125" style="88" bestFit="1" customWidth="1"/>
    <col min="7" max="7" width="7" style="88"/>
    <col min="8" max="8" width="8.83203125" style="88" bestFit="1" customWidth="1"/>
    <col min="9" max="16384" width="7" style="88"/>
  </cols>
  <sheetData>
    <row r="1" spans="2:26" ht="17" thickBot="1"/>
    <row r="2" spans="2:26" s="18" customFormat="1">
      <c r="B2" s="90"/>
      <c r="C2" s="91" t="s">
        <v>24</v>
      </c>
      <c r="D2" s="91" t="s">
        <v>45</v>
      </c>
      <c r="E2" s="91"/>
      <c r="F2" s="91" t="s">
        <v>31</v>
      </c>
      <c r="G2" s="91"/>
      <c r="H2" s="91"/>
      <c r="I2" s="91"/>
      <c r="J2" s="91"/>
      <c r="K2" s="91"/>
      <c r="L2" s="91"/>
      <c r="M2" s="91"/>
      <c r="N2" s="91"/>
      <c r="O2" s="91"/>
      <c r="P2" s="91"/>
      <c r="Q2" s="91"/>
      <c r="R2" s="91"/>
      <c r="S2" s="91"/>
      <c r="T2" s="91"/>
      <c r="U2" s="91"/>
    </row>
    <row r="3" spans="2:26">
      <c r="B3" s="89"/>
    </row>
    <row r="4" spans="2:26" customFormat="1">
      <c r="B4" s="89"/>
      <c r="C4" s="144" t="s">
        <v>73</v>
      </c>
      <c r="D4" s="127"/>
      <c r="E4" s="127"/>
      <c r="F4" s="127"/>
      <c r="G4" s="127"/>
      <c r="H4" s="127"/>
      <c r="I4" s="127"/>
      <c r="J4" s="127"/>
      <c r="K4" s="127"/>
      <c r="L4" s="127"/>
      <c r="M4" s="127"/>
      <c r="N4" s="127" t="s">
        <v>61</v>
      </c>
      <c r="O4" s="127"/>
      <c r="P4" s="127"/>
      <c r="Q4" s="127"/>
      <c r="R4" s="127"/>
      <c r="S4" s="127"/>
      <c r="T4" s="127"/>
      <c r="U4" s="127"/>
      <c r="V4" s="127"/>
      <c r="W4" s="127"/>
      <c r="X4" s="127"/>
      <c r="Y4" s="128"/>
      <c r="Z4" s="128"/>
    </row>
    <row r="5" spans="2:26" customFormat="1">
      <c r="B5" s="89"/>
      <c r="C5" s="138" t="s">
        <v>74</v>
      </c>
      <c r="D5" s="127"/>
      <c r="E5" s="127"/>
      <c r="F5" s="127"/>
      <c r="G5" s="127"/>
      <c r="H5" s="127"/>
      <c r="I5" s="127"/>
      <c r="J5" s="127"/>
      <c r="K5" s="127"/>
      <c r="L5" s="127"/>
      <c r="M5" s="127"/>
      <c r="N5" s="127"/>
      <c r="O5" s="127"/>
      <c r="P5" s="127"/>
      <c r="Q5" s="127"/>
      <c r="R5" s="127"/>
      <c r="S5" s="127"/>
      <c r="T5" s="127"/>
      <c r="U5" s="127"/>
      <c r="V5" s="127"/>
      <c r="W5" s="127"/>
      <c r="X5" s="127"/>
      <c r="Y5" s="127"/>
      <c r="Z5" s="127"/>
    </row>
    <row r="6" spans="2:26" customFormat="1">
      <c r="B6" s="89"/>
      <c r="C6" s="138"/>
      <c r="D6" s="127"/>
      <c r="E6" s="127"/>
      <c r="F6" s="127"/>
      <c r="G6" s="127"/>
      <c r="H6" s="127"/>
      <c r="I6" s="127"/>
      <c r="J6" s="127"/>
      <c r="K6" s="127"/>
      <c r="L6" s="127"/>
      <c r="M6" s="127"/>
      <c r="N6" s="127"/>
      <c r="O6" s="127"/>
      <c r="P6" s="127"/>
      <c r="Q6" s="127"/>
      <c r="R6" s="127"/>
      <c r="S6" s="127"/>
      <c r="T6" s="127"/>
      <c r="U6" s="127"/>
      <c r="V6" s="127"/>
      <c r="W6" s="127"/>
      <c r="X6" s="127"/>
      <c r="Y6" s="127"/>
      <c r="Z6" s="127"/>
    </row>
    <row r="7" spans="2:26" customFormat="1">
      <c r="B7" s="89"/>
      <c r="C7" s="138" t="s">
        <v>52</v>
      </c>
      <c r="D7" s="127"/>
      <c r="E7" s="127"/>
      <c r="F7" s="127"/>
      <c r="G7" s="127"/>
      <c r="H7" s="127"/>
      <c r="I7" s="127"/>
      <c r="J7" s="127"/>
      <c r="K7" s="127"/>
      <c r="L7" s="127"/>
      <c r="M7" s="127"/>
      <c r="N7" s="127"/>
      <c r="O7" s="127"/>
      <c r="P7" s="127"/>
      <c r="Q7" s="127"/>
      <c r="R7" s="127"/>
      <c r="S7" s="127"/>
      <c r="T7" s="127"/>
      <c r="U7" s="127"/>
      <c r="V7" s="127"/>
      <c r="W7" s="127"/>
      <c r="X7" s="127"/>
      <c r="Y7" s="127"/>
      <c r="Z7" s="127"/>
    </row>
    <row r="8" spans="2:26" customFormat="1">
      <c r="B8" s="89"/>
      <c r="C8" s="138" t="s">
        <v>53</v>
      </c>
      <c r="D8" s="127"/>
      <c r="E8" s="127"/>
      <c r="F8" s="127"/>
      <c r="G8" s="127"/>
      <c r="H8" s="127"/>
      <c r="I8" s="127"/>
      <c r="J8" s="127"/>
      <c r="K8" s="127"/>
      <c r="L8" s="127"/>
      <c r="M8" s="127"/>
      <c r="N8" s="127"/>
      <c r="O8" s="127"/>
      <c r="P8" s="127"/>
      <c r="Q8" s="127"/>
      <c r="R8" s="127"/>
      <c r="S8" s="127"/>
      <c r="T8" s="127"/>
      <c r="U8" s="127"/>
      <c r="V8" s="127"/>
      <c r="W8" s="127"/>
      <c r="X8" s="127"/>
      <c r="Y8" s="127"/>
      <c r="Z8" s="127"/>
    </row>
    <row r="9" spans="2:26" customFormat="1">
      <c r="B9" s="89"/>
      <c r="C9" s="138" t="s">
        <v>54</v>
      </c>
      <c r="D9" s="127"/>
      <c r="E9" s="127"/>
      <c r="F9" s="127"/>
      <c r="G9" s="127"/>
      <c r="H9" s="127"/>
      <c r="I9" s="127"/>
      <c r="J9" s="127"/>
      <c r="K9" s="127"/>
      <c r="L9" s="127"/>
      <c r="M9" s="127"/>
      <c r="N9" s="127"/>
      <c r="O9" s="127"/>
      <c r="P9" s="127"/>
      <c r="Q9" s="127"/>
      <c r="R9" s="127"/>
      <c r="S9" s="127"/>
      <c r="T9" s="127"/>
      <c r="U9" s="127"/>
      <c r="V9" s="127"/>
      <c r="W9" s="127"/>
      <c r="X9" s="127"/>
      <c r="Y9" s="127"/>
      <c r="Z9" s="127"/>
    </row>
    <row r="10" spans="2:26" customFormat="1">
      <c r="B10" s="89"/>
      <c r="C10" s="138" t="s">
        <v>55</v>
      </c>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spans="2:26" customFormat="1">
      <c r="B11" s="89"/>
      <c r="C11" s="138"/>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2:26" customFormat="1">
      <c r="B12" s="89"/>
      <c r="C12" s="127"/>
      <c r="D12" s="127" t="s">
        <v>56</v>
      </c>
      <c r="E12" s="127" t="s">
        <v>57</v>
      </c>
      <c r="F12" s="127" t="s">
        <v>58</v>
      </c>
      <c r="G12" s="127"/>
      <c r="H12" s="127"/>
      <c r="I12" s="127"/>
      <c r="J12" s="127"/>
      <c r="K12" s="127"/>
      <c r="L12" s="127"/>
      <c r="M12" s="127"/>
      <c r="N12" s="127"/>
      <c r="O12" s="127"/>
      <c r="P12" s="127"/>
      <c r="Q12" s="127"/>
      <c r="R12" s="127"/>
      <c r="S12" s="127"/>
      <c r="T12" s="127"/>
      <c r="U12" s="127"/>
      <c r="V12" s="127"/>
      <c r="W12" s="127"/>
      <c r="X12" s="127"/>
      <c r="Y12" s="127"/>
      <c r="Z12" s="127"/>
    </row>
    <row r="13" spans="2:26" customFormat="1">
      <c r="B13" s="89"/>
      <c r="C13" s="127" t="s">
        <v>59</v>
      </c>
      <c r="D13" s="127">
        <v>0.1</v>
      </c>
      <c r="E13" s="127">
        <v>0.112</v>
      </c>
      <c r="F13" s="127">
        <v>7.959999999999999E-2</v>
      </c>
      <c r="G13" s="127"/>
      <c r="H13" s="127"/>
      <c r="I13" s="127"/>
      <c r="J13" s="127"/>
      <c r="K13" s="127"/>
      <c r="L13" s="127"/>
      <c r="M13" s="127"/>
      <c r="N13" s="127"/>
      <c r="O13" s="127"/>
      <c r="P13" s="127"/>
      <c r="Q13" s="127"/>
      <c r="R13" s="127"/>
      <c r="S13" s="127"/>
      <c r="T13" s="127"/>
      <c r="U13" s="127"/>
      <c r="V13" s="127"/>
      <c r="W13" s="127"/>
      <c r="X13" s="127"/>
      <c r="Y13" s="127"/>
      <c r="Z13" s="127"/>
    </row>
    <row r="14" spans="2:26" customFormat="1">
      <c r="B14" s="89"/>
      <c r="C14" s="127" t="s">
        <v>60</v>
      </c>
      <c r="D14" s="127">
        <v>11.6</v>
      </c>
      <c r="E14" s="127">
        <v>15.6</v>
      </c>
      <c r="F14" s="127">
        <v>27.4</v>
      </c>
      <c r="G14" s="127"/>
      <c r="H14" s="127"/>
      <c r="I14" s="127"/>
      <c r="J14" s="127"/>
      <c r="K14" s="127"/>
      <c r="L14" s="127"/>
      <c r="M14" s="127"/>
      <c r="N14" s="127"/>
      <c r="O14" s="127"/>
      <c r="P14" s="127"/>
      <c r="Q14" s="127"/>
      <c r="R14" s="127"/>
      <c r="S14" s="127"/>
      <c r="T14" s="127"/>
      <c r="U14" s="127"/>
      <c r="V14" s="127"/>
      <c r="W14" s="127"/>
      <c r="X14" s="127"/>
      <c r="Y14" s="127"/>
      <c r="Z14" s="127"/>
    </row>
    <row r="15" spans="2:26" customFormat="1">
      <c r="B15" s="89"/>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2:26" customFormat="1">
      <c r="B16" s="89"/>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2:26" customFormat="1">
      <c r="B17" s="89"/>
      <c r="C17" s="144" t="s">
        <v>75</v>
      </c>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2:26" customFormat="1">
      <c r="B18" s="89"/>
      <c r="C18" s="138" t="s">
        <v>77</v>
      </c>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2:26" customFormat="1">
      <c r="B19" s="89"/>
      <c r="C19" s="138" t="s">
        <v>78</v>
      </c>
      <c r="D19" s="138"/>
      <c r="E19" s="138"/>
      <c r="F19" s="138"/>
      <c r="G19" s="127"/>
      <c r="H19" s="127"/>
      <c r="I19" s="127"/>
      <c r="J19" s="127"/>
      <c r="K19" s="127"/>
      <c r="L19" s="127"/>
      <c r="M19" s="127"/>
      <c r="N19" s="127"/>
      <c r="O19" s="127"/>
      <c r="P19" s="127"/>
      <c r="Q19" s="127"/>
      <c r="R19" s="127"/>
      <c r="S19" s="127"/>
      <c r="T19" s="127"/>
      <c r="U19" s="127"/>
      <c r="V19" s="127"/>
      <c r="W19" s="127"/>
      <c r="X19" s="127"/>
      <c r="Y19" s="127"/>
      <c r="Z19" s="127"/>
    </row>
    <row r="20" spans="2:26" customFormat="1">
      <c r="B20" s="89"/>
      <c r="C20" s="138"/>
      <c r="D20" s="138"/>
      <c r="E20" s="138"/>
      <c r="F20" s="138"/>
      <c r="G20" s="127"/>
      <c r="H20" s="127"/>
      <c r="I20" s="127"/>
      <c r="J20" s="127"/>
      <c r="K20" s="127"/>
      <c r="L20" s="127"/>
      <c r="M20" s="127"/>
      <c r="N20" s="127"/>
      <c r="O20" s="127"/>
      <c r="P20" s="127"/>
      <c r="Q20" s="127"/>
      <c r="R20" s="127"/>
      <c r="S20" s="127"/>
      <c r="T20" s="127"/>
      <c r="U20" s="127"/>
      <c r="V20" s="127"/>
      <c r="W20" s="127"/>
      <c r="X20" s="127"/>
      <c r="Y20" s="127"/>
      <c r="Z20" s="127"/>
    </row>
    <row r="21" spans="2:26" customFormat="1">
      <c r="B21" s="89"/>
      <c r="C21" s="138" t="s">
        <v>79</v>
      </c>
      <c r="D21" s="138">
        <v>20</v>
      </c>
      <c r="E21" s="138" t="s">
        <v>76</v>
      </c>
      <c r="F21" s="88"/>
      <c r="G21" s="138" t="s">
        <v>80</v>
      </c>
      <c r="H21" s="127"/>
      <c r="I21" s="127"/>
      <c r="J21" s="127"/>
      <c r="K21" s="127"/>
      <c r="L21" s="127"/>
      <c r="M21" s="127"/>
      <c r="N21" s="127"/>
      <c r="O21" s="127"/>
      <c r="P21" s="127"/>
      <c r="Q21" s="127"/>
      <c r="R21" s="127"/>
      <c r="S21" s="127"/>
      <c r="T21" s="127"/>
      <c r="U21" s="127"/>
      <c r="V21" s="127"/>
      <c r="W21" s="127"/>
      <c r="X21" s="127"/>
      <c r="Y21" s="127"/>
      <c r="Z21" s="127"/>
    </row>
    <row r="22" spans="2:26" customFormat="1">
      <c r="B22" s="89"/>
      <c r="C22" s="138" t="s">
        <v>79</v>
      </c>
      <c r="D22" s="138">
        <f>D21/3.6*10^-3</f>
        <v>5.5555555555555558E-3</v>
      </c>
      <c r="E22" s="138" t="s">
        <v>76</v>
      </c>
      <c r="F22" s="138"/>
      <c r="G22" s="127"/>
      <c r="H22" s="127"/>
      <c r="I22" s="127"/>
      <c r="J22" s="127"/>
      <c r="K22" s="127"/>
      <c r="L22" s="127"/>
      <c r="M22" s="127"/>
      <c r="N22" s="127"/>
      <c r="O22" s="127"/>
      <c r="P22" s="127"/>
      <c r="Q22" s="127"/>
      <c r="R22" s="127"/>
      <c r="S22" s="127"/>
      <c r="T22" s="127"/>
      <c r="U22" s="127"/>
      <c r="V22" s="127"/>
      <c r="W22" s="127"/>
      <c r="X22" s="127"/>
      <c r="Y22" s="127"/>
      <c r="Z22" s="127"/>
    </row>
    <row r="23" spans="2:26" customFormat="1">
      <c r="B23" s="89"/>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2:26" customFormat="1">
      <c r="B24" s="89"/>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2:26" customFormat="1">
      <c r="B25" s="89"/>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2:26" customFormat="1">
      <c r="B26" s="89"/>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2:26" customFormat="1">
      <c r="B27" s="89"/>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2:26" customFormat="1">
      <c r="B28" s="89"/>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2:26" customFormat="1">
      <c r="B29" s="89"/>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2:26" customFormat="1">
      <c r="B30" s="89"/>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2:26" customFormat="1">
      <c r="B31" s="89"/>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2:26" customFormat="1">
      <c r="B32" s="89"/>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2:26" customFormat="1">
      <c r="B33" s="89"/>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2:26" customFormat="1">
      <c r="B34" s="89"/>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2:26" customFormat="1">
      <c r="B35" s="89"/>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2:26" customFormat="1">
      <c r="B36" s="89"/>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2:26" customFormat="1">
      <c r="B37" s="89"/>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2:26" customFormat="1">
      <c r="B38" s="89"/>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2:26" customFormat="1">
      <c r="B39" s="89"/>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2:26" customFormat="1">
      <c r="B40" s="89"/>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2:26" customFormat="1">
      <c r="B41" s="89"/>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2:26" customFormat="1">
      <c r="B42" s="89"/>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2:26" customFormat="1">
      <c r="B43" s="89"/>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2:26" customFormat="1">
      <c r="B44" s="89"/>
      <c r="C44" s="127"/>
      <c r="D44" s="127"/>
      <c r="E44" s="127"/>
      <c r="F44" s="127"/>
      <c r="G44" s="127"/>
      <c r="H44" s="127"/>
      <c r="I44" s="127"/>
      <c r="J44" s="127"/>
      <c r="K44" s="127"/>
      <c r="L44" s="127"/>
      <c r="M44" s="127"/>
      <c r="N44" s="127" t="s">
        <v>72</v>
      </c>
      <c r="O44" s="127"/>
      <c r="P44" s="127"/>
      <c r="Q44" s="127"/>
      <c r="R44" s="127"/>
      <c r="S44" s="127"/>
      <c r="T44" s="127"/>
      <c r="U44" s="127"/>
      <c r="V44" s="127"/>
      <c r="W44" s="127"/>
      <c r="X44" s="127"/>
      <c r="Y44" s="127"/>
      <c r="Z44" s="127"/>
    </row>
    <row r="45" spans="2:26" customFormat="1">
      <c r="B45" s="89"/>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2:26" customFormat="1">
      <c r="B46" s="89"/>
      <c r="C46" s="97"/>
      <c r="D46" s="97"/>
      <c r="E46" s="97"/>
      <c r="F46" s="97"/>
      <c r="G46" s="97"/>
      <c r="H46" s="97"/>
      <c r="I46" s="97"/>
      <c r="J46" s="97"/>
      <c r="K46" s="97"/>
      <c r="L46" s="97"/>
      <c r="M46" s="97"/>
      <c r="N46" s="97"/>
      <c r="O46" s="97"/>
      <c r="P46" s="97"/>
      <c r="Q46" s="97"/>
      <c r="R46" s="97"/>
      <c r="S46" s="97"/>
      <c r="T46" s="97"/>
      <c r="U46" s="97"/>
      <c r="V46" s="97"/>
      <c r="W46" s="97"/>
      <c r="X46" s="97"/>
      <c r="Y46" s="97"/>
      <c r="Z46" s="97"/>
    </row>
    <row r="47" spans="2:26" customFormat="1">
      <c r="B47" s="89"/>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2:26" customFormat="1">
      <c r="B48" s="89"/>
      <c r="C48" s="97"/>
      <c r="D48" s="97"/>
      <c r="E48" s="97"/>
      <c r="F48" s="97"/>
      <c r="G48" s="97"/>
      <c r="H48" s="97"/>
      <c r="I48" s="97"/>
      <c r="J48" s="97"/>
      <c r="K48" s="97"/>
      <c r="L48" s="97"/>
      <c r="M48" s="97"/>
      <c r="N48" s="97"/>
      <c r="O48" s="97"/>
      <c r="P48" s="97"/>
      <c r="Q48" s="97"/>
      <c r="R48" s="97"/>
      <c r="S48" s="97"/>
      <c r="T48" s="97"/>
      <c r="U48" s="97"/>
      <c r="V48" s="97"/>
      <c r="W48" s="97"/>
      <c r="X48" s="97"/>
      <c r="Y48" s="97"/>
      <c r="Z48" s="97"/>
    </row>
    <row r="49" spans="2:26" customFormat="1">
      <c r="B49" s="89"/>
      <c r="C49" s="97"/>
      <c r="D49" s="97"/>
      <c r="E49" s="97"/>
      <c r="F49" s="97"/>
      <c r="G49" s="97"/>
      <c r="H49" s="97"/>
      <c r="I49" s="97"/>
      <c r="J49" s="97"/>
      <c r="K49" s="97"/>
      <c r="L49" s="97"/>
      <c r="M49" s="97"/>
      <c r="N49" s="97"/>
      <c r="O49" s="97"/>
      <c r="P49" s="97"/>
      <c r="Q49" s="97"/>
      <c r="R49" s="97"/>
      <c r="S49" s="97"/>
      <c r="T49" s="97"/>
      <c r="U49" s="97"/>
      <c r="V49" s="97"/>
      <c r="W49" s="97"/>
      <c r="X49" s="97"/>
      <c r="Y49" s="97"/>
      <c r="Z49" s="97"/>
    </row>
    <row r="50" spans="2:26" customFormat="1">
      <c r="B50" s="89"/>
      <c r="C50" s="97"/>
      <c r="D50" s="97"/>
      <c r="E50" s="97"/>
      <c r="F50" s="97"/>
      <c r="G50" s="97"/>
      <c r="H50" s="97"/>
      <c r="I50" s="97"/>
      <c r="J50" s="97"/>
      <c r="K50" s="97"/>
      <c r="L50" s="97"/>
      <c r="M50" s="97"/>
      <c r="N50" s="97"/>
      <c r="O50" s="97"/>
      <c r="P50" s="97"/>
      <c r="Q50" s="97"/>
      <c r="R50" s="97"/>
      <c r="S50" s="97"/>
      <c r="T50" s="97"/>
      <c r="U50" s="97"/>
      <c r="V50" s="97"/>
      <c r="W50" s="97"/>
      <c r="X50" s="97"/>
      <c r="Y50" s="97"/>
      <c r="Z50" s="97"/>
    </row>
    <row r="51" spans="2:26" customFormat="1">
      <c r="B51" s="89"/>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2:26" customFormat="1">
      <c r="B52" s="89"/>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2:26" customFormat="1">
      <c r="B53" s="89"/>
      <c r="C53" s="97"/>
      <c r="D53" s="97"/>
      <c r="E53" s="97"/>
      <c r="F53" s="97"/>
      <c r="G53" s="97"/>
      <c r="H53" s="97"/>
      <c r="I53" s="97"/>
      <c r="J53" s="97"/>
      <c r="K53" s="97"/>
      <c r="L53" s="97"/>
      <c r="M53" s="97"/>
      <c r="N53" s="97"/>
      <c r="O53" s="97"/>
      <c r="P53" s="97"/>
      <c r="Q53" s="97"/>
      <c r="R53" s="97"/>
      <c r="S53" s="97"/>
      <c r="T53" s="97"/>
      <c r="U53" s="97"/>
      <c r="V53" s="97"/>
      <c r="W53" s="97"/>
      <c r="X53" s="97"/>
      <c r="Y53" s="97"/>
      <c r="Z53" s="97"/>
    </row>
    <row r="54" spans="2:26" customFormat="1">
      <c r="B54" s="89"/>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2:26" customFormat="1">
      <c r="B55" s="89"/>
      <c r="C55" s="97"/>
      <c r="D55" s="97"/>
      <c r="E55" s="97"/>
      <c r="F55" s="97"/>
      <c r="G55" s="97"/>
      <c r="H55" s="97"/>
      <c r="I55" s="97"/>
      <c r="J55" s="97"/>
      <c r="K55" s="97"/>
      <c r="L55" s="97"/>
      <c r="M55" s="97"/>
      <c r="N55" s="97"/>
      <c r="O55" s="97"/>
      <c r="P55" s="97"/>
      <c r="Q55" s="97"/>
      <c r="R55" s="97"/>
      <c r="S55" s="97"/>
      <c r="T55" s="97"/>
      <c r="U55" s="97"/>
      <c r="V55" s="97"/>
      <c r="W55" s="97"/>
      <c r="X55" s="97"/>
      <c r="Y55" s="97"/>
      <c r="Z55" s="97"/>
    </row>
    <row r="56" spans="2:26" customFormat="1">
      <c r="B56" s="89"/>
      <c r="C56" s="97"/>
      <c r="D56" s="97"/>
      <c r="E56" s="97"/>
      <c r="F56" s="97"/>
      <c r="G56" s="97"/>
      <c r="H56" s="97"/>
      <c r="I56" s="97"/>
      <c r="J56" s="97"/>
      <c r="K56" s="97"/>
      <c r="L56" s="97"/>
      <c r="M56" s="97"/>
      <c r="N56" s="97"/>
      <c r="O56" s="97"/>
      <c r="P56" s="97"/>
      <c r="Q56" s="97"/>
      <c r="R56" s="97"/>
      <c r="S56" s="97"/>
      <c r="T56" s="97"/>
      <c r="U56" s="97"/>
      <c r="V56" s="97"/>
      <c r="W56" s="97"/>
      <c r="X56" s="97"/>
      <c r="Y56" s="97"/>
      <c r="Z56" s="97"/>
    </row>
    <row r="57" spans="2:26" customFormat="1">
      <c r="B57" s="89"/>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2:26" customFormat="1">
      <c r="B58" s="89"/>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2:26" customFormat="1">
      <c r="B59" s="89"/>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2:26" customFormat="1">
      <c r="B60" s="89"/>
      <c r="C60" s="97"/>
      <c r="D60" s="97"/>
      <c r="E60" s="97"/>
      <c r="F60" s="97"/>
      <c r="G60" s="97"/>
      <c r="H60" s="97"/>
      <c r="I60" s="97"/>
      <c r="J60" s="97"/>
      <c r="K60" s="97"/>
      <c r="L60" s="97"/>
      <c r="M60" s="97"/>
      <c r="N60" s="97"/>
      <c r="O60" s="97"/>
      <c r="P60" s="97"/>
      <c r="Q60" s="97"/>
      <c r="R60" s="97"/>
      <c r="S60" s="97"/>
      <c r="T60" s="97"/>
      <c r="U60" s="97"/>
      <c r="V60" s="97"/>
      <c r="W60" s="97"/>
      <c r="X60" s="97"/>
      <c r="Y60" s="97"/>
      <c r="Z60" s="97"/>
    </row>
    <row r="61" spans="2:26" customFormat="1">
      <c r="B61" s="89"/>
      <c r="C61" s="97"/>
      <c r="D61" s="97"/>
      <c r="E61" s="97"/>
      <c r="F61" s="97"/>
      <c r="G61" s="97"/>
      <c r="H61" s="97"/>
      <c r="I61" s="97"/>
      <c r="J61" s="97"/>
      <c r="K61" s="97"/>
      <c r="L61" s="97"/>
      <c r="M61" s="97"/>
      <c r="N61" s="97"/>
      <c r="O61" s="97"/>
      <c r="P61" s="97"/>
      <c r="Q61" s="97"/>
      <c r="R61" s="97"/>
      <c r="S61" s="97"/>
      <c r="T61" s="97"/>
      <c r="U61" s="97"/>
      <c r="V61" s="97"/>
      <c r="W61" s="97"/>
      <c r="X61" s="97"/>
      <c r="Y61" s="97"/>
      <c r="Z61" s="97"/>
    </row>
    <row r="62" spans="2:26" customFormat="1">
      <c r="B62" s="89"/>
      <c r="C62" s="97"/>
      <c r="D62" s="97"/>
      <c r="E62" s="97"/>
      <c r="F62" s="97"/>
      <c r="G62" s="97"/>
      <c r="H62" s="97"/>
      <c r="I62" s="97"/>
      <c r="J62" s="97"/>
      <c r="K62" s="97"/>
      <c r="L62" s="97"/>
      <c r="M62" s="97"/>
      <c r="N62" s="97"/>
      <c r="O62" s="97"/>
      <c r="P62" s="97"/>
      <c r="Q62" s="97"/>
      <c r="R62" s="97"/>
      <c r="S62" s="97"/>
      <c r="T62" s="97"/>
      <c r="U62" s="97"/>
      <c r="V62" s="97"/>
      <c r="W62" s="97"/>
      <c r="X62" s="97"/>
      <c r="Y62" s="97"/>
      <c r="Z62" s="97"/>
    </row>
    <row r="63" spans="2:26" customFormat="1">
      <c r="B63" s="89"/>
      <c r="C63" s="97"/>
      <c r="D63" s="97"/>
      <c r="E63" s="97"/>
      <c r="F63" s="97"/>
      <c r="G63" s="97"/>
      <c r="H63" s="97"/>
      <c r="I63" s="97"/>
      <c r="J63" s="97"/>
      <c r="K63" s="97"/>
      <c r="L63" s="97"/>
      <c r="M63" s="97"/>
      <c r="N63" s="97"/>
      <c r="O63" s="97"/>
      <c r="P63" s="97"/>
      <c r="Q63" s="97"/>
      <c r="R63" s="97"/>
      <c r="S63" s="97"/>
      <c r="T63" s="97"/>
      <c r="U63" s="97"/>
      <c r="V63" s="97"/>
      <c r="W63" s="97"/>
      <c r="X63" s="97"/>
      <c r="Y63" s="97"/>
      <c r="Z63" s="97"/>
    </row>
    <row r="64" spans="2:26" customFormat="1">
      <c r="B64" s="89"/>
      <c r="C64" s="97"/>
      <c r="D64" s="97"/>
      <c r="E64" s="97"/>
      <c r="F64" s="97"/>
      <c r="G64" s="97"/>
      <c r="H64" s="97"/>
      <c r="I64" s="97"/>
      <c r="J64" s="97"/>
      <c r="K64" s="97"/>
      <c r="L64" s="97"/>
      <c r="M64" s="97"/>
      <c r="N64" s="97"/>
      <c r="O64" s="97"/>
      <c r="P64" s="97"/>
      <c r="Q64" s="97"/>
      <c r="R64" s="97"/>
      <c r="S64" s="97"/>
      <c r="T64" s="97"/>
      <c r="U64" s="97"/>
      <c r="V64" s="97"/>
      <c r="W64" s="97"/>
      <c r="X64" s="97"/>
      <c r="Y64" s="97"/>
      <c r="Z64" s="97"/>
    </row>
    <row r="65" spans="2:26" customFormat="1">
      <c r="B65" s="89"/>
      <c r="C65" s="97"/>
      <c r="D65" s="97"/>
      <c r="E65" s="97"/>
      <c r="F65" s="97"/>
      <c r="G65" s="97"/>
      <c r="H65" s="97"/>
      <c r="I65" s="97"/>
      <c r="J65" s="97"/>
      <c r="K65" s="97"/>
      <c r="L65" s="97"/>
      <c r="M65" s="97"/>
      <c r="N65" s="97"/>
      <c r="O65" s="97"/>
      <c r="P65" s="97"/>
      <c r="Q65" s="97"/>
      <c r="R65" s="97"/>
      <c r="S65" s="97"/>
      <c r="T65" s="97"/>
      <c r="U65" s="97"/>
      <c r="V65" s="97"/>
      <c r="W65" s="97"/>
      <c r="X65" s="97"/>
      <c r="Y65" s="97"/>
      <c r="Z65" s="97"/>
    </row>
    <row r="66" spans="2:26" customFormat="1">
      <c r="B66" s="89"/>
      <c r="C66" s="97"/>
      <c r="D66" s="97"/>
      <c r="E66" s="97"/>
      <c r="F66" s="97"/>
      <c r="G66" s="97"/>
      <c r="H66" s="97"/>
      <c r="I66" s="97"/>
      <c r="J66" s="97"/>
      <c r="K66" s="97"/>
      <c r="L66" s="97"/>
      <c r="M66" s="97"/>
      <c r="N66" s="97"/>
      <c r="O66" s="97"/>
      <c r="P66" s="97"/>
      <c r="Q66" s="97"/>
      <c r="R66" s="97"/>
      <c r="S66" s="97"/>
      <c r="T66" s="97"/>
      <c r="U66" s="97"/>
      <c r="V66" s="97"/>
      <c r="W66" s="97"/>
      <c r="X66" s="97"/>
      <c r="Y66" s="97"/>
      <c r="Z66" s="97"/>
    </row>
    <row r="67" spans="2:26" customFormat="1">
      <c r="B67" s="89"/>
      <c r="C67" s="97"/>
      <c r="D67" s="97"/>
      <c r="E67" s="97"/>
      <c r="F67" s="97"/>
      <c r="G67" s="97"/>
      <c r="H67" s="97"/>
      <c r="I67" s="97"/>
      <c r="J67" s="97"/>
      <c r="K67" s="97"/>
      <c r="L67" s="97"/>
      <c r="M67" s="97"/>
      <c r="N67" s="97"/>
      <c r="O67" s="97"/>
      <c r="P67" s="97"/>
      <c r="Q67" s="97"/>
      <c r="R67" s="97"/>
      <c r="S67" s="97"/>
      <c r="T67" s="97"/>
      <c r="U67" s="97"/>
      <c r="V67" s="97"/>
      <c r="W67" s="97"/>
      <c r="X67" s="97"/>
      <c r="Y67" s="97"/>
      <c r="Z67" s="97"/>
    </row>
    <row r="68" spans="2:26" customFormat="1">
      <c r="B68" s="89"/>
      <c r="C68" s="97"/>
      <c r="D68" s="97"/>
      <c r="E68" s="97"/>
      <c r="F68" s="97"/>
      <c r="G68" s="97"/>
      <c r="H68" s="97"/>
      <c r="I68" s="97"/>
      <c r="J68" s="97"/>
      <c r="K68" s="97"/>
      <c r="L68" s="97"/>
      <c r="M68" s="97"/>
      <c r="N68" s="97"/>
      <c r="O68" s="97"/>
      <c r="P68" s="97"/>
      <c r="Q68" s="97"/>
      <c r="R68" s="97"/>
      <c r="S68" s="97"/>
      <c r="T68" s="97"/>
      <c r="U68" s="97"/>
      <c r="V68" s="97"/>
      <c r="W68" s="97"/>
      <c r="X68" s="97"/>
      <c r="Y68" s="97"/>
      <c r="Z68" s="97"/>
    </row>
    <row r="69" spans="2:26" customFormat="1">
      <c r="B69" s="89"/>
      <c r="C69" s="97"/>
      <c r="D69" s="97"/>
      <c r="E69" s="97"/>
      <c r="F69" s="97"/>
      <c r="G69" s="97"/>
      <c r="H69" s="97"/>
      <c r="I69" s="97"/>
      <c r="J69" s="97"/>
      <c r="K69" s="97"/>
      <c r="L69" s="97"/>
      <c r="M69" s="97"/>
      <c r="N69" s="97"/>
      <c r="O69" s="97"/>
      <c r="P69" s="97"/>
      <c r="Q69" s="97"/>
      <c r="R69" s="97"/>
      <c r="S69" s="97"/>
      <c r="T69" s="97"/>
      <c r="U69" s="97"/>
      <c r="V69" s="97"/>
      <c r="W69" s="97"/>
      <c r="X69" s="97"/>
      <c r="Y69" s="97"/>
      <c r="Z69" s="97"/>
    </row>
    <row r="70" spans="2:26" customFormat="1">
      <c r="B70" s="89"/>
      <c r="C70" s="97"/>
      <c r="D70" s="97"/>
      <c r="E70" s="97"/>
      <c r="F70" s="97"/>
      <c r="G70" s="97"/>
      <c r="H70" s="97"/>
      <c r="I70" s="97"/>
      <c r="J70" s="97"/>
      <c r="K70" s="97"/>
      <c r="L70" s="97"/>
      <c r="M70" s="97"/>
      <c r="N70" s="97"/>
      <c r="O70" s="97"/>
      <c r="P70" s="97"/>
      <c r="Q70" s="97"/>
      <c r="R70" s="97"/>
      <c r="S70" s="97"/>
      <c r="T70" s="97"/>
      <c r="U70" s="97"/>
      <c r="V70" s="97"/>
      <c r="W70" s="97"/>
      <c r="X70" s="97"/>
      <c r="Y70" s="97"/>
      <c r="Z70" s="97"/>
    </row>
    <row r="71" spans="2:26" customFormat="1">
      <c r="B71" s="89"/>
      <c r="C71" s="97"/>
      <c r="D71" s="97"/>
      <c r="E71" s="97"/>
      <c r="F71" s="97"/>
      <c r="G71" s="97"/>
      <c r="H71" s="97"/>
      <c r="I71" s="97"/>
      <c r="J71" s="97"/>
      <c r="K71" s="97"/>
      <c r="L71" s="97"/>
      <c r="M71" s="97"/>
      <c r="N71" s="97"/>
      <c r="O71" s="97"/>
      <c r="P71" s="97"/>
      <c r="Q71" s="97"/>
      <c r="R71" s="97"/>
      <c r="S71" s="97"/>
      <c r="T71" s="97"/>
      <c r="U71" s="97"/>
      <c r="V71" s="97"/>
      <c r="W71" s="97"/>
      <c r="X71" s="97"/>
      <c r="Y71" s="97"/>
      <c r="Z71" s="97"/>
    </row>
    <row r="72" spans="2:26" customFormat="1">
      <c r="B72" s="89"/>
      <c r="C72" s="97"/>
      <c r="D72" s="97"/>
      <c r="E72" s="97"/>
      <c r="F72" s="97"/>
      <c r="G72" s="97"/>
      <c r="H72" s="97"/>
      <c r="I72" s="97"/>
      <c r="J72" s="97"/>
      <c r="K72" s="97"/>
      <c r="L72" s="97"/>
      <c r="M72" s="97"/>
      <c r="N72" s="97"/>
      <c r="O72" s="97"/>
      <c r="P72" s="97"/>
      <c r="Q72" s="97"/>
      <c r="R72" s="97"/>
      <c r="S72" s="97"/>
      <c r="T72" s="97"/>
      <c r="U72" s="97"/>
      <c r="V72" s="97"/>
      <c r="W72" s="97"/>
      <c r="X72" s="97"/>
      <c r="Y72" s="97"/>
      <c r="Z72" s="97"/>
    </row>
    <row r="73" spans="2:26" customFormat="1">
      <c r="B73" s="89"/>
      <c r="C73" s="97"/>
      <c r="D73" s="97"/>
      <c r="E73" s="97"/>
      <c r="F73" s="97"/>
      <c r="G73" s="97"/>
      <c r="H73" s="97"/>
      <c r="I73" s="97"/>
      <c r="J73" s="97"/>
      <c r="K73" s="97"/>
      <c r="L73" s="97"/>
      <c r="M73" s="97"/>
      <c r="N73" s="97"/>
      <c r="O73" s="97"/>
      <c r="P73" s="97"/>
      <c r="Q73" s="97"/>
      <c r="R73" s="97"/>
      <c r="S73" s="97"/>
      <c r="T73" s="97"/>
      <c r="U73" s="97"/>
      <c r="V73" s="97"/>
      <c r="W73" s="97"/>
      <c r="X73" s="97"/>
      <c r="Y73" s="97"/>
      <c r="Z73" s="97"/>
    </row>
    <row r="74" spans="2:26" customFormat="1">
      <c r="B74" s="89"/>
      <c r="C74" s="97"/>
      <c r="D74" s="97"/>
      <c r="E74" s="97"/>
      <c r="F74" s="97"/>
      <c r="G74" s="97"/>
      <c r="H74" s="97"/>
      <c r="I74" s="97"/>
      <c r="J74" s="97"/>
      <c r="K74" s="97"/>
      <c r="L74" s="97"/>
      <c r="M74" s="97"/>
      <c r="N74" s="97"/>
      <c r="O74" s="97"/>
      <c r="P74" s="97"/>
      <c r="Q74" s="97"/>
      <c r="R74" s="97"/>
      <c r="S74" s="97"/>
      <c r="T74" s="97"/>
      <c r="U74" s="97"/>
      <c r="V74" s="97"/>
      <c r="W74" s="97"/>
      <c r="X74" s="97"/>
      <c r="Y74" s="97"/>
      <c r="Z74" s="97"/>
    </row>
    <row r="75" spans="2:26" customFormat="1">
      <c r="B75" s="89"/>
      <c r="C75" s="97"/>
      <c r="D75" s="97"/>
      <c r="E75" s="97"/>
      <c r="F75" s="97"/>
      <c r="G75" s="97"/>
      <c r="H75" s="97"/>
      <c r="I75" s="97"/>
      <c r="J75" s="97"/>
      <c r="K75" s="97"/>
      <c r="L75" s="97"/>
      <c r="M75" s="97"/>
      <c r="N75" s="97"/>
      <c r="O75" s="97"/>
      <c r="P75" s="97"/>
      <c r="Q75" s="97"/>
      <c r="R75" s="97"/>
      <c r="S75" s="97"/>
      <c r="T75" s="97"/>
      <c r="U75" s="97"/>
      <c r="V75" s="97"/>
      <c r="W75" s="97"/>
      <c r="X75" s="97"/>
      <c r="Y75" s="97"/>
      <c r="Z75" s="97"/>
    </row>
    <row r="76" spans="2:26" customFormat="1">
      <c r="B76" s="89"/>
      <c r="C76" s="97"/>
      <c r="D76" s="97"/>
      <c r="E76" s="97"/>
      <c r="F76" s="97"/>
      <c r="G76" s="97"/>
      <c r="H76" s="97"/>
      <c r="I76" s="97"/>
      <c r="J76" s="97"/>
      <c r="K76" s="97"/>
      <c r="L76" s="97"/>
      <c r="M76" s="97"/>
      <c r="N76" s="97"/>
      <c r="O76" s="97"/>
      <c r="P76" s="97"/>
      <c r="Q76" s="97"/>
      <c r="R76" s="97"/>
      <c r="S76" s="97"/>
      <c r="T76" s="97"/>
      <c r="U76" s="97"/>
      <c r="V76" s="97"/>
      <c r="W76" s="97"/>
      <c r="X76" s="97"/>
      <c r="Y76" s="97"/>
      <c r="Z76" s="97"/>
    </row>
    <row r="77" spans="2:26" customFormat="1">
      <c r="B77" s="89"/>
      <c r="C77" s="97"/>
      <c r="D77" s="97"/>
      <c r="E77" s="97"/>
      <c r="F77" s="97"/>
      <c r="G77" s="97"/>
      <c r="H77" s="97"/>
      <c r="I77" s="97"/>
      <c r="J77" s="97"/>
      <c r="K77" s="97"/>
      <c r="L77" s="97"/>
      <c r="M77" s="97"/>
      <c r="N77" s="97"/>
      <c r="O77" s="97"/>
      <c r="P77" s="97"/>
      <c r="Q77" s="97"/>
      <c r="R77" s="97"/>
      <c r="S77" s="97"/>
      <c r="T77" s="97"/>
      <c r="U77" s="97"/>
      <c r="V77" s="97"/>
      <c r="W77" s="97"/>
      <c r="X77" s="97"/>
      <c r="Y77" s="97"/>
      <c r="Z77" s="97"/>
    </row>
    <row r="78" spans="2:26" customFormat="1">
      <c r="B78" s="89"/>
      <c r="C78" s="97"/>
      <c r="D78" s="97"/>
      <c r="E78" s="97"/>
      <c r="F78" s="97"/>
      <c r="G78" s="97"/>
      <c r="H78" s="97"/>
      <c r="I78" s="97"/>
      <c r="J78" s="97"/>
      <c r="K78" s="97"/>
      <c r="L78" s="97"/>
      <c r="M78" s="97"/>
      <c r="N78" s="97"/>
      <c r="O78" s="97"/>
      <c r="P78" s="97"/>
      <c r="Q78" s="97"/>
      <c r="R78" s="97"/>
      <c r="S78" s="97"/>
      <c r="T78" s="97"/>
      <c r="U78" s="97"/>
      <c r="V78" s="97"/>
      <c r="W78" s="97"/>
      <c r="X78" s="97"/>
      <c r="Y78" s="97"/>
      <c r="Z78" s="97"/>
    </row>
    <row r="79" spans="2:26" customFormat="1">
      <c r="B79" s="89"/>
      <c r="C79" s="97"/>
      <c r="D79" s="97"/>
      <c r="E79" s="97"/>
      <c r="F79" s="97"/>
      <c r="G79" s="97"/>
      <c r="H79" s="97"/>
      <c r="I79" s="97"/>
      <c r="J79" s="97"/>
      <c r="K79" s="97"/>
      <c r="L79" s="97"/>
      <c r="M79" s="97"/>
      <c r="N79" s="97"/>
      <c r="O79" s="97"/>
      <c r="P79" s="97"/>
      <c r="Q79" s="97"/>
      <c r="R79" s="97"/>
      <c r="S79" s="97"/>
      <c r="T79" s="97"/>
      <c r="U79" s="97"/>
      <c r="V79" s="97"/>
      <c r="W79" s="97"/>
      <c r="X79" s="97"/>
      <c r="Y79" s="97"/>
      <c r="Z79" s="97"/>
    </row>
    <row r="80" spans="2:26" customFormat="1">
      <c r="B80" s="89"/>
      <c r="C80" s="97"/>
      <c r="D80" s="97"/>
      <c r="E80" s="97"/>
      <c r="F80" s="97"/>
      <c r="G80" s="97"/>
      <c r="H80" s="97"/>
      <c r="I80" s="97"/>
      <c r="J80" s="97"/>
      <c r="K80" s="97"/>
      <c r="L80" s="97"/>
      <c r="M80" s="97"/>
      <c r="N80" s="97"/>
      <c r="O80" s="97"/>
      <c r="P80" s="97"/>
      <c r="Q80" s="97"/>
      <c r="R80" s="97"/>
      <c r="S80" s="97"/>
      <c r="T80" s="97"/>
      <c r="U80" s="97"/>
      <c r="V80" s="97"/>
      <c r="W80" s="97"/>
      <c r="X80" s="97"/>
      <c r="Y80" s="97"/>
      <c r="Z80" s="97"/>
    </row>
    <row r="81" spans="2:26" customFormat="1">
      <c r="B81" s="89"/>
      <c r="C81" s="97"/>
      <c r="D81" s="97"/>
      <c r="E81" s="97"/>
      <c r="F81" s="97"/>
      <c r="G81" s="97"/>
      <c r="H81" s="97"/>
      <c r="I81" s="97"/>
      <c r="J81" s="97"/>
      <c r="K81" s="97"/>
      <c r="L81" s="97"/>
      <c r="M81" s="97"/>
      <c r="N81" s="97"/>
      <c r="O81" s="97"/>
      <c r="P81" s="97"/>
      <c r="Q81" s="97"/>
      <c r="R81" s="97"/>
      <c r="S81" s="97"/>
      <c r="T81" s="97"/>
      <c r="U81" s="97"/>
      <c r="V81" s="97"/>
      <c r="W81" s="97"/>
      <c r="X81" s="97"/>
      <c r="Y81" s="97"/>
      <c r="Z81" s="97"/>
    </row>
    <row r="82" spans="2:26" customFormat="1">
      <c r="B82" s="89"/>
      <c r="C82" s="97"/>
      <c r="D82" s="97"/>
      <c r="E82" s="97"/>
      <c r="F82" s="97"/>
      <c r="G82" s="97"/>
      <c r="H82" s="97"/>
      <c r="I82" s="97"/>
      <c r="J82" s="97"/>
      <c r="K82" s="97"/>
      <c r="L82" s="97"/>
      <c r="M82" s="97"/>
      <c r="N82" s="97"/>
      <c r="O82" s="97"/>
      <c r="P82" s="97"/>
      <c r="Q82" s="97"/>
      <c r="R82" s="97"/>
      <c r="S82" s="97"/>
      <c r="T82" s="97"/>
      <c r="U82" s="97"/>
      <c r="V82" s="97"/>
      <c r="W82" s="97"/>
      <c r="X82" s="97"/>
      <c r="Y82" s="97"/>
      <c r="Z82" s="97"/>
    </row>
    <row r="83" spans="2:26" customFormat="1">
      <c r="B83" s="89"/>
      <c r="C83" s="97"/>
      <c r="D83" s="97"/>
      <c r="E83" s="97"/>
      <c r="F83" s="97"/>
      <c r="G83" s="97"/>
      <c r="H83" s="97"/>
      <c r="I83" s="97"/>
      <c r="J83" s="97"/>
      <c r="K83" s="97"/>
      <c r="L83" s="97"/>
      <c r="M83" s="97"/>
      <c r="N83" s="97"/>
      <c r="O83" s="97"/>
      <c r="P83" s="97"/>
      <c r="Q83" s="97"/>
      <c r="R83" s="97"/>
      <c r="S83" s="97"/>
      <c r="T83" s="97"/>
      <c r="U83" s="97"/>
      <c r="V83" s="97"/>
      <c r="W83" s="97"/>
      <c r="X83" s="97"/>
      <c r="Y83" s="97"/>
      <c r="Z83" s="97"/>
    </row>
    <row r="84" spans="2:26" customFormat="1">
      <c r="B84" s="89"/>
      <c r="C84" s="97"/>
      <c r="D84" s="97"/>
      <c r="E84" s="97"/>
      <c r="F84" s="97"/>
      <c r="G84" s="97"/>
      <c r="H84" s="97"/>
      <c r="I84" s="97"/>
      <c r="J84" s="97"/>
      <c r="K84" s="97"/>
      <c r="L84" s="97"/>
      <c r="M84" s="97"/>
      <c r="N84" s="97"/>
      <c r="O84" s="97"/>
      <c r="P84" s="97"/>
      <c r="Q84" s="97"/>
      <c r="R84" s="97"/>
      <c r="S84" s="97"/>
      <c r="T84" s="97"/>
      <c r="U84" s="97"/>
      <c r="V84" s="97"/>
      <c r="W84" s="97"/>
      <c r="X84" s="97"/>
      <c r="Y84" s="97"/>
      <c r="Z84" s="97"/>
    </row>
    <row r="85" spans="2:26" customFormat="1">
      <c r="B85" s="89"/>
      <c r="C85" s="97"/>
      <c r="D85" s="97"/>
      <c r="E85" s="97"/>
      <c r="F85" s="97"/>
      <c r="G85" s="97"/>
      <c r="H85" s="97"/>
      <c r="I85" s="97"/>
      <c r="J85" s="97"/>
      <c r="K85" s="97"/>
      <c r="L85" s="97"/>
      <c r="M85" s="97"/>
      <c r="N85" s="97"/>
      <c r="O85" s="97"/>
      <c r="P85" s="97"/>
      <c r="Q85" s="97"/>
      <c r="R85" s="97"/>
      <c r="S85" s="97"/>
      <c r="T85" s="97"/>
      <c r="U85" s="97"/>
      <c r="V85" s="97"/>
      <c r="W85" s="97"/>
      <c r="X85" s="97"/>
      <c r="Y85" s="97"/>
      <c r="Z85" s="97"/>
    </row>
    <row r="86" spans="2:26" customFormat="1">
      <c r="B86" s="89"/>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2:26" customFormat="1">
      <c r="B87" s="89"/>
      <c r="C87" s="97"/>
      <c r="D87" s="97"/>
      <c r="E87" s="97"/>
      <c r="F87" s="97"/>
      <c r="G87" s="97"/>
      <c r="H87" s="97"/>
      <c r="I87" s="97"/>
      <c r="J87" s="97"/>
      <c r="K87" s="97"/>
      <c r="L87" s="97"/>
      <c r="M87" s="97"/>
      <c r="N87" s="97"/>
      <c r="O87" s="97"/>
      <c r="P87" s="97"/>
      <c r="Q87" s="97"/>
      <c r="R87" s="97"/>
      <c r="S87" s="97"/>
      <c r="T87" s="97"/>
      <c r="U87" s="97"/>
      <c r="V87" s="97"/>
      <c r="W87" s="97"/>
      <c r="X87" s="97"/>
      <c r="Y87" s="97"/>
      <c r="Z87" s="97"/>
    </row>
    <row r="88" spans="2:26" customFormat="1">
      <c r="B88" s="89"/>
      <c r="C88" s="97"/>
      <c r="D88" s="97"/>
      <c r="E88" s="97"/>
      <c r="F88" s="97"/>
      <c r="G88" s="97"/>
      <c r="H88" s="97"/>
      <c r="I88" s="97"/>
      <c r="J88" s="97"/>
      <c r="K88" s="97"/>
      <c r="L88" s="97"/>
      <c r="M88" s="97"/>
      <c r="N88" s="97"/>
      <c r="O88" s="97"/>
      <c r="P88" s="97"/>
      <c r="Q88" s="97"/>
      <c r="R88" s="97"/>
      <c r="S88" s="97"/>
      <c r="T88" s="97"/>
      <c r="U88" s="97"/>
      <c r="V88" s="97"/>
      <c r="W88" s="97"/>
      <c r="X88" s="97"/>
      <c r="Y88" s="97"/>
      <c r="Z88" s="97"/>
    </row>
    <row r="89" spans="2:26" customFormat="1">
      <c r="B89" s="89"/>
      <c r="C89" s="97"/>
      <c r="D89" s="97"/>
      <c r="E89" s="97"/>
      <c r="F89" s="97"/>
      <c r="G89" s="97"/>
      <c r="H89" s="97"/>
      <c r="I89" s="97"/>
      <c r="J89" s="97"/>
      <c r="K89" s="97"/>
      <c r="L89" s="97"/>
      <c r="M89" s="97"/>
      <c r="N89" s="97"/>
      <c r="O89" s="97"/>
      <c r="P89" s="97"/>
      <c r="Q89" s="97"/>
      <c r="R89" s="97"/>
      <c r="S89" s="97"/>
      <c r="T89" s="97"/>
      <c r="U89" s="97"/>
      <c r="V89" s="97"/>
      <c r="W89" s="97"/>
      <c r="X89" s="97"/>
      <c r="Y89" s="97"/>
      <c r="Z89" s="97"/>
    </row>
    <row r="90" spans="2:26" customFormat="1">
      <c r="B90" s="89"/>
      <c r="C90" s="97"/>
      <c r="D90" s="97"/>
      <c r="E90" s="97"/>
      <c r="F90" s="97"/>
      <c r="G90" s="97"/>
      <c r="H90" s="97"/>
      <c r="I90" s="97"/>
      <c r="J90" s="97"/>
      <c r="K90" s="97"/>
      <c r="L90" s="97"/>
      <c r="M90" s="97"/>
      <c r="N90" s="97"/>
      <c r="O90" s="97"/>
      <c r="P90" s="97"/>
      <c r="Q90" s="97"/>
      <c r="R90" s="97"/>
      <c r="S90" s="97"/>
      <c r="T90" s="97"/>
      <c r="U90" s="97"/>
      <c r="V90" s="97"/>
      <c r="W90" s="97"/>
      <c r="X90" s="97"/>
      <c r="Y90" s="97"/>
      <c r="Z90" s="97"/>
    </row>
    <row r="91" spans="2:26" customFormat="1">
      <c r="B91" s="89"/>
      <c r="C91" s="97"/>
      <c r="D91" s="97"/>
      <c r="E91" s="97"/>
      <c r="F91" s="97"/>
      <c r="G91" s="97"/>
      <c r="H91" s="97"/>
      <c r="I91" s="97"/>
      <c r="J91" s="97"/>
      <c r="K91" s="97"/>
      <c r="L91" s="97"/>
      <c r="M91" s="97"/>
      <c r="N91" s="97"/>
      <c r="O91" s="97"/>
      <c r="P91" s="97"/>
      <c r="Q91" s="97"/>
      <c r="R91" s="97"/>
      <c r="S91" s="97"/>
      <c r="T91" s="97"/>
      <c r="U91" s="97"/>
      <c r="V91" s="97"/>
      <c r="W91" s="97"/>
      <c r="X91" s="97"/>
      <c r="Y91" s="97"/>
      <c r="Z91" s="97"/>
    </row>
    <row r="92" spans="2:26" customFormat="1">
      <c r="B92" s="89"/>
      <c r="C92" s="97"/>
      <c r="D92" s="97"/>
      <c r="E92" s="97"/>
      <c r="F92" s="97"/>
      <c r="G92" s="97"/>
      <c r="H92" s="97"/>
      <c r="I92" s="97"/>
      <c r="J92" s="97"/>
      <c r="K92" s="97"/>
      <c r="L92" s="97"/>
      <c r="M92" s="97"/>
      <c r="N92" s="97"/>
      <c r="O92" s="97"/>
      <c r="P92" s="97"/>
      <c r="Q92" s="97"/>
      <c r="R92" s="97"/>
      <c r="S92" s="97"/>
      <c r="T92" s="97"/>
      <c r="U92" s="97"/>
      <c r="V92" s="97"/>
      <c r="W92" s="97"/>
      <c r="X92" s="97"/>
      <c r="Y92" s="97"/>
      <c r="Z92" s="97"/>
    </row>
    <row r="93" spans="2:26" customFormat="1">
      <c r="B93" s="89"/>
      <c r="C93" s="97"/>
      <c r="D93" s="97"/>
      <c r="E93" s="97"/>
      <c r="F93" s="97"/>
      <c r="G93" s="97"/>
      <c r="H93" s="97"/>
      <c r="I93" s="97"/>
      <c r="J93" s="97"/>
      <c r="K93" s="97"/>
      <c r="L93" s="97"/>
      <c r="M93" s="97"/>
      <c r="N93" s="97"/>
      <c r="O93" s="97"/>
      <c r="P93" s="97"/>
      <c r="Q93" s="97"/>
      <c r="R93" s="97"/>
      <c r="S93" s="97"/>
      <c r="T93" s="97"/>
      <c r="U93" s="97"/>
      <c r="V93" s="97"/>
      <c r="W93" s="97"/>
      <c r="X93" s="97"/>
      <c r="Y93" s="97"/>
      <c r="Z93" s="97"/>
    </row>
    <row r="94" spans="2:26" customFormat="1">
      <c r="B94" s="89"/>
      <c r="C94" s="97"/>
      <c r="D94" s="97"/>
      <c r="E94" s="97"/>
      <c r="F94" s="97"/>
      <c r="G94" s="97"/>
      <c r="H94" s="97"/>
      <c r="I94" s="97"/>
      <c r="J94" s="97"/>
      <c r="K94" s="97"/>
      <c r="L94" s="97"/>
      <c r="M94" s="97"/>
      <c r="N94" s="97"/>
      <c r="O94" s="97"/>
      <c r="P94" s="97"/>
      <c r="Q94" s="97"/>
      <c r="R94" s="97"/>
      <c r="S94" s="97"/>
      <c r="T94" s="97"/>
      <c r="U94" s="97"/>
      <c r="V94" s="97"/>
      <c r="W94" s="97"/>
      <c r="X94" s="97"/>
      <c r="Y94" s="97"/>
      <c r="Z94" s="97"/>
    </row>
    <row r="95" spans="2:26" customFormat="1">
      <c r="B95" s="89"/>
      <c r="C95" s="97"/>
      <c r="D95" s="97"/>
      <c r="E95" s="97"/>
      <c r="F95" s="97"/>
      <c r="G95" s="97"/>
      <c r="H95" s="97"/>
      <c r="I95" s="97"/>
      <c r="J95" s="97"/>
      <c r="K95" s="97"/>
      <c r="L95" s="97"/>
      <c r="M95" s="97"/>
      <c r="N95" s="97"/>
      <c r="O95" s="97"/>
      <c r="P95" s="97"/>
      <c r="Q95" s="97"/>
      <c r="R95" s="97"/>
      <c r="S95" s="97"/>
      <c r="T95" s="97"/>
      <c r="U95" s="97"/>
      <c r="V95" s="97"/>
      <c r="W95" s="97"/>
      <c r="X95" s="97"/>
      <c r="Y95" s="97"/>
      <c r="Z95" s="97"/>
    </row>
    <row r="96" spans="2:26" customFormat="1">
      <c r="B96" s="89"/>
      <c r="C96" s="97"/>
      <c r="D96" s="97"/>
      <c r="E96" s="97"/>
      <c r="F96" s="97"/>
      <c r="G96" s="97"/>
      <c r="H96" s="97"/>
      <c r="I96" s="97"/>
      <c r="J96" s="97"/>
      <c r="K96" s="97"/>
      <c r="L96" s="97"/>
      <c r="M96" s="97"/>
      <c r="N96" s="97"/>
      <c r="O96" s="97"/>
      <c r="P96" s="97"/>
      <c r="Q96" s="97"/>
      <c r="R96" s="97"/>
      <c r="S96" s="97"/>
      <c r="T96" s="97"/>
      <c r="U96" s="97"/>
      <c r="V96" s="97"/>
      <c r="W96" s="97"/>
      <c r="X96" s="97"/>
      <c r="Y96" s="97"/>
      <c r="Z96" s="97"/>
    </row>
    <row r="97" spans="2:26" customFormat="1">
      <c r="B97" s="89"/>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2:26" customFormat="1">
      <c r="B98" s="89"/>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2:26" customFormat="1">
      <c r="B99" s="89"/>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2:26" customFormat="1">
      <c r="B100" s="89"/>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2:26" customFormat="1">
      <c r="B101" s="89"/>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2:26" customFormat="1">
      <c r="B102" s="89"/>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2:26" customFormat="1">
      <c r="B103" s="89"/>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2:26" customFormat="1">
      <c r="B104" s="89"/>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2:26" customFormat="1">
      <c r="B105" s="89"/>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2:26" customFormat="1">
      <c r="B106" s="89"/>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2:26" customFormat="1">
      <c r="B107" s="89"/>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2:26" customFormat="1">
      <c r="B108" s="89"/>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2:26" customFormat="1">
      <c r="B109" s="89"/>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2:26" customFormat="1">
      <c r="B110" s="89"/>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2:26" customFormat="1">
      <c r="B111" s="89"/>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2:26" customFormat="1">
      <c r="B112" s="89"/>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2:26" customFormat="1">
      <c r="B113" s="89"/>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2:26" customFormat="1">
      <c r="B114" s="89"/>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2:26" customFormat="1">
      <c r="B115" s="89"/>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2:26" customFormat="1">
      <c r="B116" s="89"/>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2:26" customFormat="1">
      <c r="B117" s="89"/>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2:26" customFormat="1">
      <c r="B118" s="89"/>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2:26" customFormat="1">
      <c r="B119" s="89"/>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2:26" customFormat="1">
      <c r="B120" s="89"/>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spans="2:26" customFormat="1">
      <c r="B121" s="89"/>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spans="2:26" customFormat="1">
      <c r="B122" s="89"/>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spans="2:26" customFormat="1">
      <c r="B123" s="89"/>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spans="2:26" customFormat="1">
      <c r="B124" s="89"/>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spans="2:26" customFormat="1">
      <c r="B125" s="89"/>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spans="2:26" customFormat="1">
      <c r="B126" s="89"/>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spans="2:26" customFormat="1">
      <c r="B127" s="89"/>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spans="2:26" customFormat="1">
      <c r="B128" s="89"/>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spans="2:26" customFormat="1">
      <c r="B129" s="89"/>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spans="2:26" customFormat="1">
      <c r="B130" s="89"/>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spans="2:26" customFormat="1">
      <c r="B131" s="89"/>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spans="2:26" customFormat="1">
      <c r="B132" s="89"/>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spans="2:26" customFormat="1">
      <c r="B133" s="89"/>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spans="2:26" customFormat="1">
      <c r="B134" s="89"/>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spans="2:26" customFormat="1">
      <c r="B135" s="89"/>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spans="2:26" customFormat="1">
      <c r="B136" s="89"/>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spans="2:26" customFormat="1">
      <c r="B137" s="89"/>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spans="2:26" customFormat="1">
      <c r="B138" s="89"/>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spans="2:26" customFormat="1">
      <c r="B139" s="89"/>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spans="2:26" customFormat="1">
      <c r="B140" s="89"/>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spans="2:26" customFormat="1">
      <c r="B141" s="89"/>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spans="2:26" customFormat="1">
      <c r="B142" s="89"/>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spans="2:26" customFormat="1">
      <c r="B143" s="89"/>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spans="2:26" customFormat="1">
      <c r="B144" s="89"/>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spans="2:26" customFormat="1">
      <c r="B145" s="89"/>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spans="2:26" customFormat="1">
      <c r="B146" s="89"/>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spans="2:26" customFormat="1">
      <c r="B147" s="89"/>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spans="2:26" customFormat="1">
      <c r="B148" s="89"/>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spans="2:26" customFormat="1">
      <c r="B149" s="89"/>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spans="2:26" customFormat="1">
      <c r="B150" s="89"/>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spans="2:26" customFormat="1">
      <c r="B151" s="89"/>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spans="2:26" customFormat="1">
      <c r="B152" s="89"/>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spans="2:26" customFormat="1">
      <c r="B153" s="89"/>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spans="2:26" customFormat="1">
      <c r="B154" s="89"/>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spans="2:26" customFormat="1">
      <c r="B155" s="89"/>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spans="2:26" customFormat="1">
      <c r="B156" s="89"/>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spans="2:26" customFormat="1">
      <c r="B157" s="89"/>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spans="2:26" customFormat="1">
      <c r="B158" s="89"/>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spans="2:26" customFormat="1">
      <c r="B159" s="89"/>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spans="2:26" customFormat="1">
      <c r="B160" s="89"/>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spans="2:26" customFormat="1">
      <c r="B161" s="89"/>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spans="2:26" customFormat="1">
      <c r="B162" s="89"/>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spans="2:26" customFormat="1">
      <c r="B163" s="89"/>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spans="2:26" customFormat="1">
      <c r="B164" s="89"/>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spans="2:26" customFormat="1">
      <c r="B165" s="89"/>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spans="2:26" customFormat="1">
      <c r="B166" s="89"/>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spans="2:26" customFormat="1">
      <c r="B167" s="89"/>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spans="2:26" customFormat="1">
      <c r="B168" s="89"/>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spans="2:26" customFormat="1">
      <c r="B169" s="89"/>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spans="2:26" customFormat="1">
      <c r="B170" s="89"/>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spans="2:26" customFormat="1">
      <c r="B171" s="89"/>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spans="2:26" customFormat="1">
      <c r="B172" s="89"/>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spans="2:26" customFormat="1">
      <c r="B173" s="89"/>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spans="2:26" customFormat="1">
      <c r="B174" s="89"/>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spans="2:26" customFormat="1">
      <c r="B175" s="89"/>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spans="2:26" customFormat="1">
      <c r="B176" s="89"/>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spans="2:26" customFormat="1">
      <c r="B177" s="89"/>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spans="2:26" customFormat="1">
      <c r="B178" s="89"/>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spans="2:26" customFormat="1">
      <c r="B179" s="89"/>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spans="2:26" customFormat="1">
      <c r="B180" s="89"/>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spans="2:26" customFormat="1">
      <c r="B181" s="89"/>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spans="2:26" customFormat="1">
      <c r="B182" s="89"/>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spans="2:26" customFormat="1">
      <c r="B183" s="89"/>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spans="2:26" customFormat="1">
      <c r="B184" s="89"/>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spans="2:26" customFormat="1">
      <c r="B185" s="89"/>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spans="2:26" customFormat="1">
      <c r="B186" s="89"/>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spans="2:26" customFormat="1">
      <c r="B187" s="89"/>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spans="2:26" customFormat="1">
      <c r="B188" s="89"/>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spans="2:26" customFormat="1">
      <c r="B189" s="89"/>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spans="2:26" customFormat="1">
      <c r="B190" s="89"/>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spans="2:26" customFormat="1">
      <c r="B191" s="89"/>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spans="2:26" customFormat="1">
      <c r="B192" s="89"/>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spans="2:26" customFormat="1">
      <c r="B193" s="89"/>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spans="2:26" customFormat="1">
      <c r="B194" s="89"/>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spans="2:26" customFormat="1">
      <c r="B195" s="89"/>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spans="2:26" customFormat="1">
      <c r="B196" s="89"/>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spans="2:26" customFormat="1">
      <c r="B197" s="89"/>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spans="2:26" customFormat="1">
      <c r="B198" s="89"/>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spans="2:26" customFormat="1">
      <c r="B199" s="89"/>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spans="2:26" customFormat="1">
      <c r="B200" s="89"/>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spans="2:26" customFormat="1">
      <c r="B201" s="89"/>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spans="2:26" customFormat="1">
      <c r="B202" s="89"/>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spans="2:26" customFormat="1">
      <c r="B203" s="89"/>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spans="2:26" customFormat="1">
      <c r="B204" s="89"/>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spans="2:26" customFormat="1">
      <c r="B205" s="89"/>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spans="2:26" customFormat="1">
      <c r="B206" s="89"/>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spans="2:26" customFormat="1">
      <c r="B207" s="89"/>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spans="2:26" customFormat="1">
      <c r="B208" s="89"/>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spans="1:26" customFormat="1">
      <c r="B209" s="89"/>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spans="1:26" customFormat="1">
      <c r="B210" s="89"/>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spans="1:26" customFormat="1">
      <c r="B211" s="89"/>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spans="1:26" customFormat="1">
      <c r="B212" s="89"/>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spans="1:26" customFormat="1">
      <c r="B213" s="89"/>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spans="1:26" customFormat="1">
      <c r="B214" s="89"/>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spans="1:26" customFormat="1">
      <c r="B215" s="89"/>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spans="1:26" customFormat="1">
      <c r="B216" s="89"/>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spans="1:26" customFormat="1">
      <c r="B217" s="89"/>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customFormat="1">
      <c r="B218" s="89"/>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customFormat="1">
      <c r="B219" s="89"/>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spans="1:26" customFormat="1">
      <c r="B220" s="89"/>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spans="1:26" s="18" customFormat="1">
      <c r="A221"/>
      <c r="B221" s="89"/>
      <c r="C221" s="97"/>
      <c r="D221" s="97"/>
      <c r="E221" s="97"/>
      <c r="F221" s="97"/>
      <c r="G221" s="97"/>
      <c r="H221" s="97"/>
      <c r="I221" s="97"/>
      <c r="J221" s="97"/>
      <c r="K221" s="97"/>
      <c r="L221" s="97"/>
      <c r="M221" s="97"/>
      <c r="N221" s="97"/>
      <c r="O221" s="97"/>
      <c r="P221" s="97"/>
      <c r="Q221" s="97"/>
      <c r="R221" s="97"/>
      <c r="S221" s="97"/>
      <c r="T221" s="97"/>
      <c r="U221" s="97"/>
    </row>
    <row r="222" spans="1:26" customFormat="1">
      <c r="B222" s="89"/>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spans="1:26" customFormat="1">
      <c r="B223" s="89"/>
      <c r="C223" s="97"/>
      <c r="D223" s="97"/>
      <c r="E223" s="97"/>
      <c r="F223" s="97"/>
      <c r="G223" s="97"/>
      <c r="H223" s="97"/>
      <c r="I223" s="97"/>
      <c r="J223" s="97"/>
      <c r="K223" s="97"/>
      <c r="L223" s="97"/>
      <c r="M223" s="97"/>
      <c r="N223" s="97"/>
      <c r="O223" s="97"/>
      <c r="P223" s="97"/>
      <c r="Q223" s="97"/>
      <c r="R223" s="97"/>
      <c r="S223" s="97"/>
      <c r="T223" s="97"/>
      <c r="U223" s="97"/>
      <c r="V223" s="97"/>
      <c r="W223" s="97"/>
      <c r="X223" s="97"/>
    </row>
    <row r="224" spans="1:26" customFormat="1">
      <c r="B224" s="89"/>
      <c r="C224" s="97"/>
      <c r="D224" s="97"/>
      <c r="E224" s="97"/>
      <c r="F224" s="97"/>
      <c r="G224" s="97"/>
      <c r="H224" s="97"/>
      <c r="I224" s="97"/>
      <c r="J224" s="97"/>
      <c r="K224" s="97"/>
      <c r="L224" s="97"/>
      <c r="M224" s="97"/>
      <c r="N224" s="97"/>
      <c r="O224" s="97"/>
      <c r="P224" s="97"/>
      <c r="Q224" s="97"/>
      <c r="R224" s="97"/>
      <c r="S224" s="97"/>
      <c r="T224" s="97"/>
      <c r="U224" s="97"/>
      <c r="V224" s="97"/>
      <c r="W224" s="97"/>
      <c r="X224" s="97"/>
    </row>
    <row r="225" spans="2:26" customFormat="1">
      <c r="B225" s="89"/>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spans="2:26" customFormat="1">
      <c r="B226" s="89"/>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spans="2:26" customFormat="1">
      <c r="B227" s="89"/>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2:26" customFormat="1">
      <c r="B228" s="89"/>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2:26" customFormat="1">
      <c r="B229" s="89"/>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2:26" customFormat="1">
      <c r="B230" s="89"/>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2:26" customFormat="1">
      <c r="B231" s="89"/>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2:26" customFormat="1">
      <c r="B232" s="89"/>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2:26" customFormat="1">
      <c r="B233" s="89"/>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2:26" customFormat="1">
      <c r="B234" s="89"/>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2:26" customFormat="1">
      <c r="B235" s="89"/>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2:26" customFormat="1">
      <c r="B236" s="89"/>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2:26" customFormat="1">
      <c r="B237" s="89"/>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2:26" customFormat="1">
      <c r="B238" s="89"/>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2:26" customFormat="1">
      <c r="B239" s="89"/>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2:26" customFormat="1">
      <c r="B240" s="89"/>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2:26" customFormat="1">
      <c r="B241" s="89"/>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2:26" customFormat="1">
      <c r="B242" s="89"/>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2:26" customFormat="1">
      <c r="B243" s="89"/>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2:26" customFormat="1">
      <c r="B244" s="89"/>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2:26" customFormat="1">
      <c r="B245" s="89"/>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2:26" customFormat="1">
      <c r="B246" s="89"/>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2:26" customFormat="1">
      <c r="B247" s="89"/>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2:26" customFormat="1">
      <c r="B248" s="89"/>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2:26" customFormat="1">
      <c r="B249" s="89"/>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2:26" customFormat="1">
      <c r="B250" s="89"/>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2:26" customFormat="1">
      <c r="B251" s="89"/>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2:26" customFormat="1">
      <c r="B252" s="89"/>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2:26" customFormat="1">
      <c r="B253" s="89"/>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2:26" customFormat="1">
      <c r="B254" s="89"/>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2:26" customFormat="1">
      <c r="B255" s="89"/>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2:26" customFormat="1">
      <c r="B256" s="89"/>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customFormat="1">
      <c r="B257" s="89"/>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customFormat="1">
      <c r="B258" s="89"/>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customFormat="1">
      <c r="B259" s="89"/>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customFormat="1">
      <c r="B260" s="89"/>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customFormat="1">
      <c r="B261" s="89"/>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spans="1:26" s="18" customFormat="1">
      <c r="A262"/>
      <c r="B262" s="89"/>
      <c r="C262" s="97"/>
      <c r="D262" s="97"/>
      <c r="E262" s="97"/>
      <c r="F262" s="97"/>
      <c r="G262" s="97"/>
      <c r="H262" s="97"/>
      <c r="I262" s="97"/>
      <c r="J262" s="97"/>
      <c r="K262" s="97"/>
      <c r="L262" s="97"/>
      <c r="M262" s="97"/>
      <c r="N262" s="97"/>
      <c r="O262" s="97"/>
      <c r="P262" s="97"/>
      <c r="Q262" s="97"/>
      <c r="R262" s="97"/>
      <c r="S262" s="97"/>
      <c r="T262" s="97"/>
      <c r="U262" s="97"/>
    </row>
    <row r="263" spans="1:26" customFormat="1">
      <c r="B263" s="89"/>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spans="1:26" customFormat="1">
      <c r="B264" s="89"/>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spans="1:26" customFormat="1">
      <c r="B265" s="89"/>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spans="1:26" customFormat="1">
      <c r="B266" s="89"/>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spans="1:26" customFormat="1">
      <c r="B267" s="89"/>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spans="1:26" customFormat="1">
      <c r="B268" s="89"/>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spans="1:26" customFormat="1">
      <c r="B269" s="89"/>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spans="1:26" customFormat="1">
      <c r="B270" s="89"/>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spans="1:26" customFormat="1">
      <c r="B271" s="89"/>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spans="1:26" customFormat="1">
      <c r="B272" s="89"/>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spans="2:25" customFormat="1">
      <c r="B273" s="89"/>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spans="2:25" customFormat="1">
      <c r="B274" s="89"/>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spans="2:25" customFormat="1">
      <c r="B275" s="89"/>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spans="2:25" customFormat="1">
      <c r="B276" s="89"/>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spans="2:25" customFormat="1">
      <c r="B277" s="89"/>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spans="2:25" customFormat="1">
      <c r="B278" s="89"/>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spans="2:25" customFormat="1">
      <c r="B279" s="89"/>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spans="2:25" customFormat="1">
      <c r="B280" s="89"/>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spans="2:25" customFormat="1">
      <c r="B281" s="89"/>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spans="2:25" customFormat="1">
      <c r="B282" s="89"/>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spans="2:25" customFormat="1">
      <c r="B283" s="89"/>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spans="2:25" customFormat="1">
      <c r="B284" s="89"/>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spans="2:25" customFormat="1">
      <c r="B285" s="89"/>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spans="2:25" customFormat="1">
      <c r="B286" s="89"/>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spans="2:25" customFormat="1">
      <c r="B287" s="89"/>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spans="2:25" customFormat="1">
      <c r="B288" s="89"/>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spans="2:21" customFormat="1">
      <c r="B289" s="89"/>
      <c r="C289" s="97"/>
      <c r="D289" s="97"/>
      <c r="E289" s="97"/>
      <c r="F289" s="97"/>
      <c r="G289" s="97"/>
      <c r="H289" s="97"/>
      <c r="I289" s="97"/>
      <c r="J289" s="97"/>
      <c r="K289" s="97"/>
      <c r="L289" s="97"/>
      <c r="M289" s="97"/>
      <c r="N289" s="97"/>
      <c r="O289" s="97"/>
      <c r="P289" s="97"/>
      <c r="Q289" s="97"/>
      <c r="R289" s="97"/>
      <c r="S289" s="97"/>
      <c r="T289" s="97"/>
      <c r="U289" s="97"/>
    </row>
    <row r="290" spans="2:21" customFormat="1">
      <c r="B290" s="89"/>
      <c r="C290" s="97"/>
      <c r="D290" s="97"/>
      <c r="E290" s="97"/>
      <c r="F290" s="97"/>
      <c r="G290" s="97"/>
      <c r="H290" s="97"/>
      <c r="I290" s="97"/>
      <c r="J290" s="97"/>
      <c r="K290" s="97"/>
      <c r="L290" s="97"/>
      <c r="M290" s="97"/>
      <c r="N290" s="97"/>
      <c r="O290" s="97"/>
      <c r="P290" s="97"/>
      <c r="Q290" s="97"/>
      <c r="R290" s="97"/>
      <c r="S290" s="97"/>
      <c r="T290" s="97"/>
      <c r="U290" s="97"/>
    </row>
    <row r="291" spans="2:21" customFormat="1">
      <c r="B291" s="89"/>
      <c r="C291" s="97"/>
      <c r="D291" s="97"/>
      <c r="E291" s="97"/>
      <c r="F291" s="97"/>
      <c r="G291" s="97"/>
      <c r="H291" s="97"/>
      <c r="I291" s="97"/>
      <c r="J291" s="97"/>
      <c r="K291" s="97"/>
      <c r="L291" s="97"/>
      <c r="M291" s="97"/>
      <c r="N291" s="97"/>
      <c r="O291" s="97"/>
      <c r="P291" s="97"/>
      <c r="Q291" s="97"/>
      <c r="R291" s="97"/>
      <c r="S291" s="97"/>
      <c r="T291" s="97"/>
      <c r="U291" s="97"/>
    </row>
    <row r="292" spans="2:21" customFormat="1">
      <c r="B292" s="89"/>
      <c r="C292" s="97"/>
      <c r="D292" s="97"/>
      <c r="E292" s="97"/>
      <c r="F292" s="97"/>
      <c r="G292" s="97"/>
      <c r="H292" s="97"/>
      <c r="I292" s="97"/>
      <c r="J292" s="97"/>
      <c r="K292" s="97"/>
      <c r="L292" s="97"/>
      <c r="M292" s="97"/>
      <c r="N292" s="97"/>
      <c r="O292" s="97"/>
      <c r="P292" s="97"/>
      <c r="Q292" s="97"/>
      <c r="R292" s="97"/>
      <c r="S292" s="97"/>
      <c r="T292" s="97"/>
      <c r="U292" s="97"/>
    </row>
    <row r="293" spans="2:21" customFormat="1">
      <c r="B293" s="89"/>
      <c r="C293" s="97"/>
      <c r="D293" s="97"/>
      <c r="E293" s="97"/>
      <c r="F293" s="97"/>
      <c r="G293" s="97"/>
      <c r="H293" s="97"/>
      <c r="I293" s="97"/>
      <c r="J293" s="97"/>
      <c r="K293" s="97"/>
      <c r="L293" s="97"/>
      <c r="M293" s="97"/>
      <c r="N293" s="97"/>
      <c r="O293" s="97"/>
      <c r="P293" s="97"/>
      <c r="Q293" s="97"/>
      <c r="R293" s="97"/>
      <c r="S293" s="97"/>
      <c r="T293" s="97"/>
      <c r="U293" s="97"/>
    </row>
    <row r="294" spans="2:21" customFormat="1">
      <c r="B294" s="89"/>
      <c r="C294" s="97"/>
      <c r="D294" s="97"/>
      <c r="E294" s="97"/>
      <c r="F294" s="97"/>
      <c r="G294" s="97"/>
      <c r="H294" s="97"/>
      <c r="I294" s="97"/>
      <c r="J294" s="97"/>
      <c r="K294" s="97"/>
      <c r="L294" s="97"/>
      <c r="M294" s="97"/>
      <c r="N294" s="97"/>
      <c r="O294" s="97"/>
      <c r="P294" s="97"/>
      <c r="Q294" s="97"/>
      <c r="R294" s="97"/>
      <c r="S294" s="97"/>
      <c r="T294" s="97"/>
      <c r="U294" s="97"/>
    </row>
    <row r="295" spans="2:21" customFormat="1">
      <c r="B295" s="89"/>
      <c r="C295" s="97"/>
      <c r="D295" s="97"/>
      <c r="E295" s="97"/>
      <c r="F295" s="97"/>
      <c r="G295" s="97"/>
      <c r="H295" s="97"/>
      <c r="I295" s="97"/>
      <c r="J295" s="97"/>
      <c r="K295" s="97"/>
      <c r="L295" s="97"/>
      <c r="M295" s="97"/>
      <c r="N295" s="97"/>
      <c r="O295" s="97"/>
      <c r="P295" s="97"/>
      <c r="Q295" s="97"/>
      <c r="R295" s="97"/>
      <c r="S295" s="97"/>
      <c r="T295" s="97"/>
      <c r="U295" s="97"/>
    </row>
    <row r="296" spans="2:21" customFormat="1">
      <c r="B296" s="89"/>
      <c r="C296" s="97"/>
      <c r="D296" s="97"/>
      <c r="E296" s="97"/>
      <c r="F296" s="97"/>
      <c r="G296" s="97"/>
      <c r="H296" s="97"/>
      <c r="I296" s="97"/>
      <c r="J296" s="97"/>
      <c r="K296" s="97"/>
      <c r="L296" s="97"/>
      <c r="M296" s="97"/>
      <c r="N296" s="97"/>
      <c r="O296" s="97"/>
      <c r="P296" s="97"/>
      <c r="Q296" s="97"/>
      <c r="R296" s="97"/>
      <c r="S296" s="97"/>
      <c r="T296" s="97"/>
      <c r="U296" s="97"/>
    </row>
    <row r="297" spans="2:21" customFormat="1">
      <c r="B297" s="89"/>
      <c r="C297" s="97"/>
      <c r="D297" s="97"/>
      <c r="E297" s="97"/>
      <c r="F297" s="97"/>
      <c r="G297" s="97"/>
      <c r="H297" s="97"/>
      <c r="I297" s="97"/>
      <c r="J297" s="97"/>
      <c r="K297" s="97"/>
      <c r="L297" s="97"/>
      <c r="M297" s="97"/>
      <c r="N297" s="97"/>
      <c r="O297" s="97"/>
      <c r="P297" s="97"/>
      <c r="Q297" s="97"/>
      <c r="R297" s="97"/>
      <c r="S297" s="97"/>
      <c r="T297" s="97"/>
      <c r="U297" s="97"/>
    </row>
    <row r="298" spans="2:21" customFormat="1">
      <c r="B298" s="89"/>
      <c r="C298" s="97"/>
      <c r="D298" s="97"/>
      <c r="E298" s="97"/>
      <c r="F298" s="97"/>
      <c r="G298" s="97"/>
      <c r="H298" s="97"/>
      <c r="I298" s="97"/>
      <c r="J298" s="97"/>
      <c r="K298" s="97"/>
      <c r="L298" s="97"/>
      <c r="M298" s="97"/>
      <c r="N298" s="97"/>
      <c r="O298" s="97"/>
      <c r="P298" s="97"/>
      <c r="Q298" s="97"/>
      <c r="R298" s="97"/>
      <c r="S298" s="97"/>
      <c r="T298" s="97"/>
      <c r="U298" s="97"/>
    </row>
    <row r="299" spans="2:21" customFormat="1">
      <c r="B299" s="89"/>
      <c r="C299" s="97"/>
      <c r="D299" s="97"/>
      <c r="E299" s="97"/>
      <c r="F299" s="97"/>
      <c r="G299" s="97"/>
      <c r="H299" s="97"/>
      <c r="I299" s="97"/>
      <c r="J299" s="97"/>
      <c r="K299" s="97"/>
      <c r="L299" s="97"/>
      <c r="M299" s="97"/>
      <c r="N299" s="97"/>
      <c r="O299" s="97"/>
      <c r="P299" s="97"/>
      <c r="Q299" s="97"/>
      <c r="R299" s="97"/>
      <c r="S299" s="97"/>
      <c r="T299" s="97"/>
      <c r="U299" s="97"/>
    </row>
    <row r="300" spans="2:21" customFormat="1">
      <c r="B300" s="89"/>
      <c r="C300" s="97"/>
      <c r="D300" s="97"/>
      <c r="E300" s="97"/>
      <c r="F300" s="97"/>
      <c r="G300" s="97"/>
      <c r="H300" s="97"/>
      <c r="I300" s="97"/>
      <c r="J300" s="97"/>
      <c r="K300" s="97"/>
      <c r="L300" s="97"/>
      <c r="M300" s="97"/>
      <c r="N300" s="97"/>
      <c r="O300" s="97"/>
      <c r="P300" s="97"/>
      <c r="Q300" s="97"/>
      <c r="R300" s="97"/>
      <c r="S300" s="97"/>
      <c r="T300" s="97"/>
      <c r="U300" s="97"/>
    </row>
    <row r="301" spans="2:21" customFormat="1">
      <c r="B301" s="89"/>
      <c r="C301" s="97"/>
      <c r="D301" s="97"/>
      <c r="E301" s="97"/>
      <c r="F301" s="97"/>
      <c r="G301" s="97"/>
      <c r="H301" s="97"/>
      <c r="I301" s="97"/>
      <c r="J301" s="97"/>
      <c r="K301" s="97"/>
      <c r="L301" s="97"/>
      <c r="M301" s="97"/>
      <c r="N301" s="97"/>
      <c r="O301" s="97"/>
      <c r="P301" s="97"/>
      <c r="Q301" s="97"/>
      <c r="R301" s="97"/>
      <c r="S301" s="97"/>
      <c r="T301" s="97"/>
      <c r="U301" s="97"/>
    </row>
    <row r="302" spans="2:21" customFormat="1">
      <c r="B302" s="89"/>
      <c r="C302" s="97"/>
      <c r="D302" s="97"/>
      <c r="E302" s="97"/>
      <c r="F302" s="97"/>
      <c r="G302" s="97"/>
      <c r="H302" s="97"/>
      <c r="I302" s="97"/>
      <c r="J302" s="97"/>
      <c r="K302" s="97"/>
      <c r="L302" s="97"/>
      <c r="M302" s="97"/>
      <c r="N302" s="97"/>
      <c r="O302" s="97"/>
      <c r="P302" s="97"/>
      <c r="Q302" s="97"/>
      <c r="R302" s="97"/>
      <c r="S302" s="97"/>
      <c r="T302" s="97"/>
      <c r="U302" s="97"/>
    </row>
    <row r="303" spans="2:21" customFormat="1">
      <c r="B303" s="89"/>
      <c r="C303" s="97"/>
      <c r="D303" s="97"/>
      <c r="E303" s="97"/>
      <c r="F303" s="97"/>
      <c r="G303" s="97"/>
      <c r="H303" s="97"/>
      <c r="I303" s="97"/>
      <c r="J303" s="97"/>
      <c r="K303" s="97"/>
      <c r="L303" s="97"/>
      <c r="M303" s="97"/>
      <c r="N303" s="97"/>
      <c r="O303" s="97"/>
      <c r="P303" s="97"/>
      <c r="Q303" s="97"/>
      <c r="R303" s="97"/>
      <c r="S303" s="97"/>
      <c r="T303" s="97"/>
      <c r="U303" s="97"/>
    </row>
    <row r="304" spans="2:21" customFormat="1">
      <c r="B304" s="89"/>
      <c r="C304" s="97"/>
      <c r="D304" s="97"/>
      <c r="E304" s="97"/>
      <c r="F304" s="97"/>
      <c r="G304" s="97"/>
      <c r="H304" s="97"/>
      <c r="I304" s="97"/>
      <c r="J304" s="97"/>
      <c r="K304" s="97"/>
      <c r="L304" s="97"/>
      <c r="M304" s="97"/>
      <c r="N304" s="97"/>
      <c r="O304" s="97"/>
      <c r="P304" s="97"/>
      <c r="Q304" s="97"/>
      <c r="R304" s="97"/>
      <c r="S304" s="97"/>
      <c r="T304" s="97"/>
      <c r="U304" s="97"/>
    </row>
    <row r="305" spans="2:21" customFormat="1">
      <c r="B305" s="89"/>
      <c r="C305" s="97"/>
      <c r="D305" s="97"/>
      <c r="E305" s="97"/>
      <c r="F305" s="97"/>
      <c r="G305" s="97"/>
      <c r="H305" s="97"/>
      <c r="I305" s="97"/>
      <c r="J305" s="97"/>
      <c r="K305" s="97"/>
      <c r="L305" s="97"/>
      <c r="M305" s="97"/>
      <c r="N305" s="97"/>
      <c r="O305" s="97"/>
      <c r="P305" s="97"/>
      <c r="Q305" s="97"/>
      <c r="R305" s="97"/>
      <c r="S305" s="97"/>
      <c r="T305" s="97"/>
      <c r="U305" s="97"/>
    </row>
    <row r="306" spans="2:21" customFormat="1">
      <c r="B306" s="89"/>
      <c r="C306" s="97"/>
      <c r="D306" s="97"/>
      <c r="E306" s="97"/>
      <c r="F306" s="97"/>
      <c r="G306" s="97"/>
      <c r="H306" s="97"/>
      <c r="I306" s="97"/>
      <c r="J306" s="97"/>
      <c r="K306" s="97"/>
      <c r="L306" s="97"/>
      <c r="M306" s="97"/>
      <c r="N306" s="97"/>
      <c r="O306" s="97"/>
      <c r="P306" s="97"/>
      <c r="Q306" s="97"/>
      <c r="R306" s="97"/>
      <c r="S306" s="97"/>
      <c r="T306" s="97"/>
      <c r="U306" s="97"/>
    </row>
    <row r="307" spans="2:21" customFormat="1">
      <c r="B307" s="89"/>
      <c r="C307" s="97"/>
      <c r="D307" s="97"/>
      <c r="E307" s="97"/>
      <c r="F307" s="97"/>
      <c r="G307" s="97"/>
      <c r="H307" s="97"/>
      <c r="I307" s="97"/>
      <c r="J307" s="97"/>
      <c r="K307" s="97"/>
      <c r="L307" s="97"/>
      <c r="M307" s="97"/>
      <c r="N307" s="97"/>
      <c r="O307" s="97"/>
      <c r="P307" s="97"/>
      <c r="Q307" s="97"/>
      <c r="R307" s="97"/>
      <c r="S307" s="97"/>
      <c r="T307" s="97"/>
      <c r="U307" s="97"/>
    </row>
    <row r="308" spans="2:21" customFormat="1">
      <c r="B308" s="89"/>
      <c r="C308" s="97"/>
      <c r="D308" s="97"/>
      <c r="E308" s="97"/>
      <c r="F308" s="97"/>
      <c r="G308" s="97"/>
      <c r="H308" s="97"/>
      <c r="I308" s="97"/>
      <c r="J308" s="97"/>
      <c r="K308" s="97"/>
      <c r="L308" s="97"/>
      <c r="M308" s="97"/>
      <c r="N308" s="97"/>
      <c r="O308" s="97"/>
      <c r="P308" s="97"/>
      <c r="Q308" s="97"/>
      <c r="R308" s="97"/>
      <c r="S308" s="97"/>
      <c r="T308" s="97"/>
      <c r="U308" s="97"/>
    </row>
    <row r="309" spans="2:21" customFormat="1">
      <c r="B309" s="89"/>
      <c r="C309" s="97"/>
      <c r="D309" s="97"/>
      <c r="E309" s="97"/>
      <c r="F309" s="97"/>
      <c r="G309" s="97"/>
      <c r="H309" s="97"/>
      <c r="I309" s="97"/>
      <c r="J309" s="97"/>
      <c r="K309" s="97"/>
      <c r="L309" s="97"/>
      <c r="M309" s="97"/>
      <c r="N309" s="97"/>
      <c r="O309" s="97"/>
      <c r="P309" s="97"/>
      <c r="Q309" s="97"/>
      <c r="R309" s="97"/>
      <c r="S309" s="97"/>
      <c r="T309" s="97"/>
      <c r="U309" s="97"/>
    </row>
    <row r="310" spans="2:21" customFormat="1">
      <c r="B310" s="89"/>
      <c r="C310" s="97"/>
      <c r="D310" s="97"/>
      <c r="E310" s="97"/>
      <c r="F310" s="97"/>
      <c r="G310" s="97"/>
      <c r="H310" s="97"/>
      <c r="I310" s="97"/>
      <c r="J310" s="97"/>
      <c r="K310" s="97"/>
      <c r="L310" s="97"/>
      <c r="M310" s="97"/>
      <c r="N310" s="97"/>
      <c r="O310" s="97"/>
      <c r="P310" s="97"/>
      <c r="Q310" s="97"/>
      <c r="R310" s="97"/>
      <c r="S310" s="97"/>
      <c r="T310" s="97"/>
      <c r="U310" s="97"/>
    </row>
    <row r="311" spans="2:21" customFormat="1">
      <c r="B311" s="89"/>
      <c r="C311" s="97"/>
      <c r="D311" s="97"/>
      <c r="E311" s="97"/>
      <c r="F311" s="97"/>
      <c r="G311" s="97"/>
      <c r="H311" s="97"/>
      <c r="I311" s="97"/>
      <c r="J311" s="97"/>
      <c r="K311" s="97"/>
      <c r="L311" s="97"/>
      <c r="M311" s="97"/>
      <c r="N311" s="97"/>
      <c r="O311" s="97"/>
      <c r="P311" s="97"/>
      <c r="Q311" s="97"/>
      <c r="R311" s="97"/>
      <c r="S311" s="97"/>
      <c r="T311" s="97"/>
      <c r="U311" s="97"/>
    </row>
    <row r="312" spans="2:21" customFormat="1">
      <c r="B312" s="89"/>
      <c r="C312" s="97"/>
      <c r="D312" s="97"/>
      <c r="E312" s="97"/>
      <c r="F312" s="97"/>
      <c r="G312" s="97"/>
      <c r="H312" s="97"/>
      <c r="I312" s="97"/>
      <c r="J312" s="97"/>
      <c r="K312" s="97"/>
      <c r="L312" s="97"/>
      <c r="M312" s="97"/>
      <c r="N312" s="97"/>
      <c r="O312" s="97"/>
      <c r="P312" s="97"/>
      <c r="Q312" s="97"/>
      <c r="R312" s="97"/>
      <c r="S312" s="97"/>
      <c r="T312" s="97"/>
      <c r="U312" s="97"/>
    </row>
    <row r="313" spans="2:21" customFormat="1">
      <c r="B313" s="89"/>
      <c r="C313" s="97"/>
      <c r="D313" s="97"/>
      <c r="E313" s="97"/>
      <c r="F313" s="97"/>
      <c r="G313" s="97"/>
      <c r="H313" s="97"/>
      <c r="I313" s="97"/>
      <c r="J313" s="97"/>
      <c r="K313" s="97"/>
      <c r="L313" s="97"/>
      <c r="M313" s="97"/>
      <c r="N313" s="97"/>
      <c r="O313" s="97"/>
      <c r="P313" s="97"/>
      <c r="Q313" s="97"/>
      <c r="R313" s="97"/>
      <c r="S313" s="97"/>
      <c r="T313" s="97"/>
      <c r="U313" s="97"/>
    </row>
    <row r="314" spans="2:21" customFormat="1">
      <c r="B314" s="89"/>
      <c r="C314" s="97"/>
      <c r="D314" s="97"/>
      <c r="E314" s="97"/>
      <c r="F314" s="97"/>
      <c r="G314" s="97"/>
      <c r="H314" s="97"/>
      <c r="I314" s="97"/>
      <c r="J314" s="97"/>
      <c r="K314" s="97"/>
      <c r="L314" s="97"/>
      <c r="M314" s="97"/>
      <c r="N314" s="97"/>
      <c r="O314" s="97"/>
      <c r="P314" s="97"/>
      <c r="Q314" s="97"/>
      <c r="R314" s="97"/>
      <c r="S314" s="97"/>
      <c r="T314" s="97"/>
      <c r="U314" s="97"/>
    </row>
    <row r="315" spans="2:21" customFormat="1">
      <c r="B315" s="89"/>
      <c r="C315" s="97"/>
      <c r="D315" s="97"/>
      <c r="E315" s="97"/>
      <c r="F315" s="97"/>
      <c r="G315" s="97"/>
      <c r="H315" s="97"/>
      <c r="I315" s="97"/>
      <c r="J315" s="97"/>
      <c r="K315" s="97"/>
      <c r="L315" s="97"/>
      <c r="M315" s="97"/>
      <c r="N315" s="97"/>
      <c r="O315" s="97"/>
      <c r="P315" s="97"/>
      <c r="Q315" s="97"/>
      <c r="R315" s="97"/>
      <c r="S315" s="97"/>
      <c r="T315" s="97"/>
      <c r="U315" s="97"/>
    </row>
    <row r="316" spans="2:21" customFormat="1">
      <c r="B316" s="89"/>
      <c r="C316" s="97"/>
      <c r="D316" s="97"/>
      <c r="E316" s="97"/>
      <c r="F316" s="97"/>
      <c r="G316" s="97"/>
      <c r="H316" s="97"/>
      <c r="I316" s="97"/>
      <c r="J316" s="97"/>
      <c r="K316" s="97"/>
      <c r="L316" s="97"/>
      <c r="M316" s="97"/>
      <c r="N316" s="97"/>
      <c r="O316" s="97"/>
      <c r="P316" s="97"/>
      <c r="Q316" s="97"/>
      <c r="R316" s="97"/>
      <c r="S316" s="97"/>
      <c r="T316" s="97"/>
      <c r="U316" s="97"/>
    </row>
    <row r="317" spans="2:21" customFormat="1">
      <c r="B317" s="89"/>
      <c r="C317" s="97"/>
      <c r="D317" s="97"/>
      <c r="E317" s="97"/>
      <c r="F317" s="97"/>
      <c r="G317" s="97"/>
      <c r="H317" s="97"/>
      <c r="I317" s="97"/>
      <c r="J317" s="97"/>
      <c r="K317" s="97"/>
      <c r="L317" s="97"/>
      <c r="M317" s="97"/>
      <c r="N317" s="97"/>
      <c r="O317" s="97"/>
      <c r="P317" s="97"/>
      <c r="Q317" s="97"/>
      <c r="R317" s="97"/>
      <c r="S317" s="97"/>
      <c r="T317" s="97"/>
      <c r="U317" s="97"/>
    </row>
    <row r="318" spans="2:21" customFormat="1">
      <c r="B318" s="89"/>
      <c r="C318" s="97"/>
      <c r="D318" s="97"/>
      <c r="E318" s="97"/>
      <c r="F318" s="97"/>
      <c r="G318" s="97"/>
      <c r="H318" s="97"/>
      <c r="I318" s="97"/>
      <c r="J318" s="97"/>
      <c r="K318" s="97"/>
      <c r="L318" s="97"/>
      <c r="M318" s="97"/>
      <c r="N318" s="97"/>
      <c r="O318" s="97"/>
      <c r="P318" s="97"/>
      <c r="Q318" s="97"/>
      <c r="R318" s="97"/>
      <c r="S318" s="97"/>
      <c r="T318" s="97"/>
      <c r="U318" s="97"/>
    </row>
    <row r="319" spans="2:21" customFormat="1">
      <c r="B319" s="89"/>
      <c r="C319" s="97"/>
      <c r="D319" s="97"/>
      <c r="E319" s="97"/>
      <c r="F319" s="97"/>
      <c r="G319" s="97"/>
      <c r="H319" s="97"/>
      <c r="I319" s="97"/>
      <c r="J319" s="97"/>
      <c r="K319" s="97"/>
      <c r="L319" s="97"/>
      <c r="M319" s="97"/>
      <c r="N319" s="97"/>
      <c r="O319" s="97"/>
      <c r="P319" s="97"/>
      <c r="Q319" s="97"/>
      <c r="R319" s="97"/>
      <c r="S319" s="97"/>
      <c r="T319" s="97"/>
      <c r="U319" s="97"/>
    </row>
    <row r="320" spans="2:21" customFormat="1">
      <c r="B320" s="89"/>
      <c r="C320" s="97"/>
      <c r="D320" s="97"/>
      <c r="E320" s="97"/>
      <c r="F320" s="97"/>
      <c r="G320" s="97"/>
      <c r="H320" s="97"/>
      <c r="I320" s="97"/>
      <c r="J320" s="97"/>
      <c r="K320" s="97"/>
      <c r="L320" s="97"/>
      <c r="M320" s="97"/>
      <c r="N320" s="97"/>
      <c r="O320" s="97"/>
      <c r="P320" s="97"/>
      <c r="Q320" s="97"/>
      <c r="R320" s="97"/>
      <c r="S320" s="97"/>
      <c r="T320" s="97"/>
      <c r="U320" s="97"/>
    </row>
    <row r="321" spans="1:25" customFormat="1">
      <c r="B321" s="89"/>
      <c r="C321" s="97"/>
      <c r="D321" s="97"/>
      <c r="E321" s="97"/>
      <c r="F321" s="97"/>
      <c r="G321" s="97"/>
      <c r="H321" s="97"/>
      <c r="I321" s="97"/>
      <c r="J321" s="97"/>
      <c r="K321" s="97"/>
      <c r="L321" s="97"/>
      <c r="M321" s="97"/>
      <c r="N321" s="97"/>
      <c r="O321" s="97"/>
      <c r="P321" s="97"/>
      <c r="Q321" s="97"/>
      <c r="R321" s="97"/>
      <c r="S321" s="97"/>
      <c r="T321" s="97"/>
      <c r="U321" s="97"/>
    </row>
    <row r="322" spans="1:25" s="18" customFormat="1">
      <c r="A322"/>
      <c r="B322" s="89"/>
      <c r="C322" s="97"/>
      <c r="D322" s="97"/>
      <c r="E322" s="97"/>
      <c r="F322" s="97"/>
      <c r="G322" s="97"/>
      <c r="H322" s="97"/>
      <c r="I322" s="97"/>
      <c r="J322" s="97"/>
      <c r="K322" s="97"/>
      <c r="L322" s="97"/>
      <c r="M322" s="97"/>
      <c r="N322" s="97"/>
      <c r="O322" s="97"/>
      <c r="P322" s="97"/>
      <c r="Q322" s="97"/>
      <c r="R322" s="97"/>
      <c r="S322" s="97"/>
      <c r="T322" s="97"/>
      <c r="U322" s="97"/>
    </row>
    <row r="323" spans="1:25" customFormat="1">
      <c r="B323" s="89"/>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spans="1:25" customFormat="1">
      <c r="B324" s="89"/>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spans="1:25" customFormat="1">
      <c r="B325" s="89"/>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spans="1:25" customFormat="1">
      <c r="B326" s="89"/>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spans="1:25" customFormat="1">
      <c r="B327" s="89"/>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spans="1:25" customFormat="1">
      <c r="B328" s="89"/>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spans="1:25" customFormat="1">
      <c r="B329" s="89"/>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spans="1:25" customFormat="1">
      <c r="B330" s="89"/>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spans="1:25" customFormat="1">
      <c r="B331" s="89"/>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spans="1:25" customFormat="1">
      <c r="B332" s="89"/>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spans="1:25" customFormat="1">
      <c r="B333" s="89"/>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spans="1:25" customFormat="1">
      <c r="B334" s="89"/>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spans="1:25" customFormat="1">
      <c r="B335" s="89"/>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spans="1:25" customFormat="1">
      <c r="B336" s="89"/>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spans="2:25" customFormat="1">
      <c r="B337" s="89"/>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spans="2:25" customFormat="1">
      <c r="B338" s="89"/>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spans="2:25" customFormat="1">
      <c r="B339" s="89"/>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spans="2:25" customFormat="1">
      <c r="B340" s="89"/>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spans="2:25" customFormat="1">
      <c r="B341" s="89"/>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spans="2:25" customFormat="1">
      <c r="B342" s="89"/>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spans="2:25" customFormat="1">
      <c r="B343" s="89"/>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spans="2:25" customFormat="1">
      <c r="B344" s="89"/>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spans="2:25" customFormat="1">
      <c r="B345" s="89"/>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spans="2:25" customFormat="1">
      <c r="B346" s="89"/>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spans="2:25" customFormat="1">
      <c r="B347" s="89"/>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spans="2:25" customFormat="1">
      <c r="B348" s="89"/>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spans="2:25" customFormat="1">
      <c r="B349" s="89"/>
      <c r="C349" s="97"/>
      <c r="D349" s="97"/>
      <c r="E349" s="97"/>
      <c r="F349" s="97"/>
      <c r="G349" s="97"/>
      <c r="H349" s="97"/>
      <c r="I349" s="97"/>
      <c r="J349" s="97"/>
      <c r="K349" s="97"/>
      <c r="L349" s="97"/>
      <c r="M349" s="97"/>
      <c r="N349" s="97"/>
      <c r="O349" s="97"/>
      <c r="P349" s="97"/>
      <c r="Q349" s="97"/>
      <c r="R349" s="97"/>
      <c r="S349" s="97"/>
      <c r="T349" s="97"/>
      <c r="U349" s="97"/>
    </row>
    <row r="350" spans="2:25" customFormat="1">
      <c r="B350" s="89"/>
      <c r="C350" s="97"/>
      <c r="D350" s="97"/>
      <c r="E350" s="97"/>
      <c r="F350" s="97"/>
      <c r="G350" s="97"/>
      <c r="H350" s="97"/>
      <c r="I350" s="97"/>
      <c r="J350" s="97"/>
      <c r="K350" s="97"/>
      <c r="L350" s="97"/>
      <c r="M350" s="97"/>
      <c r="N350" s="97"/>
      <c r="O350" s="97"/>
      <c r="P350" s="97"/>
      <c r="Q350" s="97"/>
      <c r="R350" s="97"/>
      <c r="S350" s="97"/>
      <c r="T350" s="97"/>
      <c r="U350" s="97"/>
    </row>
    <row r="351" spans="2:25" customFormat="1">
      <c r="B351" s="89"/>
      <c r="C351" s="97"/>
      <c r="D351" s="97"/>
      <c r="E351" s="97"/>
      <c r="F351" s="97"/>
      <c r="G351" s="97"/>
      <c r="H351" s="97"/>
      <c r="I351" s="97"/>
      <c r="J351" s="97"/>
      <c r="K351" s="97"/>
      <c r="L351" s="97"/>
      <c r="M351" s="97"/>
      <c r="N351" s="97"/>
      <c r="O351" s="97"/>
      <c r="P351" s="97"/>
      <c r="Q351" s="97"/>
      <c r="R351" s="97"/>
      <c r="S351" s="97"/>
      <c r="T351" s="97"/>
      <c r="U351" s="97"/>
    </row>
    <row r="352" spans="2:25" customFormat="1">
      <c r="B352" s="89"/>
      <c r="C352" s="97"/>
      <c r="D352" s="97"/>
      <c r="E352" s="97"/>
      <c r="F352" s="97"/>
      <c r="G352" s="97"/>
      <c r="H352" s="97"/>
      <c r="I352" s="97"/>
      <c r="J352" s="97"/>
      <c r="K352" s="97"/>
      <c r="L352" s="97"/>
      <c r="M352" s="97"/>
      <c r="N352" s="97"/>
      <c r="O352" s="97"/>
      <c r="P352" s="97"/>
      <c r="Q352" s="97"/>
      <c r="R352" s="97"/>
      <c r="S352" s="97"/>
      <c r="T352" s="97"/>
      <c r="U352" s="97"/>
    </row>
    <row r="353" spans="2:21" customFormat="1">
      <c r="B353" s="89"/>
      <c r="C353" s="97"/>
      <c r="D353" s="97"/>
      <c r="E353" s="97"/>
      <c r="F353" s="97"/>
      <c r="G353" s="97"/>
      <c r="H353" s="97"/>
      <c r="I353" s="97"/>
      <c r="J353" s="97"/>
      <c r="K353" s="97"/>
      <c r="L353" s="97"/>
      <c r="M353" s="97"/>
      <c r="N353" s="97"/>
      <c r="O353" s="97"/>
      <c r="P353" s="97"/>
      <c r="Q353" s="97"/>
      <c r="R353" s="97"/>
      <c r="S353" s="97"/>
      <c r="T353" s="97"/>
      <c r="U353" s="97"/>
    </row>
    <row r="354" spans="2:21" customFormat="1">
      <c r="B354" s="89"/>
      <c r="C354" s="97"/>
      <c r="D354" s="97"/>
      <c r="E354" s="97"/>
      <c r="F354" s="97"/>
      <c r="G354" s="97"/>
      <c r="H354" s="97"/>
      <c r="I354" s="97"/>
      <c r="J354" s="97"/>
      <c r="K354" s="97"/>
      <c r="L354" s="97"/>
      <c r="M354" s="97"/>
      <c r="N354" s="97"/>
      <c r="O354" s="97"/>
      <c r="P354" s="97"/>
      <c r="Q354" s="97"/>
      <c r="R354" s="97"/>
      <c r="S354" s="97"/>
      <c r="T354" s="97"/>
      <c r="U354" s="97"/>
    </row>
    <row r="355" spans="2:21" customFormat="1">
      <c r="B355" s="89"/>
      <c r="C355" s="97"/>
      <c r="D355" s="97"/>
      <c r="E355" s="97"/>
      <c r="F355" s="97"/>
      <c r="G355" s="97"/>
      <c r="H355" s="97"/>
      <c r="I355" s="97"/>
      <c r="J355" s="97"/>
      <c r="K355" s="97"/>
      <c r="L355" s="97"/>
      <c r="M355" s="97"/>
      <c r="N355" s="97"/>
      <c r="O355" s="97"/>
      <c r="P355" s="97"/>
      <c r="Q355" s="97"/>
      <c r="R355" s="97"/>
      <c r="S355" s="97"/>
      <c r="T355" s="97"/>
      <c r="U355" s="97"/>
    </row>
    <row r="356" spans="2:21" customFormat="1">
      <c r="B356" s="89"/>
      <c r="C356" s="97"/>
      <c r="D356" s="97"/>
      <c r="E356" s="97"/>
      <c r="F356" s="97"/>
      <c r="G356" s="97"/>
      <c r="H356" s="97"/>
      <c r="I356" s="97"/>
      <c r="J356" s="97"/>
      <c r="K356" s="97"/>
      <c r="L356" s="97"/>
      <c r="M356" s="97"/>
      <c r="N356" s="97"/>
      <c r="O356" s="97"/>
      <c r="P356" s="97"/>
      <c r="Q356" s="97"/>
      <c r="R356" s="97"/>
      <c r="S356" s="97"/>
      <c r="T356" s="97"/>
      <c r="U356" s="97"/>
    </row>
    <row r="357" spans="2:21" customFormat="1">
      <c r="B357" s="89"/>
      <c r="C357" s="97"/>
      <c r="D357" s="97"/>
      <c r="E357" s="97"/>
      <c r="F357" s="97"/>
      <c r="G357" s="97"/>
      <c r="H357" s="97"/>
      <c r="I357" s="97"/>
      <c r="J357" s="97"/>
      <c r="K357" s="97"/>
      <c r="L357" s="97"/>
      <c r="M357" s="97"/>
      <c r="N357" s="97"/>
      <c r="O357" s="97"/>
      <c r="P357" s="97"/>
      <c r="Q357" s="97"/>
      <c r="R357" s="97"/>
      <c r="S357" s="97"/>
      <c r="T357" s="97"/>
      <c r="U357" s="97"/>
    </row>
    <row r="358" spans="2:21" customFormat="1">
      <c r="B358" s="89"/>
      <c r="C358" s="97"/>
      <c r="D358" s="97"/>
      <c r="E358" s="97"/>
      <c r="F358" s="97"/>
      <c r="G358" s="97"/>
      <c r="H358" s="97"/>
      <c r="I358" s="97"/>
      <c r="J358" s="97"/>
      <c r="K358" s="97"/>
      <c r="L358" s="97"/>
      <c r="M358" s="97"/>
      <c r="N358" s="97"/>
      <c r="O358" s="97"/>
      <c r="P358" s="97"/>
      <c r="Q358" s="97"/>
      <c r="R358" s="97"/>
      <c r="S358" s="97"/>
      <c r="T358" s="97"/>
      <c r="U358" s="97"/>
    </row>
    <row r="359" spans="2:21" customFormat="1">
      <c r="B359" s="89"/>
      <c r="C359" s="97"/>
      <c r="D359" s="97"/>
      <c r="E359" s="97"/>
      <c r="F359" s="97"/>
      <c r="G359" s="97"/>
      <c r="H359" s="97"/>
      <c r="I359" s="97"/>
      <c r="J359" s="97"/>
      <c r="K359" s="97"/>
      <c r="L359" s="97"/>
      <c r="M359" s="97"/>
      <c r="N359" s="97"/>
      <c r="O359" s="97"/>
      <c r="P359" s="97"/>
      <c r="Q359" s="97"/>
      <c r="R359" s="97"/>
      <c r="S359" s="97"/>
      <c r="T359" s="97"/>
      <c r="U359" s="97"/>
    </row>
    <row r="360" spans="2:21" customFormat="1">
      <c r="B360" s="89"/>
      <c r="C360" s="97"/>
      <c r="D360" s="97"/>
      <c r="E360" s="97"/>
      <c r="F360" s="97"/>
      <c r="G360" s="97"/>
      <c r="H360" s="97"/>
      <c r="I360" s="97"/>
      <c r="J360" s="97"/>
      <c r="K360" s="97"/>
      <c r="L360" s="97"/>
      <c r="M360" s="97"/>
      <c r="N360" s="97"/>
      <c r="O360" s="97"/>
      <c r="P360" s="97"/>
      <c r="Q360" s="97"/>
      <c r="R360" s="97"/>
      <c r="S360" s="97"/>
      <c r="T360" s="97"/>
      <c r="U360" s="97"/>
    </row>
    <row r="361" spans="2:21" customFormat="1">
      <c r="B361" s="89"/>
      <c r="C361" s="97"/>
      <c r="D361" s="97"/>
      <c r="E361" s="97"/>
      <c r="F361" s="97"/>
      <c r="G361" s="97"/>
      <c r="H361" s="97"/>
      <c r="I361" s="97"/>
      <c r="J361" s="97"/>
      <c r="K361" s="97"/>
      <c r="L361" s="97"/>
      <c r="M361" s="97"/>
      <c r="N361" s="97"/>
      <c r="O361" s="97"/>
      <c r="P361" s="97"/>
      <c r="Q361" s="97"/>
      <c r="R361" s="97"/>
      <c r="S361" s="97"/>
      <c r="T361" s="97"/>
      <c r="U361" s="97"/>
    </row>
    <row r="362" spans="2:21" customFormat="1">
      <c r="B362" s="89"/>
      <c r="C362" s="97"/>
      <c r="D362" s="97"/>
      <c r="E362" s="97"/>
      <c r="F362" s="97"/>
      <c r="G362" s="97"/>
      <c r="H362" s="97"/>
      <c r="I362" s="97"/>
      <c r="J362" s="97"/>
      <c r="K362" s="97"/>
      <c r="L362" s="97"/>
      <c r="M362" s="97"/>
      <c r="N362" s="97"/>
      <c r="O362" s="97"/>
      <c r="P362" s="97"/>
      <c r="Q362" s="97"/>
      <c r="R362" s="97"/>
      <c r="S362" s="97"/>
      <c r="T362" s="97"/>
      <c r="U362" s="97"/>
    </row>
    <row r="363" spans="2:21" customFormat="1">
      <c r="B363" s="89"/>
      <c r="C363" s="97"/>
      <c r="D363" s="97"/>
      <c r="E363" s="97"/>
      <c r="F363" s="97"/>
      <c r="G363" s="97"/>
      <c r="H363" s="97"/>
      <c r="I363" s="97"/>
      <c r="J363" s="97"/>
      <c r="K363" s="97"/>
      <c r="L363" s="97"/>
      <c r="M363" s="97"/>
      <c r="N363" s="97"/>
      <c r="O363" s="97"/>
      <c r="P363" s="97"/>
      <c r="Q363" s="97"/>
      <c r="R363" s="97"/>
      <c r="S363" s="97"/>
      <c r="T363" s="97"/>
      <c r="U363" s="97"/>
    </row>
    <row r="364" spans="2:21" customFormat="1">
      <c r="B364" s="89"/>
      <c r="C364" s="97"/>
      <c r="D364" s="97"/>
      <c r="E364" s="97"/>
      <c r="F364" s="97"/>
      <c r="G364" s="97"/>
      <c r="H364" s="97"/>
      <c r="I364" s="97"/>
      <c r="J364" s="97"/>
      <c r="K364" s="97"/>
      <c r="L364" s="97"/>
      <c r="M364" s="97"/>
      <c r="N364" s="97"/>
      <c r="O364" s="97"/>
      <c r="P364" s="97"/>
      <c r="Q364" s="97"/>
      <c r="R364" s="97"/>
      <c r="S364" s="97"/>
      <c r="T364" s="97"/>
      <c r="U364" s="97"/>
    </row>
    <row r="365" spans="2:21" customFormat="1">
      <c r="B365" s="89"/>
      <c r="C365" s="97"/>
      <c r="D365" s="97"/>
      <c r="E365" s="97"/>
      <c r="F365" s="97"/>
      <c r="G365" s="97"/>
      <c r="H365" s="97"/>
      <c r="I365" s="97"/>
      <c r="J365" s="97"/>
      <c r="K365" s="97"/>
      <c r="L365" s="97"/>
      <c r="M365" s="97"/>
      <c r="N365" s="97"/>
      <c r="O365" s="97"/>
      <c r="P365" s="97"/>
      <c r="Q365" s="97"/>
      <c r="R365" s="97"/>
      <c r="S365" s="97"/>
      <c r="T365" s="97"/>
      <c r="U365" s="97"/>
    </row>
    <row r="366" spans="2:21" customFormat="1">
      <c r="B366" s="89"/>
      <c r="C366" s="97"/>
      <c r="D366" s="97"/>
      <c r="E366" s="97"/>
      <c r="F366" s="97"/>
      <c r="G366" s="97"/>
      <c r="H366" s="97"/>
      <c r="I366" s="97"/>
      <c r="J366" s="97"/>
      <c r="K366" s="97"/>
      <c r="L366" s="97"/>
      <c r="M366" s="97"/>
      <c r="N366" s="97"/>
      <c r="O366" s="97"/>
      <c r="P366" s="97"/>
      <c r="Q366" s="97"/>
      <c r="R366" s="97"/>
      <c r="S366" s="97"/>
      <c r="T366" s="97"/>
      <c r="U366" s="97"/>
    </row>
    <row r="367" spans="2:21" customFormat="1">
      <c r="B367" s="89"/>
      <c r="C367" s="97"/>
      <c r="D367" s="97"/>
      <c r="E367" s="97"/>
      <c r="F367" s="97"/>
      <c r="G367" s="97"/>
      <c r="H367" s="97"/>
      <c r="I367" s="97"/>
      <c r="J367" s="97"/>
      <c r="K367" s="97"/>
      <c r="L367" s="97"/>
      <c r="M367" s="97"/>
      <c r="N367" s="97"/>
      <c r="O367" s="97"/>
      <c r="P367" s="97"/>
      <c r="Q367" s="97"/>
      <c r="R367" s="97"/>
      <c r="S367" s="97"/>
      <c r="T367" s="97"/>
      <c r="U367" s="97"/>
    </row>
    <row r="368" spans="2:21" customFormat="1">
      <c r="B368" s="89"/>
      <c r="C368" s="97"/>
      <c r="D368" s="97"/>
      <c r="E368" s="97"/>
      <c r="F368" s="97"/>
      <c r="G368" s="97"/>
      <c r="H368" s="97"/>
      <c r="I368" s="97"/>
      <c r="J368" s="97"/>
      <c r="K368" s="97"/>
      <c r="L368" s="97"/>
      <c r="M368" s="97"/>
      <c r="N368" s="97"/>
      <c r="O368" s="97"/>
      <c r="P368" s="97"/>
      <c r="Q368" s="97"/>
      <c r="R368" s="97"/>
      <c r="S368" s="97"/>
      <c r="T368" s="97"/>
      <c r="U368" s="97"/>
    </row>
    <row r="369" spans="2:21" customFormat="1">
      <c r="B369" s="89"/>
      <c r="C369" s="97"/>
      <c r="D369" s="97"/>
      <c r="E369" s="97"/>
      <c r="F369" s="97"/>
      <c r="G369" s="97"/>
      <c r="H369" s="97"/>
      <c r="I369" s="97"/>
      <c r="J369" s="97"/>
      <c r="K369" s="97"/>
      <c r="L369" s="97"/>
      <c r="M369" s="97"/>
      <c r="N369" s="97"/>
      <c r="O369" s="97"/>
      <c r="P369" s="97"/>
      <c r="Q369" s="97"/>
      <c r="R369" s="97"/>
      <c r="S369" s="97"/>
      <c r="T369" s="97"/>
      <c r="U369" s="97"/>
    </row>
    <row r="370" spans="2:21" customFormat="1">
      <c r="B370" s="89"/>
      <c r="C370" s="97"/>
      <c r="D370" s="97"/>
      <c r="E370" s="97"/>
      <c r="F370" s="97"/>
      <c r="G370" s="97"/>
      <c r="H370" s="97"/>
      <c r="I370" s="97"/>
      <c r="J370" s="97"/>
      <c r="K370" s="97"/>
      <c r="L370" s="97"/>
      <c r="M370" s="97"/>
      <c r="N370" s="97"/>
      <c r="O370" s="97"/>
      <c r="P370" s="97"/>
      <c r="Q370" s="97"/>
      <c r="R370" s="97"/>
      <c r="S370" s="97"/>
      <c r="T370" s="97"/>
      <c r="U370" s="97"/>
    </row>
    <row r="371" spans="2:21" customFormat="1">
      <c r="B371" s="89"/>
      <c r="C371" s="97"/>
      <c r="D371" s="97"/>
      <c r="E371" s="97"/>
      <c r="F371" s="97"/>
      <c r="G371" s="97"/>
      <c r="H371" s="97"/>
      <c r="I371" s="97"/>
      <c r="J371" s="97"/>
      <c r="K371" s="97"/>
      <c r="L371" s="97"/>
      <c r="M371" s="97"/>
      <c r="N371" s="97"/>
      <c r="O371" s="97"/>
      <c r="P371" s="97"/>
      <c r="Q371" s="97"/>
      <c r="R371" s="97"/>
      <c r="S371" s="97"/>
      <c r="T371" s="97"/>
      <c r="U371" s="97"/>
    </row>
    <row r="372" spans="2:21" customFormat="1">
      <c r="B372" s="89"/>
      <c r="C372" s="97"/>
      <c r="D372" s="97"/>
      <c r="E372" s="97"/>
      <c r="F372" s="97"/>
      <c r="G372" s="97"/>
      <c r="H372" s="97"/>
      <c r="I372" s="97"/>
      <c r="J372" s="97"/>
      <c r="K372" s="97"/>
      <c r="L372" s="97"/>
      <c r="M372" s="97"/>
      <c r="N372" s="97"/>
      <c r="O372" s="97"/>
      <c r="P372" s="97"/>
      <c r="Q372" s="97"/>
      <c r="R372" s="97"/>
      <c r="S372" s="97"/>
      <c r="T372" s="97"/>
      <c r="U372" s="97"/>
    </row>
    <row r="373" spans="2:21" customFormat="1">
      <c r="B373" s="89"/>
      <c r="C373" s="97"/>
      <c r="D373" s="97"/>
      <c r="E373" s="97"/>
      <c r="F373" s="97"/>
      <c r="G373" s="97"/>
      <c r="H373" s="97"/>
      <c r="I373" s="97"/>
      <c r="J373" s="97"/>
      <c r="K373" s="97"/>
      <c r="L373" s="97"/>
      <c r="M373" s="97"/>
      <c r="N373" s="97"/>
      <c r="O373" s="97"/>
      <c r="P373" s="97"/>
      <c r="Q373" s="97"/>
      <c r="R373" s="97"/>
      <c r="S373" s="97"/>
      <c r="T373" s="97"/>
      <c r="U373" s="97"/>
    </row>
    <row r="374" spans="2:21" customFormat="1">
      <c r="B374" s="89"/>
      <c r="C374" s="97"/>
      <c r="D374" s="97"/>
      <c r="E374" s="97"/>
      <c r="F374" s="97"/>
      <c r="G374" s="97"/>
      <c r="H374" s="97"/>
      <c r="I374" s="97"/>
      <c r="J374" s="97"/>
      <c r="K374" s="97"/>
      <c r="L374" s="97"/>
      <c r="M374" s="97"/>
      <c r="N374" s="97"/>
      <c r="O374" s="97"/>
      <c r="P374" s="97"/>
      <c r="Q374" s="97"/>
      <c r="R374" s="97"/>
      <c r="S374" s="97"/>
      <c r="T374" s="97"/>
      <c r="U374" s="97"/>
    </row>
    <row r="375" spans="2:21" customFormat="1">
      <c r="B375" s="89"/>
      <c r="C375" s="97"/>
      <c r="D375" s="97"/>
      <c r="E375" s="97"/>
      <c r="F375" s="97"/>
      <c r="G375" s="97"/>
      <c r="H375" s="97"/>
      <c r="I375" s="97"/>
      <c r="J375" s="97"/>
      <c r="K375" s="97"/>
      <c r="L375" s="97"/>
      <c r="M375" s="97"/>
      <c r="N375" s="97"/>
      <c r="O375" s="97"/>
      <c r="P375" s="97"/>
      <c r="Q375" s="97"/>
      <c r="R375" s="97"/>
      <c r="S375" s="97"/>
      <c r="T375" s="97"/>
      <c r="U375" s="97"/>
    </row>
    <row r="376" spans="2:21" customFormat="1">
      <c r="B376" s="89"/>
      <c r="C376" s="97"/>
      <c r="D376" s="97"/>
      <c r="E376" s="97"/>
      <c r="F376" s="97"/>
      <c r="G376" s="97"/>
      <c r="H376" s="97"/>
      <c r="I376" s="97"/>
      <c r="J376" s="97"/>
      <c r="K376" s="97"/>
      <c r="L376" s="97"/>
      <c r="M376" s="97"/>
      <c r="N376" s="97"/>
      <c r="O376" s="97"/>
      <c r="P376" s="97"/>
      <c r="Q376" s="97"/>
      <c r="R376" s="97"/>
      <c r="S376" s="97"/>
      <c r="T376" s="97"/>
      <c r="U376" s="97"/>
    </row>
    <row r="377" spans="2:21" customFormat="1">
      <c r="B377" s="89"/>
      <c r="C377" s="97"/>
      <c r="D377" s="97"/>
      <c r="E377" s="97"/>
      <c r="F377" s="97"/>
      <c r="G377" s="97"/>
      <c r="H377" s="97"/>
      <c r="I377" s="97"/>
      <c r="J377" s="97"/>
      <c r="K377" s="97"/>
      <c r="L377" s="97"/>
      <c r="M377" s="97"/>
      <c r="N377" s="97"/>
      <c r="O377" s="97"/>
      <c r="P377" s="97"/>
      <c r="Q377" s="97"/>
      <c r="R377" s="97"/>
      <c r="S377" s="97"/>
      <c r="T377" s="97"/>
      <c r="U377" s="97"/>
    </row>
    <row r="378" spans="2:21" customFormat="1">
      <c r="B378" s="89"/>
      <c r="C378" s="97"/>
      <c r="D378" s="97"/>
      <c r="E378" s="97"/>
      <c r="F378" s="97"/>
      <c r="G378" s="97"/>
      <c r="H378" s="97"/>
      <c r="I378" s="97"/>
      <c r="J378" s="97"/>
      <c r="K378" s="97"/>
      <c r="L378" s="97"/>
      <c r="M378" s="97"/>
      <c r="N378" s="97"/>
      <c r="O378" s="97"/>
      <c r="P378" s="97"/>
      <c r="Q378" s="97"/>
      <c r="R378" s="97"/>
      <c r="S378" s="97"/>
      <c r="T378" s="97"/>
      <c r="U378" s="97"/>
    </row>
    <row r="379" spans="2:21" customFormat="1">
      <c r="B379" s="89"/>
      <c r="C379" s="97"/>
      <c r="D379" s="97"/>
      <c r="E379" s="97"/>
      <c r="F379" s="97"/>
      <c r="G379" s="97"/>
      <c r="H379" s="97"/>
      <c r="I379" s="97"/>
      <c r="J379" s="97"/>
      <c r="K379" s="97"/>
      <c r="L379" s="97"/>
      <c r="M379" s="97"/>
      <c r="N379" s="97"/>
      <c r="O379" s="97"/>
      <c r="P379" s="97"/>
      <c r="Q379" s="97"/>
      <c r="R379" s="97"/>
      <c r="S379" s="97"/>
      <c r="T379" s="97"/>
      <c r="U379" s="97"/>
    </row>
    <row r="380" spans="2:21" customFormat="1">
      <c r="B380" s="89"/>
      <c r="C380" s="97"/>
      <c r="D380" s="97"/>
      <c r="E380" s="97"/>
      <c r="F380" s="97"/>
      <c r="G380" s="97"/>
      <c r="H380" s="97"/>
      <c r="I380" s="97"/>
      <c r="J380" s="97"/>
      <c r="K380" s="97"/>
      <c r="L380" s="97"/>
      <c r="M380" s="97"/>
      <c r="N380" s="97"/>
      <c r="O380" s="97"/>
      <c r="P380" s="97"/>
      <c r="Q380" s="97"/>
      <c r="R380" s="97"/>
      <c r="S380" s="97"/>
      <c r="T380" s="97"/>
      <c r="U380" s="97"/>
    </row>
    <row r="381" spans="2:21" customFormat="1">
      <c r="B381" s="89"/>
      <c r="C381" s="97"/>
      <c r="D381" s="97"/>
      <c r="E381" s="97"/>
      <c r="F381" s="97"/>
      <c r="G381" s="97"/>
      <c r="H381" s="97"/>
      <c r="I381" s="97"/>
      <c r="J381" s="97"/>
      <c r="K381" s="97"/>
      <c r="L381" s="97"/>
      <c r="M381" s="97"/>
      <c r="N381" s="97"/>
      <c r="O381" s="97"/>
      <c r="P381" s="97"/>
      <c r="Q381" s="97"/>
      <c r="R381" s="97"/>
      <c r="S381" s="97"/>
      <c r="T381" s="97"/>
      <c r="U381" s="97"/>
    </row>
    <row r="382" spans="2:21" customFormat="1">
      <c r="B382" s="89"/>
      <c r="C382" s="97"/>
      <c r="D382" s="97"/>
      <c r="E382" s="97"/>
      <c r="F382" s="97"/>
      <c r="G382" s="97"/>
      <c r="H382" s="97"/>
      <c r="I382" s="97"/>
      <c r="J382" s="97"/>
      <c r="K382" s="97"/>
      <c r="L382" s="97"/>
      <c r="M382" s="97"/>
      <c r="N382" s="97"/>
      <c r="O382" s="97"/>
      <c r="P382" s="97"/>
      <c r="Q382" s="97"/>
      <c r="R382" s="97"/>
      <c r="S382" s="97"/>
      <c r="T382" s="97"/>
      <c r="U382" s="97"/>
    </row>
    <row r="383" spans="2:21" customFormat="1">
      <c r="B383" s="89"/>
      <c r="C383" s="97"/>
      <c r="D383" s="97"/>
      <c r="E383" s="97"/>
      <c r="F383" s="97"/>
      <c r="G383" s="97"/>
      <c r="H383" s="97"/>
      <c r="I383" s="97"/>
      <c r="J383" s="97"/>
      <c r="K383" s="97"/>
      <c r="L383" s="97"/>
      <c r="M383" s="97"/>
      <c r="N383" s="97"/>
      <c r="O383" s="97"/>
      <c r="P383" s="97"/>
      <c r="Q383" s="97"/>
      <c r="R383" s="97"/>
      <c r="S383" s="97"/>
      <c r="T383" s="97"/>
      <c r="U383" s="97"/>
    </row>
    <row r="384" spans="2:21" customFormat="1">
      <c r="B384" s="89"/>
      <c r="C384" s="97"/>
      <c r="D384" s="97"/>
      <c r="E384" s="97"/>
      <c r="F384" s="97"/>
      <c r="G384" s="97"/>
      <c r="H384" s="97"/>
      <c r="I384" s="97"/>
      <c r="J384" s="97"/>
      <c r="K384" s="97"/>
      <c r="L384" s="97"/>
      <c r="M384" s="97"/>
      <c r="N384" s="97"/>
      <c r="O384" s="97"/>
      <c r="P384" s="97"/>
      <c r="Q384" s="97"/>
      <c r="R384" s="97"/>
      <c r="S384" s="97"/>
      <c r="T384" s="97"/>
      <c r="U384" s="97"/>
    </row>
    <row r="385" spans="2:21" customFormat="1">
      <c r="B385" s="89"/>
      <c r="C385" s="97"/>
      <c r="D385" s="97"/>
      <c r="E385" s="97"/>
      <c r="F385" s="97"/>
      <c r="G385" s="97"/>
      <c r="H385" s="97"/>
      <c r="I385" s="97"/>
      <c r="J385" s="97"/>
      <c r="K385" s="97"/>
      <c r="L385" s="97"/>
      <c r="M385" s="97"/>
      <c r="N385" s="97"/>
      <c r="O385" s="97"/>
      <c r="P385" s="97"/>
      <c r="Q385" s="97"/>
      <c r="R385" s="97"/>
      <c r="S385" s="97"/>
      <c r="T385" s="97"/>
      <c r="U385" s="97"/>
    </row>
    <row r="386" spans="2:21" customFormat="1">
      <c r="B386" s="89"/>
      <c r="C386" s="97"/>
      <c r="D386" s="97"/>
      <c r="E386" s="97"/>
      <c r="F386" s="97"/>
      <c r="G386" s="97"/>
      <c r="H386" s="97"/>
      <c r="I386" s="97"/>
      <c r="J386" s="97"/>
      <c r="K386" s="97"/>
      <c r="L386" s="97"/>
      <c r="M386" s="97"/>
      <c r="N386" s="97"/>
      <c r="O386" s="97"/>
      <c r="P386" s="97"/>
      <c r="Q386" s="97"/>
      <c r="R386" s="97"/>
      <c r="S386" s="97"/>
      <c r="T386" s="97"/>
      <c r="U386" s="97"/>
    </row>
    <row r="387" spans="2:21" customFormat="1">
      <c r="B387" s="89"/>
      <c r="C387" s="97"/>
      <c r="D387" s="97"/>
      <c r="E387" s="97"/>
      <c r="F387" s="97"/>
      <c r="G387" s="97"/>
      <c r="H387" s="97"/>
      <c r="I387" s="97"/>
      <c r="J387" s="97"/>
      <c r="K387" s="97"/>
      <c r="L387" s="97"/>
      <c r="M387" s="97"/>
      <c r="N387" s="97"/>
      <c r="O387" s="97"/>
      <c r="P387" s="97"/>
      <c r="Q387" s="97"/>
      <c r="R387" s="97"/>
      <c r="S387" s="97"/>
      <c r="T387" s="97"/>
      <c r="U387" s="97"/>
    </row>
    <row r="388" spans="2:21" customFormat="1">
      <c r="B388" s="89"/>
      <c r="C388" s="97"/>
      <c r="D388" s="97"/>
      <c r="E388" s="97"/>
      <c r="F388" s="97"/>
      <c r="G388" s="97"/>
      <c r="H388" s="97"/>
      <c r="I388" s="97"/>
      <c r="J388" s="97"/>
      <c r="K388" s="97"/>
      <c r="L388" s="97"/>
      <c r="M388" s="97"/>
      <c r="N388" s="97"/>
      <c r="O388" s="97"/>
      <c r="P388" s="97"/>
      <c r="Q388" s="97"/>
      <c r="R388" s="97"/>
      <c r="S388" s="97"/>
      <c r="T388" s="97"/>
      <c r="U388" s="97"/>
    </row>
    <row r="389" spans="2:21" customFormat="1">
      <c r="B389" s="89"/>
      <c r="C389" s="97"/>
      <c r="D389" s="97"/>
      <c r="E389" s="97"/>
      <c r="F389" s="97"/>
      <c r="G389" s="97"/>
      <c r="H389" s="97"/>
      <c r="I389" s="97"/>
      <c r="J389" s="97"/>
      <c r="K389" s="97"/>
      <c r="L389" s="97"/>
      <c r="M389" s="97"/>
      <c r="N389" s="97"/>
      <c r="O389" s="97"/>
      <c r="P389" s="97"/>
      <c r="Q389" s="97"/>
      <c r="R389" s="97"/>
      <c r="S389" s="97"/>
      <c r="T389" s="97"/>
      <c r="U389" s="97"/>
    </row>
    <row r="390" spans="2:21" customFormat="1">
      <c r="B390" s="89"/>
      <c r="C390" s="97"/>
      <c r="D390" s="97"/>
      <c r="E390" s="97"/>
      <c r="F390" s="97"/>
      <c r="G390" s="97"/>
      <c r="H390" s="97"/>
      <c r="I390" s="97"/>
      <c r="J390" s="97"/>
      <c r="K390" s="97"/>
      <c r="L390" s="97"/>
      <c r="M390" s="97"/>
      <c r="N390" s="97"/>
      <c r="O390" s="97"/>
      <c r="P390" s="97"/>
      <c r="Q390" s="97"/>
      <c r="R390" s="97"/>
      <c r="S390" s="97"/>
      <c r="T390" s="97"/>
      <c r="U390" s="97"/>
    </row>
    <row r="391" spans="2:21" customFormat="1">
      <c r="B391" s="89"/>
      <c r="C391" s="97"/>
      <c r="D391" s="97"/>
      <c r="E391" s="97"/>
      <c r="F391" s="97"/>
      <c r="G391" s="97"/>
      <c r="H391" s="97"/>
      <c r="I391" s="97"/>
      <c r="J391" s="97"/>
      <c r="K391" s="97"/>
      <c r="L391" s="97"/>
      <c r="M391" s="97"/>
      <c r="N391" s="97"/>
      <c r="O391" s="97"/>
      <c r="P391" s="97"/>
      <c r="Q391" s="97"/>
      <c r="R391" s="97"/>
      <c r="S391" s="97"/>
      <c r="T391" s="97"/>
      <c r="U391" s="97"/>
    </row>
    <row r="392" spans="2:21" customFormat="1">
      <c r="B392" s="89"/>
      <c r="C392" s="97"/>
      <c r="D392" s="97"/>
      <c r="E392" s="97"/>
      <c r="F392" s="97"/>
      <c r="G392" s="97"/>
      <c r="H392" s="97"/>
      <c r="I392" s="97"/>
      <c r="J392" s="97"/>
      <c r="K392" s="97"/>
      <c r="L392" s="97"/>
      <c r="M392" s="97"/>
      <c r="N392" s="97"/>
      <c r="O392" s="97"/>
      <c r="P392" s="97"/>
      <c r="Q392" s="97"/>
      <c r="R392" s="97"/>
      <c r="S392" s="97"/>
      <c r="T392" s="97"/>
      <c r="U392" s="97"/>
    </row>
    <row r="393" spans="2:21" customFormat="1">
      <c r="B393" s="89"/>
      <c r="C393" s="97"/>
      <c r="D393" s="97"/>
      <c r="E393" s="97"/>
      <c r="F393" s="97"/>
      <c r="G393" s="97"/>
      <c r="H393" s="97"/>
      <c r="I393" s="97"/>
      <c r="J393" s="97"/>
      <c r="K393" s="97"/>
      <c r="L393" s="97"/>
      <c r="M393" s="97"/>
      <c r="N393" s="97"/>
      <c r="O393" s="97"/>
      <c r="P393" s="97"/>
      <c r="Q393" s="97"/>
      <c r="R393" s="97"/>
      <c r="S393" s="97"/>
      <c r="T393" s="97"/>
      <c r="U393" s="97"/>
    </row>
    <row r="394" spans="2:21" customFormat="1">
      <c r="B394" s="89"/>
      <c r="C394" s="97"/>
      <c r="D394" s="97"/>
      <c r="E394" s="97"/>
      <c r="F394" s="97"/>
      <c r="G394" s="97"/>
      <c r="H394" s="97"/>
      <c r="I394" s="97"/>
      <c r="J394" s="97"/>
      <c r="K394" s="97"/>
      <c r="L394" s="97"/>
      <c r="M394" s="97"/>
      <c r="N394" s="97"/>
      <c r="O394" s="97"/>
      <c r="P394" s="97"/>
      <c r="Q394" s="97"/>
      <c r="R394" s="97"/>
      <c r="S394" s="97"/>
      <c r="T394" s="97"/>
      <c r="U394" s="97"/>
    </row>
    <row r="395" spans="2:21" customFormat="1">
      <c r="B395" s="89"/>
      <c r="C395" s="97"/>
      <c r="D395" s="97"/>
      <c r="E395" s="97"/>
      <c r="F395" s="97"/>
      <c r="G395" s="97"/>
      <c r="H395" s="97"/>
      <c r="I395" s="97"/>
      <c r="J395" s="97"/>
      <c r="K395" s="97"/>
      <c r="L395" s="97"/>
      <c r="M395" s="97"/>
      <c r="N395" s="97"/>
      <c r="O395" s="97"/>
      <c r="P395" s="97"/>
      <c r="Q395" s="97"/>
      <c r="R395" s="97"/>
      <c r="S395" s="97"/>
      <c r="T395" s="97"/>
      <c r="U395" s="97"/>
    </row>
    <row r="396" spans="2:21" customFormat="1">
      <c r="B396" s="89"/>
      <c r="C396" s="97"/>
      <c r="D396" s="97"/>
      <c r="E396" s="97"/>
      <c r="F396" s="97"/>
      <c r="G396" s="97"/>
      <c r="H396" s="97"/>
      <c r="I396" s="97"/>
      <c r="J396" s="97"/>
      <c r="K396" s="97"/>
      <c r="L396" s="97"/>
      <c r="M396" s="97"/>
      <c r="N396" s="97"/>
      <c r="O396" s="97"/>
      <c r="P396" s="97"/>
      <c r="Q396" s="97"/>
      <c r="R396" s="97"/>
      <c r="S396" s="97"/>
      <c r="T396" s="97"/>
      <c r="U396" s="97"/>
    </row>
    <row r="397" spans="2:21" customFormat="1">
      <c r="B397" s="89"/>
      <c r="C397" s="97"/>
      <c r="D397" s="97"/>
      <c r="E397" s="97"/>
      <c r="F397" s="97"/>
      <c r="G397" s="97"/>
      <c r="H397" s="97"/>
      <c r="I397" s="97"/>
      <c r="J397" s="97"/>
      <c r="K397" s="97"/>
      <c r="L397" s="97"/>
      <c r="M397" s="97"/>
      <c r="N397" s="97"/>
      <c r="O397" s="97"/>
      <c r="P397" s="97"/>
      <c r="Q397" s="97"/>
      <c r="R397" s="97"/>
      <c r="S397" s="97"/>
      <c r="T397" s="97"/>
      <c r="U397" s="97"/>
    </row>
    <row r="398" spans="2:21" customFormat="1">
      <c r="B398" s="89"/>
      <c r="C398" s="97"/>
      <c r="D398" s="97"/>
      <c r="E398" s="97"/>
      <c r="F398" s="97"/>
      <c r="G398" s="97"/>
      <c r="H398" s="97"/>
      <c r="I398" s="97"/>
      <c r="J398" s="97"/>
      <c r="K398" s="97"/>
      <c r="L398" s="97"/>
      <c r="M398" s="97"/>
      <c r="N398" s="97"/>
      <c r="O398" s="97"/>
      <c r="P398" s="97"/>
      <c r="Q398" s="97"/>
      <c r="R398" s="97"/>
      <c r="S398" s="97"/>
      <c r="T398" s="97"/>
      <c r="U398" s="97"/>
    </row>
    <row r="399" spans="2:21" customFormat="1">
      <c r="B399" s="89"/>
      <c r="C399" s="97"/>
      <c r="D399" s="97"/>
      <c r="E399" s="97"/>
      <c r="F399" s="97"/>
      <c r="G399" s="97"/>
      <c r="H399" s="97"/>
      <c r="I399" s="97"/>
      <c r="J399" s="97"/>
      <c r="K399" s="97"/>
      <c r="L399" s="97"/>
      <c r="M399" s="97"/>
      <c r="N399" s="97"/>
      <c r="O399" s="97"/>
      <c r="P399" s="97"/>
      <c r="Q399" s="97"/>
      <c r="R399" s="97"/>
      <c r="S399" s="97"/>
      <c r="T399" s="97"/>
      <c r="U399" s="97"/>
    </row>
    <row r="400" spans="2:21" customFormat="1">
      <c r="B400" s="89"/>
      <c r="C400" s="97"/>
      <c r="D400" s="97"/>
      <c r="E400" s="97"/>
      <c r="F400" s="97"/>
      <c r="G400" s="97"/>
      <c r="H400" s="97"/>
      <c r="I400" s="97"/>
      <c r="J400" s="97"/>
      <c r="K400" s="97"/>
      <c r="L400" s="97"/>
      <c r="M400" s="97"/>
      <c r="N400" s="97"/>
      <c r="O400" s="97"/>
      <c r="P400" s="97"/>
      <c r="Q400" s="97"/>
      <c r="R400" s="97"/>
      <c r="S400" s="97"/>
      <c r="T400" s="97"/>
      <c r="U400" s="97"/>
    </row>
    <row r="401" spans="2:21" customFormat="1">
      <c r="B401" s="89"/>
      <c r="C401" s="97"/>
      <c r="D401" s="97"/>
      <c r="E401" s="97"/>
      <c r="F401" s="97"/>
      <c r="G401" s="97"/>
      <c r="H401" s="97"/>
      <c r="I401" s="97"/>
      <c r="J401" s="97"/>
      <c r="K401" s="97"/>
      <c r="L401" s="97"/>
      <c r="M401" s="97"/>
      <c r="N401" s="97"/>
      <c r="O401" s="97"/>
      <c r="P401" s="97"/>
      <c r="Q401" s="97"/>
      <c r="R401" s="97"/>
      <c r="S401" s="97"/>
      <c r="T401" s="97"/>
      <c r="U401" s="97"/>
    </row>
    <row r="402" spans="2:21" customFormat="1">
      <c r="B402" s="89"/>
      <c r="C402" s="97"/>
      <c r="D402" s="97"/>
      <c r="E402" s="97"/>
      <c r="F402" s="97"/>
      <c r="G402" s="97"/>
      <c r="H402" s="97"/>
      <c r="I402" s="97"/>
      <c r="J402" s="97"/>
      <c r="K402" s="97"/>
      <c r="L402" s="97"/>
      <c r="M402" s="97"/>
      <c r="N402" s="97"/>
      <c r="O402" s="97"/>
      <c r="P402" s="97"/>
      <c r="Q402" s="97"/>
      <c r="R402" s="97"/>
      <c r="S402" s="97"/>
      <c r="T402" s="97"/>
      <c r="U402" s="97"/>
    </row>
    <row r="403" spans="2:21" customFormat="1">
      <c r="B403" s="89"/>
      <c r="C403" s="97"/>
      <c r="D403" s="97"/>
      <c r="E403" s="97"/>
      <c r="F403" s="97"/>
      <c r="G403" s="97"/>
      <c r="H403" s="97"/>
      <c r="I403" s="97"/>
      <c r="J403" s="97"/>
      <c r="K403" s="97"/>
      <c r="L403" s="97"/>
      <c r="M403" s="97"/>
      <c r="N403" s="97"/>
      <c r="O403" s="97"/>
      <c r="P403" s="97"/>
      <c r="Q403" s="97"/>
      <c r="R403" s="97"/>
      <c r="S403" s="97"/>
      <c r="T403" s="97"/>
      <c r="U403" s="97"/>
    </row>
    <row r="404" spans="2:21" customFormat="1">
      <c r="B404" s="89"/>
      <c r="C404" s="97"/>
      <c r="D404" s="97"/>
      <c r="E404" s="97"/>
      <c r="F404" s="97"/>
      <c r="G404" s="97"/>
      <c r="H404" s="97"/>
      <c r="I404" s="97"/>
      <c r="J404" s="97"/>
      <c r="K404" s="97"/>
      <c r="L404" s="97"/>
      <c r="M404" s="97"/>
      <c r="N404" s="97"/>
      <c r="O404" s="97"/>
      <c r="P404" s="97"/>
      <c r="Q404" s="97"/>
      <c r="R404" s="97"/>
      <c r="S404" s="97"/>
      <c r="T404" s="97"/>
      <c r="U404" s="97"/>
    </row>
    <row r="405" spans="2:21" customFormat="1">
      <c r="B405" s="89"/>
      <c r="C405" s="97"/>
      <c r="D405" s="97"/>
      <c r="E405" s="97"/>
      <c r="F405" s="97"/>
      <c r="G405" s="97"/>
      <c r="H405" s="97"/>
      <c r="I405" s="97"/>
      <c r="J405" s="97"/>
      <c r="K405" s="97"/>
      <c r="L405" s="97"/>
      <c r="M405" s="97"/>
      <c r="N405" s="97"/>
      <c r="O405" s="97"/>
      <c r="P405" s="97"/>
      <c r="Q405" s="97"/>
      <c r="R405" s="97"/>
      <c r="S405" s="97"/>
      <c r="T405" s="97"/>
      <c r="U405" s="97"/>
    </row>
    <row r="406" spans="2:21" customFormat="1">
      <c r="B406" s="89"/>
      <c r="C406" s="97"/>
      <c r="D406" s="97"/>
      <c r="E406" s="97"/>
      <c r="F406" s="97"/>
      <c r="G406" s="97"/>
      <c r="H406" s="97"/>
      <c r="I406" s="97"/>
      <c r="J406" s="97"/>
      <c r="K406" s="97"/>
      <c r="L406" s="97"/>
      <c r="M406" s="97"/>
      <c r="N406" s="97"/>
      <c r="O406" s="97"/>
      <c r="P406" s="97"/>
      <c r="Q406" s="97"/>
      <c r="R406" s="97"/>
      <c r="S406" s="97"/>
      <c r="T406" s="97"/>
      <c r="U406" s="97"/>
    </row>
    <row r="407" spans="2:21" customFormat="1">
      <c r="B407" s="89"/>
      <c r="C407" s="97"/>
      <c r="D407" s="97"/>
      <c r="E407" s="97"/>
      <c r="F407" s="97"/>
      <c r="G407" s="97"/>
      <c r="H407" s="97"/>
      <c r="I407" s="97"/>
      <c r="J407" s="97"/>
      <c r="K407" s="97"/>
      <c r="L407" s="97"/>
      <c r="M407" s="97"/>
      <c r="N407" s="97"/>
      <c r="O407" s="97"/>
      <c r="P407" s="97"/>
      <c r="Q407" s="97"/>
      <c r="R407" s="97"/>
      <c r="S407" s="97"/>
      <c r="T407" s="97"/>
      <c r="U407" s="97"/>
    </row>
    <row r="408" spans="2:21" customFormat="1">
      <c r="B408" s="89"/>
      <c r="C408" s="97"/>
      <c r="D408" s="97"/>
      <c r="E408" s="97"/>
      <c r="F408" s="97"/>
      <c r="G408" s="97"/>
      <c r="H408" s="97"/>
      <c r="I408" s="97"/>
      <c r="J408" s="97"/>
      <c r="K408" s="97"/>
      <c r="L408" s="97"/>
      <c r="M408" s="97"/>
      <c r="N408" s="97"/>
      <c r="O408" s="97"/>
      <c r="P408" s="97"/>
      <c r="Q408" s="97"/>
      <c r="R408" s="97"/>
      <c r="S408" s="97"/>
      <c r="T408" s="97"/>
      <c r="U408" s="97"/>
    </row>
    <row r="409" spans="2:21" customFormat="1">
      <c r="B409" s="89"/>
      <c r="C409" s="97"/>
      <c r="D409" s="97"/>
      <c r="E409" s="97"/>
      <c r="F409" s="97"/>
      <c r="G409" s="97"/>
      <c r="H409" s="97"/>
      <c r="I409" s="97"/>
      <c r="J409" s="97"/>
      <c r="K409" s="97"/>
      <c r="L409" s="97"/>
      <c r="M409" s="97"/>
      <c r="N409" s="97"/>
      <c r="O409" s="97"/>
      <c r="P409" s="97"/>
      <c r="Q409" s="97"/>
      <c r="R409" s="97"/>
      <c r="S409" s="97"/>
      <c r="T409" s="97"/>
      <c r="U409" s="97"/>
    </row>
    <row r="410" spans="2:21" customFormat="1">
      <c r="B410" s="89"/>
      <c r="C410" s="97"/>
      <c r="D410" s="97"/>
      <c r="E410" s="97"/>
      <c r="F410" s="97"/>
      <c r="G410" s="97"/>
      <c r="H410" s="97"/>
      <c r="I410" s="97"/>
      <c r="J410" s="97"/>
      <c r="K410" s="97"/>
      <c r="L410" s="97"/>
      <c r="M410" s="97"/>
      <c r="N410" s="97"/>
      <c r="O410" s="97"/>
      <c r="P410" s="97"/>
      <c r="Q410" s="97"/>
      <c r="R410" s="97"/>
      <c r="S410" s="97"/>
      <c r="T410" s="97"/>
      <c r="U410" s="97"/>
    </row>
    <row r="411" spans="2:21" customFormat="1">
      <c r="B411" s="89"/>
      <c r="C411" s="97"/>
      <c r="D411" s="97"/>
      <c r="E411" s="97"/>
      <c r="F411" s="97"/>
      <c r="G411" s="97"/>
      <c r="H411" s="97"/>
      <c r="I411" s="97"/>
      <c r="J411" s="97"/>
      <c r="K411" s="97"/>
      <c r="L411" s="97"/>
      <c r="M411" s="97"/>
      <c r="N411" s="97"/>
      <c r="O411" s="97"/>
      <c r="P411" s="97"/>
      <c r="Q411" s="97"/>
      <c r="R411" s="97"/>
      <c r="S411" s="97"/>
      <c r="T411" s="97"/>
      <c r="U411" s="97"/>
    </row>
    <row r="412" spans="2:21" customFormat="1">
      <c r="B412" s="89"/>
      <c r="C412" s="97"/>
      <c r="D412" s="97"/>
      <c r="E412" s="97"/>
      <c r="F412" s="97"/>
      <c r="G412" s="97"/>
      <c r="H412" s="97"/>
      <c r="I412" s="97"/>
      <c r="J412" s="97"/>
      <c r="K412" s="97"/>
      <c r="L412" s="97"/>
      <c r="M412" s="97"/>
      <c r="N412" s="97"/>
      <c r="O412" s="97"/>
      <c r="P412" s="97"/>
      <c r="Q412" s="97"/>
      <c r="R412" s="97"/>
      <c r="S412" s="97"/>
      <c r="T412" s="97"/>
      <c r="U412" s="97"/>
    </row>
    <row r="413" spans="2:21" customFormat="1">
      <c r="B413" s="89"/>
      <c r="C413" s="97"/>
      <c r="D413" s="97"/>
      <c r="E413" s="97"/>
      <c r="F413" s="97"/>
      <c r="G413" s="97"/>
      <c r="H413" s="97"/>
      <c r="I413" s="97"/>
      <c r="J413" s="97"/>
      <c r="K413" s="97"/>
      <c r="L413" s="97"/>
      <c r="M413" s="97"/>
      <c r="N413" s="97"/>
      <c r="O413" s="97"/>
      <c r="P413" s="97"/>
      <c r="Q413" s="97"/>
      <c r="R413" s="97"/>
      <c r="S413" s="97"/>
      <c r="T413" s="97"/>
      <c r="U413" s="97"/>
    </row>
    <row r="414" spans="2:21" customFormat="1">
      <c r="B414" s="89"/>
      <c r="C414" s="97"/>
      <c r="D414" s="97"/>
      <c r="E414" s="97"/>
      <c r="F414" s="97"/>
      <c r="G414" s="97"/>
      <c r="H414" s="97"/>
      <c r="I414" s="97"/>
      <c r="J414" s="97"/>
      <c r="K414" s="97"/>
      <c r="L414" s="97"/>
      <c r="M414" s="97"/>
      <c r="N414" s="97"/>
      <c r="O414" s="97"/>
      <c r="P414" s="97"/>
      <c r="Q414" s="97"/>
      <c r="R414" s="97"/>
      <c r="S414" s="97"/>
      <c r="T414" s="97"/>
      <c r="U414" s="97"/>
    </row>
    <row r="415" spans="2:21" customFormat="1">
      <c r="B415" s="89"/>
      <c r="C415" s="97"/>
      <c r="D415" s="97"/>
      <c r="E415" s="97"/>
      <c r="F415" s="97"/>
      <c r="G415" s="97"/>
      <c r="H415" s="97"/>
      <c r="I415" s="97"/>
      <c r="J415" s="97"/>
      <c r="K415" s="97"/>
      <c r="L415" s="97"/>
      <c r="M415" s="97"/>
      <c r="N415" s="97"/>
      <c r="O415" s="97"/>
      <c r="P415" s="97"/>
      <c r="Q415" s="97"/>
      <c r="R415" s="97"/>
      <c r="S415" s="97"/>
      <c r="T415" s="97"/>
      <c r="U415" s="97"/>
    </row>
    <row r="416" spans="2:21" customFormat="1">
      <c r="B416" s="89"/>
      <c r="C416" s="97"/>
      <c r="D416" s="97"/>
      <c r="E416" s="97"/>
      <c r="F416" s="97"/>
      <c r="G416" s="97"/>
      <c r="H416" s="97"/>
      <c r="I416" s="97"/>
      <c r="J416" s="97"/>
      <c r="K416" s="97"/>
      <c r="L416" s="97"/>
      <c r="M416" s="97"/>
      <c r="N416" s="97"/>
      <c r="O416" s="97"/>
      <c r="P416" s="97"/>
      <c r="Q416" s="97"/>
      <c r="R416" s="97"/>
      <c r="S416" s="97"/>
      <c r="T416" s="97"/>
      <c r="U416" s="97"/>
    </row>
    <row r="417" spans="2:21" customFormat="1">
      <c r="B417" s="89"/>
      <c r="C417" s="97"/>
      <c r="D417" s="97"/>
      <c r="E417" s="97"/>
      <c r="F417" s="97"/>
      <c r="G417" s="97"/>
      <c r="H417" s="97"/>
      <c r="I417" s="97"/>
      <c r="J417" s="97"/>
      <c r="K417" s="97"/>
      <c r="L417" s="97"/>
      <c r="M417" s="97"/>
      <c r="N417" s="97"/>
      <c r="O417" s="97"/>
      <c r="P417" s="97"/>
      <c r="Q417" s="97"/>
      <c r="R417" s="97"/>
      <c r="S417" s="97"/>
      <c r="T417" s="97"/>
      <c r="U417" s="97"/>
    </row>
    <row r="418" spans="2:21" customFormat="1">
      <c r="B418" s="89"/>
      <c r="C418" s="97"/>
      <c r="D418" s="97"/>
      <c r="E418" s="97"/>
      <c r="F418" s="97"/>
      <c r="G418" s="97"/>
      <c r="H418" s="97"/>
      <c r="I418" s="97"/>
      <c r="J418" s="97"/>
      <c r="K418" s="97"/>
      <c r="L418" s="97"/>
      <c r="M418" s="97"/>
      <c r="N418" s="97"/>
      <c r="O418" s="97"/>
      <c r="P418" s="97"/>
      <c r="Q418" s="97"/>
      <c r="R418" s="97"/>
      <c r="S418" s="97"/>
      <c r="T418" s="97"/>
      <c r="U418" s="97"/>
    </row>
    <row r="419" spans="2:21" customFormat="1">
      <c r="B419" s="89"/>
      <c r="C419" s="97"/>
      <c r="D419" s="97"/>
      <c r="E419" s="97"/>
      <c r="F419" s="97"/>
      <c r="G419" s="97"/>
      <c r="H419" s="97"/>
      <c r="I419" s="97"/>
      <c r="J419" s="97"/>
      <c r="K419" s="97"/>
      <c r="L419" s="97"/>
      <c r="M419" s="97"/>
      <c r="N419" s="97"/>
      <c r="O419" s="97"/>
      <c r="P419" s="97"/>
      <c r="Q419" s="97"/>
      <c r="R419" s="97"/>
      <c r="S419" s="97"/>
      <c r="T419" s="97"/>
      <c r="U419" s="97"/>
    </row>
    <row r="420" spans="2:21" customFormat="1">
      <c r="B420" s="89"/>
      <c r="C420" s="97"/>
      <c r="D420" s="97"/>
      <c r="E420" s="97"/>
      <c r="F420" s="97"/>
      <c r="G420" s="97"/>
      <c r="H420" s="97"/>
      <c r="I420" s="97"/>
      <c r="J420" s="97"/>
      <c r="K420" s="97"/>
      <c r="L420" s="97"/>
      <c r="M420" s="97"/>
      <c r="N420" s="97"/>
      <c r="O420" s="97"/>
      <c r="P420" s="97"/>
      <c r="Q420" s="97"/>
      <c r="R420" s="97"/>
      <c r="S420" s="97"/>
      <c r="T420" s="97"/>
      <c r="U420" s="97"/>
    </row>
    <row r="421" spans="2:21" customFormat="1">
      <c r="B421" s="89"/>
      <c r="C421" s="97"/>
      <c r="D421" s="97"/>
      <c r="E421" s="97"/>
      <c r="F421" s="97"/>
      <c r="G421" s="97"/>
      <c r="H421" s="97"/>
      <c r="I421" s="97"/>
      <c r="J421" s="97"/>
      <c r="K421" s="97"/>
      <c r="L421" s="97"/>
      <c r="M421" s="97"/>
      <c r="N421" s="97"/>
      <c r="O421" s="97"/>
      <c r="P421" s="97"/>
      <c r="Q421" s="97"/>
      <c r="R421" s="97"/>
      <c r="S421" s="97"/>
      <c r="T421" s="97"/>
      <c r="U421" s="97"/>
    </row>
    <row r="422" spans="2:21" customFormat="1">
      <c r="B422" s="89"/>
      <c r="C422" s="97"/>
      <c r="D422" s="97"/>
      <c r="E422" s="97"/>
      <c r="F422" s="97"/>
      <c r="G422" s="97"/>
      <c r="H422" s="97"/>
      <c r="I422" s="97"/>
      <c r="J422" s="97"/>
      <c r="K422" s="97"/>
      <c r="L422" s="97"/>
      <c r="M422" s="97"/>
      <c r="N422" s="97"/>
      <c r="O422" s="97"/>
      <c r="P422" s="97"/>
      <c r="Q422" s="97"/>
      <c r="R422" s="97"/>
      <c r="S422" s="97"/>
      <c r="T422" s="97"/>
      <c r="U422" s="97"/>
    </row>
    <row r="423" spans="2:21" customFormat="1">
      <c r="B423" s="89"/>
      <c r="C423" s="97"/>
      <c r="D423" s="97"/>
      <c r="E423" s="97"/>
      <c r="F423" s="97"/>
      <c r="G423" s="97"/>
      <c r="H423" s="97"/>
      <c r="I423" s="97"/>
      <c r="J423" s="97"/>
      <c r="K423" s="97"/>
      <c r="L423" s="97"/>
      <c r="M423" s="97"/>
      <c r="N423" s="97"/>
      <c r="O423" s="97"/>
      <c r="P423" s="97"/>
      <c r="Q423" s="97"/>
      <c r="R423" s="97"/>
      <c r="S423" s="97"/>
      <c r="T423" s="97"/>
      <c r="U423" s="97"/>
    </row>
    <row r="424" spans="2:21" customFormat="1">
      <c r="B424" s="89"/>
      <c r="C424" s="97"/>
      <c r="D424" s="97"/>
      <c r="E424" s="97"/>
      <c r="F424" s="97"/>
      <c r="G424" s="97"/>
      <c r="H424" s="97"/>
      <c r="I424" s="97"/>
      <c r="J424" s="97"/>
      <c r="K424" s="97"/>
      <c r="L424" s="97"/>
      <c r="M424" s="97"/>
      <c r="N424" s="97"/>
      <c r="O424" s="97"/>
      <c r="P424" s="97"/>
      <c r="Q424" s="97"/>
      <c r="R424" s="97"/>
      <c r="S424" s="97"/>
      <c r="T424" s="97"/>
      <c r="U424" s="97"/>
    </row>
    <row r="425" spans="2:21" customFormat="1">
      <c r="B425" s="89"/>
      <c r="C425" s="97"/>
      <c r="D425" s="97"/>
      <c r="E425" s="97"/>
      <c r="F425" s="97"/>
      <c r="G425" s="97"/>
      <c r="H425" s="97"/>
      <c r="I425" s="97"/>
      <c r="J425" s="97"/>
      <c r="K425" s="97"/>
      <c r="L425" s="97"/>
      <c r="M425" s="97"/>
      <c r="N425" s="97"/>
      <c r="O425" s="97"/>
      <c r="P425" s="97"/>
      <c r="Q425" s="97"/>
      <c r="R425" s="97"/>
      <c r="S425" s="97"/>
      <c r="T425" s="97"/>
      <c r="U425" s="97"/>
    </row>
    <row r="426" spans="2:21" customFormat="1">
      <c r="B426" s="89"/>
      <c r="C426" s="97"/>
      <c r="D426" s="97"/>
      <c r="E426" s="97"/>
      <c r="F426" s="97"/>
      <c r="G426" s="97"/>
      <c r="H426" s="97"/>
      <c r="I426" s="97"/>
      <c r="J426" s="97"/>
      <c r="K426" s="97"/>
      <c r="L426" s="97"/>
      <c r="M426" s="97"/>
      <c r="N426" s="97"/>
      <c r="O426" s="97"/>
      <c r="P426" s="97"/>
      <c r="Q426" s="97"/>
      <c r="R426" s="97"/>
      <c r="S426" s="97"/>
      <c r="T426" s="97"/>
      <c r="U426" s="97"/>
    </row>
    <row r="427" spans="2:21" customFormat="1">
      <c r="B427" s="89"/>
      <c r="C427" s="97"/>
      <c r="D427" s="97"/>
      <c r="E427" s="97"/>
      <c r="F427" s="97"/>
      <c r="G427" s="97"/>
      <c r="H427" s="97"/>
      <c r="I427" s="97"/>
      <c r="J427" s="97"/>
      <c r="K427" s="97"/>
      <c r="L427" s="97"/>
      <c r="M427" s="97"/>
      <c r="N427" s="97"/>
      <c r="O427" s="97"/>
      <c r="P427" s="97"/>
      <c r="Q427" s="97"/>
      <c r="R427" s="97"/>
      <c r="S427" s="97"/>
      <c r="T427" s="97"/>
      <c r="U427" s="97"/>
    </row>
    <row r="428" spans="2:21" customFormat="1">
      <c r="B428" s="89"/>
      <c r="C428" s="97"/>
      <c r="D428" s="97"/>
      <c r="E428" s="97"/>
      <c r="F428" s="97"/>
      <c r="G428" s="97"/>
      <c r="H428" s="97"/>
      <c r="I428" s="97"/>
      <c r="J428" s="97"/>
      <c r="K428" s="97"/>
      <c r="L428" s="97"/>
      <c r="M428" s="97"/>
      <c r="N428" s="97"/>
      <c r="O428" s="97"/>
      <c r="P428" s="97"/>
      <c r="Q428" s="97"/>
      <c r="R428" s="97"/>
      <c r="S428" s="97"/>
      <c r="T428" s="97"/>
      <c r="U428" s="97"/>
    </row>
    <row r="429" spans="2:21" customFormat="1">
      <c r="B429" s="89"/>
      <c r="C429" s="97"/>
      <c r="D429" s="97"/>
      <c r="E429" s="97"/>
      <c r="F429" s="97"/>
      <c r="G429" s="97"/>
      <c r="H429" s="97"/>
      <c r="I429" s="97"/>
      <c r="J429" s="97"/>
      <c r="K429" s="97"/>
      <c r="L429" s="97"/>
      <c r="M429" s="97"/>
      <c r="N429" s="97"/>
      <c r="O429" s="97"/>
      <c r="P429" s="97"/>
      <c r="Q429" s="97"/>
      <c r="R429" s="97"/>
      <c r="S429" s="97"/>
      <c r="T429" s="97"/>
      <c r="U429" s="97"/>
    </row>
    <row r="430" spans="2:21" customFormat="1">
      <c r="B430" s="89"/>
      <c r="C430" s="97"/>
      <c r="D430" s="97"/>
      <c r="E430" s="97"/>
      <c r="F430" s="97"/>
      <c r="G430" s="97"/>
      <c r="H430" s="97"/>
      <c r="I430" s="97"/>
      <c r="J430" s="97"/>
      <c r="K430" s="97"/>
      <c r="L430" s="97"/>
      <c r="M430" s="97"/>
      <c r="N430" s="97"/>
      <c r="O430" s="97"/>
      <c r="P430" s="97"/>
      <c r="Q430" s="97"/>
      <c r="R430" s="97"/>
      <c r="S430" s="97"/>
      <c r="T430" s="97"/>
      <c r="U430" s="97"/>
    </row>
    <row r="431" spans="2:21" customFormat="1">
      <c r="B431" s="89"/>
      <c r="C431" s="97"/>
      <c r="D431" s="97"/>
      <c r="E431" s="97"/>
      <c r="F431" s="97"/>
      <c r="G431" s="97"/>
      <c r="H431" s="97"/>
      <c r="I431" s="97"/>
      <c r="J431" s="97"/>
      <c r="K431" s="97"/>
      <c r="L431" s="97"/>
      <c r="M431" s="97"/>
      <c r="N431" s="97"/>
      <c r="O431" s="97"/>
      <c r="P431" s="97"/>
      <c r="Q431" s="97"/>
      <c r="R431" s="97"/>
      <c r="S431" s="97"/>
      <c r="T431" s="97"/>
      <c r="U431" s="97"/>
    </row>
    <row r="432" spans="2:21" customFormat="1">
      <c r="B432" s="89"/>
      <c r="C432" s="97"/>
      <c r="D432" s="97"/>
      <c r="E432" s="97"/>
      <c r="F432" s="97"/>
      <c r="G432" s="97"/>
      <c r="H432" s="97"/>
      <c r="I432" s="97"/>
      <c r="J432" s="97"/>
      <c r="K432" s="97"/>
      <c r="L432" s="97"/>
      <c r="M432" s="97"/>
      <c r="N432" s="97"/>
      <c r="O432" s="97"/>
      <c r="P432" s="97"/>
      <c r="Q432" s="97"/>
      <c r="R432" s="97"/>
      <c r="S432" s="97"/>
      <c r="T432" s="97"/>
      <c r="U432" s="97"/>
    </row>
    <row r="433" spans="2:21" customFormat="1">
      <c r="B433" s="89"/>
      <c r="C433" s="97"/>
      <c r="D433" s="97"/>
      <c r="E433" s="97"/>
      <c r="F433" s="97"/>
      <c r="G433" s="97"/>
      <c r="H433" s="97"/>
      <c r="I433" s="97"/>
      <c r="J433" s="97"/>
      <c r="K433" s="97"/>
      <c r="L433" s="97"/>
      <c r="M433" s="97"/>
      <c r="N433" s="97"/>
      <c r="O433" s="97"/>
      <c r="P433" s="97"/>
      <c r="Q433" s="97"/>
      <c r="R433" s="97"/>
      <c r="S433" s="97"/>
      <c r="T433" s="97"/>
      <c r="U433" s="97"/>
    </row>
    <row r="434" spans="2:21" customFormat="1">
      <c r="B434" s="89"/>
      <c r="C434" s="97"/>
      <c r="D434" s="97"/>
      <c r="E434" s="97"/>
      <c r="F434" s="97"/>
      <c r="G434" s="97"/>
      <c r="H434" s="97"/>
      <c r="I434" s="97"/>
      <c r="J434" s="97"/>
      <c r="K434" s="97"/>
      <c r="L434" s="97"/>
      <c r="M434" s="97"/>
      <c r="N434" s="97"/>
      <c r="O434" s="97"/>
      <c r="P434" s="97"/>
      <c r="Q434" s="97"/>
      <c r="R434" s="97"/>
      <c r="S434" s="97"/>
      <c r="T434" s="97"/>
      <c r="U434" s="97"/>
    </row>
    <row r="435" spans="2:21" customFormat="1">
      <c r="B435" s="89"/>
      <c r="C435" s="97"/>
      <c r="D435" s="97"/>
      <c r="E435" s="97"/>
      <c r="F435" s="97"/>
      <c r="G435" s="97"/>
      <c r="H435" s="97"/>
      <c r="I435" s="97"/>
      <c r="J435" s="97"/>
      <c r="K435" s="97"/>
      <c r="L435" s="97"/>
      <c r="M435" s="97"/>
      <c r="N435" s="97"/>
      <c r="O435" s="97"/>
      <c r="P435" s="97"/>
      <c r="Q435" s="97"/>
      <c r="R435" s="97"/>
      <c r="S435" s="97"/>
      <c r="T435" s="97"/>
      <c r="U435" s="97"/>
    </row>
    <row r="436" spans="2:21" customFormat="1">
      <c r="B436" s="89"/>
      <c r="C436" s="97"/>
      <c r="D436" s="97"/>
      <c r="E436" s="97"/>
      <c r="F436" s="97"/>
      <c r="G436" s="97"/>
      <c r="H436" s="97"/>
      <c r="I436" s="97"/>
      <c r="J436" s="97"/>
      <c r="K436" s="97"/>
      <c r="L436" s="97"/>
      <c r="M436" s="97"/>
      <c r="N436" s="97"/>
      <c r="O436" s="97"/>
      <c r="P436" s="97"/>
      <c r="Q436" s="97"/>
      <c r="R436" s="97"/>
      <c r="S436" s="97"/>
      <c r="T436" s="97"/>
      <c r="U436" s="97"/>
    </row>
    <row r="437" spans="2:21" customFormat="1">
      <c r="B437" s="89"/>
      <c r="C437" s="97"/>
      <c r="D437" s="97"/>
      <c r="E437" s="97"/>
      <c r="F437" s="97"/>
      <c r="G437" s="97"/>
      <c r="H437" s="97"/>
      <c r="I437" s="97"/>
      <c r="J437" s="97"/>
      <c r="K437" s="97"/>
      <c r="L437" s="97"/>
      <c r="M437" s="97"/>
      <c r="N437" s="97"/>
      <c r="O437" s="97"/>
      <c r="P437" s="97"/>
      <c r="Q437" s="97"/>
      <c r="R437" s="97"/>
      <c r="S437" s="97"/>
      <c r="T437" s="97"/>
      <c r="U437" s="97"/>
    </row>
    <row r="438" spans="2:21" customFormat="1">
      <c r="B438" s="89"/>
      <c r="C438" s="97"/>
      <c r="D438" s="97"/>
      <c r="E438" s="97"/>
      <c r="F438" s="97"/>
      <c r="G438" s="97"/>
      <c r="H438" s="97"/>
      <c r="I438" s="97"/>
      <c r="J438" s="97"/>
      <c r="K438" s="97"/>
      <c r="L438" s="97"/>
      <c r="M438" s="97"/>
      <c r="N438" s="97"/>
      <c r="O438" s="97"/>
      <c r="P438" s="97"/>
      <c r="Q438" s="97"/>
      <c r="R438" s="97"/>
      <c r="S438" s="97"/>
      <c r="T438" s="97"/>
      <c r="U438" s="97"/>
    </row>
    <row r="439" spans="2:21" customFormat="1">
      <c r="B439" s="89"/>
      <c r="C439" s="97"/>
      <c r="D439" s="97"/>
      <c r="E439" s="97"/>
      <c r="F439" s="97"/>
      <c r="G439" s="97"/>
      <c r="H439" s="97"/>
      <c r="I439" s="97"/>
      <c r="J439" s="97"/>
      <c r="K439" s="97"/>
      <c r="L439" s="97"/>
      <c r="M439" s="97"/>
      <c r="N439" s="97"/>
      <c r="O439" s="97"/>
      <c r="P439" s="97"/>
      <c r="Q439" s="97"/>
      <c r="R439" s="97"/>
      <c r="S439" s="97"/>
      <c r="T439" s="97"/>
      <c r="U439" s="97"/>
    </row>
    <row r="440" spans="2:21" customFormat="1">
      <c r="B440" s="89"/>
      <c r="C440" s="97"/>
      <c r="D440" s="97"/>
      <c r="E440" s="97"/>
      <c r="F440" s="97"/>
      <c r="G440" s="97"/>
      <c r="H440" s="97"/>
      <c r="I440" s="97"/>
      <c r="J440" s="97"/>
      <c r="K440" s="97"/>
      <c r="L440" s="97"/>
      <c r="M440" s="97"/>
      <c r="N440" s="97"/>
      <c r="O440" s="97"/>
      <c r="P440" s="97"/>
      <c r="Q440" s="97"/>
      <c r="R440" s="97"/>
      <c r="S440" s="97"/>
      <c r="T440" s="97"/>
      <c r="U440" s="97"/>
    </row>
    <row r="441" spans="2:21" customFormat="1">
      <c r="B441" s="89"/>
      <c r="C441" s="97"/>
      <c r="D441" s="97"/>
      <c r="E441" s="97"/>
      <c r="F441" s="97"/>
      <c r="G441" s="97"/>
      <c r="H441" s="97"/>
      <c r="I441" s="97"/>
      <c r="J441" s="97"/>
      <c r="K441" s="97"/>
      <c r="L441" s="97"/>
      <c r="M441" s="97"/>
      <c r="N441" s="97"/>
      <c r="O441" s="97"/>
      <c r="P441" s="97"/>
      <c r="Q441" s="97"/>
      <c r="R441" s="97"/>
      <c r="S441" s="97"/>
      <c r="T441" s="97"/>
      <c r="U441" s="97"/>
    </row>
    <row r="442" spans="2:21" customFormat="1">
      <c r="B442" s="89"/>
      <c r="C442" s="97"/>
      <c r="D442" s="97"/>
      <c r="E442" s="97"/>
      <c r="F442" s="97"/>
      <c r="G442" s="97"/>
      <c r="H442" s="97"/>
      <c r="I442" s="97"/>
      <c r="J442" s="97"/>
      <c r="K442" s="97"/>
      <c r="L442" s="97"/>
      <c r="M442" s="97"/>
      <c r="N442" s="97"/>
      <c r="O442" s="97"/>
      <c r="P442" s="97"/>
      <c r="Q442" s="97"/>
      <c r="R442" s="97"/>
      <c r="S442" s="97"/>
      <c r="T442" s="97"/>
      <c r="U442" s="97"/>
    </row>
    <row r="443" spans="2:21" customFormat="1">
      <c r="B443" s="89"/>
      <c r="C443" s="97"/>
      <c r="D443" s="97"/>
      <c r="E443" s="97"/>
      <c r="F443" s="97"/>
      <c r="G443" s="97"/>
      <c r="H443" s="97"/>
      <c r="I443" s="97"/>
      <c r="J443" s="97"/>
      <c r="K443" s="97"/>
      <c r="L443" s="97"/>
      <c r="M443" s="97"/>
      <c r="N443" s="97"/>
      <c r="O443" s="97"/>
      <c r="P443" s="97"/>
      <c r="Q443" s="97"/>
      <c r="R443" s="97"/>
      <c r="S443" s="97"/>
      <c r="T443" s="97"/>
      <c r="U443" s="97"/>
    </row>
    <row r="444" spans="2:21" customFormat="1">
      <c r="B444" s="89"/>
      <c r="C444" s="97"/>
      <c r="D444" s="97"/>
      <c r="E444" s="97"/>
      <c r="F444" s="97"/>
      <c r="G444" s="97"/>
      <c r="H444" s="97"/>
      <c r="I444" s="97"/>
      <c r="J444" s="97"/>
      <c r="K444" s="97"/>
      <c r="L444" s="97"/>
      <c r="M444" s="97"/>
      <c r="N444" s="97"/>
      <c r="O444" s="97"/>
      <c r="P444" s="97"/>
      <c r="Q444" s="97"/>
      <c r="R444" s="97"/>
      <c r="S444" s="97"/>
      <c r="T444" s="97"/>
      <c r="U444" s="97"/>
    </row>
    <row r="445" spans="2:21" customFormat="1">
      <c r="B445" s="89"/>
      <c r="C445" s="97"/>
      <c r="D445" s="97"/>
      <c r="E445" s="97"/>
      <c r="F445" s="97"/>
      <c r="G445" s="97"/>
      <c r="H445" s="97"/>
      <c r="I445" s="97"/>
      <c r="J445" s="97"/>
      <c r="K445" s="97"/>
      <c r="L445" s="97"/>
      <c r="M445" s="97"/>
      <c r="N445" s="97"/>
      <c r="O445" s="97"/>
      <c r="P445" s="97"/>
      <c r="Q445" s="97"/>
      <c r="R445" s="97"/>
      <c r="S445" s="97"/>
      <c r="T445" s="97"/>
      <c r="U445" s="97"/>
    </row>
    <row r="446" spans="2:21" customFormat="1">
      <c r="B446" s="89"/>
      <c r="C446" s="97"/>
      <c r="D446" s="97"/>
      <c r="E446" s="97"/>
      <c r="F446" s="97"/>
      <c r="G446" s="97"/>
      <c r="H446" s="97"/>
      <c r="I446" s="97"/>
      <c r="J446" s="97"/>
      <c r="K446" s="97"/>
      <c r="L446" s="97"/>
      <c r="M446" s="97"/>
      <c r="N446" s="97"/>
      <c r="O446" s="97"/>
      <c r="P446" s="97"/>
      <c r="Q446" s="97"/>
      <c r="R446" s="97"/>
      <c r="S446" s="97"/>
      <c r="T446" s="97"/>
      <c r="U446" s="97"/>
    </row>
    <row r="447" spans="2:21" customFormat="1">
      <c r="B447" s="89"/>
      <c r="C447" s="97"/>
      <c r="D447" s="97"/>
      <c r="E447" s="97"/>
      <c r="F447" s="97"/>
      <c r="G447" s="97"/>
      <c r="H447" s="97"/>
      <c r="I447" s="97"/>
      <c r="J447" s="97"/>
      <c r="K447" s="97"/>
      <c r="L447" s="97"/>
      <c r="M447" s="97"/>
      <c r="N447" s="97"/>
      <c r="O447" s="97"/>
      <c r="P447" s="97"/>
      <c r="Q447" s="97"/>
      <c r="R447" s="97"/>
      <c r="S447" s="97"/>
      <c r="T447" s="97"/>
      <c r="U447" s="97"/>
    </row>
    <row r="448" spans="2:21" customFormat="1">
      <c r="B448" s="89"/>
      <c r="C448" s="97"/>
      <c r="D448" s="97"/>
      <c r="E448" s="97"/>
      <c r="F448" s="97"/>
      <c r="G448" s="97"/>
      <c r="H448" s="97"/>
      <c r="I448" s="97"/>
      <c r="J448" s="97"/>
      <c r="K448" s="97"/>
      <c r="L448" s="97"/>
      <c r="M448" s="97"/>
      <c r="N448" s="97"/>
      <c r="O448" s="97"/>
      <c r="P448" s="97"/>
      <c r="Q448" s="97"/>
      <c r="R448" s="97"/>
      <c r="S448" s="97"/>
      <c r="T448" s="97"/>
      <c r="U448" s="97"/>
    </row>
    <row r="449" spans="1:35" customFormat="1">
      <c r="B449" s="89"/>
      <c r="C449" s="97"/>
      <c r="D449" s="97"/>
      <c r="E449" s="97"/>
      <c r="F449" s="97"/>
      <c r="G449" s="97"/>
      <c r="H449" s="97"/>
      <c r="I449" s="97"/>
      <c r="J449" s="97"/>
      <c r="K449" s="97"/>
      <c r="L449" s="97"/>
      <c r="M449" s="97"/>
      <c r="N449" s="97"/>
      <c r="O449" s="97"/>
      <c r="P449" s="97"/>
      <c r="Q449" s="97"/>
      <c r="R449" s="97"/>
      <c r="S449" s="97"/>
      <c r="T449" s="97"/>
      <c r="U449" s="97"/>
    </row>
    <row r="450" spans="1:35" customFormat="1">
      <c r="B450" s="89"/>
      <c r="C450" s="97"/>
      <c r="D450" s="97"/>
      <c r="E450" s="97"/>
      <c r="F450" s="97"/>
      <c r="G450" s="97"/>
      <c r="H450" s="97"/>
      <c r="I450" s="97"/>
      <c r="J450" s="97"/>
      <c r="K450" s="97"/>
      <c r="L450" s="97"/>
      <c r="M450" s="97"/>
      <c r="N450" s="97"/>
      <c r="O450" s="97"/>
      <c r="P450" s="97"/>
      <c r="Q450" s="97"/>
      <c r="R450" s="97"/>
      <c r="S450" s="97"/>
      <c r="T450" s="97"/>
      <c r="U450" s="97"/>
    </row>
    <row r="451" spans="1:35" customFormat="1">
      <c r="B451" s="89"/>
      <c r="C451" s="97"/>
      <c r="D451" s="97"/>
      <c r="E451" s="97"/>
      <c r="F451" s="97"/>
      <c r="G451" s="97"/>
      <c r="H451" s="97"/>
      <c r="I451" s="97"/>
      <c r="J451" s="97"/>
      <c r="K451" s="97"/>
      <c r="L451" s="97"/>
      <c r="M451" s="97"/>
      <c r="N451" s="97"/>
      <c r="O451" s="97"/>
      <c r="P451" s="97"/>
      <c r="Q451" s="97"/>
      <c r="R451" s="97"/>
      <c r="S451" s="97"/>
      <c r="T451" s="97"/>
      <c r="U451" s="97"/>
    </row>
    <row r="452" spans="1:35" customFormat="1">
      <c r="B452" s="89"/>
      <c r="C452" s="97"/>
      <c r="D452" s="97"/>
      <c r="E452" s="97"/>
      <c r="F452" s="97"/>
      <c r="G452" s="97"/>
      <c r="H452" s="97"/>
      <c r="I452" s="97"/>
      <c r="J452" s="97"/>
      <c r="K452" s="97"/>
      <c r="L452" s="97"/>
      <c r="M452" s="97"/>
      <c r="N452" s="97"/>
      <c r="O452" s="97"/>
      <c r="P452" s="97"/>
      <c r="Q452" s="97"/>
      <c r="R452" s="97"/>
      <c r="S452" s="97"/>
      <c r="T452" s="97"/>
      <c r="U452" s="97"/>
    </row>
    <row r="453" spans="1:35" customFormat="1">
      <c r="B453" s="89"/>
      <c r="C453" s="97"/>
      <c r="D453" s="97"/>
      <c r="E453" s="97"/>
      <c r="F453" s="97"/>
      <c r="G453" s="97"/>
      <c r="H453" s="97"/>
      <c r="I453" s="97"/>
      <c r="J453" s="97"/>
      <c r="K453" s="97"/>
      <c r="L453" s="97"/>
      <c r="M453" s="97"/>
      <c r="N453" s="97"/>
      <c r="O453" s="97"/>
      <c r="P453" s="97"/>
      <c r="Q453" s="97"/>
      <c r="R453" s="97"/>
      <c r="S453" s="97"/>
      <c r="T453" s="97"/>
      <c r="U453" s="97"/>
    </row>
    <row r="454" spans="1:35" customFormat="1">
      <c r="B454" s="89"/>
      <c r="C454" s="97"/>
      <c r="D454" s="97"/>
      <c r="E454" s="97"/>
      <c r="F454" s="97"/>
      <c r="G454" s="97"/>
      <c r="H454" s="97"/>
      <c r="I454" s="97"/>
      <c r="J454" s="97"/>
      <c r="K454" s="97"/>
      <c r="L454" s="97"/>
      <c r="M454" s="97"/>
      <c r="N454" s="97"/>
      <c r="O454" s="97"/>
      <c r="P454" s="97"/>
      <c r="Q454" s="97"/>
      <c r="R454" s="97"/>
      <c r="S454" s="97"/>
      <c r="T454" s="97"/>
      <c r="U454" s="97"/>
    </row>
    <row r="455" spans="1:35" customFormat="1">
      <c r="B455" s="89"/>
      <c r="C455" s="97"/>
      <c r="D455" s="97"/>
      <c r="E455" s="97"/>
      <c r="F455" s="97"/>
      <c r="G455" s="97"/>
      <c r="H455" s="97"/>
      <c r="I455" s="97"/>
      <c r="J455" s="97"/>
      <c r="K455" s="97"/>
      <c r="L455" s="97"/>
      <c r="M455" s="97"/>
      <c r="N455" s="97"/>
      <c r="O455" s="97"/>
      <c r="P455" s="97"/>
      <c r="Q455" s="97"/>
      <c r="R455" s="97"/>
      <c r="S455" s="97"/>
      <c r="T455" s="97"/>
      <c r="U455" s="97"/>
    </row>
    <row r="456" spans="1:35" customFormat="1">
      <c r="B456" s="89"/>
      <c r="C456" s="97"/>
      <c r="D456" s="97"/>
      <c r="E456" s="97"/>
      <c r="F456" s="97"/>
      <c r="G456" s="97"/>
      <c r="H456" s="97"/>
      <c r="I456" s="97"/>
      <c r="J456" s="97"/>
      <c r="K456" s="97"/>
      <c r="L456" s="97"/>
      <c r="M456" s="97"/>
      <c r="N456" s="97"/>
      <c r="O456" s="97"/>
      <c r="P456" s="97"/>
      <c r="Q456" s="97"/>
      <c r="R456" s="97"/>
      <c r="S456" s="97"/>
      <c r="T456" s="97"/>
      <c r="U456" s="97"/>
    </row>
    <row r="457" spans="1:35" s="120" customFormat="1">
      <c r="A457"/>
      <c r="B457" s="89"/>
      <c r="C457" s="97"/>
      <c r="D457" s="97"/>
      <c r="E457" s="97"/>
      <c r="F457" s="97"/>
      <c r="G457" s="97"/>
      <c r="H457" s="97"/>
      <c r="I457" s="97"/>
      <c r="J457" s="97"/>
      <c r="K457" s="97"/>
      <c r="L457" s="97"/>
      <c r="M457" s="97"/>
      <c r="N457" s="97"/>
      <c r="O457" s="97"/>
      <c r="P457" s="97"/>
      <c r="Q457" s="97"/>
      <c r="R457" s="97"/>
      <c r="S457" s="97"/>
      <c r="T457" s="97"/>
      <c r="U457" s="97"/>
      <c r="V457" s="113"/>
      <c r="W457" s="113"/>
      <c r="X457" s="113"/>
      <c r="Y457" s="113"/>
      <c r="Z457" s="113"/>
      <c r="AA457" s="113"/>
      <c r="AB457" s="113"/>
      <c r="AC457" s="113"/>
      <c r="AD457" s="113"/>
      <c r="AE457" s="113"/>
      <c r="AF457" s="113"/>
      <c r="AG457" s="113"/>
      <c r="AH457" s="113"/>
      <c r="AI457" s="113"/>
    </row>
    <row r="458" spans="1:35" s="120" customFormat="1">
      <c r="A458"/>
      <c r="B458" s="89"/>
      <c r="C458" s="97"/>
      <c r="D458" s="97"/>
      <c r="E458" s="97"/>
      <c r="F458" s="97"/>
      <c r="G458" s="97"/>
      <c r="H458" s="97"/>
      <c r="I458" s="97"/>
      <c r="J458" s="97"/>
      <c r="K458" s="97"/>
      <c r="L458" s="97"/>
      <c r="M458" s="97"/>
      <c r="N458" s="97"/>
      <c r="O458" s="97"/>
      <c r="P458" s="97"/>
      <c r="Q458" s="97"/>
      <c r="R458" s="97"/>
      <c r="S458" s="97"/>
      <c r="T458" s="97"/>
      <c r="U458" s="97"/>
      <c r="V458" s="121"/>
      <c r="W458" s="121"/>
      <c r="X458" s="121"/>
      <c r="Y458" s="121"/>
      <c r="Z458" s="121"/>
      <c r="AA458" s="121"/>
      <c r="AB458" s="121"/>
      <c r="AC458" s="121"/>
      <c r="AD458" s="121"/>
      <c r="AE458" s="121"/>
      <c r="AF458" s="121"/>
      <c r="AG458" s="121"/>
      <c r="AH458" s="121"/>
      <c r="AI458" s="121"/>
    </row>
    <row r="459" spans="1:35" s="120" customFormat="1">
      <c r="A459"/>
      <c r="B459" s="89"/>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122"/>
      <c r="AA459" s="122"/>
      <c r="AB459" s="122"/>
      <c r="AC459" s="122"/>
      <c r="AD459" s="122"/>
      <c r="AE459" s="122"/>
      <c r="AF459" s="122"/>
      <c r="AG459" s="122"/>
      <c r="AH459" s="122"/>
      <c r="AI459" s="122"/>
    </row>
    <row r="460" spans="1:35" s="120" customFormat="1">
      <c r="A460"/>
      <c r="B460" s="89"/>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122"/>
      <c r="AA460" s="122"/>
      <c r="AB460" s="122"/>
      <c r="AC460" s="122"/>
      <c r="AD460" s="122"/>
      <c r="AE460" s="122"/>
      <c r="AF460" s="122"/>
      <c r="AG460" s="122"/>
      <c r="AH460" s="122"/>
      <c r="AI460" s="122"/>
    </row>
    <row r="461" spans="1:35" s="120" customFormat="1">
      <c r="A461"/>
      <c r="B461" s="89"/>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122"/>
      <c r="AA461" s="122"/>
      <c r="AB461" s="122"/>
      <c r="AC461" s="122"/>
      <c r="AD461" s="122"/>
      <c r="AE461" s="122"/>
      <c r="AF461" s="122"/>
      <c r="AG461" s="122"/>
      <c r="AH461" s="122"/>
      <c r="AI461" s="122"/>
    </row>
    <row r="462" spans="1:35" s="120" customFormat="1">
      <c r="A462"/>
      <c r="B462" s="89"/>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122"/>
      <c r="AA462" s="122"/>
      <c r="AB462" s="122"/>
      <c r="AC462" s="122"/>
      <c r="AD462" s="122"/>
      <c r="AE462" s="122"/>
      <c r="AF462" s="122"/>
      <c r="AG462" s="122"/>
      <c r="AH462" s="122"/>
      <c r="AI462" s="122"/>
    </row>
    <row r="463" spans="1:35" s="120" customFormat="1">
      <c r="A463"/>
      <c r="B463" s="89"/>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122"/>
      <c r="AA463" s="122"/>
      <c r="AB463" s="122"/>
      <c r="AC463" s="122"/>
      <c r="AD463" s="122"/>
      <c r="AE463" s="122"/>
      <c r="AF463" s="122"/>
      <c r="AG463" s="122"/>
      <c r="AH463" s="122"/>
      <c r="AI463" s="122"/>
    </row>
    <row r="464" spans="1:35" s="120" customFormat="1">
      <c r="A464"/>
      <c r="B464" s="89"/>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122"/>
      <c r="AA464" s="122"/>
      <c r="AB464" s="122"/>
      <c r="AC464" s="122"/>
      <c r="AD464" s="122"/>
      <c r="AE464" s="122"/>
      <c r="AF464" s="122"/>
      <c r="AG464" s="122"/>
      <c r="AH464" s="122"/>
      <c r="AI464" s="122"/>
    </row>
    <row r="465" spans="1:35" s="120" customFormat="1">
      <c r="A465"/>
      <c r="B465" s="89"/>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122"/>
      <c r="AA465" s="122"/>
      <c r="AB465" s="122"/>
      <c r="AC465" s="122"/>
      <c r="AD465" s="122"/>
      <c r="AE465" s="122"/>
      <c r="AF465" s="122"/>
      <c r="AG465" s="122"/>
      <c r="AH465" s="122"/>
      <c r="AI465" s="122"/>
    </row>
    <row r="466" spans="1:35" s="120" customFormat="1">
      <c r="A466"/>
      <c r="B466" s="89"/>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122"/>
      <c r="AA466" s="122"/>
      <c r="AB466" s="122"/>
      <c r="AC466" s="122"/>
      <c r="AD466" s="122"/>
      <c r="AE466" s="122"/>
      <c r="AF466" s="122"/>
      <c r="AG466" s="122"/>
      <c r="AH466" s="122"/>
      <c r="AI466" s="122"/>
    </row>
    <row r="467" spans="1:35" s="120" customFormat="1">
      <c r="A467"/>
      <c r="B467" s="89"/>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122"/>
      <c r="AA467" s="122"/>
      <c r="AB467" s="122"/>
      <c r="AC467" s="122"/>
      <c r="AD467" s="122"/>
      <c r="AE467" s="122"/>
      <c r="AF467" s="122"/>
      <c r="AG467" s="122"/>
      <c r="AH467" s="122"/>
      <c r="AI467" s="122"/>
    </row>
    <row r="468" spans="1:35" s="120" customFormat="1">
      <c r="A468"/>
      <c r="B468" s="89"/>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122"/>
      <c r="AA468" s="122"/>
      <c r="AB468" s="122"/>
      <c r="AC468" s="122"/>
      <c r="AD468" s="122"/>
      <c r="AE468" s="122"/>
      <c r="AF468" s="122"/>
      <c r="AG468" s="122"/>
      <c r="AH468" s="122"/>
      <c r="AI468" s="122"/>
    </row>
    <row r="469" spans="1:35" s="120" customFormat="1">
      <c r="A469"/>
      <c r="B469" s="89"/>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122"/>
      <c r="AA469" s="122"/>
      <c r="AB469" s="122"/>
      <c r="AC469" s="122"/>
      <c r="AD469" s="122"/>
      <c r="AE469" s="122"/>
      <c r="AF469" s="122"/>
      <c r="AG469" s="122"/>
      <c r="AH469" s="122"/>
      <c r="AI469" s="122"/>
    </row>
    <row r="470" spans="1:35" s="120" customFormat="1">
      <c r="A470"/>
      <c r="B470" s="89"/>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122"/>
      <c r="AA470" s="122"/>
      <c r="AB470" s="122"/>
      <c r="AC470" s="122"/>
      <c r="AD470" s="122"/>
      <c r="AE470" s="122"/>
      <c r="AF470" s="122"/>
      <c r="AG470" s="122"/>
      <c r="AH470" s="122"/>
      <c r="AI470" s="122"/>
    </row>
    <row r="471" spans="1:35" s="120" customFormat="1">
      <c r="A471"/>
      <c r="B471" s="89"/>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122"/>
      <c r="AA471" s="122"/>
      <c r="AB471" s="122"/>
      <c r="AC471" s="122"/>
      <c r="AD471" s="122"/>
      <c r="AE471" s="122"/>
      <c r="AF471" s="122"/>
      <c r="AG471" s="122"/>
      <c r="AH471" s="122"/>
      <c r="AI471" s="122"/>
    </row>
    <row r="472" spans="1:35" s="120" customFormat="1">
      <c r="A472"/>
      <c r="B472" s="89"/>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122"/>
      <c r="AA472" s="122"/>
      <c r="AB472" s="122"/>
      <c r="AC472" s="122"/>
      <c r="AD472" s="122"/>
      <c r="AE472" s="122"/>
      <c r="AF472" s="122"/>
      <c r="AG472" s="122"/>
      <c r="AH472" s="122"/>
      <c r="AI472" s="122"/>
    </row>
    <row r="473" spans="1:35" s="120" customFormat="1">
      <c r="A473"/>
      <c r="B473" s="89"/>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122"/>
      <c r="AA473" s="122"/>
      <c r="AB473" s="122"/>
      <c r="AC473" s="122"/>
      <c r="AD473" s="122"/>
      <c r="AE473" s="122"/>
      <c r="AF473" s="122"/>
      <c r="AG473" s="122"/>
      <c r="AH473" s="122"/>
      <c r="AI473" s="122"/>
    </row>
    <row r="474" spans="1:35" s="120" customFormat="1">
      <c r="A474"/>
      <c r="B474" s="89"/>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122"/>
      <c r="AA474" s="122"/>
      <c r="AB474" s="122"/>
      <c r="AC474" s="122"/>
      <c r="AD474" s="122"/>
      <c r="AE474" s="122"/>
      <c r="AF474" s="122"/>
      <c r="AG474" s="122"/>
      <c r="AH474" s="122"/>
      <c r="AI474" s="122"/>
    </row>
    <row r="475" spans="1:35" s="120" customFormat="1">
      <c r="A475"/>
      <c r="B475" s="89"/>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122"/>
      <c r="AA475" s="122"/>
      <c r="AB475" s="122"/>
      <c r="AC475" s="122"/>
      <c r="AD475" s="122"/>
      <c r="AE475" s="122"/>
      <c r="AF475" s="122"/>
      <c r="AG475" s="122"/>
      <c r="AH475" s="122"/>
      <c r="AI475" s="122"/>
    </row>
    <row r="476" spans="1:35" s="120" customFormat="1">
      <c r="A476"/>
      <c r="B476" s="89"/>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122"/>
      <c r="AA476" s="122"/>
      <c r="AB476" s="122"/>
      <c r="AC476" s="122"/>
      <c r="AD476" s="122"/>
      <c r="AE476" s="122"/>
      <c r="AF476" s="122"/>
      <c r="AG476" s="122"/>
      <c r="AH476" s="122"/>
      <c r="AI476" s="122"/>
    </row>
    <row r="477" spans="1:35" s="120" customFormat="1">
      <c r="A477"/>
      <c r="B477" s="89"/>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122"/>
      <c r="AA477" s="122"/>
      <c r="AB477" s="122"/>
      <c r="AC477" s="122"/>
      <c r="AD477" s="122"/>
      <c r="AE477" s="122"/>
      <c r="AF477" s="122"/>
      <c r="AG477" s="122"/>
      <c r="AH477" s="122"/>
      <c r="AI477" s="122"/>
    </row>
    <row r="478" spans="1:35" s="120" customFormat="1">
      <c r="A478"/>
      <c r="B478" s="89"/>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122"/>
      <c r="AA478" s="122"/>
      <c r="AB478" s="122"/>
      <c r="AC478" s="122"/>
      <c r="AD478" s="122"/>
      <c r="AE478" s="122"/>
      <c r="AF478" s="122"/>
      <c r="AG478" s="122"/>
      <c r="AH478" s="122"/>
      <c r="AI478" s="122"/>
    </row>
    <row r="479" spans="1:35" s="120" customFormat="1">
      <c r="A479"/>
      <c r="B479" s="89"/>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122"/>
      <c r="AA479" s="122"/>
      <c r="AB479" s="122"/>
      <c r="AC479" s="122"/>
      <c r="AD479" s="122"/>
      <c r="AE479" s="122"/>
      <c r="AF479" s="122"/>
      <c r="AG479" s="122"/>
      <c r="AH479" s="122"/>
      <c r="AI479" s="122"/>
    </row>
    <row r="480" spans="1:35" s="120" customFormat="1">
      <c r="A480"/>
      <c r="B480" s="89"/>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122"/>
      <c r="AA480" s="122"/>
      <c r="AB480" s="122"/>
      <c r="AC480" s="122"/>
      <c r="AD480" s="122"/>
      <c r="AE480" s="122"/>
      <c r="AF480" s="122"/>
      <c r="AG480" s="122"/>
      <c r="AH480" s="122"/>
      <c r="AI480" s="122"/>
    </row>
    <row r="481" spans="1:35" s="120" customFormat="1">
      <c r="A481"/>
      <c r="B481" s="89"/>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122"/>
      <c r="AA481" s="122"/>
      <c r="AB481" s="122"/>
      <c r="AC481" s="122"/>
      <c r="AD481" s="122"/>
      <c r="AE481" s="122"/>
      <c r="AF481" s="122"/>
      <c r="AG481" s="122"/>
      <c r="AH481" s="122"/>
      <c r="AI481" s="122"/>
    </row>
    <row r="482" spans="1:35" s="120" customFormat="1">
      <c r="A482"/>
      <c r="B482" s="89"/>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122"/>
      <c r="AA482" s="122"/>
      <c r="AB482" s="122"/>
      <c r="AC482" s="122"/>
      <c r="AD482" s="122"/>
      <c r="AE482" s="122"/>
      <c r="AF482" s="122"/>
      <c r="AG482" s="122"/>
      <c r="AH482" s="122"/>
      <c r="AI482" s="122"/>
    </row>
    <row r="483" spans="1:35" s="120" customFormat="1">
      <c r="A483"/>
      <c r="B483" s="89"/>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122"/>
      <c r="AA483" s="122"/>
      <c r="AB483" s="122"/>
      <c r="AC483" s="122"/>
      <c r="AD483" s="122"/>
      <c r="AE483" s="122"/>
      <c r="AF483" s="122"/>
      <c r="AG483" s="122"/>
      <c r="AH483" s="122"/>
      <c r="AI483" s="122"/>
    </row>
    <row r="484" spans="1:35" s="120" customFormat="1">
      <c r="A484"/>
      <c r="B484" s="89"/>
      <c r="C484" s="97"/>
      <c r="D484" s="97"/>
      <c r="E484" s="97"/>
      <c r="F484" s="97"/>
      <c r="G484" s="97"/>
      <c r="H484" s="97"/>
      <c r="I484" s="97"/>
      <c r="J484" s="97"/>
      <c r="K484" s="97"/>
      <c r="L484" s="97"/>
      <c r="M484" s="97"/>
      <c r="N484" s="97"/>
      <c r="O484" s="97"/>
      <c r="P484" s="97"/>
      <c r="Q484" s="97"/>
      <c r="R484" s="97"/>
      <c r="S484" s="97"/>
      <c r="T484" s="97"/>
      <c r="U484" s="97"/>
      <c r="V484" s="122"/>
      <c r="W484" s="122"/>
      <c r="X484" s="122"/>
      <c r="Y484" s="122"/>
      <c r="Z484" s="122"/>
      <c r="AA484" s="122"/>
      <c r="AB484" s="122"/>
      <c r="AC484" s="122"/>
      <c r="AD484" s="122"/>
      <c r="AE484" s="122"/>
      <c r="AF484" s="122"/>
      <c r="AG484" s="122"/>
      <c r="AH484" s="122"/>
      <c r="AI484" s="122"/>
    </row>
    <row r="485" spans="1:35" s="120" customFormat="1">
      <c r="A485"/>
      <c r="B485" s="89"/>
      <c r="C485" s="97"/>
      <c r="D485" s="97"/>
      <c r="E485" s="97"/>
      <c r="F485" s="97"/>
      <c r="G485" s="97"/>
      <c r="H485" s="97"/>
      <c r="I485" s="97"/>
      <c r="J485" s="97"/>
      <c r="K485" s="97"/>
      <c r="L485" s="97"/>
      <c r="M485" s="97"/>
      <c r="N485" s="97"/>
      <c r="O485" s="97"/>
      <c r="P485" s="97"/>
      <c r="Q485" s="97"/>
      <c r="R485" s="97"/>
      <c r="S485" s="97"/>
      <c r="T485" s="97"/>
      <c r="U485" s="97"/>
      <c r="V485" s="122"/>
      <c r="W485" s="122"/>
      <c r="X485" s="122"/>
      <c r="Y485" s="122"/>
      <c r="Z485" s="122"/>
      <c r="AA485" s="122"/>
      <c r="AB485" s="122"/>
      <c r="AC485" s="122"/>
      <c r="AD485" s="122"/>
      <c r="AE485" s="122"/>
      <c r="AF485" s="122"/>
      <c r="AG485" s="122"/>
      <c r="AH485" s="122"/>
      <c r="AI485" s="122"/>
    </row>
    <row r="486" spans="1:35" s="120" customFormat="1">
      <c r="A486"/>
      <c r="B486" s="89"/>
      <c r="C486" s="97"/>
      <c r="D486" s="97"/>
      <c r="E486" s="97"/>
      <c r="F486" s="97"/>
      <c r="G486" s="97"/>
      <c r="H486" s="97"/>
      <c r="I486" s="97"/>
      <c r="J486" s="97"/>
      <c r="K486" s="97"/>
      <c r="L486" s="97"/>
      <c r="M486" s="97"/>
      <c r="N486" s="97"/>
      <c r="O486" s="97"/>
      <c r="P486" s="97"/>
      <c r="Q486" s="97"/>
      <c r="R486" s="97"/>
      <c r="S486" s="97"/>
      <c r="T486" s="97"/>
      <c r="U486" s="97"/>
      <c r="V486" s="122"/>
      <c r="W486" s="122"/>
      <c r="X486" s="122"/>
      <c r="Y486" s="122"/>
      <c r="Z486" s="122"/>
      <c r="AA486" s="122"/>
      <c r="AB486" s="122"/>
      <c r="AC486" s="122"/>
      <c r="AD486" s="122"/>
      <c r="AE486" s="122"/>
      <c r="AF486" s="122"/>
      <c r="AG486" s="122"/>
      <c r="AH486" s="122"/>
      <c r="AI486" s="122"/>
    </row>
    <row r="487" spans="1:35" s="120" customFormat="1">
      <c r="A487"/>
      <c r="B487" s="89"/>
      <c r="C487" s="97"/>
      <c r="D487" s="97"/>
      <c r="E487" s="97"/>
      <c r="F487" s="97"/>
      <c r="G487" s="97"/>
      <c r="H487" s="97"/>
      <c r="I487" s="97"/>
      <c r="J487" s="97"/>
      <c r="K487" s="97"/>
      <c r="L487" s="97"/>
      <c r="M487" s="97"/>
      <c r="N487" s="97"/>
      <c r="O487" s="97"/>
      <c r="P487" s="97"/>
      <c r="Q487" s="97"/>
      <c r="R487" s="97"/>
      <c r="S487" s="97"/>
      <c r="T487" s="97"/>
      <c r="U487" s="97"/>
      <c r="V487" s="122"/>
      <c r="W487" s="122"/>
      <c r="X487" s="122"/>
      <c r="Y487" s="122"/>
      <c r="Z487" s="122"/>
      <c r="AA487" s="122"/>
      <c r="AB487" s="122"/>
      <c r="AC487" s="122"/>
      <c r="AD487" s="122"/>
      <c r="AE487" s="122"/>
      <c r="AF487" s="122"/>
      <c r="AG487" s="122"/>
      <c r="AH487" s="122"/>
      <c r="AI487" s="122"/>
    </row>
    <row r="488" spans="1:35" s="120" customFormat="1">
      <c r="A488"/>
      <c r="B488" s="89"/>
      <c r="C488" s="97"/>
      <c r="D488" s="97"/>
      <c r="E488" s="97"/>
      <c r="F488" s="97"/>
      <c r="G488" s="97"/>
      <c r="H488" s="97"/>
      <c r="I488" s="97"/>
      <c r="J488" s="97"/>
      <c r="K488" s="97"/>
      <c r="L488" s="97"/>
      <c r="M488" s="97"/>
      <c r="N488" s="97"/>
      <c r="O488" s="97"/>
      <c r="P488" s="97"/>
      <c r="Q488" s="97"/>
      <c r="R488" s="97"/>
      <c r="S488" s="97"/>
      <c r="T488" s="97"/>
      <c r="U488" s="97"/>
      <c r="V488" s="122"/>
      <c r="W488" s="122"/>
      <c r="X488" s="122"/>
      <c r="Y488" s="122"/>
      <c r="Z488" s="122"/>
      <c r="AA488" s="122"/>
      <c r="AB488" s="122"/>
      <c r="AC488" s="122"/>
      <c r="AD488" s="122"/>
      <c r="AE488" s="122"/>
      <c r="AF488" s="122"/>
      <c r="AG488" s="122"/>
      <c r="AH488" s="122"/>
      <c r="AI488" s="122"/>
    </row>
    <row r="489" spans="1:35" s="120" customFormat="1">
      <c r="A489"/>
      <c r="B489" s="89"/>
      <c r="C489" s="97"/>
      <c r="D489" s="97"/>
      <c r="E489" s="97"/>
      <c r="F489" s="97"/>
      <c r="G489" s="97"/>
      <c r="H489" s="97"/>
      <c r="I489" s="97"/>
      <c r="J489" s="97"/>
      <c r="K489" s="97"/>
      <c r="L489" s="97"/>
      <c r="M489" s="97"/>
      <c r="N489" s="97"/>
      <c r="O489" s="97"/>
      <c r="P489" s="97"/>
      <c r="Q489" s="97"/>
      <c r="R489" s="97"/>
      <c r="S489" s="97"/>
      <c r="T489" s="97"/>
      <c r="U489" s="97"/>
      <c r="V489" s="122"/>
      <c r="W489" s="122"/>
      <c r="X489" s="122"/>
      <c r="Y489" s="122"/>
      <c r="Z489" s="122"/>
      <c r="AA489" s="122"/>
      <c r="AB489" s="122"/>
      <c r="AC489" s="122"/>
      <c r="AD489" s="122"/>
      <c r="AE489" s="122"/>
      <c r="AF489" s="122"/>
      <c r="AG489" s="122"/>
      <c r="AH489" s="122"/>
      <c r="AI489" s="122"/>
    </row>
    <row r="490" spans="1:35" s="120" customFormat="1">
      <c r="A490"/>
      <c r="B490" s="89"/>
      <c r="C490" s="97"/>
      <c r="D490" s="97"/>
      <c r="E490" s="97"/>
      <c r="F490" s="97"/>
      <c r="G490" s="97"/>
      <c r="H490" s="97"/>
      <c r="I490" s="97"/>
      <c r="J490" s="97"/>
      <c r="K490" s="97"/>
      <c r="L490" s="97"/>
      <c r="M490" s="97"/>
      <c r="N490" s="97"/>
      <c r="O490" s="97"/>
      <c r="P490" s="97"/>
      <c r="Q490" s="97"/>
      <c r="R490" s="97"/>
      <c r="S490" s="97"/>
      <c r="T490" s="97"/>
      <c r="U490" s="97"/>
      <c r="V490" s="122"/>
      <c r="W490" s="122"/>
      <c r="X490" s="122"/>
      <c r="Y490" s="122"/>
      <c r="Z490" s="122"/>
      <c r="AA490" s="122"/>
      <c r="AB490" s="122"/>
      <c r="AC490" s="122"/>
      <c r="AD490" s="122"/>
      <c r="AE490" s="122"/>
      <c r="AF490" s="122"/>
      <c r="AG490" s="122"/>
      <c r="AH490" s="122"/>
      <c r="AI490" s="122"/>
    </row>
    <row r="491" spans="1:35" s="120" customFormat="1">
      <c r="A491"/>
      <c r="B491" s="89"/>
      <c r="C491" s="97"/>
      <c r="D491" s="97"/>
      <c r="E491" s="97"/>
      <c r="F491" s="97"/>
      <c r="G491" s="97"/>
      <c r="H491" s="97"/>
      <c r="I491" s="97"/>
      <c r="J491" s="97"/>
      <c r="K491" s="97"/>
      <c r="L491" s="97"/>
      <c r="M491" s="97"/>
      <c r="N491" s="97"/>
      <c r="O491" s="97"/>
      <c r="P491" s="97"/>
      <c r="Q491" s="97"/>
      <c r="R491" s="97"/>
      <c r="S491" s="97"/>
      <c r="T491" s="97"/>
      <c r="U491" s="97"/>
      <c r="V491" s="122"/>
      <c r="W491" s="122"/>
      <c r="X491" s="122"/>
      <c r="Y491" s="122"/>
      <c r="Z491" s="122"/>
      <c r="AA491" s="122"/>
      <c r="AB491" s="122"/>
      <c r="AC491" s="122"/>
      <c r="AD491" s="122"/>
      <c r="AE491" s="122"/>
      <c r="AF491" s="122"/>
      <c r="AG491" s="122"/>
      <c r="AH491" s="122"/>
      <c r="AI491" s="122"/>
    </row>
    <row r="492" spans="1:35" s="120" customFormat="1">
      <c r="A492"/>
      <c r="B492" s="89"/>
      <c r="C492" s="97"/>
      <c r="D492" s="97"/>
      <c r="E492" s="97"/>
      <c r="F492" s="97"/>
      <c r="G492" s="97"/>
      <c r="H492" s="97"/>
      <c r="I492" s="97"/>
      <c r="J492" s="97"/>
      <c r="K492" s="97"/>
      <c r="L492" s="97"/>
      <c r="M492" s="97"/>
      <c r="N492" s="97"/>
      <c r="O492" s="97"/>
      <c r="P492" s="97"/>
      <c r="Q492" s="97"/>
      <c r="R492" s="97"/>
      <c r="S492" s="97"/>
      <c r="T492" s="97"/>
      <c r="U492" s="97"/>
      <c r="V492" s="122"/>
      <c r="W492" s="122"/>
      <c r="X492" s="122"/>
      <c r="Y492" s="122"/>
      <c r="Z492" s="122"/>
      <c r="AA492" s="122"/>
      <c r="AB492" s="122"/>
      <c r="AC492" s="122"/>
      <c r="AD492" s="122"/>
      <c r="AE492" s="122"/>
      <c r="AF492" s="122"/>
      <c r="AG492" s="122"/>
      <c r="AH492" s="122"/>
      <c r="AI492" s="122"/>
    </row>
    <row r="493" spans="1:35" s="120" customFormat="1">
      <c r="A493"/>
      <c r="B493" s="89"/>
      <c r="C493" s="97"/>
      <c r="D493" s="97"/>
      <c r="E493" s="97"/>
      <c r="F493" s="97"/>
      <c r="G493" s="97"/>
      <c r="H493" s="97"/>
      <c r="I493" s="97"/>
      <c r="J493" s="97"/>
      <c r="K493" s="97"/>
      <c r="L493" s="97"/>
      <c r="M493" s="97"/>
      <c r="N493" s="97"/>
      <c r="O493" s="97"/>
      <c r="P493" s="97"/>
      <c r="Q493" s="97"/>
      <c r="R493" s="97"/>
      <c r="S493" s="97"/>
      <c r="T493" s="97"/>
      <c r="U493" s="97"/>
      <c r="V493" s="122"/>
      <c r="W493" s="122"/>
      <c r="X493" s="122"/>
      <c r="Y493" s="122"/>
      <c r="Z493" s="122"/>
      <c r="AA493" s="122"/>
      <c r="AB493" s="122"/>
      <c r="AC493" s="122"/>
      <c r="AD493" s="122"/>
      <c r="AE493" s="122"/>
      <c r="AF493" s="122"/>
      <c r="AG493" s="122"/>
      <c r="AH493" s="122"/>
      <c r="AI493" s="122"/>
    </row>
    <row r="494" spans="1:35" s="120" customFormat="1">
      <c r="A494"/>
      <c r="B494" s="89"/>
      <c r="C494" s="97"/>
      <c r="D494" s="97"/>
      <c r="E494" s="97"/>
      <c r="F494" s="97"/>
      <c r="G494" s="97"/>
      <c r="H494" s="97"/>
      <c r="I494" s="97"/>
      <c r="J494" s="97"/>
      <c r="K494" s="97"/>
      <c r="L494" s="97"/>
      <c r="M494" s="97"/>
      <c r="N494" s="97"/>
      <c r="O494" s="97"/>
      <c r="P494" s="97"/>
      <c r="Q494" s="97"/>
      <c r="R494" s="97"/>
      <c r="S494" s="97"/>
      <c r="T494" s="97"/>
      <c r="U494" s="97"/>
      <c r="V494" s="122"/>
      <c r="W494" s="122"/>
      <c r="X494" s="122"/>
      <c r="Y494" s="122"/>
      <c r="Z494" s="122"/>
      <c r="AA494" s="122"/>
      <c r="AB494" s="122"/>
      <c r="AC494" s="122"/>
      <c r="AD494" s="122"/>
      <c r="AE494" s="122"/>
      <c r="AF494" s="122"/>
      <c r="AG494" s="122"/>
      <c r="AH494" s="122"/>
      <c r="AI494" s="122"/>
    </row>
    <row r="495" spans="1:35" s="120" customFormat="1">
      <c r="A495"/>
      <c r="B495" s="89"/>
      <c r="C495" s="97"/>
      <c r="D495" s="97"/>
      <c r="E495" s="97"/>
      <c r="F495" s="97"/>
      <c r="G495" s="97"/>
      <c r="H495" s="97"/>
      <c r="I495" s="97"/>
      <c r="J495" s="97"/>
      <c r="K495" s="97"/>
      <c r="L495" s="97"/>
      <c r="M495" s="97"/>
      <c r="N495" s="97"/>
      <c r="O495" s="97"/>
      <c r="P495" s="97"/>
      <c r="Q495" s="97"/>
      <c r="R495" s="97"/>
      <c r="S495" s="97"/>
      <c r="T495" s="97"/>
      <c r="U495" s="97"/>
      <c r="V495" s="122"/>
      <c r="W495" s="122"/>
      <c r="X495" s="122"/>
      <c r="Y495" s="122"/>
      <c r="Z495" s="122"/>
      <c r="AA495" s="122"/>
      <c r="AB495" s="122"/>
      <c r="AC495" s="122"/>
      <c r="AD495" s="122"/>
      <c r="AE495" s="122"/>
      <c r="AF495" s="122"/>
      <c r="AG495" s="122"/>
      <c r="AH495" s="122"/>
      <c r="AI495" s="122"/>
    </row>
    <row r="496" spans="1:35" s="120" customFormat="1">
      <c r="A496"/>
      <c r="B496" s="89"/>
      <c r="C496" s="97"/>
      <c r="D496" s="97"/>
      <c r="E496" s="97"/>
      <c r="F496" s="97"/>
      <c r="G496" s="97"/>
      <c r="H496" s="97"/>
      <c r="I496" s="97"/>
      <c r="J496" s="97"/>
      <c r="K496" s="97"/>
      <c r="L496" s="97"/>
      <c r="M496" s="97"/>
      <c r="N496" s="97"/>
      <c r="O496" s="97"/>
      <c r="P496" s="97"/>
      <c r="Q496" s="97"/>
      <c r="R496" s="97"/>
      <c r="S496" s="97"/>
      <c r="T496" s="97"/>
      <c r="U496" s="97"/>
      <c r="V496" s="122"/>
      <c r="W496" s="122"/>
      <c r="X496" s="122"/>
      <c r="Y496" s="122"/>
      <c r="Z496" s="122"/>
      <c r="AA496" s="122"/>
      <c r="AB496" s="122"/>
      <c r="AC496" s="122"/>
      <c r="AD496" s="122"/>
      <c r="AE496" s="122"/>
      <c r="AF496" s="122"/>
      <c r="AG496" s="122"/>
      <c r="AH496" s="122"/>
      <c r="AI496" s="122"/>
    </row>
    <row r="497" spans="1:35" s="120" customFormat="1">
      <c r="A497"/>
      <c r="B497" s="89"/>
      <c r="C497" s="97"/>
      <c r="D497" s="97"/>
      <c r="E497" s="97"/>
      <c r="F497" s="97"/>
      <c r="G497" s="97"/>
      <c r="H497" s="97"/>
      <c r="I497" s="97"/>
      <c r="J497" s="97"/>
      <c r="K497" s="97"/>
      <c r="L497" s="97"/>
      <c r="M497" s="97"/>
      <c r="N497" s="97"/>
      <c r="O497" s="97"/>
      <c r="P497" s="97"/>
      <c r="Q497" s="97"/>
      <c r="R497" s="97"/>
      <c r="S497" s="97"/>
      <c r="T497" s="97"/>
      <c r="U497" s="97"/>
      <c r="V497" s="122"/>
      <c r="W497" s="122"/>
      <c r="X497" s="122"/>
      <c r="Y497" s="122"/>
      <c r="Z497" s="122"/>
      <c r="AA497" s="122"/>
      <c r="AB497" s="122"/>
      <c r="AC497" s="122"/>
      <c r="AD497" s="122"/>
      <c r="AE497" s="122"/>
      <c r="AF497" s="122"/>
      <c r="AG497" s="122"/>
      <c r="AH497" s="122"/>
      <c r="AI497" s="122"/>
    </row>
    <row r="498" spans="1:35" s="120" customFormat="1">
      <c r="A498"/>
      <c r="B498" s="89"/>
      <c r="C498" s="97"/>
      <c r="D498" s="97"/>
      <c r="E498" s="97"/>
      <c r="F498" s="97"/>
      <c r="G498" s="97"/>
      <c r="H498" s="97"/>
      <c r="I498" s="97"/>
      <c r="J498" s="97"/>
      <c r="K498" s="97"/>
      <c r="L498" s="97"/>
      <c r="M498" s="97"/>
      <c r="N498" s="97"/>
      <c r="O498" s="97"/>
      <c r="P498" s="97"/>
      <c r="Q498" s="97"/>
      <c r="R498" s="97"/>
      <c r="S498" s="97"/>
      <c r="T498" s="97"/>
      <c r="U498" s="97"/>
      <c r="V498" s="122"/>
      <c r="W498" s="122"/>
      <c r="X498" s="122"/>
      <c r="Y498" s="122"/>
      <c r="Z498" s="122"/>
      <c r="AA498" s="122"/>
      <c r="AB498" s="122"/>
      <c r="AC498" s="122"/>
      <c r="AD498" s="122"/>
      <c r="AE498" s="122"/>
      <c r="AF498" s="122"/>
      <c r="AG498" s="122"/>
      <c r="AH498" s="122"/>
      <c r="AI498" s="122"/>
    </row>
    <row r="499" spans="1:35" s="120" customFormat="1">
      <c r="A499"/>
      <c r="B499" s="89"/>
      <c r="C499" s="97"/>
      <c r="D499" s="97"/>
      <c r="E499" s="97"/>
      <c r="F499" s="97"/>
      <c r="G499" s="97"/>
      <c r="H499" s="97"/>
      <c r="I499" s="97"/>
      <c r="J499" s="97"/>
      <c r="K499" s="97"/>
      <c r="L499" s="97"/>
      <c r="M499" s="97"/>
      <c r="N499" s="97"/>
      <c r="O499" s="97"/>
      <c r="P499" s="97"/>
      <c r="Q499" s="97"/>
      <c r="R499" s="97"/>
      <c r="S499" s="97"/>
      <c r="T499" s="97"/>
      <c r="U499" s="97"/>
      <c r="V499" s="122"/>
      <c r="W499" s="122"/>
      <c r="X499" s="122"/>
      <c r="Y499" s="122"/>
      <c r="Z499" s="122"/>
      <c r="AA499" s="122"/>
      <c r="AB499" s="122"/>
      <c r="AC499" s="122"/>
      <c r="AD499" s="122"/>
      <c r="AE499" s="122"/>
      <c r="AF499" s="122"/>
      <c r="AG499" s="122"/>
      <c r="AH499" s="122"/>
      <c r="AI499" s="122"/>
    </row>
    <row r="500" spans="1:35" s="120" customFormat="1">
      <c r="A500"/>
      <c r="B500" s="89"/>
      <c r="C500" s="97"/>
      <c r="D500" s="97"/>
      <c r="E500" s="97"/>
      <c r="F500" s="97"/>
      <c r="G500" s="97"/>
      <c r="H500" s="97"/>
      <c r="I500" s="97"/>
      <c r="J500" s="97"/>
      <c r="K500" s="97"/>
      <c r="L500" s="97"/>
      <c r="M500" s="97"/>
      <c r="N500" s="97"/>
      <c r="O500" s="97"/>
      <c r="P500" s="97"/>
      <c r="Q500" s="97"/>
      <c r="R500" s="97"/>
      <c r="S500" s="97"/>
      <c r="T500" s="97"/>
      <c r="U500" s="97"/>
      <c r="V500" s="122"/>
      <c r="W500" s="122"/>
      <c r="X500" s="122"/>
      <c r="Y500" s="122"/>
      <c r="Z500" s="122"/>
      <c r="AA500" s="122"/>
      <c r="AB500" s="122"/>
      <c r="AC500" s="122"/>
      <c r="AD500" s="122"/>
      <c r="AE500" s="122"/>
      <c r="AF500" s="122"/>
      <c r="AG500" s="122"/>
      <c r="AH500" s="122"/>
      <c r="AI500" s="122"/>
    </row>
    <row r="501" spans="1:35" s="120" customFormat="1">
      <c r="A501"/>
      <c r="B501" s="89"/>
      <c r="C501" s="97"/>
      <c r="D501" s="97"/>
      <c r="E501" s="97"/>
      <c r="F501" s="97"/>
      <c r="G501" s="97"/>
      <c r="H501" s="97"/>
      <c r="I501" s="97"/>
      <c r="J501" s="97"/>
      <c r="K501" s="97"/>
      <c r="L501" s="97"/>
      <c r="M501" s="97"/>
      <c r="N501" s="97"/>
      <c r="O501" s="97"/>
      <c r="P501" s="97"/>
      <c r="Q501" s="97"/>
      <c r="R501" s="97"/>
      <c r="S501" s="97"/>
      <c r="T501" s="97"/>
      <c r="U501" s="97"/>
      <c r="V501" s="122"/>
      <c r="W501" s="122"/>
      <c r="X501" s="122"/>
      <c r="Y501" s="122"/>
      <c r="Z501" s="122"/>
      <c r="AA501" s="122"/>
      <c r="AB501" s="122"/>
      <c r="AC501" s="122"/>
      <c r="AD501" s="122"/>
      <c r="AE501" s="122"/>
      <c r="AF501" s="122"/>
      <c r="AG501" s="122"/>
      <c r="AH501" s="122"/>
      <c r="AI501" s="122"/>
    </row>
    <row r="502" spans="1:35" s="120" customFormat="1">
      <c r="A502"/>
      <c r="B502" s="89"/>
      <c r="C502" s="97"/>
      <c r="D502" s="97"/>
      <c r="E502" s="97"/>
      <c r="F502" s="97"/>
      <c r="G502" s="97"/>
      <c r="H502" s="97"/>
      <c r="I502" s="97"/>
      <c r="J502" s="97"/>
      <c r="K502" s="97"/>
      <c r="L502" s="97"/>
      <c r="M502" s="97"/>
      <c r="N502" s="97"/>
      <c r="O502" s="97"/>
      <c r="P502" s="97"/>
      <c r="Q502" s="97"/>
      <c r="R502" s="97"/>
      <c r="S502" s="97"/>
      <c r="T502" s="97"/>
      <c r="U502" s="97"/>
      <c r="V502" s="122"/>
      <c r="W502" s="122"/>
      <c r="X502" s="122"/>
      <c r="Y502" s="122"/>
      <c r="Z502" s="122"/>
      <c r="AA502" s="122"/>
      <c r="AB502" s="122"/>
      <c r="AC502" s="122"/>
      <c r="AD502" s="122"/>
      <c r="AE502" s="122"/>
      <c r="AF502" s="122"/>
      <c r="AG502" s="122"/>
      <c r="AH502" s="122"/>
      <c r="AI502" s="122"/>
    </row>
    <row r="503" spans="1:35">
      <c r="A503"/>
      <c r="B503" s="89"/>
      <c r="C503" s="97"/>
      <c r="D503" s="97"/>
      <c r="E503" s="97"/>
      <c r="F503" s="97"/>
      <c r="G503" s="97"/>
      <c r="H503" s="97"/>
      <c r="I503" s="97"/>
      <c r="J503" s="97"/>
      <c r="K503" s="97"/>
      <c r="L503" s="97"/>
      <c r="M503" s="97"/>
      <c r="N503" s="97"/>
      <c r="O503" s="97"/>
      <c r="P503" s="97"/>
      <c r="Q503" s="97"/>
      <c r="R503" s="97"/>
      <c r="S503" s="97"/>
      <c r="T503" s="97"/>
      <c r="U503" s="97"/>
    </row>
    <row r="504" spans="1:35">
      <c r="A504"/>
      <c r="B504" s="89"/>
      <c r="C504" s="97"/>
      <c r="D504" s="97"/>
      <c r="E504" s="97"/>
      <c r="F504" s="97"/>
      <c r="G504" s="97"/>
      <c r="H504" s="97"/>
      <c r="I504" s="97"/>
      <c r="J504" s="97"/>
      <c r="K504" s="97"/>
      <c r="L504" s="97"/>
      <c r="M504" s="97"/>
      <c r="N504" s="97"/>
      <c r="O504" s="97"/>
      <c r="P504" s="97"/>
      <c r="Q504" s="97"/>
      <c r="R504" s="97"/>
      <c r="S504" s="97"/>
      <c r="T504" s="97"/>
      <c r="U504" s="97"/>
    </row>
    <row r="505" spans="1:35">
      <c r="A505"/>
      <c r="B505" s="89"/>
      <c r="C505" s="97"/>
      <c r="D505" s="97"/>
      <c r="E505" s="97"/>
      <c r="F505" s="97"/>
      <c r="G505" s="97"/>
      <c r="H505" s="97"/>
      <c r="I505" s="97"/>
      <c r="J505" s="97"/>
      <c r="K505" s="97"/>
      <c r="L505" s="97"/>
      <c r="M505" s="97"/>
      <c r="N505" s="97"/>
      <c r="O505" s="97"/>
      <c r="P505" s="97"/>
      <c r="Q505" s="97"/>
      <c r="R505" s="97"/>
      <c r="S505" s="97"/>
      <c r="T505" s="97"/>
      <c r="U505" s="97"/>
    </row>
    <row r="506" spans="1:35">
      <c r="A506"/>
      <c r="B506" s="89"/>
      <c r="C506" s="97"/>
      <c r="D506" s="97"/>
      <c r="E506" s="97"/>
      <c r="F506" s="97"/>
      <c r="G506" s="97"/>
      <c r="H506" s="97"/>
      <c r="I506" s="97"/>
      <c r="J506" s="97"/>
      <c r="K506" s="97"/>
      <c r="L506" s="97"/>
      <c r="M506" s="97"/>
      <c r="N506" s="97"/>
      <c r="O506" s="97"/>
      <c r="P506" s="97"/>
      <c r="Q506" s="97"/>
      <c r="R506" s="97"/>
      <c r="S506" s="97"/>
      <c r="T506" s="97"/>
      <c r="U506" s="97"/>
    </row>
    <row r="507" spans="1:35">
      <c r="A507"/>
      <c r="B507" s="89"/>
      <c r="C507" s="97"/>
      <c r="D507" s="97"/>
      <c r="E507" s="97"/>
      <c r="F507" s="97"/>
      <c r="G507" s="97"/>
      <c r="H507" s="97"/>
      <c r="I507" s="97"/>
      <c r="J507" s="97"/>
      <c r="K507" s="97"/>
      <c r="L507" s="97"/>
      <c r="M507" s="97"/>
      <c r="N507" s="97"/>
      <c r="O507" s="97"/>
      <c r="P507" s="97"/>
      <c r="Q507" s="97"/>
      <c r="R507" s="97"/>
      <c r="S507" s="97"/>
      <c r="T507" s="97"/>
      <c r="U507" s="97"/>
    </row>
    <row r="508" spans="1:35">
      <c r="A508"/>
      <c r="B508" s="89"/>
      <c r="C508" s="97"/>
      <c r="D508" s="97"/>
      <c r="E508" s="97"/>
      <c r="F508" s="97"/>
      <c r="G508" s="97"/>
      <c r="H508" s="97"/>
      <c r="I508" s="97"/>
      <c r="J508" s="97"/>
      <c r="K508" s="97"/>
      <c r="L508" s="97"/>
      <c r="M508" s="97"/>
      <c r="N508" s="97"/>
      <c r="O508" s="97"/>
      <c r="P508" s="97"/>
      <c r="Q508" s="97"/>
      <c r="R508" s="97"/>
      <c r="S508" s="97"/>
      <c r="T508" s="97"/>
      <c r="U508" s="97"/>
    </row>
    <row r="509" spans="1:35">
      <c r="A509"/>
      <c r="B509" s="89"/>
      <c r="C509" s="97"/>
      <c r="D509" s="97"/>
      <c r="E509" s="97"/>
      <c r="F509" s="97"/>
      <c r="G509" s="97"/>
      <c r="H509" s="97"/>
      <c r="I509" s="97"/>
      <c r="J509" s="97"/>
      <c r="K509" s="97"/>
      <c r="L509" s="97"/>
      <c r="M509" s="97"/>
      <c r="N509" s="97"/>
      <c r="O509" s="97"/>
      <c r="P509" s="97"/>
      <c r="Q509" s="97"/>
      <c r="R509" s="97"/>
      <c r="S509" s="97"/>
      <c r="T509" s="97"/>
      <c r="U509" s="97"/>
    </row>
    <row r="510" spans="1:35">
      <c r="A510"/>
      <c r="B510" s="89"/>
      <c r="C510" s="97"/>
      <c r="D510" s="97"/>
      <c r="E510" s="97"/>
      <c r="F510" s="97"/>
      <c r="G510" s="97"/>
      <c r="H510" s="97"/>
      <c r="I510" s="97"/>
      <c r="J510" s="97"/>
      <c r="K510" s="97"/>
      <c r="L510" s="97"/>
      <c r="M510" s="97"/>
      <c r="N510" s="97"/>
      <c r="O510" s="97"/>
      <c r="P510" s="97"/>
      <c r="Q510" s="97"/>
      <c r="R510" s="97"/>
      <c r="S510" s="97"/>
      <c r="T510" s="97"/>
      <c r="U510" s="97"/>
    </row>
    <row r="511" spans="1:35">
      <c r="A511"/>
      <c r="B511" s="89"/>
      <c r="C511" s="97"/>
      <c r="D511" s="97"/>
      <c r="E511" s="97"/>
      <c r="F511" s="97"/>
      <c r="G511" s="97"/>
      <c r="H511" s="97"/>
      <c r="I511" s="97"/>
      <c r="J511" s="97"/>
      <c r="K511" s="97"/>
      <c r="L511" s="97"/>
      <c r="M511" s="97"/>
      <c r="N511" s="97"/>
      <c r="O511" s="97"/>
      <c r="P511" s="97"/>
      <c r="Q511" s="97"/>
      <c r="R511" s="97"/>
      <c r="S511" s="97"/>
      <c r="T511" s="97"/>
      <c r="U511" s="97"/>
    </row>
    <row r="512" spans="1:35">
      <c r="A512"/>
      <c r="B512" s="89"/>
      <c r="C512" s="97"/>
      <c r="D512" s="97"/>
      <c r="E512" s="97"/>
      <c r="F512" s="97"/>
      <c r="G512" s="97"/>
      <c r="H512" s="97"/>
      <c r="I512" s="97"/>
      <c r="J512" s="97"/>
      <c r="K512" s="97"/>
      <c r="L512" s="97"/>
      <c r="M512" s="97"/>
      <c r="N512" s="97"/>
      <c r="O512" s="97"/>
      <c r="P512" s="97"/>
      <c r="Q512" s="97"/>
      <c r="R512" s="97"/>
      <c r="S512" s="97"/>
      <c r="T512" s="97"/>
      <c r="U512" s="97"/>
    </row>
    <row r="513" spans="1:21">
      <c r="A513"/>
      <c r="B513" s="89"/>
      <c r="C513" s="97"/>
      <c r="D513" s="97"/>
      <c r="E513" s="97"/>
      <c r="F513" s="97"/>
      <c r="G513" s="97"/>
      <c r="H513" s="97"/>
      <c r="I513" s="97"/>
      <c r="J513" s="97"/>
      <c r="K513" s="97"/>
      <c r="L513" s="97"/>
      <c r="M513" s="97"/>
      <c r="N513" s="97"/>
      <c r="O513" s="97"/>
      <c r="P513" s="97"/>
      <c r="Q513" s="97"/>
      <c r="R513" s="97"/>
      <c r="S513" s="97"/>
      <c r="T513" s="97"/>
      <c r="U513" s="97"/>
    </row>
    <row r="514" spans="1:21">
      <c r="A514"/>
      <c r="B514" s="89"/>
      <c r="C514" s="97"/>
      <c r="D514" s="97"/>
      <c r="E514" s="97"/>
      <c r="F514" s="97"/>
      <c r="G514" s="97"/>
      <c r="H514" s="97"/>
      <c r="I514" s="97"/>
      <c r="J514" s="97"/>
      <c r="K514" s="97"/>
      <c r="L514" s="97"/>
      <c r="M514" s="97"/>
      <c r="N514" s="97"/>
      <c r="O514" s="97"/>
      <c r="P514" s="97"/>
      <c r="Q514" s="97"/>
      <c r="R514" s="97"/>
      <c r="S514" s="97"/>
      <c r="T514" s="97"/>
      <c r="U514" s="97"/>
    </row>
    <row r="515" spans="1:21">
      <c r="A515"/>
      <c r="B515" s="89"/>
      <c r="C515" s="97"/>
      <c r="D515" s="97"/>
      <c r="E515" s="97"/>
      <c r="F515" s="97"/>
      <c r="G515" s="97"/>
      <c r="H515" s="97"/>
      <c r="I515" s="97"/>
      <c r="J515" s="97"/>
      <c r="K515" s="97"/>
      <c r="L515" s="97"/>
      <c r="M515" s="97"/>
      <c r="N515" s="97"/>
      <c r="O515" s="97"/>
      <c r="P515" s="97"/>
      <c r="Q515" s="97"/>
      <c r="R515" s="97"/>
      <c r="S515" s="97"/>
      <c r="T515" s="97"/>
      <c r="U515" s="97"/>
    </row>
    <row r="516" spans="1:21">
      <c r="A516"/>
      <c r="B516" s="89"/>
      <c r="C516" s="97"/>
      <c r="D516" s="97"/>
      <c r="E516" s="97"/>
      <c r="F516" s="97"/>
      <c r="G516" s="97"/>
      <c r="H516" s="97"/>
      <c r="I516" s="97"/>
      <c r="J516" s="97"/>
      <c r="K516" s="97"/>
      <c r="L516" s="97"/>
      <c r="M516" s="97"/>
      <c r="N516" s="97"/>
      <c r="O516" s="97"/>
      <c r="P516" s="97"/>
      <c r="Q516" s="97"/>
      <c r="R516" s="97"/>
      <c r="S516" s="97"/>
      <c r="T516" s="97"/>
      <c r="U516" s="97"/>
    </row>
    <row r="517" spans="1:21">
      <c r="A517"/>
      <c r="B517" s="89"/>
      <c r="C517" s="97"/>
      <c r="D517" s="97"/>
      <c r="E517" s="97"/>
      <c r="F517" s="97"/>
      <c r="G517" s="97"/>
      <c r="H517" s="97"/>
      <c r="I517" s="97"/>
      <c r="J517" s="97"/>
      <c r="K517" s="97"/>
      <c r="L517" s="97"/>
      <c r="M517" s="97"/>
      <c r="N517" s="97"/>
      <c r="O517" s="97"/>
      <c r="P517" s="97"/>
      <c r="Q517" s="97"/>
      <c r="R517" s="97"/>
      <c r="S517" s="97"/>
      <c r="T517" s="97"/>
      <c r="U517" s="97"/>
    </row>
    <row r="518" spans="1:21">
      <c r="A518"/>
      <c r="B518" s="89"/>
      <c r="C518" s="97"/>
      <c r="D518" s="97"/>
      <c r="E518" s="97"/>
      <c r="F518" s="97"/>
      <c r="G518" s="97"/>
      <c r="H518" s="97"/>
      <c r="I518" s="97"/>
      <c r="J518" s="97"/>
      <c r="K518" s="97"/>
      <c r="L518" s="97"/>
      <c r="M518" s="97"/>
      <c r="N518" s="97"/>
      <c r="O518" s="97"/>
      <c r="P518" s="97"/>
      <c r="Q518" s="97"/>
      <c r="R518" s="97"/>
      <c r="S518" s="97"/>
      <c r="T518" s="97"/>
      <c r="U518" s="97"/>
    </row>
    <row r="519" spans="1:21">
      <c r="A519"/>
      <c r="B519" s="89"/>
      <c r="C519" s="97"/>
      <c r="D519" s="97"/>
      <c r="E519" s="97"/>
      <c r="F519" s="97"/>
      <c r="G519" s="97"/>
      <c r="H519" s="97"/>
      <c r="I519" s="97"/>
      <c r="J519" s="97"/>
      <c r="K519" s="97"/>
      <c r="L519" s="97"/>
      <c r="M519" s="97"/>
      <c r="N519" s="97"/>
      <c r="O519" s="97"/>
      <c r="P519" s="97"/>
      <c r="Q519" s="97"/>
      <c r="R519" s="97"/>
      <c r="S519" s="97"/>
      <c r="T519" s="97"/>
      <c r="U519" s="97"/>
    </row>
    <row r="520" spans="1:21">
      <c r="A520"/>
      <c r="B520" s="89"/>
      <c r="C520" s="97"/>
      <c r="D520" s="97"/>
      <c r="E520" s="97"/>
      <c r="F520" s="97"/>
      <c r="G520" s="97"/>
      <c r="H520" s="97"/>
      <c r="I520" s="97"/>
      <c r="J520" s="97"/>
      <c r="K520" s="97"/>
      <c r="L520" s="97"/>
      <c r="M520" s="97"/>
      <c r="N520" s="97"/>
      <c r="O520" s="97"/>
      <c r="P520" s="97"/>
      <c r="Q520" s="97"/>
      <c r="R520" s="97"/>
      <c r="S520" s="97"/>
      <c r="T520" s="97"/>
      <c r="U520" s="97"/>
    </row>
    <row r="521" spans="1:21">
      <c r="A521"/>
      <c r="B521" s="89"/>
      <c r="C521" s="97"/>
      <c r="D521" s="97"/>
      <c r="E521" s="97"/>
      <c r="F521" s="97"/>
      <c r="G521" s="97"/>
      <c r="H521" s="97"/>
      <c r="I521" s="97"/>
      <c r="J521" s="97"/>
      <c r="K521" s="97"/>
      <c r="L521" s="97"/>
      <c r="M521" s="97"/>
      <c r="N521" s="97"/>
      <c r="O521" s="97"/>
      <c r="P521" s="97"/>
      <c r="Q521" s="97"/>
      <c r="R521" s="97"/>
      <c r="S521" s="97"/>
      <c r="T521" s="97"/>
      <c r="U521" s="97"/>
    </row>
    <row r="522" spans="1:21">
      <c r="A522"/>
      <c r="B522" s="89"/>
      <c r="C522" s="97"/>
      <c r="D522" s="97"/>
      <c r="E522" s="97"/>
      <c r="F522" s="97"/>
      <c r="G522" s="97"/>
      <c r="H522" s="97"/>
      <c r="I522" s="97"/>
      <c r="J522" s="97"/>
      <c r="K522" s="97"/>
      <c r="L522" s="97"/>
      <c r="M522" s="97"/>
      <c r="N522" s="97"/>
      <c r="O522" s="97"/>
      <c r="P522" s="97"/>
      <c r="Q522" s="97"/>
      <c r="R522" s="97"/>
      <c r="S522" s="97"/>
      <c r="T522" s="97"/>
      <c r="U522" s="97"/>
    </row>
    <row r="523" spans="1:21">
      <c r="A523"/>
      <c r="B523" s="89"/>
      <c r="C523" s="97"/>
      <c r="D523" s="97"/>
      <c r="E523" s="97"/>
      <c r="F523" s="97"/>
      <c r="G523" s="97"/>
      <c r="H523" s="97"/>
      <c r="I523" s="97"/>
      <c r="J523" s="97"/>
      <c r="K523" s="97"/>
      <c r="L523" s="97"/>
      <c r="M523" s="97"/>
      <c r="N523" s="97"/>
      <c r="O523" s="97"/>
      <c r="P523" s="97"/>
      <c r="Q523" s="97"/>
      <c r="R523" s="97"/>
      <c r="S523" s="97"/>
      <c r="T523" s="97"/>
      <c r="U523" s="97"/>
    </row>
    <row r="524" spans="1:21">
      <c r="A524"/>
      <c r="B524" s="89"/>
      <c r="C524" s="97"/>
      <c r="D524" s="97"/>
      <c r="E524" s="97"/>
      <c r="F524" s="97"/>
      <c r="G524" s="97"/>
      <c r="H524" s="97"/>
      <c r="I524" s="97"/>
      <c r="J524" s="97"/>
      <c r="K524" s="97"/>
      <c r="L524" s="97"/>
      <c r="M524" s="97"/>
      <c r="N524" s="97"/>
      <c r="O524" s="97"/>
      <c r="P524" s="97"/>
      <c r="Q524" s="97"/>
      <c r="R524" s="97"/>
      <c r="S524" s="97"/>
      <c r="T524" s="97"/>
      <c r="U524" s="97"/>
    </row>
    <row r="525" spans="1:21">
      <c r="A525"/>
      <c r="B525" s="89"/>
      <c r="C525" s="97"/>
      <c r="D525" s="97"/>
      <c r="E525" s="97"/>
      <c r="F525" s="97"/>
      <c r="G525" s="97"/>
      <c r="H525" s="97"/>
      <c r="I525" s="97"/>
      <c r="J525" s="97"/>
      <c r="K525" s="97"/>
      <c r="L525" s="97"/>
      <c r="M525" s="97"/>
      <c r="N525" s="97"/>
      <c r="O525" s="97"/>
      <c r="P525" s="97"/>
      <c r="Q525" s="97"/>
      <c r="R525" s="97"/>
      <c r="S525" s="97"/>
      <c r="T525" s="97"/>
      <c r="U525" s="97"/>
    </row>
    <row r="526" spans="1:21">
      <c r="A526"/>
      <c r="B526" s="89"/>
      <c r="C526" s="97"/>
      <c r="D526" s="97"/>
      <c r="E526" s="97"/>
      <c r="F526" s="97"/>
      <c r="G526" s="97"/>
      <c r="H526" s="97"/>
      <c r="I526" s="97"/>
      <c r="J526" s="97"/>
      <c r="K526" s="97"/>
      <c r="L526" s="97"/>
      <c r="M526" s="97"/>
      <c r="N526" s="97"/>
      <c r="O526" s="97"/>
      <c r="P526" s="97"/>
      <c r="Q526" s="97"/>
      <c r="R526" s="97"/>
      <c r="S526" s="97"/>
      <c r="T526" s="97"/>
      <c r="U526" s="97"/>
    </row>
    <row r="527" spans="1:21">
      <c r="A527"/>
      <c r="B527" s="89"/>
      <c r="C527" s="97"/>
      <c r="D527" s="97"/>
      <c r="E527" s="97"/>
      <c r="F527" s="97"/>
      <c r="G527" s="97"/>
      <c r="H527" s="97"/>
      <c r="I527" s="97"/>
      <c r="J527" s="97"/>
      <c r="K527" s="97"/>
      <c r="L527" s="97"/>
      <c r="M527" s="97"/>
      <c r="N527" s="97"/>
      <c r="O527" s="97"/>
      <c r="P527" s="97"/>
      <c r="Q527" s="97"/>
      <c r="R527" s="97"/>
      <c r="S527" s="97"/>
      <c r="T527" s="97"/>
      <c r="U527" s="97"/>
    </row>
    <row r="528" spans="1:21">
      <c r="A528"/>
      <c r="B528" s="89"/>
      <c r="C528" s="97"/>
      <c r="D528" s="97"/>
      <c r="E528" s="97"/>
      <c r="F528" s="97"/>
      <c r="G528" s="97"/>
      <c r="H528" s="97"/>
      <c r="I528" s="97"/>
      <c r="J528" s="97"/>
      <c r="K528" s="97"/>
      <c r="L528" s="97"/>
      <c r="M528" s="97"/>
      <c r="N528" s="97"/>
      <c r="O528" s="97"/>
      <c r="P528" s="97"/>
      <c r="Q528" s="97"/>
      <c r="R528" s="97"/>
      <c r="S528" s="97"/>
      <c r="T528" s="97"/>
      <c r="U528" s="97"/>
    </row>
    <row r="529" spans="1:21">
      <c r="A529"/>
      <c r="B529" s="89"/>
      <c r="C529" s="97"/>
      <c r="D529" s="97"/>
      <c r="E529" s="97"/>
      <c r="F529" s="97"/>
      <c r="G529" s="97"/>
      <c r="H529" s="97"/>
      <c r="I529" s="97"/>
      <c r="J529" s="97"/>
      <c r="K529" s="97"/>
      <c r="L529" s="97"/>
      <c r="M529" s="97"/>
      <c r="N529" s="97"/>
      <c r="O529" s="97"/>
      <c r="P529" s="97"/>
      <c r="Q529" s="97"/>
      <c r="R529" s="97"/>
      <c r="S529" s="97"/>
      <c r="T529" s="97"/>
      <c r="U529" s="97"/>
    </row>
    <row r="530" spans="1:21">
      <c r="A530"/>
      <c r="B530" s="89"/>
      <c r="C530" s="97"/>
      <c r="D530" s="97"/>
      <c r="E530" s="97"/>
      <c r="F530" s="97"/>
      <c r="G530" s="97"/>
      <c r="H530" s="97"/>
      <c r="I530" s="97"/>
      <c r="J530" s="97"/>
      <c r="K530" s="97"/>
      <c r="L530" s="97"/>
      <c r="M530" s="97"/>
      <c r="N530" s="97"/>
      <c r="O530" s="97"/>
      <c r="P530" s="97"/>
      <c r="Q530" s="97"/>
      <c r="R530" s="97"/>
      <c r="S530" s="97"/>
      <c r="T530" s="97"/>
      <c r="U530" s="97"/>
    </row>
    <row r="531" spans="1:21">
      <c r="A531"/>
      <c r="B531" s="89"/>
      <c r="C531" s="97"/>
      <c r="D531" s="97"/>
      <c r="E531" s="97"/>
      <c r="F531" s="97"/>
      <c r="G531" s="97"/>
      <c r="H531" s="97"/>
      <c r="I531" s="97"/>
      <c r="J531" s="97"/>
      <c r="K531" s="97"/>
      <c r="L531" s="97"/>
      <c r="M531" s="97"/>
      <c r="N531" s="97"/>
      <c r="O531" s="97"/>
      <c r="P531" s="97"/>
      <c r="Q531" s="97"/>
      <c r="R531" s="97"/>
      <c r="S531" s="97"/>
      <c r="T531" s="97"/>
      <c r="U531" s="97"/>
    </row>
    <row r="532" spans="1:21">
      <c r="A532"/>
      <c r="B532" s="89"/>
      <c r="C532" s="97"/>
      <c r="D532" s="97"/>
      <c r="E532" s="97"/>
      <c r="F532" s="97"/>
      <c r="G532" s="97"/>
      <c r="H532" s="97"/>
      <c r="I532" s="97"/>
      <c r="J532" s="97"/>
      <c r="K532" s="97"/>
      <c r="L532" s="97"/>
      <c r="M532" s="97"/>
      <c r="N532" s="97"/>
      <c r="O532" s="97"/>
      <c r="P532" s="97"/>
      <c r="Q532" s="97"/>
      <c r="R532" s="97"/>
      <c r="S532" s="97"/>
      <c r="T532" s="97"/>
      <c r="U532" s="97"/>
    </row>
    <row r="533" spans="1:21">
      <c r="A533"/>
      <c r="B533" s="89"/>
      <c r="C533" s="97"/>
      <c r="D533" s="97"/>
      <c r="E533" s="97"/>
      <c r="F533" s="97"/>
      <c r="G533" s="97"/>
      <c r="H533" s="97"/>
      <c r="I533" s="97"/>
      <c r="J533" s="97"/>
      <c r="K533" s="97"/>
      <c r="L533" s="97"/>
      <c r="M533" s="97"/>
      <c r="N533" s="97"/>
      <c r="O533" s="97"/>
      <c r="P533" s="97"/>
      <c r="Q533" s="97"/>
      <c r="R533" s="97"/>
      <c r="S533" s="97"/>
      <c r="T533" s="97"/>
      <c r="U533" s="97"/>
    </row>
    <row r="534" spans="1:21">
      <c r="A534"/>
      <c r="B534" s="89"/>
      <c r="C534" s="97"/>
      <c r="D534" s="97"/>
      <c r="E534" s="97"/>
      <c r="F534" s="97"/>
      <c r="G534" s="97"/>
      <c r="H534" s="97"/>
      <c r="I534" s="97"/>
      <c r="J534" s="97"/>
      <c r="K534" s="97"/>
      <c r="L534" s="97"/>
      <c r="M534" s="97"/>
      <c r="N534" s="97"/>
      <c r="O534" s="97"/>
      <c r="P534" s="97"/>
      <c r="Q534" s="97"/>
      <c r="R534" s="97"/>
      <c r="S534" s="97"/>
      <c r="T534" s="97"/>
      <c r="U534" s="97"/>
    </row>
    <row r="535" spans="1:21">
      <c r="A535"/>
      <c r="B535" s="89"/>
      <c r="C535" s="97"/>
      <c r="D535" s="97"/>
      <c r="E535" s="97"/>
      <c r="F535" s="97"/>
      <c r="G535" s="97"/>
      <c r="H535" s="97"/>
      <c r="I535" s="97"/>
      <c r="J535" s="97"/>
      <c r="K535" s="97"/>
      <c r="L535" s="97"/>
      <c r="M535" s="97"/>
      <c r="N535" s="97"/>
      <c r="O535" s="97"/>
      <c r="P535" s="97"/>
      <c r="Q535" s="97"/>
      <c r="R535" s="97"/>
      <c r="S535" s="97"/>
      <c r="T535" s="97"/>
      <c r="U535" s="97"/>
    </row>
    <row r="536" spans="1:21">
      <c r="A536"/>
      <c r="B536" s="89"/>
      <c r="C536" s="97"/>
      <c r="D536" s="97"/>
      <c r="E536" s="97"/>
      <c r="F536" s="97"/>
      <c r="G536" s="97"/>
      <c r="H536" s="97"/>
      <c r="I536" s="97"/>
      <c r="J536" s="97"/>
      <c r="K536" s="97"/>
      <c r="L536" s="97"/>
      <c r="M536" s="97"/>
      <c r="N536" s="97"/>
      <c r="O536" s="97"/>
      <c r="P536" s="97"/>
      <c r="Q536" s="97"/>
      <c r="R536" s="97"/>
      <c r="S536" s="97"/>
      <c r="T536" s="97"/>
      <c r="U536" s="97"/>
    </row>
    <row r="537" spans="1:21">
      <c r="A537"/>
      <c r="B537" s="89"/>
      <c r="C537" s="97"/>
      <c r="D537" s="97"/>
      <c r="E537" s="97"/>
      <c r="F537" s="97"/>
      <c r="G537" s="97"/>
      <c r="H537" s="97"/>
      <c r="I537" s="97"/>
      <c r="J537" s="97"/>
      <c r="K537" s="97"/>
      <c r="L537" s="97"/>
      <c r="M537" s="97"/>
      <c r="N537" s="97"/>
      <c r="O537" s="97"/>
      <c r="P537" s="97"/>
      <c r="Q537" s="97"/>
      <c r="R537" s="97"/>
      <c r="S537" s="97"/>
      <c r="T537" s="97"/>
      <c r="U537" s="97"/>
    </row>
    <row r="538" spans="1:21">
      <c r="A538"/>
      <c r="B538" s="89"/>
      <c r="C538" s="97"/>
      <c r="D538" s="97"/>
      <c r="E538" s="97"/>
      <c r="F538" s="97"/>
      <c r="G538" s="97"/>
      <c r="H538" s="97"/>
      <c r="I538" s="97"/>
      <c r="J538" s="97"/>
      <c r="K538" s="97"/>
      <c r="L538" s="97"/>
      <c r="M538" s="97"/>
      <c r="N538" s="97"/>
      <c r="O538" s="97"/>
      <c r="P538" s="97"/>
      <c r="Q538" s="97"/>
      <c r="R538" s="97"/>
      <c r="S538" s="97"/>
      <c r="T538" s="97"/>
      <c r="U538" s="97"/>
    </row>
    <row r="539" spans="1:21">
      <c r="A539"/>
      <c r="B539" s="89"/>
      <c r="C539" s="97"/>
      <c r="D539" s="97"/>
      <c r="E539" s="97"/>
      <c r="F539" s="97"/>
      <c r="G539" s="97"/>
      <c r="H539" s="97"/>
      <c r="I539" s="97"/>
      <c r="J539" s="97"/>
      <c r="K539" s="97"/>
      <c r="L539" s="97"/>
      <c r="M539" s="97"/>
      <c r="N539" s="97"/>
      <c r="O539" s="97"/>
      <c r="P539" s="97"/>
      <c r="Q539" s="97"/>
      <c r="R539" s="97"/>
      <c r="S539" s="97"/>
      <c r="T539" s="97"/>
      <c r="U539" s="97"/>
    </row>
    <row r="540" spans="1:21">
      <c r="A540"/>
      <c r="B540" s="89"/>
      <c r="C540" s="97"/>
      <c r="D540" s="97"/>
      <c r="E540" s="97"/>
      <c r="F540" s="97"/>
      <c r="G540" s="97"/>
      <c r="H540" s="97"/>
      <c r="I540" s="97"/>
      <c r="J540" s="97"/>
      <c r="K540" s="97"/>
      <c r="L540" s="97"/>
      <c r="M540" s="97"/>
      <c r="N540" s="97"/>
      <c r="O540" s="97"/>
      <c r="P540" s="97"/>
      <c r="Q540" s="97"/>
      <c r="R540" s="97"/>
      <c r="S540" s="97"/>
      <c r="T540" s="97"/>
      <c r="U540" s="97"/>
    </row>
    <row r="541" spans="1:21">
      <c r="A541"/>
      <c r="B541" s="89"/>
      <c r="C541" s="97"/>
      <c r="D541" s="97"/>
      <c r="E541" s="97"/>
      <c r="F541" s="97"/>
      <c r="G541" s="97"/>
      <c r="H541" s="97"/>
      <c r="I541" s="97"/>
      <c r="J541" s="97"/>
      <c r="K541" s="97"/>
      <c r="L541" s="97"/>
      <c r="M541" s="97"/>
      <c r="N541" s="97"/>
      <c r="O541" s="97"/>
      <c r="P541" s="97"/>
      <c r="Q541" s="97"/>
      <c r="R541" s="97"/>
      <c r="S541" s="97"/>
      <c r="T541" s="97"/>
      <c r="U541" s="97"/>
    </row>
    <row r="542" spans="1:21">
      <c r="A542"/>
      <c r="B542" s="89"/>
      <c r="C542" s="97"/>
      <c r="D542" s="97"/>
      <c r="E542" s="97"/>
      <c r="F542" s="97"/>
      <c r="G542" s="97"/>
      <c r="H542" s="97"/>
      <c r="I542" s="97"/>
      <c r="J542" s="97"/>
      <c r="K542" s="97"/>
      <c r="L542" s="97"/>
      <c r="M542" s="97"/>
      <c r="N542" s="97"/>
      <c r="O542" s="97"/>
      <c r="P542" s="97"/>
      <c r="Q542" s="97"/>
      <c r="R542" s="97"/>
      <c r="S542" s="97"/>
      <c r="T542" s="97"/>
      <c r="U542" s="97"/>
    </row>
    <row r="543" spans="1:21">
      <c r="A543"/>
      <c r="B543" s="89"/>
      <c r="C543" s="97"/>
      <c r="D543" s="97"/>
      <c r="E543" s="97"/>
      <c r="F543" s="97"/>
      <c r="G543" s="97"/>
      <c r="H543" s="97"/>
      <c r="I543" s="97"/>
      <c r="J543" s="97"/>
      <c r="K543" s="97"/>
      <c r="L543" s="97"/>
      <c r="M543" s="97"/>
      <c r="N543" s="97"/>
      <c r="O543" s="97"/>
      <c r="P543" s="97"/>
      <c r="Q543" s="97"/>
      <c r="R543" s="97"/>
      <c r="S543" s="97"/>
      <c r="T543" s="97"/>
      <c r="U543" s="97"/>
    </row>
    <row r="544" spans="1:21">
      <c r="A544"/>
      <c r="B544" s="89"/>
      <c r="C544" s="97"/>
      <c r="D544" s="97"/>
      <c r="E544" s="97"/>
      <c r="F544" s="97"/>
      <c r="G544" s="97"/>
      <c r="H544" s="97"/>
      <c r="I544" s="97"/>
      <c r="J544" s="97"/>
      <c r="K544" s="97"/>
      <c r="L544" s="97"/>
      <c r="M544" s="97"/>
      <c r="N544" s="97"/>
      <c r="O544" s="97"/>
      <c r="P544" s="97"/>
      <c r="Q544" s="97"/>
      <c r="R544" s="97"/>
      <c r="S544" s="97"/>
      <c r="T544" s="97"/>
      <c r="U544" s="97"/>
    </row>
    <row r="545" spans="1:21">
      <c r="A545"/>
      <c r="B545" s="89"/>
      <c r="C545" s="97"/>
      <c r="D545" s="97"/>
      <c r="E545" s="97"/>
      <c r="F545" s="97"/>
      <c r="G545" s="97"/>
      <c r="H545" s="97"/>
      <c r="I545" s="97"/>
      <c r="J545" s="97"/>
      <c r="K545" s="97"/>
      <c r="L545" s="97"/>
      <c r="M545" s="97"/>
      <c r="N545" s="97"/>
      <c r="O545" s="97"/>
      <c r="P545" s="97"/>
      <c r="Q545" s="97"/>
      <c r="R545" s="97"/>
      <c r="S545" s="97"/>
      <c r="T545" s="97"/>
      <c r="U545" s="97"/>
    </row>
    <row r="546" spans="1:21">
      <c r="A546"/>
      <c r="B546" s="89"/>
      <c r="C546" s="97"/>
      <c r="D546" s="97"/>
      <c r="E546" s="97"/>
      <c r="F546" s="97"/>
      <c r="G546" s="97"/>
      <c r="H546" s="97"/>
      <c r="I546" s="97"/>
      <c r="J546" s="97"/>
      <c r="K546" s="97"/>
      <c r="L546" s="97"/>
      <c r="M546" s="97"/>
      <c r="N546" s="97"/>
      <c r="O546" s="97"/>
      <c r="P546" s="97"/>
      <c r="Q546" s="97"/>
      <c r="R546" s="97"/>
      <c r="S546" s="97"/>
      <c r="T546" s="97"/>
      <c r="U546" s="97"/>
    </row>
    <row r="547" spans="1:21">
      <c r="A547"/>
      <c r="B547" s="89"/>
      <c r="C547" s="97"/>
      <c r="D547" s="97"/>
      <c r="E547" s="97"/>
      <c r="F547" s="97"/>
      <c r="G547" s="97"/>
      <c r="H547" s="97"/>
      <c r="I547" s="97"/>
      <c r="J547" s="97"/>
      <c r="K547" s="97"/>
      <c r="L547" s="97"/>
      <c r="M547" s="97"/>
      <c r="N547" s="97"/>
      <c r="O547" s="97"/>
      <c r="P547" s="97"/>
      <c r="Q547" s="97"/>
      <c r="R547" s="97"/>
      <c r="S547" s="97"/>
      <c r="T547" s="97"/>
      <c r="U547" s="97"/>
    </row>
    <row r="548" spans="1:21">
      <c r="A548"/>
      <c r="B548" s="89"/>
      <c r="C548" s="97"/>
      <c r="D548" s="97"/>
      <c r="E548" s="97"/>
      <c r="F548" s="97"/>
      <c r="G548" s="97"/>
      <c r="H548" s="97"/>
      <c r="I548" s="97"/>
      <c r="J548" s="97"/>
      <c r="K548" s="97"/>
      <c r="L548" s="97"/>
      <c r="M548" s="97"/>
      <c r="N548" s="97"/>
      <c r="O548" s="97"/>
      <c r="P548" s="97"/>
      <c r="Q548" s="97"/>
      <c r="R548" s="97"/>
      <c r="S548" s="97"/>
      <c r="T548" s="97"/>
      <c r="U548" s="97"/>
    </row>
    <row r="549" spans="1:21">
      <c r="A549"/>
      <c r="B549" s="89"/>
      <c r="C549" s="97"/>
      <c r="D549" s="97"/>
      <c r="E549" s="97"/>
      <c r="F549" s="97"/>
      <c r="G549" s="97"/>
      <c r="H549" s="97"/>
      <c r="I549" s="97"/>
      <c r="J549" s="97"/>
      <c r="K549" s="97"/>
      <c r="L549" s="97"/>
      <c r="M549" s="97"/>
      <c r="N549" s="97"/>
      <c r="O549" s="97"/>
      <c r="P549" s="97"/>
      <c r="Q549" s="97"/>
      <c r="R549" s="97"/>
      <c r="S549" s="97"/>
      <c r="T549" s="97"/>
      <c r="U549" s="97"/>
    </row>
    <row r="550" spans="1:21">
      <c r="A550"/>
      <c r="B550" s="89"/>
      <c r="C550" s="97"/>
      <c r="D550" s="97"/>
      <c r="E550" s="97"/>
      <c r="F550" s="97"/>
      <c r="G550" s="97"/>
      <c r="H550" s="97"/>
      <c r="I550" s="97"/>
      <c r="J550" s="97"/>
      <c r="K550" s="97"/>
      <c r="L550" s="97"/>
      <c r="M550" s="97"/>
      <c r="N550" s="97"/>
      <c r="O550" s="97"/>
      <c r="P550" s="97"/>
      <c r="Q550" s="97"/>
      <c r="R550" s="97"/>
      <c r="S550" s="97"/>
      <c r="T550" s="97"/>
      <c r="U550" s="97"/>
    </row>
    <row r="551" spans="1:21">
      <c r="A551"/>
      <c r="B551" s="89"/>
      <c r="C551" s="97"/>
      <c r="D551" s="97"/>
      <c r="E551" s="97"/>
      <c r="F551" s="97"/>
      <c r="G551" s="97"/>
      <c r="H551" s="97"/>
      <c r="I551" s="97"/>
      <c r="J551" s="97"/>
      <c r="K551" s="97"/>
      <c r="L551" s="97"/>
      <c r="M551" s="97"/>
      <c r="N551" s="97"/>
      <c r="O551" s="97"/>
      <c r="P551" s="97"/>
      <c r="Q551" s="97"/>
      <c r="R551" s="97"/>
      <c r="S551" s="97"/>
      <c r="T551" s="97"/>
      <c r="U551" s="97"/>
    </row>
    <row r="552" spans="1:21">
      <c r="A552"/>
      <c r="B552" s="89"/>
      <c r="C552" s="97"/>
      <c r="D552" s="97"/>
      <c r="E552" s="97"/>
      <c r="F552" s="97"/>
      <c r="G552" s="97"/>
      <c r="H552" s="97"/>
      <c r="I552" s="97"/>
      <c r="J552" s="97"/>
      <c r="K552" s="97"/>
      <c r="L552" s="97"/>
      <c r="M552" s="97"/>
      <c r="N552" s="97"/>
      <c r="O552" s="97"/>
      <c r="P552" s="97"/>
      <c r="Q552" s="97"/>
      <c r="R552" s="97"/>
      <c r="S552" s="97"/>
      <c r="T552" s="97"/>
      <c r="U552" s="97"/>
    </row>
    <row r="553" spans="1:21">
      <c r="A553"/>
      <c r="B553" s="89"/>
      <c r="C553" s="97"/>
      <c r="D553" s="97"/>
      <c r="E553" s="97"/>
      <c r="F553" s="97"/>
      <c r="G553" s="97"/>
      <c r="H553" s="97"/>
      <c r="I553" s="97"/>
      <c r="J553" s="97"/>
      <c r="K553" s="97"/>
      <c r="L553" s="97"/>
      <c r="M553" s="97"/>
      <c r="N553" s="97"/>
      <c r="O553" s="97"/>
      <c r="P553" s="97"/>
      <c r="Q553" s="97"/>
      <c r="R553" s="97"/>
      <c r="S553" s="97"/>
      <c r="T553" s="97"/>
      <c r="U553" s="97"/>
    </row>
    <row r="554" spans="1:21">
      <c r="A554"/>
      <c r="B554" s="89"/>
      <c r="C554" s="97"/>
      <c r="D554" s="97"/>
      <c r="E554" s="97"/>
      <c r="F554" s="97"/>
      <c r="G554" s="97"/>
      <c r="H554" s="97"/>
      <c r="I554" s="97"/>
      <c r="J554" s="97"/>
      <c r="K554" s="97"/>
      <c r="L554" s="97"/>
      <c r="M554" s="97"/>
      <c r="N554" s="97"/>
      <c r="O554" s="97"/>
      <c r="P554" s="97"/>
      <c r="Q554" s="97"/>
      <c r="R554" s="97"/>
      <c r="S554" s="97"/>
      <c r="T554" s="97"/>
      <c r="U554" s="97"/>
    </row>
    <row r="555" spans="1:21">
      <c r="A555"/>
      <c r="B555" s="89"/>
      <c r="C555" s="97"/>
      <c r="D555" s="97"/>
      <c r="E555" s="97"/>
      <c r="F555" s="97"/>
      <c r="G555" s="97"/>
      <c r="H555" s="97"/>
      <c r="I555" s="97"/>
      <c r="J555" s="97"/>
      <c r="K555" s="97"/>
      <c r="L555" s="97"/>
      <c r="M555" s="97"/>
      <c r="N555" s="97"/>
      <c r="O555" s="97"/>
      <c r="P555" s="97"/>
      <c r="Q555" s="97"/>
      <c r="R555" s="97"/>
      <c r="S555" s="97"/>
      <c r="T555" s="97"/>
      <c r="U555" s="97"/>
    </row>
    <row r="556" spans="1:21">
      <c r="A556"/>
      <c r="B556" s="89"/>
      <c r="C556" s="97"/>
      <c r="D556" s="97"/>
      <c r="E556" s="97"/>
      <c r="F556" s="97"/>
      <c r="G556" s="97"/>
      <c r="H556" s="97"/>
      <c r="I556" s="97"/>
      <c r="J556" s="97"/>
      <c r="K556" s="97"/>
      <c r="L556" s="97"/>
      <c r="M556" s="97"/>
      <c r="N556" s="97"/>
      <c r="O556" s="97"/>
      <c r="P556" s="97"/>
      <c r="Q556" s="97"/>
      <c r="R556" s="97"/>
      <c r="S556" s="97"/>
      <c r="T556" s="97"/>
      <c r="U556" s="97"/>
    </row>
    <row r="557" spans="1:21">
      <c r="A557"/>
      <c r="B557" s="89"/>
      <c r="C557" s="97"/>
      <c r="D557" s="97"/>
      <c r="E557" s="97"/>
      <c r="F557" s="97"/>
      <c r="G557" s="97"/>
      <c r="H557" s="97"/>
      <c r="I557" s="97"/>
      <c r="J557" s="97"/>
      <c r="K557" s="97"/>
      <c r="L557" s="97"/>
      <c r="M557" s="97"/>
      <c r="N557" s="97"/>
      <c r="O557" s="97"/>
      <c r="P557" s="97"/>
      <c r="Q557" s="97"/>
      <c r="R557" s="97"/>
      <c r="S557" s="97"/>
      <c r="T557" s="97"/>
      <c r="U557" s="97"/>
    </row>
    <row r="558" spans="1:21">
      <c r="A558"/>
      <c r="B558" s="89"/>
      <c r="C558" s="97"/>
      <c r="D558" s="97"/>
      <c r="E558" s="97"/>
      <c r="F558" s="97"/>
      <c r="G558" s="97"/>
      <c r="H558" s="97"/>
      <c r="I558" s="97"/>
      <c r="J558" s="97"/>
      <c r="K558" s="97"/>
      <c r="L558" s="97"/>
      <c r="M558" s="97"/>
      <c r="N558" s="97"/>
      <c r="O558" s="97"/>
      <c r="P558" s="97"/>
      <c r="Q558" s="97"/>
      <c r="R558" s="97"/>
      <c r="S558" s="97"/>
      <c r="T558" s="97"/>
      <c r="U558" s="97"/>
    </row>
    <row r="559" spans="1:21">
      <c r="A559"/>
      <c r="B559" s="89"/>
      <c r="C559" s="97"/>
      <c r="D559" s="97"/>
      <c r="E559" s="97"/>
      <c r="F559" s="97"/>
      <c r="G559" s="97"/>
      <c r="H559" s="97"/>
      <c r="I559" s="97"/>
      <c r="J559" s="97"/>
      <c r="K559" s="97"/>
      <c r="L559" s="97"/>
      <c r="M559" s="97"/>
      <c r="N559" s="97"/>
      <c r="O559" s="97"/>
      <c r="P559" s="97"/>
      <c r="Q559" s="97"/>
      <c r="R559" s="97"/>
      <c r="S559" s="97"/>
      <c r="T559" s="97"/>
      <c r="U559" s="97"/>
    </row>
    <row r="560" spans="1:21">
      <c r="A560"/>
      <c r="B560" s="89"/>
      <c r="C560" s="97"/>
      <c r="D560" s="97"/>
      <c r="E560" s="97"/>
      <c r="F560" s="97"/>
      <c r="G560" s="97"/>
      <c r="H560" s="97"/>
      <c r="I560" s="97"/>
      <c r="J560" s="97"/>
      <c r="K560" s="97"/>
      <c r="L560" s="97"/>
      <c r="M560" s="97"/>
      <c r="N560" s="97"/>
      <c r="O560" s="97"/>
      <c r="P560" s="97"/>
      <c r="Q560" s="97"/>
      <c r="R560" s="97"/>
      <c r="S560" s="97"/>
      <c r="T560" s="97"/>
      <c r="U560" s="97"/>
    </row>
    <row r="561" spans="1:21">
      <c r="A561"/>
      <c r="B561" s="89"/>
      <c r="C561" s="97"/>
      <c r="D561" s="97"/>
      <c r="E561" s="97"/>
      <c r="F561" s="97"/>
      <c r="G561" s="97"/>
      <c r="H561" s="97"/>
      <c r="I561" s="97"/>
      <c r="J561" s="97"/>
      <c r="K561" s="97"/>
      <c r="L561" s="97"/>
      <c r="M561" s="97"/>
      <c r="N561" s="97"/>
      <c r="O561" s="97"/>
      <c r="P561" s="97"/>
      <c r="Q561" s="97"/>
      <c r="R561" s="97"/>
      <c r="S561" s="97"/>
      <c r="T561" s="97"/>
      <c r="U561" s="97"/>
    </row>
    <row r="562" spans="1:21">
      <c r="A562"/>
      <c r="B562" s="89"/>
      <c r="C562" s="97"/>
      <c r="D562" s="97"/>
      <c r="E562" s="97"/>
      <c r="F562" s="97"/>
      <c r="G562" s="97"/>
      <c r="H562" s="97"/>
      <c r="I562" s="97"/>
      <c r="J562" s="97"/>
      <c r="K562" s="97"/>
      <c r="L562" s="97"/>
      <c r="M562" s="97"/>
      <c r="N562" s="97"/>
      <c r="O562" s="97"/>
      <c r="P562" s="97"/>
      <c r="Q562" s="97"/>
      <c r="R562" s="97"/>
      <c r="S562" s="97"/>
      <c r="T562" s="97"/>
      <c r="U562" s="97"/>
    </row>
    <row r="563" spans="1:21">
      <c r="A563"/>
      <c r="B563" s="89"/>
      <c r="C563" s="97"/>
      <c r="D563" s="97"/>
      <c r="E563" s="97"/>
      <c r="F563" s="97"/>
      <c r="G563" s="97"/>
      <c r="H563" s="97"/>
      <c r="I563" s="97"/>
      <c r="J563" s="97"/>
      <c r="K563" s="97"/>
      <c r="L563" s="97"/>
      <c r="M563" s="97"/>
      <c r="N563" s="97"/>
      <c r="O563" s="97"/>
      <c r="P563" s="97"/>
      <c r="Q563" s="97"/>
      <c r="R563" s="97"/>
      <c r="S563" s="97"/>
      <c r="T563" s="97"/>
      <c r="U563" s="97"/>
    </row>
    <row r="564" spans="1:21">
      <c r="A564"/>
      <c r="B564" s="89"/>
      <c r="C564" s="97"/>
      <c r="D564" s="97"/>
      <c r="E564" s="97"/>
      <c r="F564" s="97"/>
      <c r="G564" s="97"/>
      <c r="H564" s="97"/>
      <c r="I564" s="97"/>
      <c r="J564" s="97"/>
      <c r="K564" s="97"/>
      <c r="L564" s="97"/>
      <c r="M564" s="97"/>
      <c r="N564" s="97"/>
      <c r="O564" s="97"/>
      <c r="P564" s="97"/>
      <c r="Q564" s="97"/>
      <c r="R564" s="97"/>
      <c r="S564" s="97"/>
      <c r="T564" s="97"/>
      <c r="U564" s="97"/>
    </row>
    <row r="565" spans="1:21">
      <c r="A565"/>
      <c r="B565" s="89"/>
      <c r="C565" s="97"/>
      <c r="D565" s="97"/>
      <c r="E565" s="97"/>
      <c r="F565" s="97"/>
      <c r="G565" s="97"/>
      <c r="H565" s="97"/>
      <c r="I565" s="97"/>
      <c r="J565" s="97"/>
      <c r="K565" s="97"/>
      <c r="L565" s="97"/>
      <c r="M565" s="97"/>
      <c r="N565" s="97"/>
      <c r="O565" s="97"/>
      <c r="P565" s="97"/>
      <c r="Q565" s="97"/>
      <c r="R565" s="97"/>
      <c r="S565" s="97"/>
      <c r="T565" s="97"/>
      <c r="U565" s="97"/>
    </row>
    <row r="566" spans="1:21">
      <c r="A566"/>
      <c r="B566" s="89"/>
      <c r="C566" s="97"/>
      <c r="D566" s="97"/>
      <c r="E566" s="97"/>
      <c r="F566" s="97"/>
      <c r="G566" s="97"/>
      <c r="H566" s="97"/>
      <c r="I566" s="97"/>
      <c r="J566" s="97"/>
      <c r="K566" s="97"/>
      <c r="L566" s="97"/>
      <c r="M566" s="97"/>
      <c r="N566" s="97"/>
      <c r="O566" s="97"/>
      <c r="P566" s="97"/>
      <c r="Q566" s="97"/>
      <c r="R566" s="97"/>
      <c r="S566" s="97"/>
      <c r="T566" s="97"/>
      <c r="U566" s="97"/>
    </row>
    <row r="567" spans="1:21">
      <c r="A567"/>
      <c r="B567" s="89"/>
      <c r="C567" s="97"/>
      <c r="D567" s="97"/>
      <c r="E567" s="97"/>
      <c r="F567" s="97"/>
      <c r="G567" s="97"/>
      <c r="H567" s="97"/>
      <c r="I567" s="97"/>
      <c r="J567" s="97"/>
      <c r="K567" s="97"/>
      <c r="L567" s="97"/>
      <c r="M567" s="97"/>
      <c r="N567" s="97"/>
      <c r="O567" s="97"/>
      <c r="P567" s="97"/>
      <c r="Q567" s="97"/>
      <c r="R567" s="97"/>
      <c r="S567" s="97"/>
      <c r="T567" s="97"/>
      <c r="U567" s="97"/>
    </row>
    <row r="568" spans="1:21">
      <c r="A568"/>
      <c r="B568" s="89"/>
      <c r="C568" s="97"/>
      <c r="D568" s="97"/>
      <c r="E568" s="97"/>
      <c r="F568" s="97"/>
      <c r="G568" s="97"/>
      <c r="H568" s="97"/>
      <c r="I568" s="97"/>
      <c r="J568" s="97"/>
      <c r="K568" s="97"/>
      <c r="L568" s="97"/>
      <c r="M568" s="97"/>
      <c r="N568" s="97"/>
      <c r="O568" s="97"/>
      <c r="P568" s="97"/>
      <c r="Q568" s="97"/>
      <c r="R568" s="97"/>
      <c r="S568" s="97"/>
      <c r="T568" s="97"/>
      <c r="U568" s="97"/>
    </row>
    <row r="569" spans="1:21">
      <c r="A569"/>
      <c r="B569" s="89"/>
      <c r="C569" s="97"/>
      <c r="D569" s="97"/>
      <c r="E569" s="97"/>
      <c r="F569" s="97"/>
      <c r="G569" s="97"/>
      <c r="H569" s="97"/>
      <c r="I569" s="97"/>
      <c r="J569" s="97"/>
      <c r="K569" s="97"/>
      <c r="L569" s="97"/>
      <c r="M569" s="97"/>
      <c r="N569" s="97"/>
      <c r="O569" s="97"/>
      <c r="P569" s="97"/>
      <c r="Q569" s="97"/>
      <c r="R569" s="97"/>
      <c r="S569" s="97"/>
      <c r="T569" s="97"/>
      <c r="U569" s="97"/>
    </row>
    <row r="570" spans="1:21">
      <c r="A570"/>
      <c r="B570" s="89"/>
      <c r="C570" s="97"/>
      <c r="D570" s="97"/>
      <c r="E570" s="97"/>
      <c r="F570" s="97"/>
      <c r="G570" s="97"/>
      <c r="H570" s="97"/>
      <c r="I570" s="97"/>
      <c r="J570" s="97"/>
      <c r="K570" s="97"/>
      <c r="L570" s="97"/>
      <c r="M570" s="97"/>
      <c r="N570" s="97"/>
      <c r="O570" s="97"/>
      <c r="P570" s="97"/>
      <c r="Q570" s="97"/>
      <c r="R570" s="97"/>
      <c r="S570" s="97"/>
      <c r="T570" s="97"/>
      <c r="U570" s="97"/>
    </row>
    <row r="571" spans="1:21">
      <c r="A571"/>
      <c r="B571" s="89"/>
      <c r="C571" s="97"/>
      <c r="D571" s="97"/>
      <c r="E571" s="97"/>
      <c r="F571" s="97"/>
      <c r="G571" s="97"/>
      <c r="H571" s="97"/>
      <c r="I571" s="97"/>
      <c r="J571" s="97"/>
      <c r="K571" s="97"/>
      <c r="L571" s="97"/>
      <c r="M571" s="97"/>
      <c r="N571" s="97"/>
      <c r="O571" s="97"/>
      <c r="P571" s="97"/>
      <c r="Q571" s="97"/>
      <c r="R571" s="97"/>
      <c r="S571" s="97"/>
      <c r="T571" s="97"/>
      <c r="U571" s="97"/>
    </row>
    <row r="572" spans="1:21">
      <c r="A572"/>
      <c r="B572" s="89"/>
      <c r="C572" s="97"/>
      <c r="D572" s="97"/>
      <c r="E572" s="97"/>
      <c r="F572" s="97"/>
      <c r="G572" s="97"/>
      <c r="H572" s="97"/>
      <c r="I572" s="97"/>
      <c r="J572" s="97"/>
      <c r="K572" s="97"/>
      <c r="L572" s="97"/>
      <c r="M572" s="97"/>
      <c r="N572" s="97"/>
      <c r="O572" s="97"/>
      <c r="P572" s="97"/>
      <c r="Q572" s="97"/>
      <c r="R572" s="97"/>
      <c r="S572" s="97"/>
      <c r="T572" s="97"/>
      <c r="U572" s="97"/>
    </row>
    <row r="573" spans="1:21">
      <c r="A573"/>
      <c r="B573" s="89"/>
      <c r="C573" s="97"/>
      <c r="D573" s="97"/>
      <c r="E573" s="97"/>
      <c r="F573" s="97"/>
      <c r="G573" s="97"/>
      <c r="H573" s="97"/>
      <c r="I573" s="97"/>
      <c r="J573" s="97"/>
      <c r="K573" s="97"/>
      <c r="L573" s="97"/>
      <c r="M573" s="97"/>
      <c r="N573" s="97"/>
      <c r="O573" s="97"/>
      <c r="P573" s="97"/>
      <c r="Q573" s="97"/>
      <c r="R573" s="97"/>
      <c r="S573" s="97"/>
      <c r="T573" s="97"/>
      <c r="U573" s="97"/>
    </row>
    <row r="574" spans="1:21">
      <c r="A574"/>
      <c r="B574" s="89"/>
      <c r="C574" s="97"/>
      <c r="D574" s="97"/>
      <c r="E574" s="97"/>
      <c r="F574" s="97"/>
      <c r="G574" s="97"/>
      <c r="H574" s="97"/>
      <c r="I574" s="97"/>
      <c r="J574" s="97"/>
      <c r="K574" s="97"/>
      <c r="L574" s="97"/>
      <c r="M574" s="97"/>
      <c r="N574" s="97"/>
      <c r="O574" s="97"/>
      <c r="P574" s="97"/>
      <c r="Q574" s="97"/>
      <c r="R574" s="97"/>
      <c r="S574" s="97"/>
      <c r="T574" s="97"/>
      <c r="U574" s="97"/>
    </row>
    <row r="575" spans="1:21">
      <c r="A575"/>
      <c r="B575" s="89"/>
      <c r="C575" s="97"/>
      <c r="D575" s="97"/>
      <c r="E575" s="97"/>
      <c r="F575" s="97"/>
      <c r="G575" s="97"/>
      <c r="H575" s="97"/>
      <c r="I575" s="97"/>
      <c r="J575" s="97"/>
      <c r="K575" s="97"/>
      <c r="L575" s="97"/>
      <c r="M575" s="97"/>
      <c r="N575" s="97"/>
      <c r="O575" s="97"/>
      <c r="P575" s="97"/>
      <c r="Q575" s="97"/>
      <c r="R575" s="97"/>
      <c r="S575" s="97"/>
      <c r="T575" s="97"/>
      <c r="U575" s="97"/>
    </row>
    <row r="576" spans="1:21">
      <c r="A576"/>
      <c r="B576" s="89"/>
      <c r="C576" s="97"/>
      <c r="D576" s="97"/>
      <c r="E576" s="97"/>
      <c r="F576" s="97"/>
      <c r="G576" s="97"/>
      <c r="H576" s="97"/>
      <c r="I576" s="97"/>
      <c r="J576" s="97"/>
      <c r="K576" s="97"/>
      <c r="L576" s="97"/>
      <c r="M576" s="97"/>
      <c r="N576" s="97"/>
      <c r="O576" s="97"/>
      <c r="P576" s="97"/>
      <c r="Q576" s="97"/>
      <c r="R576" s="97"/>
      <c r="S576" s="97"/>
      <c r="T576" s="97"/>
      <c r="U576" s="97"/>
    </row>
    <row r="577" spans="1:21">
      <c r="A577"/>
      <c r="B577" s="89"/>
      <c r="C577" s="97"/>
      <c r="D577" s="97"/>
      <c r="E577" s="97"/>
      <c r="F577" s="97"/>
      <c r="G577" s="97"/>
      <c r="H577" s="97"/>
      <c r="I577" s="97"/>
      <c r="J577" s="97"/>
      <c r="K577" s="97"/>
      <c r="L577" s="97"/>
      <c r="M577" s="97"/>
      <c r="N577" s="97"/>
      <c r="O577" s="97"/>
      <c r="P577" s="97"/>
      <c r="Q577" s="97"/>
      <c r="R577" s="97"/>
      <c r="S577" s="97"/>
      <c r="T577" s="97"/>
      <c r="U577" s="97"/>
    </row>
    <row r="578" spans="1:21">
      <c r="A578"/>
      <c r="B578" s="89"/>
      <c r="C578" s="97"/>
      <c r="D578" s="97"/>
      <c r="E578" s="97"/>
      <c r="F578" s="97"/>
      <c r="G578" s="97"/>
      <c r="H578" s="97"/>
      <c r="I578" s="97"/>
      <c r="J578" s="97"/>
      <c r="K578" s="97"/>
      <c r="L578" s="97"/>
      <c r="M578" s="97"/>
      <c r="N578" s="97"/>
      <c r="O578" s="97"/>
      <c r="P578" s="97"/>
      <c r="Q578" s="97"/>
      <c r="R578" s="97"/>
      <c r="S578" s="97"/>
      <c r="T578" s="97"/>
      <c r="U578" s="97"/>
    </row>
    <row r="579" spans="1:21">
      <c r="A579"/>
      <c r="B579" s="89"/>
      <c r="C579" s="97"/>
      <c r="D579" s="97"/>
      <c r="E579" s="97"/>
      <c r="F579" s="97"/>
      <c r="G579" s="97"/>
      <c r="H579" s="97"/>
      <c r="I579" s="97"/>
      <c r="J579" s="97"/>
      <c r="K579" s="97"/>
      <c r="L579" s="97"/>
      <c r="M579" s="97"/>
      <c r="N579" s="97"/>
      <c r="O579" s="97"/>
      <c r="P579" s="97"/>
      <c r="Q579" s="97"/>
      <c r="R579" s="97"/>
      <c r="S579" s="97"/>
      <c r="T579" s="97"/>
      <c r="U579" s="97"/>
    </row>
    <row r="580" spans="1:21">
      <c r="A580"/>
      <c r="B580" s="89"/>
      <c r="C580" s="97"/>
      <c r="D580" s="97"/>
      <c r="E580" s="97"/>
      <c r="F580" s="97"/>
      <c r="G580" s="97"/>
      <c r="H580" s="97"/>
      <c r="I580" s="97"/>
      <c r="J580" s="97"/>
      <c r="K580" s="97"/>
      <c r="L580" s="97"/>
      <c r="M580" s="97"/>
      <c r="N580" s="97"/>
      <c r="O580" s="97"/>
      <c r="P580" s="97"/>
      <c r="Q580" s="97"/>
      <c r="R580" s="97"/>
      <c r="S580" s="97"/>
      <c r="T580" s="97"/>
      <c r="U580" s="97"/>
    </row>
    <row r="581" spans="1:21">
      <c r="A581"/>
      <c r="B581" s="89"/>
      <c r="C581" s="97"/>
      <c r="D581" s="97"/>
      <c r="E581" s="97"/>
      <c r="F581" s="97"/>
      <c r="G581" s="97"/>
      <c r="H581" s="97"/>
      <c r="I581" s="97"/>
      <c r="J581" s="97"/>
      <c r="K581" s="97"/>
      <c r="L581" s="97"/>
      <c r="M581" s="97"/>
      <c r="N581" s="97"/>
      <c r="O581" s="97"/>
      <c r="P581" s="97"/>
      <c r="Q581" s="97"/>
      <c r="R581" s="97"/>
      <c r="S581" s="97"/>
      <c r="T581" s="97"/>
      <c r="U581" s="97"/>
    </row>
    <row r="582" spans="1:21">
      <c r="A582"/>
      <c r="B582" s="89"/>
      <c r="C582" s="97"/>
      <c r="D582" s="97"/>
      <c r="E582" s="97"/>
      <c r="F582" s="97"/>
      <c r="G582" s="97"/>
      <c r="H582" s="97"/>
      <c r="I582" s="97"/>
      <c r="J582" s="97"/>
      <c r="K582" s="97"/>
      <c r="L582" s="97"/>
      <c r="M582" s="97"/>
      <c r="N582" s="97"/>
      <c r="O582" s="97"/>
      <c r="P582" s="97"/>
      <c r="Q582" s="97"/>
      <c r="R582" s="97"/>
      <c r="S582" s="97"/>
      <c r="T582" s="97"/>
      <c r="U582" s="97"/>
    </row>
    <row r="583" spans="1:21">
      <c r="A583"/>
      <c r="B583" s="89"/>
      <c r="C583" s="97"/>
      <c r="D583" s="97"/>
      <c r="E583" s="97"/>
      <c r="F583" s="97"/>
      <c r="G583" s="97"/>
      <c r="H583" s="97"/>
      <c r="I583" s="97"/>
      <c r="J583" s="97"/>
      <c r="K583" s="97"/>
      <c r="L583" s="97"/>
      <c r="M583" s="97"/>
      <c r="N583" s="97"/>
      <c r="O583" s="97"/>
      <c r="P583" s="97"/>
      <c r="Q583" s="97"/>
      <c r="R583" s="97"/>
      <c r="S583" s="97"/>
      <c r="T583" s="97"/>
      <c r="U583" s="97"/>
    </row>
    <row r="584" spans="1:21">
      <c r="A584"/>
      <c r="B584" s="89"/>
      <c r="C584" s="97"/>
      <c r="D584" s="97"/>
      <c r="E584" s="97"/>
      <c r="F584" s="97"/>
      <c r="G584" s="97"/>
      <c r="H584" s="97"/>
      <c r="I584" s="97"/>
      <c r="J584" s="97"/>
      <c r="K584" s="97"/>
      <c r="L584" s="97"/>
      <c r="M584" s="97"/>
      <c r="N584" s="97"/>
      <c r="O584" s="97"/>
      <c r="P584" s="97"/>
      <c r="Q584" s="97"/>
      <c r="R584" s="97"/>
      <c r="S584" s="97"/>
      <c r="T584" s="97"/>
      <c r="U584" s="97"/>
    </row>
    <row r="585" spans="1:21">
      <c r="A585"/>
      <c r="B585" s="89"/>
      <c r="C585" s="97"/>
      <c r="D585" s="97"/>
      <c r="E585" s="97"/>
      <c r="F585" s="97"/>
      <c r="G585" s="97"/>
      <c r="H585" s="97"/>
      <c r="I585" s="97"/>
      <c r="J585" s="97"/>
      <c r="K585" s="97"/>
      <c r="L585" s="97"/>
      <c r="M585" s="97"/>
      <c r="N585" s="97"/>
      <c r="O585" s="97"/>
      <c r="P585" s="97"/>
      <c r="Q585" s="97"/>
      <c r="R585" s="97"/>
      <c r="S585" s="97"/>
      <c r="T585" s="97"/>
      <c r="U585" s="97"/>
    </row>
    <row r="586" spans="1:21">
      <c r="A586"/>
      <c r="B586" s="89"/>
      <c r="C586" s="97"/>
      <c r="D586" s="97"/>
      <c r="E586" s="97"/>
      <c r="F586" s="97"/>
      <c r="G586" s="97"/>
      <c r="H586" s="97"/>
      <c r="I586" s="97"/>
      <c r="J586" s="97"/>
      <c r="K586" s="97"/>
      <c r="L586" s="97"/>
      <c r="M586" s="97"/>
      <c r="N586" s="97"/>
      <c r="O586" s="97"/>
      <c r="P586" s="97"/>
      <c r="Q586" s="97"/>
      <c r="R586" s="97"/>
      <c r="S586" s="97"/>
      <c r="T586" s="97"/>
      <c r="U586" s="97"/>
    </row>
    <row r="587" spans="1:21">
      <c r="A587"/>
      <c r="B587" s="89"/>
      <c r="C587" s="97"/>
      <c r="D587" s="97"/>
      <c r="E587" s="97"/>
      <c r="F587" s="97"/>
      <c r="G587" s="97"/>
      <c r="H587" s="97"/>
      <c r="I587" s="97"/>
      <c r="J587" s="97"/>
      <c r="K587" s="97"/>
      <c r="L587" s="97"/>
      <c r="M587" s="97"/>
      <c r="N587" s="97"/>
      <c r="O587" s="97"/>
      <c r="P587" s="97"/>
      <c r="Q587" s="97"/>
      <c r="R587" s="97"/>
      <c r="S587" s="97"/>
      <c r="T587" s="97"/>
      <c r="U587" s="97"/>
    </row>
    <row r="588" spans="1:21">
      <c r="A588"/>
      <c r="B588" s="89"/>
      <c r="C588" s="97"/>
      <c r="D588" s="97"/>
      <c r="E588" s="97"/>
      <c r="F588" s="97"/>
      <c r="G588" s="97"/>
      <c r="H588" s="97"/>
      <c r="I588" s="97"/>
      <c r="J588" s="97"/>
      <c r="K588" s="97"/>
      <c r="L588" s="97"/>
      <c r="M588" s="97"/>
      <c r="N588" s="97"/>
      <c r="O588" s="97"/>
      <c r="P588" s="97"/>
      <c r="Q588" s="97"/>
      <c r="R588" s="97"/>
      <c r="S588" s="97"/>
      <c r="T588" s="97"/>
      <c r="U588" s="97"/>
    </row>
    <row r="589" spans="1:21">
      <c r="A589"/>
      <c r="B589" s="89"/>
      <c r="C589" s="97"/>
      <c r="D589" s="97"/>
      <c r="E589" s="97"/>
      <c r="F589" s="97"/>
      <c r="G589" s="97"/>
      <c r="H589" s="97"/>
      <c r="I589" s="97"/>
      <c r="J589" s="97"/>
      <c r="K589" s="97"/>
      <c r="L589" s="97"/>
      <c r="M589" s="97"/>
      <c r="N589" s="97"/>
      <c r="O589" s="97"/>
      <c r="P589" s="97"/>
      <c r="Q589" s="97"/>
      <c r="R589" s="97"/>
      <c r="S589" s="97"/>
      <c r="T589" s="97"/>
      <c r="U589" s="97"/>
    </row>
    <row r="590" spans="1:21">
      <c r="A590"/>
      <c r="B590" s="89"/>
      <c r="C590" s="97"/>
      <c r="D590" s="97"/>
      <c r="E590" s="97"/>
      <c r="F590" s="97"/>
      <c r="G590" s="97"/>
      <c r="H590" s="97"/>
      <c r="I590" s="97"/>
      <c r="J590" s="97"/>
      <c r="K590" s="97"/>
      <c r="L590" s="97"/>
      <c r="M590" s="97"/>
      <c r="N590" s="97"/>
      <c r="O590" s="97"/>
      <c r="P590" s="97"/>
      <c r="Q590" s="97"/>
      <c r="R590" s="97"/>
      <c r="S590" s="97"/>
      <c r="T590" s="97"/>
      <c r="U590" s="97"/>
    </row>
    <row r="591" spans="1:21">
      <c r="A591"/>
      <c r="B591" s="89"/>
      <c r="C591" s="97"/>
      <c r="D591" s="97"/>
      <c r="E591" s="97"/>
      <c r="F591" s="97"/>
      <c r="G591" s="97"/>
      <c r="H591" s="97"/>
      <c r="I591" s="97"/>
      <c r="J591" s="97"/>
      <c r="K591" s="97"/>
      <c r="L591" s="97"/>
      <c r="M591" s="97"/>
      <c r="N591" s="97"/>
      <c r="O591" s="97"/>
      <c r="P591" s="97"/>
      <c r="Q591" s="97"/>
      <c r="R591" s="97"/>
      <c r="S591" s="97"/>
      <c r="T591" s="97"/>
      <c r="U591" s="97"/>
    </row>
    <row r="592" spans="1:21">
      <c r="A592"/>
      <c r="B592" s="89"/>
      <c r="C592" s="97"/>
      <c r="D592" s="97"/>
      <c r="E592" s="97"/>
      <c r="F592" s="97"/>
      <c r="G592" s="97"/>
      <c r="H592" s="97"/>
      <c r="I592" s="97"/>
      <c r="J592" s="97"/>
      <c r="K592" s="97"/>
      <c r="L592" s="97"/>
      <c r="M592" s="97"/>
      <c r="N592" s="97"/>
      <c r="O592" s="97"/>
      <c r="P592" s="97"/>
      <c r="Q592" s="97"/>
      <c r="R592" s="97"/>
      <c r="S592" s="97"/>
      <c r="T592" s="97"/>
      <c r="U592" s="97"/>
    </row>
    <row r="593" spans="1:21">
      <c r="A593"/>
      <c r="B593" s="89"/>
      <c r="C593" s="97"/>
      <c r="D593" s="97"/>
      <c r="E593" s="97"/>
      <c r="F593" s="97"/>
      <c r="G593" s="97"/>
      <c r="H593" s="97"/>
      <c r="I593" s="97"/>
      <c r="J593" s="97"/>
      <c r="K593" s="97"/>
      <c r="L593" s="97"/>
      <c r="M593" s="97"/>
      <c r="N593" s="97"/>
      <c r="O593" s="97"/>
      <c r="P593" s="97"/>
      <c r="Q593" s="97"/>
      <c r="R593" s="97"/>
      <c r="S593" s="97"/>
      <c r="T593" s="97"/>
      <c r="U593" s="97"/>
    </row>
    <row r="594" spans="1:21">
      <c r="A594"/>
      <c r="B594" s="89"/>
      <c r="C594" s="97"/>
      <c r="D594" s="97"/>
      <c r="E594" s="97"/>
      <c r="F594" s="97"/>
      <c r="G594" s="97"/>
      <c r="H594" s="97"/>
      <c r="I594" s="97"/>
      <c r="J594" s="97"/>
      <c r="K594" s="97"/>
      <c r="L594" s="97"/>
      <c r="M594" s="97"/>
      <c r="N594" s="97"/>
      <c r="O594" s="97"/>
      <c r="P594" s="97"/>
      <c r="Q594" s="97"/>
      <c r="R594" s="97"/>
      <c r="S594" s="97"/>
      <c r="T594" s="97"/>
      <c r="U594" s="97"/>
    </row>
    <row r="595" spans="1:21">
      <c r="A595"/>
      <c r="B595" s="89"/>
      <c r="C595" s="97"/>
      <c r="D595" s="97"/>
      <c r="E595" s="97"/>
      <c r="F595" s="97"/>
      <c r="G595" s="97"/>
      <c r="H595" s="97"/>
      <c r="I595" s="97"/>
      <c r="J595" s="97"/>
      <c r="K595" s="97"/>
      <c r="L595" s="97"/>
      <c r="M595" s="97"/>
      <c r="N595" s="97"/>
      <c r="O595" s="97"/>
      <c r="P595" s="97"/>
      <c r="Q595" s="97"/>
      <c r="R595" s="97"/>
      <c r="S595" s="97"/>
      <c r="T595" s="97"/>
      <c r="U595" s="97"/>
    </row>
    <row r="596" spans="1:21">
      <c r="A596"/>
      <c r="B596" s="89"/>
      <c r="C596" s="97"/>
      <c r="D596" s="97"/>
      <c r="E596" s="97"/>
      <c r="F596" s="97"/>
      <c r="G596" s="97"/>
      <c r="H596" s="97"/>
      <c r="I596" s="97"/>
      <c r="J596" s="97"/>
      <c r="K596" s="97"/>
      <c r="L596" s="97"/>
      <c r="M596" s="97"/>
      <c r="N596" s="97"/>
      <c r="O596" s="97"/>
      <c r="P596" s="97"/>
      <c r="Q596" s="97"/>
      <c r="R596" s="97"/>
      <c r="S596" s="97"/>
      <c r="T596" s="97"/>
      <c r="U596" s="97"/>
    </row>
    <row r="597" spans="1:21">
      <c r="A597"/>
      <c r="B597" s="89"/>
      <c r="C597" s="97"/>
      <c r="D597" s="97"/>
      <c r="E597" s="97"/>
      <c r="F597" s="97"/>
      <c r="G597" s="97"/>
      <c r="H597" s="97"/>
      <c r="I597" s="97"/>
      <c r="J597" s="97"/>
      <c r="K597" s="97"/>
      <c r="L597" s="97"/>
      <c r="M597" s="97"/>
      <c r="N597" s="97"/>
      <c r="O597" s="97"/>
      <c r="P597" s="97"/>
      <c r="Q597" s="97"/>
      <c r="R597" s="97"/>
      <c r="S597" s="97"/>
      <c r="T597" s="97"/>
      <c r="U597" s="97"/>
    </row>
    <row r="598" spans="1:21">
      <c r="A598"/>
      <c r="B598" s="89"/>
      <c r="C598" s="97"/>
      <c r="D598" s="97"/>
      <c r="E598" s="97"/>
      <c r="F598" s="97"/>
      <c r="G598" s="97"/>
      <c r="H598" s="97"/>
      <c r="I598" s="97"/>
      <c r="J598" s="97"/>
      <c r="K598" s="97"/>
      <c r="L598" s="97"/>
      <c r="M598" s="97"/>
      <c r="N598" s="97"/>
      <c r="O598" s="97"/>
      <c r="P598" s="97"/>
      <c r="Q598" s="97"/>
      <c r="R598" s="97"/>
      <c r="S598" s="97"/>
      <c r="T598" s="97"/>
      <c r="U598" s="97"/>
    </row>
    <row r="599" spans="1:21">
      <c r="A599"/>
      <c r="B599" s="89"/>
      <c r="C599" s="97"/>
      <c r="D599" s="97"/>
      <c r="E599" s="97"/>
      <c r="F599" s="97"/>
      <c r="G599" s="97"/>
      <c r="H599" s="97"/>
      <c r="I599" s="97"/>
      <c r="J599" s="97"/>
      <c r="K599" s="97"/>
      <c r="L599" s="97"/>
      <c r="M599" s="97"/>
      <c r="N599" s="97"/>
      <c r="O599" s="97"/>
      <c r="P599" s="97"/>
      <c r="Q599" s="97"/>
      <c r="R599" s="97"/>
      <c r="S599" s="97"/>
      <c r="T599" s="97"/>
      <c r="U599" s="97"/>
    </row>
    <row r="600" spans="1:21">
      <c r="A600"/>
      <c r="B600" s="89"/>
      <c r="C600" s="97"/>
      <c r="D600" s="97"/>
      <c r="E600" s="97"/>
      <c r="F600" s="97"/>
      <c r="G600" s="97"/>
      <c r="H600" s="97"/>
      <c r="I600" s="97"/>
      <c r="J600" s="97"/>
      <c r="K600" s="97"/>
      <c r="L600" s="97"/>
      <c r="M600" s="97"/>
      <c r="N600" s="97"/>
      <c r="O600" s="97"/>
      <c r="P600" s="97"/>
      <c r="Q600" s="97"/>
      <c r="R600" s="97"/>
      <c r="S600" s="97"/>
      <c r="T600" s="97"/>
      <c r="U600" s="97"/>
    </row>
    <row r="601" spans="1:21">
      <c r="A601"/>
      <c r="B601" s="89"/>
      <c r="C601" s="97"/>
      <c r="D601" s="97"/>
      <c r="E601" s="97"/>
      <c r="F601" s="97"/>
      <c r="G601" s="97"/>
      <c r="H601" s="97"/>
      <c r="I601" s="97"/>
      <c r="J601" s="97"/>
      <c r="K601" s="97"/>
      <c r="L601" s="97"/>
      <c r="M601" s="97"/>
      <c r="N601" s="97"/>
      <c r="O601" s="97"/>
      <c r="P601" s="97"/>
      <c r="Q601" s="97"/>
      <c r="R601" s="97"/>
      <c r="S601" s="97"/>
      <c r="T601" s="97"/>
      <c r="U601" s="97"/>
    </row>
    <row r="602" spans="1:21">
      <c r="A602"/>
      <c r="B602" s="89"/>
      <c r="C602" s="97"/>
      <c r="D602" s="97"/>
      <c r="E602" s="97"/>
      <c r="F602" s="97"/>
      <c r="G602" s="97"/>
      <c r="H602" s="97"/>
      <c r="I602" s="97"/>
      <c r="J602" s="97"/>
      <c r="K602" s="97"/>
      <c r="L602" s="97"/>
      <c r="M602" s="97"/>
      <c r="N602" s="97"/>
      <c r="O602" s="97"/>
      <c r="P602" s="97"/>
      <c r="Q602" s="97"/>
      <c r="R602" s="97"/>
      <c r="S602" s="97"/>
      <c r="T602" s="97"/>
      <c r="U602" s="97"/>
    </row>
    <row r="603" spans="1:21">
      <c r="A603"/>
      <c r="B603" s="89"/>
      <c r="C603" s="97"/>
      <c r="D603" s="97"/>
      <c r="E603" s="97"/>
      <c r="F603" s="97"/>
      <c r="G603" s="97"/>
      <c r="H603" s="97"/>
      <c r="I603" s="97"/>
      <c r="J603" s="97"/>
      <c r="K603" s="97"/>
      <c r="L603" s="97"/>
      <c r="M603" s="97"/>
      <c r="N603" s="97"/>
      <c r="O603" s="97"/>
      <c r="P603" s="97"/>
      <c r="Q603" s="97"/>
      <c r="R603" s="97"/>
      <c r="S603" s="97"/>
      <c r="T603" s="97"/>
      <c r="U603" s="97"/>
    </row>
    <row r="604" spans="1:21">
      <c r="A604"/>
      <c r="B604" s="89"/>
      <c r="C604" s="97"/>
      <c r="D604" s="97"/>
      <c r="E604" s="97"/>
      <c r="F604" s="97"/>
      <c r="G604" s="97"/>
      <c r="H604" s="97"/>
      <c r="I604" s="97"/>
      <c r="J604" s="97"/>
      <c r="K604" s="97"/>
      <c r="L604" s="97"/>
      <c r="M604" s="97"/>
      <c r="N604" s="97"/>
      <c r="O604" s="97"/>
      <c r="P604" s="97"/>
      <c r="Q604" s="97"/>
      <c r="R604" s="97"/>
      <c r="S604" s="97"/>
      <c r="T604" s="97"/>
      <c r="U604" s="97"/>
    </row>
    <row r="605" spans="1:21">
      <c r="A605"/>
      <c r="B605" s="89"/>
      <c r="C605" s="97"/>
      <c r="D605" s="97"/>
      <c r="E605" s="97"/>
      <c r="F605" s="97"/>
      <c r="G605" s="97"/>
      <c r="H605" s="97"/>
      <c r="I605" s="97"/>
      <c r="J605" s="97"/>
      <c r="K605" s="97"/>
      <c r="L605" s="97"/>
      <c r="M605" s="97"/>
      <c r="N605" s="97"/>
      <c r="O605" s="97"/>
      <c r="P605" s="97"/>
      <c r="Q605" s="97"/>
      <c r="R605" s="97"/>
      <c r="S605" s="97"/>
      <c r="T605" s="97"/>
      <c r="U605" s="97"/>
    </row>
    <row r="606" spans="1:21">
      <c r="A606"/>
      <c r="B606" s="89"/>
      <c r="C606" s="97"/>
      <c r="D606" s="97"/>
      <c r="E606" s="97"/>
      <c r="F606" s="97"/>
      <c r="G606" s="97"/>
      <c r="H606" s="97"/>
      <c r="I606" s="97"/>
      <c r="J606" s="97"/>
      <c r="K606" s="97"/>
      <c r="L606" s="97"/>
      <c r="M606" s="97"/>
      <c r="N606" s="97"/>
      <c r="O606" s="97"/>
      <c r="P606" s="97"/>
      <c r="Q606" s="97"/>
      <c r="R606" s="97"/>
      <c r="S606" s="97"/>
      <c r="T606" s="97"/>
      <c r="U606" s="97"/>
    </row>
    <row r="607" spans="1:21">
      <c r="A607"/>
      <c r="B607" s="89"/>
      <c r="C607" s="97"/>
      <c r="D607" s="97"/>
      <c r="E607" s="97"/>
      <c r="F607" s="97"/>
      <c r="G607" s="97"/>
      <c r="H607" s="97"/>
      <c r="I607" s="97"/>
      <c r="J607" s="97"/>
      <c r="K607" s="97"/>
      <c r="L607" s="97"/>
      <c r="M607" s="97"/>
      <c r="N607" s="97"/>
      <c r="O607" s="97"/>
      <c r="P607" s="97"/>
      <c r="Q607" s="97"/>
      <c r="R607" s="97"/>
      <c r="S607" s="97"/>
      <c r="T607" s="97"/>
      <c r="U607" s="97"/>
    </row>
    <row r="608" spans="1:21">
      <c r="A608"/>
      <c r="B608" s="89"/>
      <c r="C608" s="97"/>
      <c r="D608" s="97"/>
      <c r="E608" s="97"/>
      <c r="F608" s="97"/>
      <c r="G608" s="97"/>
      <c r="H608" s="97"/>
      <c r="I608" s="97"/>
      <c r="J608" s="97"/>
      <c r="K608" s="97"/>
      <c r="L608" s="97"/>
      <c r="M608" s="97"/>
      <c r="N608" s="97"/>
      <c r="O608" s="97"/>
      <c r="P608" s="97"/>
      <c r="Q608" s="97"/>
      <c r="R608" s="97"/>
      <c r="S608" s="97"/>
      <c r="T608" s="97"/>
      <c r="U608" s="97"/>
    </row>
    <row r="609" spans="1:21">
      <c r="A609"/>
      <c r="B609" s="89"/>
      <c r="C609" s="97"/>
      <c r="D609" s="97"/>
      <c r="E609" s="97"/>
      <c r="F609" s="97"/>
      <c r="G609" s="97"/>
      <c r="H609" s="97"/>
      <c r="I609" s="97"/>
      <c r="J609" s="97"/>
      <c r="K609" s="97"/>
      <c r="L609" s="97"/>
      <c r="M609" s="97"/>
      <c r="N609" s="97"/>
      <c r="O609" s="97"/>
      <c r="P609" s="97"/>
      <c r="Q609" s="97"/>
      <c r="R609" s="97"/>
      <c r="S609" s="97"/>
      <c r="T609" s="97"/>
      <c r="U609" s="97"/>
    </row>
    <row r="610" spans="1:21">
      <c r="A610"/>
      <c r="B610" s="89"/>
      <c r="C610" s="97"/>
      <c r="D610" s="97"/>
      <c r="E610" s="97"/>
      <c r="F610" s="97"/>
      <c r="G610" s="97"/>
      <c r="H610" s="97"/>
      <c r="I610" s="97"/>
      <c r="J610" s="97"/>
      <c r="K610" s="97"/>
      <c r="L610" s="97"/>
      <c r="M610" s="97"/>
      <c r="N610" s="97"/>
      <c r="O610" s="97"/>
      <c r="P610" s="97"/>
      <c r="Q610" s="97"/>
      <c r="R610" s="97"/>
      <c r="S610" s="97"/>
      <c r="T610" s="97"/>
      <c r="U610" s="97"/>
    </row>
    <row r="611" spans="1:21">
      <c r="A611"/>
      <c r="B611" s="89"/>
      <c r="C611" s="97"/>
      <c r="D611" s="97"/>
      <c r="E611" s="97"/>
      <c r="F611" s="97"/>
      <c r="G611" s="97"/>
      <c r="H611" s="97"/>
      <c r="I611" s="97"/>
      <c r="J611" s="97"/>
      <c r="K611" s="97"/>
      <c r="L611" s="97"/>
      <c r="M611" s="97"/>
      <c r="N611" s="97"/>
      <c r="O611" s="97"/>
      <c r="P611" s="97"/>
      <c r="Q611" s="97"/>
      <c r="R611" s="97"/>
      <c r="S611" s="97"/>
      <c r="T611" s="97"/>
      <c r="U611" s="97"/>
    </row>
    <row r="612" spans="1:21">
      <c r="A612"/>
      <c r="B612" s="89"/>
      <c r="C612" s="97"/>
      <c r="D612" s="97"/>
      <c r="E612" s="97"/>
      <c r="F612" s="97"/>
      <c r="G612" s="97"/>
      <c r="H612" s="97"/>
      <c r="I612" s="97"/>
      <c r="J612" s="97"/>
      <c r="K612" s="97"/>
      <c r="L612" s="97"/>
      <c r="M612" s="97"/>
      <c r="N612" s="97"/>
      <c r="O612" s="97"/>
      <c r="P612" s="97"/>
      <c r="Q612" s="97"/>
      <c r="R612" s="97"/>
      <c r="S612" s="97"/>
      <c r="T612" s="97"/>
      <c r="U612" s="97"/>
    </row>
    <row r="613" spans="1:21">
      <c r="A613"/>
      <c r="B613" s="89"/>
      <c r="C613" s="97"/>
      <c r="D613" s="97"/>
      <c r="E613" s="97"/>
      <c r="F613" s="97"/>
      <c r="G613" s="97"/>
      <c r="H613" s="97"/>
      <c r="I613" s="97"/>
      <c r="J613" s="97"/>
      <c r="K613" s="97"/>
      <c r="L613" s="97"/>
      <c r="M613" s="97"/>
      <c r="N613" s="97"/>
      <c r="O613" s="97"/>
      <c r="P613" s="97"/>
      <c r="Q613" s="97"/>
      <c r="R613" s="97"/>
      <c r="S613" s="97"/>
      <c r="T613" s="97"/>
      <c r="U613" s="97"/>
    </row>
    <row r="614" spans="1:21">
      <c r="A614"/>
      <c r="B614" s="89"/>
      <c r="C614" s="97"/>
      <c r="D614" s="97"/>
      <c r="E614" s="97"/>
      <c r="F614" s="97"/>
      <c r="G614" s="97"/>
      <c r="H614" s="97"/>
      <c r="I614" s="97"/>
      <c r="J614" s="97"/>
      <c r="K614" s="97"/>
      <c r="L614" s="97"/>
      <c r="M614" s="97"/>
      <c r="N614" s="97"/>
      <c r="O614" s="97"/>
      <c r="P614" s="97"/>
      <c r="Q614" s="97"/>
      <c r="R614" s="97"/>
      <c r="S614" s="97"/>
      <c r="T614" s="97"/>
      <c r="U614" s="97"/>
    </row>
    <row r="615" spans="1:21">
      <c r="A615"/>
      <c r="B615" s="89"/>
      <c r="C615" s="97"/>
      <c r="D615" s="97"/>
      <c r="E615" s="97"/>
      <c r="F615" s="97"/>
      <c r="G615" s="97"/>
      <c r="H615" s="97"/>
      <c r="I615" s="97"/>
      <c r="J615" s="97"/>
      <c r="K615" s="97"/>
      <c r="L615" s="97"/>
      <c r="M615" s="97"/>
      <c r="N615" s="97"/>
      <c r="O615" s="97"/>
      <c r="P615" s="97"/>
      <c r="Q615" s="97"/>
      <c r="R615" s="97"/>
      <c r="S615" s="97"/>
      <c r="T615" s="97"/>
      <c r="U615" s="97"/>
    </row>
    <row r="616" spans="1:21">
      <c r="A616"/>
      <c r="B616" s="89"/>
      <c r="C616" s="97"/>
      <c r="D616" s="97"/>
      <c r="E616" s="97"/>
      <c r="F616" s="97"/>
      <c r="G616" s="97"/>
      <c r="H616" s="97"/>
      <c r="I616" s="97"/>
      <c r="J616" s="97"/>
      <c r="K616" s="97"/>
      <c r="L616" s="97"/>
      <c r="M616" s="97"/>
      <c r="N616" s="97"/>
      <c r="O616" s="97"/>
      <c r="P616" s="97"/>
      <c r="Q616" s="97"/>
      <c r="R616" s="97"/>
      <c r="S616" s="97"/>
      <c r="T616" s="97"/>
      <c r="U616" s="97"/>
    </row>
    <row r="617" spans="1:21">
      <c r="A617"/>
      <c r="B617" s="89"/>
      <c r="C617" s="97"/>
      <c r="D617" s="97"/>
      <c r="E617" s="97"/>
      <c r="F617" s="97"/>
      <c r="G617" s="97"/>
      <c r="H617" s="97"/>
      <c r="I617" s="97"/>
      <c r="J617" s="97"/>
      <c r="K617" s="97"/>
      <c r="L617" s="97"/>
      <c r="M617" s="97"/>
      <c r="N617" s="97"/>
      <c r="O617" s="97"/>
      <c r="P617" s="97"/>
      <c r="Q617" s="97"/>
      <c r="R617" s="97"/>
      <c r="S617" s="97"/>
      <c r="T617" s="97"/>
      <c r="U617" s="97"/>
    </row>
    <row r="618" spans="1:21">
      <c r="A618"/>
      <c r="B618" s="89"/>
      <c r="C618" s="97"/>
      <c r="D618" s="97"/>
      <c r="E618" s="97"/>
      <c r="F618" s="97"/>
      <c r="G618" s="97"/>
      <c r="H618" s="97"/>
      <c r="I618" s="97"/>
      <c r="J618" s="97"/>
      <c r="K618" s="97"/>
      <c r="L618" s="97"/>
      <c r="M618" s="97"/>
      <c r="N618" s="97"/>
      <c r="O618" s="97"/>
      <c r="P618" s="97"/>
      <c r="Q618" s="97"/>
      <c r="R618" s="97"/>
      <c r="S618" s="97"/>
      <c r="T618" s="97"/>
      <c r="U618" s="97"/>
    </row>
    <row r="619" spans="1:21">
      <c r="A619"/>
      <c r="B619" s="89"/>
      <c r="C619" s="97"/>
      <c r="D619" s="97"/>
      <c r="E619" s="97"/>
      <c r="F619" s="97"/>
      <c r="G619" s="97"/>
      <c r="H619" s="97"/>
      <c r="I619" s="97"/>
      <c r="J619" s="97"/>
      <c r="K619" s="97"/>
      <c r="L619" s="97"/>
      <c r="M619" s="97"/>
      <c r="N619" s="97"/>
      <c r="O619" s="97"/>
      <c r="P619" s="97"/>
      <c r="Q619" s="97"/>
      <c r="R619" s="97"/>
      <c r="S619" s="97"/>
      <c r="T619" s="97"/>
      <c r="U619" s="97"/>
    </row>
    <row r="620" spans="1:21">
      <c r="A620"/>
      <c r="B620" s="89"/>
      <c r="C620" s="97"/>
      <c r="D620" s="97"/>
      <c r="E620" s="97"/>
      <c r="F620" s="97"/>
      <c r="G620" s="97"/>
      <c r="H620" s="97"/>
      <c r="I620" s="97"/>
      <c r="J620" s="97"/>
      <c r="K620" s="97"/>
      <c r="L620" s="97"/>
      <c r="M620" s="97"/>
      <c r="N620" s="97"/>
      <c r="O620" s="97"/>
      <c r="P620" s="97"/>
      <c r="Q620" s="97"/>
      <c r="R620" s="97"/>
      <c r="S620" s="97"/>
      <c r="T620" s="97"/>
      <c r="U620" s="97"/>
    </row>
    <row r="621" spans="1:21">
      <c r="A621"/>
      <c r="B621" s="89"/>
      <c r="C621" s="97"/>
      <c r="D621" s="97"/>
      <c r="E621" s="97"/>
      <c r="F621" s="97"/>
      <c r="G621" s="97"/>
      <c r="H621" s="97"/>
      <c r="I621" s="97"/>
      <c r="J621" s="97"/>
      <c r="K621" s="97"/>
      <c r="L621" s="97"/>
      <c r="M621" s="97"/>
      <c r="N621" s="97"/>
      <c r="O621" s="97"/>
      <c r="P621" s="97"/>
      <c r="Q621" s="97"/>
      <c r="R621" s="97"/>
      <c r="S621" s="97"/>
      <c r="T621" s="97"/>
      <c r="U621" s="97"/>
    </row>
    <row r="622" spans="1:21">
      <c r="A622"/>
      <c r="B622" s="89"/>
      <c r="C622" s="97"/>
      <c r="D622" s="97"/>
      <c r="E622" s="97"/>
      <c r="F622" s="97"/>
      <c r="G622" s="97"/>
      <c r="H622" s="97"/>
      <c r="I622" s="97"/>
      <c r="J622" s="97"/>
      <c r="K622" s="97"/>
      <c r="L622" s="97"/>
      <c r="M622" s="97"/>
      <c r="N622" s="97"/>
      <c r="O622" s="97"/>
      <c r="P622" s="97"/>
      <c r="Q622" s="97"/>
      <c r="R622" s="97"/>
      <c r="S622" s="97"/>
      <c r="T622" s="97"/>
      <c r="U622" s="97"/>
    </row>
    <row r="623" spans="1:21">
      <c r="A623"/>
      <c r="B623" s="89"/>
      <c r="C623" s="97"/>
      <c r="D623" s="97"/>
      <c r="E623" s="97"/>
      <c r="F623" s="97"/>
      <c r="G623" s="97"/>
      <c r="H623" s="97"/>
      <c r="I623" s="97"/>
      <c r="J623" s="97"/>
      <c r="K623" s="97"/>
      <c r="L623" s="97"/>
      <c r="M623" s="97"/>
      <c r="N623" s="97"/>
      <c r="O623" s="97"/>
      <c r="P623" s="97"/>
      <c r="Q623" s="97"/>
      <c r="R623" s="97"/>
      <c r="S623" s="97"/>
      <c r="T623" s="97"/>
      <c r="U623" s="97"/>
    </row>
    <row r="624" spans="1:21">
      <c r="A624"/>
      <c r="B624" s="89"/>
      <c r="C624" s="97"/>
      <c r="D624" s="97"/>
      <c r="E624" s="97"/>
      <c r="F624" s="97"/>
      <c r="G624" s="97"/>
      <c r="H624" s="97"/>
      <c r="I624" s="97"/>
      <c r="J624" s="97"/>
      <c r="K624" s="97"/>
      <c r="L624" s="97"/>
      <c r="M624" s="97"/>
      <c r="N624" s="97"/>
      <c r="O624" s="97"/>
      <c r="P624" s="97"/>
      <c r="Q624" s="97"/>
      <c r="R624" s="97"/>
      <c r="S624" s="97"/>
      <c r="T624" s="97"/>
      <c r="U624" s="97"/>
    </row>
    <row r="625" spans="1:21">
      <c r="A625"/>
      <c r="B625" s="89"/>
      <c r="C625" s="97"/>
      <c r="D625" s="97"/>
      <c r="E625" s="97"/>
      <c r="F625" s="97"/>
      <c r="G625" s="97"/>
      <c r="H625" s="97"/>
      <c r="I625" s="97"/>
      <c r="J625" s="97"/>
      <c r="K625" s="97"/>
      <c r="L625" s="97"/>
      <c r="M625" s="97"/>
      <c r="N625" s="97"/>
      <c r="O625" s="97"/>
      <c r="P625" s="97"/>
      <c r="Q625" s="97"/>
      <c r="R625" s="97"/>
      <c r="S625" s="97"/>
      <c r="T625" s="97"/>
      <c r="U625" s="97"/>
    </row>
    <row r="626" spans="1:21">
      <c r="A626"/>
      <c r="B626" s="89"/>
      <c r="C626" s="97"/>
      <c r="D626" s="97"/>
      <c r="E626" s="97"/>
      <c r="F626" s="97"/>
      <c r="G626" s="97"/>
      <c r="H626" s="97"/>
      <c r="I626" s="97"/>
      <c r="J626" s="97"/>
      <c r="K626" s="97"/>
      <c r="L626" s="97"/>
      <c r="M626" s="97"/>
      <c r="N626" s="97"/>
      <c r="O626" s="97"/>
      <c r="P626" s="97"/>
      <c r="Q626" s="97"/>
      <c r="R626" s="97"/>
      <c r="S626" s="97"/>
      <c r="T626" s="97"/>
      <c r="U626" s="97"/>
    </row>
    <row r="627" spans="1:21">
      <c r="A627"/>
      <c r="B627" s="89"/>
      <c r="C627" s="97"/>
      <c r="D627" s="97"/>
      <c r="E627" s="97"/>
      <c r="F627" s="97"/>
      <c r="G627" s="97"/>
      <c r="H627" s="97"/>
      <c r="I627" s="97"/>
      <c r="J627" s="97"/>
      <c r="K627" s="97"/>
      <c r="L627" s="97"/>
      <c r="M627" s="97"/>
      <c r="N627" s="97"/>
      <c r="O627" s="97"/>
      <c r="P627" s="97"/>
      <c r="Q627" s="97"/>
      <c r="R627" s="97"/>
      <c r="S627" s="97"/>
      <c r="T627" s="97"/>
      <c r="U627" s="97"/>
    </row>
    <row r="628" spans="1:21">
      <c r="A628"/>
      <c r="B628" s="89"/>
      <c r="C628" s="97"/>
      <c r="D628" s="97"/>
      <c r="E628" s="97"/>
      <c r="F628" s="97"/>
      <c r="G628" s="97"/>
      <c r="H628" s="97"/>
      <c r="I628" s="97"/>
      <c r="J628" s="97"/>
      <c r="K628" s="97"/>
      <c r="L628" s="97"/>
      <c r="M628" s="97"/>
      <c r="N628" s="97"/>
      <c r="O628" s="97"/>
      <c r="P628" s="97"/>
      <c r="Q628" s="97"/>
      <c r="R628" s="97"/>
      <c r="S628" s="97"/>
      <c r="T628" s="97"/>
      <c r="U628" s="97"/>
    </row>
    <row r="629" spans="1:21">
      <c r="A629"/>
      <c r="B629" s="89"/>
      <c r="C629" s="97"/>
      <c r="D629" s="97"/>
      <c r="E629" s="97"/>
      <c r="F629" s="97"/>
      <c r="G629" s="97"/>
      <c r="H629" s="97"/>
      <c r="I629" s="97"/>
      <c r="J629" s="97"/>
      <c r="K629" s="97"/>
      <c r="L629" s="97"/>
      <c r="M629" s="97"/>
      <c r="N629" s="97"/>
      <c r="O629" s="97"/>
      <c r="P629" s="97"/>
      <c r="Q629" s="97"/>
      <c r="R629" s="97"/>
      <c r="S629" s="97"/>
      <c r="T629" s="97"/>
      <c r="U629" s="97"/>
    </row>
    <row r="630" spans="1:21">
      <c r="A630"/>
      <c r="B630" s="89"/>
      <c r="C630" s="97"/>
      <c r="D630" s="97"/>
      <c r="E630" s="97"/>
      <c r="F630" s="97"/>
      <c r="G630" s="97"/>
      <c r="H630" s="97"/>
      <c r="I630" s="97"/>
      <c r="J630" s="97"/>
      <c r="K630" s="97"/>
      <c r="L630" s="97"/>
      <c r="M630" s="97"/>
      <c r="N630" s="97"/>
      <c r="O630" s="97"/>
      <c r="P630" s="97"/>
      <c r="Q630" s="97"/>
      <c r="R630" s="97"/>
      <c r="S630" s="97"/>
      <c r="T630" s="97"/>
      <c r="U630" s="97"/>
    </row>
    <row r="631" spans="1:21">
      <c r="A631"/>
      <c r="B631" s="89"/>
      <c r="C631" s="97"/>
      <c r="D631" s="97"/>
      <c r="E631" s="97"/>
      <c r="F631" s="97"/>
      <c r="G631" s="97"/>
      <c r="H631" s="97"/>
      <c r="I631" s="97"/>
      <c r="J631" s="97"/>
      <c r="K631" s="97"/>
      <c r="L631" s="97"/>
      <c r="M631" s="97"/>
      <c r="N631" s="97"/>
      <c r="O631" s="97"/>
      <c r="P631" s="97"/>
      <c r="Q631" s="97"/>
      <c r="R631" s="97"/>
      <c r="S631" s="97"/>
      <c r="T631" s="97"/>
      <c r="U631" s="97"/>
    </row>
    <row r="632" spans="1:21">
      <c r="A632"/>
      <c r="B632" s="89"/>
      <c r="C632" s="97"/>
      <c r="D632" s="97"/>
      <c r="E632" s="97"/>
      <c r="F632" s="97"/>
      <c r="G632" s="97"/>
      <c r="H632" s="97"/>
      <c r="I632" s="97"/>
      <c r="J632" s="97"/>
      <c r="K632" s="97"/>
      <c r="L632" s="97"/>
      <c r="M632" s="97"/>
      <c r="N632" s="97"/>
      <c r="O632" s="97"/>
      <c r="P632" s="97"/>
      <c r="Q632" s="97"/>
      <c r="R632" s="97"/>
      <c r="S632" s="97"/>
      <c r="T632" s="97"/>
      <c r="U632" s="97"/>
    </row>
    <row r="633" spans="1:21">
      <c r="A633"/>
      <c r="B633" s="89"/>
      <c r="C633" s="97"/>
      <c r="D633" s="97"/>
      <c r="E633" s="97"/>
      <c r="F633" s="97"/>
      <c r="G633" s="97"/>
      <c r="H633" s="97"/>
      <c r="I633" s="97"/>
      <c r="J633" s="97"/>
      <c r="K633" s="97"/>
      <c r="L633" s="97"/>
      <c r="M633" s="97"/>
      <c r="N633" s="97"/>
      <c r="O633" s="97"/>
      <c r="P633" s="97"/>
      <c r="Q633" s="97"/>
      <c r="R633" s="97"/>
      <c r="S633" s="97"/>
      <c r="T633" s="97"/>
      <c r="U633" s="97"/>
    </row>
    <row r="634" spans="1:21">
      <c r="A634"/>
      <c r="B634" s="89"/>
      <c r="C634" s="97"/>
      <c r="D634" s="97"/>
      <c r="E634" s="97"/>
      <c r="F634" s="97"/>
      <c r="G634" s="97"/>
      <c r="H634" s="97"/>
      <c r="I634" s="97"/>
      <c r="J634" s="97"/>
      <c r="K634" s="97"/>
      <c r="L634" s="97"/>
      <c r="M634" s="97"/>
      <c r="N634" s="97"/>
      <c r="O634" s="97"/>
      <c r="P634" s="97"/>
      <c r="Q634" s="97"/>
      <c r="R634" s="97"/>
      <c r="S634" s="97"/>
      <c r="T634" s="97"/>
      <c r="U634" s="97"/>
    </row>
    <row r="635" spans="1:21">
      <c r="A635"/>
      <c r="B635" s="89"/>
      <c r="C635" s="97"/>
      <c r="D635" s="97"/>
      <c r="E635" s="97"/>
      <c r="F635" s="97"/>
      <c r="G635" s="97"/>
      <c r="H635" s="97"/>
      <c r="I635" s="97"/>
      <c r="J635" s="97"/>
      <c r="K635" s="97"/>
      <c r="L635" s="97"/>
      <c r="M635" s="97"/>
      <c r="N635" s="97"/>
      <c r="O635" s="97"/>
      <c r="P635" s="97"/>
      <c r="Q635" s="97"/>
      <c r="R635" s="97"/>
      <c r="S635" s="97"/>
      <c r="T635" s="97"/>
      <c r="U635" s="97"/>
    </row>
    <row r="636" spans="1:21">
      <c r="A636"/>
      <c r="B636" s="89"/>
      <c r="C636" s="97"/>
      <c r="D636" s="97"/>
      <c r="E636" s="97"/>
      <c r="F636" s="97"/>
      <c r="G636" s="97"/>
      <c r="H636" s="97"/>
      <c r="I636" s="97"/>
      <c r="J636" s="97"/>
      <c r="K636" s="97"/>
      <c r="L636" s="97"/>
      <c r="M636" s="97"/>
      <c r="N636" s="97"/>
      <c r="O636" s="97"/>
      <c r="P636" s="97"/>
      <c r="Q636" s="97"/>
      <c r="R636" s="97"/>
      <c r="S636" s="97"/>
      <c r="T636" s="97"/>
      <c r="U636" s="97"/>
    </row>
    <row r="637" spans="1:21">
      <c r="A637"/>
      <c r="B637" s="89"/>
      <c r="C637" s="97"/>
      <c r="D637" s="97"/>
      <c r="E637" s="97"/>
      <c r="F637" s="97"/>
      <c r="G637" s="97"/>
      <c r="H637" s="97"/>
      <c r="I637" s="97"/>
      <c r="J637" s="97"/>
      <c r="K637" s="97"/>
      <c r="L637" s="97"/>
      <c r="M637" s="97"/>
      <c r="N637" s="97"/>
      <c r="O637" s="97"/>
      <c r="P637" s="97"/>
      <c r="Q637" s="97"/>
      <c r="R637" s="97"/>
      <c r="S637" s="97"/>
      <c r="T637" s="97"/>
      <c r="U637" s="97"/>
    </row>
    <row r="638" spans="1:21">
      <c r="A638"/>
      <c r="B638" s="89"/>
      <c r="C638" s="97"/>
      <c r="D638" s="97"/>
      <c r="E638" s="97"/>
      <c r="F638" s="97"/>
      <c r="G638" s="97"/>
      <c r="H638" s="97"/>
      <c r="I638" s="97"/>
      <c r="J638" s="97"/>
      <c r="K638" s="97"/>
      <c r="L638" s="97"/>
      <c r="M638" s="97"/>
      <c r="N638" s="97"/>
      <c r="O638" s="97"/>
      <c r="P638" s="97"/>
      <c r="Q638" s="97"/>
      <c r="R638" s="97"/>
      <c r="S638" s="97"/>
      <c r="T638" s="97"/>
      <c r="U638" s="97"/>
    </row>
    <row r="639" spans="1:21">
      <c r="A639"/>
      <c r="B639" s="89"/>
      <c r="C639" s="97"/>
      <c r="D639" s="97"/>
      <c r="E639" s="97"/>
      <c r="F639" s="97"/>
      <c r="G639" s="97"/>
      <c r="H639" s="97"/>
      <c r="I639" s="97"/>
      <c r="J639" s="97"/>
      <c r="K639" s="97"/>
      <c r="L639" s="97"/>
      <c r="M639" s="97"/>
      <c r="N639" s="97"/>
      <c r="O639" s="97"/>
      <c r="P639" s="97"/>
      <c r="Q639" s="97"/>
      <c r="R639" s="97"/>
      <c r="S639" s="97"/>
      <c r="T639" s="97"/>
      <c r="U639" s="97"/>
    </row>
    <row r="640" spans="1:21">
      <c r="A640"/>
      <c r="B640" s="89"/>
      <c r="C640" s="97"/>
      <c r="D640" s="97"/>
      <c r="E640" s="97"/>
      <c r="F640" s="97"/>
      <c r="G640" s="97"/>
      <c r="H640" s="97"/>
      <c r="I640" s="97"/>
      <c r="J640" s="97"/>
      <c r="K640" s="97"/>
      <c r="L640" s="97"/>
      <c r="M640" s="97"/>
      <c r="N640" s="97"/>
      <c r="O640" s="97"/>
      <c r="P640" s="97"/>
      <c r="Q640" s="97"/>
      <c r="R640" s="97"/>
      <c r="S640" s="97"/>
      <c r="T640" s="97"/>
      <c r="U640" s="97"/>
    </row>
    <row r="641" spans="1:21">
      <c r="A641"/>
      <c r="B641" s="89"/>
      <c r="C641" s="97"/>
      <c r="D641" s="97"/>
      <c r="E641" s="97"/>
      <c r="F641" s="97"/>
      <c r="G641" s="97"/>
      <c r="H641" s="97"/>
      <c r="I641" s="97"/>
      <c r="J641" s="97"/>
      <c r="K641" s="97"/>
      <c r="L641" s="97"/>
      <c r="M641" s="97"/>
      <c r="N641" s="97"/>
      <c r="O641" s="97"/>
      <c r="P641" s="97"/>
      <c r="Q641" s="97"/>
      <c r="R641" s="97"/>
      <c r="S641" s="97"/>
      <c r="T641" s="97"/>
      <c r="U641" s="97"/>
    </row>
    <row r="642" spans="1:21">
      <c r="A642"/>
      <c r="B642" s="89"/>
      <c r="C642" s="97"/>
      <c r="D642" s="97"/>
      <c r="E642" s="97"/>
      <c r="F642" s="97"/>
      <c r="G642" s="97"/>
      <c r="H642" s="97"/>
      <c r="I642" s="97"/>
      <c r="J642" s="97"/>
      <c r="K642" s="97"/>
      <c r="L642" s="97"/>
      <c r="M642" s="97"/>
      <c r="N642" s="97"/>
      <c r="O642" s="97"/>
      <c r="P642" s="97"/>
      <c r="Q642" s="97"/>
      <c r="R642" s="97"/>
      <c r="S642" s="97"/>
      <c r="T642" s="97"/>
      <c r="U642" s="97"/>
    </row>
    <row r="643" spans="1:21">
      <c r="A643"/>
      <c r="B643" s="89"/>
      <c r="C643" s="97"/>
      <c r="D643" s="97"/>
      <c r="E643" s="97"/>
      <c r="F643" s="97"/>
      <c r="G643" s="97"/>
      <c r="H643" s="97"/>
      <c r="I643" s="97"/>
      <c r="J643" s="97"/>
      <c r="K643" s="97"/>
      <c r="L643" s="97"/>
      <c r="M643" s="97"/>
      <c r="N643" s="97"/>
      <c r="O643" s="97"/>
      <c r="P643" s="97"/>
      <c r="Q643" s="97"/>
      <c r="R643" s="97"/>
      <c r="S643" s="97"/>
      <c r="T643" s="97"/>
      <c r="U643" s="97"/>
    </row>
    <row r="644" spans="1:21">
      <c r="A644"/>
      <c r="B644" s="89"/>
      <c r="C644" s="97"/>
      <c r="D644" s="97"/>
      <c r="E644" s="97"/>
      <c r="F644" s="97"/>
      <c r="G644" s="97"/>
      <c r="H644" s="97"/>
      <c r="I644" s="97"/>
      <c r="J644" s="97"/>
      <c r="K644" s="97"/>
      <c r="L644" s="97"/>
      <c r="M644" s="97"/>
      <c r="N644" s="97"/>
      <c r="O644" s="97"/>
      <c r="P644" s="97"/>
      <c r="Q644" s="97"/>
      <c r="R644" s="97"/>
      <c r="S644" s="97"/>
      <c r="T644" s="97"/>
      <c r="U644" s="97"/>
    </row>
    <row r="645" spans="1:21">
      <c r="A645"/>
      <c r="B645" s="89"/>
      <c r="C645" s="97"/>
      <c r="D645" s="97"/>
      <c r="E645" s="97"/>
      <c r="F645" s="97"/>
      <c r="G645" s="97"/>
      <c r="H645" s="97"/>
      <c r="I645" s="97"/>
      <c r="J645" s="97"/>
      <c r="K645" s="97"/>
      <c r="L645" s="97"/>
      <c r="M645" s="97"/>
      <c r="N645" s="97"/>
      <c r="O645" s="97"/>
      <c r="P645" s="97"/>
      <c r="Q645" s="97"/>
      <c r="R645" s="97"/>
      <c r="S645" s="97"/>
      <c r="T645" s="97"/>
      <c r="U645" s="97"/>
    </row>
    <row r="646" spans="1:21">
      <c r="A646"/>
      <c r="B646" s="89"/>
      <c r="C646" s="97"/>
      <c r="D646" s="97"/>
      <c r="E646" s="97"/>
      <c r="F646" s="97"/>
      <c r="G646" s="97"/>
      <c r="H646" s="97"/>
      <c r="I646" s="97"/>
      <c r="J646" s="97"/>
      <c r="K646" s="97"/>
      <c r="L646" s="97"/>
      <c r="M646" s="97"/>
      <c r="N646" s="97"/>
      <c r="O646" s="97"/>
      <c r="P646" s="97"/>
      <c r="Q646" s="97"/>
      <c r="R646" s="97"/>
      <c r="S646" s="97"/>
      <c r="T646" s="97"/>
      <c r="U646" s="97"/>
    </row>
    <row r="647" spans="1:21">
      <c r="A647"/>
      <c r="B647" s="89"/>
      <c r="C647" s="97"/>
      <c r="D647" s="97"/>
      <c r="E647" s="97"/>
      <c r="F647" s="97"/>
      <c r="G647" s="97"/>
      <c r="H647" s="97"/>
      <c r="I647" s="97"/>
      <c r="J647" s="97"/>
      <c r="K647" s="97"/>
      <c r="L647" s="97"/>
      <c r="M647" s="97"/>
      <c r="N647" s="97"/>
      <c r="O647" s="97"/>
      <c r="P647" s="97"/>
      <c r="Q647" s="97"/>
      <c r="R647" s="97"/>
      <c r="S647" s="97"/>
      <c r="T647" s="97"/>
      <c r="U647" s="97"/>
    </row>
    <row r="648" spans="1:21">
      <c r="A648"/>
      <c r="B648" s="89"/>
      <c r="C648" s="97"/>
      <c r="D648" s="97"/>
      <c r="E648" s="97"/>
      <c r="F648" s="97"/>
      <c r="G648" s="97"/>
      <c r="H648" s="97"/>
      <c r="I648" s="97"/>
      <c r="J648" s="97"/>
      <c r="K648" s="97"/>
      <c r="L648" s="97"/>
      <c r="M648" s="97"/>
      <c r="N648" s="97"/>
      <c r="O648" s="97"/>
      <c r="P648" s="97"/>
      <c r="Q648" s="97"/>
      <c r="R648" s="97"/>
      <c r="S648" s="97"/>
      <c r="T648" s="97"/>
      <c r="U648" s="97"/>
    </row>
    <row r="649" spans="1:21">
      <c r="A649"/>
      <c r="B649" s="89"/>
      <c r="C649" s="97"/>
      <c r="D649" s="97"/>
      <c r="E649" s="97"/>
      <c r="F649" s="97"/>
      <c r="G649" s="97"/>
      <c r="H649" s="97"/>
      <c r="I649" s="97"/>
      <c r="J649" s="97"/>
      <c r="K649" s="97"/>
      <c r="L649" s="97"/>
      <c r="M649" s="97"/>
      <c r="N649" s="97"/>
      <c r="O649" s="97"/>
      <c r="P649" s="97"/>
      <c r="Q649" s="97"/>
      <c r="R649" s="97"/>
      <c r="S649" s="97"/>
      <c r="T649" s="97"/>
      <c r="U649" s="97"/>
    </row>
    <row r="650" spans="1:21">
      <c r="A650"/>
      <c r="B650" s="89"/>
      <c r="C650" s="97"/>
      <c r="D650" s="97"/>
      <c r="E650" s="97"/>
      <c r="F650" s="97"/>
      <c r="G650" s="97"/>
      <c r="H650" s="97"/>
      <c r="I650" s="97"/>
      <c r="J650" s="97"/>
      <c r="K650" s="97"/>
      <c r="L650" s="97"/>
      <c r="M650" s="97"/>
      <c r="N650" s="97"/>
      <c r="O650" s="97"/>
      <c r="P650" s="97"/>
      <c r="Q650" s="97"/>
      <c r="R650" s="97"/>
      <c r="S650" s="97"/>
      <c r="T650" s="97"/>
      <c r="U650" s="97"/>
    </row>
    <row r="651" spans="1:21">
      <c r="A651"/>
      <c r="B651" s="89"/>
      <c r="C651" s="97"/>
      <c r="D651" s="97"/>
      <c r="E651" s="97"/>
      <c r="F651" s="97"/>
      <c r="G651" s="97"/>
      <c r="H651" s="97"/>
      <c r="I651" s="97"/>
      <c r="J651" s="97"/>
      <c r="K651" s="97"/>
      <c r="L651" s="97"/>
      <c r="M651" s="97"/>
      <c r="N651" s="97"/>
      <c r="O651" s="97"/>
      <c r="P651" s="97"/>
      <c r="Q651" s="97"/>
      <c r="R651" s="97"/>
      <c r="S651" s="97"/>
      <c r="T651" s="97"/>
      <c r="U651" s="97"/>
    </row>
    <row r="652" spans="1:21">
      <c r="A652"/>
      <c r="B652" s="89"/>
      <c r="C652" s="97"/>
      <c r="D652" s="97"/>
      <c r="E652" s="97"/>
      <c r="F652" s="97"/>
      <c r="G652" s="97"/>
      <c r="H652" s="97"/>
      <c r="I652" s="97"/>
      <c r="J652" s="97"/>
      <c r="K652" s="97"/>
      <c r="L652" s="97"/>
      <c r="M652" s="97"/>
      <c r="N652" s="97"/>
      <c r="O652" s="97"/>
      <c r="P652" s="97"/>
      <c r="Q652" s="97"/>
      <c r="R652" s="97"/>
      <c r="S652" s="97"/>
      <c r="T652" s="97"/>
      <c r="U652" s="97"/>
    </row>
    <row r="653" spans="1:21">
      <c r="A653"/>
      <c r="B653" s="89"/>
      <c r="C653" s="97"/>
      <c r="D653" s="97"/>
      <c r="E653" s="97"/>
      <c r="F653" s="97"/>
      <c r="G653" s="97"/>
      <c r="H653" s="97"/>
      <c r="I653" s="97"/>
      <c r="J653" s="97"/>
      <c r="K653" s="97"/>
      <c r="L653" s="97"/>
      <c r="M653" s="97"/>
      <c r="N653" s="97"/>
      <c r="O653" s="97"/>
      <c r="P653" s="97"/>
      <c r="Q653" s="97"/>
      <c r="R653" s="97"/>
      <c r="S653" s="97"/>
      <c r="T653" s="97"/>
      <c r="U653" s="97"/>
    </row>
    <row r="654" spans="1:21">
      <c r="A654"/>
      <c r="B654" s="89"/>
      <c r="C654" s="97"/>
      <c r="D654" s="97"/>
      <c r="E654" s="97"/>
      <c r="F654" s="97"/>
      <c r="G654" s="97"/>
      <c r="H654" s="97"/>
      <c r="I654" s="97"/>
      <c r="J654" s="97"/>
      <c r="K654" s="97"/>
      <c r="L654" s="97"/>
      <c r="M654" s="97"/>
      <c r="N654" s="97"/>
      <c r="O654" s="97"/>
      <c r="P654" s="97"/>
      <c r="Q654" s="97"/>
      <c r="R654" s="97"/>
      <c r="S654" s="97"/>
      <c r="T654" s="97"/>
      <c r="U654" s="97"/>
    </row>
    <row r="655" spans="1:21">
      <c r="A655"/>
      <c r="B655" s="89"/>
      <c r="C655" s="97"/>
      <c r="D655" s="97"/>
      <c r="E655" s="97"/>
      <c r="F655" s="97"/>
      <c r="G655" s="97"/>
      <c r="H655" s="97"/>
      <c r="I655" s="97"/>
      <c r="J655" s="97"/>
      <c r="K655" s="97"/>
      <c r="L655" s="97"/>
      <c r="M655" s="97"/>
      <c r="N655" s="97"/>
      <c r="O655" s="97"/>
      <c r="P655" s="97"/>
      <c r="Q655" s="97"/>
      <c r="R655" s="97"/>
      <c r="S655" s="97"/>
      <c r="T655" s="97"/>
      <c r="U655" s="97"/>
    </row>
    <row r="656" spans="1:21">
      <c r="A656"/>
      <c r="B656" s="89"/>
      <c r="C656" s="97"/>
      <c r="D656" s="97"/>
      <c r="E656" s="97"/>
      <c r="F656" s="97"/>
      <c r="G656" s="97"/>
      <c r="H656" s="97"/>
      <c r="I656" s="97"/>
      <c r="J656" s="97"/>
      <c r="K656" s="97"/>
      <c r="L656" s="97"/>
      <c r="M656" s="97"/>
      <c r="N656" s="97"/>
      <c r="O656" s="97"/>
      <c r="P656" s="97"/>
      <c r="Q656" s="97"/>
      <c r="R656" s="97"/>
      <c r="S656" s="97"/>
      <c r="T656" s="97"/>
      <c r="U656" s="97"/>
    </row>
    <row r="657" spans="1:21">
      <c r="A657"/>
      <c r="B657" s="89"/>
      <c r="C657" s="97"/>
      <c r="D657" s="97"/>
      <c r="E657" s="97"/>
      <c r="F657" s="97"/>
      <c r="G657" s="97"/>
      <c r="H657" s="97"/>
      <c r="I657" s="97"/>
      <c r="J657" s="97"/>
      <c r="K657" s="97"/>
      <c r="L657" s="97"/>
      <c r="M657" s="97"/>
      <c r="N657" s="97"/>
      <c r="O657" s="97"/>
      <c r="P657" s="97"/>
      <c r="Q657" s="97"/>
      <c r="R657" s="97"/>
      <c r="S657" s="97"/>
      <c r="T657" s="97"/>
      <c r="U657" s="97"/>
    </row>
    <row r="658" spans="1:21">
      <c r="A658"/>
      <c r="B658" s="89"/>
      <c r="C658" s="97"/>
      <c r="D658" s="97"/>
      <c r="E658" s="97"/>
      <c r="F658" s="97"/>
      <c r="G658" s="97"/>
      <c r="H658" s="97"/>
      <c r="I658" s="97"/>
      <c r="J658" s="97"/>
      <c r="K658" s="97"/>
      <c r="L658" s="97"/>
      <c r="M658" s="97"/>
      <c r="N658" s="97"/>
      <c r="O658" s="97"/>
      <c r="P658" s="97"/>
      <c r="Q658" s="97"/>
      <c r="R658" s="97"/>
      <c r="S658" s="97"/>
      <c r="T658" s="97"/>
      <c r="U658" s="97"/>
    </row>
    <row r="659" spans="1:21">
      <c r="A659"/>
      <c r="B659" s="89"/>
      <c r="C659" s="97"/>
      <c r="D659" s="97"/>
      <c r="E659" s="97"/>
      <c r="F659" s="97"/>
      <c r="G659" s="97"/>
      <c r="H659" s="97"/>
      <c r="I659" s="97"/>
      <c r="J659" s="97"/>
      <c r="K659" s="97"/>
      <c r="L659" s="97"/>
      <c r="M659" s="97"/>
      <c r="N659" s="97"/>
      <c r="O659" s="97"/>
      <c r="P659" s="97"/>
      <c r="Q659" s="97"/>
      <c r="R659" s="97"/>
      <c r="S659" s="97"/>
      <c r="T659" s="97"/>
      <c r="U659" s="97"/>
    </row>
    <row r="660" spans="1:21">
      <c r="A660"/>
      <c r="B660" s="89"/>
      <c r="C660" s="97"/>
      <c r="D660" s="97"/>
      <c r="E660" s="97"/>
      <c r="F660" s="97"/>
      <c r="G660" s="97"/>
      <c r="H660" s="97"/>
      <c r="I660" s="97"/>
      <c r="J660" s="97"/>
      <c r="K660" s="97"/>
      <c r="L660" s="97"/>
      <c r="M660" s="97"/>
      <c r="N660" s="97"/>
      <c r="O660" s="97"/>
      <c r="P660" s="97"/>
      <c r="Q660" s="97"/>
      <c r="R660" s="97"/>
      <c r="S660" s="97"/>
      <c r="T660" s="97"/>
      <c r="U660" s="97"/>
    </row>
    <row r="661" spans="1:21">
      <c r="A661"/>
      <c r="B661" s="89"/>
      <c r="C661" s="97"/>
      <c r="D661" s="97"/>
      <c r="E661" s="97"/>
      <c r="F661" s="97"/>
      <c r="G661" s="97"/>
      <c r="H661" s="97"/>
      <c r="I661" s="97"/>
      <c r="J661" s="97"/>
      <c r="K661" s="97"/>
      <c r="L661" s="97"/>
      <c r="M661" s="97"/>
      <c r="N661" s="97"/>
      <c r="O661" s="97"/>
      <c r="P661" s="97"/>
      <c r="Q661" s="97"/>
      <c r="R661" s="97"/>
      <c r="S661" s="97"/>
      <c r="T661" s="97"/>
      <c r="U661" s="97"/>
    </row>
    <row r="662" spans="1:21">
      <c r="A662"/>
      <c r="B662" s="89"/>
      <c r="C662" s="97"/>
      <c r="D662" s="97"/>
      <c r="E662" s="97"/>
      <c r="F662" s="97"/>
      <c r="G662" s="97"/>
      <c r="H662" s="97"/>
      <c r="I662" s="97"/>
      <c r="J662" s="97"/>
      <c r="K662" s="97"/>
      <c r="L662" s="97"/>
      <c r="M662" s="97"/>
      <c r="N662" s="97"/>
      <c r="O662" s="97"/>
      <c r="P662" s="97"/>
      <c r="Q662" s="97"/>
      <c r="R662" s="97"/>
      <c r="S662" s="97"/>
      <c r="T662" s="97"/>
      <c r="U662" s="97"/>
    </row>
    <row r="663" spans="1:21">
      <c r="A663"/>
      <c r="B663" s="89"/>
      <c r="C663" s="97"/>
      <c r="D663" s="97"/>
      <c r="E663" s="97"/>
      <c r="F663" s="97"/>
      <c r="G663" s="97"/>
      <c r="H663" s="97"/>
      <c r="I663" s="97"/>
      <c r="J663" s="97"/>
      <c r="K663" s="97"/>
      <c r="L663" s="97"/>
      <c r="M663" s="97"/>
      <c r="N663" s="97"/>
      <c r="O663" s="97"/>
      <c r="P663" s="97"/>
      <c r="Q663" s="97"/>
      <c r="R663" s="97"/>
      <c r="S663" s="97"/>
      <c r="T663" s="97"/>
      <c r="U663" s="97"/>
    </row>
    <row r="664" spans="1:21">
      <c r="A664"/>
      <c r="B664" s="89"/>
      <c r="C664" s="97"/>
      <c r="D664" s="97"/>
      <c r="E664" s="97"/>
      <c r="F664" s="97"/>
      <c r="G664" s="97"/>
      <c r="H664" s="97"/>
      <c r="I664" s="97"/>
      <c r="J664" s="97"/>
      <c r="K664" s="97"/>
      <c r="L664" s="97"/>
      <c r="M664" s="97"/>
      <c r="N664" s="97"/>
      <c r="O664" s="97"/>
      <c r="P664" s="97"/>
      <c r="Q664" s="97"/>
      <c r="R664" s="97"/>
      <c r="S664" s="97"/>
      <c r="T664" s="97"/>
      <c r="U664" s="97"/>
    </row>
    <row r="665" spans="1:21">
      <c r="A665"/>
      <c r="B665" s="89"/>
      <c r="C665" s="97"/>
      <c r="D665" s="97"/>
      <c r="E665" s="97"/>
      <c r="F665" s="97"/>
      <c r="G665" s="97"/>
      <c r="H665" s="97"/>
      <c r="I665" s="97"/>
      <c r="J665" s="97"/>
      <c r="K665" s="97"/>
      <c r="L665" s="97"/>
      <c r="M665" s="97"/>
      <c r="N665" s="97"/>
      <c r="O665" s="97"/>
      <c r="P665" s="97"/>
      <c r="Q665" s="97"/>
      <c r="R665" s="97"/>
      <c r="S665" s="97"/>
      <c r="T665" s="97"/>
      <c r="U665" s="97"/>
    </row>
    <row r="666" spans="1:21">
      <c r="A666"/>
      <c r="B666" s="89"/>
      <c r="C666" s="97"/>
      <c r="D666" s="97"/>
      <c r="E666" s="97"/>
      <c r="F666" s="97"/>
      <c r="G666" s="97"/>
      <c r="H666" s="97"/>
      <c r="I666" s="97"/>
      <c r="J666" s="97"/>
      <c r="K666" s="97"/>
      <c r="L666" s="97"/>
      <c r="M666" s="97"/>
      <c r="N666" s="97"/>
      <c r="O666" s="97"/>
      <c r="P666" s="97"/>
      <c r="Q666" s="97"/>
      <c r="R666" s="97"/>
      <c r="S666" s="97"/>
      <c r="T666" s="97"/>
      <c r="U666" s="97"/>
    </row>
    <row r="667" spans="1:21">
      <c r="A667"/>
      <c r="B667" s="89"/>
      <c r="C667" s="97"/>
      <c r="D667" s="97"/>
      <c r="E667" s="97"/>
      <c r="F667" s="97"/>
      <c r="G667" s="97"/>
      <c r="H667" s="97"/>
      <c r="I667" s="97"/>
      <c r="J667" s="97"/>
      <c r="K667" s="97"/>
      <c r="L667" s="97"/>
      <c r="M667" s="97"/>
      <c r="N667" s="97"/>
      <c r="O667" s="97"/>
      <c r="P667" s="97"/>
      <c r="Q667" s="97"/>
      <c r="R667" s="97"/>
      <c r="S667" s="97"/>
      <c r="T667" s="97"/>
      <c r="U667" s="97"/>
    </row>
    <row r="668" spans="1:21">
      <c r="A668"/>
      <c r="B668" s="89"/>
      <c r="C668" s="97"/>
      <c r="D668" s="97"/>
      <c r="E668" s="97"/>
      <c r="F668" s="97"/>
      <c r="G668" s="97"/>
      <c r="H668" s="97"/>
      <c r="I668" s="97"/>
      <c r="J668" s="97"/>
      <c r="K668" s="97"/>
      <c r="L668" s="97"/>
      <c r="M668" s="97"/>
      <c r="N668" s="97"/>
      <c r="O668" s="97"/>
      <c r="P668" s="97"/>
      <c r="Q668" s="97"/>
      <c r="R668" s="97"/>
      <c r="S668" s="97"/>
      <c r="T668" s="97"/>
      <c r="U668" s="97"/>
    </row>
    <row r="669" spans="1:21">
      <c r="A669"/>
      <c r="B669" s="89"/>
      <c r="C669" s="97"/>
      <c r="D669" s="97"/>
      <c r="E669" s="97"/>
      <c r="F669" s="97"/>
      <c r="G669" s="97"/>
      <c r="H669" s="97"/>
      <c r="I669" s="97"/>
      <c r="J669" s="97"/>
      <c r="K669" s="97"/>
      <c r="L669" s="97"/>
      <c r="M669" s="97"/>
      <c r="N669" s="97"/>
      <c r="O669" s="97"/>
      <c r="P669" s="97"/>
      <c r="Q669" s="97"/>
      <c r="R669" s="97"/>
      <c r="S669" s="97"/>
      <c r="T669" s="97"/>
      <c r="U669" s="97"/>
    </row>
    <row r="670" spans="1:21">
      <c r="A670"/>
      <c r="B670" s="89"/>
      <c r="C670" s="97"/>
      <c r="D670" s="97"/>
      <c r="E670" s="97"/>
      <c r="F670" s="97"/>
      <c r="G670" s="97"/>
      <c r="H670" s="97"/>
      <c r="I670" s="97"/>
      <c r="J670" s="97"/>
      <c r="K670" s="97"/>
      <c r="L670" s="97"/>
      <c r="M670" s="97"/>
      <c r="N670" s="97"/>
      <c r="O670" s="97"/>
      <c r="P670" s="97"/>
      <c r="Q670" s="97"/>
      <c r="R670" s="97"/>
      <c r="S670" s="97"/>
      <c r="T670" s="97"/>
      <c r="U670" s="97"/>
    </row>
    <row r="671" spans="1:21">
      <c r="A671"/>
      <c r="B671" s="89"/>
      <c r="C671" s="97"/>
      <c r="D671" s="97"/>
      <c r="E671" s="97"/>
      <c r="F671" s="97"/>
      <c r="G671" s="97"/>
      <c r="H671" s="97"/>
      <c r="I671" s="97"/>
      <c r="J671" s="97"/>
      <c r="K671" s="97"/>
      <c r="L671" s="97"/>
      <c r="M671" s="97"/>
      <c r="N671" s="97"/>
      <c r="O671" s="97"/>
      <c r="P671" s="97"/>
      <c r="Q671" s="97"/>
      <c r="R671" s="97"/>
      <c r="S671" s="97"/>
      <c r="T671" s="97"/>
      <c r="U671" s="97"/>
    </row>
    <row r="672" spans="1:21">
      <c r="A672"/>
      <c r="B672" s="89"/>
      <c r="C672" s="97"/>
      <c r="D672" s="97"/>
      <c r="E672" s="97"/>
      <c r="F672" s="97"/>
      <c r="G672" s="97"/>
      <c r="H672" s="97"/>
      <c r="I672" s="97"/>
      <c r="J672" s="97"/>
      <c r="K672" s="97"/>
      <c r="L672" s="97"/>
      <c r="M672" s="97"/>
      <c r="N672" s="97"/>
      <c r="O672" s="97"/>
      <c r="P672" s="97"/>
      <c r="Q672" s="97"/>
      <c r="R672" s="97"/>
      <c r="S672" s="97"/>
      <c r="T672" s="97"/>
      <c r="U672" s="97"/>
    </row>
    <row r="673" spans="1:21">
      <c r="A673"/>
      <c r="B673" s="89"/>
      <c r="C673" s="97"/>
      <c r="D673" s="97"/>
      <c r="E673" s="97"/>
      <c r="F673" s="97"/>
      <c r="G673" s="97"/>
      <c r="H673" s="97"/>
      <c r="I673" s="97"/>
      <c r="J673" s="97"/>
      <c r="K673" s="97"/>
      <c r="L673" s="97"/>
      <c r="M673" s="97"/>
      <c r="N673" s="97"/>
      <c r="O673" s="97"/>
      <c r="P673" s="97"/>
      <c r="Q673" s="97"/>
      <c r="R673" s="97"/>
      <c r="S673" s="97"/>
      <c r="T673" s="97"/>
      <c r="U673" s="97"/>
    </row>
    <row r="674" spans="1:21">
      <c r="A674"/>
      <c r="B674" s="89"/>
      <c r="C674" s="97"/>
      <c r="D674" s="97"/>
      <c r="E674" s="97"/>
      <c r="F674" s="97"/>
      <c r="G674" s="97"/>
      <c r="H674" s="97"/>
      <c r="I674" s="97"/>
      <c r="J674" s="97"/>
      <c r="K674" s="97"/>
      <c r="L674" s="97"/>
      <c r="M674" s="97"/>
      <c r="N674" s="97"/>
      <c r="O674" s="97"/>
      <c r="P674" s="97"/>
      <c r="Q674" s="97"/>
      <c r="R674" s="97"/>
      <c r="S674" s="97"/>
      <c r="T674" s="97"/>
      <c r="U674" s="97"/>
    </row>
    <row r="675" spans="1:21">
      <c r="A675"/>
      <c r="B675" s="89"/>
      <c r="C675" s="97"/>
      <c r="D675" s="97"/>
      <c r="E675" s="97"/>
      <c r="F675" s="97"/>
      <c r="G675" s="97"/>
      <c r="H675" s="97"/>
      <c r="I675" s="97"/>
      <c r="J675" s="97"/>
      <c r="K675" s="97"/>
      <c r="L675" s="97"/>
      <c r="M675" s="97"/>
      <c r="N675" s="97"/>
      <c r="O675" s="97"/>
      <c r="P675" s="97"/>
      <c r="Q675" s="97"/>
      <c r="R675" s="97"/>
      <c r="S675" s="97"/>
      <c r="T675" s="97"/>
      <c r="U675" s="97"/>
    </row>
    <row r="676" spans="1:21">
      <c r="A676"/>
      <c r="B676" s="89"/>
      <c r="C676" s="97"/>
      <c r="D676" s="97"/>
      <c r="E676" s="97"/>
      <c r="F676" s="97"/>
      <c r="G676" s="97"/>
      <c r="H676" s="97"/>
      <c r="I676" s="97"/>
      <c r="J676" s="97"/>
      <c r="K676" s="97"/>
      <c r="L676" s="97"/>
      <c r="M676" s="97"/>
      <c r="N676" s="97"/>
      <c r="O676" s="97"/>
      <c r="P676" s="97"/>
      <c r="Q676" s="97"/>
      <c r="R676" s="97"/>
      <c r="S676" s="97"/>
      <c r="T676" s="97"/>
      <c r="U676" s="97"/>
    </row>
    <row r="677" spans="1:21">
      <c r="A677"/>
      <c r="B677" s="89"/>
      <c r="C677" s="97"/>
      <c r="D677" s="97"/>
      <c r="E677" s="97"/>
      <c r="F677" s="97"/>
      <c r="G677" s="97"/>
      <c r="H677" s="97"/>
      <c r="I677" s="97"/>
      <c r="J677" s="97"/>
      <c r="K677" s="97"/>
      <c r="L677" s="97"/>
      <c r="M677" s="97"/>
      <c r="N677" s="97"/>
      <c r="O677" s="97"/>
      <c r="P677" s="97"/>
      <c r="Q677" s="97"/>
      <c r="R677" s="97"/>
      <c r="S677" s="97"/>
      <c r="T677" s="97"/>
      <c r="U677" s="97"/>
    </row>
    <row r="678" spans="1:21">
      <c r="A678"/>
      <c r="B678" s="89"/>
      <c r="C678" s="97"/>
      <c r="D678" s="97"/>
      <c r="E678" s="97"/>
      <c r="F678" s="97"/>
      <c r="G678" s="97"/>
      <c r="H678" s="97"/>
      <c r="I678" s="97"/>
      <c r="J678" s="97"/>
      <c r="K678" s="97"/>
      <c r="L678" s="97"/>
      <c r="M678" s="97"/>
      <c r="N678" s="97"/>
      <c r="O678" s="97"/>
      <c r="P678" s="97"/>
      <c r="Q678" s="97"/>
      <c r="R678" s="97"/>
      <c r="S678" s="97"/>
      <c r="T678" s="97"/>
      <c r="U678" s="97"/>
    </row>
    <row r="679" spans="1:21">
      <c r="A679"/>
      <c r="B679" s="89"/>
      <c r="C679" s="97"/>
      <c r="D679" s="97"/>
      <c r="E679" s="97"/>
      <c r="F679" s="97"/>
      <c r="G679" s="97"/>
      <c r="H679" s="97"/>
      <c r="I679" s="97"/>
      <c r="J679" s="97"/>
      <c r="K679" s="97"/>
      <c r="L679" s="97"/>
      <c r="M679" s="97"/>
      <c r="N679" s="97"/>
      <c r="O679" s="97"/>
      <c r="P679" s="97"/>
      <c r="Q679" s="97"/>
      <c r="R679" s="97"/>
      <c r="S679" s="97"/>
      <c r="T679" s="97"/>
      <c r="U679" s="97"/>
    </row>
    <row r="680" spans="1:21">
      <c r="A680"/>
      <c r="B680" s="89"/>
      <c r="C680" s="97"/>
      <c r="D680" s="97"/>
      <c r="E680" s="97"/>
      <c r="F680" s="97"/>
      <c r="G680" s="97"/>
      <c r="H680" s="97"/>
      <c r="I680" s="97"/>
      <c r="J680" s="97"/>
      <c r="K680" s="97"/>
      <c r="L680" s="97"/>
      <c r="M680" s="97"/>
      <c r="N680" s="97"/>
      <c r="O680" s="97"/>
      <c r="P680" s="97"/>
      <c r="Q680" s="97"/>
      <c r="R680" s="97"/>
      <c r="S680" s="97"/>
      <c r="T680" s="97"/>
      <c r="U680" s="97"/>
    </row>
    <row r="681" spans="1:21">
      <c r="A681"/>
      <c r="B681" s="89"/>
      <c r="C681" s="97"/>
      <c r="D681" s="97"/>
      <c r="E681" s="97"/>
      <c r="F681" s="97"/>
      <c r="G681" s="97"/>
      <c r="H681" s="97"/>
      <c r="I681" s="97"/>
      <c r="J681" s="97"/>
      <c r="K681" s="97"/>
      <c r="L681" s="97"/>
      <c r="M681" s="97"/>
      <c r="N681" s="97"/>
      <c r="O681" s="97"/>
      <c r="P681" s="97"/>
      <c r="Q681" s="97"/>
      <c r="R681" s="97"/>
      <c r="S681" s="97"/>
      <c r="T681" s="97"/>
      <c r="U681" s="97"/>
    </row>
    <row r="682" spans="1:21">
      <c r="A682"/>
      <c r="B682" s="89"/>
      <c r="C682" s="97"/>
      <c r="D682" s="97"/>
      <c r="E682" s="97"/>
      <c r="F682" s="97"/>
      <c r="G682" s="97"/>
      <c r="H682" s="97"/>
      <c r="I682" s="97"/>
      <c r="J682" s="97"/>
      <c r="K682" s="97"/>
      <c r="L682" s="97"/>
      <c r="M682" s="97"/>
      <c r="N682" s="97"/>
      <c r="O682" s="97"/>
      <c r="P682" s="97"/>
      <c r="Q682" s="97"/>
      <c r="R682" s="97"/>
      <c r="S682" s="97"/>
      <c r="T682" s="97"/>
      <c r="U682" s="97"/>
    </row>
    <row r="683" spans="1:21">
      <c r="A683"/>
      <c r="B683" s="89"/>
      <c r="C683" s="97"/>
      <c r="D683" s="97"/>
      <c r="E683" s="97"/>
      <c r="F683" s="97"/>
      <c r="G683" s="97"/>
      <c r="H683" s="97"/>
      <c r="I683" s="97"/>
      <c r="J683" s="97"/>
      <c r="K683" s="97"/>
      <c r="L683" s="97"/>
      <c r="M683" s="97"/>
      <c r="N683" s="97"/>
      <c r="O683" s="97"/>
      <c r="P683" s="97"/>
      <c r="Q683" s="97"/>
      <c r="R683" s="97"/>
      <c r="S683" s="97"/>
      <c r="T683" s="97"/>
      <c r="U683" s="97"/>
    </row>
    <row r="684" spans="1:21">
      <c r="A684"/>
      <c r="B684" s="89"/>
      <c r="C684" s="97"/>
      <c r="D684" s="97"/>
      <c r="E684" s="97"/>
      <c r="F684" s="97"/>
      <c r="G684" s="97"/>
      <c r="H684" s="97"/>
      <c r="I684" s="97"/>
      <c r="J684" s="97"/>
      <c r="K684" s="97"/>
      <c r="L684" s="97"/>
      <c r="M684" s="97"/>
      <c r="N684" s="97"/>
      <c r="O684" s="97"/>
      <c r="P684" s="97"/>
      <c r="Q684" s="97"/>
      <c r="R684" s="97"/>
      <c r="S684" s="97"/>
      <c r="T684" s="97"/>
      <c r="U684" s="97"/>
    </row>
    <row r="685" spans="1:21">
      <c r="A685"/>
      <c r="B685" s="89"/>
      <c r="C685" s="97"/>
      <c r="D685" s="97"/>
      <c r="E685" s="97"/>
      <c r="F685" s="97"/>
      <c r="G685" s="97"/>
      <c r="H685" s="97"/>
      <c r="I685" s="97"/>
      <c r="J685" s="97"/>
      <c r="K685" s="97"/>
      <c r="L685" s="97"/>
      <c r="M685" s="97"/>
      <c r="N685" s="97"/>
      <c r="O685" s="97"/>
      <c r="P685" s="97"/>
      <c r="Q685" s="97"/>
      <c r="R685" s="97"/>
      <c r="S685" s="97"/>
      <c r="T685" s="97"/>
      <c r="U685" s="97"/>
    </row>
    <row r="686" spans="1:21">
      <c r="A686"/>
      <c r="B686" s="89"/>
      <c r="C686" s="97"/>
      <c r="D686" s="97"/>
      <c r="E686" s="97"/>
      <c r="F686" s="97"/>
      <c r="G686" s="97"/>
      <c r="H686" s="97"/>
      <c r="I686" s="97"/>
      <c r="J686" s="97"/>
      <c r="K686" s="97"/>
      <c r="L686" s="97"/>
      <c r="M686" s="97"/>
      <c r="N686" s="97"/>
      <c r="O686" s="97"/>
      <c r="P686" s="97"/>
      <c r="Q686" s="97"/>
      <c r="R686" s="97"/>
      <c r="S686" s="97"/>
      <c r="T686" s="97"/>
      <c r="U686" s="97"/>
    </row>
    <row r="687" spans="1:21">
      <c r="A687"/>
      <c r="B687" s="89"/>
      <c r="C687" s="97"/>
      <c r="D687" s="97"/>
      <c r="E687" s="97"/>
      <c r="F687" s="97"/>
      <c r="G687" s="97"/>
      <c r="H687" s="97"/>
      <c r="I687" s="97"/>
      <c r="J687" s="97"/>
      <c r="K687" s="97"/>
      <c r="L687" s="97"/>
      <c r="M687" s="97"/>
      <c r="N687" s="97"/>
      <c r="O687" s="97"/>
      <c r="P687" s="97"/>
      <c r="Q687" s="97"/>
      <c r="R687" s="97"/>
      <c r="S687" s="97"/>
      <c r="T687" s="97"/>
      <c r="U687" s="97"/>
    </row>
    <row r="688" spans="1:21">
      <c r="A688"/>
      <c r="B688" s="89"/>
      <c r="C688" s="97"/>
      <c r="D688" s="97"/>
      <c r="E688" s="97"/>
      <c r="F688" s="97"/>
      <c r="G688" s="97"/>
      <c r="H688" s="97"/>
      <c r="I688" s="97"/>
      <c r="J688" s="97"/>
      <c r="K688" s="97"/>
      <c r="L688" s="97"/>
      <c r="M688" s="97"/>
      <c r="N688" s="97"/>
      <c r="O688" s="97"/>
      <c r="P688" s="97"/>
      <c r="Q688" s="97"/>
      <c r="R688" s="97"/>
      <c r="S688" s="97"/>
      <c r="T688" s="97"/>
      <c r="U688" s="97"/>
    </row>
    <row r="689" spans="1:21">
      <c r="A689"/>
      <c r="B689" s="89"/>
      <c r="C689" s="97"/>
      <c r="D689" s="97"/>
      <c r="E689" s="97"/>
      <c r="F689" s="97"/>
      <c r="G689" s="97"/>
      <c r="H689" s="97"/>
      <c r="I689" s="97"/>
      <c r="J689" s="97"/>
      <c r="K689" s="97"/>
      <c r="L689" s="97"/>
      <c r="M689" s="97"/>
      <c r="N689" s="97"/>
      <c r="O689" s="97"/>
      <c r="P689" s="97"/>
      <c r="Q689" s="97"/>
      <c r="R689" s="97"/>
      <c r="S689" s="97"/>
      <c r="T689" s="97"/>
      <c r="U689" s="97"/>
    </row>
    <row r="690" spans="1:21">
      <c r="A690"/>
      <c r="B690" s="89"/>
      <c r="C690" s="97"/>
      <c r="D690" s="97"/>
      <c r="E690" s="97"/>
      <c r="F690" s="97"/>
      <c r="G690" s="97"/>
      <c r="H690" s="97"/>
      <c r="I690" s="97"/>
      <c r="J690" s="97"/>
      <c r="K690" s="97"/>
      <c r="L690" s="97"/>
      <c r="M690" s="97"/>
      <c r="N690" s="97"/>
      <c r="O690" s="97"/>
      <c r="P690" s="97"/>
      <c r="Q690" s="97"/>
      <c r="R690" s="97"/>
      <c r="S690" s="97"/>
      <c r="T690" s="97"/>
      <c r="U690" s="97"/>
    </row>
    <row r="691" spans="1:21">
      <c r="A691"/>
      <c r="B691" s="89"/>
      <c r="C691" s="97"/>
      <c r="D691" s="97"/>
      <c r="E691" s="97"/>
      <c r="F691" s="97"/>
      <c r="G691" s="97"/>
      <c r="H691" s="97"/>
      <c r="I691" s="97"/>
      <c r="J691" s="97"/>
      <c r="K691" s="97"/>
      <c r="L691" s="97"/>
      <c r="M691" s="97"/>
      <c r="N691" s="97"/>
      <c r="O691" s="97"/>
      <c r="P691" s="97"/>
      <c r="Q691" s="97"/>
      <c r="R691" s="97"/>
      <c r="S691" s="97"/>
      <c r="T691" s="97"/>
      <c r="U691" s="97"/>
    </row>
    <row r="692" spans="1:21">
      <c r="A692"/>
      <c r="B692" s="89"/>
      <c r="C692" s="97"/>
      <c r="D692" s="97"/>
      <c r="E692" s="97"/>
      <c r="F692" s="97"/>
      <c r="G692" s="97"/>
      <c r="H692" s="97"/>
      <c r="I692" s="97"/>
      <c r="J692" s="97"/>
      <c r="K692" s="97"/>
      <c r="L692" s="97"/>
      <c r="M692" s="97"/>
      <c r="N692" s="97"/>
      <c r="O692" s="97"/>
      <c r="P692" s="97"/>
      <c r="Q692" s="97"/>
      <c r="R692" s="97"/>
      <c r="S692" s="97"/>
      <c r="T692" s="97"/>
      <c r="U692" s="97"/>
    </row>
    <row r="693" spans="1:21">
      <c r="A693"/>
      <c r="B693" s="89"/>
      <c r="C693" s="97"/>
      <c r="D693" s="97"/>
      <c r="E693" s="97"/>
      <c r="F693" s="97"/>
      <c r="G693" s="97"/>
      <c r="H693" s="97"/>
      <c r="I693" s="97"/>
      <c r="J693" s="97"/>
      <c r="K693" s="97"/>
      <c r="L693" s="97"/>
      <c r="M693" s="97"/>
      <c r="N693" s="97"/>
      <c r="O693" s="97"/>
      <c r="P693" s="97"/>
      <c r="Q693" s="97"/>
      <c r="R693" s="97"/>
      <c r="S693" s="97"/>
      <c r="T693" s="97"/>
      <c r="U693" s="97"/>
    </row>
    <row r="694" spans="1:21">
      <c r="A694"/>
      <c r="B694" s="89"/>
      <c r="C694" s="97"/>
      <c r="D694" s="97"/>
      <c r="E694" s="97"/>
      <c r="F694" s="97"/>
      <c r="G694" s="97"/>
      <c r="H694" s="97"/>
      <c r="I694" s="97"/>
      <c r="J694" s="97"/>
      <c r="K694" s="97"/>
      <c r="L694" s="97"/>
      <c r="M694" s="97"/>
      <c r="N694" s="97"/>
      <c r="O694" s="97"/>
      <c r="P694" s="97"/>
      <c r="Q694" s="97"/>
      <c r="R694" s="97"/>
      <c r="S694" s="97"/>
      <c r="T694" s="97"/>
      <c r="U694" s="97"/>
    </row>
    <row r="695" spans="1:21">
      <c r="A695"/>
      <c r="B695" s="89"/>
      <c r="C695" s="97"/>
      <c r="D695" s="97"/>
      <c r="E695" s="97"/>
      <c r="F695" s="97"/>
      <c r="G695" s="97"/>
      <c r="H695" s="97"/>
      <c r="I695" s="97"/>
      <c r="J695" s="97"/>
      <c r="K695" s="97"/>
      <c r="L695" s="97"/>
      <c r="M695" s="97"/>
      <c r="N695" s="97"/>
      <c r="O695" s="97"/>
      <c r="P695" s="97"/>
      <c r="Q695" s="97"/>
      <c r="R695" s="97"/>
      <c r="S695" s="97"/>
      <c r="T695" s="97"/>
      <c r="U695" s="97"/>
    </row>
    <row r="696" spans="1:21">
      <c r="A696"/>
      <c r="B696" s="89"/>
      <c r="C696" s="97"/>
      <c r="D696" s="97"/>
      <c r="E696" s="97"/>
      <c r="F696" s="97"/>
      <c r="G696" s="97"/>
      <c r="H696" s="97"/>
      <c r="I696" s="97"/>
      <c r="J696" s="97"/>
      <c r="K696" s="97"/>
      <c r="L696" s="97"/>
      <c r="M696" s="97"/>
      <c r="N696" s="97"/>
      <c r="O696" s="97"/>
      <c r="P696" s="97"/>
      <c r="Q696" s="97"/>
      <c r="R696" s="97"/>
      <c r="S696" s="97"/>
      <c r="T696" s="97"/>
      <c r="U696" s="97"/>
    </row>
    <row r="697" spans="1:21">
      <c r="A697"/>
      <c r="B697" s="89"/>
      <c r="C697" s="97"/>
      <c r="D697" s="97"/>
      <c r="E697" s="97"/>
      <c r="F697" s="97"/>
      <c r="G697" s="97"/>
      <c r="H697" s="97"/>
      <c r="I697" s="97"/>
      <c r="J697" s="97"/>
      <c r="K697" s="97"/>
      <c r="L697" s="97"/>
      <c r="M697" s="97"/>
      <c r="N697" s="97"/>
      <c r="O697" s="97"/>
      <c r="P697" s="97"/>
      <c r="Q697" s="97"/>
      <c r="R697" s="97"/>
      <c r="S697" s="97"/>
      <c r="T697" s="97"/>
      <c r="U697" s="97"/>
    </row>
    <row r="698" spans="1:21">
      <c r="A698"/>
      <c r="B698" s="89"/>
      <c r="C698" s="97"/>
      <c r="D698" s="97"/>
      <c r="E698" s="97"/>
      <c r="F698" s="97"/>
      <c r="G698" s="97"/>
      <c r="H698" s="97"/>
      <c r="I698" s="97"/>
      <c r="J698" s="97"/>
      <c r="K698" s="97"/>
      <c r="L698" s="97"/>
      <c r="M698" s="97"/>
      <c r="N698" s="97"/>
      <c r="O698" s="97"/>
      <c r="P698" s="97"/>
      <c r="Q698" s="97"/>
      <c r="R698" s="97"/>
      <c r="S698" s="97"/>
      <c r="T698" s="97"/>
      <c r="U698" s="97"/>
    </row>
    <row r="699" spans="1:21">
      <c r="A699"/>
      <c r="B699" s="89"/>
      <c r="C699" s="97"/>
      <c r="D699" s="97"/>
      <c r="E699" s="97"/>
      <c r="F699" s="97"/>
      <c r="G699" s="97"/>
      <c r="H699" s="97"/>
      <c r="I699" s="97"/>
      <c r="J699" s="97"/>
      <c r="K699" s="97"/>
      <c r="L699" s="97"/>
      <c r="M699" s="97"/>
      <c r="N699" s="97"/>
      <c r="O699" s="97"/>
      <c r="P699" s="97"/>
      <c r="Q699" s="97"/>
      <c r="R699" s="97"/>
      <c r="S699" s="97"/>
      <c r="T699" s="97"/>
      <c r="U699" s="97"/>
    </row>
    <row r="700" spans="1:21">
      <c r="A700"/>
      <c r="B700" s="89"/>
      <c r="C700" s="97"/>
      <c r="D700" s="97"/>
      <c r="E700" s="97"/>
      <c r="F700" s="97"/>
      <c r="G700" s="97"/>
      <c r="H700" s="97"/>
      <c r="I700" s="97"/>
      <c r="J700" s="97"/>
      <c r="K700" s="97"/>
      <c r="L700" s="97"/>
      <c r="M700" s="97"/>
      <c r="N700" s="97"/>
      <c r="O700" s="97"/>
      <c r="P700" s="97"/>
      <c r="Q700" s="97"/>
      <c r="R700" s="97"/>
      <c r="S700" s="97"/>
      <c r="T700" s="97"/>
      <c r="U700" s="97"/>
    </row>
    <row r="701" spans="1:21">
      <c r="A701"/>
      <c r="B701" s="89"/>
      <c r="C701" s="97"/>
      <c r="D701" s="97"/>
      <c r="E701" s="97"/>
      <c r="F701" s="97"/>
      <c r="G701" s="97"/>
      <c r="H701" s="97"/>
      <c r="I701" s="97"/>
      <c r="J701" s="97"/>
      <c r="K701" s="97"/>
      <c r="L701" s="97"/>
      <c r="M701" s="97"/>
      <c r="N701" s="97"/>
      <c r="O701" s="97"/>
      <c r="P701" s="97"/>
      <c r="Q701" s="97"/>
      <c r="R701" s="97"/>
      <c r="S701" s="97"/>
      <c r="T701" s="97"/>
      <c r="U701" s="97"/>
    </row>
    <row r="702" spans="1:21">
      <c r="A702"/>
      <c r="B702" s="89"/>
      <c r="C702" s="97"/>
      <c r="D702" s="97"/>
      <c r="E702" s="97"/>
      <c r="F702" s="97"/>
      <c r="G702" s="97"/>
      <c r="H702" s="97"/>
      <c r="I702" s="97"/>
      <c r="J702" s="97"/>
      <c r="K702" s="97"/>
      <c r="L702" s="97"/>
      <c r="M702" s="97"/>
      <c r="N702" s="97"/>
      <c r="O702" s="97"/>
      <c r="P702" s="97"/>
      <c r="Q702" s="97"/>
      <c r="R702" s="97"/>
      <c r="S702" s="97"/>
      <c r="T702" s="97"/>
      <c r="U702" s="97"/>
    </row>
    <row r="703" spans="1:21">
      <c r="A703"/>
      <c r="B703" s="89"/>
      <c r="C703" s="97"/>
      <c r="D703" s="97"/>
      <c r="E703" s="97"/>
      <c r="F703" s="97"/>
      <c r="G703" s="97"/>
      <c r="H703" s="97"/>
      <c r="I703" s="97"/>
      <c r="J703" s="97"/>
      <c r="K703" s="97"/>
      <c r="L703" s="97"/>
      <c r="M703" s="97"/>
      <c r="N703" s="97"/>
      <c r="O703" s="97"/>
      <c r="P703" s="97"/>
      <c r="Q703" s="97"/>
      <c r="R703" s="97"/>
      <c r="S703" s="97"/>
      <c r="T703" s="97"/>
      <c r="U703" s="97"/>
    </row>
    <row r="704" spans="1:21">
      <c r="A704"/>
      <c r="B704" s="89"/>
      <c r="C704" s="97"/>
      <c r="D704" s="97"/>
      <c r="E704" s="97"/>
      <c r="F704" s="97"/>
      <c r="G704" s="97"/>
      <c r="H704" s="97"/>
      <c r="I704" s="97"/>
      <c r="J704" s="97"/>
      <c r="K704" s="97"/>
      <c r="L704" s="97"/>
      <c r="M704" s="97"/>
      <c r="N704" s="97"/>
      <c r="O704" s="97"/>
      <c r="P704" s="97"/>
      <c r="Q704" s="97"/>
      <c r="R704" s="97"/>
      <c r="S704" s="97"/>
      <c r="T704" s="97"/>
      <c r="U704" s="97"/>
    </row>
    <row r="705" spans="1:21">
      <c r="A705"/>
      <c r="B705" s="89"/>
      <c r="C705" s="97"/>
      <c r="D705" s="97"/>
      <c r="E705" s="97"/>
      <c r="F705" s="97"/>
      <c r="G705" s="97"/>
      <c r="H705" s="97"/>
      <c r="I705" s="97"/>
      <c r="J705" s="97"/>
      <c r="K705" s="97"/>
      <c r="L705" s="97"/>
      <c r="M705" s="97"/>
      <c r="N705" s="97"/>
      <c r="O705" s="97"/>
      <c r="P705" s="97"/>
      <c r="Q705" s="97"/>
      <c r="R705" s="97"/>
      <c r="S705" s="97"/>
      <c r="T705" s="97"/>
      <c r="U705" s="97"/>
    </row>
    <row r="706" spans="1:21">
      <c r="A706"/>
      <c r="B706" s="89"/>
      <c r="C706" s="97"/>
      <c r="D706" s="97"/>
      <c r="E706" s="97"/>
      <c r="F706" s="97"/>
      <c r="G706" s="97"/>
      <c r="H706" s="97"/>
      <c r="I706" s="97"/>
      <c r="J706" s="97"/>
      <c r="K706" s="97"/>
      <c r="L706" s="97"/>
      <c r="M706" s="97"/>
      <c r="N706" s="97"/>
      <c r="O706" s="97"/>
      <c r="P706" s="97"/>
      <c r="Q706" s="97"/>
      <c r="R706" s="97"/>
      <c r="S706" s="97"/>
      <c r="T706" s="97"/>
      <c r="U706" s="97"/>
    </row>
    <row r="707" spans="1:21">
      <c r="A707"/>
      <c r="B707" s="89"/>
      <c r="C707" s="97"/>
      <c r="D707" s="97"/>
      <c r="E707" s="97"/>
      <c r="F707" s="97"/>
      <c r="G707" s="97"/>
      <c r="H707" s="97"/>
      <c r="I707" s="97"/>
      <c r="J707" s="97"/>
      <c r="K707" s="97"/>
      <c r="L707" s="97"/>
      <c r="M707" s="97"/>
      <c r="N707" s="97"/>
      <c r="O707" s="97"/>
      <c r="P707" s="97"/>
      <c r="Q707" s="97"/>
      <c r="R707" s="97"/>
      <c r="S707" s="97"/>
      <c r="T707" s="97"/>
      <c r="U707" s="97"/>
    </row>
    <row r="708" spans="1:21">
      <c r="A708"/>
      <c r="B708" s="89"/>
      <c r="C708" s="97"/>
      <c r="D708" s="97"/>
      <c r="E708" s="97"/>
      <c r="F708" s="97"/>
      <c r="G708" s="97"/>
      <c r="H708" s="97"/>
      <c r="I708" s="97"/>
      <c r="J708" s="97"/>
      <c r="K708" s="97"/>
      <c r="L708" s="97"/>
      <c r="M708" s="97"/>
      <c r="N708" s="97"/>
      <c r="O708" s="97"/>
      <c r="P708" s="97"/>
      <c r="Q708" s="97"/>
      <c r="R708" s="97"/>
      <c r="S708" s="97"/>
      <c r="T708" s="97"/>
      <c r="U708" s="97"/>
    </row>
    <row r="709" spans="1:21">
      <c r="A709"/>
      <c r="B709" s="89"/>
      <c r="C709" s="97"/>
      <c r="D709" s="97"/>
      <c r="E709" s="97"/>
      <c r="F709" s="97"/>
      <c r="G709" s="97"/>
      <c r="H709" s="97"/>
      <c r="I709" s="97"/>
      <c r="J709" s="97"/>
      <c r="K709" s="97"/>
      <c r="L709" s="97"/>
      <c r="M709" s="97"/>
      <c r="N709" s="97"/>
      <c r="O709" s="97"/>
      <c r="P709" s="97"/>
      <c r="Q709" s="97"/>
      <c r="R709" s="97"/>
      <c r="S709" s="97"/>
      <c r="T709" s="97"/>
      <c r="U709" s="97"/>
    </row>
    <row r="710" spans="1:21">
      <c r="A710"/>
      <c r="B710" s="89"/>
      <c r="C710" s="97"/>
      <c r="D710" s="97"/>
      <c r="E710" s="97"/>
      <c r="F710" s="97"/>
      <c r="G710" s="97"/>
      <c r="H710" s="97"/>
      <c r="I710" s="97"/>
      <c r="J710" s="97"/>
      <c r="K710" s="97"/>
      <c r="L710" s="97"/>
      <c r="M710" s="97"/>
      <c r="N710" s="97"/>
      <c r="O710" s="97"/>
      <c r="P710" s="97"/>
      <c r="Q710" s="97"/>
      <c r="R710" s="97"/>
      <c r="S710" s="97"/>
      <c r="T710" s="97"/>
      <c r="U710" s="97"/>
    </row>
    <row r="711" spans="1:21">
      <c r="A711"/>
      <c r="B711" s="89"/>
      <c r="C711" s="97"/>
      <c r="D711" s="97"/>
      <c r="E711" s="97"/>
      <c r="F711" s="97"/>
      <c r="G711" s="97"/>
      <c r="H711" s="97"/>
      <c r="I711" s="97"/>
      <c r="J711" s="97"/>
      <c r="K711" s="97"/>
      <c r="L711" s="97"/>
      <c r="M711" s="97"/>
      <c r="N711" s="97"/>
      <c r="O711" s="97"/>
      <c r="P711" s="97"/>
      <c r="Q711" s="97"/>
      <c r="R711" s="97"/>
      <c r="S711" s="97"/>
      <c r="T711" s="97"/>
      <c r="U711" s="97"/>
    </row>
    <row r="712" spans="1:21">
      <c r="A712"/>
      <c r="B712" s="89"/>
      <c r="C712" s="97"/>
      <c r="D712" s="97"/>
      <c r="E712" s="97"/>
      <c r="F712" s="97"/>
      <c r="G712" s="97"/>
      <c r="H712" s="97"/>
      <c r="I712" s="97"/>
      <c r="J712" s="97"/>
      <c r="K712" s="97"/>
      <c r="L712" s="97"/>
      <c r="M712" s="97"/>
      <c r="N712" s="97"/>
      <c r="O712" s="97"/>
      <c r="P712" s="97"/>
      <c r="Q712" s="97"/>
      <c r="R712" s="97"/>
      <c r="S712" s="97"/>
      <c r="T712" s="97"/>
      <c r="U712" s="97"/>
    </row>
    <row r="713" spans="1:21">
      <c r="A713"/>
      <c r="B713" s="89"/>
      <c r="C713" s="97"/>
      <c r="D713" s="97"/>
      <c r="E713" s="97"/>
      <c r="F713" s="97"/>
      <c r="G713" s="97"/>
      <c r="H713" s="97"/>
      <c r="I713" s="97"/>
      <c r="J713" s="97"/>
      <c r="K713" s="97"/>
      <c r="L713" s="97"/>
      <c r="M713" s="97"/>
      <c r="N713" s="97"/>
      <c r="O713" s="97"/>
      <c r="P713" s="97"/>
      <c r="Q713" s="97"/>
      <c r="R713" s="97"/>
      <c r="S713" s="97"/>
      <c r="T713" s="97"/>
      <c r="U713" s="97"/>
    </row>
    <row r="714" spans="1:21">
      <c r="A714"/>
      <c r="B714" s="89"/>
      <c r="C714" s="97"/>
      <c r="D714" s="97"/>
      <c r="E714" s="97"/>
      <c r="F714" s="97"/>
      <c r="G714" s="97"/>
      <c r="H714" s="97"/>
      <c r="I714" s="97"/>
      <c r="J714" s="97"/>
      <c r="K714" s="97"/>
      <c r="L714" s="97"/>
      <c r="M714" s="97"/>
      <c r="N714" s="97"/>
      <c r="O714" s="97"/>
      <c r="P714" s="97"/>
      <c r="Q714" s="97"/>
      <c r="R714" s="97"/>
      <c r="S714" s="97"/>
      <c r="T714" s="97"/>
      <c r="U714" s="97"/>
    </row>
    <row r="715" spans="1:21">
      <c r="A715"/>
      <c r="B715" s="89"/>
      <c r="C715" s="97"/>
      <c r="D715" s="97"/>
      <c r="E715" s="97"/>
      <c r="F715" s="97"/>
      <c r="G715" s="97"/>
      <c r="H715" s="97"/>
      <c r="I715" s="97"/>
      <c r="J715" s="97"/>
      <c r="K715" s="97"/>
      <c r="L715" s="97"/>
      <c r="M715" s="97"/>
      <c r="N715" s="97"/>
      <c r="O715" s="97"/>
      <c r="P715" s="97"/>
      <c r="Q715" s="97"/>
      <c r="R715" s="97"/>
      <c r="S715" s="97"/>
      <c r="T715" s="97"/>
      <c r="U715" s="97"/>
    </row>
    <row r="716" spans="1:21">
      <c r="A716"/>
      <c r="B716" s="89"/>
      <c r="C716" s="97"/>
      <c r="D716" s="97"/>
      <c r="E716" s="97"/>
      <c r="F716" s="97"/>
      <c r="G716" s="97"/>
      <c r="H716" s="97"/>
      <c r="I716" s="97"/>
      <c r="J716" s="97"/>
      <c r="K716" s="97"/>
      <c r="L716" s="97"/>
      <c r="M716" s="97"/>
      <c r="N716" s="97"/>
      <c r="O716" s="97"/>
      <c r="P716" s="97"/>
      <c r="Q716" s="97"/>
      <c r="R716" s="97"/>
      <c r="S716" s="97"/>
      <c r="T716" s="97"/>
      <c r="U716" s="97"/>
    </row>
    <row r="717" spans="1:21">
      <c r="A717"/>
      <c r="B717" s="89"/>
      <c r="C717" s="97"/>
      <c r="D717" s="97"/>
      <c r="E717" s="97"/>
      <c r="F717" s="97"/>
      <c r="G717" s="97"/>
      <c r="H717" s="97"/>
      <c r="I717" s="97"/>
      <c r="J717" s="97"/>
      <c r="K717" s="97"/>
      <c r="L717" s="97"/>
      <c r="M717" s="97"/>
      <c r="N717" s="97"/>
      <c r="O717" s="97"/>
      <c r="P717" s="97"/>
      <c r="Q717" s="97"/>
      <c r="R717" s="97"/>
      <c r="S717" s="97"/>
      <c r="T717" s="97"/>
      <c r="U717" s="97"/>
    </row>
    <row r="718" spans="1:21">
      <c r="A718"/>
      <c r="B718" s="89"/>
      <c r="C718" s="97"/>
      <c r="D718" s="97"/>
      <c r="E718" s="97"/>
      <c r="F718" s="97"/>
      <c r="G718" s="97"/>
      <c r="H718" s="97"/>
      <c r="I718" s="97"/>
      <c r="J718" s="97"/>
      <c r="K718" s="97"/>
      <c r="L718" s="97"/>
      <c r="M718" s="97"/>
      <c r="N718" s="97"/>
      <c r="O718" s="97"/>
      <c r="P718" s="97"/>
      <c r="Q718" s="97"/>
      <c r="R718" s="97"/>
      <c r="S718" s="97"/>
      <c r="T718" s="97"/>
      <c r="U718" s="97"/>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2025-09-15T15:06:52Z</dcterms:modified>
</cp:coreProperties>
</file>