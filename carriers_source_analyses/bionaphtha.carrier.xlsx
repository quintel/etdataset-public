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showInkAnnotation="0" codeName="ThisWorkbook" autoCompressPictures="0"/>
  <mc:AlternateContent xmlns:mc="http://schemas.openxmlformats.org/markup-compatibility/2006">
    <mc:Choice Requires="x15">
      <x15ac:absPath xmlns:x15ac="http://schemas.microsoft.com/office/spreadsheetml/2010/11/ac" url="/Users/kyradehaan/github/etdataset/carriers_source_analyses/"/>
    </mc:Choice>
  </mc:AlternateContent>
  <xr:revisionPtr revIDLastSave="0" documentId="13_ncr:1_{4A404731-B6F7-7D4A-A324-215F098F702C}" xr6:coauthVersionLast="47" xr6:coauthVersionMax="47" xr10:uidLastSave="{00000000-0000-0000-0000-000000000000}"/>
  <bookViews>
    <workbookView xWindow="-5740" yWindow="-21600" windowWidth="38400" windowHeight="21600" tabRatio="762"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dollar_data">#REF!</definedName>
    <definedName name="dollar_per_euro">#REF!</definedName>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itres_per_barrel">Notes!$G$151</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G10" i="13" l="1"/>
  <c r="G8" i="13"/>
  <c r="G7" i="13"/>
  <c r="I10" i="13"/>
  <c r="I9" i="13"/>
  <c r="I8" i="13"/>
  <c r="D9" i="16"/>
  <c r="D19" i="16"/>
  <c r="K7" i="13"/>
  <c r="D6" i="16" l="1"/>
  <c r="D36" i="16"/>
  <c r="D8" i="16" s="1"/>
  <c r="D35" i="16"/>
  <c r="D7" i="16" s="1"/>
  <c r="D18" i="16"/>
  <c r="E10" i="12"/>
  <c r="E12" i="12" l="1"/>
  <c r="G9" i="13"/>
  <c r="E13" i="12" s="1"/>
  <c r="E14" i="12"/>
  <c r="E11" i="12" l="1"/>
</calcChain>
</file>

<file path=xl/sharedStrings.xml><?xml version="1.0" encoding="utf-8"?>
<sst xmlns="http://schemas.openxmlformats.org/spreadsheetml/2006/main" count="122" uniqueCount="81">
  <si>
    <t>Source</t>
  </si>
  <si>
    <t>-</t>
  </si>
  <si>
    <t>Value</t>
  </si>
  <si>
    <t>Definition</t>
  </si>
  <si>
    <t>Unit</t>
  </si>
  <si>
    <t>Cover Sheet</t>
  </si>
  <si>
    <t>Organization</t>
  </si>
  <si>
    <t>Quintel Intelligence</t>
  </si>
  <si>
    <t>Definition on the sources</t>
  </si>
  <si>
    <t>Date published</t>
  </si>
  <si>
    <t>Attribute</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</si>
  <si>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</si>
  <si>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</si>
  <si>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</si>
  <si>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</si>
  <si>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</si>
  <si>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</si>
  <si>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</si>
  <si>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</si>
  <si>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</si>
  <si>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</si>
  <si>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</si>
  <si>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</si>
  <si>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</si>
  <si>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</si>
  <si>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</si>
  <si>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</si>
  <si>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Parameter</t>
  </si>
  <si>
    <t>Comments</t>
  </si>
  <si>
    <t>Notes</t>
  </si>
  <si>
    <t>Subject year</t>
  </si>
  <si>
    <t>Date retrieved</t>
  </si>
  <si>
    <t>sustainable</t>
  </si>
  <si>
    <t>cost_per_mj</t>
  </si>
  <si>
    <t>co2_conversion_per_mj</t>
  </si>
  <si>
    <t>Whether or not this carrier is renewable</t>
  </si>
  <si>
    <t>Quintel assumption</t>
  </si>
  <si>
    <t>kg/MJ</t>
  </si>
  <si>
    <t>energy content</t>
  </si>
  <si>
    <t>MJ/kg</t>
  </si>
  <si>
    <t>EUR/MJ</t>
  </si>
  <si>
    <t>Carrier (gobal properties)</t>
  </si>
  <si>
    <t>Page</t>
  </si>
  <si>
    <t xml:space="preserve"> </t>
  </si>
  <si>
    <t>density</t>
  </si>
  <si>
    <t>kg/L</t>
  </si>
  <si>
    <t>Document</t>
  </si>
  <si>
    <t>mj_per_kg</t>
  </si>
  <si>
    <t>Carrier (global properties)</t>
  </si>
  <si>
    <t>kg_per_liter</t>
  </si>
  <si>
    <t>This sheet summarizes all carrier attributes formatted in the way they are used by the Energy Transition Model. This sheet contains only pure carrier values. For some countries and carriers Fuel Chain Emissions are defined (only for NL); if so these FCE are documented in a separate sheet (e.g. nl_fce). Use the Excel formulas to find the original data and sources for these numbers. 
- The carrier analysis can be imported on ETSource by running the following rake task: rake import:carrier CARRIER="carrier name" (eg rake import:carrier CARRIER=crude_oil) 
- The fce analysis can be imported on ETSource by running the following rake task: rake import:fce DATASET="dataset" CARRIER="carrier name" (eg rake import:fce DATASET=nl CARRIER=bio_ethanol)</t>
  </si>
  <si>
    <t>kg/l</t>
  </si>
  <si>
    <t>https://www.exchangerates.org.uk/EUR-USD-spot-exchange-rates-history-2023.html#:~:text=Best%20exchange%20rate%3A%201.1244%20USD,USD%20on%2003%20Oct%202023.</t>
  </si>
  <si>
    <t>Euro to dollar conversion (2023)</t>
  </si>
  <si>
    <t>URL</t>
  </si>
  <si>
    <t>Overview</t>
  </si>
  <si>
    <t>Costs</t>
  </si>
  <si>
    <t>from Argus:</t>
  </si>
  <si>
    <t>Inkwood research</t>
  </si>
  <si>
    <t>Inkwood research:</t>
  </si>
  <si>
    <t>€/MJ</t>
  </si>
  <si>
    <t>€/tonne</t>
  </si>
  <si>
    <t>based on source Argus, the price in 2023 fluctuated between 3300 and 3600 $/tonne</t>
  </si>
  <si>
    <t>based on Inkwood research market forecast, the price will ranges from 2200 to 3200 per tonne</t>
  </si>
  <si>
    <t>$/tonne</t>
  </si>
  <si>
    <t>bionaphtha price</t>
  </si>
  <si>
    <t>€ / $</t>
  </si>
  <si>
    <t>from TNO:</t>
  </si>
  <si>
    <t>Carrier characteristics</t>
  </si>
  <si>
    <t>kg CO2/MJ</t>
  </si>
  <si>
    <t>potential_co2_conversion_per_mj</t>
  </si>
  <si>
    <t>TNO</t>
  </si>
  <si>
    <t>Argus</t>
  </si>
  <si>
    <t>19-8-2025</t>
  </si>
  <si>
    <t>https://publications.tno.nl/publication/34640052/i6oSyA/TNO-2021-R11314.pdf</t>
  </si>
  <si>
    <t>https://view.argusmedia.com/rs/584-BUW-606/images/BIO-FAQ-Bionaphtha-prices-SGContact.pdf</t>
  </si>
  <si>
    <t>https://www.inkwoodresearch.com/reports/bio-based-naphtha-market/</t>
  </si>
  <si>
    <t>Argus/Inkwood</t>
  </si>
  <si>
    <t>Argus, Inkwood</t>
  </si>
  <si>
    <t>Kyra de Haan</t>
  </si>
  <si>
    <t>bionaphtha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</si>
</sst>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00"/>
    <numFmt numFmtId="166" formatCode="0.000"/>
    <numFmt numFmtId="167" formatCode="yyyy\-mm\-dd"/>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b/>
      <sz val="14"/>
      <color theme="1"/>
      <name val="Calibri"/>
      <family val="2"/>
      <scheme val="minor"/>
    </font>
    <font>
      <sz val="12"/>
      <name val="Calibri"/>
      <family val="2"/>
      <scheme val="minor"/>
    </font>
    <font>
      <b/>
      <sz val="12"/>
      <name val="Calibri"/>
      <family val="2"/>
      <scheme val="minor"/>
    </font>
    <font>
      <sz val="12"/>
      <color rgb="FF000000"/>
      <name val="Calibri"/>
      <family val="2"/>
    </font>
    <font>
      <i/>
      <sz val="12"/>
      <color theme="1"/>
      <name val="Calibri"/>
      <family val="2"/>
      <scheme val="minor"/>
    </font>
    <font>
      <sz val="9"/>
      <name val="Arial"/>
      <family val="2"/>
    </font>
    <font>
      <b/>
      <sz val="12"/>
      <color rgb="FF000000"/>
      <name val="Calibri"/>
      <family val="2"/>
    </font>
    <font>
      <sz val="10"/>
      <name val="Verdana"/>
      <family val="2"/>
    </font>
    <font>
      <b/>
      <sz val="9"/>
      <name val="Arial"/>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rgb="FFFFFFFF"/>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s>
  <borders count="22">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s>
  <cellStyleXfs count="345">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alignment vertical="top"/>
      <protection locked="0"/>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6"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cellStyleXfs>
  <cellXfs count="147">
    <xf numFmtId="0" fontId="0" fillId="0" borderId="0" xfId="0"/>
    <xf numFmtId="0" fontId="14" fillId="2" borderId="19" xfId="0" applyFont="1" applyFill="1" applyBorder="1" applyAlignment="1">
      <alignment vertical="center"/>
    </xf>
    <xf numFmtId="0" fontId="14" fillId="2" borderId="5" xfId="0" applyFont="1" applyFill="1" applyBorder="1" applyAlignment="1">
      <alignment vertical="center"/>
    </xf>
    <xf numFmtId="0" fontId="9" fillId="0" borderId="5" xfId="0" applyFont="1" applyBorder="1"/>
    <xf numFmtId="166" fontId="5" fillId="2" borderId="0" xfId="0" applyNumberFormat="1" applyFont="1" applyFill="1" applyAlignment="1">
      <alignment vertical="center"/>
    </xf>
    <xf numFmtId="0" fontId="5" fillId="2" borderId="6" xfId="0" applyFont="1" applyFill="1" applyBorder="1"/>
    <xf numFmtId="0" fontId="5" fillId="2" borderId="0" xfId="0" applyFont="1" applyFill="1"/>
    <xf numFmtId="0" fontId="15" fillId="3" borderId="7" xfId="0" applyFont="1" applyFill="1" applyBorder="1"/>
    <xf numFmtId="0" fontId="16" fillId="3" borderId="17" xfId="0" applyFont="1" applyFill="1" applyBorder="1"/>
    <xf numFmtId="0" fontId="15" fillId="3" borderId="13" xfId="0" applyFont="1" applyFill="1" applyBorder="1"/>
    <xf numFmtId="0" fontId="17" fillId="3" borderId="7" xfId="0" applyFont="1" applyFill="1" applyBorder="1" applyAlignment="1">
      <alignment vertical="center"/>
    </xf>
    <xf numFmtId="2" fontId="15" fillId="3" borderId="8" xfId="0" applyNumberFormat="1" applyFont="1" applyFill="1" applyBorder="1" applyAlignment="1">
      <alignment horizontal="left"/>
    </xf>
    <xf numFmtId="0" fontId="17" fillId="3" borderId="1" xfId="0" applyFont="1" applyFill="1" applyBorder="1" applyAlignment="1">
      <alignment vertical="center"/>
    </xf>
    <xf numFmtId="0" fontId="15" fillId="3" borderId="14" xfId="0" applyFont="1" applyFill="1" applyBorder="1"/>
    <xf numFmtId="0" fontId="15" fillId="3" borderId="0" xfId="0" applyFont="1" applyFill="1"/>
    <xf numFmtId="0" fontId="14" fillId="2" borderId="0" xfId="0" applyFont="1" applyFill="1" applyAlignment="1">
      <alignment vertical="center"/>
    </xf>
    <xf numFmtId="1" fontId="14" fillId="2" borderId="0" xfId="0" applyNumberFormat="1" applyFont="1" applyFill="1" applyAlignment="1">
      <alignment vertical="center"/>
    </xf>
    <xf numFmtId="1" fontId="14" fillId="2" borderId="0" xfId="0" applyNumberFormat="1" applyFont="1" applyFill="1" applyAlignment="1">
      <alignment horizontal="right" vertical="center"/>
    </xf>
    <xf numFmtId="2" fontId="14" fillId="2" borderId="0" xfId="0" applyNumberFormat="1" applyFont="1" applyFill="1" applyAlignment="1">
      <alignment horizontal="right" vertical="center"/>
    </xf>
    <xf numFmtId="0" fontId="14" fillId="2" borderId="0" xfId="0" applyFont="1" applyFill="1"/>
    <xf numFmtId="0" fontId="14" fillId="2" borderId="9" xfId="0" applyFont="1" applyFill="1" applyBorder="1"/>
    <xf numFmtId="0" fontId="14" fillId="2" borderId="4" xfId="0" applyFont="1" applyFill="1" applyBorder="1"/>
    <xf numFmtId="0" fontId="11" fillId="2" borderId="0" xfId="0" applyFont="1" applyFill="1"/>
    <xf numFmtId="0" fontId="15" fillId="0" borderId="0" xfId="0" applyFont="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4" fillId="0" borderId="0" xfId="0" applyFont="1"/>
    <xf numFmtId="0" fontId="16" fillId="3" borderId="0" xfId="0" applyFont="1" applyFill="1"/>
    <xf numFmtId="0" fontId="14" fillId="2" borderId="0" xfId="0" applyFont="1" applyFill="1" applyAlignment="1">
      <alignment horizontal="left" vertical="center"/>
    </xf>
    <xf numFmtId="0" fontId="10" fillId="2" borderId="0" xfId="0" applyFont="1" applyFill="1"/>
    <xf numFmtId="0" fontId="10" fillId="0" borderId="0" xfId="0" applyFont="1"/>
    <xf numFmtId="0" fontId="10" fillId="2" borderId="3" xfId="0" applyFont="1" applyFill="1" applyBorder="1"/>
    <xf numFmtId="0" fontId="10" fillId="2" borderId="15" xfId="0" applyFont="1" applyFill="1" applyBorder="1"/>
    <xf numFmtId="0" fontId="10" fillId="2" borderId="10" xfId="0" applyFont="1" applyFill="1" applyBorder="1"/>
    <xf numFmtId="0" fontId="10" fillId="2" borderId="11" xfId="0" applyFont="1" applyFill="1" applyBorder="1"/>
    <xf numFmtId="0" fontId="10" fillId="2" borderId="12" xfId="0" applyFont="1" applyFill="1" applyBorder="1"/>
    <xf numFmtId="0" fontId="19" fillId="2" borderId="0" xfId="0" applyFont="1" applyFill="1"/>
    <xf numFmtId="0" fontId="19" fillId="2" borderId="5" xfId="0" applyFont="1" applyFill="1" applyBorder="1"/>
    <xf numFmtId="2" fontId="10" fillId="2" borderId="18" xfId="0" applyNumberFormat="1" applyFont="1" applyFill="1" applyBorder="1"/>
    <xf numFmtId="164" fontId="10" fillId="2" borderId="18" xfId="0" applyNumberFormat="1" applyFont="1" applyFill="1" applyBorder="1"/>
    <xf numFmtId="0" fontId="20" fillId="2" borderId="0" xfId="0" applyFont="1" applyFill="1"/>
    <xf numFmtId="49" fontId="20" fillId="2" borderId="0" xfId="0" applyNumberFormat="1" applyFont="1" applyFill="1"/>
    <xf numFmtId="0" fontId="20" fillId="2" borderId="3" xfId="0" applyFont="1" applyFill="1" applyBorder="1"/>
    <xf numFmtId="0" fontId="20" fillId="2" borderId="4" xfId="0" applyFont="1" applyFill="1" applyBorder="1"/>
    <xf numFmtId="49" fontId="20" fillId="2" borderId="4" xfId="0" applyNumberFormat="1" applyFont="1" applyFill="1" applyBorder="1"/>
    <xf numFmtId="0" fontId="20" fillId="2" borderId="6" xfId="0" applyFont="1" applyFill="1" applyBorder="1"/>
    <xf numFmtId="0" fontId="21" fillId="2" borderId="0" xfId="0" applyFont="1" applyFill="1"/>
    <xf numFmtId="49" fontId="21" fillId="2" borderId="0" xfId="0" applyNumberFormat="1" applyFont="1" applyFill="1"/>
    <xf numFmtId="0" fontId="20" fillId="2" borderId="16" xfId="0" applyFont="1" applyFill="1" applyBorder="1"/>
    <xf numFmtId="0" fontId="21" fillId="2" borderId="9" xfId="0" applyFont="1" applyFill="1" applyBorder="1"/>
    <xf numFmtId="49" fontId="21" fillId="2" borderId="9" xfId="0" applyNumberFormat="1" applyFont="1" applyFill="1" applyBorder="1"/>
    <xf numFmtId="0" fontId="20" fillId="2" borderId="0" xfId="0" applyFont="1" applyFill="1" applyAlignment="1">
      <alignment vertical="top"/>
    </xf>
    <xf numFmtId="2" fontId="14" fillId="2" borderId="9" xfId="0" applyNumberFormat="1" applyFont="1" applyFill="1" applyBorder="1" applyAlignment="1">
      <alignment vertical="center"/>
    </xf>
    <xf numFmtId="0" fontId="9" fillId="2" borderId="0" xfId="0" applyFont="1" applyFill="1"/>
    <xf numFmtId="2" fontId="9" fillId="2" borderId="0" xfId="0" applyNumberFormat="1" applyFont="1" applyFill="1"/>
    <xf numFmtId="0" fontId="9" fillId="2" borderId="3" xfId="0" applyFont="1" applyFill="1" applyBorder="1"/>
    <xf numFmtId="0" fontId="9" fillId="2" borderId="4" xfId="0" applyFont="1" applyFill="1" applyBorder="1"/>
    <xf numFmtId="2" fontId="9" fillId="2" borderId="4" xfId="0" applyNumberFormat="1" applyFont="1" applyFill="1" applyBorder="1"/>
    <xf numFmtId="0" fontId="9" fillId="2" borderId="15" xfId="0" applyFont="1" applyFill="1" applyBorder="1"/>
    <xf numFmtId="0" fontId="9" fillId="2" borderId="6" xfId="0" applyFont="1" applyFill="1" applyBorder="1"/>
    <xf numFmtId="0" fontId="9" fillId="2" borderId="0" xfId="0" applyFont="1" applyFill="1" applyAlignment="1">
      <alignment horizontal="left" vertical="center"/>
    </xf>
    <xf numFmtId="1" fontId="9" fillId="2" borderId="0" xfId="0" applyNumberFormat="1" applyFont="1" applyFill="1" applyAlignment="1">
      <alignment vertical="center"/>
    </xf>
    <xf numFmtId="166" fontId="9" fillId="2" borderId="0" xfId="0" applyNumberFormat="1" applyFont="1" applyFill="1" applyAlignment="1">
      <alignment vertical="center"/>
    </xf>
    <xf numFmtId="0" fontId="9" fillId="2" borderId="10" xfId="0" applyFont="1" applyFill="1" applyBorder="1"/>
    <xf numFmtId="2" fontId="9" fillId="2" borderId="11" xfId="0" applyNumberFormat="1" applyFont="1" applyFill="1" applyBorder="1"/>
    <xf numFmtId="0" fontId="9" fillId="2" borderId="12"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0" xfId="0" applyFont="1" applyFill="1"/>
    <xf numFmtId="0" fontId="23" fillId="2" borderId="0" xfId="0" applyFont="1" applyFill="1"/>
    <xf numFmtId="0" fontId="8" fillId="2" borderId="18" xfId="0" applyFont="1" applyFill="1" applyBorder="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2" borderId="7" xfId="0" applyFont="1" applyFill="1" applyBorder="1"/>
    <xf numFmtId="0" fontId="8" fillId="9" borderId="0" xfId="0" applyFont="1" applyFill="1"/>
    <xf numFmtId="0" fontId="8" fillId="10" borderId="0" xfId="0" applyFont="1" applyFill="1"/>
    <xf numFmtId="0" fontId="8" fillId="11" borderId="0" xfId="0" applyFont="1" applyFill="1"/>
    <xf numFmtId="0" fontId="8" fillId="12" borderId="0" xfId="0" applyFont="1" applyFill="1"/>
    <xf numFmtId="0" fontId="14" fillId="2" borderId="16" xfId="0" applyFont="1" applyFill="1" applyBorder="1"/>
    <xf numFmtId="0" fontId="16" fillId="2" borderId="9" xfId="0" applyFont="1" applyFill="1" applyBorder="1"/>
    <xf numFmtId="0" fontId="19" fillId="2" borderId="19" xfId="0" applyFont="1" applyFill="1" applyBorder="1"/>
    <xf numFmtId="1" fontId="14" fillId="2" borderId="0" xfId="0" applyNumberFormat="1" applyFont="1" applyFill="1" applyAlignment="1">
      <alignment horizontal="left" vertical="center"/>
    </xf>
    <xf numFmtId="2" fontId="14" fillId="2" borderId="0" xfId="0" applyNumberFormat="1" applyFont="1" applyFill="1" applyAlignment="1">
      <alignment horizontal="left" vertical="center"/>
    </xf>
    <xf numFmtId="2" fontId="14" fillId="2" borderId="0" xfId="0" applyNumberFormat="1" applyFont="1" applyFill="1" applyAlignment="1">
      <alignment vertical="center"/>
    </xf>
    <xf numFmtId="0" fontId="14" fillId="2" borderId="9" xfId="0" applyFont="1" applyFill="1" applyBorder="1" applyAlignment="1">
      <alignment vertical="center"/>
    </xf>
    <xf numFmtId="0" fontId="7" fillId="0" borderId="0" xfId="0" applyFont="1"/>
    <xf numFmtId="165" fontId="10" fillId="2" borderId="18" xfId="0" applyNumberFormat="1" applyFont="1" applyFill="1" applyBorder="1"/>
    <xf numFmtId="0" fontId="6" fillId="2" borderId="0" xfId="0" applyFont="1" applyFill="1"/>
    <xf numFmtId="0" fontId="6" fillId="2" borderId="6" xfId="0" applyFont="1" applyFill="1" applyBorder="1"/>
    <xf numFmtId="0" fontId="14" fillId="2" borderId="20" xfId="0" applyFont="1" applyFill="1" applyBorder="1"/>
    <xf numFmtId="0" fontId="14" fillId="2" borderId="21" xfId="0" applyFont="1" applyFill="1" applyBorder="1"/>
    <xf numFmtId="0" fontId="4" fillId="0" borderId="0" xfId="0" applyFont="1"/>
    <xf numFmtId="0" fontId="4" fillId="2" borderId="18" xfId="0" applyFont="1" applyFill="1" applyBorder="1"/>
    <xf numFmtId="1" fontId="10" fillId="2" borderId="18" xfId="0" applyNumberFormat="1" applyFont="1" applyFill="1" applyBorder="1"/>
    <xf numFmtId="0" fontId="7" fillId="0" borderId="0" xfId="0" applyFont="1" applyAlignment="1">
      <alignment horizontal="left" indent="2"/>
    </xf>
    <xf numFmtId="0" fontId="4" fillId="0" borderId="0" xfId="0" applyFont="1" applyAlignment="1">
      <alignment horizontal="left" indent="2"/>
    </xf>
    <xf numFmtId="0" fontId="10" fillId="0" borderId="0" xfId="0" applyFont="1" applyAlignment="1">
      <alignment horizontal="left" indent="2"/>
    </xf>
    <xf numFmtId="0" fontId="24" fillId="0" borderId="0" xfId="0" applyFont="1"/>
    <xf numFmtId="0" fontId="24" fillId="0" borderId="0" xfId="0" applyFont="1" applyAlignment="1">
      <alignment horizontal="left"/>
    </xf>
    <xf numFmtId="0" fontId="4" fillId="0" borderId="5" xfId="0" applyFont="1" applyBorder="1"/>
    <xf numFmtId="0" fontId="4" fillId="2" borderId="0" xfId="0" applyFont="1" applyFill="1" applyAlignment="1">
      <alignment horizontal="left" indent="2"/>
    </xf>
    <xf numFmtId="0" fontId="3" fillId="2" borderId="0" xfId="0" applyFont="1" applyFill="1"/>
    <xf numFmtId="0" fontId="3" fillId="0" borderId="5" xfId="0" applyFont="1" applyBorder="1"/>
    <xf numFmtId="0" fontId="3" fillId="2" borderId="6" xfId="0" applyFont="1" applyFill="1" applyBorder="1"/>
    <xf numFmtId="0" fontId="3" fillId="0" borderId="0" xfId="0" applyFont="1" applyAlignment="1">
      <alignment horizontal="left" indent="2"/>
    </xf>
    <xf numFmtId="166" fontId="3" fillId="2" borderId="18" xfId="0" applyNumberFormat="1" applyFont="1" applyFill="1" applyBorder="1"/>
    <xf numFmtId="166" fontId="3" fillId="2" borderId="0" xfId="0" applyNumberFormat="1" applyFont="1" applyFill="1" applyAlignment="1">
      <alignment vertical="center"/>
    </xf>
    <xf numFmtId="0" fontId="20" fillId="2" borderId="0" xfId="0" applyFont="1" applyFill="1" applyAlignment="1">
      <alignment horizontal="left" vertical="center"/>
    </xf>
    <xf numFmtId="0" fontId="20" fillId="2" borderId="0" xfId="0" applyFont="1" applyFill="1" applyAlignment="1">
      <alignment horizontal="left"/>
    </xf>
    <xf numFmtId="164" fontId="20" fillId="2" borderId="0" xfId="0" applyNumberFormat="1" applyFont="1" applyFill="1" applyAlignment="1">
      <alignment vertical="center"/>
    </xf>
    <xf numFmtId="0" fontId="25" fillId="4" borderId="0" xfId="0" applyFont="1" applyFill="1"/>
    <xf numFmtId="0" fontId="11" fillId="2" borderId="13" xfId="0" applyFont="1" applyFill="1" applyBorder="1"/>
    <xf numFmtId="0" fontId="11" fillId="2" borderId="8" xfId="0" applyFont="1" applyFill="1" applyBorder="1"/>
    <xf numFmtId="0" fontId="11" fillId="2" borderId="1" xfId="0" applyFont="1" applyFill="1" applyBorder="1"/>
    <xf numFmtId="0" fontId="11" fillId="2" borderId="9" xfId="0" applyFont="1" applyFill="1" applyBorder="1"/>
    <xf numFmtId="0" fontId="11" fillId="2" borderId="14" xfId="0" applyFont="1" applyFill="1" applyBorder="1"/>
    <xf numFmtId="0" fontId="22" fillId="0" borderId="0" xfId="0" applyFont="1"/>
    <xf numFmtId="0" fontId="22" fillId="0" borderId="0" xfId="0" applyFont="1" applyAlignment="1" applyProtection="1">
      <alignment vertical="top"/>
      <protection locked="0"/>
    </xf>
    <xf numFmtId="167" fontId="22" fillId="0" borderId="0" xfId="0" applyNumberFormat="1" applyFont="1" applyAlignment="1" applyProtection="1">
      <alignment vertical="top"/>
      <protection locked="0"/>
    </xf>
    <xf numFmtId="0" fontId="12" fillId="0" borderId="0" xfId="183" applyAlignment="1" applyProtection="1"/>
    <xf numFmtId="0" fontId="2" fillId="0" borderId="0" xfId="0" applyFont="1"/>
    <xf numFmtId="0" fontId="22" fillId="4" borderId="17" xfId="0" applyFont="1" applyFill="1" applyBorder="1" applyAlignment="1">
      <alignment horizontal="left" vertical="top" wrapText="1"/>
    </xf>
    <xf numFmtId="0" fontId="22" fillId="4" borderId="2" xfId="0" applyFont="1" applyFill="1" applyBorder="1" applyAlignment="1">
      <alignment horizontal="left" vertical="top" wrapText="1"/>
    </xf>
    <xf numFmtId="0" fontId="22" fillId="4" borderId="13" xfId="0" applyFont="1" applyFill="1" applyBorder="1" applyAlignment="1">
      <alignment horizontal="left" vertical="top" wrapText="1"/>
    </xf>
    <xf numFmtId="0" fontId="22" fillId="4" borderId="7" xfId="0" applyFont="1" applyFill="1" applyBorder="1" applyAlignment="1">
      <alignment horizontal="left" vertical="top" wrapText="1"/>
    </xf>
    <xf numFmtId="0" fontId="22" fillId="4" borderId="0" xfId="0" applyFont="1" applyFill="1" applyAlignment="1">
      <alignment horizontal="left" vertical="top" wrapText="1"/>
    </xf>
    <xf numFmtId="0" fontId="22" fillId="4" borderId="8" xfId="0" applyFont="1" applyFill="1" applyBorder="1" applyAlignment="1">
      <alignment horizontal="left" vertical="top" wrapText="1"/>
    </xf>
    <xf numFmtId="0" fontId="22" fillId="4" borderId="1" xfId="0" applyFont="1" applyFill="1" applyBorder="1" applyAlignment="1">
      <alignment horizontal="left" vertical="top" wrapText="1"/>
    </xf>
    <xf numFmtId="0" fontId="22" fillId="4" borderId="9" xfId="0" applyFont="1" applyFill="1" applyBorder="1" applyAlignment="1">
      <alignment horizontal="left" vertical="top" wrapText="1"/>
    </xf>
    <xf numFmtId="0" fontId="22" fillId="4" borderId="14" xfId="0" applyFont="1" applyFill="1" applyBorder="1" applyAlignment="1">
      <alignment horizontal="left" vertical="top" wrapText="1"/>
    </xf>
    <xf numFmtId="0" fontId="27" fillId="0" borderId="0" xfId="0" applyFont="1"/>
    <xf numFmtId="0" fontId="1" fillId="2" borderId="0" xfId="0" applyFont="1" applyFill="1"/>
    <xf numFmtId="1" fontId="20" fillId="2" borderId="0" xfId="0" applyNumberFormat="1" applyFont="1" applyFill="1"/>
    <xf numFmtId="49" fontId="12" fillId="2" borderId="0" xfId="183" applyNumberFormat="1" applyFill="1" applyAlignment="1" applyProtection="1"/>
    <xf numFmtId="0" fontId="20" fillId="2" borderId="0" xfId="0" applyFont="1" applyFill="1" applyAlignment="1">
      <alignment horizontal="right" vertical="top"/>
    </xf>
    <xf numFmtId="0" fontId="12" fillId="2" borderId="0" xfId="183" applyFill="1" applyAlignment="1" applyProtection="1"/>
    <xf numFmtId="0" fontId="1" fillId="0" borderId="5" xfId="0" applyFont="1" applyBorder="1"/>
    <xf numFmtId="0" fontId="1" fillId="0" borderId="0" xfId="0" applyFont="1" applyAlignment="1">
      <alignment horizontal="left" indent="2"/>
    </xf>
    <xf numFmtId="165" fontId="3" fillId="2" borderId="18" xfId="0" applyNumberFormat="1" applyFont="1" applyFill="1" applyBorder="1"/>
    <xf numFmtId="0" fontId="1" fillId="2" borderId="18" xfId="0" applyFont="1" applyFill="1" applyBorder="1"/>
  </cellXfs>
  <cellStyles count="345">
    <cellStyle name="Excel Built-in Normal" xfId="338" xr:uid="{00000000-0005-0000-0000-00000000000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180" builtinId="9" hidden="1"/>
    <cellStyle name="Followed Hyperlink" xfId="182" builtinId="9" hidden="1"/>
    <cellStyle name="Followed Hyperlink" xfId="179" builtinId="9" hidden="1"/>
    <cellStyle name="Followed Hyperlink" xfId="181" builtinId="9" hidden="1"/>
    <cellStyle name="Followed Hyperlink" xfId="178" builtinId="9" hidden="1"/>
    <cellStyle name="Followed Hyperlink" xfId="177"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83"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10160</xdr:colOff>
      <xdr:row>11</xdr:row>
      <xdr:rowOff>152399</xdr:rowOff>
    </xdr:from>
    <xdr:to>
      <xdr:col>14</xdr:col>
      <xdr:colOff>579120</xdr:colOff>
      <xdr:row>29</xdr:row>
      <xdr:rowOff>76416</xdr:rowOff>
    </xdr:to>
    <xdr:pic>
      <xdr:nvPicPr>
        <xdr:cNvPr id="7" name="Picture 6">
          <a:extLst>
            <a:ext uri="{FF2B5EF4-FFF2-40B4-BE49-F238E27FC236}">
              <a16:creationId xmlns:a16="http://schemas.microsoft.com/office/drawing/2014/main" id="{11A95082-DB24-5C4A-963B-7D04882FDE24}"/>
            </a:ext>
          </a:extLst>
        </xdr:cNvPr>
        <xdr:cNvPicPr>
          <a:picLocks noChangeAspect="1"/>
        </xdr:cNvPicPr>
      </xdr:nvPicPr>
      <xdr:blipFill>
        <a:blip xmlns:r="http://schemas.openxmlformats.org/officeDocument/2006/relationships" r:embed="rId1"/>
        <a:stretch>
          <a:fillRect/>
        </a:stretch>
      </xdr:blipFill>
      <xdr:spPr>
        <a:xfrm>
          <a:off x="10190480" y="2600959"/>
          <a:ext cx="4693920" cy="3581617"/>
        </a:xfrm>
        <a:prstGeom prst="rect">
          <a:avLst/>
        </a:prstGeom>
      </xdr:spPr>
    </xdr:pic>
    <xdr:clientData/>
  </xdr:twoCellAnchor>
  <xdr:twoCellAnchor editAs="oneCell">
    <xdr:from>
      <xdr:col>16</xdr:col>
      <xdr:colOff>0</xdr:colOff>
      <xdr:row>12</xdr:row>
      <xdr:rowOff>40640</xdr:rowOff>
    </xdr:from>
    <xdr:to>
      <xdr:col>26</xdr:col>
      <xdr:colOff>220980</xdr:colOff>
      <xdr:row>23</xdr:row>
      <xdr:rowOff>53340</xdr:rowOff>
    </xdr:to>
    <xdr:pic>
      <xdr:nvPicPr>
        <xdr:cNvPr id="8" name="Picture 7">
          <a:extLst>
            <a:ext uri="{FF2B5EF4-FFF2-40B4-BE49-F238E27FC236}">
              <a16:creationId xmlns:a16="http://schemas.microsoft.com/office/drawing/2014/main" id="{246E69CA-272E-98A3-49DD-B34C75059433}"/>
            </a:ext>
          </a:extLst>
        </xdr:cNvPr>
        <xdr:cNvPicPr>
          <a:picLocks noChangeAspect="1"/>
        </xdr:cNvPicPr>
      </xdr:nvPicPr>
      <xdr:blipFill>
        <a:blip xmlns:r="http://schemas.openxmlformats.org/officeDocument/2006/relationships" r:embed="rId2"/>
        <a:stretch>
          <a:fillRect/>
        </a:stretch>
      </xdr:blipFill>
      <xdr:spPr>
        <a:xfrm>
          <a:off x="15585440" y="2692400"/>
          <a:ext cx="6438900" cy="2247900"/>
        </a:xfrm>
        <a:prstGeom prst="rect">
          <a:avLst/>
        </a:prstGeom>
      </xdr:spPr>
    </xdr:pic>
    <xdr:clientData/>
  </xdr:twoCellAnchor>
  <xdr:twoCellAnchor editAs="oneCell">
    <xdr:from>
      <xdr:col>8</xdr:col>
      <xdr:colOff>589280</xdr:colOff>
      <xdr:row>33</xdr:row>
      <xdr:rowOff>30480</xdr:rowOff>
    </xdr:from>
    <xdr:to>
      <xdr:col>15</xdr:col>
      <xdr:colOff>398780</xdr:colOff>
      <xdr:row>43</xdr:row>
      <xdr:rowOff>170180</xdr:rowOff>
    </xdr:to>
    <xdr:pic>
      <xdr:nvPicPr>
        <xdr:cNvPr id="9" name="Picture 8">
          <a:extLst>
            <a:ext uri="{FF2B5EF4-FFF2-40B4-BE49-F238E27FC236}">
              <a16:creationId xmlns:a16="http://schemas.microsoft.com/office/drawing/2014/main" id="{385C4397-AB68-5664-E011-DEC53884181E}"/>
            </a:ext>
          </a:extLst>
        </xdr:cNvPr>
        <xdr:cNvPicPr>
          <a:picLocks noChangeAspect="1"/>
        </xdr:cNvPicPr>
      </xdr:nvPicPr>
      <xdr:blipFill>
        <a:blip xmlns:r="http://schemas.openxmlformats.org/officeDocument/2006/relationships" r:embed="rId3"/>
        <a:stretch>
          <a:fillRect/>
        </a:stretch>
      </xdr:blipFill>
      <xdr:spPr>
        <a:xfrm>
          <a:off x="10149840" y="6949440"/>
          <a:ext cx="5194300" cy="2171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lexander/Git/etdataset/nodes_source_analyses/agriculture/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inkwoodresearch.com/reports/bio-based-naphtha-market/" TargetMode="External"/><Relationship Id="rId2" Type="http://schemas.openxmlformats.org/officeDocument/2006/relationships/hyperlink" Target="https://publications.tno.nl/publication/34640052/i6oSyA/TNO-2021-R11314.pdf" TargetMode="External"/><Relationship Id="rId1" Type="http://schemas.openxmlformats.org/officeDocument/2006/relationships/hyperlink" Target="https://view.argusmedia.com/rs/584-BUW-606/images/BIO-FAQ-Bionaphtha-prices-SGContact.pdf"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exchangerates.org.uk/EUR-USD-spot-exchange-rates-history-202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24"/>
  <sheetViews>
    <sheetView tabSelected="1" workbookViewId="0">
      <selection activeCell="C5" sqref="C5"/>
    </sheetView>
  </sheetViews>
  <sheetFormatPr baseColWidth="10" defaultColWidth="10.85546875" defaultRowHeight="16"/>
  <cols>
    <col min="1" max="1" width="3.42578125" style="29" customWidth="1"/>
    <col min="2" max="2" width="9.140625" style="22" customWidth="1"/>
    <col min="3" max="3" width="44.140625" style="22" customWidth="1"/>
    <col min="4" max="4" width="2.140625" style="22" customWidth="1"/>
    <col min="5" max="16384" width="10.85546875" style="22"/>
  </cols>
  <sheetData>
    <row r="1" spans="1:4" s="27" customFormat="1">
      <c r="A1" s="25"/>
      <c r="B1" s="26"/>
      <c r="C1" s="26"/>
    </row>
    <row r="2" spans="1:4" ht="21">
      <c r="A2" s="7"/>
      <c r="B2" s="28" t="s">
        <v>5</v>
      </c>
      <c r="C2" s="28"/>
    </row>
    <row r="3" spans="1:4">
      <c r="A3" s="7"/>
      <c r="B3" s="14"/>
      <c r="C3" s="14"/>
    </row>
    <row r="4" spans="1:4">
      <c r="A4" s="7"/>
      <c r="B4" s="8" t="s">
        <v>46</v>
      </c>
      <c r="C4" s="9" t="s">
        <v>80</v>
      </c>
    </row>
    <row r="5" spans="1:4">
      <c r="A5" s="7"/>
      <c r="B5" s="10" t="s">
        <v>11</v>
      </c>
      <c r="C5" s="11" t="s">
        <v>79</v>
      </c>
    </row>
    <row r="6" spans="1:4">
      <c r="A6" s="7"/>
      <c r="B6" s="12" t="s">
        <v>6</v>
      </c>
      <c r="C6" s="13" t="s">
        <v>7</v>
      </c>
    </row>
    <row r="7" spans="1:4">
      <c r="A7" s="7"/>
      <c r="B7" s="14"/>
      <c r="C7" s="14"/>
    </row>
    <row r="8" spans="1:4">
      <c r="A8" s="7"/>
      <c r="B8" s="14"/>
      <c r="C8" s="14"/>
    </row>
    <row r="9" spans="1:4">
      <c r="A9" s="7"/>
      <c r="B9" s="70" t="s">
        <v>12</v>
      </c>
      <c r="C9" s="71"/>
      <c r="D9" s="118"/>
    </row>
    <row r="10" spans="1:4">
      <c r="A10" s="7"/>
      <c r="B10" s="72"/>
      <c r="C10" s="73"/>
      <c r="D10" s="119"/>
    </row>
    <row r="11" spans="1:4">
      <c r="A11" s="7"/>
      <c r="B11" s="72" t="s">
        <v>13</v>
      </c>
      <c r="C11" s="74" t="s">
        <v>14</v>
      </c>
      <c r="D11" s="119"/>
    </row>
    <row r="12" spans="1:4" ht="17" thickBot="1">
      <c r="A12" s="7"/>
      <c r="B12" s="72"/>
      <c r="C12" s="19" t="s">
        <v>15</v>
      </c>
      <c r="D12" s="119"/>
    </row>
    <row r="13" spans="1:4" ht="17" thickBot="1">
      <c r="A13" s="7"/>
      <c r="B13" s="72"/>
      <c r="C13" s="75" t="s">
        <v>16</v>
      </c>
      <c r="D13" s="119"/>
    </row>
    <row r="14" spans="1:4">
      <c r="A14" s="7"/>
      <c r="B14" s="72"/>
      <c r="C14" s="73" t="s">
        <v>17</v>
      </c>
      <c r="D14" s="119"/>
    </row>
    <row r="15" spans="1:4">
      <c r="A15" s="7"/>
      <c r="B15" s="72"/>
      <c r="C15" s="73"/>
      <c r="D15" s="119"/>
    </row>
    <row r="16" spans="1:4">
      <c r="A16" s="7"/>
      <c r="B16" s="72" t="s">
        <v>18</v>
      </c>
      <c r="C16" s="76" t="s">
        <v>19</v>
      </c>
      <c r="D16" s="119"/>
    </row>
    <row r="17" spans="1:4">
      <c r="A17" s="7"/>
      <c r="B17" s="72"/>
      <c r="C17" s="77" t="s">
        <v>20</v>
      </c>
      <c r="D17" s="119"/>
    </row>
    <row r="18" spans="1:4">
      <c r="A18" s="7"/>
      <c r="B18" s="72"/>
      <c r="C18" s="78" t="s">
        <v>21</v>
      </c>
      <c r="D18" s="119"/>
    </row>
    <row r="19" spans="1:4">
      <c r="A19" s="7"/>
      <c r="B19" s="72"/>
      <c r="C19" s="79" t="s">
        <v>22</v>
      </c>
      <c r="D19" s="119"/>
    </row>
    <row r="20" spans="1:4">
      <c r="A20" s="7"/>
      <c r="B20" s="80"/>
      <c r="C20" s="81" t="s">
        <v>23</v>
      </c>
      <c r="D20" s="119"/>
    </row>
    <row r="21" spans="1:4">
      <c r="A21" s="7"/>
      <c r="B21" s="80"/>
      <c r="C21" s="82" t="s">
        <v>24</v>
      </c>
      <c r="D21" s="119"/>
    </row>
    <row r="22" spans="1:4">
      <c r="A22" s="7"/>
      <c r="B22" s="80"/>
      <c r="C22" s="83" t="s">
        <v>25</v>
      </c>
      <c r="D22" s="119"/>
    </row>
    <row r="23" spans="1:4">
      <c r="B23" s="80"/>
      <c r="C23" s="84" t="s">
        <v>26</v>
      </c>
      <c r="D23" s="119"/>
    </row>
    <row r="24" spans="1:4">
      <c r="B24" s="120"/>
      <c r="C24" s="121"/>
      <c r="D24" s="122"/>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15"/>
  <sheetViews>
    <sheetView workbookViewId="0">
      <selection activeCell="I15" sqref="I15"/>
    </sheetView>
  </sheetViews>
  <sheetFormatPr baseColWidth="10" defaultColWidth="10.85546875" defaultRowHeight="16"/>
  <cols>
    <col min="1" max="1" width="3.28515625" style="33" customWidth="1"/>
    <col min="2" max="2" width="3.7109375" style="33" customWidth="1"/>
    <col min="3" max="3" width="46" style="33" customWidth="1"/>
    <col min="4" max="4" width="12.7109375" style="33" customWidth="1"/>
    <col min="5" max="5" width="21.85546875" style="33" customWidth="1"/>
    <col min="6" max="6" width="4.42578125" style="33" customWidth="1"/>
    <col min="7" max="7" width="45" style="33" customWidth="1"/>
    <col min="8" max="8" width="5.140625" style="33" customWidth="1"/>
    <col min="9" max="9" width="51.42578125" style="33" customWidth="1"/>
    <col min="10" max="10" width="5.42578125" style="33" customWidth="1"/>
    <col min="11" max="16384" width="10.85546875" style="33"/>
  </cols>
  <sheetData>
    <row r="2" spans="2:10" ht="15" customHeight="1">
      <c r="B2" s="128" t="s">
        <v>50</v>
      </c>
      <c r="C2" s="129"/>
      <c r="D2" s="129"/>
      <c r="E2" s="129"/>
      <c r="F2" s="129"/>
      <c r="G2" s="130"/>
    </row>
    <row r="3" spans="2:10">
      <c r="B3" s="131"/>
      <c r="C3" s="132"/>
      <c r="D3" s="132"/>
      <c r="E3" s="132"/>
      <c r="F3" s="132"/>
      <c r="G3" s="133"/>
    </row>
    <row r="4" spans="2:10" ht="76" customHeight="1">
      <c r="B4" s="134"/>
      <c r="C4" s="135"/>
      <c r="D4" s="135"/>
      <c r="E4" s="135"/>
      <c r="F4" s="135"/>
      <c r="G4" s="136"/>
    </row>
    <row r="5" spans="2:10" ht="17" thickBot="1"/>
    <row r="6" spans="2:10">
      <c r="B6" s="35"/>
      <c r="C6" s="21"/>
      <c r="D6" s="21"/>
      <c r="E6" s="21"/>
      <c r="F6" s="21"/>
      <c r="G6" s="21"/>
      <c r="H6" s="21"/>
      <c r="I6" s="21"/>
      <c r="J6" s="36"/>
    </row>
    <row r="7" spans="2:10" s="40" customFormat="1" ht="19">
      <c r="B7" s="85"/>
      <c r="C7" s="20" t="s">
        <v>10</v>
      </c>
      <c r="D7" s="86" t="s">
        <v>4</v>
      </c>
      <c r="E7" s="20" t="s">
        <v>2</v>
      </c>
      <c r="F7" s="20"/>
      <c r="G7" s="20" t="s">
        <v>3</v>
      </c>
      <c r="H7" s="20"/>
      <c r="I7" s="20" t="s">
        <v>0</v>
      </c>
      <c r="J7" s="87"/>
    </row>
    <row r="8" spans="2:10" s="40" customFormat="1" ht="19">
      <c r="B8" s="24"/>
      <c r="C8" s="19"/>
      <c r="D8" s="31"/>
      <c r="E8" s="19"/>
      <c r="F8" s="19"/>
      <c r="G8" s="19"/>
      <c r="H8" s="19"/>
      <c r="I8" s="19"/>
      <c r="J8" s="41"/>
    </row>
    <row r="9" spans="2:10" s="40" customFormat="1" ht="20" thickBot="1">
      <c r="B9" s="24"/>
      <c r="C9" s="117" t="s">
        <v>48</v>
      </c>
      <c r="D9" s="31"/>
      <c r="E9" s="19"/>
      <c r="F9" s="19"/>
      <c r="G9" s="19"/>
      <c r="H9" s="19"/>
      <c r="I9" s="19"/>
      <c r="J9" s="41"/>
    </row>
    <row r="10" spans="2:10" s="40" customFormat="1" ht="20" thickBot="1">
      <c r="B10" s="24"/>
      <c r="C10" s="92" t="s">
        <v>32</v>
      </c>
      <c r="D10" s="23" t="s">
        <v>1</v>
      </c>
      <c r="E10" s="100">
        <f>'Research data'!G6</f>
        <v>1</v>
      </c>
      <c r="F10" s="34"/>
      <c r="G10" s="98" t="s">
        <v>35</v>
      </c>
      <c r="H10" s="30"/>
      <c r="I10" s="99" t="s">
        <v>36</v>
      </c>
      <c r="J10" s="41"/>
    </row>
    <row r="11" spans="2:10" s="40" customFormat="1" ht="20" thickBot="1">
      <c r="B11" s="24"/>
      <c r="C11" s="127" t="s">
        <v>33</v>
      </c>
      <c r="D11" s="23" t="s">
        <v>40</v>
      </c>
      <c r="E11" s="93">
        <f>'Research data'!G7</f>
        <v>7.6799999999999993E-2</v>
      </c>
      <c r="F11" s="34"/>
      <c r="G11" s="98"/>
      <c r="H11" s="30"/>
      <c r="I11" s="146" t="s">
        <v>78</v>
      </c>
      <c r="J11" s="41"/>
    </row>
    <row r="12" spans="2:10" s="40" customFormat="1" ht="20" thickBot="1">
      <c r="B12" s="24"/>
      <c r="C12" s="98" t="s">
        <v>47</v>
      </c>
      <c r="D12" s="23" t="s">
        <v>39</v>
      </c>
      <c r="E12" s="42">
        <f>'Research data'!G8</f>
        <v>45</v>
      </c>
      <c r="F12" s="34"/>
      <c r="G12" s="98"/>
      <c r="H12" s="30"/>
      <c r="I12" s="146" t="s">
        <v>71</v>
      </c>
      <c r="J12" s="41"/>
    </row>
    <row r="13" spans="2:10" s="40" customFormat="1" ht="20" thickBot="1">
      <c r="B13" s="24"/>
      <c r="C13" s="123" t="s">
        <v>49</v>
      </c>
      <c r="D13" s="23" t="s">
        <v>45</v>
      </c>
      <c r="E13" s="42">
        <f>'Research data'!G9</f>
        <v>0.66700000000000004</v>
      </c>
      <c r="F13" s="34"/>
      <c r="G13" s="98"/>
      <c r="H13" s="30"/>
      <c r="I13" s="146" t="s">
        <v>71</v>
      </c>
      <c r="J13" s="41"/>
    </row>
    <row r="14" spans="2:10" s="40" customFormat="1" ht="20" thickBot="1">
      <c r="B14" s="24"/>
      <c r="C14" s="123" t="s">
        <v>70</v>
      </c>
      <c r="D14" s="23" t="s">
        <v>37</v>
      </c>
      <c r="E14" s="42">
        <f>'Research data'!G10</f>
        <v>6.8599999999999994E-2</v>
      </c>
      <c r="F14" s="34"/>
      <c r="G14" s="98"/>
      <c r="H14" s="30"/>
      <c r="I14" s="146" t="s">
        <v>71</v>
      </c>
      <c r="J14" s="41"/>
    </row>
    <row r="15" spans="2:10" ht="20" customHeight="1" thickBot="1">
      <c r="B15" s="37"/>
      <c r="C15" s="38"/>
      <c r="D15" s="38"/>
      <c r="E15" s="38"/>
      <c r="F15" s="38"/>
      <c r="G15" s="38"/>
      <c r="H15" s="38"/>
      <c r="I15" s="38"/>
      <c r="J15" s="39"/>
    </row>
  </sheetData>
  <mergeCells count="1">
    <mergeCell ref="B2:G4"/>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theme="6" tint="0.39997558519241921"/>
  </sheetPr>
  <dimension ref="B1:M12"/>
  <sheetViews>
    <sheetView workbookViewId="0">
      <selection activeCell="G10" sqref="G10"/>
    </sheetView>
  </sheetViews>
  <sheetFormatPr baseColWidth="10" defaultColWidth="10.85546875" defaultRowHeight="16"/>
  <cols>
    <col min="1" max="2" width="3.42578125" style="57" customWidth="1"/>
    <col min="3" max="3" width="35.85546875" style="57" customWidth="1"/>
    <col min="4" max="4" width="16.42578125" style="57" hidden="1" customWidth="1"/>
    <col min="5" max="5" width="13.85546875" style="57" hidden="1" customWidth="1"/>
    <col min="6" max="6" width="12.42578125" style="57" customWidth="1"/>
    <col min="7" max="7" width="11.7109375" style="57" bestFit="1" customWidth="1"/>
    <col min="8" max="8" width="4.7109375" style="57" customWidth="1"/>
    <col min="9" max="9" width="9.85546875" style="58" customWidth="1"/>
    <col min="10" max="10" width="3" style="58" customWidth="1"/>
    <col min="11" max="11" width="11.7109375" style="58" bestFit="1" customWidth="1"/>
    <col min="12" max="12" width="4.140625" style="58" customWidth="1"/>
    <col min="13" max="13" width="60" style="57" customWidth="1"/>
    <col min="14" max="16384" width="10.85546875" style="57"/>
  </cols>
  <sheetData>
    <row r="1" spans="2:13" ht="17" thickBot="1"/>
    <row r="2" spans="2:13">
      <c r="B2" s="59"/>
      <c r="C2" s="60"/>
      <c r="D2" s="60"/>
      <c r="E2" s="60"/>
      <c r="F2" s="60"/>
      <c r="G2" s="60"/>
      <c r="H2" s="60"/>
      <c r="I2" s="61"/>
      <c r="J2" s="61"/>
      <c r="K2" s="61"/>
      <c r="L2" s="61"/>
      <c r="M2" s="62"/>
    </row>
    <row r="3" spans="2:13" s="19" customFormat="1">
      <c r="B3" s="24"/>
      <c r="C3" s="91" t="s">
        <v>27</v>
      </c>
      <c r="D3" s="15"/>
      <c r="E3" s="15"/>
      <c r="F3" s="91" t="s">
        <v>4</v>
      </c>
      <c r="G3" s="91" t="s">
        <v>23</v>
      </c>
      <c r="H3" s="91"/>
      <c r="I3" s="56" t="s">
        <v>71</v>
      </c>
      <c r="J3" s="56"/>
      <c r="K3" s="56" t="s">
        <v>77</v>
      </c>
      <c r="L3" s="56"/>
      <c r="M3" s="1" t="s">
        <v>28</v>
      </c>
    </row>
    <row r="4" spans="2:13">
      <c r="B4" s="63"/>
      <c r="C4" s="64"/>
      <c r="D4" s="64"/>
      <c r="E4" s="64"/>
      <c r="F4" s="64"/>
      <c r="G4" s="65"/>
      <c r="H4" s="65"/>
      <c r="I4" s="89"/>
      <c r="J4" s="89"/>
      <c r="K4" s="88"/>
      <c r="L4" s="90"/>
      <c r="M4" s="2"/>
    </row>
    <row r="5" spans="2:13" ht="17" thickBot="1">
      <c r="B5" s="63"/>
      <c r="C5" s="19" t="s">
        <v>41</v>
      </c>
      <c r="D5" s="32"/>
      <c r="E5" s="32"/>
      <c r="F5" s="32"/>
      <c r="G5" s="16"/>
      <c r="H5" s="16"/>
      <c r="I5" s="16"/>
      <c r="J5" s="16"/>
      <c r="K5" s="16"/>
      <c r="L5" s="16"/>
      <c r="M5" s="3"/>
    </row>
    <row r="6" spans="2:13" ht="17" thickBot="1">
      <c r="B6" s="63"/>
      <c r="C6" s="101" t="s">
        <v>32</v>
      </c>
      <c r="D6" s="101" t="s">
        <v>32</v>
      </c>
      <c r="E6" s="101" t="s">
        <v>32</v>
      </c>
      <c r="F6" s="23" t="s">
        <v>1</v>
      </c>
      <c r="G6" s="42">
        <v>1</v>
      </c>
      <c r="H6" s="66"/>
      <c r="I6" s="18"/>
      <c r="J6" s="18"/>
      <c r="K6" s="18"/>
      <c r="L6" s="16"/>
      <c r="M6" s="143" t="s">
        <v>36</v>
      </c>
    </row>
    <row r="7" spans="2:13" s="6" customFormat="1" ht="17" thickBot="1">
      <c r="B7" s="5"/>
      <c r="C7" s="102" t="s">
        <v>33</v>
      </c>
      <c r="D7" s="102" t="s">
        <v>33</v>
      </c>
      <c r="E7" s="102" t="s">
        <v>33</v>
      </c>
      <c r="F7" s="23" t="s">
        <v>40</v>
      </c>
      <c r="G7" s="93">
        <f>ROUND(K7,5)</f>
        <v>7.6799999999999993E-2</v>
      </c>
      <c r="H7" s="4"/>
      <c r="I7" s="18"/>
      <c r="J7" s="18"/>
      <c r="K7" s="93">
        <f>Notes!D9</f>
        <v>7.6799999999999993E-2</v>
      </c>
      <c r="L7" s="16"/>
      <c r="M7" s="106"/>
    </row>
    <row r="8" spans="2:13" s="6" customFormat="1" ht="17" thickBot="1">
      <c r="B8" s="5"/>
      <c r="C8" s="102" t="s">
        <v>47</v>
      </c>
      <c r="D8" s="102" t="s">
        <v>38</v>
      </c>
      <c r="E8" s="102" t="s">
        <v>38</v>
      </c>
      <c r="F8" s="23" t="s">
        <v>39</v>
      </c>
      <c r="G8" s="42">
        <f>ROUND(I8,2)</f>
        <v>45</v>
      </c>
      <c r="H8" s="4"/>
      <c r="I8" s="43">
        <f>Notes!D6</f>
        <v>45</v>
      </c>
      <c r="J8" s="18"/>
      <c r="K8" s="18"/>
      <c r="L8" s="16"/>
      <c r="M8" s="3"/>
    </row>
    <row r="9" spans="2:13" s="108" customFormat="1" ht="17" thickBot="1">
      <c r="B9" s="110"/>
      <c r="C9" s="111" t="s">
        <v>49</v>
      </c>
      <c r="D9" s="111"/>
      <c r="E9" s="111"/>
      <c r="F9" s="23" t="s">
        <v>45</v>
      </c>
      <c r="G9" s="145">
        <f>I9</f>
        <v>0.66700000000000004</v>
      </c>
      <c r="H9" s="113"/>
      <c r="I9" s="112">
        <f>Notes!D7</f>
        <v>0.66700000000000004</v>
      </c>
      <c r="J9" s="18"/>
      <c r="K9" s="18"/>
      <c r="L9" s="16"/>
      <c r="M9" s="109"/>
    </row>
    <row r="10" spans="2:13" s="6" customFormat="1" ht="17" thickBot="1">
      <c r="B10" s="5"/>
      <c r="C10" s="144" t="s">
        <v>70</v>
      </c>
      <c r="D10" s="103" t="s">
        <v>34</v>
      </c>
      <c r="E10" s="103" t="s">
        <v>34</v>
      </c>
      <c r="F10" s="23" t="s">
        <v>37</v>
      </c>
      <c r="G10" s="93">
        <f>ROUND(I10,5)</f>
        <v>6.8599999999999994E-2</v>
      </c>
      <c r="H10" s="4"/>
      <c r="I10" s="93">
        <f>Notes!D8</f>
        <v>6.8599999999999994E-2</v>
      </c>
      <c r="J10" s="18"/>
      <c r="K10" s="18"/>
      <c r="L10" s="16"/>
      <c r="M10" s="3"/>
    </row>
    <row r="11" spans="2:13">
      <c r="B11" s="63"/>
      <c r="C11" s="32"/>
      <c r="D11" s="32"/>
      <c r="E11" s="32"/>
      <c r="F11" s="32"/>
      <c r="G11" s="17"/>
      <c r="H11" s="17"/>
      <c r="I11" s="18"/>
      <c r="J11" s="18"/>
      <c r="K11" s="18"/>
      <c r="L11" s="16"/>
      <c r="M11" s="106"/>
    </row>
    <row r="12" spans="2:13" ht="17" thickBot="1">
      <c r="B12" s="67"/>
      <c r="C12" s="68"/>
      <c r="D12" s="68"/>
      <c r="E12" s="68"/>
      <c r="F12" s="68"/>
      <c r="G12" s="68"/>
      <c r="H12" s="68"/>
      <c r="I12" s="68"/>
      <c r="J12" s="68"/>
      <c r="K12" s="68"/>
      <c r="L12" s="68"/>
      <c r="M12" s="69"/>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6" tint="0.79998168889431442"/>
  </sheetPr>
  <dimension ref="B1:M13"/>
  <sheetViews>
    <sheetView workbookViewId="0">
      <selection activeCell="I12" sqref="I12"/>
    </sheetView>
  </sheetViews>
  <sheetFormatPr baseColWidth="10" defaultColWidth="33.140625" defaultRowHeight="16"/>
  <cols>
    <col min="1" max="1" width="3.28515625" style="44" customWidth="1"/>
    <col min="2" max="2" width="3.42578125" style="44" customWidth="1"/>
    <col min="3" max="3" width="28.7109375" style="44" customWidth="1"/>
    <col min="4" max="4" width="3.140625" style="44" customWidth="1"/>
    <col min="5" max="5" width="24.42578125" style="44" customWidth="1"/>
    <col min="6" max="6" width="5" style="44" customWidth="1"/>
    <col min="7" max="7" width="11.5703125" style="44" bestFit="1" customWidth="1"/>
    <col min="8" max="10" width="12.140625" style="44" customWidth="1"/>
    <col min="11" max="11" width="33.140625" style="45" customWidth="1"/>
    <col min="12" max="12" width="87.28515625" style="44" customWidth="1"/>
    <col min="13" max="16384" width="33.140625" style="44"/>
  </cols>
  <sheetData>
    <row r="1" spans="2:13" ht="17" thickBot="1"/>
    <row r="2" spans="2:13">
      <c r="B2" s="46"/>
      <c r="C2" s="47"/>
      <c r="D2" s="47"/>
      <c r="E2" s="47"/>
      <c r="F2" s="47"/>
      <c r="G2" s="47"/>
      <c r="H2" s="47"/>
      <c r="I2" s="47"/>
      <c r="J2" s="47"/>
      <c r="K2" s="48"/>
      <c r="L2" s="47"/>
    </row>
    <row r="3" spans="2:13">
      <c r="B3" s="49"/>
      <c r="C3" s="50" t="s">
        <v>8</v>
      </c>
      <c r="D3" s="50"/>
      <c r="E3" s="50"/>
      <c r="F3" s="50"/>
      <c r="G3" s="50"/>
      <c r="H3" s="50"/>
      <c r="I3" s="50"/>
      <c r="J3" s="50"/>
      <c r="K3" s="51"/>
    </row>
    <row r="4" spans="2:13">
      <c r="B4" s="49"/>
      <c r="K4" s="44"/>
    </row>
    <row r="5" spans="2:13">
      <c r="B5" s="52"/>
      <c r="C5" s="53" t="s">
        <v>10</v>
      </c>
      <c r="D5" s="53"/>
      <c r="E5" s="53" t="s">
        <v>0</v>
      </c>
      <c r="F5" s="53"/>
      <c r="G5" s="53" t="s">
        <v>9</v>
      </c>
      <c r="H5" s="53" t="s">
        <v>30</v>
      </c>
      <c r="I5" s="53" t="s">
        <v>31</v>
      </c>
      <c r="J5" s="54" t="s">
        <v>54</v>
      </c>
      <c r="K5" s="44"/>
    </row>
    <row r="6" spans="2:13">
      <c r="B6" s="49"/>
      <c r="C6" s="50"/>
      <c r="D6" s="50"/>
      <c r="E6" s="107"/>
      <c r="F6" s="107"/>
      <c r="G6" s="50"/>
      <c r="H6" s="50"/>
      <c r="I6" s="50"/>
      <c r="J6" s="51"/>
      <c r="K6" s="44"/>
    </row>
    <row r="7" spans="2:13">
      <c r="B7" s="49"/>
      <c r="C7" s="114" t="s">
        <v>47</v>
      </c>
      <c r="D7" s="55"/>
      <c r="E7" s="138" t="s">
        <v>71</v>
      </c>
      <c r="F7" s="108" t="s">
        <v>43</v>
      </c>
      <c r="G7" s="139">
        <v>2021</v>
      </c>
      <c r="I7" s="45" t="s">
        <v>73</v>
      </c>
      <c r="J7" s="140" t="s">
        <v>74</v>
      </c>
      <c r="K7" s="44"/>
    </row>
    <row r="8" spans="2:13">
      <c r="B8" s="49"/>
      <c r="C8" s="115" t="s">
        <v>49</v>
      </c>
      <c r="E8" s="138"/>
      <c r="I8" s="45"/>
      <c r="J8" s="45"/>
      <c r="K8" s="44"/>
    </row>
    <row r="9" spans="2:13">
      <c r="B9" s="49"/>
      <c r="C9" s="116" t="s">
        <v>70</v>
      </c>
      <c r="E9" s="138"/>
      <c r="I9" s="45"/>
      <c r="J9" s="45"/>
      <c r="K9" s="44"/>
    </row>
    <row r="10" spans="2:13">
      <c r="B10" s="49"/>
      <c r="C10" s="116"/>
      <c r="E10" s="138"/>
      <c r="I10" s="45"/>
      <c r="J10" s="45"/>
      <c r="K10" s="44"/>
    </row>
    <row r="11" spans="2:13">
      <c r="B11" s="49"/>
      <c r="C11" s="55" t="s">
        <v>33</v>
      </c>
      <c r="D11" s="55"/>
      <c r="E11" s="44" t="s">
        <v>72</v>
      </c>
      <c r="G11" s="141">
        <v>2023</v>
      </c>
      <c r="I11" s="45" t="s">
        <v>73</v>
      </c>
      <c r="J11" s="126" t="s">
        <v>75</v>
      </c>
      <c r="K11" s="44"/>
    </row>
    <row r="12" spans="2:13">
      <c r="B12" s="49"/>
      <c r="E12" s="44" t="s">
        <v>58</v>
      </c>
      <c r="I12" s="45" t="s">
        <v>73</v>
      </c>
      <c r="J12" s="142" t="s">
        <v>76</v>
      </c>
    </row>
    <row r="13" spans="2:13">
      <c r="C13" s="116"/>
      <c r="M13" s="45"/>
    </row>
  </sheetData>
  <hyperlinks>
    <hyperlink ref="J11" r:id="rId1" xr:uid="{65A73D8E-0B2A-9A4C-9615-4F812D461664}"/>
    <hyperlink ref="J7" r:id="rId2" xr:uid="{250AA712-2EE9-C34F-9926-254219D1EAD8}"/>
    <hyperlink ref="J12" r:id="rId3" xr:uid="{F5EA0029-0B4B-C14B-B2B5-156683B5E402}"/>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194"/>
  <sheetViews>
    <sheetView topLeftCell="A2" zoomScale="135" workbookViewId="0">
      <selection activeCell="D34" sqref="D34"/>
    </sheetView>
  </sheetViews>
  <sheetFormatPr baseColWidth="10" defaultColWidth="7" defaultRowHeight="16"/>
  <cols>
    <col min="1" max="1" width="5.42578125" style="94" customWidth="1"/>
    <col min="2" max="2" width="5" style="94" customWidth="1"/>
    <col min="3" max="3" width="20.140625" style="94" bestFit="1" customWidth="1"/>
    <col min="4" max="4" width="7.140625" style="94" bestFit="1" customWidth="1"/>
    <col min="5" max="5" width="7" style="94"/>
    <col min="6" max="6" width="10.85546875" style="94" bestFit="1" customWidth="1"/>
    <col min="7" max="7" width="44.7109375" style="94" bestFit="1" customWidth="1"/>
    <col min="8" max="8" width="7.140625" style="94" bestFit="1" customWidth="1"/>
    <col min="9" max="11" width="7" style="94"/>
    <col min="12" max="12" width="18" style="94" customWidth="1"/>
    <col min="13" max="17" width="7.140625" style="94" bestFit="1" customWidth="1"/>
    <col min="18" max="16384" width="7" style="94"/>
  </cols>
  <sheetData>
    <row r="1" spans="2:25" ht="17" thickBot="1"/>
    <row r="2" spans="2:25" s="19" customFormat="1">
      <c r="B2" s="96"/>
      <c r="C2" s="97" t="s">
        <v>22</v>
      </c>
      <c r="D2" s="97" t="s">
        <v>42</v>
      </c>
      <c r="E2" s="97"/>
      <c r="F2" s="97" t="s">
        <v>29</v>
      </c>
      <c r="G2" s="97"/>
      <c r="H2" s="97"/>
      <c r="I2" s="97"/>
      <c r="J2" s="97"/>
      <c r="K2" s="97"/>
      <c r="L2" s="97"/>
      <c r="M2" s="97"/>
      <c r="N2" s="97"/>
      <c r="O2" s="97"/>
      <c r="P2" s="97"/>
      <c r="Q2" s="97"/>
      <c r="R2" s="97"/>
      <c r="S2" s="97"/>
      <c r="T2" s="97"/>
      <c r="U2" s="97"/>
    </row>
    <row r="3" spans="2:25">
      <c r="B3" s="95"/>
    </row>
    <row r="4" spans="2:25" customFormat="1">
      <c r="B4" s="95"/>
      <c r="C4" s="104"/>
      <c r="D4" s="104"/>
      <c r="E4" s="104"/>
      <c r="F4" s="104"/>
      <c r="G4" s="104"/>
      <c r="H4" s="104"/>
      <c r="I4" s="104"/>
      <c r="J4" s="104"/>
      <c r="K4" s="104"/>
      <c r="L4" s="104"/>
      <c r="M4" s="104"/>
      <c r="N4" s="104"/>
      <c r="O4" s="104"/>
      <c r="P4" s="104"/>
      <c r="Q4" s="104"/>
      <c r="R4" s="104"/>
      <c r="S4" s="104"/>
      <c r="T4" s="104"/>
      <c r="U4" s="104"/>
      <c r="V4" s="104"/>
      <c r="W4" s="104"/>
      <c r="X4" s="104"/>
      <c r="Y4" s="104"/>
    </row>
    <row r="5" spans="2:25" customFormat="1">
      <c r="B5" s="95"/>
      <c r="C5" s="137" t="s">
        <v>55</v>
      </c>
      <c r="D5" s="104"/>
      <c r="E5" s="104"/>
      <c r="F5" s="104"/>
      <c r="G5" s="104"/>
      <c r="H5" s="104"/>
      <c r="I5" s="104"/>
      <c r="J5" s="104"/>
      <c r="K5" s="104"/>
      <c r="L5" s="104"/>
      <c r="M5" s="104"/>
      <c r="N5" s="104"/>
      <c r="O5" s="104"/>
      <c r="P5" s="104"/>
      <c r="Q5" s="104"/>
      <c r="R5" s="104"/>
      <c r="S5" s="104"/>
      <c r="T5" s="104"/>
      <c r="U5" s="104"/>
      <c r="V5" s="104"/>
      <c r="W5" s="104"/>
      <c r="X5" s="104"/>
      <c r="Y5" s="104"/>
    </row>
    <row r="6" spans="2:25" customFormat="1">
      <c r="B6" s="95"/>
      <c r="C6" s="104" t="s">
        <v>47</v>
      </c>
      <c r="D6" s="104">
        <f>D34</f>
        <v>45</v>
      </c>
      <c r="E6" s="104"/>
      <c r="F6" s="104"/>
      <c r="G6" s="104"/>
      <c r="H6" s="104"/>
      <c r="I6" s="104"/>
      <c r="J6" s="104"/>
      <c r="K6" s="104"/>
      <c r="L6" s="104"/>
      <c r="M6" s="104"/>
      <c r="N6" s="104"/>
      <c r="O6" s="104"/>
      <c r="P6" s="104"/>
      <c r="Q6" s="104"/>
      <c r="R6" s="104"/>
      <c r="S6" s="104"/>
      <c r="T6" s="104"/>
      <c r="U6" s="104"/>
      <c r="V6" s="104"/>
      <c r="W6" s="104"/>
      <c r="X6" s="104"/>
      <c r="Y6" s="104"/>
    </row>
    <row r="7" spans="2:25" customFormat="1">
      <c r="B7" s="95"/>
      <c r="C7" s="104" t="s">
        <v>49</v>
      </c>
      <c r="D7" s="104">
        <f>D35</f>
        <v>0.66700000000000004</v>
      </c>
      <c r="E7" s="104"/>
      <c r="F7" s="104"/>
      <c r="G7" s="104"/>
      <c r="H7" s="104"/>
      <c r="I7" s="104"/>
      <c r="J7" s="104"/>
      <c r="K7" s="104"/>
      <c r="L7" s="104"/>
      <c r="M7" s="104"/>
      <c r="N7" s="104"/>
      <c r="O7" s="104"/>
      <c r="P7" s="104"/>
      <c r="Q7" s="104"/>
      <c r="R7" s="104"/>
      <c r="S7" s="104"/>
      <c r="T7" s="104"/>
      <c r="U7" s="104"/>
      <c r="V7" s="104"/>
      <c r="W7" s="104"/>
      <c r="X7" s="104"/>
      <c r="Y7" s="104"/>
    </row>
    <row r="8" spans="2:25" customFormat="1">
      <c r="B8" s="95"/>
      <c r="C8" s="104" t="s">
        <v>70</v>
      </c>
      <c r="D8" s="104">
        <f>D36</f>
        <v>6.8599999999999994E-2</v>
      </c>
      <c r="E8" s="104"/>
      <c r="F8" s="104"/>
      <c r="G8" s="104"/>
      <c r="H8" s="104"/>
      <c r="I8" s="104"/>
      <c r="J8" s="104"/>
      <c r="K8" s="104"/>
      <c r="L8" s="104"/>
      <c r="M8" s="104"/>
      <c r="N8" s="104"/>
      <c r="O8" s="104"/>
      <c r="P8" s="104"/>
      <c r="Q8" s="104"/>
      <c r="R8" s="104"/>
      <c r="S8" s="104"/>
      <c r="T8" s="104"/>
      <c r="U8" s="104"/>
      <c r="V8" s="104"/>
      <c r="W8" s="104"/>
      <c r="X8" s="104"/>
      <c r="Y8" s="104"/>
    </row>
    <row r="9" spans="2:25" customFormat="1">
      <c r="B9" s="95"/>
      <c r="C9" s="104" t="s">
        <v>33</v>
      </c>
      <c r="D9" s="104">
        <f>D19</f>
        <v>7.6799999999999993E-2</v>
      </c>
      <c r="E9" s="104"/>
      <c r="F9" s="104"/>
      <c r="G9" s="104"/>
      <c r="H9" s="104"/>
      <c r="I9" s="104"/>
      <c r="J9" s="104"/>
      <c r="K9" s="104"/>
      <c r="L9" s="104"/>
      <c r="M9" s="104"/>
      <c r="N9" s="104"/>
      <c r="O9" s="104"/>
      <c r="P9" s="104"/>
      <c r="Q9" s="104"/>
      <c r="R9" s="104"/>
      <c r="S9" s="104"/>
      <c r="T9" s="104"/>
      <c r="U9" s="104"/>
      <c r="V9" s="104"/>
      <c r="W9" s="104"/>
      <c r="X9" s="104"/>
      <c r="Y9" s="104"/>
    </row>
    <row r="10" spans="2:25" customFormat="1">
      <c r="B10" s="95"/>
      <c r="C10" s="94"/>
      <c r="D10" s="104"/>
      <c r="E10" s="104"/>
      <c r="F10" s="104"/>
      <c r="G10" s="104"/>
      <c r="H10" s="104"/>
      <c r="I10" s="104"/>
      <c r="J10" s="104"/>
      <c r="K10" s="104"/>
      <c r="L10" s="104"/>
      <c r="M10" s="104"/>
      <c r="N10" s="104"/>
      <c r="O10" s="104"/>
      <c r="P10" s="104"/>
      <c r="Q10" s="104"/>
      <c r="R10" s="104"/>
      <c r="S10" s="104"/>
      <c r="T10" s="104"/>
      <c r="U10" s="104"/>
      <c r="V10" s="104"/>
      <c r="W10" s="104"/>
      <c r="X10" s="104"/>
      <c r="Y10" s="104"/>
    </row>
    <row r="11" spans="2:25" customFormat="1">
      <c r="B11" s="95"/>
      <c r="C11" s="94"/>
      <c r="D11" s="94"/>
      <c r="E11" s="94"/>
      <c r="F11" s="94"/>
      <c r="G11" s="94"/>
      <c r="H11" s="104"/>
      <c r="I11" s="104"/>
      <c r="J11" s="104" t="s">
        <v>57</v>
      </c>
      <c r="K11" s="104"/>
      <c r="L11" s="104"/>
      <c r="M11" s="104"/>
      <c r="N11" s="104"/>
      <c r="O11" s="104"/>
      <c r="P11" s="104"/>
      <c r="Q11" s="104" t="s">
        <v>59</v>
      </c>
      <c r="R11" s="104"/>
      <c r="S11" s="104"/>
      <c r="T11" s="104"/>
      <c r="U11" s="104"/>
      <c r="V11" s="104"/>
      <c r="W11" s="104"/>
      <c r="X11" s="104"/>
      <c r="Y11" s="104"/>
    </row>
    <row r="12" spans="2:25" customFormat="1">
      <c r="B12" s="95"/>
      <c r="C12" s="137" t="s">
        <v>56</v>
      </c>
      <c r="D12" s="104"/>
      <c r="E12" s="104"/>
      <c r="F12" s="104"/>
      <c r="G12" s="104"/>
      <c r="H12" s="104"/>
      <c r="I12" s="104"/>
      <c r="J12" s="104"/>
      <c r="K12" s="104"/>
      <c r="L12" s="104"/>
      <c r="M12" s="104"/>
      <c r="N12" s="104"/>
      <c r="O12" s="104"/>
      <c r="P12" s="104"/>
      <c r="Q12" s="104"/>
      <c r="R12" s="104"/>
      <c r="S12" s="104"/>
      <c r="T12" s="104"/>
      <c r="U12" s="104"/>
      <c r="V12" s="104"/>
      <c r="W12" s="104"/>
      <c r="X12" s="104"/>
      <c r="Y12" s="104"/>
    </row>
    <row r="13" spans="2:25" customFormat="1">
      <c r="B13" s="95"/>
      <c r="C13" s="104" t="s">
        <v>62</v>
      </c>
      <c r="D13" s="104"/>
      <c r="E13" s="104"/>
      <c r="F13" s="104"/>
      <c r="G13" s="104"/>
      <c r="H13" s="104"/>
      <c r="I13" s="104"/>
      <c r="J13" s="104"/>
      <c r="K13" s="104"/>
      <c r="L13" s="104"/>
      <c r="M13" s="104"/>
      <c r="N13" s="104"/>
      <c r="O13" s="104"/>
      <c r="P13" s="104"/>
      <c r="Q13" s="104"/>
      <c r="R13" s="104"/>
      <c r="S13" s="104"/>
      <c r="T13" s="104"/>
      <c r="U13" s="104"/>
      <c r="V13" s="104"/>
      <c r="W13" s="104"/>
      <c r="X13" s="104"/>
      <c r="Y13" s="104"/>
    </row>
    <row r="14" spans="2:25" customFormat="1">
      <c r="B14" s="95"/>
      <c r="C14" s="104" t="s">
        <v>63</v>
      </c>
      <c r="D14" s="104"/>
      <c r="E14" s="104"/>
      <c r="F14" s="104"/>
      <c r="G14" s="104"/>
      <c r="H14" s="104"/>
      <c r="I14" s="104"/>
      <c r="J14" s="104"/>
      <c r="K14" s="104"/>
      <c r="L14" s="104"/>
      <c r="M14" s="104"/>
      <c r="N14" s="104"/>
      <c r="O14" s="104"/>
      <c r="P14" s="104"/>
      <c r="Q14" s="104"/>
      <c r="R14" s="104"/>
      <c r="S14" s="104"/>
      <c r="T14" s="104"/>
      <c r="U14" s="104"/>
      <c r="V14" s="104"/>
      <c r="W14" s="104"/>
      <c r="X14" s="104"/>
      <c r="Y14" s="104"/>
    </row>
    <row r="15" spans="2:25" customFormat="1">
      <c r="B15" s="95"/>
      <c r="C15" s="94"/>
      <c r="D15" s="94"/>
      <c r="E15" s="94"/>
      <c r="F15" s="94"/>
      <c r="G15" s="104"/>
      <c r="H15" s="104"/>
      <c r="I15" s="104"/>
      <c r="J15" s="104"/>
      <c r="K15" s="104"/>
      <c r="L15" s="104"/>
      <c r="M15" s="104"/>
      <c r="N15" s="104"/>
      <c r="O15" s="104"/>
      <c r="P15" s="104"/>
      <c r="Q15" s="104"/>
      <c r="R15" s="104"/>
      <c r="S15" s="104"/>
      <c r="T15" s="104"/>
      <c r="U15" s="104"/>
      <c r="V15" s="104"/>
      <c r="W15" s="104"/>
      <c r="X15" s="104"/>
      <c r="Y15" s="104"/>
    </row>
    <row r="16" spans="2:25" customFormat="1">
      <c r="B16" s="95"/>
      <c r="C16" s="104" t="s">
        <v>65</v>
      </c>
      <c r="D16" s="104">
        <v>3200</v>
      </c>
      <c r="E16" s="104" t="s">
        <v>64</v>
      </c>
      <c r="F16" s="104"/>
      <c r="G16" s="104"/>
      <c r="H16" s="104"/>
      <c r="I16" s="104"/>
      <c r="J16" s="104"/>
      <c r="K16" s="104"/>
      <c r="L16" s="104"/>
      <c r="M16" s="104"/>
      <c r="N16" s="104"/>
      <c r="O16" s="104"/>
      <c r="P16" s="104"/>
      <c r="Q16" s="104"/>
      <c r="R16" s="104"/>
      <c r="S16" s="104"/>
      <c r="T16" s="104"/>
      <c r="U16" s="104"/>
      <c r="V16" s="104"/>
      <c r="W16" s="104"/>
      <c r="X16" s="104"/>
      <c r="Y16" s="104"/>
    </row>
    <row r="17" spans="2:25" customFormat="1">
      <c r="B17" s="95"/>
      <c r="C17" s="104" t="s">
        <v>53</v>
      </c>
      <c r="D17" s="104">
        <v>1.08</v>
      </c>
      <c r="E17" s="104" t="s">
        <v>66</v>
      </c>
      <c r="F17" s="126" t="s">
        <v>52</v>
      </c>
      <c r="G17" s="104"/>
      <c r="H17" s="104"/>
      <c r="I17" s="104"/>
      <c r="J17" s="104"/>
      <c r="K17" s="104"/>
      <c r="L17" s="104"/>
      <c r="M17" s="104"/>
      <c r="N17" s="104"/>
      <c r="O17" s="104"/>
      <c r="P17" s="104"/>
      <c r="Q17" s="104"/>
      <c r="R17" s="104"/>
      <c r="S17" s="104"/>
      <c r="T17" s="104"/>
      <c r="U17" s="104"/>
      <c r="V17" s="104"/>
      <c r="W17" s="104"/>
      <c r="X17" s="104"/>
      <c r="Y17" s="104"/>
    </row>
    <row r="18" spans="2:25" customFormat="1">
      <c r="B18" s="95"/>
      <c r="C18" s="104" t="s">
        <v>65</v>
      </c>
      <c r="D18" s="104">
        <f>D16*D17</f>
        <v>3456</v>
      </c>
      <c r="E18" s="104" t="s">
        <v>61</v>
      </c>
      <c r="F18" s="104"/>
      <c r="H18" s="105"/>
      <c r="I18" s="104"/>
      <c r="J18" s="104"/>
      <c r="K18" s="104"/>
      <c r="L18" s="104"/>
      <c r="M18" s="104"/>
      <c r="N18" s="104"/>
      <c r="O18" s="104"/>
      <c r="P18" s="104"/>
      <c r="Q18" s="104"/>
      <c r="R18" s="104"/>
      <c r="S18" s="104"/>
      <c r="T18" s="104"/>
      <c r="U18" s="104"/>
      <c r="V18" s="104"/>
      <c r="W18" s="104"/>
      <c r="X18" s="104"/>
      <c r="Y18" s="104"/>
    </row>
    <row r="19" spans="2:25" customFormat="1">
      <c r="B19" s="95"/>
      <c r="C19" s="104" t="s">
        <v>65</v>
      </c>
      <c r="D19" s="104">
        <f>D18*10^-3/D34</f>
        <v>7.6799999999999993E-2</v>
      </c>
      <c r="E19" s="104" t="s">
        <v>60</v>
      </c>
      <c r="F19" s="104"/>
      <c r="G19" s="104"/>
      <c r="H19" s="105"/>
      <c r="I19" s="104"/>
      <c r="J19" s="104"/>
      <c r="K19" s="104"/>
      <c r="L19" s="104"/>
      <c r="M19" s="104"/>
      <c r="N19" s="104"/>
      <c r="O19" s="104"/>
      <c r="P19" s="104"/>
      <c r="Q19" s="104"/>
      <c r="R19" s="104"/>
      <c r="S19" s="104"/>
      <c r="T19" s="104"/>
      <c r="U19" s="104"/>
      <c r="V19" s="104"/>
      <c r="W19" s="104"/>
      <c r="X19" s="104"/>
      <c r="Y19" s="104"/>
    </row>
    <row r="20" spans="2:25" customFormat="1">
      <c r="B20" s="95"/>
      <c r="C20" s="104"/>
      <c r="D20" s="104"/>
      <c r="F20" s="104"/>
      <c r="H20" s="105"/>
      <c r="I20" s="104"/>
      <c r="J20" s="104"/>
      <c r="K20" s="104"/>
      <c r="L20" s="104"/>
      <c r="M20" s="104"/>
      <c r="N20" s="104"/>
      <c r="O20" s="104"/>
      <c r="P20" s="104"/>
      <c r="Q20" s="104"/>
      <c r="R20" s="104"/>
      <c r="S20" s="104"/>
      <c r="T20" s="104"/>
      <c r="U20" s="104"/>
      <c r="V20" s="104"/>
      <c r="W20" s="104"/>
      <c r="X20" s="104"/>
      <c r="Y20" s="104"/>
    </row>
    <row r="21" spans="2:25" customFormat="1">
      <c r="B21" s="95"/>
      <c r="C21" s="137"/>
      <c r="D21" s="104"/>
      <c r="F21" s="104"/>
      <c r="G21" s="104"/>
      <c r="H21" s="105"/>
      <c r="I21" s="104"/>
      <c r="J21" s="104"/>
      <c r="K21" s="104"/>
      <c r="L21" s="104"/>
      <c r="M21" s="104"/>
      <c r="N21" s="104"/>
      <c r="O21" s="104"/>
      <c r="P21" s="104"/>
      <c r="Q21" s="104"/>
      <c r="R21" s="104"/>
      <c r="S21" s="104"/>
      <c r="T21" s="104"/>
      <c r="U21" s="104"/>
      <c r="V21" s="104"/>
      <c r="W21" s="104"/>
      <c r="X21" s="104"/>
      <c r="Y21" s="104"/>
    </row>
    <row r="22" spans="2:25" customFormat="1">
      <c r="B22" s="95"/>
      <c r="C22" s="104"/>
      <c r="D22" s="104"/>
      <c r="E22" s="104"/>
      <c r="F22" s="104"/>
      <c r="G22" s="104"/>
      <c r="H22" s="104"/>
      <c r="I22" s="104"/>
      <c r="J22" s="104"/>
      <c r="K22" s="104"/>
      <c r="L22" s="104"/>
      <c r="M22" s="104"/>
      <c r="N22" s="104"/>
      <c r="O22" s="104"/>
      <c r="P22" s="104"/>
      <c r="Q22" s="104"/>
      <c r="R22" s="104"/>
      <c r="S22" s="104"/>
      <c r="T22" s="104"/>
      <c r="U22" s="104"/>
      <c r="V22" s="104"/>
      <c r="W22" s="104"/>
      <c r="X22" s="104"/>
      <c r="Y22" s="104"/>
    </row>
    <row r="23" spans="2:25" customFormat="1">
      <c r="B23" s="95"/>
      <c r="C23" s="104"/>
      <c r="D23" s="104"/>
      <c r="E23" s="104"/>
      <c r="F23" s="104"/>
      <c r="G23" s="104"/>
      <c r="H23" s="104"/>
      <c r="I23" s="104"/>
      <c r="J23" s="104"/>
      <c r="K23" s="104"/>
      <c r="L23" s="104"/>
      <c r="M23" s="104"/>
      <c r="N23" s="104"/>
      <c r="O23" s="104"/>
      <c r="P23" s="104"/>
      <c r="Q23" s="104"/>
      <c r="R23" s="104"/>
      <c r="S23" s="104"/>
      <c r="T23" s="104"/>
      <c r="U23" s="104"/>
      <c r="V23" s="104"/>
      <c r="W23" s="104"/>
      <c r="X23" s="104"/>
      <c r="Y23" s="104"/>
    </row>
    <row r="24" spans="2:25" customFormat="1">
      <c r="B24" s="95"/>
      <c r="C24" s="104"/>
      <c r="D24" s="104"/>
      <c r="E24" s="104"/>
      <c r="F24" s="104"/>
      <c r="G24" s="104"/>
      <c r="H24" s="104"/>
      <c r="I24" s="104"/>
      <c r="J24" s="104"/>
      <c r="K24" s="104"/>
      <c r="L24" s="104"/>
      <c r="M24" s="104"/>
      <c r="N24" s="104"/>
      <c r="O24" s="104"/>
      <c r="P24" s="104"/>
      <c r="Q24" s="104"/>
      <c r="R24" s="104"/>
      <c r="S24" s="104"/>
      <c r="T24" s="104"/>
      <c r="U24" s="104"/>
      <c r="V24" s="104"/>
      <c r="W24" s="104"/>
      <c r="X24" s="104"/>
      <c r="Y24" s="104"/>
    </row>
    <row r="25" spans="2:25" customFormat="1">
      <c r="B25" s="95"/>
      <c r="C25" s="104"/>
      <c r="D25" s="104"/>
      <c r="E25" s="104"/>
      <c r="F25" s="104"/>
      <c r="G25" s="104"/>
      <c r="H25" s="104"/>
      <c r="I25" s="104"/>
      <c r="J25" s="104"/>
      <c r="K25" s="104"/>
      <c r="L25" s="104"/>
      <c r="M25" s="104"/>
      <c r="N25" s="104"/>
      <c r="O25" s="104"/>
      <c r="P25" s="104"/>
      <c r="Q25" s="104"/>
      <c r="R25" s="104"/>
      <c r="S25" s="104"/>
      <c r="T25" s="104"/>
      <c r="U25" s="104"/>
      <c r="V25" s="104"/>
      <c r="W25" s="104"/>
      <c r="X25" s="104"/>
      <c r="Y25" s="104"/>
    </row>
    <row r="26" spans="2:25" customFormat="1">
      <c r="B26" s="95"/>
      <c r="C26" s="104"/>
      <c r="D26" s="104"/>
      <c r="E26" s="104"/>
      <c r="F26" s="104"/>
      <c r="G26" s="104"/>
      <c r="H26" s="104"/>
      <c r="I26" s="104"/>
      <c r="J26" s="104"/>
      <c r="K26" s="104"/>
      <c r="L26" s="104"/>
      <c r="M26" s="104"/>
      <c r="N26" s="104"/>
      <c r="O26" s="104"/>
      <c r="P26" s="104"/>
      <c r="Q26" s="104"/>
      <c r="R26" s="104"/>
      <c r="S26" s="104"/>
      <c r="T26" s="104"/>
      <c r="U26" s="104"/>
      <c r="V26" s="104"/>
      <c r="W26" s="104"/>
      <c r="X26" s="104"/>
      <c r="Y26" s="104"/>
    </row>
    <row r="27" spans="2:25" customFormat="1">
      <c r="B27" s="95"/>
      <c r="C27" s="104"/>
      <c r="D27" s="104"/>
      <c r="E27" s="104"/>
      <c r="F27" s="104"/>
      <c r="G27" s="104"/>
      <c r="H27" s="104"/>
      <c r="I27" s="104"/>
      <c r="J27" s="104"/>
      <c r="K27" s="104"/>
      <c r="L27" s="104"/>
      <c r="M27" s="104"/>
      <c r="N27" s="104"/>
      <c r="O27" s="104"/>
      <c r="P27" s="104"/>
      <c r="Q27" s="104"/>
      <c r="R27" s="104"/>
      <c r="S27" s="104"/>
      <c r="T27" s="104"/>
      <c r="U27" s="104"/>
      <c r="V27" s="104"/>
      <c r="W27" s="104"/>
      <c r="X27" s="104"/>
      <c r="Y27" s="104"/>
    </row>
    <row r="28" spans="2:25" customFormat="1">
      <c r="B28" s="95"/>
      <c r="C28" s="104"/>
      <c r="D28" s="104"/>
      <c r="E28" s="104"/>
      <c r="F28" s="104"/>
      <c r="G28" s="104"/>
      <c r="H28" s="104"/>
      <c r="I28" s="104"/>
      <c r="J28" s="104"/>
      <c r="K28" s="104"/>
      <c r="L28" s="104"/>
      <c r="M28" s="104"/>
      <c r="N28" s="104"/>
      <c r="O28" s="104"/>
      <c r="P28" s="104"/>
      <c r="Q28" s="104"/>
      <c r="R28" s="104"/>
      <c r="S28" s="104"/>
      <c r="T28" s="104"/>
      <c r="U28" s="104"/>
      <c r="V28" s="104"/>
      <c r="W28" s="104"/>
      <c r="X28" s="104"/>
      <c r="Y28" s="104"/>
    </row>
    <row r="29" spans="2:25" customFormat="1">
      <c r="B29" s="95"/>
      <c r="C29" s="104"/>
      <c r="D29" s="104"/>
      <c r="E29" s="104"/>
      <c r="F29" s="104"/>
      <c r="G29" s="104"/>
      <c r="H29" s="104"/>
      <c r="I29" s="104"/>
      <c r="J29" s="104"/>
      <c r="K29" s="104"/>
      <c r="L29" s="104"/>
      <c r="M29" s="104"/>
      <c r="N29" s="104"/>
      <c r="O29" s="104"/>
      <c r="P29" s="104"/>
      <c r="Q29" s="104"/>
      <c r="R29" s="104"/>
      <c r="S29" s="104"/>
      <c r="T29" s="104"/>
      <c r="U29" s="104"/>
      <c r="V29" s="104"/>
      <c r="W29" s="104"/>
      <c r="X29" s="104"/>
      <c r="Y29" s="104"/>
    </row>
    <row r="30" spans="2:25" customFormat="1">
      <c r="B30" s="95"/>
      <c r="C30" s="104"/>
      <c r="D30" s="104"/>
      <c r="E30" s="104"/>
      <c r="F30" s="104"/>
      <c r="G30" s="104"/>
      <c r="H30" s="104"/>
      <c r="I30" s="104"/>
      <c r="J30" s="104"/>
      <c r="K30" s="104"/>
      <c r="L30" s="104"/>
      <c r="M30" s="104"/>
      <c r="N30" s="104"/>
      <c r="O30" s="104"/>
      <c r="P30" s="104"/>
      <c r="Q30" s="104"/>
      <c r="R30" s="104"/>
      <c r="S30" s="104"/>
      <c r="T30" s="104"/>
      <c r="U30" s="104"/>
      <c r="V30" s="104"/>
      <c r="W30" s="104"/>
      <c r="X30" s="104"/>
      <c r="Y30" s="104"/>
    </row>
    <row r="31" spans="2:25" customFormat="1">
      <c r="B31" s="95"/>
      <c r="C31" s="104"/>
      <c r="D31" s="104"/>
      <c r="E31" s="104"/>
      <c r="F31" s="104"/>
      <c r="G31" s="104"/>
      <c r="H31" s="104"/>
      <c r="I31" s="104"/>
      <c r="J31" s="104"/>
      <c r="K31" s="104"/>
      <c r="L31" s="104"/>
      <c r="M31" s="104"/>
      <c r="N31" s="104"/>
      <c r="O31" s="104"/>
      <c r="P31" s="104"/>
      <c r="Q31" s="104"/>
      <c r="R31" s="104"/>
      <c r="S31" s="104"/>
      <c r="T31" s="104"/>
      <c r="U31" s="104"/>
      <c r="V31" s="104"/>
      <c r="W31" s="104"/>
      <c r="X31" s="104"/>
      <c r="Y31" s="104"/>
    </row>
    <row r="32" spans="2:25" customFormat="1">
      <c r="B32" s="95"/>
      <c r="C32" s="104"/>
      <c r="D32" s="104"/>
      <c r="E32" s="104"/>
      <c r="F32" s="104"/>
      <c r="G32" s="104"/>
      <c r="H32" s="104"/>
      <c r="I32" s="104"/>
      <c r="J32" s="104"/>
      <c r="K32" s="104"/>
      <c r="L32" s="104"/>
      <c r="M32" s="104"/>
      <c r="N32" s="104"/>
      <c r="O32" s="104"/>
      <c r="P32" s="104"/>
      <c r="Q32" s="104"/>
      <c r="R32" s="104"/>
      <c r="S32" s="104"/>
      <c r="T32" s="104"/>
      <c r="U32" s="104"/>
      <c r="V32" s="104"/>
      <c r="W32" s="104"/>
      <c r="X32" s="104"/>
      <c r="Y32" s="104"/>
    </row>
    <row r="33" spans="2:25" customFormat="1">
      <c r="B33" s="95"/>
      <c r="C33" s="137" t="s">
        <v>68</v>
      </c>
      <c r="D33" s="104"/>
      <c r="E33" s="104"/>
      <c r="F33" s="104"/>
      <c r="G33" s="104"/>
      <c r="H33" s="104"/>
      <c r="I33" s="104"/>
      <c r="J33" s="104" t="s">
        <v>67</v>
      </c>
      <c r="K33" s="104"/>
      <c r="L33" s="104"/>
      <c r="M33" s="104"/>
      <c r="N33" s="104"/>
      <c r="O33" s="104"/>
      <c r="P33" s="104"/>
      <c r="Q33" s="104"/>
      <c r="R33" s="104"/>
      <c r="S33" s="104"/>
      <c r="T33" s="104"/>
      <c r="U33" s="104"/>
      <c r="V33" s="104"/>
      <c r="W33" s="104"/>
      <c r="X33" s="104"/>
      <c r="Y33" s="104"/>
    </row>
    <row r="34" spans="2:25" customFormat="1">
      <c r="B34" s="95"/>
      <c r="C34" s="104" t="s">
        <v>47</v>
      </c>
      <c r="D34" s="104">
        <v>45</v>
      </c>
      <c r="E34" s="104" t="s">
        <v>39</v>
      </c>
      <c r="F34" s="104"/>
      <c r="G34" s="104"/>
      <c r="H34" s="104"/>
      <c r="I34" s="104"/>
      <c r="J34" s="104"/>
      <c r="K34" s="104"/>
      <c r="L34" s="104"/>
      <c r="M34" s="104"/>
      <c r="N34" s="104"/>
      <c r="O34" s="104"/>
      <c r="P34" s="104"/>
      <c r="Q34" s="104"/>
      <c r="R34" s="104"/>
      <c r="S34" s="104"/>
      <c r="T34" s="104"/>
      <c r="U34" s="104"/>
      <c r="V34" s="104"/>
      <c r="W34" s="104"/>
      <c r="X34" s="104"/>
      <c r="Y34" s="104"/>
    </row>
    <row r="35" spans="2:25" customFormat="1">
      <c r="B35" s="95"/>
      <c r="C35" s="104" t="s">
        <v>44</v>
      </c>
      <c r="D35" s="104">
        <f>667*10^-3</f>
        <v>0.66700000000000004</v>
      </c>
      <c r="E35" s="104" t="s">
        <v>51</v>
      </c>
      <c r="F35" s="104"/>
      <c r="G35" s="104"/>
      <c r="H35" s="104"/>
      <c r="I35" s="104"/>
      <c r="J35" s="104"/>
      <c r="K35" s="104"/>
      <c r="L35" s="104"/>
      <c r="M35" s="104"/>
      <c r="N35" s="104"/>
      <c r="O35" s="104"/>
      <c r="P35" s="104"/>
      <c r="Q35" s="104"/>
      <c r="R35" s="104"/>
      <c r="S35" s="104"/>
      <c r="T35" s="104"/>
      <c r="U35" s="104"/>
      <c r="V35" s="104"/>
      <c r="W35" s="104"/>
      <c r="X35" s="104"/>
      <c r="Y35" s="104"/>
    </row>
    <row r="36" spans="2:25" customFormat="1">
      <c r="B36" s="95"/>
      <c r="C36" s="104" t="s">
        <v>34</v>
      </c>
      <c r="D36" s="104">
        <f>68.6*10^-3</f>
        <v>6.8599999999999994E-2</v>
      </c>
      <c r="E36" s="104" t="s">
        <v>69</v>
      </c>
      <c r="F36" s="104"/>
      <c r="G36" s="104"/>
      <c r="H36" s="104"/>
      <c r="I36" s="104"/>
      <c r="J36" s="104"/>
      <c r="K36" s="104"/>
      <c r="L36" s="104"/>
      <c r="M36" s="104"/>
      <c r="N36" s="104"/>
      <c r="O36" s="104"/>
      <c r="P36" s="104"/>
      <c r="Q36" s="104"/>
      <c r="R36" s="104"/>
      <c r="S36" s="104"/>
      <c r="T36" s="104"/>
      <c r="U36" s="104"/>
      <c r="V36" s="104"/>
      <c r="W36" s="104"/>
      <c r="X36" s="104"/>
      <c r="Y36" s="104"/>
    </row>
    <row r="37" spans="2:25" customFormat="1">
      <c r="B37" s="95"/>
      <c r="C37" s="104"/>
      <c r="D37" s="104"/>
      <c r="E37" s="104"/>
      <c r="F37" s="104"/>
      <c r="G37" s="104"/>
      <c r="H37" s="104"/>
      <c r="I37" s="104"/>
      <c r="J37" s="104"/>
      <c r="K37" s="104"/>
      <c r="L37" s="104"/>
      <c r="M37" s="104"/>
      <c r="N37" s="104"/>
      <c r="O37" s="104"/>
      <c r="P37" s="104"/>
      <c r="Q37" s="104"/>
      <c r="R37" s="104"/>
      <c r="S37" s="104"/>
      <c r="T37" s="104"/>
      <c r="U37" s="104"/>
      <c r="V37" s="104"/>
      <c r="W37" s="104"/>
      <c r="X37" s="104"/>
      <c r="Y37" s="104"/>
    </row>
    <row r="38" spans="2:25" customFormat="1">
      <c r="B38" s="95"/>
      <c r="C38" s="104"/>
      <c r="D38" s="104"/>
      <c r="E38" s="104"/>
      <c r="F38" s="104"/>
      <c r="G38" s="104"/>
      <c r="H38" s="104"/>
      <c r="I38" s="104"/>
      <c r="J38" s="104"/>
      <c r="K38" s="104"/>
      <c r="L38" s="104"/>
      <c r="M38" s="104"/>
      <c r="N38" s="104"/>
      <c r="O38" s="104"/>
      <c r="P38" s="104"/>
      <c r="Q38" s="104"/>
      <c r="R38" s="104"/>
      <c r="S38" s="104"/>
      <c r="T38" s="104"/>
      <c r="U38" s="104"/>
      <c r="V38" s="104"/>
      <c r="W38" s="104"/>
      <c r="X38" s="104"/>
      <c r="Y38" s="104"/>
    </row>
    <row r="39" spans="2:25" customFormat="1">
      <c r="B39" s="95"/>
      <c r="C39" s="104"/>
      <c r="D39" s="104"/>
      <c r="E39" s="104"/>
      <c r="F39" s="104"/>
      <c r="G39" s="104"/>
      <c r="H39" s="104"/>
      <c r="I39" s="104"/>
      <c r="J39" s="104"/>
      <c r="K39" s="104"/>
      <c r="L39" s="104"/>
      <c r="M39" s="104"/>
      <c r="N39" s="104"/>
      <c r="O39" s="104"/>
      <c r="P39" s="104"/>
      <c r="Q39" s="104"/>
      <c r="R39" s="104"/>
      <c r="S39" s="104"/>
      <c r="T39" s="104"/>
      <c r="U39" s="104"/>
      <c r="V39" s="104"/>
      <c r="W39" s="104"/>
      <c r="X39" s="104"/>
      <c r="Y39" s="104"/>
    </row>
    <row r="40" spans="2:25" customFormat="1">
      <c r="B40" s="95"/>
      <c r="C40" s="104"/>
      <c r="D40" s="104"/>
      <c r="E40" s="104"/>
      <c r="F40" s="104"/>
      <c r="G40" s="104"/>
      <c r="H40" s="104"/>
      <c r="I40" s="104"/>
      <c r="J40" s="104"/>
      <c r="K40" s="104"/>
      <c r="L40" s="104"/>
      <c r="M40" s="104"/>
      <c r="N40" s="104"/>
      <c r="O40" s="104"/>
      <c r="P40" s="104"/>
      <c r="Q40" s="104"/>
      <c r="R40" s="104"/>
      <c r="S40" s="104"/>
      <c r="T40" s="104"/>
      <c r="U40" s="104"/>
      <c r="V40" s="104"/>
      <c r="W40" s="104"/>
      <c r="X40" s="104"/>
      <c r="Y40" s="104"/>
    </row>
    <row r="41" spans="2:25" customFormat="1">
      <c r="B41" s="95"/>
      <c r="C41" s="104"/>
      <c r="D41" s="104"/>
      <c r="E41" s="104"/>
      <c r="F41" s="104"/>
      <c r="G41" s="104"/>
      <c r="H41" s="104"/>
      <c r="I41" s="104"/>
      <c r="J41" s="104"/>
      <c r="K41" s="104"/>
      <c r="L41" s="104"/>
      <c r="M41" s="104"/>
      <c r="N41" s="104"/>
      <c r="O41" s="104"/>
      <c r="P41" s="104"/>
      <c r="Q41" s="104"/>
      <c r="R41" s="104"/>
      <c r="S41" s="104"/>
      <c r="T41" s="104"/>
      <c r="U41" s="104"/>
      <c r="V41" s="104"/>
      <c r="W41" s="104"/>
      <c r="X41" s="104"/>
      <c r="Y41" s="104"/>
    </row>
    <row r="42" spans="2:25" customFormat="1">
      <c r="B42" s="95"/>
      <c r="C42" s="104"/>
      <c r="D42" s="104"/>
      <c r="E42" s="104"/>
      <c r="F42" s="104"/>
      <c r="G42" s="104"/>
      <c r="H42" s="104"/>
      <c r="I42" s="104"/>
      <c r="J42" s="104"/>
      <c r="K42" s="104"/>
      <c r="L42" s="104"/>
      <c r="M42" s="104"/>
      <c r="N42" s="104"/>
      <c r="O42" s="104"/>
      <c r="P42" s="104"/>
      <c r="Q42" s="104"/>
      <c r="R42" s="104"/>
      <c r="S42" s="104"/>
      <c r="T42" s="104"/>
      <c r="U42" s="104"/>
      <c r="V42" s="104"/>
      <c r="W42" s="104"/>
      <c r="X42" s="104"/>
      <c r="Y42" s="104"/>
    </row>
    <row r="43" spans="2:25" customFormat="1">
      <c r="B43" s="95"/>
      <c r="C43" s="104"/>
      <c r="D43" s="104"/>
      <c r="E43" s="104"/>
      <c r="F43" s="104"/>
      <c r="G43" s="104"/>
      <c r="H43" s="104"/>
      <c r="I43" s="104"/>
      <c r="J43" s="104"/>
      <c r="K43" s="104"/>
      <c r="L43" s="104"/>
      <c r="M43" s="104"/>
      <c r="N43" s="104"/>
      <c r="O43" s="104"/>
      <c r="P43" s="104"/>
      <c r="Q43" s="104"/>
      <c r="R43" s="104"/>
      <c r="S43" s="104"/>
      <c r="T43" s="104"/>
      <c r="U43" s="104"/>
      <c r="V43" s="104"/>
      <c r="W43" s="104"/>
      <c r="X43" s="104"/>
      <c r="Y43" s="104"/>
    </row>
    <row r="44" spans="2:25" customFormat="1">
      <c r="B44" s="95"/>
      <c r="C44" s="104"/>
      <c r="D44" s="104"/>
      <c r="E44" s="104"/>
      <c r="F44" s="104"/>
      <c r="G44" s="104"/>
      <c r="H44" s="104"/>
      <c r="I44" s="104"/>
      <c r="J44" s="104"/>
      <c r="K44" s="104"/>
      <c r="L44" s="104"/>
      <c r="M44" s="104"/>
      <c r="N44" s="104"/>
      <c r="O44" s="104"/>
      <c r="P44" s="104"/>
      <c r="Q44" s="104"/>
      <c r="R44" s="104"/>
      <c r="S44" s="104"/>
      <c r="T44" s="104"/>
      <c r="U44" s="104"/>
      <c r="V44" s="104"/>
      <c r="W44" s="104"/>
      <c r="X44" s="104"/>
      <c r="Y44" s="104"/>
    </row>
    <row r="45" spans="2:25" customFormat="1">
      <c r="B45" s="95"/>
      <c r="C45" s="104"/>
      <c r="D45" s="104"/>
      <c r="E45" s="104"/>
      <c r="F45" s="104"/>
      <c r="G45" s="104"/>
      <c r="H45" s="104"/>
      <c r="I45" s="104"/>
      <c r="J45" s="104"/>
      <c r="K45" s="104"/>
      <c r="L45" s="104"/>
      <c r="M45" s="104"/>
      <c r="N45" s="104"/>
      <c r="O45" s="104"/>
      <c r="P45" s="104"/>
      <c r="Q45" s="104"/>
      <c r="R45" s="104"/>
      <c r="S45" s="104"/>
      <c r="T45" s="104"/>
      <c r="U45" s="104"/>
      <c r="V45" s="104"/>
      <c r="W45" s="104"/>
      <c r="X45" s="104"/>
      <c r="Y45" s="104"/>
    </row>
    <row r="46" spans="2:25" customFormat="1">
      <c r="B46" s="95"/>
      <c r="C46" s="104"/>
      <c r="D46" s="104"/>
      <c r="E46" s="104"/>
      <c r="F46" s="104"/>
      <c r="G46" s="104"/>
      <c r="H46" s="104"/>
      <c r="I46" s="104"/>
      <c r="J46" s="104"/>
      <c r="K46" s="104"/>
      <c r="L46" s="104"/>
      <c r="M46" s="104"/>
      <c r="N46" s="104"/>
      <c r="O46" s="104"/>
      <c r="P46" s="104"/>
      <c r="Q46" s="104"/>
      <c r="R46" s="104"/>
      <c r="S46" s="104"/>
      <c r="T46" s="104"/>
      <c r="U46" s="104"/>
      <c r="V46" s="104"/>
      <c r="W46" s="104"/>
      <c r="X46" s="104"/>
      <c r="Y46" s="104"/>
    </row>
    <row r="47" spans="2:25" customFormat="1">
      <c r="B47" s="95"/>
      <c r="C47" s="104"/>
      <c r="D47" s="104"/>
      <c r="E47" s="104"/>
      <c r="F47" s="104"/>
      <c r="G47" s="104"/>
      <c r="H47" s="104"/>
      <c r="I47" s="104"/>
      <c r="J47" s="104"/>
      <c r="K47" s="104"/>
      <c r="L47" s="104"/>
      <c r="M47" s="104"/>
      <c r="N47" s="104"/>
      <c r="O47" s="104"/>
      <c r="P47" s="104"/>
      <c r="Q47" s="104"/>
      <c r="R47" s="104"/>
      <c r="S47" s="104"/>
      <c r="T47" s="104"/>
      <c r="U47" s="104"/>
      <c r="V47" s="104"/>
      <c r="W47" s="104"/>
      <c r="X47" s="104"/>
      <c r="Y47" s="104"/>
    </row>
    <row r="48" spans="2:25" customFormat="1">
      <c r="B48" s="95"/>
    </row>
    <row r="49" spans="2:2" customFormat="1">
      <c r="B49" s="95"/>
    </row>
    <row r="50" spans="2:2" customFormat="1">
      <c r="B50" s="95"/>
    </row>
    <row r="51" spans="2:2" customFormat="1">
      <c r="B51" s="95"/>
    </row>
    <row r="52" spans="2:2" customFormat="1">
      <c r="B52" s="95"/>
    </row>
    <row r="53" spans="2:2" customFormat="1">
      <c r="B53" s="95"/>
    </row>
    <row r="54" spans="2:2" customFormat="1">
      <c r="B54" s="95"/>
    </row>
    <row r="55" spans="2:2" customFormat="1">
      <c r="B55" s="95"/>
    </row>
    <row r="56" spans="2:2" customFormat="1">
      <c r="B56" s="95"/>
    </row>
    <row r="57" spans="2:2" customFormat="1">
      <c r="B57" s="95"/>
    </row>
    <row r="58" spans="2:2" customFormat="1">
      <c r="B58" s="95"/>
    </row>
    <row r="59" spans="2:2" customFormat="1">
      <c r="B59" s="95"/>
    </row>
    <row r="60" spans="2:2" customFormat="1">
      <c r="B60" s="95"/>
    </row>
    <row r="61" spans="2:2" customFormat="1">
      <c r="B61" s="95"/>
    </row>
    <row r="62" spans="2:2" customFormat="1">
      <c r="B62" s="95"/>
    </row>
    <row r="63" spans="2:2" customFormat="1">
      <c r="B63" s="95"/>
    </row>
    <row r="64" spans="2:2" customFormat="1">
      <c r="B64" s="95"/>
    </row>
    <row r="65" spans="2:27" customFormat="1">
      <c r="B65" s="95"/>
    </row>
    <row r="66" spans="2:27" customFormat="1">
      <c r="B66" s="95"/>
    </row>
    <row r="67" spans="2:27" customFormat="1">
      <c r="B67" s="95"/>
    </row>
    <row r="68" spans="2:27" customFormat="1">
      <c r="B68" s="95"/>
    </row>
    <row r="69" spans="2:27" customFormat="1">
      <c r="B69" s="95"/>
    </row>
    <row r="70" spans="2:27" customFormat="1">
      <c r="B70" s="95"/>
    </row>
    <row r="71" spans="2:27" customFormat="1">
      <c r="B71" s="95"/>
    </row>
    <row r="72" spans="2:27" customFormat="1">
      <c r="B72" s="95"/>
    </row>
    <row r="73" spans="2:27" customFormat="1">
      <c r="B73" s="95"/>
    </row>
    <row r="74" spans="2:27" customFormat="1">
      <c r="B74" s="95"/>
    </row>
    <row r="75" spans="2:27" customFormat="1">
      <c r="B75" s="95"/>
    </row>
    <row r="76" spans="2:27" customFormat="1">
      <c r="B76" s="95"/>
      <c r="S76" s="104"/>
      <c r="T76" s="104"/>
      <c r="U76" s="104"/>
      <c r="V76" s="104"/>
      <c r="W76" s="104"/>
      <c r="X76" s="104"/>
      <c r="Y76" s="104"/>
      <c r="Z76" s="104"/>
      <c r="AA76" s="104"/>
    </row>
    <row r="77" spans="2:27" customFormat="1">
      <c r="B77" s="95"/>
      <c r="S77" s="104"/>
      <c r="T77" s="104"/>
      <c r="U77" s="104"/>
      <c r="V77" s="104"/>
      <c r="W77" s="104"/>
      <c r="X77" s="104"/>
      <c r="Y77" s="104"/>
      <c r="Z77" s="104"/>
      <c r="AA77" s="104"/>
    </row>
    <row r="78" spans="2:27" customFormat="1">
      <c r="B78" s="95"/>
      <c r="L78" s="104"/>
      <c r="M78" s="104"/>
      <c r="N78" s="104"/>
      <c r="O78" s="104"/>
      <c r="P78" s="104"/>
      <c r="Q78" s="104"/>
      <c r="R78" s="104"/>
      <c r="S78" s="104"/>
      <c r="T78" s="104"/>
      <c r="U78" s="104"/>
      <c r="V78" s="104"/>
      <c r="W78" s="104"/>
      <c r="X78" s="104"/>
      <c r="Y78" s="104"/>
      <c r="Z78" s="104"/>
      <c r="AA78" s="104"/>
    </row>
    <row r="79" spans="2:27" customFormat="1">
      <c r="B79" s="95"/>
      <c r="L79" s="104"/>
      <c r="M79" s="104"/>
      <c r="N79" s="104"/>
      <c r="O79" s="104"/>
      <c r="P79" s="104"/>
      <c r="Q79" s="104"/>
      <c r="R79" s="104"/>
      <c r="S79" s="104"/>
      <c r="T79" s="104"/>
      <c r="U79" s="104"/>
      <c r="V79" s="104"/>
      <c r="W79" s="104"/>
      <c r="X79" s="104"/>
      <c r="Y79" s="104"/>
      <c r="Z79" s="104"/>
      <c r="AA79" s="104"/>
    </row>
    <row r="80" spans="2:27" customFormat="1" ht="17" thickBot="1">
      <c r="B80" s="95"/>
      <c r="L80" s="104"/>
      <c r="M80" s="104"/>
      <c r="N80" s="104"/>
      <c r="O80" s="104"/>
      <c r="P80" s="104"/>
      <c r="Q80" s="104"/>
      <c r="R80" s="104"/>
      <c r="S80" s="104"/>
      <c r="T80" s="104"/>
      <c r="U80" s="104"/>
      <c r="V80" s="104"/>
      <c r="W80" s="104"/>
      <c r="X80" s="104"/>
      <c r="Y80" s="104"/>
      <c r="Z80" s="104"/>
      <c r="AA80" s="104"/>
    </row>
    <row r="81" spans="1:27" s="19" customFormat="1">
      <c r="A81" s="104"/>
      <c r="B81" s="104"/>
      <c r="C81" s="104"/>
      <c r="D81" s="104"/>
      <c r="E81" s="104"/>
      <c r="F81" s="104"/>
      <c r="G81" s="104"/>
      <c r="H81" s="104"/>
      <c r="I81" s="104"/>
      <c r="J81" s="97"/>
      <c r="K81" s="97"/>
      <c r="L81" s="104"/>
      <c r="M81" s="104"/>
      <c r="N81" s="104"/>
      <c r="O81" s="104"/>
      <c r="P81" s="104"/>
      <c r="Q81" s="104"/>
      <c r="R81" s="104"/>
      <c r="S81" s="104"/>
      <c r="T81" s="104"/>
      <c r="U81" s="104"/>
      <c r="V81" s="104"/>
      <c r="W81" s="104"/>
      <c r="X81" s="104"/>
      <c r="Y81" s="104"/>
      <c r="Z81" s="104"/>
      <c r="AA81" s="104"/>
    </row>
    <row r="82" spans="1:27" customFormat="1">
      <c r="A82" s="104"/>
      <c r="B82" s="104"/>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row>
    <row r="83" spans="1:27" customFormat="1">
      <c r="A83" s="104"/>
      <c r="B83" s="104"/>
      <c r="C83" s="104"/>
      <c r="D83" s="104"/>
      <c r="E83" s="104"/>
      <c r="F83" s="104"/>
      <c r="G83" s="104"/>
      <c r="H83" s="104"/>
      <c r="I83" s="104"/>
      <c r="J83" s="104"/>
      <c r="K83" s="104"/>
      <c r="L83" s="104"/>
      <c r="M83" s="104"/>
      <c r="N83" s="104"/>
      <c r="O83" s="104"/>
      <c r="P83" s="104"/>
      <c r="Q83" s="104"/>
      <c r="R83" s="104"/>
      <c r="S83" s="104"/>
      <c r="T83" s="104"/>
      <c r="U83" s="104"/>
      <c r="V83" s="104"/>
      <c r="W83" s="104"/>
      <c r="X83" s="104"/>
      <c r="Y83" s="104"/>
      <c r="Z83" s="104"/>
      <c r="AA83" s="104"/>
    </row>
    <row r="84" spans="1:27" customFormat="1">
      <c r="A84" s="104"/>
      <c r="B84" s="104"/>
      <c r="C84" s="104"/>
      <c r="D84" s="104"/>
      <c r="E84" s="104"/>
      <c r="F84" s="104"/>
      <c r="G84" s="104"/>
      <c r="H84" s="104"/>
      <c r="I84" s="104"/>
      <c r="J84" s="104"/>
      <c r="K84" s="104"/>
      <c r="L84" s="104"/>
      <c r="M84" s="104"/>
      <c r="N84" s="104"/>
      <c r="O84" s="104"/>
      <c r="P84" s="104"/>
      <c r="Q84" s="104"/>
      <c r="R84" s="104"/>
      <c r="S84" s="104"/>
      <c r="T84" s="104"/>
      <c r="U84" s="104"/>
      <c r="V84" s="104"/>
      <c r="W84" s="104"/>
      <c r="X84" s="104"/>
      <c r="Y84" s="104"/>
      <c r="Z84" s="104"/>
      <c r="AA84" s="104"/>
    </row>
    <row r="85" spans="1:27" customFormat="1">
      <c r="A85" s="104"/>
      <c r="B85" s="104"/>
      <c r="C85" s="104"/>
      <c r="D85" s="104"/>
      <c r="E85" s="104"/>
      <c r="F85" s="104"/>
      <c r="G85" s="104"/>
      <c r="H85" s="104"/>
      <c r="I85" s="104"/>
      <c r="J85" s="104"/>
      <c r="K85" s="104"/>
      <c r="L85" s="104"/>
      <c r="M85" s="104"/>
      <c r="N85" s="104"/>
      <c r="O85" s="104"/>
      <c r="P85" s="104"/>
      <c r="Q85" s="104"/>
      <c r="R85" s="104"/>
      <c r="S85" s="104"/>
      <c r="T85" s="104"/>
      <c r="U85" s="104"/>
      <c r="V85" s="104"/>
      <c r="W85" s="104"/>
      <c r="X85" s="104"/>
      <c r="Y85" s="104"/>
      <c r="Z85" s="104"/>
      <c r="AA85" s="104"/>
    </row>
    <row r="86" spans="1:27">
      <c r="A86" s="104"/>
      <c r="B86" s="104"/>
      <c r="C86" s="104"/>
      <c r="D86" s="104"/>
      <c r="E86" s="104"/>
      <c r="F86" s="104"/>
      <c r="G86" s="104"/>
      <c r="H86" s="104"/>
      <c r="I86" s="104"/>
      <c r="J86" s="104"/>
      <c r="K86" s="104"/>
      <c r="L86" s="104"/>
      <c r="M86" s="104"/>
      <c r="N86" s="104"/>
      <c r="O86" s="104"/>
      <c r="P86" s="104"/>
      <c r="Q86" s="104"/>
      <c r="R86" s="104"/>
      <c r="S86" s="104"/>
      <c r="T86" s="104"/>
      <c r="U86" s="104"/>
      <c r="V86" s="104"/>
      <c r="W86" s="104"/>
      <c r="X86" s="104"/>
      <c r="Y86" s="104"/>
      <c r="Z86" s="104"/>
      <c r="AA86" s="104"/>
    </row>
    <row r="87" spans="1:27">
      <c r="A87" s="104"/>
      <c r="B87" s="104"/>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row>
    <row r="88" spans="1:27">
      <c r="A88" s="104"/>
      <c r="B88" s="104"/>
      <c r="C88" s="104"/>
      <c r="D88" s="104"/>
      <c r="E88" s="104"/>
      <c r="F88" s="104"/>
      <c r="G88" s="104"/>
      <c r="H88" s="104"/>
      <c r="I88" s="104"/>
      <c r="J88" s="104"/>
      <c r="K88" s="104"/>
      <c r="L88" s="104"/>
      <c r="M88" s="104"/>
      <c r="N88" s="104"/>
      <c r="O88" s="104"/>
      <c r="P88" s="104"/>
      <c r="Q88" s="104"/>
      <c r="R88" s="104"/>
      <c r="S88" s="104"/>
      <c r="T88" s="104"/>
      <c r="U88" s="104"/>
      <c r="V88" s="104"/>
      <c r="W88" s="104"/>
      <c r="X88" s="104"/>
      <c r="Y88" s="104"/>
      <c r="Z88" s="104"/>
      <c r="AA88" s="104"/>
    </row>
    <row r="89" spans="1:27">
      <c r="A89" s="104"/>
      <c r="B89" s="104"/>
      <c r="C89" s="104"/>
      <c r="D89" s="104"/>
      <c r="E89" s="104"/>
      <c r="F89" s="104"/>
      <c r="G89" s="104"/>
      <c r="H89" s="104"/>
      <c r="I89" s="104"/>
      <c r="J89" s="104"/>
      <c r="K89" s="104"/>
      <c r="L89" s="104"/>
      <c r="M89" s="104"/>
      <c r="N89" s="104"/>
      <c r="O89" s="104"/>
      <c r="P89" s="104"/>
      <c r="Q89" s="104"/>
      <c r="R89" s="104"/>
      <c r="S89" s="104"/>
      <c r="T89" s="104"/>
      <c r="U89" s="104"/>
      <c r="V89" s="104"/>
      <c r="W89" s="104"/>
      <c r="X89" s="104"/>
      <c r="Y89" s="104"/>
      <c r="Z89" s="104"/>
      <c r="AA89" s="104"/>
    </row>
    <row r="90" spans="1:27">
      <c r="A90" s="104"/>
      <c r="B90" s="104"/>
      <c r="C90" s="104"/>
      <c r="D90" s="104"/>
      <c r="E90" s="104"/>
      <c r="F90" s="104"/>
      <c r="G90" s="104"/>
      <c r="H90" s="104"/>
      <c r="I90" s="104"/>
      <c r="J90" s="104"/>
      <c r="K90" s="104"/>
      <c r="L90" s="104"/>
      <c r="M90" s="104"/>
      <c r="N90" s="104"/>
      <c r="O90" s="104"/>
      <c r="P90" s="104"/>
      <c r="Q90" s="104"/>
      <c r="R90" s="104"/>
      <c r="S90" s="104"/>
      <c r="T90" s="104"/>
      <c r="U90" s="104"/>
      <c r="V90" s="104"/>
      <c r="W90" s="104"/>
      <c r="X90" s="104"/>
      <c r="Y90" s="104"/>
      <c r="Z90" s="104"/>
      <c r="AA90" s="104"/>
    </row>
    <row r="91" spans="1:27">
      <c r="A91" s="104"/>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row>
    <row r="92" spans="1:27">
      <c r="A92" s="104"/>
      <c r="B92" s="104"/>
      <c r="C92" s="104"/>
      <c r="D92" s="104"/>
      <c r="E92" s="104"/>
      <c r="F92" s="104"/>
      <c r="G92" s="104"/>
      <c r="H92" s="104"/>
      <c r="I92" s="104"/>
      <c r="J92" s="104"/>
      <c r="K92" s="104"/>
      <c r="L92" s="104"/>
      <c r="M92" s="104"/>
      <c r="N92" s="104"/>
      <c r="O92" s="104"/>
      <c r="P92" s="104"/>
      <c r="Q92" s="104"/>
      <c r="R92" s="104"/>
      <c r="S92" s="104"/>
      <c r="T92" s="104"/>
      <c r="U92" s="104"/>
      <c r="V92" s="104"/>
      <c r="W92" s="104"/>
      <c r="X92" s="104"/>
    </row>
    <row r="93" spans="1:27">
      <c r="A93" s="104"/>
      <c r="B93" s="104"/>
      <c r="C93" s="104"/>
      <c r="D93" s="104"/>
      <c r="E93" s="104"/>
      <c r="F93" s="104"/>
      <c r="G93" s="104"/>
      <c r="H93" s="104"/>
      <c r="I93" s="104"/>
      <c r="J93" s="104"/>
      <c r="K93" s="104"/>
      <c r="L93" s="104"/>
      <c r="M93" s="104"/>
      <c r="N93" s="104"/>
      <c r="O93" s="104"/>
      <c r="P93" s="104"/>
      <c r="Q93" s="104"/>
      <c r="R93" s="104"/>
      <c r="S93" s="104"/>
      <c r="T93" s="104"/>
      <c r="U93" s="104"/>
      <c r="V93" s="104"/>
      <c r="W93" s="104"/>
      <c r="X93" s="104"/>
    </row>
    <row r="94" spans="1:27">
      <c r="A94" s="104"/>
      <c r="B94" s="104"/>
      <c r="C94" s="104"/>
      <c r="D94" s="104"/>
      <c r="E94" s="104"/>
      <c r="F94" s="104"/>
      <c r="G94" s="104"/>
      <c r="H94" s="104"/>
      <c r="I94" s="104"/>
      <c r="J94" s="104"/>
      <c r="K94" s="104"/>
      <c r="L94" s="104"/>
      <c r="M94" s="104"/>
      <c r="N94" s="104"/>
      <c r="O94" s="104"/>
      <c r="P94" s="104"/>
      <c r="Q94" s="104"/>
      <c r="R94" s="104"/>
      <c r="S94" s="104"/>
      <c r="T94" s="104"/>
      <c r="U94" s="104"/>
      <c r="V94" s="104"/>
      <c r="W94" s="104"/>
      <c r="X94" s="104"/>
      <c r="Y94" s="104"/>
    </row>
    <row r="95" spans="1:27">
      <c r="A95" s="104"/>
      <c r="B95" s="104"/>
      <c r="C95" s="104"/>
      <c r="D95" s="104"/>
      <c r="E95" s="104"/>
      <c r="F95" s="104"/>
      <c r="G95" s="104"/>
      <c r="H95" s="104"/>
      <c r="I95" s="104"/>
      <c r="J95" s="104"/>
      <c r="K95" s="104"/>
      <c r="L95" s="104"/>
      <c r="M95" s="104"/>
      <c r="N95" s="104"/>
      <c r="O95" s="104"/>
      <c r="P95" s="104"/>
      <c r="Q95" s="104"/>
      <c r="R95" s="104"/>
      <c r="S95" s="104"/>
      <c r="T95" s="104"/>
      <c r="U95" s="104"/>
      <c r="V95" s="104"/>
      <c r="W95" s="104"/>
      <c r="X95" s="104"/>
      <c r="Y95" s="104"/>
    </row>
    <row r="96" spans="1:27">
      <c r="A96" s="104"/>
      <c r="B96" s="104"/>
      <c r="C96" s="104"/>
      <c r="D96" s="104"/>
      <c r="E96" s="104"/>
      <c r="F96" s="104"/>
      <c r="G96" s="104"/>
      <c r="H96" s="104"/>
      <c r="I96" s="104"/>
      <c r="J96" s="104"/>
      <c r="K96" s="104"/>
      <c r="L96" s="104"/>
      <c r="M96" s="104"/>
      <c r="N96" s="104"/>
      <c r="O96" s="104"/>
      <c r="P96" s="104"/>
      <c r="Q96" s="104"/>
      <c r="R96" s="104"/>
      <c r="S96" s="104"/>
      <c r="T96" s="104"/>
      <c r="U96" s="104"/>
      <c r="V96" s="104"/>
      <c r="W96" s="104"/>
      <c r="X96" s="104"/>
      <c r="Y96" s="104"/>
    </row>
    <row r="97" spans="1:30">
      <c r="A97" s="104"/>
      <c r="B97" s="104"/>
      <c r="C97" s="104"/>
      <c r="D97" s="104"/>
      <c r="E97" s="104"/>
      <c r="F97" s="104"/>
      <c r="G97" s="104"/>
      <c r="H97" s="104"/>
      <c r="I97" s="104"/>
      <c r="J97" s="104"/>
      <c r="K97" s="104"/>
      <c r="L97" s="104"/>
      <c r="M97" s="104"/>
      <c r="N97" s="104"/>
      <c r="O97" s="104"/>
      <c r="P97" s="104"/>
      <c r="Q97" s="104"/>
      <c r="R97" s="104"/>
      <c r="S97" s="104"/>
      <c r="T97" s="104"/>
      <c r="U97" s="104"/>
      <c r="V97" s="104"/>
      <c r="W97" s="104"/>
      <c r="X97" s="104"/>
      <c r="Y97" s="104"/>
    </row>
    <row r="98" spans="1:30">
      <c r="A98" s="104"/>
      <c r="B98" s="104"/>
      <c r="C98" s="104"/>
      <c r="D98" s="104"/>
      <c r="E98" s="104"/>
      <c r="F98" s="104"/>
      <c r="G98" s="104"/>
      <c r="H98" s="104"/>
      <c r="I98" s="104"/>
      <c r="J98" s="104"/>
      <c r="K98" s="104"/>
      <c r="L98" s="104"/>
      <c r="M98" s="104"/>
      <c r="N98" s="104"/>
      <c r="O98" s="104"/>
      <c r="P98" s="104"/>
      <c r="Q98" s="104"/>
      <c r="R98" s="104"/>
      <c r="S98" s="104"/>
      <c r="T98" s="104"/>
      <c r="U98" s="104"/>
      <c r="V98" s="104"/>
      <c r="W98" s="104"/>
      <c r="X98" s="104"/>
      <c r="Y98" s="104"/>
    </row>
    <row r="99" spans="1:30">
      <c r="A99" s="104"/>
      <c r="B99" s="104"/>
      <c r="C99" s="104"/>
      <c r="D99" s="104"/>
      <c r="E99" s="104"/>
      <c r="F99" s="104"/>
      <c r="G99" s="104"/>
      <c r="H99" s="104"/>
      <c r="I99" s="104"/>
      <c r="J99" s="104"/>
      <c r="K99" s="104"/>
      <c r="L99" s="104"/>
      <c r="M99" s="104"/>
      <c r="N99" s="104"/>
      <c r="O99" s="104"/>
      <c r="P99" s="104"/>
      <c r="Q99" s="104"/>
      <c r="R99" s="104"/>
      <c r="S99" s="104"/>
      <c r="T99" s="104"/>
      <c r="U99" s="104"/>
      <c r="V99" s="104"/>
      <c r="W99" s="104"/>
      <c r="X99" s="104"/>
      <c r="Y99" s="104"/>
    </row>
    <row r="100" spans="1:30">
      <c r="A100" s="104"/>
      <c r="B100" s="104"/>
      <c r="C100" s="104"/>
      <c r="D100" s="104"/>
      <c r="E100" s="104"/>
      <c r="F100" s="104"/>
      <c r="G100" s="104"/>
      <c r="H100" s="104"/>
      <c r="I100" s="104"/>
      <c r="J100" s="104"/>
      <c r="K100" s="104"/>
      <c r="L100" s="104"/>
      <c r="M100" s="104"/>
      <c r="N100" s="104"/>
      <c r="O100" s="104"/>
      <c r="P100" s="104"/>
      <c r="Q100" s="104"/>
      <c r="R100" s="104"/>
      <c r="S100" s="104"/>
      <c r="T100" s="104"/>
      <c r="U100" s="104"/>
      <c r="V100" s="104"/>
      <c r="W100" s="104"/>
      <c r="X100" s="104"/>
      <c r="Y100" s="104"/>
    </row>
    <row r="101" spans="1:30">
      <c r="A101" s="104"/>
      <c r="B101" s="104"/>
      <c r="C101" s="104"/>
      <c r="D101" s="104"/>
      <c r="E101" s="104"/>
      <c r="F101" s="104"/>
      <c r="G101" s="104"/>
      <c r="H101" s="104"/>
      <c r="I101" s="104"/>
      <c r="J101" s="104"/>
      <c r="K101" s="104"/>
      <c r="L101" s="104"/>
      <c r="M101" s="104"/>
      <c r="N101" s="104"/>
      <c r="O101" s="104"/>
      <c r="P101" s="104"/>
      <c r="Q101" s="104"/>
      <c r="R101" s="104"/>
      <c r="S101" s="104"/>
      <c r="T101" s="104"/>
      <c r="U101" s="104"/>
      <c r="V101" s="104"/>
      <c r="W101" s="104"/>
      <c r="X101" s="104"/>
      <c r="Y101" s="104"/>
    </row>
    <row r="102" spans="1:30">
      <c r="A102" s="104"/>
      <c r="B102" s="104"/>
      <c r="C102" s="104"/>
      <c r="D102" s="104"/>
      <c r="E102" s="104"/>
      <c r="F102" s="104"/>
      <c r="G102" s="104"/>
      <c r="H102" s="104"/>
      <c r="I102" s="104"/>
      <c r="J102" s="104"/>
      <c r="K102" s="104"/>
      <c r="L102" s="104"/>
      <c r="M102" s="104"/>
      <c r="N102" s="104"/>
      <c r="O102" s="104"/>
      <c r="P102" s="104"/>
      <c r="Q102" s="104"/>
      <c r="R102" s="104"/>
      <c r="S102" s="104"/>
      <c r="T102" s="104"/>
      <c r="U102" s="104"/>
      <c r="V102" s="104"/>
      <c r="W102" s="104"/>
      <c r="X102" s="104"/>
      <c r="Y102" s="104"/>
    </row>
    <row r="103" spans="1:30">
      <c r="A103" s="104"/>
      <c r="B103" s="104"/>
      <c r="C103" s="104"/>
      <c r="D103" s="104"/>
      <c r="E103" s="104"/>
      <c r="F103" s="104"/>
      <c r="G103" s="104"/>
      <c r="H103" s="104"/>
      <c r="I103" s="104"/>
      <c r="J103" s="104"/>
      <c r="K103" s="104"/>
      <c r="L103" s="104"/>
      <c r="M103" s="104"/>
      <c r="N103" s="104"/>
      <c r="O103" s="104"/>
      <c r="P103" s="104"/>
      <c r="Q103" s="104"/>
      <c r="R103" s="104"/>
      <c r="S103" s="104"/>
      <c r="T103" s="104"/>
      <c r="U103" s="104"/>
      <c r="V103" s="104"/>
      <c r="W103" s="104"/>
      <c r="X103" s="104"/>
      <c r="Y103" s="104"/>
    </row>
    <row r="104" spans="1:30">
      <c r="A104" s="104"/>
      <c r="B104" s="104"/>
      <c r="C104" s="104"/>
      <c r="D104" s="104"/>
      <c r="E104" s="104"/>
      <c r="F104" s="104"/>
      <c r="G104" s="104"/>
      <c r="H104" s="104"/>
      <c r="I104" s="104"/>
      <c r="J104" s="104"/>
      <c r="K104" s="104"/>
      <c r="L104" s="104"/>
      <c r="M104" s="104"/>
      <c r="N104" s="104"/>
      <c r="O104" s="104"/>
      <c r="P104" s="104"/>
      <c r="Q104" s="104"/>
      <c r="R104" s="104"/>
      <c r="S104" s="104"/>
      <c r="T104" s="104"/>
      <c r="U104" s="104"/>
      <c r="V104" s="104"/>
      <c r="W104" s="104"/>
      <c r="X104" s="104"/>
      <c r="Y104" s="104"/>
    </row>
    <row r="105" spans="1:30">
      <c r="A105" s="104"/>
      <c r="B105" s="104"/>
      <c r="C105" s="104"/>
      <c r="D105" s="104"/>
      <c r="E105" s="104"/>
      <c r="F105" s="104"/>
      <c r="G105" s="104"/>
      <c r="H105" s="104"/>
      <c r="I105" s="104"/>
      <c r="J105" s="104"/>
      <c r="K105" s="104"/>
      <c r="L105" s="104"/>
      <c r="M105" s="104"/>
      <c r="N105" s="104"/>
      <c r="O105" s="104"/>
      <c r="P105" s="104"/>
      <c r="Q105" s="104"/>
      <c r="R105" s="104"/>
      <c r="S105" s="104"/>
      <c r="T105" s="104"/>
      <c r="U105" s="104"/>
      <c r="V105" s="104"/>
      <c r="W105" s="104"/>
      <c r="X105" s="104"/>
      <c r="Y105" s="104"/>
    </row>
    <row r="106" spans="1:30">
      <c r="A106" s="104"/>
      <c r="B106" s="104"/>
      <c r="C106" s="104"/>
      <c r="D106" s="104"/>
      <c r="E106" s="104"/>
      <c r="F106" s="104"/>
      <c r="G106" s="104"/>
      <c r="H106" s="104"/>
      <c r="I106" s="104"/>
      <c r="J106" s="104"/>
      <c r="K106" s="104"/>
      <c r="L106" s="104"/>
      <c r="M106" s="104"/>
      <c r="N106" s="104"/>
      <c r="O106" s="104"/>
      <c r="P106" s="104"/>
      <c r="Q106" s="104"/>
      <c r="R106" s="104"/>
      <c r="S106" s="104"/>
      <c r="T106" s="104"/>
      <c r="U106" s="104"/>
      <c r="V106" s="104"/>
      <c r="W106" s="104"/>
      <c r="X106" s="104"/>
      <c r="Y106" s="104"/>
    </row>
    <row r="107" spans="1:30" ht="40" customHeight="1">
      <c r="A107" s="104"/>
      <c r="B107" s="104"/>
      <c r="C107" s="104"/>
      <c r="D107" s="104"/>
      <c r="E107" s="104"/>
      <c r="F107" s="104"/>
      <c r="G107" s="104"/>
      <c r="H107" s="104"/>
      <c r="I107" s="104"/>
      <c r="J107" s="104"/>
      <c r="K107" s="104"/>
      <c r="L107" s="104"/>
      <c r="M107" s="104"/>
      <c r="N107" s="104"/>
      <c r="O107" s="104"/>
      <c r="P107" s="104"/>
      <c r="Q107" s="104"/>
      <c r="R107" s="104"/>
      <c r="S107" s="104"/>
      <c r="T107" s="104"/>
      <c r="U107" s="104"/>
      <c r="V107" s="104"/>
      <c r="W107" s="104"/>
      <c r="X107" s="104"/>
      <c r="Y107" s="104"/>
    </row>
    <row r="108" spans="1:30">
      <c r="A108" s="104"/>
      <c r="B108" s="104"/>
      <c r="C108" s="104"/>
      <c r="D108" s="104"/>
      <c r="E108" s="104"/>
      <c r="F108" s="104"/>
      <c r="G108" s="104"/>
      <c r="H108" s="104"/>
      <c r="I108" s="104"/>
      <c r="J108" s="104"/>
      <c r="K108" s="104"/>
      <c r="L108" s="104"/>
      <c r="M108" s="104"/>
      <c r="N108" s="104"/>
      <c r="O108" s="104"/>
      <c r="P108" s="104"/>
      <c r="Q108" s="104"/>
      <c r="R108" s="104"/>
      <c r="S108" s="104"/>
      <c r="T108" s="104"/>
      <c r="U108" s="104"/>
      <c r="V108" s="104"/>
      <c r="W108" s="104"/>
      <c r="X108" s="104"/>
      <c r="Y108" s="104"/>
    </row>
    <row r="109" spans="1:30">
      <c r="A109" s="104"/>
      <c r="B109" s="104"/>
      <c r="C109" s="104"/>
      <c r="D109" s="104"/>
      <c r="E109" s="104"/>
      <c r="F109" s="104"/>
      <c r="G109" s="104"/>
      <c r="H109" s="104"/>
      <c r="I109" s="104"/>
      <c r="J109" s="104"/>
      <c r="K109" s="104"/>
      <c r="L109" s="104"/>
      <c r="M109" s="104"/>
      <c r="N109" s="104"/>
      <c r="O109" s="104"/>
      <c r="P109" s="104"/>
      <c r="Q109" s="104"/>
      <c r="R109" s="104"/>
      <c r="S109" s="104"/>
      <c r="T109" s="104"/>
      <c r="U109" s="104"/>
      <c r="V109" s="104"/>
      <c r="W109" s="104"/>
      <c r="X109" s="104"/>
      <c r="Y109" s="104"/>
    </row>
    <row r="110" spans="1:30">
      <c r="A110" s="104"/>
      <c r="B110" s="104"/>
      <c r="C110" s="104"/>
      <c r="D110" s="104"/>
      <c r="E110" s="104"/>
      <c r="F110" s="104"/>
      <c r="G110" s="104"/>
      <c r="H110" s="104"/>
      <c r="I110" s="104"/>
      <c r="J110" s="104"/>
      <c r="K110" s="104"/>
      <c r="L110" s="104"/>
      <c r="M110" s="104"/>
      <c r="N110" s="104"/>
      <c r="O110" s="104"/>
      <c r="P110" s="104"/>
      <c r="Q110" s="104"/>
      <c r="R110" s="104"/>
      <c r="S110" s="104"/>
      <c r="T110" s="104"/>
      <c r="U110" s="104"/>
      <c r="V110" s="104"/>
      <c r="W110" s="104"/>
      <c r="X110" s="104"/>
      <c r="Y110" s="104"/>
      <c r="Z110" s="104"/>
      <c r="AA110" s="104"/>
      <c r="AB110" s="104"/>
      <c r="AC110" s="104"/>
      <c r="AD110" s="104"/>
    </row>
    <row r="111" spans="1:30">
      <c r="A111" s="104"/>
      <c r="B111" s="104"/>
      <c r="C111" s="104"/>
      <c r="D111" s="104"/>
      <c r="E111" s="104"/>
      <c r="F111" s="104"/>
      <c r="G111" s="104"/>
      <c r="H111" s="104"/>
      <c r="I111" s="104"/>
      <c r="J111" s="104"/>
      <c r="K111" s="104"/>
      <c r="L111" s="104"/>
      <c r="M111" s="104"/>
      <c r="N111" s="104"/>
      <c r="O111" s="104"/>
      <c r="P111" s="104"/>
      <c r="Q111" s="104"/>
      <c r="R111" s="104"/>
      <c r="S111" s="104"/>
      <c r="T111" s="104"/>
      <c r="U111" s="104"/>
      <c r="V111" s="104"/>
      <c r="W111" s="104"/>
      <c r="X111" s="104"/>
      <c r="Y111" s="104"/>
      <c r="Z111" s="104"/>
      <c r="AA111" s="104"/>
      <c r="AB111" s="104"/>
      <c r="AC111" s="104"/>
      <c r="AD111" s="104"/>
    </row>
    <row r="112" spans="1:30">
      <c r="A112" s="104"/>
      <c r="B112" s="104"/>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row>
    <row r="113" spans="1:31">
      <c r="A113" s="104"/>
      <c r="B113" s="104"/>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row>
    <row r="114" spans="1:31">
      <c r="A114" s="104"/>
      <c r="B114" s="104"/>
      <c r="C114" s="104"/>
      <c r="D114" s="104"/>
      <c r="E114" s="104"/>
      <c r="F114" s="104"/>
      <c r="G114" s="104"/>
      <c r="H114" s="104"/>
      <c r="I114" s="104"/>
      <c r="J114" s="104"/>
      <c r="K114" s="104"/>
      <c r="L114" s="104"/>
      <c r="M114" s="104"/>
      <c r="N114" s="104"/>
      <c r="O114" s="104"/>
      <c r="P114" s="104"/>
      <c r="Q114" s="104"/>
      <c r="R114" s="104"/>
      <c r="S114" s="104"/>
      <c r="T114" s="104"/>
      <c r="U114" s="104"/>
      <c r="V114" s="104"/>
      <c r="W114" s="104"/>
      <c r="X114" s="104"/>
      <c r="Y114" s="104"/>
      <c r="Z114" s="104"/>
      <c r="AA114" s="104"/>
      <c r="AB114" s="104"/>
      <c r="AC114" s="104"/>
      <c r="AD114" s="104"/>
      <c r="AE114" s="104"/>
    </row>
    <row r="115" spans="1:31">
      <c r="A115" s="104"/>
      <c r="B115" s="104"/>
      <c r="C115" s="104"/>
      <c r="D115" s="104"/>
      <c r="E115" s="104"/>
      <c r="F115" s="104"/>
      <c r="G115" s="104"/>
      <c r="H115" s="104"/>
      <c r="I115" s="104"/>
      <c r="J115" s="104"/>
      <c r="K115" s="104"/>
      <c r="L115" s="104"/>
      <c r="M115" s="104"/>
      <c r="N115" s="104"/>
      <c r="O115" s="104"/>
      <c r="P115" s="104"/>
      <c r="Q115" s="104"/>
      <c r="R115" s="104"/>
      <c r="S115" s="104"/>
      <c r="T115" s="104"/>
      <c r="U115" s="104"/>
      <c r="V115" s="104"/>
      <c r="W115" s="104"/>
      <c r="X115" s="104"/>
      <c r="Y115" s="104"/>
      <c r="Z115" s="104"/>
      <c r="AA115" s="104"/>
      <c r="AB115" s="104"/>
      <c r="AC115" s="104"/>
      <c r="AD115" s="104"/>
      <c r="AE115" s="104"/>
    </row>
    <row r="116" spans="1:31">
      <c r="A116" s="104"/>
      <c r="B116" s="104"/>
      <c r="C116" s="104"/>
      <c r="D116" s="104"/>
      <c r="E116" s="104"/>
      <c r="F116" s="104"/>
      <c r="G116" s="104"/>
      <c r="H116" s="104"/>
      <c r="I116" s="104"/>
      <c r="J116" s="104"/>
      <c r="K116" s="104"/>
      <c r="L116" s="104"/>
      <c r="M116" s="104"/>
      <c r="N116" s="104"/>
      <c r="O116" s="104"/>
      <c r="P116" s="104"/>
      <c r="Q116" s="104"/>
      <c r="R116" s="104"/>
      <c r="S116" s="104"/>
      <c r="T116" s="104"/>
      <c r="U116" s="104"/>
      <c r="V116" s="104"/>
      <c r="W116" s="104"/>
      <c r="X116" s="104"/>
      <c r="Y116" s="104"/>
      <c r="Z116" s="104"/>
      <c r="AA116" s="104"/>
      <c r="AB116" s="104"/>
      <c r="AC116" s="104"/>
      <c r="AD116" s="104"/>
      <c r="AE116" s="104"/>
    </row>
    <row r="117" spans="1:31">
      <c r="A117" s="104"/>
      <c r="B117" s="104"/>
      <c r="C117" s="104"/>
      <c r="D117" s="104"/>
      <c r="E117" s="104"/>
      <c r="F117" s="104"/>
      <c r="G117" s="104"/>
      <c r="H117" s="104"/>
      <c r="I117" s="104"/>
      <c r="J117" s="104"/>
      <c r="K117" s="104"/>
      <c r="L117" s="104"/>
      <c r="M117" s="104"/>
      <c r="N117" s="104"/>
      <c r="O117" s="104"/>
      <c r="P117" s="104"/>
      <c r="Q117" s="104"/>
      <c r="R117" s="104"/>
      <c r="S117" s="104"/>
      <c r="T117" s="104"/>
      <c r="U117" s="104"/>
      <c r="V117" s="104"/>
      <c r="W117" s="104"/>
      <c r="X117" s="104"/>
      <c r="Y117" s="104"/>
      <c r="Z117" s="104"/>
      <c r="AA117" s="104"/>
      <c r="AB117" s="104"/>
      <c r="AC117" s="104"/>
      <c r="AD117" s="104"/>
      <c r="AE117" s="104"/>
    </row>
    <row r="118" spans="1:31">
      <c r="A118" s="104"/>
      <c r="B118" s="104"/>
      <c r="C118" s="104"/>
      <c r="D118" s="104"/>
      <c r="E118" s="104"/>
      <c r="F118" s="104"/>
      <c r="G118" s="104"/>
      <c r="H118" s="104"/>
      <c r="I118" s="104"/>
      <c r="J118" s="104"/>
      <c r="K118" s="104"/>
      <c r="L118" s="104"/>
      <c r="M118" s="104"/>
      <c r="N118" s="104"/>
      <c r="O118" s="104"/>
      <c r="P118" s="104"/>
      <c r="Q118" s="104"/>
      <c r="R118" s="104"/>
      <c r="S118" s="104"/>
      <c r="T118" s="104"/>
      <c r="U118" s="104"/>
      <c r="V118" s="104"/>
      <c r="W118" s="104"/>
      <c r="X118" s="104"/>
      <c r="Y118" s="104"/>
      <c r="Z118" s="104"/>
      <c r="AA118" s="104"/>
      <c r="AB118" s="104"/>
      <c r="AC118" s="104"/>
      <c r="AD118" s="104"/>
      <c r="AE118" s="104"/>
    </row>
    <row r="119" spans="1:31">
      <c r="A119" s="104"/>
      <c r="B119" s="104"/>
      <c r="C119" s="104"/>
      <c r="D119" s="104"/>
      <c r="E119" s="104"/>
      <c r="F119" s="104"/>
      <c r="G119" s="104"/>
      <c r="H119" s="104"/>
      <c r="I119" s="104"/>
      <c r="J119" s="104"/>
      <c r="K119" s="104"/>
      <c r="L119" s="104"/>
      <c r="M119" s="104"/>
      <c r="N119" s="104"/>
      <c r="O119" s="104"/>
      <c r="P119" s="104"/>
      <c r="Q119" s="104"/>
      <c r="R119" s="104"/>
      <c r="S119" s="104"/>
      <c r="T119" s="104"/>
      <c r="U119" s="104"/>
      <c r="V119" s="104"/>
      <c r="W119" s="104"/>
      <c r="X119" s="104"/>
      <c r="Y119" s="104"/>
      <c r="Z119" s="104"/>
      <c r="AA119" s="104"/>
      <c r="AB119" s="104"/>
      <c r="AC119" s="104"/>
      <c r="AD119" s="104"/>
      <c r="AE119" s="104"/>
    </row>
    <row r="120" spans="1:31">
      <c r="A120" s="104"/>
      <c r="B120" s="104"/>
      <c r="C120" s="104"/>
      <c r="D120" s="104"/>
      <c r="E120" s="104"/>
      <c r="F120" s="104"/>
      <c r="G120" s="104"/>
      <c r="H120" s="104"/>
      <c r="I120" s="104"/>
      <c r="J120" s="104"/>
      <c r="K120" s="104"/>
      <c r="L120" s="104"/>
      <c r="M120" s="104"/>
      <c r="N120" s="104"/>
      <c r="O120" s="104"/>
      <c r="P120" s="104"/>
      <c r="Q120" s="104"/>
      <c r="R120" s="104"/>
      <c r="S120" s="104"/>
      <c r="T120" s="104"/>
      <c r="U120" s="104"/>
      <c r="V120" s="104"/>
      <c r="W120" s="104"/>
      <c r="X120" s="104"/>
      <c r="Y120" s="104"/>
      <c r="Z120" s="104"/>
      <c r="AA120" s="104"/>
      <c r="AB120" s="104"/>
      <c r="AC120" s="104"/>
      <c r="AD120" s="104"/>
      <c r="AE120" s="104"/>
    </row>
    <row r="121" spans="1:31">
      <c r="A121" s="104"/>
      <c r="B121" s="104"/>
      <c r="C121" s="104"/>
      <c r="D121" s="104"/>
      <c r="E121" s="104"/>
      <c r="F121" s="104"/>
      <c r="G121" s="104"/>
      <c r="H121" s="104"/>
      <c r="I121" s="104"/>
      <c r="J121" s="104"/>
      <c r="K121" s="104"/>
      <c r="L121" s="104"/>
      <c r="M121" s="104"/>
      <c r="N121" s="104"/>
      <c r="O121" s="104"/>
      <c r="P121" s="104"/>
      <c r="Q121" s="104"/>
      <c r="R121" s="104"/>
      <c r="S121" s="104"/>
      <c r="T121" s="104"/>
      <c r="U121" s="104"/>
      <c r="V121" s="104"/>
      <c r="W121" s="104"/>
      <c r="X121" s="104"/>
      <c r="Y121" s="104"/>
      <c r="Z121" s="104"/>
      <c r="AA121" s="104"/>
      <c r="AB121" s="104"/>
      <c r="AC121" s="104"/>
      <c r="AD121" s="104"/>
      <c r="AE121" s="104"/>
    </row>
    <row r="122" spans="1:31">
      <c r="A122" s="104"/>
      <c r="B122" s="104"/>
      <c r="C122" s="104"/>
      <c r="D122" s="104"/>
      <c r="E122" s="104"/>
      <c r="F122" s="104"/>
      <c r="G122" s="104"/>
      <c r="H122" s="104"/>
      <c r="I122" s="104"/>
      <c r="J122" s="104"/>
      <c r="K122" s="104"/>
      <c r="L122" s="104"/>
      <c r="M122" s="104"/>
      <c r="N122" s="104"/>
      <c r="O122" s="104"/>
      <c r="P122" s="104"/>
      <c r="Q122" s="104"/>
      <c r="R122" s="104"/>
      <c r="S122" s="104"/>
      <c r="T122" s="104"/>
      <c r="U122" s="104"/>
      <c r="V122" s="104"/>
      <c r="W122" s="104"/>
      <c r="X122" s="104"/>
      <c r="Y122" s="104"/>
      <c r="Z122" s="104"/>
      <c r="AA122" s="104"/>
      <c r="AB122" s="104"/>
      <c r="AC122" s="104"/>
      <c r="AD122" s="104"/>
      <c r="AE122" s="104"/>
    </row>
    <row r="123" spans="1:31">
      <c r="A123" s="104"/>
      <c r="B123" s="104"/>
      <c r="C123" s="104"/>
      <c r="D123" s="104"/>
      <c r="E123" s="104"/>
      <c r="F123" s="104"/>
      <c r="G123" s="104"/>
      <c r="H123" s="104"/>
      <c r="I123" s="104"/>
      <c r="J123" s="104"/>
      <c r="K123" s="104"/>
      <c r="L123" s="104"/>
      <c r="M123" s="104"/>
      <c r="N123" s="104"/>
      <c r="O123" s="104"/>
      <c r="P123" s="104"/>
      <c r="Q123" s="104"/>
      <c r="R123" s="104"/>
      <c r="S123" s="104"/>
      <c r="T123" s="104"/>
      <c r="U123" s="104"/>
      <c r="V123" s="104"/>
      <c r="W123" s="104"/>
      <c r="X123" s="104"/>
      <c r="Y123" s="104"/>
      <c r="Z123" s="104"/>
      <c r="AA123" s="104"/>
      <c r="AB123" s="104"/>
      <c r="AC123" s="104"/>
      <c r="AD123" s="104"/>
      <c r="AE123" s="104"/>
    </row>
    <row r="124" spans="1:31">
      <c r="A124" s="104"/>
      <c r="B124" s="104"/>
      <c r="C124" s="104"/>
      <c r="D124" s="104"/>
      <c r="E124" s="104"/>
      <c r="F124" s="104"/>
      <c r="G124" s="104"/>
      <c r="H124" s="104"/>
      <c r="I124" s="104"/>
      <c r="J124" s="104"/>
      <c r="K124" s="104"/>
      <c r="L124" s="104"/>
      <c r="M124" s="104"/>
      <c r="N124" s="104"/>
      <c r="O124" s="104"/>
      <c r="P124" s="104"/>
      <c r="Q124" s="104"/>
      <c r="R124" s="104"/>
      <c r="S124" s="104"/>
      <c r="T124" s="104"/>
      <c r="U124" s="104"/>
      <c r="V124" s="104"/>
      <c r="W124" s="104"/>
      <c r="X124" s="104"/>
      <c r="Y124" s="104"/>
      <c r="Z124" s="104"/>
      <c r="AA124" s="104"/>
      <c r="AB124" s="104"/>
      <c r="AC124" s="104"/>
      <c r="AD124" s="104"/>
      <c r="AE124" s="104"/>
    </row>
    <row r="125" spans="1:31">
      <c r="A125" s="104"/>
      <c r="B125" s="104"/>
      <c r="C125" s="104"/>
      <c r="D125" s="104"/>
      <c r="E125" s="104"/>
      <c r="F125" s="104"/>
      <c r="G125" s="104"/>
      <c r="H125" s="104"/>
      <c r="I125" s="104"/>
      <c r="J125" s="104"/>
      <c r="K125" s="104"/>
      <c r="L125" s="104"/>
      <c r="M125" s="104"/>
      <c r="N125" s="104"/>
      <c r="O125" s="104"/>
      <c r="P125" s="104"/>
      <c r="Q125" s="104"/>
      <c r="R125" s="104"/>
      <c r="S125" s="104"/>
      <c r="T125" s="104"/>
      <c r="U125" s="104"/>
      <c r="V125" s="104"/>
      <c r="W125" s="104"/>
      <c r="X125" s="104"/>
      <c r="Y125" s="104"/>
      <c r="Z125" s="104"/>
      <c r="AA125" s="104"/>
      <c r="AB125" s="104"/>
      <c r="AC125" s="104"/>
      <c r="AD125" s="104"/>
      <c r="AE125" s="104"/>
    </row>
    <row r="126" spans="1:31">
      <c r="A126" s="104"/>
      <c r="B126" s="104"/>
      <c r="C126" s="104"/>
      <c r="D126" s="104"/>
      <c r="E126" s="104"/>
      <c r="F126" s="104"/>
      <c r="G126" s="104"/>
      <c r="H126" s="104"/>
      <c r="I126" s="104"/>
      <c r="J126" s="104"/>
      <c r="K126" s="104"/>
      <c r="L126" s="104"/>
      <c r="M126" s="104"/>
      <c r="N126" s="104"/>
      <c r="O126" s="104"/>
      <c r="P126" s="104"/>
      <c r="Q126" s="104"/>
      <c r="R126" s="104"/>
      <c r="S126" s="104"/>
      <c r="T126" s="104"/>
      <c r="U126" s="104"/>
      <c r="V126" s="104"/>
      <c r="W126" s="104"/>
      <c r="X126" s="104"/>
      <c r="Y126" s="104"/>
      <c r="Z126" s="104"/>
      <c r="AA126" s="104"/>
      <c r="AB126" s="104"/>
      <c r="AC126" s="104"/>
      <c r="AD126" s="104"/>
      <c r="AE126" s="104"/>
    </row>
    <row r="127" spans="1:31">
      <c r="A127" s="104"/>
      <c r="B127" s="104"/>
      <c r="C127" s="104"/>
      <c r="D127" s="104"/>
      <c r="E127" s="104"/>
      <c r="F127" s="104"/>
      <c r="G127" s="104"/>
      <c r="H127" s="104"/>
      <c r="I127" s="104"/>
      <c r="J127" s="104"/>
      <c r="K127" s="104"/>
      <c r="L127" s="104"/>
      <c r="M127" s="104"/>
      <c r="N127" s="104"/>
      <c r="O127" s="104"/>
      <c r="P127" s="104"/>
      <c r="Q127" s="104"/>
      <c r="R127" s="104"/>
      <c r="S127" s="104"/>
      <c r="T127" s="104"/>
      <c r="U127" s="104"/>
      <c r="V127" s="104"/>
      <c r="W127" s="104"/>
      <c r="X127" s="104"/>
      <c r="Y127" s="104"/>
      <c r="Z127" s="104"/>
      <c r="AA127" s="104"/>
      <c r="AB127" s="104"/>
      <c r="AC127" s="104"/>
      <c r="AD127" s="104"/>
      <c r="AE127" s="104"/>
    </row>
    <row r="128" spans="1:31">
      <c r="A128" s="104"/>
      <c r="B128" s="104"/>
      <c r="C128" s="104"/>
      <c r="D128" s="104"/>
      <c r="E128" s="104"/>
      <c r="F128" s="104"/>
      <c r="G128" s="126"/>
      <c r="H128" s="104"/>
      <c r="I128" s="104"/>
      <c r="J128" s="104"/>
      <c r="K128" s="104"/>
      <c r="L128" s="104"/>
      <c r="M128" s="104"/>
      <c r="N128" s="104"/>
      <c r="O128" s="104"/>
      <c r="P128" s="104"/>
      <c r="Q128" s="104"/>
      <c r="R128" s="104"/>
      <c r="S128" s="104"/>
      <c r="T128" s="104"/>
      <c r="U128" s="104"/>
      <c r="V128" s="104"/>
      <c r="W128" s="104"/>
      <c r="X128" s="104"/>
      <c r="Y128" s="104"/>
      <c r="Z128" s="104"/>
      <c r="AA128" s="104"/>
      <c r="AB128" s="104"/>
      <c r="AC128" s="104"/>
      <c r="AD128" s="104"/>
      <c r="AE128" s="104"/>
    </row>
    <row r="129" spans="1:32">
      <c r="A129" s="104"/>
      <c r="B129" s="104"/>
      <c r="C129" s="104"/>
      <c r="D129" s="104"/>
      <c r="E129" s="104"/>
      <c r="F129" s="104"/>
      <c r="G129" s="104"/>
      <c r="H129" s="104"/>
      <c r="I129" s="104"/>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row>
    <row r="130" spans="1:32">
      <c r="A130" s="104"/>
      <c r="B130" s="104"/>
      <c r="C130" s="104"/>
      <c r="D130" s="104"/>
      <c r="E130" s="104"/>
      <c r="F130" s="104"/>
      <c r="G130" s="104"/>
      <c r="H130" s="104"/>
      <c r="I130" s="104"/>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row>
    <row r="131" spans="1:32">
      <c r="A131" s="104"/>
      <c r="B131" s="104"/>
      <c r="C131" s="104"/>
      <c r="D131" s="104"/>
      <c r="E131" s="104"/>
      <c r="F131" s="104"/>
      <c r="G131" s="104"/>
      <c r="H131" s="104"/>
      <c r="I131" s="104"/>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row>
    <row r="132" spans="1:32">
      <c r="A132" s="104"/>
      <c r="B132" s="104"/>
      <c r="C132" s="104"/>
      <c r="D132" s="104"/>
      <c r="E132" s="104"/>
      <c r="F132" s="104"/>
      <c r="G132" s="104"/>
      <c r="H132" s="104"/>
      <c r="I132" s="104"/>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row>
    <row r="133" spans="1:32">
      <c r="A133" s="104"/>
      <c r="B133" s="104"/>
      <c r="C133" s="104"/>
      <c r="D133" s="104"/>
      <c r="E133" s="104"/>
      <c r="F133" s="104"/>
      <c r="G133" s="104"/>
      <c r="H133" s="104"/>
      <c r="I133" s="104"/>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row>
    <row r="134" spans="1:32">
      <c r="A134" s="104"/>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row>
    <row r="135" spans="1:32">
      <c r="A135" s="104"/>
      <c r="B135" s="104"/>
      <c r="C135" s="104"/>
      <c r="D135" s="104"/>
      <c r="E135" s="104"/>
      <c r="F135" s="104"/>
      <c r="G135" s="104"/>
      <c r="H135" s="104"/>
      <c r="I135" s="104"/>
      <c r="J135" s="104"/>
      <c r="K135" s="104"/>
      <c r="L135" s="104"/>
      <c r="M135" s="104"/>
      <c r="N135" s="104"/>
      <c r="O135" s="104"/>
      <c r="P135" s="104"/>
      <c r="Q135" s="104"/>
      <c r="R135" s="104"/>
      <c r="S135" s="104"/>
      <c r="T135" s="104"/>
      <c r="U135" s="104"/>
      <c r="V135" s="104"/>
      <c r="W135" s="104"/>
      <c r="X135" s="104"/>
      <c r="Y135" s="104"/>
      <c r="Z135" s="104"/>
      <c r="AA135" s="104"/>
      <c r="AB135" s="104"/>
      <c r="AC135" s="104"/>
      <c r="AD135" s="104"/>
      <c r="AE135" s="104"/>
      <c r="AF135" s="104"/>
    </row>
    <row r="136" spans="1:32">
      <c r="A136" s="104"/>
      <c r="B136" s="104"/>
      <c r="C136" s="104"/>
      <c r="D136" s="104"/>
      <c r="E136" s="104"/>
      <c r="F136" s="104"/>
      <c r="G136" s="104"/>
      <c r="H136" s="104"/>
      <c r="I136" s="104"/>
      <c r="J136" s="104"/>
      <c r="K136" s="104"/>
      <c r="L136" s="104"/>
      <c r="M136" s="104"/>
      <c r="N136" s="104"/>
      <c r="O136" s="104"/>
      <c r="P136" s="104"/>
      <c r="Q136" s="104"/>
      <c r="R136" s="104"/>
      <c r="S136" s="104"/>
      <c r="T136" s="104"/>
      <c r="U136" s="104"/>
      <c r="V136" s="104"/>
      <c r="W136" s="104"/>
      <c r="X136" s="104"/>
      <c r="Y136" s="104"/>
      <c r="Z136" s="104"/>
      <c r="AA136" s="104"/>
      <c r="AB136" s="104"/>
      <c r="AC136" s="104"/>
      <c r="AD136" s="104"/>
      <c r="AE136" s="104"/>
      <c r="AF136" s="104"/>
    </row>
    <row r="137" spans="1:32">
      <c r="A137" s="104"/>
      <c r="B137" s="104"/>
      <c r="C137" s="104"/>
      <c r="D137" s="104"/>
      <c r="E137" s="104"/>
      <c r="F137" s="104"/>
      <c r="G137" s="104"/>
      <c r="H137" s="104"/>
      <c r="I137" s="104"/>
      <c r="J137" s="104"/>
      <c r="K137" s="104"/>
      <c r="L137" s="104"/>
      <c r="M137" s="104"/>
      <c r="N137" s="104"/>
      <c r="O137" s="104"/>
      <c r="P137" s="104"/>
      <c r="Q137" s="104"/>
      <c r="R137" s="104"/>
      <c r="S137" s="104"/>
      <c r="T137" s="104"/>
      <c r="U137" s="104"/>
      <c r="V137" s="104"/>
      <c r="W137" s="104"/>
      <c r="X137" s="104"/>
      <c r="Y137" s="104"/>
      <c r="Z137" s="104"/>
      <c r="AA137" s="104"/>
      <c r="AB137" s="104"/>
      <c r="AC137" s="104"/>
      <c r="AD137" s="104"/>
      <c r="AE137" s="104"/>
      <c r="AF137" s="104"/>
    </row>
    <row r="138" spans="1:32">
      <c r="A138" s="104"/>
      <c r="B138" s="104"/>
      <c r="C138" s="104"/>
      <c r="D138" s="104"/>
      <c r="E138" s="104"/>
      <c r="F138" s="104"/>
      <c r="G138" s="104"/>
      <c r="H138" s="104"/>
      <c r="I138" s="104"/>
      <c r="J138" s="104"/>
      <c r="K138" s="104"/>
      <c r="L138" s="104"/>
      <c r="M138" s="104"/>
      <c r="N138" s="104"/>
      <c r="O138" s="104"/>
      <c r="P138" s="104"/>
      <c r="Q138" s="104"/>
      <c r="R138" s="104"/>
      <c r="S138" s="104"/>
      <c r="T138" s="104"/>
      <c r="U138" s="104"/>
      <c r="V138" s="104"/>
      <c r="W138" s="104"/>
      <c r="X138" s="104"/>
      <c r="Y138" s="104"/>
      <c r="Z138" s="104"/>
      <c r="AA138" s="104"/>
      <c r="AB138" s="104"/>
      <c r="AC138" s="104"/>
      <c r="AD138" s="104"/>
      <c r="AE138" s="104"/>
      <c r="AF138" s="104"/>
    </row>
    <row r="139" spans="1:32">
      <c r="A139" s="104"/>
      <c r="B139" s="104"/>
      <c r="C139" s="104"/>
      <c r="D139" s="104"/>
      <c r="E139" s="104"/>
      <c r="F139" s="104"/>
      <c r="G139" s="104"/>
      <c r="H139" s="104"/>
      <c r="I139" s="104"/>
      <c r="J139" s="104"/>
      <c r="K139" s="104"/>
      <c r="L139" s="104"/>
      <c r="M139" s="104"/>
      <c r="N139" s="104"/>
      <c r="O139" s="104"/>
      <c r="P139" s="104"/>
      <c r="Q139" s="104"/>
      <c r="R139" s="104"/>
      <c r="S139" s="104"/>
      <c r="T139" s="104"/>
      <c r="U139" s="104"/>
      <c r="V139" s="104"/>
      <c r="W139" s="104"/>
      <c r="X139" s="104"/>
      <c r="Y139" s="104"/>
      <c r="Z139" s="104"/>
      <c r="AA139" s="104"/>
      <c r="AB139" s="104"/>
      <c r="AC139" s="104"/>
      <c r="AD139" s="104"/>
      <c r="AE139" s="104"/>
      <c r="AF139" s="104"/>
    </row>
    <row r="140" spans="1:32">
      <c r="A140" s="104"/>
      <c r="B140" s="104"/>
      <c r="C140" s="104"/>
      <c r="D140" s="104"/>
      <c r="E140" s="104"/>
      <c r="F140" s="104"/>
      <c r="G140" s="104"/>
      <c r="H140" s="104"/>
      <c r="I140" s="104"/>
      <c r="J140" s="104"/>
      <c r="K140" s="104"/>
      <c r="L140" s="104"/>
      <c r="M140" s="104"/>
      <c r="N140" s="104"/>
      <c r="O140" s="104"/>
      <c r="P140" s="104"/>
      <c r="Q140" s="104"/>
      <c r="R140" s="104"/>
      <c r="S140" s="104"/>
      <c r="T140" s="104"/>
      <c r="U140" s="104"/>
      <c r="V140" s="104"/>
      <c r="W140" s="104"/>
      <c r="X140" s="104"/>
      <c r="Y140" s="104"/>
      <c r="Z140" s="104"/>
      <c r="AA140" s="104"/>
      <c r="AB140" s="104"/>
      <c r="AC140" s="104"/>
      <c r="AD140" s="104"/>
      <c r="AE140" s="104"/>
      <c r="AF140" s="104"/>
    </row>
    <row r="141" spans="1:32" customFormat="1">
      <c r="A141" s="104"/>
      <c r="B141" s="104"/>
      <c r="C141" s="104"/>
      <c r="D141" s="104"/>
      <c r="E141" s="104"/>
      <c r="F141" s="104"/>
      <c r="G141" s="104"/>
      <c r="H141" s="104"/>
      <c r="I141" s="104"/>
      <c r="J141" s="104"/>
      <c r="K141" s="104"/>
      <c r="L141" s="104"/>
      <c r="M141" s="104"/>
      <c r="N141" s="104"/>
      <c r="O141" s="104"/>
      <c r="P141" s="104"/>
      <c r="Q141" s="104"/>
      <c r="R141" s="104"/>
      <c r="S141" s="104"/>
      <c r="T141" s="104"/>
      <c r="U141" s="104"/>
      <c r="V141" s="104"/>
      <c r="W141" s="104"/>
      <c r="X141" s="104"/>
      <c r="Y141" s="104"/>
      <c r="Z141" s="104"/>
      <c r="AA141" s="104"/>
      <c r="AB141" s="104"/>
      <c r="AC141" s="104"/>
      <c r="AD141" s="104"/>
      <c r="AE141" s="104"/>
      <c r="AF141" s="104"/>
    </row>
    <row r="142" spans="1:32" customFormat="1">
      <c r="A142" s="104"/>
      <c r="B142" s="104"/>
      <c r="C142" s="104"/>
      <c r="D142" s="104"/>
      <c r="E142" s="104"/>
      <c r="F142" s="104"/>
      <c r="G142" s="104"/>
      <c r="H142" s="104"/>
      <c r="I142" s="104"/>
      <c r="J142" s="104"/>
      <c r="K142" s="104"/>
      <c r="L142" s="104"/>
      <c r="M142" s="104"/>
      <c r="N142" s="104"/>
      <c r="O142" s="104"/>
      <c r="P142" s="104"/>
      <c r="Q142" s="104"/>
      <c r="R142" s="104"/>
      <c r="S142" s="104"/>
      <c r="T142" s="104"/>
      <c r="U142" s="104"/>
      <c r="V142" s="104"/>
      <c r="W142" s="104"/>
      <c r="X142" s="104"/>
      <c r="Y142" s="104"/>
      <c r="Z142" s="104"/>
      <c r="AA142" s="104"/>
      <c r="AB142" s="104"/>
      <c r="AC142" s="104"/>
      <c r="AD142" s="104"/>
      <c r="AE142" s="104"/>
      <c r="AF142" s="104"/>
    </row>
    <row r="143" spans="1:32" s="19" customFormat="1">
      <c r="A143" s="104"/>
      <c r="B143" s="104"/>
      <c r="C143" s="104"/>
      <c r="D143" s="104"/>
      <c r="E143" s="104"/>
      <c r="F143" s="104"/>
      <c r="G143" s="104"/>
      <c r="H143" s="104"/>
      <c r="I143" s="104"/>
      <c r="J143" s="104"/>
      <c r="K143" s="104"/>
      <c r="L143" s="104"/>
      <c r="M143" s="104"/>
      <c r="N143" s="104"/>
      <c r="O143" s="104"/>
      <c r="P143" s="104"/>
      <c r="Q143" s="104"/>
      <c r="R143" s="104"/>
      <c r="S143" s="104"/>
      <c r="T143" s="104"/>
      <c r="U143" s="104"/>
      <c r="V143" s="104"/>
      <c r="W143" s="104"/>
      <c r="X143" s="104"/>
      <c r="Y143" s="104"/>
      <c r="Z143" s="104"/>
      <c r="AA143" s="104"/>
      <c r="AB143" s="104"/>
      <c r="AC143" s="104"/>
      <c r="AD143" s="104"/>
      <c r="AE143" s="104"/>
      <c r="AF143" s="104"/>
    </row>
    <row r="144" spans="1:32" customFormat="1">
      <c r="A144" s="104"/>
      <c r="B144" s="104"/>
      <c r="C144" s="104"/>
      <c r="D144" s="104"/>
      <c r="E144" s="104"/>
      <c r="F144" s="104"/>
      <c r="G144" s="104"/>
      <c r="H144" s="104"/>
      <c r="I144" s="104"/>
      <c r="J144" s="104"/>
      <c r="K144" s="104"/>
      <c r="L144" s="104"/>
      <c r="M144" s="104"/>
      <c r="N144" s="104"/>
      <c r="O144" s="104"/>
      <c r="P144" s="104"/>
      <c r="Q144" s="104"/>
      <c r="R144" s="104"/>
      <c r="S144" s="104"/>
      <c r="T144" s="104"/>
      <c r="U144" s="104"/>
      <c r="V144" s="104"/>
      <c r="W144" s="104"/>
      <c r="X144" s="104"/>
      <c r="Y144" s="104"/>
      <c r="Z144" s="104"/>
      <c r="AA144" s="104"/>
      <c r="AB144" s="104"/>
      <c r="AC144" s="104"/>
      <c r="AD144" s="104"/>
      <c r="AE144" s="104"/>
      <c r="AF144" s="104"/>
    </row>
    <row r="145" spans="1:32" customFormat="1">
      <c r="A145" s="104"/>
      <c r="B145" s="104"/>
      <c r="C145" s="104"/>
      <c r="D145" s="104"/>
      <c r="E145" s="104"/>
      <c r="F145" s="104"/>
      <c r="G145" s="104"/>
      <c r="H145" s="104"/>
      <c r="I145" s="104"/>
      <c r="J145" s="104"/>
      <c r="K145" s="104"/>
      <c r="L145" s="104"/>
      <c r="M145" s="104"/>
      <c r="N145" s="104"/>
      <c r="O145" s="104"/>
      <c r="P145" s="104"/>
      <c r="Q145" s="104"/>
      <c r="R145" s="104"/>
      <c r="S145" s="104"/>
      <c r="T145" s="104"/>
      <c r="U145" s="104"/>
      <c r="V145" s="104"/>
      <c r="W145" s="104"/>
      <c r="X145" s="104"/>
      <c r="Y145" s="104"/>
      <c r="Z145" s="104"/>
      <c r="AA145" s="104"/>
      <c r="AB145" s="104"/>
      <c r="AC145" s="104"/>
      <c r="AD145" s="104"/>
      <c r="AE145" s="104"/>
      <c r="AF145" s="104"/>
    </row>
    <row r="146" spans="1:32" customFormat="1">
      <c r="A146" s="104"/>
      <c r="B146" s="104"/>
      <c r="C146" s="104"/>
      <c r="D146" s="104"/>
      <c r="E146" s="104"/>
      <c r="F146" s="104"/>
      <c r="G146" s="104"/>
      <c r="H146" s="104"/>
      <c r="I146" s="104"/>
      <c r="J146" s="104"/>
      <c r="K146" s="104"/>
      <c r="L146" s="104"/>
      <c r="M146" s="104"/>
      <c r="N146" s="104"/>
      <c r="O146" s="104"/>
      <c r="P146" s="104"/>
      <c r="Q146" s="104"/>
      <c r="R146" s="104"/>
      <c r="S146" s="104"/>
      <c r="T146" s="104"/>
      <c r="U146" s="104"/>
      <c r="V146" s="104"/>
      <c r="W146" s="104"/>
      <c r="X146" s="104"/>
      <c r="Y146" s="104"/>
      <c r="Z146" s="104"/>
      <c r="AA146" s="104"/>
      <c r="AB146" s="104"/>
      <c r="AC146" s="104"/>
      <c r="AD146" s="104"/>
      <c r="AE146" s="104"/>
      <c r="AF146" s="104"/>
    </row>
    <row r="147" spans="1:32" customFormat="1">
      <c r="A147" s="104"/>
      <c r="B147" s="104"/>
      <c r="C147" s="104"/>
      <c r="D147" s="104"/>
      <c r="E147" s="104"/>
      <c r="F147" s="104"/>
      <c r="G147" s="104"/>
      <c r="H147" s="104"/>
      <c r="I147" s="104"/>
      <c r="J147" s="104"/>
      <c r="K147" s="104"/>
      <c r="L147" s="104"/>
      <c r="M147" s="104"/>
      <c r="N147" s="104"/>
      <c r="O147" s="104"/>
      <c r="P147" s="104"/>
      <c r="Q147" s="104"/>
      <c r="R147" s="104"/>
      <c r="S147" s="104"/>
      <c r="T147" s="104"/>
      <c r="U147" s="104"/>
      <c r="V147" s="104"/>
      <c r="W147" s="104"/>
      <c r="X147" s="104"/>
      <c r="Y147" s="104"/>
      <c r="Z147" s="104"/>
      <c r="AA147" s="104"/>
      <c r="AB147" s="104"/>
      <c r="AC147" s="104"/>
      <c r="AD147" s="104"/>
      <c r="AE147" s="104"/>
      <c r="AF147" s="104"/>
    </row>
    <row r="148" spans="1:32" customFormat="1">
      <c r="A148" s="104"/>
      <c r="B148" s="104"/>
      <c r="C148" s="104"/>
      <c r="D148" s="104"/>
      <c r="E148" s="104"/>
      <c r="F148" s="104"/>
      <c r="G148" s="104"/>
      <c r="H148" s="104"/>
      <c r="I148" s="104"/>
      <c r="J148" s="104"/>
      <c r="K148" s="104"/>
      <c r="L148" s="104"/>
      <c r="M148" s="104"/>
      <c r="N148" s="104"/>
      <c r="O148" s="104"/>
      <c r="P148" s="104"/>
      <c r="Q148" s="104"/>
      <c r="R148" s="104"/>
      <c r="S148" s="104"/>
      <c r="T148" s="104"/>
      <c r="U148" s="104"/>
      <c r="V148" s="104"/>
      <c r="W148" s="104"/>
      <c r="X148" s="104"/>
      <c r="Y148" s="104"/>
      <c r="Z148" s="104"/>
      <c r="AA148" s="104"/>
      <c r="AB148" s="104"/>
      <c r="AC148" s="104"/>
      <c r="AD148" s="104"/>
      <c r="AE148" s="104"/>
      <c r="AF148" s="104"/>
    </row>
    <row r="149" spans="1:32" customFormat="1">
      <c r="A149" s="104"/>
      <c r="B149" s="104"/>
      <c r="C149" s="104"/>
      <c r="D149" s="104"/>
      <c r="E149" s="104"/>
      <c r="F149" s="104"/>
      <c r="G149" s="104"/>
      <c r="H149" s="104"/>
      <c r="I149" s="104"/>
      <c r="J149" s="104"/>
      <c r="K149" s="104"/>
      <c r="L149" s="104"/>
      <c r="M149" s="104"/>
      <c r="N149" s="104"/>
      <c r="O149" s="104"/>
      <c r="P149" s="104"/>
      <c r="Q149" s="104"/>
      <c r="R149" s="104"/>
      <c r="S149" s="104"/>
      <c r="T149" s="104"/>
      <c r="U149" s="104"/>
      <c r="V149" s="104"/>
      <c r="W149" s="104"/>
      <c r="X149" s="104"/>
      <c r="Y149" s="104"/>
      <c r="Z149" s="104"/>
      <c r="AA149" s="104"/>
    </row>
    <row r="150" spans="1:32">
      <c r="A150" s="104"/>
      <c r="B150" s="104"/>
      <c r="C150" s="104"/>
      <c r="D150" s="104"/>
      <c r="E150" s="104"/>
      <c r="F150" s="104"/>
      <c r="G150" s="104"/>
      <c r="H150" s="104"/>
      <c r="I150" s="104"/>
      <c r="J150" s="104"/>
      <c r="K150" s="104"/>
      <c r="L150" s="104"/>
      <c r="M150" s="104"/>
      <c r="N150" s="104"/>
      <c r="O150" s="104"/>
      <c r="P150" s="104"/>
      <c r="Q150" s="104"/>
      <c r="R150" s="104"/>
      <c r="S150" s="104"/>
      <c r="T150" s="104"/>
      <c r="U150" s="104"/>
      <c r="V150" s="104"/>
      <c r="W150" s="104"/>
      <c r="X150" s="104"/>
      <c r="Y150" s="104"/>
      <c r="Z150" s="104"/>
      <c r="AA150" s="104"/>
    </row>
    <row r="151" spans="1:32">
      <c r="A151" s="104"/>
      <c r="B151" s="104"/>
      <c r="C151" s="104"/>
      <c r="D151" s="104"/>
      <c r="E151" s="104"/>
      <c r="F151" s="104"/>
      <c r="G151" s="104"/>
      <c r="H151" s="104"/>
      <c r="I151" s="104"/>
      <c r="J151" s="104"/>
      <c r="K151" s="104"/>
      <c r="L151" s="104"/>
      <c r="M151" s="104"/>
      <c r="N151" s="104"/>
      <c r="O151" s="104"/>
      <c r="P151" s="104"/>
      <c r="Q151" s="104"/>
      <c r="R151" s="104"/>
      <c r="S151" s="104"/>
      <c r="T151" s="104"/>
      <c r="U151" s="104"/>
      <c r="V151" s="104"/>
      <c r="W151" s="104"/>
      <c r="X151" s="104"/>
      <c r="Y151" s="104"/>
      <c r="Z151" s="104"/>
      <c r="AA151" s="104"/>
    </row>
    <row r="152" spans="1:32">
      <c r="A152" s="104"/>
      <c r="B152" s="104"/>
      <c r="C152" s="104"/>
      <c r="D152" s="104"/>
      <c r="E152" s="104"/>
      <c r="F152" s="104"/>
      <c r="G152" s="104"/>
      <c r="H152" s="104"/>
      <c r="I152" s="104"/>
      <c r="J152" s="104"/>
      <c r="K152" s="104"/>
      <c r="L152" s="104"/>
      <c r="M152" s="104"/>
      <c r="N152" s="104"/>
      <c r="O152" s="104"/>
      <c r="P152" s="104"/>
      <c r="Q152" s="104"/>
      <c r="R152" s="104"/>
      <c r="S152" s="104"/>
      <c r="T152" s="104"/>
      <c r="U152" s="104"/>
      <c r="V152" s="104"/>
      <c r="W152" s="104"/>
      <c r="X152" s="104"/>
      <c r="Y152" s="104"/>
      <c r="Z152" s="104"/>
      <c r="AA152" s="104"/>
    </row>
    <row r="153" spans="1:32">
      <c r="A153" s="104"/>
      <c r="B153" s="104"/>
      <c r="C153" s="104"/>
      <c r="D153" s="104"/>
      <c r="E153" s="104"/>
      <c r="F153" s="104"/>
      <c r="G153" s="104"/>
      <c r="H153" s="104"/>
      <c r="I153" s="104"/>
      <c r="J153" s="104"/>
      <c r="K153" s="104"/>
      <c r="L153" s="104"/>
      <c r="M153" s="104"/>
      <c r="N153" s="104"/>
      <c r="O153" s="104"/>
      <c r="P153" s="104"/>
      <c r="Q153" s="104"/>
      <c r="R153" s="104"/>
      <c r="S153" s="104"/>
      <c r="T153" s="104"/>
      <c r="U153" s="104"/>
      <c r="V153" s="104"/>
      <c r="W153" s="104"/>
      <c r="X153" s="104"/>
      <c r="Y153" s="104"/>
      <c r="Z153" s="104"/>
      <c r="AA153" s="104"/>
    </row>
    <row r="154" spans="1:32">
      <c r="A154" s="104"/>
      <c r="B154" s="104"/>
      <c r="C154" s="104"/>
      <c r="D154" s="104"/>
      <c r="E154" s="104"/>
      <c r="F154" s="104"/>
      <c r="G154" s="104"/>
      <c r="H154" s="104"/>
      <c r="I154" s="104"/>
      <c r="J154" s="104"/>
      <c r="K154" s="104"/>
      <c r="L154" s="104"/>
      <c r="M154" s="104"/>
      <c r="N154" s="104"/>
      <c r="O154" s="104"/>
      <c r="P154" s="104"/>
      <c r="Q154" s="104"/>
      <c r="R154" s="104"/>
      <c r="S154" s="104"/>
      <c r="T154" s="104"/>
      <c r="U154" s="104"/>
      <c r="V154" s="104"/>
      <c r="W154" s="104"/>
      <c r="X154" s="104"/>
      <c r="Y154" s="104"/>
      <c r="Z154" s="104"/>
      <c r="AA154" s="104"/>
    </row>
    <row r="155" spans="1:32">
      <c r="A155" s="104"/>
      <c r="B155" s="104"/>
      <c r="C155" s="104"/>
      <c r="D155" s="104"/>
      <c r="E155" s="104"/>
      <c r="F155" s="104"/>
      <c r="G155" s="104"/>
      <c r="H155" s="104"/>
      <c r="I155" s="104"/>
      <c r="J155" s="104"/>
      <c r="K155" s="104"/>
      <c r="L155" s="104"/>
      <c r="M155" s="104"/>
      <c r="N155" s="104"/>
      <c r="O155" s="104"/>
      <c r="P155" s="104"/>
      <c r="Q155" s="104"/>
      <c r="R155" s="104"/>
      <c r="S155" s="104"/>
      <c r="T155" s="104"/>
      <c r="U155" s="104"/>
    </row>
    <row r="156" spans="1:32">
      <c r="A156" s="104"/>
      <c r="B156" s="104"/>
      <c r="C156" s="104"/>
      <c r="D156" s="104"/>
      <c r="E156" s="104"/>
      <c r="F156" s="104"/>
      <c r="G156" s="104"/>
      <c r="H156" s="104"/>
      <c r="I156" s="104"/>
      <c r="J156" s="104"/>
      <c r="K156" s="104"/>
      <c r="L156" s="104"/>
      <c r="M156" s="104"/>
      <c r="N156" s="104"/>
      <c r="O156" s="104"/>
      <c r="P156" s="104"/>
      <c r="Q156" s="104"/>
      <c r="R156" s="104"/>
      <c r="S156" s="104"/>
      <c r="T156" s="104"/>
      <c r="U156" s="104"/>
    </row>
    <row r="157" spans="1:32">
      <c r="A157" s="104"/>
      <c r="B157" s="104"/>
      <c r="C157" s="104"/>
      <c r="D157" s="104"/>
      <c r="E157" s="104"/>
      <c r="F157" s="104"/>
      <c r="G157" s="104"/>
      <c r="H157" s="104"/>
      <c r="I157" s="104"/>
      <c r="J157" s="104"/>
      <c r="K157" s="104"/>
      <c r="L157" s="104"/>
      <c r="M157" s="104"/>
      <c r="N157" s="104"/>
      <c r="O157" s="104"/>
      <c r="P157" s="104"/>
      <c r="Q157" s="104"/>
      <c r="R157" s="104"/>
      <c r="S157" s="104"/>
      <c r="T157" s="104"/>
      <c r="U157" s="104"/>
    </row>
    <row r="158" spans="1:32">
      <c r="A158" s="104"/>
      <c r="B158" s="104"/>
      <c r="C158" s="104"/>
      <c r="D158" s="104"/>
      <c r="E158" s="104"/>
      <c r="F158" s="104"/>
      <c r="G158" s="104"/>
      <c r="H158" s="104"/>
      <c r="I158" s="104"/>
      <c r="J158" s="104"/>
      <c r="K158" s="104"/>
      <c r="L158" s="104"/>
      <c r="M158" s="104"/>
      <c r="N158" s="104"/>
      <c r="O158" s="104"/>
      <c r="P158" s="104"/>
      <c r="Q158" s="104"/>
      <c r="R158" s="104"/>
      <c r="S158" s="104"/>
      <c r="T158" s="104"/>
      <c r="U158" s="104"/>
    </row>
    <row r="159" spans="1:32">
      <c r="A159" s="104"/>
      <c r="B159" s="104"/>
      <c r="C159" s="104"/>
      <c r="D159" s="104"/>
      <c r="E159" s="104"/>
      <c r="F159" s="104"/>
      <c r="G159" s="104"/>
      <c r="H159" s="104"/>
      <c r="I159" s="104"/>
      <c r="J159" s="104"/>
      <c r="K159" s="104"/>
      <c r="L159" s="104"/>
      <c r="M159" s="104"/>
      <c r="N159" s="104"/>
      <c r="O159" s="104"/>
      <c r="P159" s="104"/>
      <c r="Q159" s="104"/>
      <c r="R159" s="104"/>
      <c r="S159" s="104"/>
      <c r="T159" s="104"/>
      <c r="U159" s="104"/>
    </row>
    <row r="160" spans="1:32">
      <c r="A160" s="104"/>
      <c r="B160" s="104"/>
      <c r="C160" s="104"/>
      <c r="D160" s="104"/>
      <c r="E160" s="104"/>
      <c r="F160" s="104"/>
      <c r="G160" s="104"/>
      <c r="H160" s="104"/>
      <c r="I160" s="104"/>
      <c r="J160" s="104"/>
      <c r="K160" s="104"/>
      <c r="L160" s="104"/>
      <c r="M160" s="104"/>
      <c r="N160" s="104"/>
      <c r="O160" s="104"/>
      <c r="P160" s="104"/>
      <c r="Q160" s="104"/>
      <c r="R160" s="104"/>
      <c r="S160" s="104"/>
      <c r="T160" s="104"/>
      <c r="U160" s="104"/>
    </row>
    <row r="161" spans="1:21">
      <c r="A161" s="104"/>
      <c r="B161" s="104"/>
      <c r="C161" s="104"/>
      <c r="D161" s="104"/>
      <c r="E161" s="104"/>
      <c r="F161" s="104"/>
      <c r="G161" s="104"/>
      <c r="H161" s="104"/>
      <c r="I161" s="104"/>
      <c r="J161" s="104"/>
      <c r="K161" s="104"/>
      <c r="L161" s="104"/>
      <c r="M161" s="104"/>
      <c r="N161" s="104"/>
      <c r="O161" s="104"/>
      <c r="P161" s="104"/>
      <c r="Q161" s="104"/>
      <c r="R161" s="104"/>
      <c r="S161" s="104"/>
      <c r="T161" s="104"/>
      <c r="U161" s="104"/>
    </row>
    <row r="162" spans="1:21">
      <c r="A162" s="104"/>
      <c r="B162" s="104"/>
      <c r="C162" s="104"/>
      <c r="D162" s="104"/>
      <c r="E162" s="104"/>
      <c r="F162" s="104"/>
      <c r="G162" s="104"/>
      <c r="H162" s="104"/>
      <c r="I162" s="104"/>
      <c r="J162" s="104"/>
      <c r="K162" s="104"/>
      <c r="L162" s="104"/>
      <c r="M162" s="104"/>
      <c r="N162" s="104"/>
      <c r="O162" s="104"/>
      <c r="P162" s="104"/>
      <c r="Q162" s="104"/>
      <c r="R162" s="104"/>
      <c r="S162" s="104"/>
      <c r="T162" s="104"/>
      <c r="U162" s="104"/>
    </row>
    <row r="163" spans="1:21">
      <c r="A163" s="104"/>
      <c r="B163" s="104"/>
      <c r="C163" s="104"/>
      <c r="D163" s="104"/>
      <c r="E163" s="104"/>
      <c r="F163" s="104"/>
      <c r="G163" s="104"/>
      <c r="H163" s="104"/>
      <c r="I163" s="104"/>
      <c r="J163" s="104"/>
      <c r="K163" s="104"/>
      <c r="L163" s="104"/>
      <c r="M163" s="104"/>
      <c r="N163" s="104"/>
      <c r="O163" s="104"/>
      <c r="P163" s="104"/>
      <c r="Q163" s="104"/>
      <c r="R163" s="104"/>
      <c r="S163" s="104"/>
      <c r="T163" s="104"/>
      <c r="U163" s="104"/>
    </row>
    <row r="164" spans="1:21">
      <c r="A164" s="104"/>
      <c r="B164" s="104"/>
      <c r="C164" s="104"/>
      <c r="D164" s="104"/>
      <c r="E164" s="104"/>
      <c r="F164" s="104"/>
      <c r="G164" s="104"/>
      <c r="H164" s="104"/>
      <c r="I164" s="104"/>
      <c r="J164" s="104"/>
      <c r="K164" s="104"/>
      <c r="L164" s="104"/>
      <c r="M164" s="104"/>
      <c r="N164" s="104"/>
      <c r="O164" s="104"/>
      <c r="P164" s="104"/>
      <c r="Q164" s="104"/>
      <c r="R164" s="104"/>
      <c r="S164" s="104"/>
      <c r="T164" s="104"/>
      <c r="U164" s="104"/>
    </row>
    <row r="165" spans="1:21">
      <c r="A165" s="104"/>
      <c r="B165" s="104"/>
      <c r="C165" s="104"/>
      <c r="D165" s="104"/>
      <c r="E165" s="104"/>
      <c r="F165" s="104"/>
      <c r="G165" s="104"/>
      <c r="H165" s="104"/>
      <c r="I165" s="104"/>
      <c r="J165" s="104"/>
      <c r="K165" s="104"/>
      <c r="L165" s="104"/>
      <c r="M165" s="104"/>
      <c r="N165" s="104"/>
      <c r="O165" s="104"/>
      <c r="P165" s="104"/>
      <c r="Q165" s="104"/>
      <c r="R165" s="104"/>
      <c r="S165" s="104"/>
      <c r="T165" s="104"/>
      <c r="U165" s="104"/>
    </row>
    <row r="166" spans="1:21">
      <c r="A166" s="104"/>
      <c r="B166" s="104"/>
      <c r="C166" s="104"/>
      <c r="D166" s="104"/>
      <c r="E166" s="104"/>
      <c r="F166" s="104"/>
      <c r="G166" s="104"/>
      <c r="H166" s="104"/>
      <c r="I166" s="104"/>
      <c r="J166" s="104"/>
      <c r="K166" s="104"/>
      <c r="L166" s="104"/>
      <c r="M166" s="104"/>
      <c r="N166" s="104"/>
      <c r="O166" s="104"/>
      <c r="P166" s="104"/>
      <c r="Q166" s="104"/>
      <c r="R166" s="104"/>
      <c r="S166" s="104"/>
      <c r="T166" s="104"/>
      <c r="U166" s="104"/>
    </row>
    <row r="167" spans="1:21">
      <c r="A167" s="104"/>
      <c r="B167" s="104"/>
      <c r="C167" s="104"/>
      <c r="D167" s="104"/>
      <c r="E167" s="104"/>
      <c r="F167" s="104"/>
      <c r="G167" s="104"/>
      <c r="H167" s="104"/>
      <c r="I167" s="104"/>
      <c r="J167" s="104"/>
      <c r="K167" s="104"/>
      <c r="L167" s="104"/>
      <c r="M167" s="104"/>
      <c r="N167" s="104"/>
      <c r="O167" s="104"/>
      <c r="P167" s="104"/>
      <c r="Q167" s="104"/>
      <c r="R167" s="104"/>
      <c r="S167" s="104"/>
      <c r="T167" s="104"/>
      <c r="U167" s="104"/>
    </row>
    <row r="168" spans="1:21">
      <c r="A168" s="104"/>
      <c r="B168" s="104"/>
      <c r="C168" s="104"/>
      <c r="D168" s="104"/>
      <c r="E168" s="104"/>
      <c r="F168" s="126"/>
      <c r="G168" s="104"/>
      <c r="H168" s="104"/>
      <c r="I168" s="104"/>
      <c r="J168" s="104"/>
      <c r="K168" s="104"/>
      <c r="L168" s="104"/>
      <c r="M168" s="104"/>
      <c r="N168" s="104"/>
      <c r="O168" s="104"/>
      <c r="P168" s="104"/>
      <c r="Q168" s="104"/>
      <c r="R168" s="104"/>
      <c r="S168" s="104"/>
      <c r="T168" s="104"/>
      <c r="U168" s="104"/>
    </row>
    <row r="169" spans="1:21">
      <c r="A169" s="104"/>
      <c r="B169" s="104"/>
      <c r="C169" s="104"/>
      <c r="D169" s="104"/>
      <c r="E169" s="104"/>
      <c r="F169" s="104"/>
      <c r="J169" s="104"/>
      <c r="K169" s="104"/>
      <c r="L169" s="104"/>
      <c r="M169" s="104"/>
      <c r="N169" s="104"/>
      <c r="O169" s="104"/>
      <c r="P169" s="104"/>
      <c r="Q169" s="104"/>
      <c r="R169" s="104"/>
      <c r="S169" s="104"/>
      <c r="T169" s="104"/>
      <c r="U169" s="104"/>
    </row>
    <row r="170" spans="1:21">
      <c r="A170" s="104"/>
      <c r="B170" s="104"/>
      <c r="C170" s="104"/>
      <c r="D170" s="104"/>
      <c r="E170" s="104"/>
      <c r="F170" s="104"/>
      <c r="J170" s="104"/>
      <c r="K170" s="104"/>
      <c r="L170" s="104"/>
      <c r="M170" s="104"/>
      <c r="N170" s="104"/>
      <c r="O170" s="104"/>
      <c r="P170" s="104"/>
      <c r="Q170" s="104"/>
      <c r="R170" s="104"/>
      <c r="S170" s="104"/>
      <c r="T170" s="104"/>
      <c r="U170" s="104"/>
    </row>
    <row r="171" spans="1:21">
      <c r="A171" s="104"/>
      <c r="B171" s="104"/>
      <c r="C171" s="104"/>
      <c r="D171" s="104"/>
      <c r="E171" s="104"/>
      <c r="F171" s="126"/>
      <c r="J171" s="104"/>
      <c r="K171" s="104"/>
      <c r="L171" s="104"/>
      <c r="M171" s="104"/>
      <c r="N171" s="104"/>
      <c r="O171" s="104"/>
      <c r="P171" s="104"/>
      <c r="Q171" s="104"/>
      <c r="R171" s="104"/>
      <c r="S171" s="104"/>
    </row>
    <row r="172" spans="1:21">
      <c r="A172" s="104"/>
      <c r="B172" s="104"/>
      <c r="C172" s="104"/>
      <c r="D172" s="104"/>
      <c r="E172" s="104"/>
      <c r="F172" s="104"/>
      <c r="L172" s="125"/>
      <c r="M172" s="124"/>
      <c r="N172" s="124"/>
      <c r="O172" s="124"/>
      <c r="P172" s="124"/>
      <c r="Q172" s="124"/>
    </row>
    <row r="173" spans="1:21">
      <c r="A173" s="104"/>
      <c r="B173" s="104"/>
      <c r="C173" s="104"/>
      <c r="D173" s="104"/>
      <c r="E173" s="104"/>
      <c r="F173" s="104"/>
      <c r="L173" s="125"/>
      <c r="M173" s="124"/>
      <c r="N173" s="124"/>
      <c r="O173" s="124"/>
      <c r="P173" s="124"/>
      <c r="Q173" s="124"/>
    </row>
    <row r="174" spans="1:21">
      <c r="A174" s="104"/>
      <c r="B174" s="104"/>
      <c r="C174" s="104"/>
      <c r="D174" s="104"/>
      <c r="E174" s="104"/>
      <c r="F174" s="104"/>
    </row>
    <row r="175" spans="1:21">
      <c r="A175" s="104"/>
      <c r="B175" s="104"/>
      <c r="C175" s="104"/>
      <c r="D175" s="104"/>
      <c r="E175" s="104"/>
      <c r="F175" s="104"/>
    </row>
    <row r="176" spans="1:21">
      <c r="A176" s="104"/>
      <c r="B176" s="104"/>
      <c r="C176" s="104"/>
      <c r="D176" s="104"/>
      <c r="E176" s="104"/>
      <c r="F176" s="104"/>
    </row>
    <row r="177" spans="1:6">
      <c r="A177" s="104"/>
      <c r="B177" s="104"/>
      <c r="C177" s="104"/>
      <c r="D177" s="104"/>
      <c r="E177" s="104"/>
      <c r="F177" s="104"/>
    </row>
    <row r="178" spans="1:6">
      <c r="A178" s="104"/>
      <c r="B178" s="104"/>
      <c r="C178" s="104"/>
      <c r="D178" s="104"/>
      <c r="E178" s="104"/>
      <c r="F178" s="104"/>
    </row>
    <row r="179" spans="1:6">
      <c r="A179" s="104"/>
      <c r="B179" s="104"/>
      <c r="C179" s="104"/>
      <c r="D179" s="104"/>
      <c r="E179" s="104"/>
      <c r="F179" s="104"/>
    </row>
    <row r="180" spans="1:6">
      <c r="A180" s="104"/>
      <c r="B180" s="104"/>
      <c r="C180" s="104"/>
      <c r="D180" s="104"/>
      <c r="E180" s="104"/>
      <c r="F180" s="104"/>
    </row>
    <row r="181" spans="1:6">
      <c r="A181" s="104"/>
      <c r="B181" s="104"/>
      <c r="C181" s="104"/>
      <c r="D181" s="104"/>
      <c r="E181" s="104"/>
      <c r="F181" s="104"/>
    </row>
    <row r="182" spans="1:6">
      <c r="A182" s="104"/>
      <c r="B182" s="104"/>
      <c r="C182" s="104"/>
      <c r="D182" s="104"/>
      <c r="E182" s="104"/>
      <c r="F182" s="104"/>
    </row>
    <row r="183" spans="1:6">
      <c r="A183" s="104"/>
      <c r="B183" s="104"/>
      <c r="C183" s="104"/>
      <c r="D183" s="104"/>
      <c r="E183" s="104"/>
      <c r="F183" s="104"/>
    </row>
    <row r="184" spans="1:6">
      <c r="B184" s="104"/>
      <c r="C184" s="104"/>
      <c r="D184" s="104"/>
      <c r="E184" s="104"/>
      <c r="F184" s="104"/>
    </row>
    <row r="185" spans="1:6">
      <c r="B185" s="104"/>
      <c r="C185" s="104"/>
      <c r="D185" s="104"/>
      <c r="E185" s="104"/>
      <c r="F185" s="104"/>
    </row>
    <row r="186" spans="1:6">
      <c r="B186" s="104"/>
      <c r="C186" s="104"/>
      <c r="D186" s="104"/>
      <c r="E186" s="104"/>
      <c r="F186" s="104"/>
    </row>
    <row r="187" spans="1:6">
      <c r="B187" s="104"/>
      <c r="C187" s="104"/>
      <c r="D187" s="104"/>
      <c r="E187" s="104"/>
      <c r="F187" s="104"/>
    </row>
    <row r="188" spans="1:6">
      <c r="B188" s="104"/>
      <c r="C188" s="104"/>
      <c r="D188" s="104"/>
      <c r="E188" s="104"/>
      <c r="F188" s="104"/>
    </row>
    <row r="189" spans="1:6">
      <c r="B189" s="104"/>
      <c r="C189" s="104"/>
      <c r="D189" s="104"/>
      <c r="E189" s="104"/>
      <c r="F189" s="104"/>
    </row>
    <row r="190" spans="1:6">
      <c r="B190" s="104"/>
      <c r="C190" s="104"/>
      <c r="D190" s="104"/>
      <c r="E190" s="104"/>
      <c r="F190" s="104"/>
    </row>
    <row r="191" spans="1:6">
      <c r="B191" s="104"/>
      <c r="C191" s="104"/>
      <c r="D191" s="104"/>
      <c r="E191" s="104"/>
      <c r="F191" s="104"/>
    </row>
    <row r="192" spans="1:6">
      <c r="B192" s="104"/>
      <c r="C192" s="104"/>
      <c r="D192" s="104"/>
      <c r="E192" s="104"/>
      <c r="F192" s="104"/>
    </row>
    <row r="193" spans="2:6">
      <c r="B193" s="104"/>
      <c r="C193" s="104"/>
      <c r="D193" s="104"/>
      <c r="E193" s="104"/>
      <c r="F193" s="104"/>
    </row>
    <row r="194" spans="2:6">
      <c r="B194" s="104"/>
      <c r="C194" s="104"/>
      <c r="D194" s="104"/>
      <c r="E194" s="104"/>
      <c r="F194" s="104"/>
    </row>
  </sheetData>
  <hyperlinks>
    <hyperlink ref="F17" r:id="rId1" location=":~:text=Best%20exchange%20rate%3A%201.1244%20USD,USD%20on%2003%20Oct%202023." xr:uid="{9945529F-DFF9-5D46-A116-C5B38A6EC5C7}"/>
  </hyperlinks>
  <pageMargins left="0.75" right="0.75" top="1" bottom="1" header="0.5" footer="0.5"/>
  <pageSetup paperSize="9" orientation="portrait" horizontalDpi="4294967292" verticalDpi="4294967292"/>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Cover sheet</vt:lpstr>
      <vt:lpstr>Dashboard</vt:lpstr>
      <vt:lpstr>Research data</vt:lpstr>
      <vt:lpstr>Sources</vt:lpstr>
      <vt:lpstr>Notes</vt:lpstr>
      <vt:lpstr>litres_per_barrel</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Kyra de Haan</cp:lastModifiedBy>
  <dcterms:created xsi:type="dcterms:W3CDTF">2011-10-26T09:05:09Z</dcterms:created>
  <dcterms:modified xsi:type="dcterms:W3CDTF">2025-08-19T14:32:27Z</dcterms:modified>
</cp:coreProperties>
</file>