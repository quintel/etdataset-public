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05"/>
  <workbookPr showInkAnnotation="0" codeName="ThisWorkbook" autoCompressPictures="0"/>
  <mc:AlternateContent xmlns:mc="http://schemas.openxmlformats.org/markup-compatibility/2006">
    <mc:Choice Requires="x15">
      <x15ac:absPath xmlns:x15ac="http://schemas.microsoft.com/office/spreadsheetml/2010/11/ac" url="/Users/kyradehaan/github/etdataset/carriers_source_analyses/"/>
    </mc:Choice>
  </mc:AlternateContent>
  <xr:revisionPtr revIDLastSave="0" documentId="13_ncr:1_{F9CE335A-47B3-E94D-8043-225B1FC571F4}" xr6:coauthVersionLast="47" xr6:coauthVersionMax="47" xr10:uidLastSave="{00000000-0000-0000-0000-000000000000}"/>
  <bookViews>
    <workbookView xWindow="10480" yWindow="28800" windowWidth="28800" windowHeight="18000" tabRatio="762" activeTab="3" xr2:uid="{00000000-000D-0000-FFFF-FFFF00000000}"/>
  </bookViews>
  <sheets>
    <sheet name="Cover sheet" sheetId="14" r:id="rId1"/>
    <sheet name="Dashboard" sheetId="12" r:id="rId2"/>
    <sheet name="Research data" sheetId="13" r:id="rId3"/>
    <sheet name="Sources" sheetId="15" r:id="rId4"/>
    <sheet name="Notes" sheetId="16" r:id="rId5"/>
  </sheets>
  <externalReferences>
    <externalReference r:id="rId6"/>
    <externalReference r:id="rId7"/>
  </externalReferences>
  <definedNames>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m2_to_km2">#REF!</definedName>
    <definedName name="STC">#REF!</definedName>
    <definedName name="STC_insolation">#REF!</definedName>
    <definedName name="W_to_MW">#REF!</definedName>
    <definedName name="Wp_to_kWp">#REF!</definedName>
    <definedName name="WP_to_MWp">#REF!</definedName>
  </definedNames>
  <calcPr calcId="191029" calcOnSave="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J9" i="13" l="1"/>
  <c r="G9" i="13" s="1"/>
  <c r="G10" i="13"/>
  <c r="J8" i="13"/>
  <c r="G8" i="13" s="1"/>
  <c r="E11" i="12" s="1"/>
  <c r="E10" i="16"/>
  <c r="D10" i="16"/>
  <c r="E10" i="12"/>
  <c r="G7" i="13"/>
</calcChain>
</file>

<file path=xl/sharedStrings.xml><?xml version="1.0" encoding="utf-8"?>
<sst xmlns="http://schemas.openxmlformats.org/spreadsheetml/2006/main" count="97" uniqueCount="78">
  <si>
    <t>Source</t>
  </si>
  <si>
    <t>-</t>
  </si>
  <si>
    <t>Value</t>
  </si>
  <si>
    <t>Definition</t>
  </si>
  <si>
    <t>Unit</t>
  </si>
  <si>
    <t>Link</t>
  </si>
  <si>
    <t>Cover Sheet</t>
  </si>
  <si>
    <t>Country</t>
  </si>
  <si>
    <t>Organization</t>
  </si>
  <si>
    <t>Quintel Intelligence</t>
  </si>
  <si>
    <t>Definition on the sources</t>
  </si>
  <si>
    <t>Date published</t>
  </si>
  <si>
    <t>Attribute</t>
  </si>
  <si>
    <t>Author</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</si>
  <si>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</si>
  <si>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</si>
  <si>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</si>
  <si>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</si>
  <si>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</si>
  <si>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</si>
  <si>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</si>
  <si>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</si>
  <si>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</si>
  <si>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</si>
  <si>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</si>
  <si>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</si>
  <si>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</si>
  <si>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</si>
  <si>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</si>
  <si>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Parameter</t>
  </si>
  <si>
    <t>Comments</t>
  </si>
  <si>
    <t>Notes</t>
  </si>
  <si>
    <t>Subject year</t>
  </si>
  <si>
    <t>ETM Library URL</t>
  </si>
  <si>
    <t>Date retrieved</t>
  </si>
  <si>
    <t>sustainable</t>
  </si>
  <si>
    <t>cost_per_mj</t>
  </si>
  <si>
    <t>co2_conversion_per_mj</t>
  </si>
  <si>
    <t>Whether or not this carrier is renewable</t>
  </si>
  <si>
    <t>Quintel definition</t>
  </si>
  <si>
    <t>kg/MJ</t>
  </si>
  <si>
    <t>EUR/MJ</t>
  </si>
  <si>
    <t>Carrier (gobal properties)</t>
  </si>
  <si>
    <t>Page</t>
  </si>
  <si>
    <t>Document</t>
  </si>
  <si>
    <t>Carrier (global properties)</t>
  </si>
  <si>
    <t>This sheet summarizes all carrier attributes formatted in the way they are used by the Energy Transition Model. This sheet contains only pure carrier values. For some countries and carriers Fuel Chain Emissions are defined (only for NL); if so these FCE are documented in a separate sheet (e.g. nl_fce). Use the Excel formulas to find the original data and sources for these numbers.</t>
  </si>
  <si>
    <t>Quintel</t>
  </si>
  <si>
    <t>by definition</t>
  </si>
  <si>
    <t>non_biogenic_waste</t>
  </si>
  <si>
    <t>NL</t>
  </si>
  <si>
    <t>TNO table:</t>
  </si>
  <si>
    <t>Overview</t>
  </si>
  <si>
    <t>Assumptions:</t>
  </si>
  <si>
    <t>Waste first value in D Other fuels is non-biogenic</t>
  </si>
  <si>
    <t>Waste second value in D Other fuels is biogenic</t>
  </si>
  <si>
    <t>non-biogenic waste</t>
  </si>
  <si>
    <t>biogenic waste</t>
  </si>
  <si>
    <t>CO2 (kg/MJ)</t>
  </si>
  <si>
    <t>Density (MJ/kg)</t>
  </si>
  <si>
    <t>Energy content and CO2 emission factor</t>
  </si>
  <si>
    <t>TNO</t>
  </si>
  <si>
    <t>Update of the Netherlands list of fuels in 2021</t>
  </si>
  <si>
    <t>https://repository.tno.nl/SingleDoc?find=UID%202f9779a2-dd73-4f7f-9494-a44ddb7550d6</t>
  </si>
  <si>
    <t>Claudia Valkenier</t>
  </si>
  <si>
    <t>mj_per_kg</t>
  </si>
  <si>
    <t>MJ/kg</t>
  </si>
  <si>
    <t>potential_co2_conversion_per_mj</t>
  </si>
  <si>
    <t>Costs</t>
  </si>
  <si>
    <t>Costs per MJ</t>
  </si>
  <si>
    <t>IEA</t>
  </si>
  <si>
    <t>2020</t>
  </si>
  <si>
    <t>Advanced Biofuels – Potential for Cost Reduction</t>
  </si>
  <si>
    <t>https://task39.ieabioenergy.com/wp-content/uploads/sites/37/2020/02/Advanced-Biofuels-Potential-for-Cost-Reduction-Final-Draft.pdf</t>
  </si>
  <si>
    <t>IEA table pg  29</t>
  </si>
  <si>
    <t>Waste costs as feedstock for methanol production are either zero or negative</t>
  </si>
  <si>
    <t>therefore, costs for waste are assumed to be zero</t>
  </si>
  <si>
    <t>costs per MJ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</si>
</sst>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413]mmm\-yy;@"/>
  </numFmts>
  <fonts count="28">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b/>
      <sz val="14"/>
      <color theme="1"/>
      <name val="Calibri"/>
      <family val="2"/>
      <scheme val="minor"/>
    </font>
    <font>
      <sz val="12"/>
      <name val="Calibri"/>
      <family val="2"/>
      <scheme val="minor"/>
    </font>
    <font>
      <b/>
      <sz val="12"/>
      <name val="Calibri"/>
      <family val="2"/>
      <scheme val="minor"/>
    </font>
    <font>
      <sz val="12"/>
      <color rgb="FF000000"/>
      <name val="Calibri"/>
      <family val="2"/>
    </font>
    <font>
      <i/>
      <sz val="12"/>
      <color theme="1"/>
      <name val="Calibri"/>
      <family val="2"/>
      <scheme val="minor"/>
    </font>
    <font>
      <sz val="9"/>
      <name val="Arial"/>
      <family val="2"/>
    </font>
    <font>
      <sz val="12"/>
      <color rgb="FF000000"/>
      <name val="Lucida Grande"/>
      <family val="2"/>
    </font>
    <font>
      <b/>
      <sz val="12"/>
      <color theme="1"/>
      <name val="Lettertype hoofdtekst"/>
    </font>
    <font>
      <sz val="12"/>
      <name val="Calibri (Body)"/>
    </font>
  </fonts>
  <fills count="13">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rgb="FFFFFFFF"/>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s>
  <borders count="30">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rgb="FF000000"/>
      </right>
      <top style="thin">
        <color auto="1"/>
      </top>
      <bottom/>
      <diagonal/>
    </border>
    <border>
      <left/>
      <right style="thin">
        <color rgb="FF000000"/>
      </right>
      <top/>
      <bottom/>
      <diagonal/>
    </border>
    <border>
      <left style="thin">
        <color auto="1"/>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medium">
        <color auto="1"/>
      </left>
      <right style="medium">
        <color auto="1"/>
      </right>
      <top style="medium">
        <color auto="1"/>
      </top>
      <bottom/>
      <diagonal/>
    </border>
    <border>
      <left/>
      <right style="medium">
        <color auto="1"/>
      </right>
      <top style="medium">
        <color auto="1"/>
      </top>
      <bottom style="thin">
        <color indexed="64"/>
      </bottom>
      <diagonal/>
    </border>
  </borders>
  <cellStyleXfs count="336">
    <xf numFmtId="0" fontId="0" fillId="0" borderId="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alignment vertical="top"/>
      <protection locked="0"/>
    </xf>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cellStyleXfs>
  <cellXfs count="152">
    <xf numFmtId="0" fontId="0" fillId="0" borderId="0" xfId="0"/>
    <xf numFmtId="0" fontId="14" fillId="2" borderId="19" xfId="0" applyFont="1" applyFill="1" applyBorder="1" applyAlignment="1">
      <alignment vertical="center"/>
    </xf>
    <xf numFmtId="0" fontId="14" fillId="2" borderId="5" xfId="0" applyFont="1" applyFill="1" applyBorder="1" applyAlignment="1">
      <alignment vertical="center"/>
    </xf>
    <xf numFmtId="0" fontId="9" fillId="0" borderId="5" xfId="0" applyFont="1" applyBorder="1"/>
    <xf numFmtId="0" fontId="5" fillId="2" borderId="6" xfId="0" applyFont="1" applyFill="1" applyBorder="1"/>
    <xf numFmtId="0" fontId="5" fillId="2" borderId="0" xfId="0" applyFont="1" applyFill="1"/>
    <xf numFmtId="0" fontId="15" fillId="3" borderId="7" xfId="0" applyFont="1" applyFill="1" applyBorder="1"/>
    <xf numFmtId="0" fontId="16" fillId="3" borderId="17" xfId="0" applyFont="1" applyFill="1" applyBorder="1"/>
    <xf numFmtId="0" fontId="15" fillId="3" borderId="13" xfId="0" applyFont="1" applyFill="1" applyBorder="1"/>
    <xf numFmtId="0" fontId="17" fillId="3" borderId="7" xfId="0" applyFont="1" applyFill="1" applyBorder="1" applyAlignment="1">
      <alignment vertical="center"/>
    </xf>
    <xf numFmtId="2" fontId="15" fillId="3" borderId="8" xfId="0" applyNumberFormat="1" applyFont="1" applyFill="1" applyBorder="1" applyAlignment="1">
      <alignment horizontal="left"/>
    </xf>
    <xf numFmtId="0" fontId="17" fillId="3" borderId="1" xfId="0" applyFont="1" applyFill="1" applyBorder="1" applyAlignment="1">
      <alignment vertical="center"/>
    </xf>
    <xf numFmtId="0" fontId="15" fillId="3" borderId="14" xfId="0" applyFont="1" applyFill="1" applyBorder="1"/>
    <xf numFmtId="0" fontId="15" fillId="3" borderId="0" xfId="0" applyFont="1" applyFill="1"/>
    <xf numFmtId="0" fontId="14" fillId="2" borderId="0" xfId="0" applyFont="1" applyFill="1"/>
    <xf numFmtId="0" fontId="14" fillId="2" borderId="9" xfId="0" applyFont="1" applyFill="1" applyBorder="1"/>
    <xf numFmtId="0" fontId="14" fillId="2" borderId="4" xfId="0" applyFont="1" applyFill="1" applyBorder="1"/>
    <xf numFmtId="0" fontId="11" fillId="2" borderId="0" xfId="0" applyFont="1" applyFill="1"/>
    <xf numFmtId="0" fontId="15" fillId="0" borderId="0" xfId="0" applyFont="1"/>
    <xf numFmtId="0" fontId="14" fillId="2" borderId="6" xfId="0" applyFont="1" applyFill="1" applyBorder="1"/>
    <xf numFmtId="0" fontId="15" fillId="3" borderId="17" xfId="0" applyFont="1" applyFill="1" applyBorder="1"/>
    <xf numFmtId="0" fontId="15" fillId="3" borderId="2" xfId="0" applyFont="1" applyFill="1" applyBorder="1"/>
    <xf numFmtId="0" fontId="11" fillId="2" borderId="2" xfId="0" applyFont="1" applyFill="1" applyBorder="1"/>
    <xf numFmtId="0" fontId="18" fillId="3" borderId="0" xfId="0" applyFont="1" applyFill="1"/>
    <xf numFmtId="0" fontId="11" fillId="2" borderId="7" xfId="0" applyFont="1" applyFill="1" applyBorder="1"/>
    <xf numFmtId="0" fontId="14" fillId="0" borderId="0" xfId="0" applyFont="1"/>
    <xf numFmtId="0" fontId="16" fillId="3" borderId="0" xfId="0" applyFont="1" applyFill="1"/>
    <xf numFmtId="0" fontId="10" fillId="2" borderId="0" xfId="0" applyFont="1" applyFill="1"/>
    <xf numFmtId="0" fontId="10" fillId="0" borderId="0" xfId="0" applyFont="1"/>
    <xf numFmtId="0" fontId="10" fillId="2" borderId="3" xfId="0" applyFont="1" applyFill="1" applyBorder="1"/>
    <xf numFmtId="0" fontId="10" fillId="2" borderId="15" xfId="0" applyFont="1" applyFill="1" applyBorder="1"/>
    <xf numFmtId="0" fontId="10" fillId="2" borderId="10" xfId="0" applyFont="1" applyFill="1" applyBorder="1"/>
    <xf numFmtId="0" fontId="10" fillId="2" borderId="11" xfId="0" applyFont="1" applyFill="1" applyBorder="1"/>
    <xf numFmtId="0" fontId="10" fillId="2" borderId="12" xfId="0" applyFont="1" applyFill="1" applyBorder="1"/>
    <xf numFmtId="0" fontId="19" fillId="2" borderId="0" xfId="0" applyFont="1" applyFill="1"/>
    <xf numFmtId="0" fontId="19" fillId="2" borderId="5" xfId="0" applyFont="1" applyFill="1" applyBorder="1"/>
    <xf numFmtId="0" fontId="20" fillId="2" borderId="0" xfId="0" applyFont="1" applyFill="1"/>
    <xf numFmtId="49" fontId="20" fillId="2" borderId="0" xfId="0" applyNumberFormat="1" applyFont="1" applyFill="1"/>
    <xf numFmtId="0" fontId="20" fillId="2" borderId="3" xfId="0" applyFont="1" applyFill="1" applyBorder="1"/>
    <xf numFmtId="0" fontId="20" fillId="2" borderId="4" xfId="0" applyFont="1" applyFill="1" applyBorder="1"/>
    <xf numFmtId="49" fontId="20" fillId="2" borderId="4" xfId="0" applyNumberFormat="1" applyFont="1" applyFill="1" applyBorder="1"/>
    <xf numFmtId="0" fontId="20" fillId="2" borderId="6" xfId="0" applyFont="1" applyFill="1" applyBorder="1"/>
    <xf numFmtId="0" fontId="21" fillId="2" borderId="0" xfId="0" applyFont="1" applyFill="1"/>
    <xf numFmtId="49" fontId="21" fillId="2" borderId="0" xfId="0" applyNumberFormat="1" applyFont="1" applyFill="1"/>
    <xf numFmtId="0" fontId="20" fillId="2" borderId="16" xfId="0" applyFont="1" applyFill="1" applyBorder="1"/>
    <xf numFmtId="0" fontId="21" fillId="2" borderId="9" xfId="0" applyFont="1" applyFill="1" applyBorder="1"/>
    <xf numFmtId="49" fontId="21" fillId="2" borderId="9" xfId="0" applyNumberFormat="1" applyFont="1" applyFill="1" applyBorder="1"/>
    <xf numFmtId="0" fontId="20" fillId="2" borderId="0" xfId="0" applyFont="1" applyFill="1" applyAlignment="1">
      <alignment horizontal="left" vertical="center" indent="2"/>
    </xf>
    <xf numFmtId="0" fontId="20" fillId="2" borderId="0" xfId="0" applyFont="1" applyFill="1" applyAlignment="1">
      <alignment vertical="top" wrapText="1"/>
    </xf>
    <xf numFmtId="49" fontId="20" fillId="2" borderId="0" xfId="0" applyNumberFormat="1" applyFont="1" applyFill="1" applyAlignment="1">
      <alignment vertical="top" wrapText="1"/>
    </xf>
    <xf numFmtId="164" fontId="20" fillId="2" borderId="0" xfId="0" applyNumberFormat="1" applyFont="1" applyFill="1" applyAlignment="1">
      <alignment horizontal="left" vertical="center" indent="2"/>
    </xf>
    <xf numFmtId="2" fontId="14" fillId="2" borderId="9" xfId="0" applyNumberFormat="1" applyFont="1" applyFill="1" applyBorder="1" applyAlignment="1">
      <alignment vertical="center"/>
    </xf>
    <xf numFmtId="0" fontId="20" fillId="4" borderId="0" xfId="0" applyFont="1" applyFill="1" applyAlignment="1">
      <alignment vertical="top"/>
    </xf>
    <xf numFmtId="0" fontId="9" fillId="2" borderId="0" xfId="0" applyFont="1" applyFill="1"/>
    <xf numFmtId="2" fontId="9" fillId="2" borderId="0" xfId="0" applyNumberFormat="1" applyFont="1" applyFill="1"/>
    <xf numFmtId="0" fontId="9" fillId="2" borderId="3" xfId="0" applyFont="1" applyFill="1" applyBorder="1"/>
    <xf numFmtId="0" fontId="9" fillId="2" borderId="4" xfId="0" applyFont="1" applyFill="1" applyBorder="1"/>
    <xf numFmtId="2" fontId="9" fillId="2" borderId="4" xfId="0" applyNumberFormat="1" applyFont="1" applyFill="1" applyBorder="1"/>
    <xf numFmtId="0" fontId="9" fillId="2" borderId="15" xfId="0" applyFont="1" applyFill="1" applyBorder="1"/>
    <xf numFmtId="0" fontId="9" fillId="2" borderId="6" xfId="0" applyFont="1" applyFill="1" applyBorder="1"/>
    <xf numFmtId="0" fontId="14" fillId="2" borderId="17" xfId="0" applyFont="1" applyFill="1" applyBorder="1"/>
    <xf numFmtId="0" fontId="8" fillId="2" borderId="2" xfId="0" applyFont="1" applyFill="1" applyBorder="1"/>
    <xf numFmtId="0" fontId="14" fillId="2" borderId="7" xfId="0" applyFont="1" applyFill="1" applyBorder="1"/>
    <xf numFmtId="0" fontId="8" fillId="2" borderId="0" xfId="0" applyFont="1" applyFill="1"/>
    <xf numFmtId="0" fontId="23" fillId="2" borderId="0" xfId="0" applyFont="1" applyFill="1"/>
    <xf numFmtId="0" fontId="8" fillId="2" borderId="18" xfId="0" applyFont="1" applyFill="1" applyBorder="1"/>
    <xf numFmtId="0" fontId="8" fillId="5" borderId="0" xfId="0" applyFont="1" applyFill="1"/>
    <xf numFmtId="0" fontId="8" fillId="6" borderId="0" xfId="0" applyFont="1" applyFill="1"/>
    <xf numFmtId="0" fontId="8" fillId="7" borderId="0" xfId="0" applyFont="1" applyFill="1"/>
    <xf numFmtId="0" fontId="8" fillId="8" borderId="0" xfId="0" applyFont="1" applyFill="1"/>
    <xf numFmtId="0" fontId="8" fillId="2" borderId="7" xfId="0" applyFont="1" applyFill="1" applyBorder="1"/>
    <xf numFmtId="0" fontId="8" fillId="9" borderId="0" xfId="0" applyFont="1" applyFill="1"/>
    <xf numFmtId="0" fontId="8" fillId="10" borderId="0" xfId="0" applyFont="1" applyFill="1"/>
    <xf numFmtId="0" fontId="8" fillId="11" borderId="0" xfId="0" applyFont="1" applyFill="1"/>
    <xf numFmtId="0" fontId="8" fillId="12" borderId="0" xfId="0" applyFont="1" applyFill="1"/>
    <xf numFmtId="0" fontId="14" fillId="2" borderId="16" xfId="0" applyFont="1" applyFill="1" applyBorder="1"/>
    <xf numFmtId="0" fontId="16" fillId="2" borderId="9" xfId="0" applyFont="1" applyFill="1" applyBorder="1"/>
    <xf numFmtId="0" fontId="19" fillId="2" borderId="19" xfId="0" applyFont="1" applyFill="1" applyBorder="1"/>
    <xf numFmtId="0" fontId="14" fillId="2" borderId="9" xfId="0" applyFont="1" applyFill="1" applyBorder="1" applyAlignment="1">
      <alignment vertical="center"/>
    </xf>
    <xf numFmtId="0" fontId="7" fillId="0" borderId="0" xfId="0" applyFont="1"/>
    <xf numFmtId="0" fontId="6" fillId="2" borderId="0" xfId="0" applyFont="1" applyFill="1"/>
    <xf numFmtId="0" fontId="6" fillId="2" borderId="6" xfId="0" applyFont="1" applyFill="1" applyBorder="1"/>
    <xf numFmtId="0" fontId="14" fillId="2" borderId="20" xfId="0" applyFont="1" applyFill="1" applyBorder="1"/>
    <xf numFmtId="0" fontId="14" fillId="2" borderId="21" xfId="0" applyFont="1" applyFill="1" applyBorder="1"/>
    <xf numFmtId="0" fontId="4" fillId="0" borderId="0" xfId="0" applyFont="1"/>
    <xf numFmtId="0" fontId="24" fillId="0" borderId="0" xfId="0" applyFont="1"/>
    <xf numFmtId="0" fontId="4" fillId="2" borderId="0" xfId="0" applyFont="1" applyFill="1" applyAlignment="1">
      <alignment horizontal="left" indent="2"/>
    </xf>
    <xf numFmtId="0" fontId="4" fillId="2" borderId="0" xfId="0" applyFont="1" applyFill="1"/>
    <xf numFmtId="0" fontId="12" fillId="0" borderId="0" xfId="183" applyAlignment="1" applyProtection="1"/>
    <xf numFmtId="164" fontId="20" fillId="2" borderId="0" xfId="0" applyNumberFormat="1" applyFont="1" applyFill="1" applyAlignment="1">
      <alignment vertical="center"/>
    </xf>
    <xf numFmtId="0" fontId="11" fillId="2" borderId="13" xfId="0" applyFont="1" applyFill="1" applyBorder="1"/>
    <xf numFmtId="0" fontId="11" fillId="2" borderId="8" xfId="0" applyFont="1" applyFill="1" applyBorder="1"/>
    <xf numFmtId="0" fontId="11" fillId="2" borderId="1" xfId="0" applyFont="1" applyFill="1" applyBorder="1"/>
    <xf numFmtId="0" fontId="11" fillId="2" borderId="9" xfId="0" applyFont="1" applyFill="1" applyBorder="1"/>
    <xf numFmtId="0" fontId="11" fillId="2" borderId="14" xfId="0" applyFont="1" applyFill="1" applyBorder="1"/>
    <xf numFmtId="0" fontId="3" fillId="0" borderId="5" xfId="0" applyFont="1" applyBorder="1"/>
    <xf numFmtId="0" fontId="2" fillId="2" borderId="0" xfId="0" applyFont="1" applyFill="1"/>
    <xf numFmtId="166" fontId="2" fillId="2" borderId="0" xfId="0" applyNumberFormat="1" applyFont="1" applyFill="1"/>
    <xf numFmtId="49" fontId="2" fillId="2" borderId="0" xfId="0" applyNumberFormat="1" applyFont="1" applyFill="1"/>
    <xf numFmtId="0" fontId="12" fillId="2" borderId="0" xfId="183" applyFill="1" applyAlignment="1" applyProtection="1"/>
    <xf numFmtId="2" fontId="14" fillId="2" borderId="9" xfId="0" applyNumberFormat="1" applyFont="1" applyFill="1" applyBorder="1" applyAlignment="1">
      <alignment horizontal="left" vertical="center"/>
    </xf>
    <xf numFmtId="0" fontId="14" fillId="2" borderId="9" xfId="0" applyFont="1" applyFill="1" applyBorder="1" applyAlignment="1">
      <alignment horizontal="left"/>
    </xf>
    <xf numFmtId="165" fontId="10" fillId="2" borderId="18" xfId="0" applyNumberFormat="1" applyFont="1" applyFill="1" applyBorder="1"/>
    <xf numFmtId="0" fontId="5" fillId="2" borderId="27" xfId="0" applyFont="1" applyFill="1" applyBorder="1"/>
    <xf numFmtId="2" fontId="5" fillId="2" borderId="27" xfId="0" applyNumberFormat="1" applyFont="1" applyFill="1" applyBorder="1"/>
    <xf numFmtId="165" fontId="9" fillId="2" borderId="18" xfId="0" applyNumberFormat="1" applyFont="1" applyFill="1" applyBorder="1"/>
    <xf numFmtId="0" fontId="14" fillId="2" borderId="0" xfId="0" applyFont="1" applyFill="1" applyAlignment="1">
      <alignment vertical="center"/>
    </xf>
    <xf numFmtId="0" fontId="9" fillId="2" borderId="0" xfId="0" applyFont="1" applyFill="1" applyAlignment="1">
      <alignment horizontal="left" vertical="center"/>
    </xf>
    <xf numFmtId="1" fontId="9" fillId="2" borderId="0" xfId="0" applyNumberFormat="1" applyFont="1" applyFill="1" applyAlignment="1">
      <alignment vertical="center"/>
    </xf>
    <xf numFmtId="2" fontId="14" fillId="2" borderId="0" xfId="0" applyNumberFormat="1" applyFont="1" applyFill="1" applyAlignment="1">
      <alignment horizontal="left" vertical="center"/>
    </xf>
    <xf numFmtId="2" fontId="14" fillId="2" borderId="0" xfId="0" applyNumberFormat="1" applyFont="1" applyFill="1" applyAlignment="1">
      <alignment vertical="center"/>
    </xf>
    <xf numFmtId="0" fontId="14" fillId="2" borderId="0" xfId="0" applyFont="1" applyFill="1" applyAlignment="1">
      <alignment horizontal="left" vertical="center"/>
    </xf>
    <xf numFmtId="1" fontId="14" fillId="2" borderId="0" xfId="0" applyNumberFormat="1" applyFont="1" applyFill="1" applyAlignment="1">
      <alignment vertical="center"/>
    </xf>
    <xf numFmtId="0" fontId="7" fillId="0" borderId="0" xfId="0" applyFont="1" applyAlignment="1">
      <alignment horizontal="left" indent="2"/>
    </xf>
    <xf numFmtId="165" fontId="9" fillId="2" borderId="0" xfId="0" applyNumberFormat="1" applyFont="1" applyFill="1" applyAlignment="1">
      <alignment vertical="center"/>
    </xf>
    <xf numFmtId="2" fontId="14" fillId="2" borderId="0" xfId="0" applyNumberFormat="1" applyFont="1" applyFill="1" applyAlignment="1">
      <alignment horizontal="right" vertical="center"/>
    </xf>
    <xf numFmtId="0" fontId="4" fillId="0" borderId="0" xfId="0" applyFont="1" applyAlignment="1">
      <alignment horizontal="left" indent="2"/>
    </xf>
    <xf numFmtId="165" fontId="5" fillId="2" borderId="0" xfId="0" applyNumberFormat="1" applyFont="1" applyFill="1" applyAlignment="1">
      <alignment vertical="center"/>
    </xf>
    <xf numFmtId="0" fontId="2" fillId="0" borderId="0" xfId="0" applyFont="1" applyAlignment="1">
      <alignment horizontal="left" indent="2"/>
    </xf>
    <xf numFmtId="0" fontId="10" fillId="0" borderId="0" xfId="0" applyFont="1" applyAlignment="1">
      <alignment horizontal="left" indent="2"/>
    </xf>
    <xf numFmtId="0" fontId="9" fillId="2" borderId="10" xfId="0" applyFont="1" applyFill="1" applyBorder="1"/>
    <xf numFmtId="0" fontId="9" fillId="2" borderId="11" xfId="0" applyFont="1" applyFill="1" applyBorder="1"/>
    <xf numFmtId="2" fontId="9" fillId="2" borderId="11" xfId="0" applyNumberFormat="1" applyFont="1" applyFill="1" applyBorder="1"/>
    <xf numFmtId="0" fontId="9" fillId="2" borderId="12" xfId="0" applyFont="1" applyFill="1" applyBorder="1"/>
    <xf numFmtId="0" fontId="3" fillId="2" borderId="28" xfId="0" applyFont="1" applyFill="1" applyBorder="1"/>
    <xf numFmtId="0" fontId="2" fillId="0" borderId="0" xfId="0" applyFont="1"/>
    <xf numFmtId="0" fontId="2" fillId="2" borderId="18" xfId="0" applyFont="1" applyFill="1" applyBorder="1"/>
    <xf numFmtId="165" fontId="10" fillId="2" borderId="28" xfId="0" applyNumberFormat="1" applyFont="1" applyFill="1" applyBorder="1"/>
    <xf numFmtId="0" fontId="6" fillId="2" borderId="5" xfId="0" applyFont="1" applyFill="1" applyBorder="1"/>
    <xf numFmtId="0" fontId="26" fillId="2" borderId="0" xfId="0" applyFont="1" applyFill="1"/>
    <xf numFmtId="0" fontId="0" fillId="2" borderId="0" xfId="0" applyFill="1"/>
    <xf numFmtId="0" fontId="24" fillId="2" borderId="0" xfId="0" applyFont="1" applyFill="1"/>
    <xf numFmtId="0" fontId="0" fillId="2" borderId="5" xfId="0" applyFill="1" applyBorder="1"/>
    <xf numFmtId="0" fontId="27" fillId="2" borderId="0" xfId="0" applyFont="1" applyFill="1"/>
    <xf numFmtId="0" fontId="6" fillId="2" borderId="10" xfId="0" applyFont="1" applyFill="1" applyBorder="1"/>
    <xf numFmtId="0" fontId="6" fillId="2" borderId="11" xfId="0" applyFont="1" applyFill="1" applyBorder="1"/>
    <xf numFmtId="0" fontId="6" fillId="2" borderId="12" xfId="0" applyFont="1" applyFill="1" applyBorder="1"/>
    <xf numFmtId="0" fontId="14" fillId="2" borderId="29" xfId="0" applyFont="1" applyFill="1" applyBorder="1"/>
    <xf numFmtId="0" fontId="22" fillId="4" borderId="17" xfId="0" applyFont="1" applyFill="1" applyBorder="1" applyAlignment="1">
      <alignment horizontal="left" vertical="top" wrapText="1"/>
    </xf>
    <xf numFmtId="0" fontId="22" fillId="4" borderId="2" xfId="0" applyFont="1" applyFill="1" applyBorder="1" applyAlignment="1">
      <alignment horizontal="left" vertical="top" wrapText="1"/>
    </xf>
    <xf numFmtId="0" fontId="22" fillId="4" borderId="22" xfId="0" applyFont="1" applyFill="1" applyBorder="1" applyAlignment="1">
      <alignment horizontal="left" vertical="top" wrapText="1"/>
    </xf>
    <xf numFmtId="0" fontId="22" fillId="4" borderId="7" xfId="0" applyFont="1" applyFill="1" applyBorder="1" applyAlignment="1">
      <alignment horizontal="left" vertical="top" wrapText="1"/>
    </xf>
    <xf numFmtId="0" fontId="22" fillId="4" borderId="0" xfId="0" applyFont="1" applyFill="1" applyAlignment="1">
      <alignment horizontal="left" vertical="top" wrapText="1"/>
    </xf>
    <xf numFmtId="0" fontId="22" fillId="4" borderId="23" xfId="0" applyFont="1" applyFill="1" applyBorder="1" applyAlignment="1">
      <alignment horizontal="left" vertical="top" wrapText="1"/>
    </xf>
    <xf numFmtId="0" fontId="22" fillId="4" borderId="24" xfId="0" applyFont="1" applyFill="1" applyBorder="1" applyAlignment="1">
      <alignment horizontal="left" vertical="top" wrapText="1"/>
    </xf>
    <xf numFmtId="0" fontId="22" fillId="4" borderId="25" xfId="0" applyFont="1" applyFill="1" applyBorder="1" applyAlignment="1">
      <alignment horizontal="left" vertical="top" wrapText="1"/>
    </xf>
    <xf numFmtId="0" fontId="22" fillId="4" borderId="26" xfId="0" applyFont="1" applyFill="1" applyBorder="1" applyAlignment="1">
      <alignment horizontal="left" vertical="top" wrapText="1"/>
    </xf>
    <xf numFmtId="0" fontId="1" fillId="2" borderId="0" xfId="0" applyFont="1" applyFill="1"/>
    <xf numFmtId="166" fontId="1" fillId="2" borderId="0" xfId="0" applyNumberFormat="1" applyFont="1" applyFill="1"/>
    <xf numFmtId="0" fontId="12" fillId="4" borderId="0" xfId="183" applyFill="1" applyAlignment="1" applyProtection="1">
      <alignment vertical="top"/>
    </xf>
    <xf numFmtId="2" fontId="5" fillId="2" borderId="0" xfId="0" applyNumberFormat="1" applyFont="1" applyFill="1" applyBorder="1"/>
    <xf numFmtId="0" fontId="5" fillId="2" borderId="0" xfId="0" applyFont="1" applyFill="1" applyBorder="1"/>
  </cellXfs>
  <cellStyles count="336">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180" builtinId="9" hidden="1"/>
    <cellStyle name="Followed Hyperlink" xfId="182" builtinId="9" hidden="1"/>
    <cellStyle name="Followed Hyperlink" xfId="179" builtinId="9" hidden="1"/>
    <cellStyle name="Followed Hyperlink" xfId="181" builtinId="9" hidden="1"/>
    <cellStyle name="Followed Hyperlink" xfId="178" builtinId="9" hidden="1"/>
    <cellStyle name="Followed Hyperlink" xfId="177"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4"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83"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Button" lockText="1"/>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165100</xdr:colOff>
          <xdr:row>2</xdr:row>
          <xdr:rowOff>0</xdr:rowOff>
        </xdr:from>
        <xdr:to>
          <xdr:col>6</xdr:col>
          <xdr:colOff>3949700</xdr:colOff>
          <xdr:row>3</xdr:row>
          <xdr:rowOff>12700</xdr:rowOff>
        </xdr:to>
        <xdr:sp macro="" textlink="">
          <xdr:nvSpPr>
            <xdr:cNvPr id="2049" name="export_data"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GB" sz="1200" b="0" i="0" u="none" strike="noStrike" baseline="0">
                  <a:solidFill>
                    <a:srgbClr val="000000"/>
                  </a:solidFill>
                  <a:latin typeface="Lucida Grande" pitchFamily="2" charset="0"/>
                  <a:cs typeface="Lucida Grande" pitchFamily="2" charset="0"/>
                </a:rPr>
                <a:t>Update carrier attributes on ETSource</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0</xdr:colOff>
      <xdr:row>4</xdr:row>
      <xdr:rowOff>0</xdr:rowOff>
    </xdr:from>
    <xdr:to>
      <xdr:col>26</xdr:col>
      <xdr:colOff>338436</xdr:colOff>
      <xdr:row>38</xdr:row>
      <xdr:rowOff>144509</xdr:rowOff>
    </xdr:to>
    <xdr:pic>
      <xdr:nvPicPr>
        <xdr:cNvPr id="3" name="Picture 2">
          <a:extLst>
            <a:ext uri="{FF2B5EF4-FFF2-40B4-BE49-F238E27FC236}">
              <a16:creationId xmlns:a16="http://schemas.microsoft.com/office/drawing/2014/main" id="{8F1139C7-2359-794A-8506-C1E5E33E078C}"/>
            </a:ext>
          </a:extLst>
        </xdr:cNvPr>
        <xdr:cNvPicPr>
          <a:picLocks noChangeAspect="1"/>
        </xdr:cNvPicPr>
      </xdr:nvPicPr>
      <xdr:blipFill>
        <a:blip xmlns:r="http://schemas.openxmlformats.org/officeDocument/2006/relationships" r:embed="rId1"/>
        <a:stretch>
          <a:fillRect/>
        </a:stretch>
      </xdr:blipFill>
      <xdr:spPr>
        <a:xfrm>
          <a:off x="10634505" y="837363"/>
          <a:ext cx="6702393" cy="7262091"/>
        </a:xfrm>
        <a:prstGeom prst="rect">
          <a:avLst/>
        </a:prstGeom>
      </xdr:spPr>
    </xdr:pic>
    <xdr:clientData/>
  </xdr:twoCellAnchor>
  <xdr:twoCellAnchor editAs="oneCell">
    <xdr:from>
      <xdr:col>14</xdr:col>
      <xdr:colOff>38100</xdr:colOff>
      <xdr:row>70</xdr:row>
      <xdr:rowOff>127000</xdr:rowOff>
    </xdr:from>
    <xdr:to>
      <xdr:col>26</xdr:col>
      <xdr:colOff>342900</xdr:colOff>
      <xdr:row>79</xdr:row>
      <xdr:rowOff>156182</xdr:rowOff>
    </xdr:to>
    <xdr:pic>
      <xdr:nvPicPr>
        <xdr:cNvPr id="2" name="Picture 1">
          <a:extLst>
            <a:ext uri="{FF2B5EF4-FFF2-40B4-BE49-F238E27FC236}">
              <a16:creationId xmlns:a16="http://schemas.microsoft.com/office/drawing/2014/main" id="{1BD63587-182D-D06F-A664-A474B694FB21}"/>
            </a:ext>
          </a:extLst>
        </xdr:cNvPr>
        <xdr:cNvPicPr>
          <a:picLocks noChangeAspect="1"/>
        </xdr:cNvPicPr>
      </xdr:nvPicPr>
      <xdr:blipFill>
        <a:blip xmlns:r="http://schemas.openxmlformats.org/officeDocument/2006/relationships" r:embed="rId2"/>
        <a:stretch>
          <a:fillRect/>
        </a:stretch>
      </xdr:blipFill>
      <xdr:spPr>
        <a:xfrm>
          <a:off x="11252200" y="14376400"/>
          <a:ext cx="7772400" cy="1857982"/>
        </a:xfrm>
        <a:prstGeom prst="rect">
          <a:avLst/>
        </a:prstGeom>
      </xdr:spPr>
    </xdr:pic>
    <xdr:clientData/>
  </xdr:twoCellAnchor>
  <xdr:twoCellAnchor editAs="oneCell">
    <xdr:from>
      <xdr:col>13</xdr:col>
      <xdr:colOff>584200</xdr:colOff>
      <xdr:row>40</xdr:row>
      <xdr:rowOff>127000</xdr:rowOff>
    </xdr:from>
    <xdr:to>
      <xdr:col>28</xdr:col>
      <xdr:colOff>355404</xdr:colOff>
      <xdr:row>70</xdr:row>
      <xdr:rowOff>153168</xdr:rowOff>
    </xdr:to>
    <xdr:pic>
      <xdr:nvPicPr>
        <xdr:cNvPr id="4" name="Picture 3">
          <a:extLst>
            <a:ext uri="{FF2B5EF4-FFF2-40B4-BE49-F238E27FC236}">
              <a16:creationId xmlns:a16="http://schemas.microsoft.com/office/drawing/2014/main" id="{C3F6CA7B-2F86-AD48-A7D2-89811258BC83}"/>
            </a:ext>
          </a:extLst>
        </xdr:cNvPr>
        <xdr:cNvPicPr>
          <a:picLocks noChangeAspect="1"/>
        </xdr:cNvPicPr>
      </xdr:nvPicPr>
      <xdr:blipFill>
        <a:blip xmlns:r="http://schemas.openxmlformats.org/officeDocument/2006/relationships" r:embed="rId3"/>
        <a:stretch>
          <a:fillRect/>
        </a:stretch>
      </xdr:blipFill>
      <xdr:spPr>
        <a:xfrm>
          <a:off x="11176000" y="8267700"/>
          <a:ext cx="9105704" cy="613486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lexander/Git/etdataset/nodes_source_analyses/agriculture/6_residences_analysi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lexander/Git/etdataset/carrier_manage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ashboard"/>
      <sheetName val="carrier_manager.xlsm"/>
      <sheetName val="carrier_manager"/>
    </sheetNames>
    <definedNames>
      <definedName name="update_attributes"/>
    </definedNames>
    <sheetDataSet>
      <sheetData sheetId="0"/>
      <sheetData sheetId="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hyperlink" Target="https://task39.ieabioenergy.com/wp-content/uploads/sites/37/2020/02/Advanced-Biofuels-Potential-for-Cost-Reduction-Final-Draft.pdf" TargetMode="External"/><Relationship Id="rId1" Type="http://schemas.openxmlformats.org/officeDocument/2006/relationships/hyperlink" Target="https://repository.tno.nl/SingleDoc?find=UID%202f9779a2-dd73-4f7f-9494-a44ddb7550d6"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24"/>
  <sheetViews>
    <sheetView workbookViewId="0">
      <selection activeCell="C27" sqref="C27"/>
    </sheetView>
  </sheetViews>
  <sheetFormatPr baseColWidth="10" defaultColWidth="10.85546875" defaultRowHeight="16"/>
  <cols>
    <col min="1" max="1" width="3.28515625" style="24" customWidth="1"/>
    <col min="2" max="2" width="9.140625" style="17" customWidth="1"/>
    <col min="3" max="3" width="44.140625" style="17" customWidth="1"/>
    <col min="4" max="4" width="2.140625" style="17" customWidth="1"/>
    <col min="5" max="16384" width="10.85546875" style="17"/>
  </cols>
  <sheetData>
    <row r="1" spans="1:4" s="22" customFormat="1">
      <c r="A1" s="20"/>
      <c r="B1" s="21"/>
      <c r="C1" s="21"/>
    </row>
    <row r="2" spans="1:4" ht="21">
      <c r="A2" s="6"/>
      <c r="B2" s="23" t="s">
        <v>6</v>
      </c>
      <c r="C2" s="23"/>
    </row>
    <row r="3" spans="1:4">
      <c r="A3" s="6"/>
      <c r="B3" s="13"/>
      <c r="C3" s="13"/>
    </row>
    <row r="4" spans="1:4">
      <c r="A4" s="6"/>
      <c r="B4" s="7" t="s">
        <v>44</v>
      </c>
      <c r="C4" s="8" t="s">
        <v>49</v>
      </c>
    </row>
    <row r="5" spans="1:4">
      <c r="A5" s="6"/>
      <c r="B5" s="9" t="s">
        <v>13</v>
      </c>
      <c r="C5" s="10" t="s">
        <v>64</v>
      </c>
    </row>
    <row r="6" spans="1:4">
      <c r="A6" s="6"/>
      <c r="B6" s="11" t="s">
        <v>8</v>
      </c>
      <c r="C6" s="12" t="s">
        <v>9</v>
      </c>
    </row>
    <row r="7" spans="1:4">
      <c r="A7" s="6"/>
      <c r="B7" s="13"/>
      <c r="C7" s="13"/>
    </row>
    <row r="8" spans="1:4">
      <c r="A8" s="6"/>
      <c r="B8" s="13"/>
      <c r="C8" s="13"/>
    </row>
    <row r="9" spans="1:4">
      <c r="A9" s="6"/>
      <c r="B9" s="60" t="s">
        <v>14</v>
      </c>
      <c r="C9" s="61"/>
      <c r="D9" s="90"/>
    </row>
    <row r="10" spans="1:4">
      <c r="A10" s="6"/>
      <c r="B10" s="62"/>
      <c r="C10" s="63"/>
      <c r="D10" s="91"/>
    </row>
    <row r="11" spans="1:4">
      <c r="A11" s="6"/>
      <c r="B11" s="62" t="s">
        <v>15</v>
      </c>
      <c r="C11" s="64" t="s">
        <v>16</v>
      </c>
      <c r="D11" s="91"/>
    </row>
    <row r="12" spans="1:4" ht="17" thickBot="1">
      <c r="A12" s="6"/>
      <c r="B12" s="62"/>
      <c r="C12" s="14" t="s">
        <v>17</v>
      </c>
      <c r="D12" s="91"/>
    </row>
    <row r="13" spans="1:4" ht="17" thickBot="1">
      <c r="A13" s="6"/>
      <c r="B13" s="62"/>
      <c r="C13" s="65" t="s">
        <v>18</v>
      </c>
      <c r="D13" s="91"/>
    </row>
    <row r="14" spans="1:4">
      <c r="A14" s="6"/>
      <c r="B14" s="62"/>
      <c r="C14" s="63" t="s">
        <v>19</v>
      </c>
      <c r="D14" s="91"/>
    </row>
    <row r="15" spans="1:4">
      <c r="A15" s="6"/>
      <c r="B15" s="62"/>
      <c r="C15" s="63"/>
      <c r="D15" s="91"/>
    </row>
    <row r="16" spans="1:4">
      <c r="A16" s="6"/>
      <c r="B16" s="62" t="s">
        <v>20</v>
      </c>
      <c r="C16" s="66" t="s">
        <v>21</v>
      </c>
      <c r="D16" s="91"/>
    </row>
    <row r="17" spans="1:4">
      <c r="A17" s="6"/>
      <c r="B17" s="62"/>
      <c r="C17" s="67" t="s">
        <v>22</v>
      </c>
      <c r="D17" s="91"/>
    </row>
    <row r="18" spans="1:4">
      <c r="A18" s="6"/>
      <c r="B18" s="62"/>
      <c r="C18" s="68" t="s">
        <v>23</v>
      </c>
      <c r="D18" s="91"/>
    </row>
    <row r="19" spans="1:4">
      <c r="A19" s="6"/>
      <c r="B19" s="62"/>
      <c r="C19" s="69" t="s">
        <v>24</v>
      </c>
      <c r="D19" s="91"/>
    </row>
    <row r="20" spans="1:4">
      <c r="A20" s="6"/>
      <c r="B20" s="70"/>
      <c r="C20" s="71" t="s">
        <v>25</v>
      </c>
      <c r="D20" s="91"/>
    </row>
    <row r="21" spans="1:4">
      <c r="A21" s="6"/>
      <c r="B21" s="70"/>
      <c r="C21" s="72" t="s">
        <v>26</v>
      </c>
      <c r="D21" s="91"/>
    </row>
    <row r="22" spans="1:4">
      <c r="A22" s="6"/>
      <c r="B22" s="70"/>
      <c r="C22" s="73" t="s">
        <v>27</v>
      </c>
      <c r="D22" s="91"/>
    </row>
    <row r="23" spans="1:4">
      <c r="B23" s="70"/>
      <c r="C23" s="74" t="s">
        <v>28</v>
      </c>
      <c r="D23" s="91"/>
    </row>
    <row r="24" spans="1:4">
      <c r="B24" s="92"/>
      <c r="C24" s="93"/>
      <c r="D24" s="94"/>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B2:J12"/>
  <sheetViews>
    <sheetView workbookViewId="0">
      <selection activeCell="I18" sqref="I18"/>
    </sheetView>
  </sheetViews>
  <sheetFormatPr baseColWidth="10" defaultColWidth="10.85546875" defaultRowHeight="16"/>
  <cols>
    <col min="1" max="1" width="3.140625" style="27" customWidth="1"/>
    <col min="2" max="2" width="3.7109375" style="27" customWidth="1"/>
    <col min="3" max="3" width="46" style="27" customWidth="1"/>
    <col min="4" max="4" width="12.7109375" style="27" customWidth="1"/>
    <col min="5" max="5" width="17.28515625" style="27" customWidth="1"/>
    <col min="6" max="6" width="4.7109375" style="27" customWidth="1"/>
    <col min="7" max="7" width="45" style="27" customWidth="1"/>
    <col min="8" max="8" width="5.140625" style="27" customWidth="1"/>
    <col min="9" max="9" width="51.42578125" style="27" customWidth="1"/>
    <col min="10" max="10" width="5.28515625" style="27" customWidth="1"/>
    <col min="11" max="16384" width="10.85546875" style="27"/>
  </cols>
  <sheetData>
    <row r="2" spans="2:10" ht="15" customHeight="1">
      <c r="B2" s="138" t="s">
        <v>46</v>
      </c>
      <c r="C2" s="139"/>
      <c r="D2" s="139"/>
      <c r="E2" s="140"/>
    </row>
    <row r="3" spans="2:10">
      <c r="B3" s="141"/>
      <c r="C3" s="142"/>
      <c r="D3" s="142"/>
      <c r="E3" s="143"/>
    </row>
    <row r="4" spans="2:10">
      <c r="B4" s="144"/>
      <c r="C4" s="145"/>
      <c r="D4" s="145"/>
      <c r="E4" s="146"/>
    </row>
    <row r="5" spans="2:10" ht="17" thickBot="1"/>
    <row r="6" spans="2:10">
      <c r="B6" s="29"/>
      <c r="C6" s="16"/>
      <c r="D6" s="16"/>
      <c r="E6" s="16"/>
      <c r="F6" s="16"/>
      <c r="G6" s="16"/>
      <c r="H6" s="16"/>
      <c r="I6" s="16"/>
      <c r="J6" s="30"/>
    </row>
    <row r="7" spans="2:10" s="34" customFormat="1" ht="19">
      <c r="B7" s="75"/>
      <c r="C7" s="15" t="s">
        <v>12</v>
      </c>
      <c r="D7" s="76" t="s">
        <v>4</v>
      </c>
      <c r="E7" s="15" t="s">
        <v>2</v>
      </c>
      <c r="F7" s="15"/>
      <c r="G7" s="15" t="s">
        <v>3</v>
      </c>
      <c r="H7" s="15"/>
      <c r="I7" s="15" t="s">
        <v>0</v>
      </c>
      <c r="J7" s="77"/>
    </row>
    <row r="8" spans="2:10" s="34" customFormat="1" ht="19">
      <c r="B8" s="19"/>
      <c r="C8" s="14"/>
      <c r="D8" s="26"/>
      <c r="E8" s="14"/>
      <c r="F8" s="14"/>
      <c r="G8" s="14"/>
      <c r="H8" s="14"/>
      <c r="I8" s="14"/>
      <c r="J8" s="35"/>
    </row>
    <row r="9" spans="2:10" s="34" customFormat="1" ht="20" thickBot="1">
      <c r="B9" s="19"/>
      <c r="C9" s="14" t="s">
        <v>45</v>
      </c>
      <c r="D9" s="26"/>
      <c r="E9" s="14"/>
      <c r="F9" s="14"/>
      <c r="G9" s="14"/>
      <c r="H9" s="14"/>
      <c r="I9" s="14"/>
      <c r="J9" s="35"/>
    </row>
    <row r="10" spans="2:10" s="34" customFormat="1" ht="20" thickBot="1">
      <c r="B10" s="19"/>
      <c r="C10" s="79" t="s">
        <v>35</v>
      </c>
      <c r="D10" s="18" t="s">
        <v>1</v>
      </c>
      <c r="E10" s="127">
        <f>'Research data'!G6</f>
        <v>0</v>
      </c>
      <c r="F10" s="28"/>
      <c r="G10" s="84" t="s">
        <v>38</v>
      </c>
      <c r="H10" s="25"/>
      <c r="I10" s="124" t="s">
        <v>39</v>
      </c>
      <c r="J10" s="35"/>
    </row>
    <row r="11" spans="2:10" s="34" customFormat="1" ht="20" thickBot="1">
      <c r="B11" s="19"/>
      <c r="C11" s="125" t="s">
        <v>65</v>
      </c>
      <c r="D11" s="18" t="s">
        <v>66</v>
      </c>
      <c r="E11" s="102">
        <f>'Research data'!G8</f>
        <v>10</v>
      </c>
      <c r="F11" s="28"/>
      <c r="G11" s="84"/>
      <c r="H11" s="25"/>
      <c r="I11" s="126" t="s">
        <v>61</v>
      </c>
      <c r="J11" s="35"/>
    </row>
    <row r="12" spans="2:10" ht="20" customHeight="1" thickBot="1">
      <c r="B12" s="31"/>
      <c r="C12" s="32"/>
      <c r="D12" s="32"/>
      <c r="E12" s="32"/>
      <c r="F12" s="32"/>
      <c r="G12" s="32"/>
      <c r="H12" s="32"/>
      <c r="I12" s="32"/>
      <c r="J12" s="33"/>
    </row>
  </sheetData>
  <mergeCells count="1">
    <mergeCell ref="B2:E4"/>
  </mergeCells>
  <pageMargins left="0.75" right="0.75" top="1" bottom="1" header="0.5" footer="0.5"/>
  <pageSetup paperSize="9" orientation="portrait" horizontalDpi="4294967292" verticalDpi="4294967292"/>
  <drawing r:id="rId1"/>
  <legacyDrawing r:id="rId2"/>
  <mc:AlternateContent xmlns:mc="http://schemas.openxmlformats.org/markup-compatibility/2006">
    <mc:Choice Requires="x14">
      <controls>
        <mc:AlternateContent xmlns:mc="http://schemas.openxmlformats.org/markup-compatibility/2006">
          <mc:Choice Requires="x14">
            <control shapeId="2049" r:id="rId3" name="export_data">
              <controlPr defaultSize="0" print="0" autoFill="0" autoPict="0" macro="[2]!update_attributes">
                <anchor moveWithCells="1" sizeWithCells="1">
                  <from>
                    <xdr:col>6</xdr:col>
                    <xdr:colOff>165100</xdr:colOff>
                    <xdr:row>2</xdr:row>
                    <xdr:rowOff>0</xdr:rowOff>
                  </from>
                  <to>
                    <xdr:col>6</xdr:col>
                    <xdr:colOff>3949700</xdr:colOff>
                    <xdr:row>3</xdr:row>
                    <xdr:rowOff>12700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6" tint="0.39997558519241921"/>
  </sheetPr>
  <dimension ref="B1:N11"/>
  <sheetViews>
    <sheetView workbookViewId="0">
      <selection activeCell="L7" sqref="L7"/>
    </sheetView>
  </sheetViews>
  <sheetFormatPr baseColWidth="10" defaultColWidth="10.85546875" defaultRowHeight="16"/>
  <cols>
    <col min="1" max="1" width="3.28515625" style="53" customWidth="1"/>
    <col min="2" max="2" width="3.42578125" style="53" customWidth="1"/>
    <col min="3" max="3" width="35.85546875" style="53" customWidth="1"/>
    <col min="4" max="4" width="16.7109375" style="53" hidden="1" customWidth="1"/>
    <col min="5" max="5" width="13.85546875" style="53" hidden="1" customWidth="1"/>
    <col min="6" max="6" width="12.7109375" style="53" customWidth="1"/>
    <col min="7" max="7" width="10.28515625" style="53" customWidth="1"/>
    <col min="8" max="8" width="4.7109375" style="53" customWidth="1"/>
    <col min="9" max="9" width="11.28515625" style="53" customWidth="1"/>
    <col min="10" max="10" width="9.85546875" style="54" customWidth="1"/>
    <col min="11" max="11" width="3.42578125" style="54" customWidth="1"/>
    <col min="12" max="12" width="9.85546875" style="54" customWidth="1"/>
    <col min="13" max="13" width="2.7109375" style="54" customWidth="1"/>
    <col min="14" max="14" width="60" style="53" customWidth="1"/>
    <col min="15" max="16384" width="10.85546875" style="53"/>
  </cols>
  <sheetData>
    <row r="1" spans="2:14" ht="17" thickBot="1"/>
    <row r="2" spans="2:14">
      <c r="B2" s="55"/>
      <c r="C2" s="56"/>
      <c r="D2" s="56"/>
      <c r="E2" s="56"/>
      <c r="F2" s="56"/>
      <c r="G2" s="56"/>
      <c r="H2" s="56"/>
      <c r="I2" s="56"/>
      <c r="J2" s="57"/>
      <c r="K2" s="57"/>
      <c r="L2" s="57"/>
      <c r="M2" s="57"/>
      <c r="N2" s="58"/>
    </row>
    <row r="3" spans="2:14" s="14" customFormat="1">
      <c r="B3" s="19"/>
      <c r="C3" s="78" t="s">
        <v>29</v>
      </c>
      <c r="D3" s="106"/>
      <c r="E3" s="106"/>
      <c r="F3" s="78" t="s">
        <v>4</v>
      </c>
      <c r="G3" s="78" t="s">
        <v>25</v>
      </c>
      <c r="H3" s="78"/>
      <c r="I3" s="100" t="s">
        <v>47</v>
      </c>
      <c r="J3" s="101" t="s">
        <v>61</v>
      </c>
      <c r="K3" s="101"/>
      <c r="L3" s="101" t="s">
        <v>70</v>
      </c>
      <c r="M3" s="51"/>
      <c r="N3" s="1" t="s">
        <v>30</v>
      </c>
    </row>
    <row r="4" spans="2:14">
      <c r="B4" s="59"/>
      <c r="C4" s="107"/>
      <c r="D4" s="107"/>
      <c r="E4" s="107"/>
      <c r="F4" s="107"/>
      <c r="G4" s="108"/>
      <c r="H4" s="108"/>
      <c r="I4" s="109"/>
      <c r="M4" s="110"/>
      <c r="N4" s="2"/>
    </row>
    <row r="5" spans="2:14" ht="17" thickBot="1">
      <c r="B5" s="59"/>
      <c r="C5" s="14" t="s">
        <v>42</v>
      </c>
      <c r="D5" s="111"/>
      <c r="E5" s="111"/>
      <c r="F5" s="111"/>
      <c r="G5" s="112"/>
      <c r="H5" s="112"/>
      <c r="I5" s="112"/>
      <c r="M5" s="112"/>
      <c r="N5" s="3"/>
    </row>
    <row r="6" spans="2:14" ht="17" thickBot="1">
      <c r="B6" s="59"/>
      <c r="C6" s="113" t="s">
        <v>35</v>
      </c>
      <c r="D6" s="113" t="s">
        <v>35</v>
      </c>
      <c r="E6" s="113" t="s">
        <v>35</v>
      </c>
      <c r="F6" s="18" t="s">
        <v>1</v>
      </c>
      <c r="G6" s="102">
        <v>0</v>
      </c>
      <c r="H6" s="114"/>
      <c r="I6" s="115">
        <v>1</v>
      </c>
      <c r="M6" s="112"/>
      <c r="N6" s="95" t="s">
        <v>48</v>
      </c>
    </row>
    <row r="7" spans="2:14" s="5" customFormat="1" ht="17" thickBot="1">
      <c r="B7" s="4"/>
      <c r="C7" s="116" t="s">
        <v>36</v>
      </c>
      <c r="D7" s="116" t="s">
        <v>36</v>
      </c>
      <c r="E7" s="116" t="s">
        <v>36</v>
      </c>
      <c r="F7" s="18" t="s">
        <v>41</v>
      </c>
      <c r="G7" s="102">
        <f>L7</f>
        <v>0</v>
      </c>
      <c r="H7" s="117"/>
      <c r="L7" s="104">
        <v>0</v>
      </c>
      <c r="M7" s="112"/>
      <c r="N7" s="95"/>
    </row>
    <row r="8" spans="2:14" s="5" customFormat="1" ht="17" thickBot="1">
      <c r="B8" s="4"/>
      <c r="C8" s="118" t="s">
        <v>65</v>
      </c>
      <c r="D8" s="116"/>
      <c r="E8" s="116"/>
      <c r="F8" s="18" t="s">
        <v>66</v>
      </c>
      <c r="G8" s="102">
        <f>ROUND(J8,3)</f>
        <v>10</v>
      </c>
      <c r="H8" s="117"/>
      <c r="I8" s="115"/>
      <c r="J8" s="104">
        <f>Notes!D11</f>
        <v>10</v>
      </c>
      <c r="K8" s="150"/>
      <c r="L8" s="150"/>
      <c r="M8" s="112"/>
      <c r="N8" s="95"/>
    </row>
    <row r="9" spans="2:14" s="5" customFormat="1" ht="17" thickBot="1">
      <c r="B9" s="4"/>
      <c r="C9" s="118" t="s">
        <v>37</v>
      </c>
      <c r="D9" s="119" t="s">
        <v>37</v>
      </c>
      <c r="E9" s="119" t="s">
        <v>37</v>
      </c>
      <c r="F9" s="18" t="s">
        <v>40</v>
      </c>
      <c r="G9" s="102">
        <f>ROUND(J9,3)</f>
        <v>9.1999999999999998E-2</v>
      </c>
      <c r="H9" s="117"/>
      <c r="J9" s="103">
        <f>Notes!D10</f>
        <v>9.1700000000000004E-2</v>
      </c>
      <c r="K9" s="151"/>
      <c r="L9" s="151"/>
      <c r="M9" s="112"/>
      <c r="N9" s="95"/>
    </row>
    <row r="10" spans="2:14" ht="17" thickBot="1">
      <c r="B10" s="59"/>
      <c r="C10" s="118" t="s">
        <v>67</v>
      </c>
      <c r="F10" s="96" t="s">
        <v>40</v>
      </c>
      <c r="G10" s="105">
        <f>I10</f>
        <v>0</v>
      </c>
      <c r="I10" s="115">
        <v>0</v>
      </c>
      <c r="N10" s="3"/>
    </row>
    <row r="11" spans="2:14" ht="17" thickBot="1">
      <c r="B11" s="120"/>
      <c r="C11" s="121"/>
      <c r="D11" s="121"/>
      <c r="E11" s="121"/>
      <c r="F11" s="121"/>
      <c r="G11" s="121"/>
      <c r="H11" s="121"/>
      <c r="I11" s="121"/>
      <c r="J11" s="122"/>
      <c r="K11" s="122"/>
      <c r="L11" s="122"/>
      <c r="M11" s="122"/>
      <c r="N11" s="123"/>
    </row>
  </sheetData>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L10"/>
  <sheetViews>
    <sheetView tabSelected="1" workbookViewId="0">
      <selection activeCell="E20" sqref="E20"/>
    </sheetView>
  </sheetViews>
  <sheetFormatPr baseColWidth="10" defaultColWidth="33.140625" defaultRowHeight="16"/>
  <cols>
    <col min="1" max="1" width="3.140625" style="36" customWidth="1"/>
    <col min="2" max="2" width="3.28515625" style="36" customWidth="1"/>
    <col min="3" max="3" width="28.7109375" style="36" customWidth="1"/>
    <col min="4" max="4" width="3.140625" style="36" customWidth="1"/>
    <col min="5" max="5" width="16.140625" style="36" customWidth="1"/>
    <col min="6" max="6" width="5" style="36" customWidth="1"/>
    <col min="7" max="7" width="10.140625" style="36" customWidth="1"/>
    <col min="8" max="10" width="12.140625" style="36" customWidth="1"/>
    <col min="11" max="11" width="33.140625" style="37" customWidth="1"/>
    <col min="12" max="12" width="87.140625" style="36" customWidth="1"/>
    <col min="13" max="16384" width="33.140625" style="36"/>
  </cols>
  <sheetData>
    <row r="1" spans="2:12" ht="17" thickBot="1"/>
    <row r="2" spans="2:12">
      <c r="B2" s="38"/>
      <c r="C2" s="39"/>
      <c r="D2" s="39"/>
      <c r="E2" s="39"/>
      <c r="F2" s="39"/>
      <c r="G2" s="39"/>
      <c r="H2" s="39"/>
      <c r="I2" s="39"/>
      <c r="J2" s="39"/>
      <c r="K2" s="40"/>
      <c r="L2" s="39"/>
    </row>
    <row r="3" spans="2:12">
      <c r="B3" s="41"/>
      <c r="C3" s="42" t="s">
        <v>10</v>
      </c>
      <c r="D3" s="42"/>
      <c r="E3" s="42"/>
      <c r="F3" s="42"/>
      <c r="G3" s="42"/>
      <c r="H3" s="42"/>
      <c r="I3" s="42"/>
      <c r="J3" s="42"/>
      <c r="K3" s="43"/>
    </row>
    <row r="4" spans="2:12">
      <c r="B4" s="41"/>
    </row>
    <row r="5" spans="2:12">
      <c r="B5" s="44"/>
      <c r="C5" s="45" t="s">
        <v>12</v>
      </c>
      <c r="D5" s="45"/>
      <c r="E5" s="45" t="s">
        <v>0</v>
      </c>
      <c r="F5" s="45"/>
      <c r="G5" s="45" t="s">
        <v>7</v>
      </c>
      <c r="H5" s="45" t="s">
        <v>11</v>
      </c>
      <c r="I5" s="45" t="s">
        <v>32</v>
      </c>
      <c r="J5" s="45" t="s">
        <v>34</v>
      </c>
      <c r="K5" s="46" t="s">
        <v>33</v>
      </c>
      <c r="L5" s="45" t="s">
        <v>5</v>
      </c>
    </row>
    <row r="6" spans="2:12">
      <c r="B6" s="41"/>
      <c r="C6" s="42"/>
      <c r="D6" s="42"/>
      <c r="E6" s="86"/>
      <c r="F6" s="86"/>
      <c r="G6" s="42"/>
      <c r="H6" s="42"/>
      <c r="I6" s="42"/>
      <c r="J6" s="42"/>
      <c r="K6" s="43"/>
      <c r="L6" s="42"/>
    </row>
    <row r="7" spans="2:12">
      <c r="B7" s="41"/>
      <c r="C7" s="96" t="s">
        <v>60</v>
      </c>
      <c r="D7" s="96"/>
      <c r="E7" s="96" t="s">
        <v>61</v>
      </c>
      <c r="G7" s="96" t="s">
        <v>50</v>
      </c>
      <c r="H7" s="96">
        <v>2021</v>
      </c>
      <c r="I7" s="96" t="s">
        <v>62</v>
      </c>
      <c r="J7" s="97">
        <v>45898</v>
      </c>
      <c r="K7" s="98"/>
      <c r="L7" s="99" t="s">
        <v>63</v>
      </c>
    </row>
    <row r="8" spans="2:12">
      <c r="B8" s="41"/>
      <c r="C8" s="89"/>
      <c r="D8" s="47"/>
      <c r="E8" s="85"/>
      <c r="H8" s="37"/>
      <c r="I8" s="37"/>
      <c r="J8" s="37"/>
      <c r="L8" s="52"/>
    </row>
    <row r="9" spans="2:12">
      <c r="B9" s="41"/>
      <c r="C9" s="89" t="s">
        <v>69</v>
      </c>
      <c r="D9" s="47" t="s">
        <v>70</v>
      </c>
      <c r="E9" s="147"/>
      <c r="F9" s="147"/>
      <c r="H9" s="37" t="s">
        <v>71</v>
      </c>
      <c r="I9" s="37" t="s">
        <v>72</v>
      </c>
      <c r="J9" s="148">
        <v>45901</v>
      </c>
      <c r="L9" s="149" t="s">
        <v>73</v>
      </c>
    </row>
    <row r="10" spans="2:12">
      <c r="B10" s="41"/>
      <c r="C10" s="89"/>
      <c r="D10" s="50"/>
      <c r="E10" s="85"/>
      <c r="F10" s="87"/>
      <c r="G10" s="48"/>
      <c r="H10" s="49"/>
      <c r="I10" s="49"/>
      <c r="J10" s="49"/>
      <c r="L10" s="88"/>
    </row>
  </sheetData>
  <hyperlinks>
    <hyperlink ref="L7" r:id="rId1" xr:uid="{C1C92EB5-2EFF-CF45-B2E9-6EC95B594A1E}"/>
    <hyperlink ref="L9" r:id="rId2" xr:uid="{DE993F1D-863A-5245-AF52-C443FF7E8360}"/>
  </hyperlinks>
  <pageMargins left="0.75" right="0.75" top="1" bottom="1" header="0.5" footer="0.5"/>
  <pageSetup paperSize="9"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AB41"/>
  <sheetViews>
    <sheetView topLeftCell="D38" zoomScaleNormal="115" zoomScalePageLayoutView="115" workbookViewId="0">
      <selection activeCell="O40" sqref="O40"/>
    </sheetView>
  </sheetViews>
  <sheetFormatPr baseColWidth="10" defaultColWidth="7" defaultRowHeight="16"/>
  <cols>
    <col min="1" max="1" width="5.7109375" style="80" customWidth="1"/>
    <col min="2" max="2" width="5" style="80" customWidth="1"/>
    <col min="3" max="3" width="17.28515625" style="80" customWidth="1"/>
    <col min="4" max="4" width="18.140625" style="80" customWidth="1"/>
    <col min="5" max="5" width="16.85546875" style="80" customWidth="1"/>
    <col min="6" max="6" width="7.140625" style="80" customWidth="1"/>
    <col min="7" max="16384" width="7" style="80"/>
  </cols>
  <sheetData>
    <row r="1" spans="2:28" ht="17" thickBot="1"/>
    <row r="2" spans="2:28" s="14" customFormat="1">
      <c r="B2" s="82"/>
      <c r="C2" s="83" t="s">
        <v>24</v>
      </c>
      <c r="D2" s="83" t="s">
        <v>43</v>
      </c>
      <c r="E2" s="83"/>
      <c r="F2" s="83" t="s">
        <v>31</v>
      </c>
      <c r="G2" s="83"/>
      <c r="H2" s="83"/>
      <c r="I2" s="83"/>
      <c r="J2" s="83"/>
      <c r="K2" s="83"/>
      <c r="L2" s="83"/>
      <c r="M2" s="83"/>
      <c r="N2" s="83"/>
      <c r="O2" s="83"/>
      <c r="P2" s="83"/>
      <c r="Q2" s="83"/>
      <c r="R2" s="83"/>
      <c r="S2" s="83"/>
      <c r="T2" s="83"/>
      <c r="U2" s="83"/>
      <c r="V2" s="83"/>
      <c r="W2" s="83"/>
      <c r="X2" s="83"/>
      <c r="Y2" s="83"/>
      <c r="Z2" s="83"/>
      <c r="AA2" s="83"/>
      <c r="AB2" s="137"/>
    </row>
    <row r="3" spans="2:28">
      <c r="B3" s="81"/>
      <c r="AB3" s="128"/>
    </row>
    <row r="4" spans="2:28" customFormat="1">
      <c r="B4" s="81"/>
      <c r="C4" s="129" t="s">
        <v>52</v>
      </c>
      <c r="D4" s="130"/>
      <c r="E4" s="130"/>
      <c r="F4" s="130"/>
      <c r="G4" s="130"/>
      <c r="H4" s="130"/>
      <c r="I4" s="130"/>
      <c r="J4" s="130"/>
      <c r="K4" s="131"/>
      <c r="L4" s="131"/>
      <c r="M4" s="131"/>
      <c r="N4" s="131"/>
      <c r="O4" s="131" t="s">
        <v>51</v>
      </c>
      <c r="P4" s="131"/>
      <c r="Q4" s="131"/>
      <c r="R4" s="130"/>
      <c r="S4" s="130"/>
      <c r="T4" s="130"/>
      <c r="U4" s="130"/>
      <c r="V4" s="130"/>
      <c r="W4" s="130"/>
      <c r="X4" s="130"/>
      <c r="Y4" s="130"/>
      <c r="Z4" s="130"/>
      <c r="AA4" s="130"/>
      <c r="AB4" s="132"/>
    </row>
    <row r="5" spans="2:28">
      <c r="B5" s="81"/>
      <c r="C5" s="130" t="s">
        <v>53</v>
      </c>
      <c r="D5" s="130"/>
      <c r="E5" s="130"/>
      <c r="F5" s="130"/>
      <c r="G5" s="130"/>
      <c r="H5" s="130"/>
      <c r="I5" s="130"/>
      <c r="J5" s="130"/>
      <c r="AB5" s="128"/>
    </row>
    <row r="6" spans="2:28">
      <c r="B6" s="81"/>
      <c r="C6" s="133" t="s">
        <v>54</v>
      </c>
      <c r="D6" s="133"/>
      <c r="E6" s="133"/>
      <c r="F6" s="130"/>
      <c r="G6" s="130"/>
      <c r="H6" s="130"/>
      <c r="I6" s="130"/>
      <c r="J6" s="130"/>
      <c r="AB6" s="128"/>
    </row>
    <row r="7" spans="2:28">
      <c r="B7" s="81"/>
      <c r="C7" s="133" t="s">
        <v>55</v>
      </c>
      <c r="D7" s="133"/>
      <c r="E7" s="133"/>
      <c r="F7" s="130"/>
      <c r="G7" s="130"/>
      <c r="H7" s="130"/>
      <c r="I7" s="130"/>
      <c r="J7" s="130"/>
      <c r="AB7" s="128"/>
    </row>
    <row r="8" spans="2:28">
      <c r="B8" s="81"/>
      <c r="C8" s="133"/>
      <c r="D8" s="133"/>
      <c r="E8" s="133"/>
      <c r="F8" s="130"/>
      <c r="G8" s="130"/>
      <c r="H8" s="130"/>
      <c r="I8" s="130"/>
      <c r="J8" s="130"/>
      <c r="AB8" s="128"/>
    </row>
    <row r="9" spans="2:28">
      <c r="B9" s="81"/>
      <c r="C9" s="133"/>
      <c r="D9" s="96" t="s">
        <v>56</v>
      </c>
      <c r="E9" s="96" t="s">
        <v>57</v>
      </c>
      <c r="F9" s="130"/>
      <c r="G9" s="130"/>
      <c r="H9" s="130"/>
      <c r="I9" s="130"/>
      <c r="J9" s="130"/>
      <c r="AB9" s="128"/>
    </row>
    <row r="10" spans="2:28">
      <c r="B10" s="81"/>
      <c r="C10" s="133" t="s">
        <v>58</v>
      </c>
      <c r="D10" s="96">
        <f>91.7/1000</f>
        <v>9.1700000000000004E-2</v>
      </c>
      <c r="E10" s="96">
        <f>100/1000</f>
        <v>0.1</v>
      </c>
      <c r="F10" s="130"/>
      <c r="G10" s="130"/>
      <c r="H10" s="130"/>
      <c r="I10" s="130"/>
      <c r="J10" s="130"/>
      <c r="AB10" s="128"/>
    </row>
    <row r="11" spans="2:28">
      <c r="B11" s="81"/>
      <c r="C11" s="133" t="s">
        <v>59</v>
      </c>
      <c r="D11" s="96">
        <v>10</v>
      </c>
      <c r="E11" s="96">
        <v>11.6</v>
      </c>
      <c r="F11" s="130"/>
      <c r="G11" s="130"/>
      <c r="H11" s="130"/>
      <c r="I11" s="130"/>
      <c r="J11" s="130"/>
      <c r="AB11" s="128"/>
    </row>
    <row r="12" spans="2:28">
      <c r="B12" s="81"/>
      <c r="C12" s="130"/>
      <c r="D12" s="130"/>
      <c r="E12" s="130"/>
      <c r="F12" s="130"/>
      <c r="G12" s="130"/>
      <c r="H12" s="130"/>
      <c r="I12" s="130"/>
      <c r="J12" s="130"/>
      <c r="AB12" s="128"/>
    </row>
    <row r="13" spans="2:28">
      <c r="B13" s="81"/>
      <c r="C13" s="130"/>
      <c r="D13" s="130"/>
      <c r="E13" s="130"/>
      <c r="F13" s="130"/>
      <c r="G13" s="130"/>
      <c r="H13" s="130"/>
      <c r="I13" s="130"/>
      <c r="J13" s="130"/>
      <c r="AB13" s="128"/>
    </row>
    <row r="14" spans="2:28">
      <c r="B14" s="81"/>
      <c r="C14" s="129" t="s">
        <v>68</v>
      </c>
      <c r="D14" s="130"/>
      <c r="E14" s="130"/>
      <c r="F14" s="130"/>
      <c r="G14" s="130"/>
      <c r="H14" s="130"/>
      <c r="I14" s="130"/>
      <c r="J14" s="130"/>
      <c r="AB14" s="128"/>
    </row>
    <row r="15" spans="2:28">
      <c r="B15" s="81"/>
      <c r="C15" s="130" t="s">
        <v>75</v>
      </c>
      <c r="D15" s="130"/>
      <c r="E15" s="130"/>
      <c r="F15" s="130"/>
      <c r="G15" s="130"/>
      <c r="H15" s="130"/>
      <c r="I15" s="130"/>
      <c r="J15" s="130"/>
      <c r="AB15" s="128"/>
    </row>
    <row r="16" spans="2:28">
      <c r="B16" s="81"/>
      <c r="C16" s="130" t="s">
        <v>76</v>
      </c>
      <c r="D16" s="130"/>
      <c r="E16" s="130"/>
      <c r="F16" s="130"/>
      <c r="G16" s="130"/>
      <c r="H16" s="130"/>
      <c r="I16" s="130"/>
      <c r="J16" s="130"/>
      <c r="AB16" s="128"/>
    </row>
    <row r="17" spans="2:28">
      <c r="B17" s="81"/>
      <c r="C17" s="130"/>
      <c r="D17" s="130"/>
      <c r="E17" s="130"/>
      <c r="F17" s="130"/>
      <c r="G17" s="130"/>
      <c r="H17" s="130"/>
      <c r="I17" s="130"/>
      <c r="J17" s="130"/>
      <c r="AB17" s="128"/>
    </row>
    <row r="18" spans="2:28">
      <c r="B18" s="81"/>
      <c r="C18" s="130" t="s">
        <v>77</v>
      </c>
      <c r="D18" s="130">
        <v>0</v>
      </c>
      <c r="E18" s="130"/>
      <c r="F18" s="130"/>
      <c r="G18" s="130"/>
      <c r="H18" s="130"/>
      <c r="I18" s="130"/>
      <c r="J18" s="130"/>
      <c r="AB18" s="128"/>
    </row>
    <row r="19" spans="2:28">
      <c r="B19" s="81"/>
      <c r="C19" s="130"/>
      <c r="D19" s="130"/>
      <c r="E19" s="130"/>
      <c r="F19" s="130"/>
      <c r="G19" s="130"/>
      <c r="H19" s="130"/>
      <c r="I19" s="130"/>
      <c r="J19" s="130"/>
      <c r="AB19" s="128"/>
    </row>
    <row r="20" spans="2:28">
      <c r="B20" s="81"/>
      <c r="C20" s="130"/>
      <c r="D20" s="130"/>
      <c r="E20" s="130"/>
      <c r="F20" s="130"/>
      <c r="G20" s="130"/>
      <c r="H20" s="130"/>
      <c r="I20" s="130"/>
      <c r="J20" s="130"/>
      <c r="AB20" s="128"/>
    </row>
    <row r="21" spans="2:28">
      <c r="B21" s="81"/>
      <c r="C21" s="130"/>
      <c r="D21" s="130"/>
      <c r="E21" s="130"/>
      <c r="F21" s="130"/>
      <c r="G21" s="130"/>
      <c r="H21" s="130"/>
      <c r="I21" s="130"/>
      <c r="J21" s="130"/>
      <c r="AB21" s="128"/>
    </row>
    <row r="22" spans="2:28">
      <c r="B22" s="81"/>
      <c r="C22" s="130"/>
      <c r="D22" s="130"/>
      <c r="E22" s="130"/>
      <c r="F22" s="130"/>
      <c r="G22" s="130"/>
      <c r="H22" s="130"/>
      <c r="I22" s="130"/>
      <c r="J22" s="130"/>
      <c r="AB22" s="128"/>
    </row>
    <row r="23" spans="2:28">
      <c r="B23" s="81"/>
      <c r="C23" s="130"/>
      <c r="D23" s="130"/>
      <c r="E23" s="130"/>
      <c r="F23" s="130"/>
      <c r="G23" s="130"/>
      <c r="H23" s="130"/>
      <c r="I23" s="130"/>
      <c r="J23" s="130"/>
      <c r="AB23" s="128"/>
    </row>
    <row r="24" spans="2:28">
      <c r="B24" s="81"/>
      <c r="C24" s="130"/>
      <c r="D24" s="130"/>
      <c r="E24" s="130"/>
      <c r="F24" s="130"/>
      <c r="G24" s="130"/>
      <c r="H24" s="130"/>
      <c r="I24" s="130"/>
      <c r="J24" s="130"/>
      <c r="AB24" s="128"/>
    </row>
    <row r="25" spans="2:28">
      <c r="B25" s="81"/>
      <c r="C25" s="130"/>
      <c r="D25" s="130"/>
      <c r="E25" s="130"/>
      <c r="F25" s="130"/>
      <c r="G25" s="130"/>
      <c r="H25" s="130"/>
      <c r="I25" s="130"/>
      <c r="J25" s="130"/>
      <c r="AB25" s="128"/>
    </row>
    <row r="26" spans="2:28">
      <c r="B26" s="81"/>
      <c r="C26" s="130"/>
      <c r="D26" s="130"/>
      <c r="E26" s="130"/>
      <c r="F26" s="130"/>
      <c r="G26" s="130"/>
      <c r="H26" s="130"/>
      <c r="I26" s="130"/>
      <c r="J26" s="130"/>
      <c r="AB26" s="128"/>
    </row>
    <row r="27" spans="2:28">
      <c r="B27" s="81"/>
      <c r="C27" s="130"/>
      <c r="D27" s="130"/>
      <c r="E27" s="130"/>
      <c r="F27" s="130"/>
      <c r="G27" s="130"/>
      <c r="H27" s="130"/>
      <c r="I27" s="130"/>
      <c r="J27" s="130"/>
      <c r="AB27" s="128"/>
    </row>
    <row r="28" spans="2:28">
      <c r="B28" s="81"/>
      <c r="C28" s="130"/>
      <c r="D28" s="130"/>
      <c r="E28" s="130"/>
      <c r="F28" s="130"/>
      <c r="G28" s="130"/>
      <c r="H28" s="130"/>
      <c r="I28" s="130"/>
      <c r="J28" s="130"/>
      <c r="AB28" s="128"/>
    </row>
    <row r="29" spans="2:28">
      <c r="B29" s="81"/>
      <c r="C29" s="130"/>
      <c r="D29" s="130"/>
      <c r="E29" s="130"/>
      <c r="F29" s="130"/>
      <c r="G29" s="130"/>
      <c r="H29" s="130"/>
      <c r="I29" s="130"/>
      <c r="J29" s="130"/>
      <c r="AB29" s="128"/>
    </row>
    <row r="30" spans="2:28">
      <c r="B30" s="81"/>
      <c r="C30" s="130"/>
      <c r="D30" s="130"/>
      <c r="E30" s="130"/>
      <c r="F30" s="130"/>
      <c r="G30" s="130"/>
      <c r="H30" s="130"/>
      <c r="I30" s="130"/>
      <c r="J30" s="130"/>
      <c r="AB30" s="128"/>
    </row>
    <row r="31" spans="2:28">
      <c r="B31" s="81"/>
      <c r="C31" s="130"/>
      <c r="D31" s="130"/>
      <c r="E31" s="130"/>
      <c r="F31" s="130"/>
      <c r="G31" s="130"/>
      <c r="H31" s="130"/>
      <c r="I31" s="130"/>
      <c r="J31" s="130"/>
      <c r="AB31" s="128"/>
    </row>
    <row r="32" spans="2:28">
      <c r="B32" s="81"/>
      <c r="C32" s="130"/>
      <c r="D32" s="130"/>
      <c r="E32" s="130"/>
      <c r="F32" s="130"/>
      <c r="G32" s="130"/>
      <c r="H32" s="130"/>
      <c r="I32" s="130"/>
      <c r="J32" s="130"/>
      <c r="AB32" s="128"/>
    </row>
    <row r="33" spans="2:28">
      <c r="B33" s="81"/>
      <c r="AB33" s="128"/>
    </row>
    <row r="34" spans="2:28">
      <c r="B34" s="81"/>
      <c r="AB34" s="128"/>
    </row>
    <row r="35" spans="2:28">
      <c r="B35" s="81"/>
      <c r="AB35" s="128"/>
    </row>
    <row r="36" spans="2:28">
      <c r="B36" s="81"/>
      <c r="AB36" s="128"/>
    </row>
    <row r="37" spans="2:28">
      <c r="B37" s="81"/>
      <c r="AB37" s="128"/>
    </row>
    <row r="38" spans="2:28">
      <c r="B38" s="81"/>
      <c r="AB38" s="128"/>
    </row>
    <row r="39" spans="2:28">
      <c r="B39" s="81"/>
      <c r="AB39" s="128"/>
    </row>
    <row r="40" spans="2:28">
      <c r="B40" s="81"/>
      <c r="O40" s="147" t="s">
        <v>74</v>
      </c>
      <c r="AB40" s="128"/>
    </row>
    <row r="41" spans="2:28" ht="17" thickBot="1">
      <c r="B41" s="134"/>
      <c r="C41" s="135"/>
      <c r="D41" s="135"/>
      <c r="E41" s="135"/>
      <c r="F41" s="135"/>
      <c r="G41" s="135"/>
      <c r="H41" s="135"/>
      <c r="I41" s="135"/>
      <c r="J41" s="135"/>
      <c r="K41" s="135"/>
      <c r="L41" s="135"/>
      <c r="M41" s="135"/>
      <c r="N41" s="135"/>
      <c r="O41" s="135"/>
      <c r="P41" s="135"/>
      <c r="Q41" s="135"/>
      <c r="R41" s="135"/>
      <c r="S41" s="135"/>
      <c r="T41" s="135"/>
      <c r="U41" s="135"/>
      <c r="V41" s="135"/>
      <c r="W41" s="135"/>
      <c r="X41" s="135"/>
      <c r="Y41" s="135"/>
      <c r="Z41" s="135"/>
      <c r="AA41" s="135"/>
      <c r="AB41" s="136"/>
    </row>
  </sheetData>
  <pageMargins left="0.75" right="0.75" top="1" bottom="1" header="0.5" footer="0.5"/>
  <pageSetup paperSize="9" orientation="portrait" horizontalDpi="4294967292" verticalDpi="4294967292"/>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Dashboard</vt:lpstr>
      <vt:lpstr>Research data</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Kyra de Haan</cp:lastModifiedBy>
  <dcterms:created xsi:type="dcterms:W3CDTF">2011-10-26T09:05:09Z</dcterms:created>
  <dcterms:modified xsi:type="dcterms:W3CDTF">2025-09-15T15:14:47Z</dcterms:modified>
</cp:coreProperties>
</file>